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Z:\PROYECTO\CONSOLIDADO_BASES_ORGINALES\DOCUMENTOS DE PRUEBA\"/>
    </mc:Choice>
  </mc:AlternateContent>
  <xr:revisionPtr revIDLastSave="0" documentId="13_ncr:1_{B871691B-A467-4B06-9C50-A7F53AE99A03}" xr6:coauthVersionLast="47" xr6:coauthVersionMax="47" xr10:uidLastSave="{00000000-0000-0000-0000-000000000000}"/>
  <bookViews>
    <workbookView xWindow="-120" yWindow="-120" windowWidth="29040" windowHeight="15720" tabRatio="753" xr2:uid="{00000000-000D-0000-FFFF-FFFF00000000}"/>
  </bookViews>
  <sheets>
    <sheet name="ERROR FINAL" sheetId="27" r:id="rId1"/>
    <sheet name="Hoja1" sheetId="28" r:id="rId2"/>
    <sheet name="Hoja2 (2)" sheetId="30" r:id="rId3"/>
    <sheet name="Hoja2" sheetId="29" r:id="rId4"/>
    <sheet name="Historial de cambios" sheetId="31" r:id="rId5"/>
  </sheets>
  <definedNames>
    <definedName name="_xlnm._FilterDatabase" localSheetId="0" hidden="1">'ERROR FINAL'!$A$8:$BL$728</definedName>
    <definedName name="_xlnm._FilterDatabase" localSheetId="1" hidden="1">Hoja1!$B$3:$H$3</definedName>
    <definedName name="_xlnm._FilterDatabase" localSheetId="2" hidden="1">'Hoja2 (2)'!$A$3:$I$725</definedName>
    <definedName name="_xlnm.Print_Titles" localSheetId="3">Hoja2!$1:$5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K9" i="27" l="1"/>
  <c r="C9" i="27"/>
  <c r="B6" i="30"/>
  <c r="F5" i="28"/>
  <c r="F6" i="28"/>
  <c r="F7" i="28"/>
  <c r="F8" i="28"/>
  <c r="F9" i="28"/>
  <c r="F10" i="28"/>
  <c r="F11" i="28"/>
  <c r="H11" i="28" s="1"/>
  <c r="F12" i="28"/>
  <c r="F13" i="28"/>
  <c r="F14" i="28"/>
  <c r="F15" i="28"/>
  <c r="F16" i="28"/>
  <c r="F17" i="28"/>
  <c r="F18" i="28"/>
  <c r="F19" i="28"/>
  <c r="H19" i="28" s="1"/>
  <c r="F20" i="28"/>
  <c r="F21" i="28"/>
  <c r="F22" i="28"/>
  <c r="F23" i="28"/>
  <c r="F24" i="28"/>
  <c r="F25" i="28"/>
  <c r="F26" i="28"/>
  <c r="F27" i="28"/>
  <c r="H27" i="28" s="1"/>
  <c r="F28" i="28"/>
  <c r="F29" i="28"/>
  <c r="F30" i="28"/>
  <c r="F31" i="28"/>
  <c r="F32" i="28"/>
  <c r="F33" i="28"/>
  <c r="F34" i="28"/>
  <c r="F35" i="28"/>
  <c r="H35" i="28" s="1"/>
  <c r="F36" i="28"/>
  <c r="F37" i="28"/>
  <c r="F38" i="28"/>
  <c r="F39" i="28"/>
  <c r="F40" i="28"/>
  <c r="F41" i="28"/>
  <c r="F42" i="28"/>
  <c r="F43" i="28"/>
  <c r="H43" i="28" s="1"/>
  <c r="F44" i="28"/>
  <c r="F45" i="28"/>
  <c r="F46" i="28"/>
  <c r="F47" i="28"/>
  <c r="F48" i="28"/>
  <c r="F49" i="28"/>
  <c r="F50" i="28"/>
  <c r="F51" i="28"/>
  <c r="F52" i="28"/>
  <c r="F53" i="28"/>
  <c r="F54" i="28"/>
  <c r="F55" i="28"/>
  <c r="F56" i="28"/>
  <c r="F57" i="28"/>
  <c r="F58" i="28"/>
  <c r="F59" i="28"/>
  <c r="H59" i="28" s="1"/>
  <c r="F60" i="28"/>
  <c r="F61" i="28"/>
  <c r="F62" i="28"/>
  <c r="F63" i="28"/>
  <c r="F64" i="28"/>
  <c r="F65" i="28"/>
  <c r="F66" i="28"/>
  <c r="F67" i="28"/>
  <c r="H67" i="28" s="1"/>
  <c r="F68" i="28"/>
  <c r="F69" i="28"/>
  <c r="F70" i="28"/>
  <c r="F71" i="28"/>
  <c r="F72" i="28"/>
  <c r="F73" i="28"/>
  <c r="F74" i="28"/>
  <c r="F75" i="28"/>
  <c r="H75" i="28" s="1"/>
  <c r="F76" i="28"/>
  <c r="F77" i="28"/>
  <c r="F78" i="28"/>
  <c r="F79" i="28"/>
  <c r="F80" i="28"/>
  <c r="F81" i="28"/>
  <c r="F82" i="28"/>
  <c r="F83" i="28"/>
  <c r="H83" i="28" s="1"/>
  <c r="F84" i="28"/>
  <c r="F85" i="28"/>
  <c r="F86" i="28"/>
  <c r="F87" i="28"/>
  <c r="F88" i="28"/>
  <c r="F89" i="28"/>
  <c r="F90" i="28"/>
  <c r="F91" i="28"/>
  <c r="H91" i="28" s="1"/>
  <c r="F92" i="28"/>
  <c r="F93" i="28"/>
  <c r="F94" i="28"/>
  <c r="F95" i="28"/>
  <c r="F96" i="28"/>
  <c r="F97" i="28"/>
  <c r="F98" i="28"/>
  <c r="F99" i="28"/>
  <c r="H99" i="28" s="1"/>
  <c r="F100" i="28"/>
  <c r="F101" i="28"/>
  <c r="F102" i="28"/>
  <c r="F103" i="28"/>
  <c r="F104" i="28"/>
  <c r="F105" i="28"/>
  <c r="F106" i="28"/>
  <c r="F107" i="28"/>
  <c r="H107" i="28" s="1"/>
  <c r="F108" i="28"/>
  <c r="F109" i="28"/>
  <c r="F110" i="28"/>
  <c r="F111" i="28"/>
  <c r="F112" i="28"/>
  <c r="F113" i="28"/>
  <c r="F114" i="28"/>
  <c r="F115" i="28"/>
  <c r="F116" i="28"/>
  <c r="F117" i="28"/>
  <c r="F118" i="28"/>
  <c r="F119" i="28"/>
  <c r="F120" i="28"/>
  <c r="F121" i="28"/>
  <c r="F122" i="28"/>
  <c r="F123" i="28"/>
  <c r="H123" i="28" s="1"/>
  <c r="F124" i="28"/>
  <c r="F125" i="28"/>
  <c r="F126" i="28"/>
  <c r="F127" i="28"/>
  <c r="F128" i="28"/>
  <c r="F129" i="28"/>
  <c r="F130" i="28"/>
  <c r="F131" i="28"/>
  <c r="H131" i="28" s="1"/>
  <c r="F132" i="28"/>
  <c r="F133" i="28"/>
  <c r="F134" i="28"/>
  <c r="F135" i="28"/>
  <c r="F136" i="28"/>
  <c r="F137" i="28"/>
  <c r="F138" i="28"/>
  <c r="F139" i="28"/>
  <c r="H139" i="28" s="1"/>
  <c r="F140" i="28"/>
  <c r="F141" i="28"/>
  <c r="F142" i="28"/>
  <c r="F143" i="28"/>
  <c r="F144" i="28"/>
  <c r="F145" i="28"/>
  <c r="F146" i="28"/>
  <c r="F147" i="28"/>
  <c r="H147" i="28" s="1"/>
  <c r="F148" i="28"/>
  <c r="F149" i="28"/>
  <c r="F150" i="28"/>
  <c r="F151" i="28"/>
  <c r="F152" i="28"/>
  <c r="F153" i="28"/>
  <c r="F154" i="28"/>
  <c r="F155" i="28"/>
  <c r="H155" i="28" s="1"/>
  <c r="F156" i="28"/>
  <c r="F157" i="28"/>
  <c r="F158" i="28"/>
  <c r="F159" i="28"/>
  <c r="F160" i="28"/>
  <c r="F161" i="28"/>
  <c r="F162" i="28"/>
  <c r="F163" i="28"/>
  <c r="H163" i="28" s="1"/>
  <c r="F164" i="28"/>
  <c r="F165" i="28"/>
  <c r="F166" i="28"/>
  <c r="F167" i="28"/>
  <c r="F168" i="28"/>
  <c r="F169" i="28"/>
  <c r="F170" i="28"/>
  <c r="F171" i="28"/>
  <c r="H171" i="28" s="1"/>
  <c r="F172" i="28"/>
  <c r="F173" i="28"/>
  <c r="F174" i="28"/>
  <c r="F175" i="28"/>
  <c r="F176" i="28"/>
  <c r="F177" i="28"/>
  <c r="F178" i="28"/>
  <c r="F179" i="28"/>
  <c r="F180" i="28"/>
  <c r="F181" i="28"/>
  <c r="F182" i="28"/>
  <c r="F183" i="28"/>
  <c r="F184" i="28"/>
  <c r="F185" i="28"/>
  <c r="F186" i="28"/>
  <c r="F187" i="28"/>
  <c r="H187" i="28" s="1"/>
  <c r="F188" i="28"/>
  <c r="F189" i="28"/>
  <c r="F190" i="28"/>
  <c r="F191" i="28"/>
  <c r="F192" i="28"/>
  <c r="F193" i="28"/>
  <c r="F194" i="28"/>
  <c r="F195" i="28"/>
  <c r="H195" i="28" s="1"/>
  <c r="F196" i="28"/>
  <c r="F197" i="28"/>
  <c r="F198" i="28"/>
  <c r="F199" i="28"/>
  <c r="F200" i="28"/>
  <c r="F201" i="28"/>
  <c r="F202" i="28"/>
  <c r="F203" i="28"/>
  <c r="H203" i="28" s="1"/>
  <c r="F204" i="28"/>
  <c r="F205" i="28"/>
  <c r="F206" i="28"/>
  <c r="F207" i="28"/>
  <c r="F208" i="28"/>
  <c r="F209" i="28"/>
  <c r="F210" i="28"/>
  <c r="F211" i="28"/>
  <c r="H211" i="28" s="1"/>
  <c r="F212" i="28"/>
  <c r="F213" i="28"/>
  <c r="F214" i="28"/>
  <c r="F215" i="28"/>
  <c r="F216" i="28"/>
  <c r="F217" i="28"/>
  <c r="F218" i="28"/>
  <c r="F219" i="28"/>
  <c r="H219" i="28" s="1"/>
  <c r="F220" i="28"/>
  <c r="F221" i="28"/>
  <c r="F222" i="28"/>
  <c r="F223" i="28"/>
  <c r="F224" i="28"/>
  <c r="F225" i="28"/>
  <c r="F226" i="28"/>
  <c r="F227" i="28"/>
  <c r="H227" i="28" s="1"/>
  <c r="F228" i="28"/>
  <c r="F229" i="28"/>
  <c r="F230" i="28"/>
  <c r="F231" i="28"/>
  <c r="F232" i="28"/>
  <c r="F233" i="28"/>
  <c r="F234" i="28"/>
  <c r="F235" i="28"/>
  <c r="H235" i="28" s="1"/>
  <c r="F236" i="28"/>
  <c r="F237" i="28"/>
  <c r="F238" i="28"/>
  <c r="F239" i="28"/>
  <c r="F240" i="28"/>
  <c r="F241" i="28"/>
  <c r="F242" i="28"/>
  <c r="F243" i="28"/>
  <c r="F244" i="28"/>
  <c r="F245" i="28"/>
  <c r="F246" i="28"/>
  <c r="F247" i="28"/>
  <c r="F248" i="28"/>
  <c r="F249" i="28"/>
  <c r="F250" i="28"/>
  <c r="F251" i="28"/>
  <c r="H251" i="28" s="1"/>
  <c r="F252" i="28"/>
  <c r="F253" i="28"/>
  <c r="F254" i="28"/>
  <c r="F255" i="28"/>
  <c r="F256" i="28"/>
  <c r="F257" i="28"/>
  <c r="F258" i="28"/>
  <c r="F259" i="28"/>
  <c r="H259" i="28" s="1"/>
  <c r="F260" i="28"/>
  <c r="F261" i="28"/>
  <c r="F262" i="28"/>
  <c r="F263" i="28"/>
  <c r="F264" i="28"/>
  <c r="F265" i="28"/>
  <c r="F266" i="28"/>
  <c r="F267" i="28"/>
  <c r="H267" i="28" s="1"/>
  <c r="F268" i="28"/>
  <c r="F269" i="28"/>
  <c r="F270" i="28"/>
  <c r="F271" i="28"/>
  <c r="F272" i="28"/>
  <c r="F273" i="28"/>
  <c r="F274" i="28"/>
  <c r="F275" i="28"/>
  <c r="H275" i="28" s="1"/>
  <c r="F276" i="28"/>
  <c r="F277" i="28"/>
  <c r="F278" i="28"/>
  <c r="F279" i="28"/>
  <c r="F280" i="28"/>
  <c r="F281" i="28"/>
  <c r="F282" i="28"/>
  <c r="F283" i="28"/>
  <c r="H283" i="28" s="1"/>
  <c r="F284" i="28"/>
  <c r="F285" i="28"/>
  <c r="F286" i="28"/>
  <c r="F287" i="28"/>
  <c r="F288" i="28"/>
  <c r="F289" i="28"/>
  <c r="F290" i="28"/>
  <c r="F291" i="28"/>
  <c r="H291" i="28" s="1"/>
  <c r="F292" i="28"/>
  <c r="F293" i="28"/>
  <c r="F294" i="28"/>
  <c r="F295" i="28"/>
  <c r="F296" i="28"/>
  <c r="F297" i="28"/>
  <c r="F298" i="28"/>
  <c r="F299" i="28"/>
  <c r="H299" i="28" s="1"/>
  <c r="F300" i="28"/>
  <c r="F301" i="28"/>
  <c r="F302" i="28"/>
  <c r="F303" i="28"/>
  <c r="F304" i="28"/>
  <c r="F305" i="28"/>
  <c r="F306" i="28"/>
  <c r="F307" i="28"/>
  <c r="F308" i="28"/>
  <c r="F309" i="28"/>
  <c r="F310" i="28"/>
  <c r="F311" i="28"/>
  <c r="F312" i="28"/>
  <c r="F313" i="28"/>
  <c r="F314" i="28"/>
  <c r="F315" i="28"/>
  <c r="H315" i="28" s="1"/>
  <c r="F316" i="28"/>
  <c r="F317" i="28"/>
  <c r="F318" i="28"/>
  <c r="F319" i="28"/>
  <c r="F320" i="28"/>
  <c r="F321" i="28"/>
  <c r="F322" i="28"/>
  <c r="F323" i="28"/>
  <c r="H323" i="28" s="1"/>
  <c r="F324" i="28"/>
  <c r="F325" i="28"/>
  <c r="F326" i="28"/>
  <c r="F327" i="28"/>
  <c r="F328" i="28"/>
  <c r="F329" i="28"/>
  <c r="F330" i="28"/>
  <c r="F331" i="28"/>
  <c r="H331" i="28" s="1"/>
  <c r="F332" i="28"/>
  <c r="F333" i="28"/>
  <c r="F334" i="28"/>
  <c r="F335" i="28"/>
  <c r="F336" i="28"/>
  <c r="F337" i="28"/>
  <c r="F338" i="28"/>
  <c r="F339" i="28"/>
  <c r="H339" i="28" s="1"/>
  <c r="F340" i="28"/>
  <c r="F341" i="28"/>
  <c r="F342" i="28"/>
  <c r="F343" i="28"/>
  <c r="F344" i="28"/>
  <c r="F345" i="28"/>
  <c r="F346" i="28"/>
  <c r="F347" i="28"/>
  <c r="H347" i="28" s="1"/>
  <c r="F348" i="28"/>
  <c r="F349" i="28"/>
  <c r="F350" i="28"/>
  <c r="F351" i="28"/>
  <c r="F352" i="28"/>
  <c r="F353" i="28"/>
  <c r="F354" i="28"/>
  <c r="F355" i="28"/>
  <c r="H355" i="28" s="1"/>
  <c r="F356" i="28"/>
  <c r="F357" i="28"/>
  <c r="F358" i="28"/>
  <c r="F359" i="28"/>
  <c r="F360" i="28"/>
  <c r="F361" i="28"/>
  <c r="F362" i="28"/>
  <c r="F363" i="28"/>
  <c r="H363" i="28" s="1"/>
  <c r="F364" i="28"/>
  <c r="F365" i="28"/>
  <c r="F366" i="28"/>
  <c r="F367" i="28"/>
  <c r="F368" i="28"/>
  <c r="F369" i="28"/>
  <c r="F370" i="28"/>
  <c r="F371" i="28"/>
  <c r="F372" i="28"/>
  <c r="F373" i="28"/>
  <c r="F374" i="28"/>
  <c r="F375" i="28"/>
  <c r="F376" i="28"/>
  <c r="F377" i="28"/>
  <c r="F378" i="28"/>
  <c r="F379" i="28"/>
  <c r="H379" i="28" s="1"/>
  <c r="F380" i="28"/>
  <c r="F381" i="28"/>
  <c r="F382" i="28"/>
  <c r="F383" i="28"/>
  <c r="F384" i="28"/>
  <c r="F385" i="28"/>
  <c r="F386" i="28"/>
  <c r="F387" i="28"/>
  <c r="H387" i="28" s="1"/>
  <c r="F388" i="28"/>
  <c r="F389" i="28"/>
  <c r="F390" i="28"/>
  <c r="F391" i="28"/>
  <c r="F392" i="28"/>
  <c r="F393" i="28"/>
  <c r="F394" i="28"/>
  <c r="F395" i="28"/>
  <c r="H395" i="28" s="1"/>
  <c r="F396" i="28"/>
  <c r="F397" i="28"/>
  <c r="F398" i="28"/>
  <c r="F399" i="28"/>
  <c r="F400" i="28"/>
  <c r="F401" i="28"/>
  <c r="F402" i="28"/>
  <c r="F403" i="28"/>
  <c r="H403" i="28" s="1"/>
  <c r="F404" i="28"/>
  <c r="F405" i="28"/>
  <c r="F406" i="28"/>
  <c r="F407" i="28"/>
  <c r="F408" i="28"/>
  <c r="F409" i="28"/>
  <c r="F410" i="28"/>
  <c r="F411" i="28"/>
  <c r="H411" i="28" s="1"/>
  <c r="F412" i="28"/>
  <c r="F413" i="28"/>
  <c r="F414" i="28"/>
  <c r="F415" i="28"/>
  <c r="F416" i="28"/>
  <c r="F417" i="28"/>
  <c r="F418" i="28"/>
  <c r="F419" i="28"/>
  <c r="H419" i="28" s="1"/>
  <c r="F420" i="28"/>
  <c r="F421" i="28"/>
  <c r="F422" i="28"/>
  <c r="F423" i="28"/>
  <c r="F424" i="28"/>
  <c r="F425" i="28"/>
  <c r="F426" i="28"/>
  <c r="F427" i="28"/>
  <c r="H427" i="28" s="1"/>
  <c r="F428" i="28"/>
  <c r="F429" i="28"/>
  <c r="F430" i="28"/>
  <c r="F431" i="28"/>
  <c r="F432" i="28"/>
  <c r="F433" i="28"/>
  <c r="F434" i="28"/>
  <c r="F435" i="28"/>
  <c r="F436" i="28"/>
  <c r="F437" i="28"/>
  <c r="F438" i="28"/>
  <c r="F439" i="28"/>
  <c r="F440" i="28"/>
  <c r="F441" i="28"/>
  <c r="F442" i="28"/>
  <c r="F443" i="28"/>
  <c r="H443" i="28" s="1"/>
  <c r="F444" i="28"/>
  <c r="F445" i="28"/>
  <c r="F446" i="28"/>
  <c r="F447" i="28"/>
  <c r="F448" i="28"/>
  <c r="F449" i="28"/>
  <c r="F450" i="28"/>
  <c r="F451" i="28"/>
  <c r="H451" i="28" s="1"/>
  <c r="F452" i="28"/>
  <c r="F453" i="28"/>
  <c r="F454" i="28"/>
  <c r="F455" i="28"/>
  <c r="F456" i="28"/>
  <c r="F457" i="28"/>
  <c r="F458" i="28"/>
  <c r="F459" i="28"/>
  <c r="H459" i="28" s="1"/>
  <c r="F460" i="28"/>
  <c r="F461" i="28"/>
  <c r="F462" i="28"/>
  <c r="F463" i="28"/>
  <c r="F464" i="28"/>
  <c r="F465" i="28"/>
  <c r="F466" i="28"/>
  <c r="F467" i="28"/>
  <c r="H467" i="28" s="1"/>
  <c r="F468" i="28"/>
  <c r="F469" i="28"/>
  <c r="F470" i="28"/>
  <c r="F471" i="28"/>
  <c r="F472" i="28"/>
  <c r="F473" i="28"/>
  <c r="F474" i="28"/>
  <c r="F475" i="28"/>
  <c r="H475" i="28" s="1"/>
  <c r="F476" i="28"/>
  <c r="F477" i="28"/>
  <c r="F478" i="28"/>
  <c r="F479" i="28"/>
  <c r="F480" i="28"/>
  <c r="F481" i="28"/>
  <c r="F482" i="28"/>
  <c r="F483" i="28"/>
  <c r="H483" i="28" s="1"/>
  <c r="F484" i="28"/>
  <c r="F485" i="28"/>
  <c r="F486" i="28"/>
  <c r="F487" i="28"/>
  <c r="F488" i="28"/>
  <c r="F489" i="28"/>
  <c r="F490" i="28"/>
  <c r="F491" i="28"/>
  <c r="H491" i="28" s="1"/>
  <c r="F492" i="28"/>
  <c r="F493" i="28"/>
  <c r="F494" i="28"/>
  <c r="F495" i="28"/>
  <c r="F496" i="28"/>
  <c r="F497" i="28"/>
  <c r="F498" i="28"/>
  <c r="F499" i="28"/>
  <c r="F500" i="28"/>
  <c r="F501" i="28"/>
  <c r="F502" i="28"/>
  <c r="F503" i="28"/>
  <c r="F504" i="28"/>
  <c r="F505" i="28"/>
  <c r="F506" i="28"/>
  <c r="F507" i="28"/>
  <c r="H507" i="28" s="1"/>
  <c r="F508" i="28"/>
  <c r="F509" i="28"/>
  <c r="F510" i="28"/>
  <c r="F511" i="28"/>
  <c r="F512" i="28"/>
  <c r="F513" i="28"/>
  <c r="F514" i="28"/>
  <c r="F515" i="28"/>
  <c r="H515" i="28" s="1"/>
  <c r="F516" i="28"/>
  <c r="F517" i="28"/>
  <c r="F518" i="28"/>
  <c r="F519" i="28"/>
  <c r="F520" i="28"/>
  <c r="F521" i="28"/>
  <c r="F522" i="28"/>
  <c r="F523" i="28"/>
  <c r="H523" i="28" s="1"/>
  <c r="F524" i="28"/>
  <c r="F525" i="28"/>
  <c r="F526" i="28"/>
  <c r="F527" i="28"/>
  <c r="F528" i="28"/>
  <c r="F529" i="28"/>
  <c r="F530" i="28"/>
  <c r="F531" i="28"/>
  <c r="H531" i="28" s="1"/>
  <c r="F532" i="28"/>
  <c r="F533" i="28"/>
  <c r="F534" i="28"/>
  <c r="F535" i="28"/>
  <c r="F536" i="28"/>
  <c r="F537" i="28"/>
  <c r="F538" i="28"/>
  <c r="F539" i="28"/>
  <c r="H539" i="28" s="1"/>
  <c r="F540" i="28"/>
  <c r="F541" i="28"/>
  <c r="F542" i="28"/>
  <c r="F543" i="28"/>
  <c r="F544" i="28"/>
  <c r="F545" i="28"/>
  <c r="F546" i="28"/>
  <c r="F547" i="28"/>
  <c r="H547" i="28" s="1"/>
  <c r="F548" i="28"/>
  <c r="F549" i="28"/>
  <c r="F550" i="28"/>
  <c r="F551" i="28"/>
  <c r="F552" i="28"/>
  <c r="F553" i="28"/>
  <c r="F554" i="28"/>
  <c r="F555" i="28"/>
  <c r="H555" i="28" s="1"/>
  <c r="F556" i="28"/>
  <c r="F557" i="28"/>
  <c r="F558" i="28"/>
  <c r="F559" i="28"/>
  <c r="F560" i="28"/>
  <c r="F561" i="28"/>
  <c r="F562" i="28"/>
  <c r="F563" i="28"/>
  <c r="F564" i="28"/>
  <c r="F565" i="28"/>
  <c r="F566" i="28"/>
  <c r="F567" i="28"/>
  <c r="F568" i="28"/>
  <c r="F569" i="28"/>
  <c r="F570" i="28"/>
  <c r="F571" i="28"/>
  <c r="H571" i="28" s="1"/>
  <c r="F572" i="28"/>
  <c r="F573" i="28"/>
  <c r="F574" i="28"/>
  <c r="F575" i="28"/>
  <c r="F576" i="28"/>
  <c r="F577" i="28"/>
  <c r="F578" i="28"/>
  <c r="F579" i="28"/>
  <c r="H579" i="28" s="1"/>
  <c r="F580" i="28"/>
  <c r="F581" i="28"/>
  <c r="F582" i="28"/>
  <c r="F583" i="28"/>
  <c r="F584" i="28"/>
  <c r="F585" i="28"/>
  <c r="F586" i="28"/>
  <c r="F587" i="28"/>
  <c r="H587" i="28" s="1"/>
  <c r="F588" i="28"/>
  <c r="F589" i="28"/>
  <c r="F590" i="28"/>
  <c r="F591" i="28"/>
  <c r="F592" i="28"/>
  <c r="F593" i="28"/>
  <c r="F594" i="28"/>
  <c r="F595" i="28"/>
  <c r="H595" i="28" s="1"/>
  <c r="F596" i="28"/>
  <c r="F597" i="28"/>
  <c r="F598" i="28"/>
  <c r="F599" i="28"/>
  <c r="F600" i="28"/>
  <c r="F601" i="28"/>
  <c r="F602" i="28"/>
  <c r="F603" i="28"/>
  <c r="H603" i="28" s="1"/>
  <c r="F604" i="28"/>
  <c r="F605" i="28"/>
  <c r="F606" i="28"/>
  <c r="F607" i="28"/>
  <c r="F608" i="28"/>
  <c r="F609" i="28"/>
  <c r="F610" i="28"/>
  <c r="F611" i="28"/>
  <c r="H611" i="28" s="1"/>
  <c r="F612" i="28"/>
  <c r="H612" i="28" s="1"/>
  <c r="F613" i="28"/>
  <c r="F614" i="28"/>
  <c r="F615" i="28"/>
  <c r="F616" i="28"/>
  <c r="F617" i="28"/>
  <c r="F618" i="28"/>
  <c r="F619" i="28"/>
  <c r="H619" i="28" s="1"/>
  <c r="F620" i="28"/>
  <c r="F621" i="28"/>
  <c r="F622" i="28"/>
  <c r="F623" i="28"/>
  <c r="F624" i="28"/>
  <c r="F625" i="28"/>
  <c r="F626" i="28"/>
  <c r="F627" i="28"/>
  <c r="F628" i="28"/>
  <c r="F629" i="28"/>
  <c r="F630" i="28"/>
  <c r="F631" i="28"/>
  <c r="F632" i="28"/>
  <c r="F633" i="28"/>
  <c r="F634" i="28"/>
  <c r="F635" i="28"/>
  <c r="H635" i="28" s="1"/>
  <c r="F636" i="28"/>
  <c r="F637" i="28"/>
  <c r="F638" i="28"/>
  <c r="F639" i="28"/>
  <c r="F640" i="28"/>
  <c r="F641" i="28"/>
  <c r="F642" i="28"/>
  <c r="F643" i="28"/>
  <c r="H643" i="28" s="1"/>
  <c r="F644" i="28"/>
  <c r="F645" i="28"/>
  <c r="F646" i="28"/>
  <c r="F647" i="28"/>
  <c r="F648" i="28"/>
  <c r="F649" i="28"/>
  <c r="F650" i="28"/>
  <c r="F651" i="28"/>
  <c r="H651" i="28" s="1"/>
  <c r="F652" i="28"/>
  <c r="F653" i="28"/>
  <c r="F654" i="28"/>
  <c r="F655" i="28"/>
  <c r="F656" i="28"/>
  <c r="F657" i="28"/>
  <c r="F658" i="28"/>
  <c r="F659" i="28"/>
  <c r="H659" i="28" s="1"/>
  <c r="F660" i="28"/>
  <c r="F661" i="28"/>
  <c r="F662" i="28"/>
  <c r="F663" i="28"/>
  <c r="F664" i="28"/>
  <c r="F665" i="28"/>
  <c r="F666" i="28"/>
  <c r="F667" i="28"/>
  <c r="H667" i="28" s="1"/>
  <c r="F668" i="28"/>
  <c r="H668" i="28" s="1"/>
  <c r="F669" i="28"/>
  <c r="F670" i="28"/>
  <c r="F671" i="28"/>
  <c r="F672" i="28"/>
  <c r="F673" i="28"/>
  <c r="F674" i="28"/>
  <c r="F675" i="28"/>
  <c r="H675" i="28" s="1"/>
  <c r="F676" i="28"/>
  <c r="H676" i="28" s="1"/>
  <c r="F677" i="28"/>
  <c r="F678" i="28"/>
  <c r="F679" i="28"/>
  <c r="F680" i="28"/>
  <c r="F681" i="28"/>
  <c r="F682" i="28"/>
  <c r="F683" i="28"/>
  <c r="H683" i="28" s="1"/>
  <c r="F684" i="28"/>
  <c r="F685" i="28"/>
  <c r="F686" i="28"/>
  <c r="F687" i="28"/>
  <c r="F688" i="28"/>
  <c r="F689" i="28"/>
  <c r="F690" i="28"/>
  <c r="F691" i="28"/>
  <c r="F692" i="28"/>
  <c r="H692" i="28" s="1"/>
  <c r="F693" i="28"/>
  <c r="F694" i="28"/>
  <c r="F695" i="28"/>
  <c r="F696" i="28"/>
  <c r="F697" i="28"/>
  <c r="H697" i="28" s="1"/>
  <c r="F698" i="28"/>
  <c r="F699" i="28"/>
  <c r="H699" i="28" s="1"/>
  <c r="F700" i="28"/>
  <c r="F701" i="28"/>
  <c r="F702" i="28"/>
  <c r="F703" i="28"/>
  <c r="F704" i="28"/>
  <c r="F705" i="28"/>
  <c r="F706" i="28"/>
  <c r="F707" i="28"/>
  <c r="H707" i="28" s="1"/>
  <c r="F708" i="28"/>
  <c r="F709" i="28"/>
  <c r="F710" i="28"/>
  <c r="F711" i="28"/>
  <c r="F712" i="28"/>
  <c r="F713" i="28"/>
  <c r="F714" i="28"/>
  <c r="F715" i="28"/>
  <c r="H715" i="28" s="1"/>
  <c r="F716" i="28"/>
  <c r="H716" i="28" s="1"/>
  <c r="F717" i="28"/>
  <c r="F718" i="28"/>
  <c r="F719" i="28"/>
  <c r="F720" i="28"/>
  <c r="F721" i="28"/>
  <c r="H721" i="28" s="1"/>
  <c r="F722" i="28"/>
  <c r="F723" i="28"/>
  <c r="H723" i="28" s="1"/>
  <c r="F4" i="28"/>
  <c r="H4" i="28" s="1"/>
  <c r="H12" i="28"/>
  <c r="H20" i="28"/>
  <c r="H28" i="28"/>
  <c r="H36" i="28"/>
  <c r="H44" i="28"/>
  <c r="H52" i="28"/>
  <c r="H60" i="28"/>
  <c r="H68" i="28"/>
  <c r="H76" i="28"/>
  <c r="H84" i="28"/>
  <c r="H92" i="28"/>
  <c r="H100" i="28"/>
  <c r="H108" i="28"/>
  <c r="H116" i="28"/>
  <c r="H124" i="28"/>
  <c r="H132" i="28"/>
  <c r="H140" i="28"/>
  <c r="H148" i="28"/>
  <c r="H156" i="28"/>
  <c r="H164" i="28"/>
  <c r="H172" i="28"/>
  <c r="H180" i="28"/>
  <c r="H188" i="28"/>
  <c r="H196" i="28"/>
  <c r="H204" i="28"/>
  <c r="H212" i="28"/>
  <c r="H220" i="28"/>
  <c r="H228" i="28"/>
  <c r="H236" i="28"/>
  <c r="H244" i="28"/>
  <c r="H252" i="28"/>
  <c r="H260" i="28"/>
  <c r="H268" i="28"/>
  <c r="H276" i="28"/>
  <c r="H284" i="28"/>
  <c r="H292" i="28"/>
  <c r="H300" i="28"/>
  <c r="H308" i="28"/>
  <c r="H316" i="28"/>
  <c r="H324" i="28"/>
  <c r="H332" i="28"/>
  <c r="H340" i="28"/>
  <c r="H348" i="28"/>
  <c r="H356" i="28"/>
  <c r="H364" i="28"/>
  <c r="H372" i="28"/>
  <c r="H380" i="28"/>
  <c r="H388" i="28"/>
  <c r="H396" i="28"/>
  <c r="H404" i="28"/>
  <c r="H412" i="28"/>
  <c r="H420" i="28"/>
  <c r="H428" i="28"/>
  <c r="H436" i="28"/>
  <c r="H444" i="28"/>
  <c r="H452" i="28"/>
  <c r="H460" i="28"/>
  <c r="H468" i="28"/>
  <c r="H476" i="28"/>
  <c r="H484" i="28"/>
  <c r="H492" i="28"/>
  <c r="H500" i="28"/>
  <c r="H508" i="28"/>
  <c r="H516" i="28"/>
  <c r="H524" i="28"/>
  <c r="H532" i="28"/>
  <c r="H540" i="28"/>
  <c r="H548" i="28"/>
  <c r="H556" i="28"/>
  <c r="H564" i="28"/>
  <c r="H572" i="28"/>
  <c r="H580" i="28"/>
  <c r="H588" i="28"/>
  <c r="H596" i="28"/>
  <c r="H604" i="28"/>
  <c r="H620" i="28"/>
  <c r="H628" i="28"/>
  <c r="H636" i="28"/>
  <c r="H644" i="28"/>
  <c r="H652" i="28"/>
  <c r="H660" i="28"/>
  <c r="H684" i="28"/>
  <c r="H700" i="28"/>
  <c r="H708" i="28"/>
  <c r="AH6" i="27"/>
  <c r="V6" i="27" s="1"/>
  <c r="AU18" i="27"/>
  <c r="AU9" i="27"/>
  <c r="F1" i="29"/>
  <c r="F1" i="30"/>
  <c r="E1" i="30"/>
  <c r="H5" i="28"/>
  <c r="H6" i="28"/>
  <c r="H7" i="28"/>
  <c r="H8" i="28"/>
  <c r="H9" i="28"/>
  <c r="H10" i="28"/>
  <c r="H13" i="28"/>
  <c r="H14" i="28"/>
  <c r="H15" i="28"/>
  <c r="H16" i="28"/>
  <c r="H17" i="28"/>
  <c r="H18" i="28"/>
  <c r="H21" i="28"/>
  <c r="H22" i="28"/>
  <c r="H23" i="28"/>
  <c r="H24" i="28"/>
  <c r="H25" i="28"/>
  <c r="H26" i="28"/>
  <c r="H29" i="28"/>
  <c r="H30" i="28"/>
  <c r="H31" i="28"/>
  <c r="H32" i="28"/>
  <c r="H33" i="28"/>
  <c r="H34" i="28"/>
  <c r="H37" i="28"/>
  <c r="H38" i="28"/>
  <c r="H39" i="28"/>
  <c r="H40" i="28"/>
  <c r="H41" i="28"/>
  <c r="H42" i="28"/>
  <c r="H45" i="28"/>
  <c r="H46" i="28"/>
  <c r="H47" i="28"/>
  <c r="H48" i="28"/>
  <c r="H49" i="28"/>
  <c r="H50" i="28"/>
  <c r="H51" i="28"/>
  <c r="H53" i="28"/>
  <c r="H54" i="28"/>
  <c r="H55" i="28"/>
  <c r="H56" i="28"/>
  <c r="H57" i="28"/>
  <c r="H58" i="28"/>
  <c r="H61" i="28"/>
  <c r="H62" i="28"/>
  <c r="H63" i="28"/>
  <c r="H64" i="28"/>
  <c r="H65" i="28"/>
  <c r="H66" i="28"/>
  <c r="H69" i="28"/>
  <c r="H70" i="28"/>
  <c r="H71" i="28"/>
  <c r="H72" i="28"/>
  <c r="H73" i="28"/>
  <c r="H74" i="28"/>
  <c r="H77" i="28"/>
  <c r="H78" i="28"/>
  <c r="H79" i="28"/>
  <c r="H80" i="28"/>
  <c r="H81" i="28"/>
  <c r="H82" i="28"/>
  <c r="H85" i="28"/>
  <c r="H86" i="28"/>
  <c r="H87" i="28"/>
  <c r="H88" i="28"/>
  <c r="H89" i="28"/>
  <c r="H90" i="28"/>
  <c r="H93" i="28"/>
  <c r="H94" i="28"/>
  <c r="H95" i="28"/>
  <c r="H96" i="28"/>
  <c r="H97" i="28"/>
  <c r="H98" i="28"/>
  <c r="H101" i="28"/>
  <c r="H102" i="28"/>
  <c r="H103" i="28"/>
  <c r="H104" i="28"/>
  <c r="H105" i="28"/>
  <c r="H106" i="28"/>
  <c r="H109" i="28"/>
  <c r="H110" i="28"/>
  <c r="H111" i="28"/>
  <c r="H112" i="28"/>
  <c r="H113" i="28"/>
  <c r="H114" i="28"/>
  <c r="H115" i="28"/>
  <c r="H117" i="28"/>
  <c r="H118" i="28"/>
  <c r="H119" i="28"/>
  <c r="H120" i="28"/>
  <c r="H121" i="28"/>
  <c r="H122" i="28"/>
  <c r="H125" i="28"/>
  <c r="H126" i="28"/>
  <c r="H127" i="28"/>
  <c r="H128" i="28"/>
  <c r="H129" i="28"/>
  <c r="H130" i="28"/>
  <c r="H133" i="28"/>
  <c r="H134" i="28"/>
  <c r="H135" i="28"/>
  <c r="H136" i="28"/>
  <c r="H137" i="28"/>
  <c r="H138" i="28"/>
  <c r="H141" i="28"/>
  <c r="H142" i="28"/>
  <c r="H143" i="28"/>
  <c r="H144" i="28"/>
  <c r="H145" i="28"/>
  <c r="H146" i="28"/>
  <c r="H149" i="28"/>
  <c r="H150" i="28"/>
  <c r="H151" i="28"/>
  <c r="H152" i="28"/>
  <c r="H153" i="28"/>
  <c r="H154" i="28"/>
  <c r="H157" i="28"/>
  <c r="H158" i="28"/>
  <c r="H159" i="28"/>
  <c r="H160" i="28"/>
  <c r="H161" i="28"/>
  <c r="H162" i="28"/>
  <c r="H165" i="28"/>
  <c r="H166" i="28"/>
  <c r="H167" i="28"/>
  <c r="H168" i="28"/>
  <c r="H169" i="28"/>
  <c r="H170" i="28"/>
  <c r="H173" i="28"/>
  <c r="H174" i="28"/>
  <c r="H175" i="28"/>
  <c r="H176" i="28"/>
  <c r="H177" i="28"/>
  <c r="H178" i="28"/>
  <c r="H179" i="28"/>
  <c r="H181" i="28"/>
  <c r="H182" i="28"/>
  <c r="H183" i="28"/>
  <c r="H184" i="28"/>
  <c r="H185" i="28"/>
  <c r="H186" i="28"/>
  <c r="H189" i="28"/>
  <c r="H190" i="28"/>
  <c r="H191" i="28"/>
  <c r="H192" i="28"/>
  <c r="H193" i="28"/>
  <c r="H194" i="28"/>
  <c r="H197" i="28"/>
  <c r="H198" i="28"/>
  <c r="H199" i="28"/>
  <c r="H200" i="28"/>
  <c r="H201" i="28"/>
  <c r="H202" i="28"/>
  <c r="H205" i="28"/>
  <c r="H206" i="28"/>
  <c r="H207" i="28"/>
  <c r="H208" i="28"/>
  <c r="H209" i="28"/>
  <c r="H210" i="28"/>
  <c r="H213" i="28"/>
  <c r="H214" i="28"/>
  <c r="H215" i="28"/>
  <c r="H216" i="28"/>
  <c r="H217" i="28"/>
  <c r="H218" i="28"/>
  <c r="H221" i="28"/>
  <c r="H222" i="28"/>
  <c r="H223" i="28"/>
  <c r="H224" i="28"/>
  <c r="H225" i="28"/>
  <c r="H226" i="28"/>
  <c r="H229" i="28"/>
  <c r="H230" i="28"/>
  <c r="H231" i="28"/>
  <c r="H232" i="28"/>
  <c r="H233" i="28"/>
  <c r="H234" i="28"/>
  <c r="H237" i="28"/>
  <c r="H238" i="28"/>
  <c r="H239" i="28"/>
  <c r="H240" i="28"/>
  <c r="H241" i="28"/>
  <c r="H242" i="28"/>
  <c r="H243" i="28"/>
  <c r="H245" i="28"/>
  <c r="H246" i="28"/>
  <c r="H247" i="28"/>
  <c r="H248" i="28"/>
  <c r="H249" i="28"/>
  <c r="H250" i="28"/>
  <c r="H253" i="28"/>
  <c r="H254" i="28"/>
  <c r="H255" i="28"/>
  <c r="H256" i="28"/>
  <c r="H257" i="28"/>
  <c r="H258" i="28"/>
  <c r="H261" i="28"/>
  <c r="H262" i="28"/>
  <c r="H263" i="28"/>
  <c r="H264" i="28"/>
  <c r="H265" i="28"/>
  <c r="H266" i="28"/>
  <c r="H269" i="28"/>
  <c r="H270" i="28"/>
  <c r="H271" i="28"/>
  <c r="H272" i="28"/>
  <c r="H273" i="28"/>
  <c r="H274" i="28"/>
  <c r="H277" i="28"/>
  <c r="H278" i="28"/>
  <c r="H279" i="28"/>
  <c r="H280" i="28"/>
  <c r="H281" i="28"/>
  <c r="H282" i="28"/>
  <c r="H285" i="28"/>
  <c r="H286" i="28"/>
  <c r="H287" i="28"/>
  <c r="H288" i="28"/>
  <c r="H289" i="28"/>
  <c r="H290" i="28"/>
  <c r="H293" i="28"/>
  <c r="H294" i="28"/>
  <c r="H295" i="28"/>
  <c r="H296" i="28"/>
  <c r="H297" i="28"/>
  <c r="H298" i="28"/>
  <c r="H301" i="28"/>
  <c r="H302" i="28"/>
  <c r="H303" i="28"/>
  <c r="H304" i="28"/>
  <c r="H305" i="28"/>
  <c r="H306" i="28"/>
  <c r="H307" i="28"/>
  <c r="H309" i="28"/>
  <c r="H310" i="28"/>
  <c r="H311" i="28"/>
  <c r="H312" i="28"/>
  <c r="H313" i="28"/>
  <c r="H314" i="28"/>
  <c r="H317" i="28"/>
  <c r="H318" i="28"/>
  <c r="H319" i="28"/>
  <c r="H320" i="28"/>
  <c r="H321" i="28"/>
  <c r="H322" i="28"/>
  <c r="H325" i="28"/>
  <c r="H326" i="28"/>
  <c r="H327" i="28"/>
  <c r="H328" i="28"/>
  <c r="H329" i="28"/>
  <c r="H330" i="28"/>
  <c r="H333" i="28"/>
  <c r="H334" i="28"/>
  <c r="H335" i="28"/>
  <c r="H336" i="28"/>
  <c r="H337" i="28"/>
  <c r="H338" i="28"/>
  <c r="H341" i="28"/>
  <c r="H342" i="28"/>
  <c r="H343" i="28"/>
  <c r="H344" i="28"/>
  <c r="H345" i="28"/>
  <c r="H346" i="28"/>
  <c r="H349" i="28"/>
  <c r="H350" i="28"/>
  <c r="H351" i="28"/>
  <c r="H352" i="28"/>
  <c r="H353" i="28"/>
  <c r="H354" i="28"/>
  <c r="H357" i="28"/>
  <c r="H358" i="28"/>
  <c r="H359" i="28"/>
  <c r="H360" i="28"/>
  <c r="H361" i="28"/>
  <c r="H362" i="28"/>
  <c r="H365" i="28"/>
  <c r="H366" i="28"/>
  <c r="H367" i="28"/>
  <c r="H368" i="28"/>
  <c r="H369" i="28"/>
  <c r="H370" i="28"/>
  <c r="H371" i="28"/>
  <c r="H373" i="28"/>
  <c r="H374" i="28"/>
  <c r="H375" i="28"/>
  <c r="H376" i="28"/>
  <c r="H377" i="28"/>
  <c r="H378" i="28"/>
  <c r="H381" i="28"/>
  <c r="H382" i="28"/>
  <c r="H383" i="28"/>
  <c r="H384" i="28"/>
  <c r="H385" i="28"/>
  <c r="H386" i="28"/>
  <c r="H389" i="28"/>
  <c r="H390" i="28"/>
  <c r="H391" i="28"/>
  <c r="H392" i="28"/>
  <c r="H393" i="28"/>
  <c r="H394" i="28"/>
  <c r="H397" i="28"/>
  <c r="H398" i="28"/>
  <c r="H399" i="28"/>
  <c r="H400" i="28"/>
  <c r="H401" i="28"/>
  <c r="H402" i="28"/>
  <c r="H405" i="28"/>
  <c r="H406" i="28"/>
  <c r="H407" i="28"/>
  <c r="H408" i="28"/>
  <c r="H409" i="28"/>
  <c r="H410" i="28"/>
  <c r="H413" i="28"/>
  <c r="H414" i="28"/>
  <c r="H415" i="28"/>
  <c r="H416" i="28"/>
  <c r="H417" i="28"/>
  <c r="H418" i="28"/>
  <c r="H421" i="28"/>
  <c r="H422" i="28"/>
  <c r="H423" i="28"/>
  <c r="H424" i="28"/>
  <c r="H425" i="28"/>
  <c r="H426" i="28"/>
  <c r="H429" i="28"/>
  <c r="H430" i="28"/>
  <c r="H431" i="28"/>
  <c r="H432" i="28"/>
  <c r="H433" i="28"/>
  <c r="H434" i="28"/>
  <c r="H435" i="28"/>
  <c r="H437" i="28"/>
  <c r="H438" i="28"/>
  <c r="H439" i="28"/>
  <c r="H440" i="28"/>
  <c r="H441" i="28"/>
  <c r="H442" i="28"/>
  <c r="H445" i="28"/>
  <c r="H446" i="28"/>
  <c r="H447" i="28"/>
  <c r="H448" i="28"/>
  <c r="H449" i="28"/>
  <c r="H450" i="28"/>
  <c r="H453" i="28"/>
  <c r="H454" i="28"/>
  <c r="H455" i="28"/>
  <c r="H456" i="28"/>
  <c r="H457" i="28"/>
  <c r="H458" i="28"/>
  <c r="H461" i="28"/>
  <c r="H462" i="28"/>
  <c r="H463" i="28"/>
  <c r="H464" i="28"/>
  <c r="H465" i="28"/>
  <c r="H466" i="28"/>
  <c r="H469" i="28"/>
  <c r="H470" i="28"/>
  <c r="H471" i="28"/>
  <c r="H472" i="28"/>
  <c r="H473" i="28"/>
  <c r="H474" i="28"/>
  <c r="H477" i="28"/>
  <c r="H478" i="28"/>
  <c r="H479" i="28"/>
  <c r="H480" i="28"/>
  <c r="H481" i="28"/>
  <c r="H482" i="28"/>
  <c r="H485" i="28"/>
  <c r="H486" i="28"/>
  <c r="H487" i="28"/>
  <c r="H488" i="28"/>
  <c r="H489" i="28"/>
  <c r="H490" i="28"/>
  <c r="H493" i="28"/>
  <c r="H494" i="28"/>
  <c r="H495" i="28"/>
  <c r="H496" i="28"/>
  <c r="H497" i="28"/>
  <c r="H498" i="28"/>
  <c r="H499" i="28"/>
  <c r="H501" i="28"/>
  <c r="H502" i="28"/>
  <c r="H503" i="28"/>
  <c r="H504" i="28"/>
  <c r="H505" i="28"/>
  <c r="H506" i="28"/>
  <c r="H509" i="28"/>
  <c r="H510" i="28"/>
  <c r="H511" i="28"/>
  <c r="H512" i="28"/>
  <c r="H513" i="28"/>
  <c r="H514" i="28"/>
  <c r="H517" i="28"/>
  <c r="H518" i="28"/>
  <c r="H519" i="28"/>
  <c r="H520" i="28"/>
  <c r="H521" i="28"/>
  <c r="H522" i="28"/>
  <c r="H525" i="28"/>
  <c r="H526" i="28"/>
  <c r="H527" i="28"/>
  <c r="H528" i="28"/>
  <c r="H529" i="28"/>
  <c r="H530" i="28"/>
  <c r="H533" i="28"/>
  <c r="H534" i="28"/>
  <c r="H535" i="28"/>
  <c r="H536" i="28"/>
  <c r="H537" i="28"/>
  <c r="H538" i="28"/>
  <c r="H541" i="28"/>
  <c r="H542" i="28"/>
  <c r="H543" i="28"/>
  <c r="H544" i="28"/>
  <c r="H545" i="28"/>
  <c r="H546" i="28"/>
  <c r="H549" i="28"/>
  <c r="H550" i="28"/>
  <c r="H551" i="28"/>
  <c r="H552" i="28"/>
  <c r="H553" i="28"/>
  <c r="H554" i="28"/>
  <c r="H557" i="28"/>
  <c r="H558" i="28"/>
  <c r="H559" i="28"/>
  <c r="H560" i="28"/>
  <c r="H561" i="28"/>
  <c r="H562" i="28"/>
  <c r="H563" i="28"/>
  <c r="H565" i="28"/>
  <c r="H566" i="28"/>
  <c r="H567" i="28"/>
  <c r="H568" i="28"/>
  <c r="H569" i="28"/>
  <c r="H570" i="28"/>
  <c r="H573" i="28"/>
  <c r="H574" i="28"/>
  <c r="H575" i="28"/>
  <c r="H576" i="28"/>
  <c r="H577" i="28"/>
  <c r="H578" i="28"/>
  <c r="H581" i="28"/>
  <c r="H582" i="28"/>
  <c r="H583" i="28"/>
  <c r="H584" i="28"/>
  <c r="H585" i="28"/>
  <c r="H586" i="28"/>
  <c r="H589" i="28"/>
  <c r="H590" i="28"/>
  <c r="H591" i="28"/>
  <c r="H592" i="28"/>
  <c r="H593" i="28"/>
  <c r="H594" i="28"/>
  <c r="H597" i="28"/>
  <c r="H598" i="28"/>
  <c r="H599" i="28"/>
  <c r="H600" i="28"/>
  <c r="H601" i="28"/>
  <c r="H602" i="28"/>
  <c r="H605" i="28"/>
  <c r="H606" i="28"/>
  <c r="H607" i="28"/>
  <c r="H608" i="28"/>
  <c r="H609" i="28"/>
  <c r="H610" i="28"/>
  <c r="H613" i="28"/>
  <c r="H614" i="28"/>
  <c r="H615" i="28"/>
  <c r="H616" i="28"/>
  <c r="H617" i="28"/>
  <c r="H618" i="28"/>
  <c r="H621" i="28"/>
  <c r="H622" i="28"/>
  <c r="H623" i="28"/>
  <c r="H624" i="28"/>
  <c r="H625" i="28"/>
  <c r="H626" i="28"/>
  <c r="H627" i="28"/>
  <c r="H629" i="28"/>
  <c r="H630" i="28"/>
  <c r="H631" i="28"/>
  <c r="H632" i="28"/>
  <c r="H633" i="28"/>
  <c r="H634" i="28"/>
  <c r="H637" i="28"/>
  <c r="H638" i="28"/>
  <c r="H639" i="28"/>
  <c r="H640" i="28"/>
  <c r="H641" i="28"/>
  <c r="H642" i="28"/>
  <c r="H645" i="28"/>
  <c r="H646" i="28"/>
  <c r="H647" i="28"/>
  <c r="H648" i="28"/>
  <c r="H649" i="28"/>
  <c r="H650" i="28"/>
  <c r="H653" i="28"/>
  <c r="H654" i="28"/>
  <c r="H655" i="28"/>
  <c r="H656" i="28"/>
  <c r="H657" i="28"/>
  <c r="H658" i="28"/>
  <c r="H661" i="28"/>
  <c r="H662" i="28"/>
  <c r="H663" i="28"/>
  <c r="H664" i="28"/>
  <c r="H665" i="28"/>
  <c r="H666" i="28"/>
  <c r="H669" i="28"/>
  <c r="H670" i="28"/>
  <c r="H671" i="28"/>
  <c r="H672" i="28"/>
  <c r="H673" i="28"/>
  <c r="H674" i="28"/>
  <c r="H677" i="28"/>
  <c r="H678" i="28"/>
  <c r="H679" i="28"/>
  <c r="H680" i="28"/>
  <c r="H681" i="28"/>
  <c r="H682" i="28"/>
  <c r="H685" i="28"/>
  <c r="H686" i="28"/>
  <c r="H687" i="28"/>
  <c r="H688" i="28"/>
  <c r="H689" i="28"/>
  <c r="H690" i="28"/>
  <c r="H691" i="28"/>
  <c r="H693" i="28"/>
  <c r="H694" i="28"/>
  <c r="H695" i="28"/>
  <c r="H696" i="28"/>
  <c r="H698" i="28"/>
  <c r="H701" i="28"/>
  <c r="H702" i="28"/>
  <c r="H703" i="28"/>
  <c r="H704" i="28"/>
  <c r="H705" i="28"/>
  <c r="H706" i="28"/>
  <c r="H709" i="28"/>
  <c r="H710" i="28"/>
  <c r="H711" i="28"/>
  <c r="H712" i="28"/>
  <c r="H713" i="28"/>
  <c r="H714" i="28"/>
  <c r="H717" i="28"/>
  <c r="H718" i="28"/>
  <c r="H719" i="28"/>
  <c r="H720" i="28"/>
  <c r="H722" i="28"/>
  <c r="AK372" i="27"/>
  <c r="AK373" i="27"/>
  <c r="AK374" i="27"/>
  <c r="AK375" i="27"/>
  <c r="AK376" i="27"/>
  <c r="AK377" i="27"/>
  <c r="AK378" i="27"/>
  <c r="AK379" i="27"/>
  <c r="AK380" i="27"/>
  <c r="AK381" i="27"/>
  <c r="AK382" i="27"/>
  <c r="AK383" i="27"/>
  <c r="AK384" i="27"/>
  <c r="AK385" i="27"/>
  <c r="AK386" i="27"/>
  <c r="AK387" i="27"/>
  <c r="AK388" i="27"/>
  <c r="AK389" i="27"/>
  <c r="AK390" i="27"/>
  <c r="AK391" i="27"/>
  <c r="AK392" i="27"/>
  <c r="AK393" i="27"/>
  <c r="AK394" i="27"/>
  <c r="AK395" i="27"/>
  <c r="AK396" i="27"/>
  <c r="AK397" i="27"/>
  <c r="AK398" i="27"/>
  <c r="AK399" i="27"/>
  <c r="AK400" i="27"/>
  <c r="AK401" i="27"/>
  <c r="AK402" i="27"/>
  <c r="AK403" i="27"/>
  <c r="AK404" i="27"/>
  <c r="AK405" i="27"/>
  <c r="AK406" i="27"/>
  <c r="AK407" i="27"/>
  <c r="AK408" i="27"/>
  <c r="AK409" i="27"/>
  <c r="AK410" i="27"/>
  <c r="AK411" i="27"/>
  <c r="AK412" i="27"/>
  <c r="AK413" i="27"/>
  <c r="AK414" i="27"/>
  <c r="AK415" i="27"/>
  <c r="AK416" i="27"/>
  <c r="AK417" i="27"/>
  <c r="AK418" i="27"/>
  <c r="AK419" i="27"/>
  <c r="AK420" i="27"/>
  <c r="AK421" i="27"/>
  <c r="AK422" i="27"/>
  <c r="AK423" i="27"/>
  <c r="AK424" i="27"/>
  <c r="AK425" i="27"/>
  <c r="AK426" i="27"/>
  <c r="AK427" i="27"/>
  <c r="AK428" i="27"/>
  <c r="AK429" i="27"/>
  <c r="AK430" i="27"/>
  <c r="AK431" i="27"/>
  <c r="AK432" i="27"/>
  <c r="AK433" i="27"/>
  <c r="AK434" i="27"/>
  <c r="AK435" i="27"/>
  <c r="AK436" i="27"/>
  <c r="AK437" i="27"/>
  <c r="AK438" i="27"/>
  <c r="AK439" i="27"/>
  <c r="AK440" i="27"/>
  <c r="AK441" i="27"/>
  <c r="AK442" i="27"/>
  <c r="AK443" i="27"/>
  <c r="AK444" i="27"/>
  <c r="AK445" i="27"/>
  <c r="AK446" i="27"/>
  <c r="AK447" i="27"/>
  <c r="AK448" i="27"/>
  <c r="AK449" i="27"/>
  <c r="AK450" i="27"/>
  <c r="AK451" i="27"/>
  <c r="AK452" i="27"/>
  <c r="AK453" i="27"/>
  <c r="AK454" i="27"/>
  <c r="AK455" i="27"/>
  <c r="AK456" i="27"/>
  <c r="AK457" i="27"/>
  <c r="AK458" i="27"/>
  <c r="AK459" i="27"/>
  <c r="AK460" i="27"/>
  <c r="AK461" i="27"/>
  <c r="AK462" i="27"/>
  <c r="AK463" i="27"/>
  <c r="AK464" i="27"/>
  <c r="AK465" i="27"/>
  <c r="AK466" i="27"/>
  <c r="AK467" i="27"/>
  <c r="AK468" i="27"/>
  <c r="AK469" i="27"/>
  <c r="AK470" i="27"/>
  <c r="AK471" i="27"/>
  <c r="AK472" i="27"/>
  <c r="AK473" i="27"/>
  <c r="AK474" i="27"/>
  <c r="AK475" i="27"/>
  <c r="AK476" i="27"/>
  <c r="AK477" i="27"/>
  <c r="AK478" i="27"/>
  <c r="AK479" i="27"/>
  <c r="AK480" i="27"/>
  <c r="AK481" i="27"/>
  <c r="AK482" i="27"/>
  <c r="AK483" i="27"/>
  <c r="AK484" i="27"/>
  <c r="AK485" i="27"/>
  <c r="AK486" i="27"/>
  <c r="AK487" i="27"/>
  <c r="AK488" i="27"/>
  <c r="AK489" i="27"/>
  <c r="AK490" i="27"/>
  <c r="AK491" i="27"/>
  <c r="AK492" i="27"/>
  <c r="AK493" i="27"/>
  <c r="AK494" i="27"/>
  <c r="AK495" i="27"/>
  <c r="AK496" i="27"/>
  <c r="AK497" i="27"/>
  <c r="AK498" i="27"/>
  <c r="AK499" i="27"/>
  <c r="AK500" i="27"/>
  <c r="AK501" i="27"/>
  <c r="AK502" i="27"/>
  <c r="AK503" i="27"/>
  <c r="AK504" i="27"/>
  <c r="AK505" i="27"/>
  <c r="AK506" i="27"/>
  <c r="AK507" i="27"/>
  <c r="AK508" i="27"/>
  <c r="AK509" i="27"/>
  <c r="AK510" i="27"/>
  <c r="AK511" i="27"/>
  <c r="AK512" i="27"/>
  <c r="AK513" i="27"/>
  <c r="AK514" i="27"/>
  <c r="AK515" i="27"/>
  <c r="AK516" i="27"/>
  <c r="AK517" i="27"/>
  <c r="AK518" i="27"/>
  <c r="AK519" i="27"/>
  <c r="AK520" i="27"/>
  <c r="AK521" i="27"/>
  <c r="AK522" i="27"/>
  <c r="AK523" i="27"/>
  <c r="AK524" i="27"/>
  <c r="AK525" i="27"/>
  <c r="AK526" i="27"/>
  <c r="AK527" i="27"/>
  <c r="AK528" i="27"/>
  <c r="AK529" i="27"/>
  <c r="AK530" i="27"/>
  <c r="AK531" i="27"/>
  <c r="AK532" i="27"/>
  <c r="AK533" i="27"/>
  <c r="AK534" i="27"/>
  <c r="AK535" i="27"/>
  <c r="AK536" i="27"/>
  <c r="AK537" i="27"/>
  <c r="AK538" i="27"/>
  <c r="AK539" i="27"/>
  <c r="AK540" i="27"/>
  <c r="AK541" i="27"/>
  <c r="AK542" i="27"/>
  <c r="AK543" i="27"/>
  <c r="AK544" i="27"/>
  <c r="AK545" i="27"/>
  <c r="AK546" i="27"/>
  <c r="AK547" i="27"/>
  <c r="AK548" i="27"/>
  <c r="AK549" i="27"/>
  <c r="AK550" i="27"/>
  <c r="AK551" i="27"/>
  <c r="AK552" i="27"/>
  <c r="AK553" i="27"/>
  <c r="AK554" i="27"/>
  <c r="AK555" i="27"/>
  <c r="AK556" i="27"/>
  <c r="AK557" i="27"/>
  <c r="AK558" i="27"/>
  <c r="AK559" i="27"/>
  <c r="AK560" i="27"/>
  <c r="AK561" i="27"/>
  <c r="AK562" i="27"/>
  <c r="AK563" i="27"/>
  <c r="AK564" i="27"/>
  <c r="AK565" i="27"/>
  <c r="AK566" i="27"/>
  <c r="AK567" i="27"/>
  <c r="AK568" i="27"/>
  <c r="AK569" i="27"/>
  <c r="AK570" i="27"/>
  <c r="AK571" i="27"/>
  <c r="AK572" i="27"/>
  <c r="AK573" i="27"/>
  <c r="AK574" i="27"/>
  <c r="AK575" i="27"/>
  <c r="AK576" i="27"/>
  <c r="AK577" i="27"/>
  <c r="AK578" i="27"/>
  <c r="AK579" i="27"/>
  <c r="AK580" i="27"/>
  <c r="AK581" i="27"/>
  <c r="AK582" i="27"/>
  <c r="AK583" i="27"/>
  <c r="AK584" i="27"/>
  <c r="AK585" i="27"/>
  <c r="AK586" i="27"/>
  <c r="AK587" i="27"/>
  <c r="AK588" i="27"/>
  <c r="AK589" i="27"/>
  <c r="AK590" i="27"/>
  <c r="AK591" i="27"/>
  <c r="AK592" i="27"/>
  <c r="AK593" i="27"/>
  <c r="AK594" i="27"/>
  <c r="AK595" i="27"/>
  <c r="AK596" i="27"/>
  <c r="AK597" i="27"/>
  <c r="AK598" i="27"/>
  <c r="AK599" i="27"/>
  <c r="AK600" i="27"/>
  <c r="AK601" i="27"/>
  <c r="AK602" i="27"/>
  <c r="AK603" i="27"/>
  <c r="AK604" i="27"/>
  <c r="AK605" i="27"/>
  <c r="AK606" i="27"/>
  <c r="AK607" i="27"/>
  <c r="AK608" i="27"/>
  <c r="AK609" i="27"/>
  <c r="AK610" i="27"/>
  <c r="AK611" i="27"/>
  <c r="AK612" i="27"/>
  <c r="AK613" i="27"/>
  <c r="AK614" i="27"/>
  <c r="AK615" i="27"/>
  <c r="AK616" i="27"/>
  <c r="AK617" i="27"/>
  <c r="AK618" i="27"/>
  <c r="AK619" i="27"/>
  <c r="AK620" i="27"/>
  <c r="AK621" i="27"/>
  <c r="AK622" i="27"/>
  <c r="AK623" i="27"/>
  <c r="AK624" i="27"/>
  <c r="AK625" i="27"/>
  <c r="AK626" i="27"/>
  <c r="AK627" i="27"/>
  <c r="AK628" i="27"/>
  <c r="AK629" i="27"/>
  <c r="AK630" i="27"/>
  <c r="AK631" i="27"/>
  <c r="AK632" i="27"/>
  <c r="AK633" i="27"/>
  <c r="AK634" i="27"/>
  <c r="AK635" i="27"/>
  <c r="AK636" i="27"/>
  <c r="AK637" i="27"/>
  <c r="AK638" i="27"/>
  <c r="AK639" i="27"/>
  <c r="AK640" i="27"/>
  <c r="AW640" i="27" s="1"/>
  <c r="AK641" i="27"/>
  <c r="AK642" i="27"/>
  <c r="AW642" i="27" s="1"/>
  <c r="AK643" i="27"/>
  <c r="AK644" i="27"/>
  <c r="AK645" i="27"/>
  <c r="AK646" i="27"/>
  <c r="AW646" i="27" s="1"/>
  <c r="AK647" i="27"/>
  <c r="AW647" i="27" s="1"/>
  <c r="AK648" i="27"/>
  <c r="AW648" i="27" s="1"/>
  <c r="AK649" i="27"/>
  <c r="AK650" i="27"/>
  <c r="AW650" i="27" s="1"/>
  <c r="AK651" i="27"/>
  <c r="AK652" i="27"/>
  <c r="AW652" i="27" s="1"/>
  <c r="AK653" i="27"/>
  <c r="AK654" i="27"/>
  <c r="AK655" i="27"/>
  <c r="AK656" i="27"/>
  <c r="AK657" i="27"/>
  <c r="AK658" i="27"/>
  <c r="AK659" i="27"/>
  <c r="AW659" i="27" s="1"/>
  <c r="AK660" i="27"/>
  <c r="AW660" i="27" s="1"/>
  <c r="AK661" i="27"/>
  <c r="AW661" i="27" s="1"/>
  <c r="AK662" i="27"/>
  <c r="AK663" i="27"/>
  <c r="AK664" i="27"/>
  <c r="AW664" i="27" s="1"/>
  <c r="AK665" i="27"/>
  <c r="AK666" i="27"/>
  <c r="AK667" i="27"/>
  <c r="AK668" i="27"/>
  <c r="AK669" i="27"/>
  <c r="AW669" i="27" s="1"/>
  <c r="AK670" i="27"/>
  <c r="AK671" i="27"/>
  <c r="AW671" i="27" s="1"/>
  <c r="AK672" i="27"/>
  <c r="AK673" i="27"/>
  <c r="AK674" i="27"/>
  <c r="AK675" i="27"/>
  <c r="AW675" i="27" s="1"/>
  <c r="AK676" i="27"/>
  <c r="AW676" i="27" s="1"/>
  <c r="AK677" i="27"/>
  <c r="AK678" i="27"/>
  <c r="AK679" i="27"/>
  <c r="AW679" i="27" s="1"/>
  <c r="AK680" i="27"/>
  <c r="AW680" i="27" s="1"/>
  <c r="AK681" i="27"/>
  <c r="AW681" i="27" s="1"/>
  <c r="AK682" i="27"/>
  <c r="AK683" i="27"/>
  <c r="AK684" i="27"/>
  <c r="AK685" i="27"/>
  <c r="AW685" i="27" s="1"/>
  <c r="AK686" i="27"/>
  <c r="AW686" i="27" s="1"/>
  <c r="AK687" i="27"/>
  <c r="AW687" i="27" s="1"/>
  <c r="AK688" i="27"/>
  <c r="AK689" i="27"/>
  <c r="AK690" i="27"/>
  <c r="AK691" i="27"/>
  <c r="AW691" i="27" s="1"/>
  <c r="AK692" i="27"/>
  <c r="AK693" i="27"/>
  <c r="AK694" i="27"/>
  <c r="AK695" i="27"/>
  <c r="AK696" i="27"/>
  <c r="AW696" i="27" s="1"/>
  <c r="AK697" i="27"/>
  <c r="AK698" i="27"/>
  <c r="AW698" i="27" s="1"/>
  <c r="AK699" i="27"/>
  <c r="AW699" i="27" s="1"/>
  <c r="AK700" i="27"/>
  <c r="AW700" i="27" s="1"/>
  <c r="AK701" i="27"/>
  <c r="AK702" i="27"/>
  <c r="AK703" i="27"/>
  <c r="AW703" i="27" s="1"/>
  <c r="AK704" i="27"/>
  <c r="AW704" i="27" s="1"/>
  <c r="AK705" i="27"/>
  <c r="AK706" i="27"/>
  <c r="AK707" i="27"/>
  <c r="AW707" i="27" s="1"/>
  <c r="AK708" i="27"/>
  <c r="AW708" i="27" s="1"/>
  <c r="AK709" i="27"/>
  <c r="AW709" i="27" s="1"/>
  <c r="AK710" i="27"/>
  <c r="AW710" i="27" s="1"/>
  <c r="AK711" i="27"/>
  <c r="AK712" i="27"/>
  <c r="AK713" i="27"/>
  <c r="AK714" i="27"/>
  <c r="AK715" i="27"/>
  <c r="AW715" i="27" s="1"/>
  <c r="AK716" i="27"/>
  <c r="AW716" i="27" s="1"/>
  <c r="AK717" i="27"/>
  <c r="AK718" i="27"/>
  <c r="AW718" i="27" s="1"/>
  <c r="AK719" i="27"/>
  <c r="AK720" i="27"/>
  <c r="AW720" i="27" s="1"/>
  <c r="AK721" i="27"/>
  <c r="AW721" i="27" s="1"/>
  <c r="AK722" i="27"/>
  <c r="AW722" i="27" s="1"/>
  <c r="AK723" i="27"/>
  <c r="AK724" i="27"/>
  <c r="AW724" i="27" s="1"/>
  <c r="AK725" i="27"/>
  <c r="AW725" i="27" s="1"/>
  <c r="AK726" i="27"/>
  <c r="AK727" i="27"/>
  <c r="AW727" i="27" s="1"/>
  <c r="AK728" i="27"/>
  <c r="AK369" i="27"/>
  <c r="AK370" i="27"/>
  <c r="AK371" i="27"/>
  <c r="O10" i="27"/>
  <c r="O19" i="27"/>
  <c r="AK19" i="27"/>
  <c r="AK20" i="27"/>
  <c r="AK21" i="27"/>
  <c r="AK22" i="27"/>
  <c r="AK23" i="27"/>
  <c r="AK24" i="27"/>
  <c r="AK25" i="27"/>
  <c r="AK26" i="27"/>
  <c r="AK27" i="27"/>
  <c r="AK28" i="27"/>
  <c r="AK29" i="27"/>
  <c r="AK30" i="27"/>
  <c r="L31" i="27"/>
  <c r="L32" i="27" s="1"/>
  <c r="L33" i="27" s="1"/>
  <c r="L34" i="27" s="1"/>
  <c r="L35" i="27" s="1"/>
  <c r="L36" i="27" s="1"/>
  <c r="L37" i="27" s="1"/>
  <c r="L38" i="27" s="1"/>
  <c r="L39" i="27" s="1"/>
  <c r="L40" i="27" s="1"/>
  <c r="L41" i="27" s="1"/>
  <c r="L42" i="27" s="1"/>
  <c r="L43" i="27" s="1"/>
  <c r="L44" i="27" s="1"/>
  <c r="L45" i="27" s="1"/>
  <c r="L46" i="27" s="1"/>
  <c r="L47" i="27" s="1"/>
  <c r="L48" i="27" s="1"/>
  <c r="L49" i="27" s="1"/>
  <c r="L50" i="27" s="1"/>
  <c r="L51" i="27" s="1"/>
  <c r="L52" i="27" s="1"/>
  <c r="L53" i="27" s="1"/>
  <c r="L54" i="27" s="1"/>
  <c r="L55" i="27" s="1"/>
  <c r="L56" i="27" s="1"/>
  <c r="L57" i="27" s="1"/>
  <c r="L58" i="27" s="1"/>
  <c r="L59" i="27" s="1"/>
  <c r="L60" i="27" s="1"/>
  <c r="L61" i="27" s="1"/>
  <c r="L62" i="27" s="1"/>
  <c r="L63" i="27" s="1"/>
  <c r="L64" i="27" s="1"/>
  <c r="L65" i="27" s="1"/>
  <c r="L66" i="27" s="1"/>
  <c r="L67" i="27" s="1"/>
  <c r="L68" i="27" s="1"/>
  <c r="L69" i="27" s="1"/>
  <c r="L70" i="27" s="1"/>
  <c r="L71" i="27" s="1"/>
  <c r="L72" i="27" s="1"/>
  <c r="L73" i="27" s="1"/>
  <c r="L74" i="27" s="1"/>
  <c r="L75" i="27" s="1"/>
  <c r="L76" i="27" s="1"/>
  <c r="L77" i="27" s="1"/>
  <c r="L78" i="27" s="1"/>
  <c r="L79" i="27" s="1"/>
  <c r="L80" i="27" s="1"/>
  <c r="L81" i="27" s="1"/>
  <c r="L82" i="27" s="1"/>
  <c r="L83" i="27" s="1"/>
  <c r="L84" i="27" s="1"/>
  <c r="L85" i="27" s="1"/>
  <c r="L86" i="27" s="1"/>
  <c r="L87" i="27" s="1"/>
  <c r="L88" i="27" s="1"/>
  <c r="L89" i="27" s="1"/>
  <c r="L90" i="27" s="1"/>
  <c r="L91" i="27" s="1"/>
  <c r="L92" i="27" s="1"/>
  <c r="L93" i="27" s="1"/>
  <c r="L94" i="27" s="1"/>
  <c r="L95" i="27" s="1"/>
  <c r="L96" i="27" s="1"/>
  <c r="L97" i="27" s="1"/>
  <c r="L98" i="27" s="1"/>
  <c r="L99" i="27" s="1"/>
  <c r="L100" i="27" s="1"/>
  <c r="L101" i="27" s="1"/>
  <c r="L102" i="27" s="1"/>
  <c r="L103" i="27" s="1"/>
  <c r="L104" i="27" s="1"/>
  <c r="L105" i="27" s="1"/>
  <c r="L106" i="27" s="1"/>
  <c r="L107" i="27" s="1"/>
  <c r="L108" i="27" s="1"/>
  <c r="L109" i="27" s="1"/>
  <c r="L110" i="27" s="1"/>
  <c r="L111" i="27" s="1"/>
  <c r="L112" i="27" s="1"/>
  <c r="L113" i="27" s="1"/>
  <c r="L114" i="27" s="1"/>
  <c r="L115" i="27" s="1"/>
  <c r="L116" i="27" s="1"/>
  <c r="L117" i="27" s="1"/>
  <c r="L118" i="27" s="1"/>
  <c r="L119" i="27" s="1"/>
  <c r="L120" i="27" s="1"/>
  <c r="L121" i="27" s="1"/>
  <c r="L122" i="27" s="1"/>
  <c r="L123" i="27" s="1"/>
  <c r="L124" i="27" s="1"/>
  <c r="L125" i="27" s="1"/>
  <c r="L126" i="27" s="1"/>
  <c r="L127" i="27" s="1"/>
  <c r="L128" i="27" s="1"/>
  <c r="L129" i="27" s="1"/>
  <c r="L130" i="27" s="1"/>
  <c r="L131" i="27" s="1"/>
  <c r="L132" i="27" s="1"/>
  <c r="L133" i="27" s="1"/>
  <c r="L134" i="27" s="1"/>
  <c r="L135" i="27" s="1"/>
  <c r="L136" i="27" s="1"/>
  <c r="L137" i="27" s="1"/>
  <c r="L138" i="27" s="1"/>
  <c r="L139" i="27" s="1"/>
  <c r="L140" i="27" s="1"/>
  <c r="L141" i="27" s="1"/>
  <c r="L142" i="27" s="1"/>
  <c r="L143" i="27" s="1"/>
  <c r="L144" i="27" s="1"/>
  <c r="L145" i="27" s="1"/>
  <c r="L146" i="27" s="1"/>
  <c r="L147" i="27" s="1"/>
  <c r="L148" i="27" s="1"/>
  <c r="L149" i="27" s="1"/>
  <c r="L150" i="27" s="1"/>
  <c r="L151" i="27" s="1"/>
  <c r="L152" i="27" s="1"/>
  <c r="L153" i="27" s="1"/>
  <c r="L154" i="27" s="1"/>
  <c r="L155" i="27" s="1"/>
  <c r="L156" i="27" s="1"/>
  <c r="L157" i="27" s="1"/>
  <c r="L158" i="27" s="1"/>
  <c r="L159" i="27" s="1"/>
  <c r="L160" i="27" s="1"/>
  <c r="L161" i="27" s="1"/>
  <c r="L162" i="27" s="1"/>
  <c r="L163" i="27" s="1"/>
  <c r="L164" i="27" s="1"/>
  <c r="L165" i="27" s="1"/>
  <c r="L166" i="27" s="1"/>
  <c r="L167" i="27" s="1"/>
  <c r="L168" i="27" s="1"/>
  <c r="L169" i="27" s="1"/>
  <c r="L170" i="27" s="1"/>
  <c r="L171" i="27" s="1"/>
  <c r="L172" i="27" s="1"/>
  <c r="L173" i="27" s="1"/>
  <c r="L174" i="27" s="1"/>
  <c r="L175" i="27" s="1"/>
  <c r="L176" i="27" s="1"/>
  <c r="L177" i="27" s="1"/>
  <c r="L178" i="27" s="1"/>
  <c r="L179" i="27" s="1"/>
  <c r="L180" i="27" s="1"/>
  <c r="L181" i="27" s="1"/>
  <c r="L182" i="27" s="1"/>
  <c r="L183" i="27" s="1"/>
  <c r="L184" i="27" s="1"/>
  <c r="L185" i="27" s="1"/>
  <c r="L186" i="27" s="1"/>
  <c r="L187" i="27" s="1"/>
  <c r="L188" i="27" s="1"/>
  <c r="L189" i="27" s="1"/>
  <c r="L190" i="27" s="1"/>
  <c r="L191" i="27" s="1"/>
  <c r="L192" i="27" s="1"/>
  <c r="L193" i="27" s="1"/>
  <c r="L194" i="27" s="1"/>
  <c r="L195" i="27" s="1"/>
  <c r="L196" i="27" s="1"/>
  <c r="L197" i="27" s="1"/>
  <c r="L198" i="27" s="1"/>
  <c r="L199" i="27" s="1"/>
  <c r="L200" i="27" s="1"/>
  <c r="L201" i="27" s="1"/>
  <c r="L202" i="27" s="1"/>
  <c r="L203" i="27" s="1"/>
  <c r="L204" i="27" s="1"/>
  <c r="L205" i="27" s="1"/>
  <c r="L206" i="27" s="1"/>
  <c r="L207" i="27" s="1"/>
  <c r="L208" i="27" s="1"/>
  <c r="L209" i="27" s="1"/>
  <c r="L210" i="27" s="1"/>
  <c r="L211" i="27" s="1"/>
  <c r="L212" i="27" s="1"/>
  <c r="L213" i="27" s="1"/>
  <c r="L214" i="27" s="1"/>
  <c r="L215" i="27" s="1"/>
  <c r="L216" i="27" s="1"/>
  <c r="L217" i="27" s="1"/>
  <c r="L218" i="27" s="1"/>
  <c r="L219" i="27" s="1"/>
  <c r="L220" i="27" s="1"/>
  <c r="L221" i="27" s="1"/>
  <c r="L222" i="27" s="1"/>
  <c r="L223" i="27" s="1"/>
  <c r="L224" i="27" s="1"/>
  <c r="L225" i="27" s="1"/>
  <c r="L226" i="27" s="1"/>
  <c r="L227" i="27" s="1"/>
  <c r="L228" i="27" s="1"/>
  <c r="L229" i="27" s="1"/>
  <c r="L230" i="27" s="1"/>
  <c r="L231" i="27" s="1"/>
  <c r="L232" i="27" s="1"/>
  <c r="L233" i="27" s="1"/>
  <c r="L234" i="27" s="1"/>
  <c r="L235" i="27" s="1"/>
  <c r="L236" i="27" s="1"/>
  <c r="L237" i="27" s="1"/>
  <c r="L238" i="27" s="1"/>
  <c r="L239" i="27" s="1"/>
  <c r="L240" i="27" s="1"/>
  <c r="L241" i="27" s="1"/>
  <c r="L242" i="27" s="1"/>
  <c r="L243" i="27" s="1"/>
  <c r="L244" i="27" s="1"/>
  <c r="L245" i="27" s="1"/>
  <c r="L246" i="27" s="1"/>
  <c r="L247" i="27" s="1"/>
  <c r="L248" i="27" s="1"/>
  <c r="L249" i="27" s="1"/>
  <c r="L250" i="27" s="1"/>
  <c r="L251" i="27" s="1"/>
  <c r="L252" i="27" s="1"/>
  <c r="L253" i="27" s="1"/>
  <c r="L254" i="27" s="1"/>
  <c r="L255" i="27" s="1"/>
  <c r="L256" i="27" s="1"/>
  <c r="L257" i="27" s="1"/>
  <c r="L258" i="27" s="1"/>
  <c r="L259" i="27" s="1"/>
  <c r="L260" i="27" s="1"/>
  <c r="L261" i="27" s="1"/>
  <c r="L262" i="27" s="1"/>
  <c r="L263" i="27" s="1"/>
  <c r="L264" i="27" s="1"/>
  <c r="L265" i="27" s="1"/>
  <c r="L266" i="27" s="1"/>
  <c r="L267" i="27" s="1"/>
  <c r="L268" i="27" s="1"/>
  <c r="L269" i="27" s="1"/>
  <c r="L270" i="27" s="1"/>
  <c r="L271" i="27" s="1"/>
  <c r="L272" i="27" s="1"/>
  <c r="L273" i="27" s="1"/>
  <c r="L274" i="27" s="1"/>
  <c r="L275" i="27" s="1"/>
  <c r="L276" i="27" s="1"/>
  <c r="L277" i="27" s="1"/>
  <c r="L278" i="27" s="1"/>
  <c r="L279" i="27" s="1"/>
  <c r="L280" i="27" s="1"/>
  <c r="L281" i="27" s="1"/>
  <c r="L282" i="27" s="1"/>
  <c r="L283" i="27" s="1"/>
  <c r="L284" i="27" s="1"/>
  <c r="L285" i="27" s="1"/>
  <c r="L286" i="27" s="1"/>
  <c r="L287" i="27" s="1"/>
  <c r="L288" i="27" s="1"/>
  <c r="L289" i="27" s="1"/>
  <c r="L290" i="27" s="1"/>
  <c r="L291" i="27" s="1"/>
  <c r="L292" i="27" s="1"/>
  <c r="L293" i="27" s="1"/>
  <c r="L294" i="27" s="1"/>
  <c r="L295" i="27" s="1"/>
  <c r="L296" i="27" s="1"/>
  <c r="L297" i="27" s="1"/>
  <c r="L298" i="27" s="1"/>
  <c r="L299" i="27" s="1"/>
  <c r="L300" i="27" s="1"/>
  <c r="L301" i="27" s="1"/>
  <c r="L302" i="27" s="1"/>
  <c r="L303" i="27" s="1"/>
  <c r="L304" i="27" s="1"/>
  <c r="L305" i="27" s="1"/>
  <c r="L306" i="27" s="1"/>
  <c r="L307" i="27" s="1"/>
  <c r="L308" i="27" s="1"/>
  <c r="L309" i="27" s="1"/>
  <c r="L310" i="27" s="1"/>
  <c r="L311" i="27" s="1"/>
  <c r="L312" i="27" s="1"/>
  <c r="L313" i="27" s="1"/>
  <c r="L314" i="27" s="1"/>
  <c r="L315" i="27" s="1"/>
  <c r="L316" i="27" s="1"/>
  <c r="L317" i="27" s="1"/>
  <c r="L318" i="27" s="1"/>
  <c r="L319" i="27" s="1"/>
  <c r="L320" i="27" s="1"/>
  <c r="L321" i="27" s="1"/>
  <c r="L322" i="27" s="1"/>
  <c r="L323" i="27" s="1"/>
  <c r="L324" i="27" s="1"/>
  <c r="L325" i="27" s="1"/>
  <c r="L326" i="27" s="1"/>
  <c r="L327" i="27" s="1"/>
  <c r="L328" i="27" s="1"/>
  <c r="L329" i="27" s="1"/>
  <c r="L330" i="27" s="1"/>
  <c r="L331" i="27" s="1"/>
  <c r="L332" i="27" s="1"/>
  <c r="L333" i="27" s="1"/>
  <c r="L334" i="27" s="1"/>
  <c r="L335" i="27" s="1"/>
  <c r="L336" i="27" s="1"/>
  <c r="L337" i="27" s="1"/>
  <c r="L338" i="27" s="1"/>
  <c r="L339" i="27" s="1"/>
  <c r="L340" i="27" s="1"/>
  <c r="L341" i="27" s="1"/>
  <c r="L342" i="27" s="1"/>
  <c r="L343" i="27" s="1"/>
  <c r="L344" i="27" s="1"/>
  <c r="L345" i="27" s="1"/>
  <c r="L346" i="27" s="1"/>
  <c r="L347" i="27" s="1"/>
  <c r="L348" i="27" s="1"/>
  <c r="L349" i="27" s="1"/>
  <c r="L350" i="27" s="1"/>
  <c r="L351" i="27" s="1"/>
  <c r="L352" i="27" s="1"/>
  <c r="L353" i="27" s="1"/>
  <c r="L354" i="27" s="1"/>
  <c r="L355" i="27" s="1"/>
  <c r="L356" i="27" s="1"/>
  <c r="L357" i="27" s="1"/>
  <c r="L358" i="27" s="1"/>
  <c r="L359" i="27" s="1"/>
  <c r="L360" i="27" s="1"/>
  <c r="L361" i="27" s="1"/>
  <c r="L362" i="27" s="1"/>
  <c r="L363" i="27" s="1"/>
  <c r="L364" i="27" s="1"/>
  <c r="L365" i="27" s="1"/>
  <c r="L366" i="27" s="1"/>
  <c r="L367" i="27" s="1"/>
  <c r="L368" i="27" s="1"/>
  <c r="L369" i="27" s="1"/>
  <c r="L370" i="27" s="1"/>
  <c r="L371" i="27" s="1"/>
  <c r="L372" i="27" s="1"/>
  <c r="L373" i="27" s="1"/>
  <c r="L374" i="27" s="1"/>
  <c r="L375" i="27" s="1"/>
  <c r="L376" i="27" s="1"/>
  <c r="L377" i="27" s="1"/>
  <c r="L378" i="27" s="1"/>
  <c r="L379" i="27" s="1"/>
  <c r="L380" i="27" s="1"/>
  <c r="L381" i="27" s="1"/>
  <c r="L382" i="27" s="1"/>
  <c r="L383" i="27" s="1"/>
  <c r="L384" i="27" s="1"/>
  <c r="L385" i="27" s="1"/>
  <c r="L386" i="27" s="1"/>
  <c r="L387" i="27" s="1"/>
  <c r="L388" i="27" s="1"/>
  <c r="L389" i="27" s="1"/>
  <c r="L390" i="27" s="1"/>
  <c r="L391" i="27" s="1"/>
  <c r="L392" i="27" s="1"/>
  <c r="L393" i="27" s="1"/>
  <c r="L394" i="27" s="1"/>
  <c r="L395" i="27" s="1"/>
  <c r="L396" i="27" s="1"/>
  <c r="L397" i="27" s="1"/>
  <c r="L398" i="27" s="1"/>
  <c r="L399" i="27" s="1"/>
  <c r="L400" i="27" s="1"/>
  <c r="L401" i="27" s="1"/>
  <c r="L402" i="27" s="1"/>
  <c r="L403" i="27" s="1"/>
  <c r="L404" i="27" s="1"/>
  <c r="L405" i="27" s="1"/>
  <c r="L406" i="27" s="1"/>
  <c r="L407" i="27" s="1"/>
  <c r="L408" i="27" s="1"/>
  <c r="L409" i="27" s="1"/>
  <c r="L410" i="27" s="1"/>
  <c r="L411" i="27" s="1"/>
  <c r="L412" i="27" s="1"/>
  <c r="L413" i="27" s="1"/>
  <c r="L414" i="27" s="1"/>
  <c r="L415" i="27" s="1"/>
  <c r="L416" i="27" s="1"/>
  <c r="L417" i="27" s="1"/>
  <c r="L418" i="27" s="1"/>
  <c r="L419" i="27" s="1"/>
  <c r="L420" i="27" s="1"/>
  <c r="L421" i="27" s="1"/>
  <c r="L422" i="27" s="1"/>
  <c r="L423" i="27" s="1"/>
  <c r="L424" i="27" s="1"/>
  <c r="L425" i="27" s="1"/>
  <c r="L426" i="27" s="1"/>
  <c r="L427" i="27" s="1"/>
  <c r="L428" i="27" s="1"/>
  <c r="L429" i="27" s="1"/>
  <c r="L430" i="27" s="1"/>
  <c r="L431" i="27" s="1"/>
  <c r="L432" i="27" s="1"/>
  <c r="L433" i="27" s="1"/>
  <c r="L434" i="27" s="1"/>
  <c r="L435" i="27" s="1"/>
  <c r="L436" i="27" s="1"/>
  <c r="L437" i="27" s="1"/>
  <c r="L438" i="27" s="1"/>
  <c r="L439" i="27" s="1"/>
  <c r="L440" i="27" s="1"/>
  <c r="L441" i="27" s="1"/>
  <c r="L442" i="27" s="1"/>
  <c r="L443" i="27" s="1"/>
  <c r="L444" i="27" s="1"/>
  <c r="L445" i="27" s="1"/>
  <c r="L446" i="27" s="1"/>
  <c r="L447" i="27" s="1"/>
  <c r="L448" i="27" s="1"/>
  <c r="L449" i="27" s="1"/>
  <c r="L450" i="27" s="1"/>
  <c r="L451" i="27" s="1"/>
  <c r="L452" i="27" s="1"/>
  <c r="L453" i="27" s="1"/>
  <c r="L454" i="27" s="1"/>
  <c r="L455" i="27" s="1"/>
  <c r="L456" i="27" s="1"/>
  <c r="L457" i="27" s="1"/>
  <c r="L458" i="27" s="1"/>
  <c r="L459" i="27" s="1"/>
  <c r="L460" i="27" s="1"/>
  <c r="L461" i="27" s="1"/>
  <c r="L462" i="27" s="1"/>
  <c r="L463" i="27" s="1"/>
  <c r="L464" i="27" s="1"/>
  <c r="L465" i="27" s="1"/>
  <c r="L466" i="27" s="1"/>
  <c r="L467" i="27" s="1"/>
  <c r="L468" i="27" s="1"/>
  <c r="L469" i="27" s="1"/>
  <c r="L470" i="27" s="1"/>
  <c r="L471" i="27" s="1"/>
  <c r="L472" i="27" s="1"/>
  <c r="L473" i="27" s="1"/>
  <c r="L474" i="27" s="1"/>
  <c r="L475" i="27" s="1"/>
  <c r="L476" i="27" s="1"/>
  <c r="L477" i="27" s="1"/>
  <c r="L478" i="27" s="1"/>
  <c r="L479" i="27" s="1"/>
  <c r="L480" i="27" s="1"/>
  <c r="L481" i="27" s="1"/>
  <c r="L482" i="27" s="1"/>
  <c r="L483" i="27" s="1"/>
  <c r="L484" i="27" s="1"/>
  <c r="L485" i="27" s="1"/>
  <c r="L486" i="27" s="1"/>
  <c r="L487" i="27" s="1"/>
  <c r="L488" i="27" s="1"/>
  <c r="L489" i="27" s="1"/>
  <c r="L490" i="27" s="1"/>
  <c r="L491" i="27" s="1"/>
  <c r="L492" i="27" s="1"/>
  <c r="L493" i="27" s="1"/>
  <c r="L494" i="27" s="1"/>
  <c r="L495" i="27" s="1"/>
  <c r="L496" i="27" s="1"/>
  <c r="L497" i="27" s="1"/>
  <c r="L498" i="27" s="1"/>
  <c r="L499" i="27" s="1"/>
  <c r="L500" i="27" s="1"/>
  <c r="L501" i="27" s="1"/>
  <c r="L502" i="27" s="1"/>
  <c r="L503" i="27" s="1"/>
  <c r="L504" i="27" s="1"/>
  <c r="L505" i="27" s="1"/>
  <c r="L506" i="27" s="1"/>
  <c r="L507" i="27" s="1"/>
  <c r="L508" i="27" s="1"/>
  <c r="L509" i="27" s="1"/>
  <c r="L510" i="27" s="1"/>
  <c r="L511" i="27" s="1"/>
  <c r="L512" i="27" s="1"/>
  <c r="L513" i="27" s="1"/>
  <c r="L514" i="27" s="1"/>
  <c r="L515" i="27" s="1"/>
  <c r="L516" i="27" s="1"/>
  <c r="L517" i="27" s="1"/>
  <c r="L518" i="27" s="1"/>
  <c r="L519" i="27" s="1"/>
  <c r="L520" i="27" s="1"/>
  <c r="L521" i="27" s="1"/>
  <c r="L522" i="27" s="1"/>
  <c r="L523" i="27" s="1"/>
  <c r="L524" i="27" s="1"/>
  <c r="L525" i="27" s="1"/>
  <c r="L526" i="27" s="1"/>
  <c r="L527" i="27" s="1"/>
  <c r="L528" i="27" s="1"/>
  <c r="L529" i="27" s="1"/>
  <c r="L530" i="27" s="1"/>
  <c r="L531" i="27" s="1"/>
  <c r="L532" i="27" s="1"/>
  <c r="L533" i="27" s="1"/>
  <c r="L534" i="27" s="1"/>
  <c r="L535" i="27" s="1"/>
  <c r="L536" i="27" s="1"/>
  <c r="L537" i="27" s="1"/>
  <c r="L538" i="27" s="1"/>
  <c r="L539" i="27" s="1"/>
  <c r="L540" i="27" s="1"/>
  <c r="L541" i="27" s="1"/>
  <c r="L542" i="27" s="1"/>
  <c r="L543" i="27" s="1"/>
  <c r="L544" i="27" s="1"/>
  <c r="L545" i="27" s="1"/>
  <c r="L546" i="27" s="1"/>
  <c r="L547" i="27" s="1"/>
  <c r="L548" i="27" s="1"/>
  <c r="L549" i="27" s="1"/>
  <c r="L550" i="27" s="1"/>
  <c r="L551" i="27" s="1"/>
  <c r="L552" i="27" s="1"/>
  <c r="L553" i="27" s="1"/>
  <c r="L554" i="27" s="1"/>
  <c r="L555" i="27" s="1"/>
  <c r="L556" i="27" s="1"/>
  <c r="L557" i="27" s="1"/>
  <c r="L558" i="27" s="1"/>
  <c r="L559" i="27" s="1"/>
  <c r="L560" i="27" s="1"/>
  <c r="L561" i="27" s="1"/>
  <c r="L562" i="27" s="1"/>
  <c r="L563" i="27" s="1"/>
  <c r="L564" i="27" s="1"/>
  <c r="L565" i="27" s="1"/>
  <c r="L566" i="27" s="1"/>
  <c r="L567" i="27" s="1"/>
  <c r="L568" i="27" s="1"/>
  <c r="L569" i="27" s="1"/>
  <c r="L570" i="27" s="1"/>
  <c r="L571" i="27" s="1"/>
  <c r="L572" i="27" s="1"/>
  <c r="L573" i="27" s="1"/>
  <c r="L574" i="27" s="1"/>
  <c r="L575" i="27" s="1"/>
  <c r="L576" i="27" s="1"/>
  <c r="L577" i="27" s="1"/>
  <c r="L578" i="27" s="1"/>
  <c r="L579" i="27" s="1"/>
  <c r="L580" i="27" s="1"/>
  <c r="L581" i="27" s="1"/>
  <c r="L582" i="27" s="1"/>
  <c r="L583" i="27" s="1"/>
  <c r="L584" i="27" s="1"/>
  <c r="L585" i="27" s="1"/>
  <c r="L586" i="27" s="1"/>
  <c r="L587" i="27" s="1"/>
  <c r="L588" i="27" s="1"/>
  <c r="L589" i="27" s="1"/>
  <c r="L590" i="27" s="1"/>
  <c r="L591" i="27" s="1"/>
  <c r="L592" i="27" s="1"/>
  <c r="L593" i="27" s="1"/>
  <c r="L594" i="27" s="1"/>
  <c r="L595" i="27" s="1"/>
  <c r="L596" i="27" s="1"/>
  <c r="L597" i="27" s="1"/>
  <c r="L598" i="27" s="1"/>
  <c r="L599" i="27" s="1"/>
  <c r="L600" i="27" s="1"/>
  <c r="L601" i="27" s="1"/>
  <c r="L602" i="27" s="1"/>
  <c r="L603" i="27" s="1"/>
  <c r="L604" i="27" s="1"/>
  <c r="L605" i="27" s="1"/>
  <c r="L606" i="27" s="1"/>
  <c r="L607" i="27" s="1"/>
  <c r="L608" i="27" s="1"/>
  <c r="L609" i="27" s="1"/>
  <c r="L610" i="27" s="1"/>
  <c r="L611" i="27" s="1"/>
  <c r="L612" i="27" s="1"/>
  <c r="L613" i="27" s="1"/>
  <c r="L614" i="27" s="1"/>
  <c r="L615" i="27" s="1"/>
  <c r="L616" i="27" s="1"/>
  <c r="L617" i="27" s="1"/>
  <c r="L618" i="27" s="1"/>
  <c r="L619" i="27" s="1"/>
  <c r="L620" i="27" s="1"/>
  <c r="L621" i="27" s="1"/>
  <c r="L622" i="27" s="1"/>
  <c r="L623" i="27" s="1"/>
  <c r="L624" i="27" s="1"/>
  <c r="L625" i="27" s="1"/>
  <c r="L626" i="27" s="1"/>
  <c r="L627" i="27" s="1"/>
  <c r="L628" i="27" s="1"/>
  <c r="L629" i="27" s="1"/>
  <c r="L630" i="27" s="1"/>
  <c r="L631" i="27" s="1"/>
  <c r="L632" i="27" s="1"/>
  <c r="L633" i="27" s="1"/>
  <c r="L634" i="27" s="1"/>
  <c r="L635" i="27" s="1"/>
  <c r="L636" i="27" s="1"/>
  <c r="L637" i="27" s="1"/>
  <c r="L638" i="27" s="1"/>
  <c r="L639" i="27" s="1"/>
  <c r="L640" i="27" s="1"/>
  <c r="L641" i="27" s="1"/>
  <c r="L642" i="27" s="1"/>
  <c r="L643" i="27" s="1"/>
  <c r="L644" i="27" s="1"/>
  <c r="L645" i="27" s="1"/>
  <c r="L646" i="27" s="1"/>
  <c r="L647" i="27" s="1"/>
  <c r="L648" i="27" s="1"/>
  <c r="L649" i="27" s="1"/>
  <c r="L650" i="27" s="1"/>
  <c r="L651" i="27" s="1"/>
  <c r="L652" i="27" s="1"/>
  <c r="L653" i="27" s="1"/>
  <c r="L654" i="27" s="1"/>
  <c r="L655" i="27" s="1"/>
  <c r="L656" i="27" s="1"/>
  <c r="L657" i="27" s="1"/>
  <c r="L658" i="27" s="1"/>
  <c r="L659" i="27" s="1"/>
  <c r="L660" i="27" s="1"/>
  <c r="L661" i="27" s="1"/>
  <c r="L662" i="27" s="1"/>
  <c r="L663" i="27" s="1"/>
  <c r="L664" i="27" s="1"/>
  <c r="L665" i="27" s="1"/>
  <c r="L666" i="27" s="1"/>
  <c r="L667" i="27" s="1"/>
  <c r="L668" i="27" s="1"/>
  <c r="L669" i="27" s="1"/>
  <c r="L670" i="27" s="1"/>
  <c r="L671" i="27" s="1"/>
  <c r="L672" i="27" s="1"/>
  <c r="L673" i="27" s="1"/>
  <c r="L674" i="27" s="1"/>
  <c r="L675" i="27" s="1"/>
  <c r="L676" i="27" s="1"/>
  <c r="L677" i="27" s="1"/>
  <c r="L678" i="27" s="1"/>
  <c r="L679" i="27" s="1"/>
  <c r="L680" i="27" s="1"/>
  <c r="L681" i="27" s="1"/>
  <c r="L682" i="27" s="1"/>
  <c r="L683" i="27" s="1"/>
  <c r="L684" i="27" s="1"/>
  <c r="L685" i="27" s="1"/>
  <c r="L686" i="27" s="1"/>
  <c r="L687" i="27" s="1"/>
  <c r="L688" i="27" s="1"/>
  <c r="L689" i="27" s="1"/>
  <c r="L690" i="27" s="1"/>
  <c r="L691" i="27" s="1"/>
  <c r="L692" i="27" s="1"/>
  <c r="L693" i="27" s="1"/>
  <c r="L694" i="27" s="1"/>
  <c r="L695" i="27" s="1"/>
  <c r="L696" i="27" s="1"/>
  <c r="L697" i="27" s="1"/>
  <c r="L698" i="27" s="1"/>
  <c r="L699" i="27" s="1"/>
  <c r="L700" i="27" s="1"/>
  <c r="L701" i="27" s="1"/>
  <c r="L702" i="27" s="1"/>
  <c r="L703" i="27" s="1"/>
  <c r="L704" i="27" s="1"/>
  <c r="L705" i="27" s="1"/>
  <c r="L706" i="27" s="1"/>
  <c r="L707" i="27" s="1"/>
  <c r="L708" i="27" s="1"/>
  <c r="L709" i="27" s="1"/>
  <c r="L710" i="27" s="1"/>
  <c r="L711" i="27" s="1"/>
  <c r="L712" i="27" s="1"/>
  <c r="L713" i="27" s="1"/>
  <c r="L714" i="27" s="1"/>
  <c r="L715" i="27" s="1"/>
  <c r="L716" i="27" s="1"/>
  <c r="L717" i="27" s="1"/>
  <c r="L718" i="27" s="1"/>
  <c r="L719" i="27" s="1"/>
  <c r="L720" i="27" s="1"/>
  <c r="L721" i="27" s="1"/>
  <c r="L722" i="27" s="1"/>
  <c r="L723" i="27" s="1"/>
  <c r="L724" i="27" s="1"/>
  <c r="L725" i="27" s="1"/>
  <c r="L726" i="27" s="1"/>
  <c r="L727" i="27" s="1"/>
  <c r="L728" i="27" s="1"/>
  <c r="AK31" i="27"/>
  <c r="AK32" i="27"/>
  <c r="AK33" i="27"/>
  <c r="AK34" i="27"/>
  <c r="AK35" i="27"/>
  <c r="AK36" i="27"/>
  <c r="AK37" i="27"/>
  <c r="AK38" i="27"/>
  <c r="AK39" i="27"/>
  <c r="AK40" i="27"/>
  <c r="AK41" i="27"/>
  <c r="AK42" i="27"/>
  <c r="AK43" i="27"/>
  <c r="AK44" i="27"/>
  <c r="AK45" i="27"/>
  <c r="AK46" i="27"/>
  <c r="AK47" i="27"/>
  <c r="AK48" i="27"/>
  <c r="AK49" i="27"/>
  <c r="AK50" i="27"/>
  <c r="AK51" i="27"/>
  <c r="AK52" i="27"/>
  <c r="AK53" i="27"/>
  <c r="AK54" i="27"/>
  <c r="AK55" i="27"/>
  <c r="AK56" i="27"/>
  <c r="AK57" i="27"/>
  <c r="AK58" i="27"/>
  <c r="AK59" i="27"/>
  <c r="AK60" i="27"/>
  <c r="AK61" i="27"/>
  <c r="AK62" i="27"/>
  <c r="AK63" i="27"/>
  <c r="AK64" i="27"/>
  <c r="AK65" i="27"/>
  <c r="AK66" i="27"/>
  <c r="AK67" i="27"/>
  <c r="AK68" i="27"/>
  <c r="AK69" i="27"/>
  <c r="AK70" i="27"/>
  <c r="AK71" i="27"/>
  <c r="AK72" i="27"/>
  <c r="AK73" i="27"/>
  <c r="AK74" i="27"/>
  <c r="AK75" i="27"/>
  <c r="AK76" i="27"/>
  <c r="AK77" i="27"/>
  <c r="AK78" i="27"/>
  <c r="AK79" i="27"/>
  <c r="AK80" i="27"/>
  <c r="AK81" i="27"/>
  <c r="AK82" i="27"/>
  <c r="AK83" i="27"/>
  <c r="AK84" i="27"/>
  <c r="AK85" i="27"/>
  <c r="AK86" i="27"/>
  <c r="AK87" i="27"/>
  <c r="AK88" i="27"/>
  <c r="AK89" i="27"/>
  <c r="AK90" i="27"/>
  <c r="AK91" i="27"/>
  <c r="AK92" i="27"/>
  <c r="AK93" i="27"/>
  <c r="AK94" i="27"/>
  <c r="AK95" i="27"/>
  <c r="AK96" i="27"/>
  <c r="AK97" i="27"/>
  <c r="AK98" i="27"/>
  <c r="AK99" i="27"/>
  <c r="AK100" i="27"/>
  <c r="AK101" i="27"/>
  <c r="AK102" i="27"/>
  <c r="AK103" i="27"/>
  <c r="AK104" i="27"/>
  <c r="AK105" i="27"/>
  <c r="AK106" i="27"/>
  <c r="AK107" i="27"/>
  <c r="AK108" i="27"/>
  <c r="AK109" i="27"/>
  <c r="AK110" i="27"/>
  <c r="AK111" i="27"/>
  <c r="AK112" i="27"/>
  <c r="AK113" i="27"/>
  <c r="AK114" i="27"/>
  <c r="AK115" i="27"/>
  <c r="AK116" i="27"/>
  <c r="AK117" i="27"/>
  <c r="AK118" i="27"/>
  <c r="AK119" i="27"/>
  <c r="AK120" i="27"/>
  <c r="AK121" i="27"/>
  <c r="AK122" i="27"/>
  <c r="AK123" i="27"/>
  <c r="AK124" i="27"/>
  <c r="AK125" i="27"/>
  <c r="AK126" i="27"/>
  <c r="AK127" i="27"/>
  <c r="AK128" i="27"/>
  <c r="AK129" i="27"/>
  <c r="AK130" i="27"/>
  <c r="AK131" i="27"/>
  <c r="AK132" i="27"/>
  <c r="AK133" i="27"/>
  <c r="AK134" i="27"/>
  <c r="AK135" i="27"/>
  <c r="AK136" i="27"/>
  <c r="AK137" i="27"/>
  <c r="AK138" i="27"/>
  <c r="AK139" i="27"/>
  <c r="AK140" i="27"/>
  <c r="AK141" i="27"/>
  <c r="AK142" i="27"/>
  <c r="AK143" i="27"/>
  <c r="AK144" i="27"/>
  <c r="AK145" i="27"/>
  <c r="AK146" i="27"/>
  <c r="AK147" i="27"/>
  <c r="AK148" i="27"/>
  <c r="AK149" i="27"/>
  <c r="AK150" i="27"/>
  <c r="AK151" i="27"/>
  <c r="AK152" i="27"/>
  <c r="AK153" i="27"/>
  <c r="AK154" i="27"/>
  <c r="AK155" i="27"/>
  <c r="AK156" i="27"/>
  <c r="AK157" i="27"/>
  <c r="AK158" i="27"/>
  <c r="AK159" i="27"/>
  <c r="AK160" i="27"/>
  <c r="AK161" i="27"/>
  <c r="AK162" i="27"/>
  <c r="AK163" i="27"/>
  <c r="AK164" i="27"/>
  <c r="AK165" i="27"/>
  <c r="AK166" i="27"/>
  <c r="AK167" i="27"/>
  <c r="AK168" i="27"/>
  <c r="AK169" i="27"/>
  <c r="AK170" i="27"/>
  <c r="AK171" i="27"/>
  <c r="AK172" i="27"/>
  <c r="AK173" i="27"/>
  <c r="AK174" i="27"/>
  <c r="AK175" i="27"/>
  <c r="AK176" i="27"/>
  <c r="AK177" i="27"/>
  <c r="AK178" i="27"/>
  <c r="AK179" i="27"/>
  <c r="AK180" i="27"/>
  <c r="AK181" i="27"/>
  <c r="AK182" i="27"/>
  <c r="AK183" i="27"/>
  <c r="AK184" i="27"/>
  <c r="AK185" i="27"/>
  <c r="AK186" i="27"/>
  <c r="AK187" i="27"/>
  <c r="AK188" i="27"/>
  <c r="AK189" i="27"/>
  <c r="AK190" i="27"/>
  <c r="AK191" i="27"/>
  <c r="AK192" i="27"/>
  <c r="AK193" i="27"/>
  <c r="AK194" i="27"/>
  <c r="AK195" i="27"/>
  <c r="AK196" i="27"/>
  <c r="AK197" i="27"/>
  <c r="AK198" i="27"/>
  <c r="AK199" i="27"/>
  <c r="AK200" i="27"/>
  <c r="AK201" i="27"/>
  <c r="AK202" i="27"/>
  <c r="AK203" i="27"/>
  <c r="AK204" i="27"/>
  <c r="AK205" i="27"/>
  <c r="AK206" i="27"/>
  <c r="AK207" i="27"/>
  <c r="AK208" i="27"/>
  <c r="AK209" i="27"/>
  <c r="AK210" i="27"/>
  <c r="AK211" i="27"/>
  <c r="AK212" i="27"/>
  <c r="AK213" i="27"/>
  <c r="AK214" i="27"/>
  <c r="AK215" i="27"/>
  <c r="AK216" i="27"/>
  <c r="AK217" i="27"/>
  <c r="AK218" i="27"/>
  <c r="AK219" i="27"/>
  <c r="AK220" i="27"/>
  <c r="AK221" i="27"/>
  <c r="AK222" i="27"/>
  <c r="AK223" i="27"/>
  <c r="AK224" i="27"/>
  <c r="AK225" i="27"/>
  <c r="AK226" i="27"/>
  <c r="AK227" i="27"/>
  <c r="AK228" i="27"/>
  <c r="AK229" i="27"/>
  <c r="AK230" i="27"/>
  <c r="AK231" i="27"/>
  <c r="AK232" i="27"/>
  <c r="AK233" i="27"/>
  <c r="AK234" i="27"/>
  <c r="AK235" i="27"/>
  <c r="AK236" i="27"/>
  <c r="AK237" i="27"/>
  <c r="AK238" i="27"/>
  <c r="AK239" i="27"/>
  <c r="AK240" i="27"/>
  <c r="AK241" i="27"/>
  <c r="AK242" i="27"/>
  <c r="AK243" i="27"/>
  <c r="AK244" i="27"/>
  <c r="AK245" i="27"/>
  <c r="AK246" i="27"/>
  <c r="AK247" i="27"/>
  <c r="AK248" i="27"/>
  <c r="AK249" i="27"/>
  <c r="AK250" i="27"/>
  <c r="AK251" i="27"/>
  <c r="AK252" i="27"/>
  <c r="AK253" i="27"/>
  <c r="AK254" i="27"/>
  <c r="AK255" i="27"/>
  <c r="AK256" i="27"/>
  <c r="AK257" i="27"/>
  <c r="AK258" i="27"/>
  <c r="AK259" i="27"/>
  <c r="AK260" i="27"/>
  <c r="AK261" i="27"/>
  <c r="AK262" i="27"/>
  <c r="AK263" i="27"/>
  <c r="AK264" i="27"/>
  <c r="AK265" i="27"/>
  <c r="AK266" i="27"/>
  <c r="AK267" i="27"/>
  <c r="AK268" i="27"/>
  <c r="AK269" i="27"/>
  <c r="AK270" i="27"/>
  <c r="AK271" i="27"/>
  <c r="AK272" i="27"/>
  <c r="AK273" i="27"/>
  <c r="AK274" i="27"/>
  <c r="AK275" i="27"/>
  <c r="AK276" i="27"/>
  <c r="AK277" i="27"/>
  <c r="AK278" i="27"/>
  <c r="AK279" i="27"/>
  <c r="AK280" i="27"/>
  <c r="AK281" i="27"/>
  <c r="AK282" i="27"/>
  <c r="AK283" i="27"/>
  <c r="AK284" i="27"/>
  <c r="AK285" i="27"/>
  <c r="AK286" i="27"/>
  <c r="AK287" i="27"/>
  <c r="AK288" i="27"/>
  <c r="AK289" i="27"/>
  <c r="AK290" i="27"/>
  <c r="AK291" i="27"/>
  <c r="AK292" i="27"/>
  <c r="AK293" i="27"/>
  <c r="AK294" i="27"/>
  <c r="AK295" i="27"/>
  <c r="AK296" i="27"/>
  <c r="AK297" i="27"/>
  <c r="AK298" i="27"/>
  <c r="AK299" i="27"/>
  <c r="AK300" i="27"/>
  <c r="AK301" i="27"/>
  <c r="AK302" i="27"/>
  <c r="AK303" i="27"/>
  <c r="AK304" i="27"/>
  <c r="AK305" i="27"/>
  <c r="AK306" i="27"/>
  <c r="AK307" i="27"/>
  <c r="AK308" i="27"/>
  <c r="AK309" i="27"/>
  <c r="AK310" i="27"/>
  <c r="AK311" i="27"/>
  <c r="AK312" i="27"/>
  <c r="AK313" i="27"/>
  <c r="AK314" i="27"/>
  <c r="AK315" i="27"/>
  <c r="AK316" i="27"/>
  <c r="AK317" i="27"/>
  <c r="AK318" i="27"/>
  <c r="AK319" i="27"/>
  <c r="AK320" i="27"/>
  <c r="AK321" i="27"/>
  <c r="AK322" i="27"/>
  <c r="AK323" i="27"/>
  <c r="AK324" i="27"/>
  <c r="AK325" i="27"/>
  <c r="AK326" i="27"/>
  <c r="AK327" i="27"/>
  <c r="AK328" i="27"/>
  <c r="AK329" i="27"/>
  <c r="AK330" i="27"/>
  <c r="AK331" i="27"/>
  <c r="AK332" i="27"/>
  <c r="AK333" i="27"/>
  <c r="AK334" i="27"/>
  <c r="AK335" i="27"/>
  <c r="AK336" i="27"/>
  <c r="AK337" i="27"/>
  <c r="AK338" i="27"/>
  <c r="AK339" i="27"/>
  <c r="AK340" i="27"/>
  <c r="AK341" i="27"/>
  <c r="AK342" i="27"/>
  <c r="AK343" i="27"/>
  <c r="AK344" i="27"/>
  <c r="AK345" i="27"/>
  <c r="AK346" i="27"/>
  <c r="AK347" i="27"/>
  <c r="AK348" i="27"/>
  <c r="AK349" i="27"/>
  <c r="AK350" i="27"/>
  <c r="AK351" i="27"/>
  <c r="AK352" i="27"/>
  <c r="AK353" i="27"/>
  <c r="AK354" i="27"/>
  <c r="AK355" i="27"/>
  <c r="AK356" i="27"/>
  <c r="AK357" i="27"/>
  <c r="AK358" i="27"/>
  <c r="AK359" i="27"/>
  <c r="AK360" i="27"/>
  <c r="AK361" i="27"/>
  <c r="AK362" i="27"/>
  <c r="AK363" i="27"/>
  <c r="AK364" i="27"/>
  <c r="AK365" i="27"/>
  <c r="AK366" i="27"/>
  <c r="AK367" i="27"/>
  <c r="AK368" i="27"/>
  <c r="A721" i="30"/>
  <c r="C721" i="30"/>
  <c r="A722" i="30"/>
  <c r="C722" i="30"/>
  <c r="A723" i="30"/>
  <c r="C723" i="30"/>
  <c r="A724" i="30"/>
  <c r="C724" i="30"/>
  <c r="A725" i="30"/>
  <c r="C725" i="30"/>
  <c r="A715" i="30"/>
  <c r="C715" i="30"/>
  <c r="A716" i="30"/>
  <c r="C716" i="30"/>
  <c r="A717" i="30"/>
  <c r="C717" i="30"/>
  <c r="A718" i="30"/>
  <c r="C718" i="30"/>
  <c r="A719" i="30"/>
  <c r="C719" i="30"/>
  <c r="A720" i="30"/>
  <c r="C720" i="30"/>
  <c r="A704" i="30"/>
  <c r="C704" i="30"/>
  <c r="A705" i="30"/>
  <c r="C705" i="30"/>
  <c r="A706" i="30"/>
  <c r="C706" i="30"/>
  <c r="A707" i="30"/>
  <c r="C707" i="30"/>
  <c r="A708" i="30"/>
  <c r="C708" i="30"/>
  <c r="A709" i="30"/>
  <c r="C709" i="30"/>
  <c r="A710" i="30"/>
  <c r="C710" i="30"/>
  <c r="A711" i="30"/>
  <c r="C711" i="30"/>
  <c r="A712" i="30"/>
  <c r="C712" i="30"/>
  <c r="A713" i="30"/>
  <c r="C713" i="30"/>
  <c r="A714" i="30"/>
  <c r="C714" i="30"/>
  <c r="A636" i="30"/>
  <c r="C636" i="30"/>
  <c r="A637" i="30"/>
  <c r="C637" i="30"/>
  <c r="A638" i="30"/>
  <c r="C638" i="30"/>
  <c r="A639" i="30"/>
  <c r="C639" i="30"/>
  <c r="A640" i="30"/>
  <c r="C640" i="30"/>
  <c r="A641" i="30"/>
  <c r="C641" i="30"/>
  <c r="A642" i="30"/>
  <c r="C642" i="30"/>
  <c r="A643" i="30"/>
  <c r="C643" i="30"/>
  <c r="A644" i="30"/>
  <c r="C644" i="30"/>
  <c r="A645" i="30"/>
  <c r="C645" i="30"/>
  <c r="A646" i="30"/>
  <c r="C646" i="30"/>
  <c r="A647" i="30"/>
  <c r="C647" i="30"/>
  <c r="A648" i="30"/>
  <c r="C648" i="30"/>
  <c r="A649" i="30"/>
  <c r="C649" i="30"/>
  <c r="A650" i="30"/>
  <c r="C650" i="30"/>
  <c r="A651" i="30"/>
  <c r="C651" i="30"/>
  <c r="A652" i="30"/>
  <c r="C652" i="30"/>
  <c r="A653" i="30"/>
  <c r="C653" i="30"/>
  <c r="A654" i="30"/>
  <c r="C654" i="30"/>
  <c r="A655" i="30"/>
  <c r="C655" i="30"/>
  <c r="A656" i="30"/>
  <c r="C656" i="30"/>
  <c r="A657" i="30"/>
  <c r="C657" i="30"/>
  <c r="A658" i="30"/>
  <c r="C658" i="30"/>
  <c r="A659" i="30"/>
  <c r="C659" i="30"/>
  <c r="A660" i="30"/>
  <c r="C660" i="30"/>
  <c r="A661" i="30"/>
  <c r="C661" i="30"/>
  <c r="A662" i="30"/>
  <c r="C662" i="30"/>
  <c r="A663" i="30"/>
  <c r="C663" i="30"/>
  <c r="A664" i="30"/>
  <c r="C664" i="30"/>
  <c r="A665" i="30"/>
  <c r="C665" i="30"/>
  <c r="A666" i="30"/>
  <c r="C666" i="30"/>
  <c r="A667" i="30"/>
  <c r="C667" i="30"/>
  <c r="A668" i="30"/>
  <c r="C668" i="30"/>
  <c r="A669" i="30"/>
  <c r="C669" i="30"/>
  <c r="A670" i="30"/>
  <c r="C670" i="30"/>
  <c r="A671" i="30"/>
  <c r="C671" i="30"/>
  <c r="A672" i="30"/>
  <c r="C672" i="30"/>
  <c r="A673" i="30"/>
  <c r="C673" i="30"/>
  <c r="A674" i="30"/>
  <c r="C674" i="30"/>
  <c r="A675" i="30"/>
  <c r="C675" i="30"/>
  <c r="A676" i="30"/>
  <c r="C676" i="30"/>
  <c r="A677" i="30"/>
  <c r="C677" i="30"/>
  <c r="A678" i="30"/>
  <c r="C678" i="30"/>
  <c r="A679" i="30"/>
  <c r="C679" i="30"/>
  <c r="A680" i="30"/>
  <c r="C680" i="30"/>
  <c r="A681" i="30"/>
  <c r="C681" i="30"/>
  <c r="A682" i="30"/>
  <c r="C682" i="30"/>
  <c r="A683" i="30"/>
  <c r="C683" i="30"/>
  <c r="A684" i="30"/>
  <c r="C684" i="30"/>
  <c r="A685" i="30"/>
  <c r="C685" i="30"/>
  <c r="A686" i="30"/>
  <c r="C686" i="30"/>
  <c r="A687" i="30"/>
  <c r="C687" i="30"/>
  <c r="A688" i="30"/>
  <c r="C688" i="30"/>
  <c r="A689" i="30"/>
  <c r="C689" i="30"/>
  <c r="A690" i="30"/>
  <c r="C690" i="30"/>
  <c r="A691" i="30"/>
  <c r="C691" i="30"/>
  <c r="A692" i="30"/>
  <c r="C692" i="30"/>
  <c r="A693" i="30"/>
  <c r="C693" i="30"/>
  <c r="A694" i="30"/>
  <c r="C694" i="30"/>
  <c r="A695" i="30"/>
  <c r="C695" i="30"/>
  <c r="A696" i="30"/>
  <c r="C696" i="30"/>
  <c r="A697" i="30"/>
  <c r="C697" i="30"/>
  <c r="A698" i="30"/>
  <c r="C698" i="30"/>
  <c r="A699" i="30"/>
  <c r="C699" i="30"/>
  <c r="A700" i="30"/>
  <c r="C700" i="30"/>
  <c r="A701" i="30"/>
  <c r="C701" i="30"/>
  <c r="A702" i="30"/>
  <c r="C702" i="30"/>
  <c r="A703" i="30"/>
  <c r="C703" i="30"/>
  <c r="D504" i="28"/>
  <c r="D505" i="28"/>
  <c r="D506" i="28"/>
  <c r="D507" i="28"/>
  <c r="D508" i="28"/>
  <c r="D509" i="28"/>
  <c r="D510" i="28"/>
  <c r="D511" i="28"/>
  <c r="D512" i="28"/>
  <c r="D513" i="28"/>
  <c r="D514" i="28"/>
  <c r="D515" i="28"/>
  <c r="D516" i="28"/>
  <c r="D517" i="28"/>
  <c r="D518" i="28"/>
  <c r="D519" i="28"/>
  <c r="D520" i="28"/>
  <c r="D521" i="28"/>
  <c r="D522" i="28"/>
  <c r="D523" i="28"/>
  <c r="D524" i="28"/>
  <c r="D525" i="28"/>
  <c r="D526" i="28"/>
  <c r="D527" i="28"/>
  <c r="D528" i="28"/>
  <c r="D529" i="28"/>
  <c r="D530" i="28"/>
  <c r="D531" i="28"/>
  <c r="D532" i="28"/>
  <c r="D533" i="28"/>
  <c r="D534" i="28"/>
  <c r="D535" i="28"/>
  <c r="D536" i="28"/>
  <c r="D537" i="28"/>
  <c r="D538" i="28"/>
  <c r="D539" i="28"/>
  <c r="D540" i="28"/>
  <c r="D541" i="28"/>
  <c r="D542" i="28"/>
  <c r="D543" i="28"/>
  <c r="D544" i="28"/>
  <c r="D545" i="28"/>
  <c r="D546" i="28"/>
  <c r="D547" i="28"/>
  <c r="D548" i="28"/>
  <c r="D549" i="28"/>
  <c r="D550" i="28"/>
  <c r="D551" i="28"/>
  <c r="D552" i="28"/>
  <c r="D553" i="28"/>
  <c r="D554" i="28"/>
  <c r="D555" i="28"/>
  <c r="D556" i="28"/>
  <c r="D557" i="28"/>
  <c r="D558" i="28"/>
  <c r="D559" i="28"/>
  <c r="D560" i="28"/>
  <c r="D561" i="28"/>
  <c r="D562" i="28"/>
  <c r="D563" i="28"/>
  <c r="D564" i="28"/>
  <c r="D565" i="28"/>
  <c r="D566" i="28"/>
  <c r="D567" i="28"/>
  <c r="D568" i="28"/>
  <c r="D569" i="28"/>
  <c r="D570" i="28"/>
  <c r="D571" i="28"/>
  <c r="D572" i="28"/>
  <c r="D573" i="28"/>
  <c r="D574" i="28"/>
  <c r="D575" i="28"/>
  <c r="D576" i="28"/>
  <c r="D577" i="28"/>
  <c r="D578" i="28"/>
  <c r="D579" i="28"/>
  <c r="D580" i="28"/>
  <c r="D581" i="28"/>
  <c r="D582" i="28"/>
  <c r="D583" i="28"/>
  <c r="D584" i="28"/>
  <c r="D585" i="28"/>
  <c r="D586" i="28"/>
  <c r="D587" i="28"/>
  <c r="D588" i="28"/>
  <c r="D589" i="28"/>
  <c r="D590" i="28"/>
  <c r="D591" i="28"/>
  <c r="D592" i="28"/>
  <c r="D593" i="28"/>
  <c r="D594" i="28"/>
  <c r="D595" i="28"/>
  <c r="D596" i="28"/>
  <c r="D597" i="28"/>
  <c r="D598" i="28"/>
  <c r="D599" i="28"/>
  <c r="D600" i="28"/>
  <c r="D601" i="28"/>
  <c r="D602" i="28"/>
  <c r="D603" i="28"/>
  <c r="D604" i="28"/>
  <c r="D605" i="28"/>
  <c r="D606" i="28"/>
  <c r="D607" i="28"/>
  <c r="D608" i="28"/>
  <c r="D609" i="28"/>
  <c r="D610" i="28"/>
  <c r="D611" i="28"/>
  <c r="D612" i="28"/>
  <c r="D613" i="28"/>
  <c r="D614" i="28"/>
  <c r="D615" i="28"/>
  <c r="D616" i="28"/>
  <c r="D617" i="28"/>
  <c r="D618" i="28"/>
  <c r="D619" i="28"/>
  <c r="D620" i="28"/>
  <c r="D621" i="28"/>
  <c r="D622" i="28"/>
  <c r="D623" i="28"/>
  <c r="D624" i="28"/>
  <c r="D625" i="28"/>
  <c r="D626" i="28"/>
  <c r="D627" i="28"/>
  <c r="D628" i="28"/>
  <c r="D629" i="28"/>
  <c r="D630" i="28"/>
  <c r="D631" i="28"/>
  <c r="D632" i="28"/>
  <c r="D633" i="28"/>
  <c r="D634" i="28"/>
  <c r="D635" i="28"/>
  <c r="D636" i="28"/>
  <c r="D637" i="28"/>
  <c r="D638" i="28"/>
  <c r="D639" i="28"/>
  <c r="D640" i="28"/>
  <c r="D641" i="28"/>
  <c r="D642" i="28"/>
  <c r="D643" i="28"/>
  <c r="D644" i="28"/>
  <c r="D645" i="28"/>
  <c r="D646" i="28"/>
  <c r="D647" i="28"/>
  <c r="D648" i="28"/>
  <c r="D649" i="28"/>
  <c r="D650" i="28"/>
  <c r="D651" i="28"/>
  <c r="D652" i="28"/>
  <c r="D653" i="28"/>
  <c r="D654" i="28"/>
  <c r="D655" i="28"/>
  <c r="D656" i="28"/>
  <c r="D657" i="28"/>
  <c r="D658" i="28"/>
  <c r="D659" i="28"/>
  <c r="D660" i="28"/>
  <c r="D661" i="28"/>
  <c r="D662" i="28"/>
  <c r="D663" i="28"/>
  <c r="D664" i="28"/>
  <c r="D665" i="28"/>
  <c r="D666" i="28"/>
  <c r="D667" i="28"/>
  <c r="D668" i="28"/>
  <c r="D669" i="28"/>
  <c r="D670" i="28"/>
  <c r="D671" i="28"/>
  <c r="D672" i="28"/>
  <c r="D673" i="28"/>
  <c r="D674" i="28"/>
  <c r="D675" i="28"/>
  <c r="D676" i="28"/>
  <c r="D677" i="28"/>
  <c r="D678" i="28"/>
  <c r="D679" i="28"/>
  <c r="D680" i="28"/>
  <c r="D681" i="28"/>
  <c r="D682" i="28"/>
  <c r="D683" i="28"/>
  <c r="D684" i="28"/>
  <c r="D685" i="28"/>
  <c r="D686" i="28"/>
  <c r="D687" i="28"/>
  <c r="D688" i="28"/>
  <c r="D689" i="28"/>
  <c r="D690" i="28"/>
  <c r="D691" i="28"/>
  <c r="D692" i="28"/>
  <c r="D693" i="28"/>
  <c r="D694" i="28"/>
  <c r="D695" i="28"/>
  <c r="D696" i="28"/>
  <c r="D697" i="28"/>
  <c r="D698" i="28"/>
  <c r="D699" i="28"/>
  <c r="D700" i="28"/>
  <c r="D701" i="28"/>
  <c r="D702" i="28"/>
  <c r="D703" i="28"/>
  <c r="D704" i="28"/>
  <c r="D705" i="28"/>
  <c r="D706" i="28"/>
  <c r="D707" i="28"/>
  <c r="D708" i="28"/>
  <c r="D709" i="28"/>
  <c r="D710" i="28"/>
  <c r="D711" i="28"/>
  <c r="D712" i="28"/>
  <c r="D713" i="28"/>
  <c r="D714" i="28"/>
  <c r="D715" i="28"/>
  <c r="D716" i="28"/>
  <c r="D717" i="28"/>
  <c r="D718" i="28"/>
  <c r="D719" i="28"/>
  <c r="D720" i="28"/>
  <c r="D721" i="28"/>
  <c r="D722" i="28"/>
  <c r="D723" i="28"/>
  <c r="AW728" i="27"/>
  <c r="AW726" i="27"/>
  <c r="AW713" i="27"/>
  <c r="AW695" i="27"/>
  <c r="AW693" i="27"/>
  <c r="AW692" i="27"/>
  <c r="AW688" i="27"/>
  <c r="AW682" i="27"/>
  <c r="AW672" i="27"/>
  <c r="AW668" i="27"/>
  <c r="AW665" i="27"/>
  <c r="AW658" i="27"/>
  <c r="AW657" i="27"/>
  <c r="AW653" i="27"/>
  <c r="AK18" i="27"/>
  <c r="AK17" i="27"/>
  <c r="AK16" i="27"/>
  <c r="AK15" i="27"/>
  <c r="AK14" i="27"/>
  <c r="AK13" i="27"/>
  <c r="AK12" i="27"/>
  <c r="AK11" i="27"/>
  <c r="AN10" i="27"/>
  <c r="AN11" i="27" s="1"/>
  <c r="AN12" i="27" s="1"/>
  <c r="AN13" i="27" s="1"/>
  <c r="AN14" i="27" s="1"/>
  <c r="AN15" i="27" s="1"/>
  <c r="AN16" i="27" s="1"/>
  <c r="AN17" i="27" s="1"/>
  <c r="AN18" i="27" s="1"/>
  <c r="AN19" i="27" s="1"/>
  <c r="AM10" i="27"/>
  <c r="AM11" i="27" s="1"/>
  <c r="AM12" i="27" s="1"/>
  <c r="AM13" i="27" s="1"/>
  <c r="AM14" i="27" s="1"/>
  <c r="AM15" i="27" s="1"/>
  <c r="AM16" i="27" s="1"/>
  <c r="AM17" i="27" s="1"/>
  <c r="AM18" i="27" s="1"/>
  <c r="AM19" i="27" s="1"/>
  <c r="AM20" i="27" s="1"/>
  <c r="AK10" i="27"/>
  <c r="AJ10" i="27"/>
  <c r="AJ11" i="27" s="1"/>
  <c r="AJ12" i="27" s="1"/>
  <c r="AJ13" i="27" s="1"/>
  <c r="AJ14" i="27" s="1"/>
  <c r="AJ15" i="27" s="1"/>
  <c r="AJ16" i="27" s="1"/>
  <c r="AJ17" i="27" s="1"/>
  <c r="AJ18" i="27" s="1"/>
  <c r="AJ19" i="27" s="1"/>
  <c r="AJ20" i="27" s="1"/>
  <c r="AJ21" i="27" s="1"/>
  <c r="AJ22" i="27" s="1"/>
  <c r="AJ23" i="27" s="1"/>
  <c r="AJ24" i="27" s="1"/>
  <c r="AJ25" i="27" s="1"/>
  <c r="AJ26" i="27" s="1"/>
  <c r="AJ27" i="27" s="1"/>
  <c r="AJ28" i="27" s="1"/>
  <c r="AJ29" i="27" s="1"/>
  <c r="AJ30" i="27" s="1"/>
  <c r="AJ31" i="27" s="1"/>
  <c r="AJ32" i="27" s="1"/>
  <c r="AJ33" i="27" s="1"/>
  <c r="AJ34" i="27" s="1"/>
  <c r="AJ35" i="27" s="1"/>
  <c r="AJ36" i="27" s="1"/>
  <c r="AJ37" i="27" s="1"/>
  <c r="AJ38" i="27" s="1"/>
  <c r="AJ39" i="27" s="1"/>
  <c r="AJ40" i="27" s="1"/>
  <c r="AJ41" i="27" s="1"/>
  <c r="AJ42" i="27" s="1"/>
  <c r="AJ43" i="27" s="1"/>
  <c r="AJ44" i="27" s="1"/>
  <c r="AJ45" i="27" s="1"/>
  <c r="AJ46" i="27" s="1"/>
  <c r="AJ47" i="27" s="1"/>
  <c r="AJ48" i="27" s="1"/>
  <c r="AJ49" i="27" s="1"/>
  <c r="AJ50" i="27" s="1"/>
  <c r="AJ51" i="27" s="1"/>
  <c r="AJ52" i="27" s="1"/>
  <c r="AJ53" i="27" s="1"/>
  <c r="AJ54" i="27" s="1"/>
  <c r="AJ55" i="27" s="1"/>
  <c r="AJ56" i="27" s="1"/>
  <c r="AJ57" i="27" s="1"/>
  <c r="AJ58" i="27" s="1"/>
  <c r="AJ59" i="27" s="1"/>
  <c r="AJ60" i="27" s="1"/>
  <c r="AJ61" i="27" s="1"/>
  <c r="AJ62" i="27" s="1"/>
  <c r="AJ63" i="27" s="1"/>
  <c r="AJ64" i="27" s="1"/>
  <c r="AJ65" i="27" s="1"/>
  <c r="AJ66" i="27" s="1"/>
  <c r="AJ67" i="27" s="1"/>
  <c r="AJ68" i="27" s="1"/>
  <c r="AJ69" i="27" s="1"/>
  <c r="AJ70" i="27" s="1"/>
  <c r="AJ71" i="27" s="1"/>
  <c r="AJ72" i="27" s="1"/>
  <c r="AJ73" i="27" s="1"/>
  <c r="AJ74" i="27" s="1"/>
  <c r="AJ75" i="27" s="1"/>
  <c r="AJ76" i="27" s="1"/>
  <c r="AJ77" i="27" s="1"/>
  <c r="AJ78" i="27" s="1"/>
  <c r="AJ79" i="27" s="1"/>
  <c r="AJ80" i="27" s="1"/>
  <c r="AJ81" i="27" s="1"/>
  <c r="AJ82" i="27" s="1"/>
  <c r="AJ83" i="27" s="1"/>
  <c r="AJ84" i="27" s="1"/>
  <c r="AJ85" i="27" s="1"/>
  <c r="AJ86" i="27" s="1"/>
  <c r="AJ87" i="27" s="1"/>
  <c r="AJ88" i="27" s="1"/>
  <c r="AJ89" i="27" s="1"/>
  <c r="AJ90" i="27" s="1"/>
  <c r="AJ91" i="27" s="1"/>
  <c r="AJ92" i="27" s="1"/>
  <c r="AJ93" i="27" s="1"/>
  <c r="AJ94" i="27" s="1"/>
  <c r="AJ95" i="27" s="1"/>
  <c r="AJ96" i="27" s="1"/>
  <c r="AJ97" i="27" s="1"/>
  <c r="AJ98" i="27" s="1"/>
  <c r="AJ99" i="27" s="1"/>
  <c r="AJ100" i="27" s="1"/>
  <c r="AJ101" i="27" s="1"/>
  <c r="AJ102" i="27" s="1"/>
  <c r="AJ103" i="27" s="1"/>
  <c r="AJ104" i="27" s="1"/>
  <c r="AJ105" i="27" s="1"/>
  <c r="AJ106" i="27" s="1"/>
  <c r="AJ107" i="27" s="1"/>
  <c r="AJ108" i="27" s="1"/>
  <c r="AJ109" i="27" s="1"/>
  <c r="AJ110" i="27" s="1"/>
  <c r="AJ111" i="27" s="1"/>
  <c r="AJ112" i="27" s="1"/>
  <c r="AJ113" i="27" s="1"/>
  <c r="AJ114" i="27" s="1"/>
  <c r="AJ115" i="27" s="1"/>
  <c r="AJ116" i="27" s="1"/>
  <c r="AJ117" i="27" s="1"/>
  <c r="AJ118" i="27" s="1"/>
  <c r="AJ119" i="27" s="1"/>
  <c r="AJ120" i="27" s="1"/>
  <c r="AJ121" i="27" s="1"/>
  <c r="AJ122" i="27" s="1"/>
  <c r="AJ123" i="27" s="1"/>
  <c r="AJ124" i="27" s="1"/>
  <c r="AJ125" i="27" s="1"/>
  <c r="AJ126" i="27" s="1"/>
  <c r="AJ127" i="27" s="1"/>
  <c r="AJ128" i="27" s="1"/>
  <c r="AJ129" i="27" s="1"/>
  <c r="AJ130" i="27" s="1"/>
  <c r="AJ131" i="27" s="1"/>
  <c r="AJ132" i="27" s="1"/>
  <c r="AJ133" i="27" s="1"/>
  <c r="AJ134" i="27" s="1"/>
  <c r="AJ135" i="27" s="1"/>
  <c r="AJ136" i="27" s="1"/>
  <c r="AJ137" i="27" s="1"/>
  <c r="AJ138" i="27" s="1"/>
  <c r="AJ139" i="27" s="1"/>
  <c r="AJ140" i="27" s="1"/>
  <c r="AJ141" i="27" s="1"/>
  <c r="AJ142" i="27" s="1"/>
  <c r="AJ143" i="27" s="1"/>
  <c r="AJ144" i="27" s="1"/>
  <c r="AJ145" i="27" s="1"/>
  <c r="AJ146" i="27" s="1"/>
  <c r="AJ147" i="27" s="1"/>
  <c r="AJ148" i="27" s="1"/>
  <c r="AJ149" i="27" s="1"/>
  <c r="AJ150" i="27" s="1"/>
  <c r="AJ151" i="27" s="1"/>
  <c r="AJ152" i="27" s="1"/>
  <c r="AJ153" i="27" s="1"/>
  <c r="AJ154" i="27" s="1"/>
  <c r="AJ155" i="27" s="1"/>
  <c r="AJ156" i="27" s="1"/>
  <c r="AJ157" i="27" s="1"/>
  <c r="AJ158" i="27" s="1"/>
  <c r="AJ159" i="27" s="1"/>
  <c r="AJ160" i="27" s="1"/>
  <c r="AJ161" i="27" s="1"/>
  <c r="AJ162" i="27" s="1"/>
  <c r="AJ163" i="27" s="1"/>
  <c r="AJ164" i="27" s="1"/>
  <c r="AJ165" i="27" s="1"/>
  <c r="AJ166" i="27" s="1"/>
  <c r="AJ167" i="27" s="1"/>
  <c r="AJ168" i="27" s="1"/>
  <c r="AJ169" i="27" s="1"/>
  <c r="AJ170" i="27" s="1"/>
  <c r="AJ171" i="27" s="1"/>
  <c r="AJ172" i="27" s="1"/>
  <c r="AJ173" i="27" s="1"/>
  <c r="AJ174" i="27" s="1"/>
  <c r="AJ175" i="27" s="1"/>
  <c r="AJ176" i="27" s="1"/>
  <c r="AJ177" i="27" s="1"/>
  <c r="AJ178" i="27" s="1"/>
  <c r="AJ179" i="27" s="1"/>
  <c r="AJ180" i="27" s="1"/>
  <c r="AJ181" i="27" s="1"/>
  <c r="AJ182" i="27" s="1"/>
  <c r="AJ183" i="27" s="1"/>
  <c r="AJ184" i="27" s="1"/>
  <c r="AJ185" i="27" s="1"/>
  <c r="AJ186" i="27" s="1"/>
  <c r="AJ187" i="27" s="1"/>
  <c r="AJ188" i="27" s="1"/>
  <c r="AJ189" i="27" s="1"/>
  <c r="AJ190" i="27" s="1"/>
  <c r="AJ191" i="27" s="1"/>
  <c r="AJ192" i="27" s="1"/>
  <c r="AJ193" i="27" s="1"/>
  <c r="AJ194" i="27" s="1"/>
  <c r="AJ195" i="27" s="1"/>
  <c r="AJ196" i="27" s="1"/>
  <c r="AJ197" i="27" s="1"/>
  <c r="AJ198" i="27" s="1"/>
  <c r="AJ199" i="27" s="1"/>
  <c r="AJ200" i="27" s="1"/>
  <c r="AJ201" i="27" s="1"/>
  <c r="AJ202" i="27" s="1"/>
  <c r="AJ203" i="27" s="1"/>
  <c r="AJ204" i="27" s="1"/>
  <c r="AJ205" i="27" s="1"/>
  <c r="AJ206" i="27" s="1"/>
  <c r="AJ207" i="27" s="1"/>
  <c r="AJ208" i="27" s="1"/>
  <c r="AJ209" i="27" s="1"/>
  <c r="AJ210" i="27" s="1"/>
  <c r="AJ211" i="27" s="1"/>
  <c r="AJ212" i="27" s="1"/>
  <c r="AJ213" i="27" s="1"/>
  <c r="AJ214" i="27" s="1"/>
  <c r="AJ215" i="27" s="1"/>
  <c r="AJ216" i="27" s="1"/>
  <c r="AJ217" i="27" s="1"/>
  <c r="AJ218" i="27" s="1"/>
  <c r="AJ219" i="27" s="1"/>
  <c r="AJ220" i="27" s="1"/>
  <c r="AJ221" i="27" s="1"/>
  <c r="AJ222" i="27" s="1"/>
  <c r="AJ223" i="27" s="1"/>
  <c r="AJ224" i="27" s="1"/>
  <c r="AJ225" i="27" s="1"/>
  <c r="AJ226" i="27" s="1"/>
  <c r="AJ227" i="27" s="1"/>
  <c r="AJ228" i="27" s="1"/>
  <c r="AJ229" i="27" s="1"/>
  <c r="AJ230" i="27" s="1"/>
  <c r="AJ231" i="27" s="1"/>
  <c r="AJ232" i="27" s="1"/>
  <c r="AJ233" i="27" s="1"/>
  <c r="AJ234" i="27" s="1"/>
  <c r="AJ235" i="27" s="1"/>
  <c r="AJ236" i="27" s="1"/>
  <c r="AJ237" i="27" s="1"/>
  <c r="AJ238" i="27" s="1"/>
  <c r="AJ239" i="27" s="1"/>
  <c r="AJ240" i="27" s="1"/>
  <c r="AJ241" i="27" s="1"/>
  <c r="AJ242" i="27" s="1"/>
  <c r="AJ243" i="27" s="1"/>
  <c r="AJ244" i="27" s="1"/>
  <c r="AJ245" i="27" s="1"/>
  <c r="AJ246" i="27" s="1"/>
  <c r="AJ247" i="27" s="1"/>
  <c r="AJ248" i="27" s="1"/>
  <c r="AJ249" i="27" s="1"/>
  <c r="AJ250" i="27" s="1"/>
  <c r="AJ251" i="27" s="1"/>
  <c r="AJ252" i="27" s="1"/>
  <c r="AJ253" i="27" s="1"/>
  <c r="AJ254" i="27" s="1"/>
  <c r="AJ255" i="27" s="1"/>
  <c r="AJ256" i="27" s="1"/>
  <c r="AJ257" i="27" s="1"/>
  <c r="AJ258" i="27" s="1"/>
  <c r="AJ259" i="27" s="1"/>
  <c r="AJ260" i="27" s="1"/>
  <c r="AJ261" i="27" s="1"/>
  <c r="AJ262" i="27" s="1"/>
  <c r="AJ263" i="27" s="1"/>
  <c r="AJ264" i="27" s="1"/>
  <c r="AJ265" i="27" s="1"/>
  <c r="AJ266" i="27" s="1"/>
  <c r="AJ267" i="27" s="1"/>
  <c r="AJ268" i="27" s="1"/>
  <c r="AJ269" i="27" s="1"/>
  <c r="AJ270" i="27" s="1"/>
  <c r="AJ271" i="27" s="1"/>
  <c r="AJ272" i="27" s="1"/>
  <c r="AJ273" i="27" s="1"/>
  <c r="AJ274" i="27" s="1"/>
  <c r="AJ275" i="27" s="1"/>
  <c r="AJ276" i="27" s="1"/>
  <c r="AJ277" i="27" s="1"/>
  <c r="AJ278" i="27" s="1"/>
  <c r="AJ279" i="27" s="1"/>
  <c r="AJ280" i="27" s="1"/>
  <c r="AJ281" i="27" s="1"/>
  <c r="AJ282" i="27" s="1"/>
  <c r="AJ283" i="27" s="1"/>
  <c r="AJ284" i="27" s="1"/>
  <c r="AJ285" i="27" s="1"/>
  <c r="AJ286" i="27" s="1"/>
  <c r="AJ287" i="27" s="1"/>
  <c r="AJ288" i="27" s="1"/>
  <c r="AJ289" i="27" s="1"/>
  <c r="AJ290" i="27" s="1"/>
  <c r="AJ291" i="27" s="1"/>
  <c r="AJ292" i="27" s="1"/>
  <c r="AJ293" i="27" s="1"/>
  <c r="AJ294" i="27" s="1"/>
  <c r="AJ295" i="27" s="1"/>
  <c r="AJ296" i="27" s="1"/>
  <c r="AJ297" i="27" s="1"/>
  <c r="AJ298" i="27" s="1"/>
  <c r="AJ299" i="27" s="1"/>
  <c r="AJ300" i="27" s="1"/>
  <c r="AJ301" i="27" s="1"/>
  <c r="AJ302" i="27" s="1"/>
  <c r="AJ303" i="27" s="1"/>
  <c r="AJ304" i="27" s="1"/>
  <c r="AJ305" i="27" s="1"/>
  <c r="AJ306" i="27" s="1"/>
  <c r="AJ307" i="27" s="1"/>
  <c r="AJ308" i="27" s="1"/>
  <c r="AJ309" i="27" s="1"/>
  <c r="AJ310" i="27" s="1"/>
  <c r="AJ311" i="27" s="1"/>
  <c r="AJ312" i="27" s="1"/>
  <c r="AJ313" i="27" s="1"/>
  <c r="AJ314" i="27" s="1"/>
  <c r="AJ315" i="27" s="1"/>
  <c r="AJ316" i="27" s="1"/>
  <c r="AJ317" i="27" s="1"/>
  <c r="AJ318" i="27" s="1"/>
  <c r="AJ319" i="27" s="1"/>
  <c r="AJ320" i="27" s="1"/>
  <c r="AJ321" i="27" s="1"/>
  <c r="AJ322" i="27" s="1"/>
  <c r="AJ323" i="27" s="1"/>
  <c r="AJ324" i="27" s="1"/>
  <c r="AJ325" i="27" s="1"/>
  <c r="AJ326" i="27" s="1"/>
  <c r="AJ327" i="27" s="1"/>
  <c r="AJ328" i="27" s="1"/>
  <c r="AJ329" i="27" s="1"/>
  <c r="AJ330" i="27" s="1"/>
  <c r="AJ331" i="27" s="1"/>
  <c r="AJ332" i="27" s="1"/>
  <c r="AJ333" i="27" s="1"/>
  <c r="AJ334" i="27" s="1"/>
  <c r="AJ335" i="27" s="1"/>
  <c r="AJ336" i="27" s="1"/>
  <c r="AJ337" i="27" s="1"/>
  <c r="AJ338" i="27" s="1"/>
  <c r="AJ339" i="27" s="1"/>
  <c r="AJ340" i="27" s="1"/>
  <c r="AJ341" i="27" s="1"/>
  <c r="AJ342" i="27" s="1"/>
  <c r="AJ343" i="27" s="1"/>
  <c r="AJ344" i="27" s="1"/>
  <c r="AJ345" i="27" s="1"/>
  <c r="AJ346" i="27" s="1"/>
  <c r="AJ347" i="27" s="1"/>
  <c r="AJ348" i="27" s="1"/>
  <c r="AJ349" i="27" s="1"/>
  <c r="AJ350" i="27" s="1"/>
  <c r="AJ351" i="27" s="1"/>
  <c r="AJ352" i="27" s="1"/>
  <c r="AJ353" i="27" s="1"/>
  <c r="AJ354" i="27" s="1"/>
  <c r="AJ355" i="27" s="1"/>
  <c r="AJ356" i="27" s="1"/>
  <c r="AJ357" i="27" s="1"/>
  <c r="AJ358" i="27" s="1"/>
  <c r="AJ359" i="27" s="1"/>
  <c r="AJ360" i="27" s="1"/>
  <c r="AJ361" i="27" s="1"/>
  <c r="AJ362" i="27" s="1"/>
  <c r="AJ363" i="27" s="1"/>
  <c r="AJ364" i="27" s="1"/>
  <c r="AJ365" i="27" s="1"/>
  <c r="AJ366" i="27" s="1"/>
  <c r="AJ367" i="27" s="1"/>
  <c r="AJ368" i="27" s="1"/>
  <c r="AJ369" i="27" s="1"/>
  <c r="AJ370" i="27" s="1"/>
  <c r="AJ371" i="27" s="1"/>
  <c r="AJ372" i="27" s="1"/>
  <c r="AJ373" i="27" s="1"/>
  <c r="AJ374" i="27" s="1"/>
  <c r="AJ375" i="27" s="1"/>
  <c r="AJ376" i="27" s="1"/>
  <c r="AJ377" i="27" s="1"/>
  <c r="AJ378" i="27" s="1"/>
  <c r="AJ379" i="27" s="1"/>
  <c r="AJ380" i="27" s="1"/>
  <c r="AJ381" i="27" s="1"/>
  <c r="AJ382" i="27" s="1"/>
  <c r="AJ383" i="27" s="1"/>
  <c r="AJ384" i="27" s="1"/>
  <c r="AJ385" i="27" s="1"/>
  <c r="AJ386" i="27" s="1"/>
  <c r="AJ387" i="27" s="1"/>
  <c r="AJ388" i="27" s="1"/>
  <c r="AJ389" i="27" s="1"/>
  <c r="AJ390" i="27" s="1"/>
  <c r="AJ391" i="27" s="1"/>
  <c r="AJ392" i="27" s="1"/>
  <c r="AJ393" i="27" s="1"/>
  <c r="AJ394" i="27" s="1"/>
  <c r="AJ395" i="27" s="1"/>
  <c r="AJ396" i="27" s="1"/>
  <c r="AJ397" i="27" s="1"/>
  <c r="AJ398" i="27" s="1"/>
  <c r="AJ399" i="27" s="1"/>
  <c r="AJ400" i="27" s="1"/>
  <c r="AJ401" i="27" s="1"/>
  <c r="AJ402" i="27" s="1"/>
  <c r="AJ403" i="27" s="1"/>
  <c r="AJ404" i="27" s="1"/>
  <c r="AJ405" i="27" s="1"/>
  <c r="AJ406" i="27" s="1"/>
  <c r="AJ407" i="27" s="1"/>
  <c r="AJ408" i="27" s="1"/>
  <c r="AJ409" i="27" s="1"/>
  <c r="AJ410" i="27" s="1"/>
  <c r="AJ411" i="27" s="1"/>
  <c r="AJ412" i="27" s="1"/>
  <c r="AJ413" i="27" s="1"/>
  <c r="AJ414" i="27" s="1"/>
  <c r="AJ415" i="27" s="1"/>
  <c r="AJ416" i="27" s="1"/>
  <c r="AJ417" i="27" s="1"/>
  <c r="AJ418" i="27" s="1"/>
  <c r="AJ419" i="27" s="1"/>
  <c r="AJ420" i="27" s="1"/>
  <c r="AJ421" i="27" s="1"/>
  <c r="AJ422" i="27" s="1"/>
  <c r="AJ423" i="27" s="1"/>
  <c r="AJ424" i="27" s="1"/>
  <c r="AJ425" i="27" s="1"/>
  <c r="AJ426" i="27" s="1"/>
  <c r="AJ427" i="27" s="1"/>
  <c r="AJ428" i="27" s="1"/>
  <c r="AJ429" i="27" s="1"/>
  <c r="AJ430" i="27" s="1"/>
  <c r="AJ431" i="27" s="1"/>
  <c r="AJ432" i="27" s="1"/>
  <c r="AJ433" i="27" s="1"/>
  <c r="AJ434" i="27" s="1"/>
  <c r="AJ435" i="27" s="1"/>
  <c r="AJ436" i="27" s="1"/>
  <c r="AJ437" i="27" s="1"/>
  <c r="AJ438" i="27" s="1"/>
  <c r="AJ439" i="27" s="1"/>
  <c r="AJ440" i="27" s="1"/>
  <c r="AJ441" i="27" s="1"/>
  <c r="AJ442" i="27" s="1"/>
  <c r="AJ443" i="27" s="1"/>
  <c r="AJ444" i="27" s="1"/>
  <c r="AJ445" i="27" s="1"/>
  <c r="AJ446" i="27" s="1"/>
  <c r="AJ447" i="27" s="1"/>
  <c r="AJ448" i="27" s="1"/>
  <c r="AJ449" i="27" s="1"/>
  <c r="AJ450" i="27" s="1"/>
  <c r="AJ451" i="27" s="1"/>
  <c r="AJ452" i="27" s="1"/>
  <c r="AJ453" i="27" s="1"/>
  <c r="AJ454" i="27" s="1"/>
  <c r="AJ455" i="27" s="1"/>
  <c r="AJ456" i="27" s="1"/>
  <c r="AJ457" i="27" s="1"/>
  <c r="AJ458" i="27" s="1"/>
  <c r="AJ459" i="27" s="1"/>
  <c r="AJ460" i="27" s="1"/>
  <c r="AJ461" i="27" s="1"/>
  <c r="AJ462" i="27" s="1"/>
  <c r="AJ463" i="27" s="1"/>
  <c r="AJ464" i="27" s="1"/>
  <c r="AJ465" i="27" s="1"/>
  <c r="AJ466" i="27" s="1"/>
  <c r="AJ467" i="27" s="1"/>
  <c r="AJ468" i="27" s="1"/>
  <c r="AJ469" i="27" s="1"/>
  <c r="AJ470" i="27" s="1"/>
  <c r="AJ471" i="27" s="1"/>
  <c r="AJ472" i="27" s="1"/>
  <c r="AJ473" i="27" s="1"/>
  <c r="AJ474" i="27" s="1"/>
  <c r="AJ475" i="27" s="1"/>
  <c r="AJ476" i="27" s="1"/>
  <c r="AJ477" i="27" s="1"/>
  <c r="AJ478" i="27" s="1"/>
  <c r="AJ479" i="27" s="1"/>
  <c r="AJ480" i="27" s="1"/>
  <c r="AJ481" i="27" s="1"/>
  <c r="AJ482" i="27" s="1"/>
  <c r="AJ483" i="27" s="1"/>
  <c r="AJ484" i="27" s="1"/>
  <c r="AJ485" i="27" s="1"/>
  <c r="AJ486" i="27" s="1"/>
  <c r="AJ487" i="27" s="1"/>
  <c r="AJ488" i="27" s="1"/>
  <c r="AJ489" i="27" s="1"/>
  <c r="AJ490" i="27" s="1"/>
  <c r="AJ491" i="27" s="1"/>
  <c r="AJ492" i="27" s="1"/>
  <c r="AJ493" i="27" s="1"/>
  <c r="AJ494" i="27" s="1"/>
  <c r="AJ495" i="27" s="1"/>
  <c r="AJ496" i="27" s="1"/>
  <c r="AJ497" i="27" s="1"/>
  <c r="AJ498" i="27" s="1"/>
  <c r="AJ499" i="27" s="1"/>
  <c r="AJ500" i="27" s="1"/>
  <c r="AJ501" i="27" s="1"/>
  <c r="AJ502" i="27" s="1"/>
  <c r="AJ503" i="27" s="1"/>
  <c r="AJ504" i="27" s="1"/>
  <c r="AJ505" i="27" s="1"/>
  <c r="AJ506" i="27" s="1"/>
  <c r="AJ507" i="27" s="1"/>
  <c r="AJ508" i="27" s="1"/>
  <c r="AJ509" i="27" s="1"/>
  <c r="AJ510" i="27" s="1"/>
  <c r="AJ511" i="27" s="1"/>
  <c r="AJ512" i="27" s="1"/>
  <c r="AJ513" i="27" s="1"/>
  <c r="AJ514" i="27" s="1"/>
  <c r="AJ515" i="27" s="1"/>
  <c r="AJ516" i="27" s="1"/>
  <c r="AJ517" i="27" s="1"/>
  <c r="AJ518" i="27" s="1"/>
  <c r="AJ519" i="27" s="1"/>
  <c r="AJ520" i="27" s="1"/>
  <c r="AJ521" i="27" s="1"/>
  <c r="AJ522" i="27" s="1"/>
  <c r="AJ523" i="27" s="1"/>
  <c r="AJ524" i="27" s="1"/>
  <c r="AJ525" i="27" s="1"/>
  <c r="AJ526" i="27" s="1"/>
  <c r="AJ527" i="27" s="1"/>
  <c r="AJ528" i="27" s="1"/>
  <c r="AJ529" i="27" s="1"/>
  <c r="AJ530" i="27" s="1"/>
  <c r="AJ531" i="27" s="1"/>
  <c r="AJ532" i="27" s="1"/>
  <c r="AJ533" i="27" s="1"/>
  <c r="AJ534" i="27" s="1"/>
  <c r="AJ535" i="27" s="1"/>
  <c r="AJ536" i="27" s="1"/>
  <c r="AJ537" i="27" s="1"/>
  <c r="AJ538" i="27" s="1"/>
  <c r="AJ539" i="27" s="1"/>
  <c r="AJ540" i="27" s="1"/>
  <c r="AJ541" i="27" s="1"/>
  <c r="AJ542" i="27" s="1"/>
  <c r="AJ543" i="27" s="1"/>
  <c r="AJ544" i="27" s="1"/>
  <c r="AJ545" i="27" s="1"/>
  <c r="AJ546" i="27" s="1"/>
  <c r="AJ547" i="27" s="1"/>
  <c r="AJ548" i="27" s="1"/>
  <c r="AJ549" i="27" s="1"/>
  <c r="AJ550" i="27" s="1"/>
  <c r="AJ551" i="27" s="1"/>
  <c r="AJ552" i="27" s="1"/>
  <c r="AJ553" i="27" s="1"/>
  <c r="AJ554" i="27" s="1"/>
  <c r="AJ555" i="27" s="1"/>
  <c r="AJ556" i="27" s="1"/>
  <c r="AJ557" i="27" s="1"/>
  <c r="AJ558" i="27" s="1"/>
  <c r="AJ559" i="27" s="1"/>
  <c r="AJ560" i="27" s="1"/>
  <c r="AJ561" i="27" s="1"/>
  <c r="AJ562" i="27" s="1"/>
  <c r="AJ563" i="27" s="1"/>
  <c r="AJ564" i="27" s="1"/>
  <c r="AJ565" i="27" s="1"/>
  <c r="AJ566" i="27" s="1"/>
  <c r="AJ567" i="27" s="1"/>
  <c r="AJ568" i="27" s="1"/>
  <c r="AJ569" i="27" s="1"/>
  <c r="AJ570" i="27" s="1"/>
  <c r="AJ571" i="27" s="1"/>
  <c r="AJ572" i="27" s="1"/>
  <c r="AJ573" i="27" s="1"/>
  <c r="AJ574" i="27" s="1"/>
  <c r="AJ575" i="27" s="1"/>
  <c r="AJ576" i="27" s="1"/>
  <c r="AJ577" i="27" s="1"/>
  <c r="AJ578" i="27" s="1"/>
  <c r="AJ579" i="27" s="1"/>
  <c r="AJ580" i="27" s="1"/>
  <c r="AJ581" i="27" s="1"/>
  <c r="AJ582" i="27" s="1"/>
  <c r="AJ583" i="27" s="1"/>
  <c r="AJ584" i="27" s="1"/>
  <c r="AJ585" i="27" s="1"/>
  <c r="AJ586" i="27" s="1"/>
  <c r="AJ587" i="27" s="1"/>
  <c r="AJ588" i="27" s="1"/>
  <c r="AJ589" i="27" s="1"/>
  <c r="AJ590" i="27" s="1"/>
  <c r="AJ591" i="27" s="1"/>
  <c r="AJ592" i="27" s="1"/>
  <c r="AJ593" i="27" s="1"/>
  <c r="AJ594" i="27" s="1"/>
  <c r="AJ595" i="27" s="1"/>
  <c r="AJ596" i="27" s="1"/>
  <c r="AJ597" i="27" s="1"/>
  <c r="AJ598" i="27" s="1"/>
  <c r="AJ599" i="27" s="1"/>
  <c r="AJ600" i="27" s="1"/>
  <c r="AJ601" i="27" s="1"/>
  <c r="AJ602" i="27" s="1"/>
  <c r="AJ603" i="27" s="1"/>
  <c r="AJ604" i="27" s="1"/>
  <c r="AJ605" i="27" s="1"/>
  <c r="AJ606" i="27" s="1"/>
  <c r="AJ607" i="27" s="1"/>
  <c r="AJ608" i="27" s="1"/>
  <c r="AJ609" i="27" s="1"/>
  <c r="AJ610" i="27" s="1"/>
  <c r="AJ611" i="27" s="1"/>
  <c r="AJ612" i="27" s="1"/>
  <c r="AJ613" i="27" s="1"/>
  <c r="AJ614" i="27" s="1"/>
  <c r="AJ615" i="27" s="1"/>
  <c r="AJ616" i="27" s="1"/>
  <c r="AJ617" i="27" s="1"/>
  <c r="AJ618" i="27" s="1"/>
  <c r="AJ619" i="27" s="1"/>
  <c r="AJ620" i="27" s="1"/>
  <c r="AJ621" i="27" s="1"/>
  <c r="AJ622" i="27" s="1"/>
  <c r="AJ623" i="27" s="1"/>
  <c r="AJ624" i="27" s="1"/>
  <c r="AJ625" i="27" s="1"/>
  <c r="AJ626" i="27" s="1"/>
  <c r="AJ627" i="27" s="1"/>
  <c r="AJ628" i="27" s="1"/>
  <c r="AJ629" i="27" s="1"/>
  <c r="AJ630" i="27" s="1"/>
  <c r="AJ631" i="27" s="1"/>
  <c r="AJ632" i="27" s="1"/>
  <c r="AJ633" i="27" s="1"/>
  <c r="AJ634" i="27" s="1"/>
  <c r="AJ635" i="27" s="1"/>
  <c r="AJ636" i="27" s="1"/>
  <c r="AJ637" i="27" s="1"/>
  <c r="AJ638" i="27" s="1"/>
  <c r="AJ639" i="27" s="1"/>
  <c r="AJ640" i="27" s="1"/>
  <c r="AJ641" i="27" s="1"/>
  <c r="AJ642" i="27" s="1"/>
  <c r="AJ643" i="27" s="1"/>
  <c r="AJ644" i="27" s="1"/>
  <c r="AJ645" i="27" s="1"/>
  <c r="AJ646" i="27" s="1"/>
  <c r="AJ647" i="27" s="1"/>
  <c r="AJ648" i="27" s="1"/>
  <c r="AJ649" i="27" s="1"/>
  <c r="AJ650" i="27" s="1"/>
  <c r="AJ651" i="27" s="1"/>
  <c r="AJ652" i="27" s="1"/>
  <c r="AJ653" i="27" s="1"/>
  <c r="AJ654" i="27" s="1"/>
  <c r="AJ655" i="27" s="1"/>
  <c r="AJ656" i="27" s="1"/>
  <c r="AJ657" i="27" s="1"/>
  <c r="AJ658" i="27" s="1"/>
  <c r="AJ659" i="27" s="1"/>
  <c r="AJ660" i="27" s="1"/>
  <c r="AJ661" i="27" s="1"/>
  <c r="AJ662" i="27" s="1"/>
  <c r="AJ663" i="27" s="1"/>
  <c r="AJ664" i="27" s="1"/>
  <c r="AJ665" i="27" s="1"/>
  <c r="AJ666" i="27" s="1"/>
  <c r="AJ667" i="27" s="1"/>
  <c r="AJ668" i="27" s="1"/>
  <c r="AJ669" i="27" s="1"/>
  <c r="AJ670" i="27" s="1"/>
  <c r="AJ671" i="27" s="1"/>
  <c r="AJ672" i="27" s="1"/>
  <c r="AJ673" i="27" s="1"/>
  <c r="AJ674" i="27" s="1"/>
  <c r="AJ675" i="27" s="1"/>
  <c r="AJ676" i="27" s="1"/>
  <c r="AJ677" i="27" s="1"/>
  <c r="AJ678" i="27" s="1"/>
  <c r="AJ679" i="27" s="1"/>
  <c r="AJ680" i="27" s="1"/>
  <c r="AJ681" i="27" s="1"/>
  <c r="AJ682" i="27" s="1"/>
  <c r="AJ683" i="27" s="1"/>
  <c r="AJ684" i="27" s="1"/>
  <c r="AJ685" i="27" s="1"/>
  <c r="AJ686" i="27" s="1"/>
  <c r="AJ687" i="27" s="1"/>
  <c r="AJ688" i="27" s="1"/>
  <c r="AJ689" i="27" s="1"/>
  <c r="AJ690" i="27" s="1"/>
  <c r="AJ691" i="27" s="1"/>
  <c r="AJ692" i="27" s="1"/>
  <c r="AJ693" i="27" s="1"/>
  <c r="AJ694" i="27" s="1"/>
  <c r="AJ695" i="27" s="1"/>
  <c r="AJ696" i="27" s="1"/>
  <c r="AJ697" i="27" s="1"/>
  <c r="AJ698" i="27" s="1"/>
  <c r="AJ699" i="27" s="1"/>
  <c r="AJ700" i="27" s="1"/>
  <c r="AJ701" i="27" s="1"/>
  <c r="AJ702" i="27" s="1"/>
  <c r="AJ703" i="27" s="1"/>
  <c r="AJ704" i="27" s="1"/>
  <c r="AJ705" i="27" s="1"/>
  <c r="AJ706" i="27" s="1"/>
  <c r="AJ707" i="27" s="1"/>
  <c r="AJ708" i="27" s="1"/>
  <c r="AJ709" i="27" s="1"/>
  <c r="AJ710" i="27" s="1"/>
  <c r="AJ711" i="27" s="1"/>
  <c r="AJ712" i="27" s="1"/>
  <c r="AJ713" i="27" s="1"/>
  <c r="AJ714" i="27" s="1"/>
  <c r="AJ715" i="27" s="1"/>
  <c r="AJ716" i="27" s="1"/>
  <c r="AJ717" i="27" s="1"/>
  <c r="AJ718" i="27" s="1"/>
  <c r="AJ719" i="27" s="1"/>
  <c r="AJ720" i="27" s="1"/>
  <c r="AJ721" i="27" s="1"/>
  <c r="AJ722" i="27" s="1"/>
  <c r="AJ723" i="27" s="1"/>
  <c r="AJ724" i="27" s="1"/>
  <c r="AJ725" i="27" s="1"/>
  <c r="AJ726" i="27" s="1"/>
  <c r="AJ727" i="27" s="1"/>
  <c r="AJ728" i="27" s="1"/>
  <c r="AI10" i="27"/>
  <c r="AI11" i="27" s="1"/>
  <c r="AI12" i="27" s="1"/>
  <c r="AI13" i="27" s="1"/>
  <c r="AI14" i="27" s="1"/>
  <c r="AI15" i="27" s="1"/>
  <c r="AI16" i="27" s="1"/>
  <c r="AI17" i="27" s="1"/>
  <c r="AI18" i="27" s="1"/>
  <c r="AI19" i="27" s="1"/>
  <c r="AI20" i="27" s="1"/>
  <c r="AI21" i="27" s="1"/>
  <c r="AI22" i="27" s="1"/>
  <c r="AI23" i="27" s="1"/>
  <c r="AI24" i="27" s="1"/>
  <c r="AI25" i="27" s="1"/>
  <c r="AI26" i="27" s="1"/>
  <c r="AI27" i="27" s="1"/>
  <c r="AI28" i="27" s="1"/>
  <c r="AI29" i="27" s="1"/>
  <c r="AI30" i="27" s="1"/>
  <c r="AI31" i="27" s="1"/>
  <c r="AI32" i="27" s="1"/>
  <c r="AI33" i="27" s="1"/>
  <c r="AI34" i="27" s="1"/>
  <c r="AI35" i="27" s="1"/>
  <c r="AI36" i="27" s="1"/>
  <c r="AI37" i="27" s="1"/>
  <c r="AI38" i="27" s="1"/>
  <c r="AI39" i="27" s="1"/>
  <c r="AI40" i="27" s="1"/>
  <c r="AI41" i="27" s="1"/>
  <c r="AI42" i="27" s="1"/>
  <c r="AI43" i="27" s="1"/>
  <c r="AI44" i="27" s="1"/>
  <c r="AI45" i="27" s="1"/>
  <c r="AI46" i="27" s="1"/>
  <c r="AI47" i="27" s="1"/>
  <c r="AI48" i="27" s="1"/>
  <c r="AI49" i="27" s="1"/>
  <c r="AI50" i="27" s="1"/>
  <c r="AI51" i="27" s="1"/>
  <c r="AI52" i="27" s="1"/>
  <c r="AI53" i="27" s="1"/>
  <c r="AI54" i="27" s="1"/>
  <c r="AI55" i="27" s="1"/>
  <c r="AI56" i="27" s="1"/>
  <c r="AI57" i="27" s="1"/>
  <c r="AI58" i="27" s="1"/>
  <c r="AI59" i="27" s="1"/>
  <c r="AI60" i="27" s="1"/>
  <c r="AI61" i="27" s="1"/>
  <c r="AI62" i="27" s="1"/>
  <c r="AI63" i="27" s="1"/>
  <c r="AI64" i="27" s="1"/>
  <c r="AI65" i="27" s="1"/>
  <c r="AI66" i="27" s="1"/>
  <c r="AI67" i="27" s="1"/>
  <c r="AI68" i="27" s="1"/>
  <c r="AI69" i="27" s="1"/>
  <c r="AI70" i="27" s="1"/>
  <c r="AI71" i="27" s="1"/>
  <c r="AI72" i="27" s="1"/>
  <c r="AI73" i="27" s="1"/>
  <c r="AI74" i="27" s="1"/>
  <c r="AI75" i="27" s="1"/>
  <c r="AI76" i="27" s="1"/>
  <c r="AI77" i="27" s="1"/>
  <c r="AI78" i="27" s="1"/>
  <c r="AI79" i="27" s="1"/>
  <c r="AI80" i="27" s="1"/>
  <c r="AI81" i="27" s="1"/>
  <c r="AI82" i="27" s="1"/>
  <c r="AI83" i="27" s="1"/>
  <c r="AI84" i="27" s="1"/>
  <c r="AI85" i="27" s="1"/>
  <c r="AI86" i="27" s="1"/>
  <c r="AI87" i="27" s="1"/>
  <c r="AI88" i="27" s="1"/>
  <c r="AI89" i="27" s="1"/>
  <c r="AI90" i="27" s="1"/>
  <c r="AI91" i="27" s="1"/>
  <c r="AI92" i="27" s="1"/>
  <c r="AI93" i="27" s="1"/>
  <c r="AI94" i="27" s="1"/>
  <c r="AI95" i="27" s="1"/>
  <c r="AI96" i="27" s="1"/>
  <c r="AI97" i="27" s="1"/>
  <c r="AI98" i="27" s="1"/>
  <c r="AI99" i="27" s="1"/>
  <c r="AI100" i="27" s="1"/>
  <c r="AI101" i="27" s="1"/>
  <c r="AI102" i="27" s="1"/>
  <c r="AI103" i="27" s="1"/>
  <c r="AI104" i="27" s="1"/>
  <c r="AI105" i="27" s="1"/>
  <c r="AI106" i="27" s="1"/>
  <c r="AI107" i="27" s="1"/>
  <c r="AI108" i="27" s="1"/>
  <c r="AI109" i="27" s="1"/>
  <c r="AI110" i="27" s="1"/>
  <c r="AI111" i="27" s="1"/>
  <c r="AI112" i="27" s="1"/>
  <c r="AI113" i="27" s="1"/>
  <c r="AI114" i="27" s="1"/>
  <c r="AI115" i="27" s="1"/>
  <c r="AI116" i="27" s="1"/>
  <c r="AI117" i="27" s="1"/>
  <c r="AI118" i="27" s="1"/>
  <c r="AI119" i="27" s="1"/>
  <c r="AI120" i="27" s="1"/>
  <c r="AI121" i="27" s="1"/>
  <c r="AI122" i="27" s="1"/>
  <c r="AI123" i="27" s="1"/>
  <c r="AI124" i="27" s="1"/>
  <c r="AI125" i="27" s="1"/>
  <c r="AI126" i="27" s="1"/>
  <c r="AI127" i="27" s="1"/>
  <c r="AI128" i="27" s="1"/>
  <c r="AI129" i="27" s="1"/>
  <c r="AI130" i="27" s="1"/>
  <c r="AI131" i="27" s="1"/>
  <c r="AI132" i="27" s="1"/>
  <c r="AI133" i="27" s="1"/>
  <c r="AI134" i="27" s="1"/>
  <c r="AI135" i="27" s="1"/>
  <c r="AI136" i="27" s="1"/>
  <c r="AI137" i="27" s="1"/>
  <c r="AI138" i="27" s="1"/>
  <c r="AI139" i="27" s="1"/>
  <c r="AI140" i="27" s="1"/>
  <c r="AI141" i="27" s="1"/>
  <c r="AI142" i="27" s="1"/>
  <c r="AI143" i="27" s="1"/>
  <c r="AI144" i="27" s="1"/>
  <c r="AI145" i="27" s="1"/>
  <c r="AI146" i="27" s="1"/>
  <c r="AI147" i="27" s="1"/>
  <c r="AI148" i="27" s="1"/>
  <c r="AI149" i="27" s="1"/>
  <c r="AI150" i="27" s="1"/>
  <c r="AI151" i="27" s="1"/>
  <c r="AI152" i="27" s="1"/>
  <c r="AI153" i="27" s="1"/>
  <c r="AI154" i="27" s="1"/>
  <c r="AI155" i="27" s="1"/>
  <c r="AI156" i="27" s="1"/>
  <c r="AI157" i="27" s="1"/>
  <c r="AI158" i="27" s="1"/>
  <c r="AI159" i="27" s="1"/>
  <c r="AI160" i="27" s="1"/>
  <c r="AI161" i="27" s="1"/>
  <c r="AI162" i="27" s="1"/>
  <c r="AI163" i="27" s="1"/>
  <c r="AI164" i="27" s="1"/>
  <c r="AI165" i="27" s="1"/>
  <c r="AI166" i="27" s="1"/>
  <c r="AI167" i="27" s="1"/>
  <c r="AI168" i="27" s="1"/>
  <c r="AI169" i="27" s="1"/>
  <c r="AI170" i="27" s="1"/>
  <c r="AI171" i="27" s="1"/>
  <c r="AI172" i="27" s="1"/>
  <c r="AI173" i="27" s="1"/>
  <c r="AI174" i="27" s="1"/>
  <c r="AI175" i="27" s="1"/>
  <c r="AI176" i="27" s="1"/>
  <c r="AI177" i="27" s="1"/>
  <c r="AI178" i="27" s="1"/>
  <c r="AI179" i="27" s="1"/>
  <c r="AI180" i="27" s="1"/>
  <c r="AI181" i="27" s="1"/>
  <c r="AI182" i="27" s="1"/>
  <c r="AI183" i="27" s="1"/>
  <c r="AI184" i="27" s="1"/>
  <c r="AI185" i="27" s="1"/>
  <c r="AI186" i="27" s="1"/>
  <c r="AI187" i="27" s="1"/>
  <c r="AI188" i="27" s="1"/>
  <c r="AI189" i="27" s="1"/>
  <c r="AI190" i="27" s="1"/>
  <c r="AI191" i="27" s="1"/>
  <c r="AI192" i="27" s="1"/>
  <c r="AI193" i="27" s="1"/>
  <c r="AI194" i="27" s="1"/>
  <c r="AI195" i="27" s="1"/>
  <c r="AI196" i="27" s="1"/>
  <c r="AI197" i="27" s="1"/>
  <c r="AI198" i="27" s="1"/>
  <c r="AI199" i="27" s="1"/>
  <c r="AI200" i="27" s="1"/>
  <c r="AI201" i="27" s="1"/>
  <c r="AI202" i="27" s="1"/>
  <c r="AI203" i="27" s="1"/>
  <c r="AI204" i="27" s="1"/>
  <c r="AI205" i="27" s="1"/>
  <c r="AI206" i="27" s="1"/>
  <c r="AI207" i="27" s="1"/>
  <c r="AI208" i="27" s="1"/>
  <c r="AI209" i="27" s="1"/>
  <c r="AI210" i="27" s="1"/>
  <c r="AI211" i="27" s="1"/>
  <c r="AI212" i="27" s="1"/>
  <c r="AI213" i="27" s="1"/>
  <c r="AI214" i="27" s="1"/>
  <c r="AI215" i="27" s="1"/>
  <c r="AI216" i="27" s="1"/>
  <c r="AI217" i="27" s="1"/>
  <c r="AI218" i="27" s="1"/>
  <c r="AI219" i="27" s="1"/>
  <c r="AI220" i="27" s="1"/>
  <c r="AI221" i="27" s="1"/>
  <c r="AI222" i="27" s="1"/>
  <c r="AI223" i="27" s="1"/>
  <c r="AI224" i="27" s="1"/>
  <c r="AI225" i="27" s="1"/>
  <c r="AI226" i="27" s="1"/>
  <c r="AI227" i="27" s="1"/>
  <c r="AI228" i="27" s="1"/>
  <c r="AI229" i="27" s="1"/>
  <c r="AI230" i="27" s="1"/>
  <c r="AI231" i="27" s="1"/>
  <c r="AI232" i="27" s="1"/>
  <c r="AI233" i="27" s="1"/>
  <c r="AI234" i="27" s="1"/>
  <c r="AI235" i="27" s="1"/>
  <c r="AI236" i="27" s="1"/>
  <c r="AI237" i="27" s="1"/>
  <c r="AI238" i="27" s="1"/>
  <c r="AI239" i="27" s="1"/>
  <c r="AI240" i="27" s="1"/>
  <c r="AI241" i="27" s="1"/>
  <c r="AI242" i="27" s="1"/>
  <c r="AI243" i="27" s="1"/>
  <c r="AI244" i="27" s="1"/>
  <c r="AI245" i="27" s="1"/>
  <c r="AI246" i="27" s="1"/>
  <c r="AI247" i="27" s="1"/>
  <c r="AI248" i="27" s="1"/>
  <c r="AI249" i="27" s="1"/>
  <c r="AI250" i="27" s="1"/>
  <c r="AI251" i="27" s="1"/>
  <c r="AI252" i="27" s="1"/>
  <c r="AI253" i="27" s="1"/>
  <c r="AI254" i="27" s="1"/>
  <c r="AI255" i="27" s="1"/>
  <c r="AI256" i="27" s="1"/>
  <c r="AI257" i="27" s="1"/>
  <c r="AI258" i="27" s="1"/>
  <c r="AI259" i="27" s="1"/>
  <c r="AI260" i="27" s="1"/>
  <c r="AI261" i="27" s="1"/>
  <c r="AI262" i="27" s="1"/>
  <c r="AI263" i="27" s="1"/>
  <c r="AI264" i="27" s="1"/>
  <c r="AI265" i="27" s="1"/>
  <c r="AI266" i="27" s="1"/>
  <c r="AI267" i="27" s="1"/>
  <c r="AI268" i="27" s="1"/>
  <c r="AI269" i="27" s="1"/>
  <c r="AI270" i="27" s="1"/>
  <c r="AI271" i="27" s="1"/>
  <c r="AI272" i="27" s="1"/>
  <c r="AI273" i="27" s="1"/>
  <c r="AI274" i="27" s="1"/>
  <c r="AI275" i="27" s="1"/>
  <c r="AI276" i="27" s="1"/>
  <c r="AI277" i="27" s="1"/>
  <c r="AI278" i="27" s="1"/>
  <c r="AI279" i="27" s="1"/>
  <c r="AI280" i="27" s="1"/>
  <c r="AI281" i="27" s="1"/>
  <c r="AI282" i="27" s="1"/>
  <c r="AI283" i="27" s="1"/>
  <c r="AI284" i="27" s="1"/>
  <c r="AI285" i="27" s="1"/>
  <c r="AI286" i="27" s="1"/>
  <c r="AI287" i="27" s="1"/>
  <c r="AI288" i="27" s="1"/>
  <c r="AI289" i="27" s="1"/>
  <c r="AI290" i="27" s="1"/>
  <c r="AI291" i="27" s="1"/>
  <c r="AI292" i="27" s="1"/>
  <c r="AI293" i="27" s="1"/>
  <c r="AI294" i="27" s="1"/>
  <c r="AI295" i="27" s="1"/>
  <c r="AI296" i="27" s="1"/>
  <c r="AI297" i="27" s="1"/>
  <c r="AI298" i="27" s="1"/>
  <c r="AI299" i="27" s="1"/>
  <c r="AI300" i="27" s="1"/>
  <c r="AI301" i="27" s="1"/>
  <c r="AI302" i="27" s="1"/>
  <c r="AI303" i="27" s="1"/>
  <c r="AI304" i="27" s="1"/>
  <c r="AI305" i="27" s="1"/>
  <c r="AI306" i="27" s="1"/>
  <c r="AI307" i="27" s="1"/>
  <c r="AI308" i="27" s="1"/>
  <c r="AI309" i="27" s="1"/>
  <c r="AI310" i="27" s="1"/>
  <c r="AI311" i="27" s="1"/>
  <c r="AI312" i="27" s="1"/>
  <c r="AI313" i="27" s="1"/>
  <c r="AI314" i="27" s="1"/>
  <c r="AI315" i="27" s="1"/>
  <c r="AI316" i="27" s="1"/>
  <c r="AI317" i="27" s="1"/>
  <c r="AI318" i="27" s="1"/>
  <c r="AI319" i="27" s="1"/>
  <c r="AI320" i="27" s="1"/>
  <c r="AI321" i="27" s="1"/>
  <c r="AI322" i="27" s="1"/>
  <c r="AI323" i="27" s="1"/>
  <c r="AI324" i="27" s="1"/>
  <c r="AI325" i="27" s="1"/>
  <c r="AI326" i="27" s="1"/>
  <c r="AI327" i="27" s="1"/>
  <c r="AI328" i="27" s="1"/>
  <c r="AI329" i="27" s="1"/>
  <c r="AI330" i="27" s="1"/>
  <c r="AI331" i="27" s="1"/>
  <c r="AI332" i="27" s="1"/>
  <c r="AI333" i="27" s="1"/>
  <c r="AI334" i="27" s="1"/>
  <c r="AI335" i="27" s="1"/>
  <c r="AI336" i="27" s="1"/>
  <c r="AI337" i="27" s="1"/>
  <c r="AI338" i="27" s="1"/>
  <c r="AI339" i="27" s="1"/>
  <c r="AI340" i="27" s="1"/>
  <c r="AI341" i="27" s="1"/>
  <c r="AI342" i="27" s="1"/>
  <c r="AI343" i="27" s="1"/>
  <c r="AI344" i="27" s="1"/>
  <c r="AI345" i="27" s="1"/>
  <c r="AI346" i="27" s="1"/>
  <c r="AI347" i="27" s="1"/>
  <c r="AI348" i="27" s="1"/>
  <c r="AI349" i="27" s="1"/>
  <c r="AI350" i="27" s="1"/>
  <c r="AI351" i="27" s="1"/>
  <c r="AI352" i="27" s="1"/>
  <c r="AI353" i="27" s="1"/>
  <c r="AI354" i="27" s="1"/>
  <c r="AI355" i="27" s="1"/>
  <c r="AI356" i="27" s="1"/>
  <c r="AI357" i="27" s="1"/>
  <c r="AI358" i="27" s="1"/>
  <c r="AI359" i="27" s="1"/>
  <c r="AI360" i="27" s="1"/>
  <c r="AI361" i="27" s="1"/>
  <c r="AI362" i="27" s="1"/>
  <c r="AI363" i="27" s="1"/>
  <c r="AI364" i="27" s="1"/>
  <c r="AI365" i="27" s="1"/>
  <c r="AI366" i="27" s="1"/>
  <c r="AI367" i="27" s="1"/>
  <c r="AI368" i="27" s="1"/>
  <c r="AI369" i="27" s="1"/>
  <c r="AI370" i="27" s="1"/>
  <c r="AI371" i="27" s="1"/>
  <c r="AI372" i="27" s="1"/>
  <c r="AI373" i="27" s="1"/>
  <c r="AI374" i="27" s="1"/>
  <c r="AI375" i="27" s="1"/>
  <c r="AI376" i="27" s="1"/>
  <c r="AI377" i="27" s="1"/>
  <c r="AI378" i="27" s="1"/>
  <c r="AI379" i="27" s="1"/>
  <c r="AI380" i="27" s="1"/>
  <c r="AI381" i="27" s="1"/>
  <c r="AI382" i="27" s="1"/>
  <c r="AI383" i="27" s="1"/>
  <c r="AI384" i="27" s="1"/>
  <c r="AI385" i="27" s="1"/>
  <c r="AI386" i="27" s="1"/>
  <c r="AI387" i="27" s="1"/>
  <c r="AI388" i="27" s="1"/>
  <c r="AI389" i="27" s="1"/>
  <c r="AI390" i="27" s="1"/>
  <c r="AI391" i="27" s="1"/>
  <c r="AI392" i="27" s="1"/>
  <c r="AI393" i="27" s="1"/>
  <c r="AI394" i="27" s="1"/>
  <c r="AI395" i="27" s="1"/>
  <c r="AI396" i="27" s="1"/>
  <c r="AI397" i="27" s="1"/>
  <c r="AI398" i="27" s="1"/>
  <c r="AI399" i="27" s="1"/>
  <c r="AI400" i="27" s="1"/>
  <c r="AI401" i="27" s="1"/>
  <c r="AI402" i="27" s="1"/>
  <c r="AI403" i="27" s="1"/>
  <c r="AI404" i="27" s="1"/>
  <c r="AI405" i="27" s="1"/>
  <c r="AI406" i="27" s="1"/>
  <c r="AI407" i="27" s="1"/>
  <c r="AI408" i="27" s="1"/>
  <c r="AI409" i="27" s="1"/>
  <c r="AI410" i="27" s="1"/>
  <c r="AI411" i="27" s="1"/>
  <c r="AI412" i="27" s="1"/>
  <c r="AI413" i="27" s="1"/>
  <c r="AI414" i="27" s="1"/>
  <c r="AI415" i="27" s="1"/>
  <c r="AI416" i="27" s="1"/>
  <c r="AI417" i="27" s="1"/>
  <c r="AI418" i="27" s="1"/>
  <c r="AI419" i="27" s="1"/>
  <c r="AI420" i="27" s="1"/>
  <c r="AI421" i="27" s="1"/>
  <c r="AI422" i="27" s="1"/>
  <c r="AI423" i="27" s="1"/>
  <c r="AI424" i="27" s="1"/>
  <c r="AI425" i="27" s="1"/>
  <c r="AI426" i="27" s="1"/>
  <c r="AI427" i="27" s="1"/>
  <c r="AI428" i="27" s="1"/>
  <c r="AI429" i="27" s="1"/>
  <c r="AI430" i="27" s="1"/>
  <c r="AI431" i="27" s="1"/>
  <c r="AI432" i="27" s="1"/>
  <c r="AI433" i="27" s="1"/>
  <c r="AI434" i="27" s="1"/>
  <c r="AI435" i="27" s="1"/>
  <c r="AI436" i="27" s="1"/>
  <c r="AI437" i="27" s="1"/>
  <c r="AI438" i="27" s="1"/>
  <c r="AI439" i="27" s="1"/>
  <c r="AI440" i="27" s="1"/>
  <c r="AI441" i="27" s="1"/>
  <c r="AI442" i="27" s="1"/>
  <c r="AI443" i="27" s="1"/>
  <c r="AI444" i="27" s="1"/>
  <c r="AI445" i="27" s="1"/>
  <c r="AI446" i="27" s="1"/>
  <c r="AI447" i="27" s="1"/>
  <c r="AI448" i="27" s="1"/>
  <c r="AI449" i="27" s="1"/>
  <c r="AI450" i="27" s="1"/>
  <c r="AI451" i="27" s="1"/>
  <c r="AI452" i="27" s="1"/>
  <c r="AI453" i="27" s="1"/>
  <c r="AI454" i="27" s="1"/>
  <c r="AI455" i="27" s="1"/>
  <c r="AI456" i="27" s="1"/>
  <c r="AI457" i="27" s="1"/>
  <c r="AI458" i="27" s="1"/>
  <c r="AI459" i="27" s="1"/>
  <c r="AI460" i="27" s="1"/>
  <c r="AI461" i="27" s="1"/>
  <c r="AI462" i="27" s="1"/>
  <c r="AI463" i="27" s="1"/>
  <c r="AI464" i="27" s="1"/>
  <c r="AI465" i="27" s="1"/>
  <c r="AI466" i="27" s="1"/>
  <c r="AI467" i="27" s="1"/>
  <c r="AI468" i="27" s="1"/>
  <c r="AI469" i="27" s="1"/>
  <c r="AI470" i="27" s="1"/>
  <c r="AI471" i="27" s="1"/>
  <c r="AI472" i="27" s="1"/>
  <c r="AI473" i="27" s="1"/>
  <c r="AI474" i="27" s="1"/>
  <c r="AI475" i="27" s="1"/>
  <c r="AI476" i="27" s="1"/>
  <c r="AI477" i="27" s="1"/>
  <c r="AI478" i="27" s="1"/>
  <c r="AI479" i="27" s="1"/>
  <c r="AI480" i="27" s="1"/>
  <c r="AI481" i="27" s="1"/>
  <c r="AI482" i="27" s="1"/>
  <c r="AI483" i="27" s="1"/>
  <c r="AI484" i="27" s="1"/>
  <c r="AI485" i="27" s="1"/>
  <c r="AI486" i="27" s="1"/>
  <c r="AI487" i="27" s="1"/>
  <c r="AI488" i="27" s="1"/>
  <c r="AI489" i="27" s="1"/>
  <c r="AI490" i="27" s="1"/>
  <c r="AI491" i="27" s="1"/>
  <c r="AI492" i="27" s="1"/>
  <c r="AI493" i="27" s="1"/>
  <c r="AI494" i="27" s="1"/>
  <c r="AI495" i="27" s="1"/>
  <c r="AI496" i="27" s="1"/>
  <c r="AI497" i="27" s="1"/>
  <c r="AI498" i="27" s="1"/>
  <c r="AI499" i="27" s="1"/>
  <c r="AI500" i="27" s="1"/>
  <c r="AI501" i="27" s="1"/>
  <c r="AI502" i="27" s="1"/>
  <c r="AI503" i="27" s="1"/>
  <c r="AI504" i="27" s="1"/>
  <c r="AI505" i="27" s="1"/>
  <c r="AI506" i="27" s="1"/>
  <c r="AI507" i="27" s="1"/>
  <c r="AI508" i="27" s="1"/>
  <c r="AI509" i="27" s="1"/>
  <c r="AI510" i="27" s="1"/>
  <c r="AI511" i="27" s="1"/>
  <c r="AI512" i="27" s="1"/>
  <c r="AI513" i="27" s="1"/>
  <c r="AI514" i="27" s="1"/>
  <c r="AI515" i="27" s="1"/>
  <c r="AI516" i="27" s="1"/>
  <c r="AI517" i="27" s="1"/>
  <c r="AI518" i="27" s="1"/>
  <c r="AI519" i="27" s="1"/>
  <c r="AI520" i="27" s="1"/>
  <c r="AI521" i="27" s="1"/>
  <c r="AI522" i="27" s="1"/>
  <c r="AI523" i="27" s="1"/>
  <c r="AI524" i="27" s="1"/>
  <c r="AI525" i="27" s="1"/>
  <c r="AI526" i="27" s="1"/>
  <c r="AI527" i="27" s="1"/>
  <c r="AI528" i="27" s="1"/>
  <c r="AI529" i="27" s="1"/>
  <c r="AI530" i="27" s="1"/>
  <c r="AI531" i="27" s="1"/>
  <c r="AI532" i="27" s="1"/>
  <c r="AI533" i="27" s="1"/>
  <c r="AI534" i="27" s="1"/>
  <c r="AI535" i="27" s="1"/>
  <c r="AI536" i="27" s="1"/>
  <c r="AI537" i="27" s="1"/>
  <c r="AI538" i="27" s="1"/>
  <c r="AI539" i="27" s="1"/>
  <c r="AI540" i="27" s="1"/>
  <c r="AI541" i="27" s="1"/>
  <c r="AI542" i="27" s="1"/>
  <c r="AI543" i="27" s="1"/>
  <c r="AI544" i="27" s="1"/>
  <c r="AI545" i="27" s="1"/>
  <c r="AI546" i="27" s="1"/>
  <c r="AI547" i="27" s="1"/>
  <c r="AI548" i="27" s="1"/>
  <c r="AI549" i="27" s="1"/>
  <c r="AI550" i="27" s="1"/>
  <c r="AI551" i="27" s="1"/>
  <c r="AI552" i="27" s="1"/>
  <c r="AI553" i="27" s="1"/>
  <c r="AI554" i="27" s="1"/>
  <c r="AI555" i="27" s="1"/>
  <c r="AI556" i="27" s="1"/>
  <c r="AI557" i="27" s="1"/>
  <c r="AI558" i="27" s="1"/>
  <c r="AI559" i="27" s="1"/>
  <c r="AI560" i="27" s="1"/>
  <c r="AI561" i="27" s="1"/>
  <c r="AI562" i="27" s="1"/>
  <c r="AI563" i="27" s="1"/>
  <c r="AI564" i="27" s="1"/>
  <c r="AI565" i="27" s="1"/>
  <c r="AI566" i="27" s="1"/>
  <c r="AI567" i="27" s="1"/>
  <c r="AI568" i="27" s="1"/>
  <c r="AI569" i="27" s="1"/>
  <c r="AI570" i="27" s="1"/>
  <c r="AI571" i="27" s="1"/>
  <c r="AI572" i="27" s="1"/>
  <c r="AI573" i="27" s="1"/>
  <c r="AI574" i="27" s="1"/>
  <c r="AI575" i="27" s="1"/>
  <c r="AI576" i="27" s="1"/>
  <c r="AI577" i="27" s="1"/>
  <c r="AI578" i="27" s="1"/>
  <c r="AI579" i="27" s="1"/>
  <c r="AI580" i="27" s="1"/>
  <c r="AI581" i="27" s="1"/>
  <c r="AI582" i="27" s="1"/>
  <c r="AI583" i="27" s="1"/>
  <c r="AI584" i="27" s="1"/>
  <c r="AI585" i="27" s="1"/>
  <c r="AI586" i="27" s="1"/>
  <c r="AI587" i="27" s="1"/>
  <c r="AI588" i="27" s="1"/>
  <c r="AI589" i="27" s="1"/>
  <c r="AI590" i="27" s="1"/>
  <c r="AI591" i="27" s="1"/>
  <c r="AI592" i="27" s="1"/>
  <c r="AI593" i="27" s="1"/>
  <c r="AI594" i="27" s="1"/>
  <c r="AI595" i="27" s="1"/>
  <c r="AI596" i="27" s="1"/>
  <c r="AI597" i="27" s="1"/>
  <c r="AI598" i="27" s="1"/>
  <c r="AI599" i="27" s="1"/>
  <c r="AI600" i="27" s="1"/>
  <c r="AI601" i="27" s="1"/>
  <c r="AI602" i="27" s="1"/>
  <c r="AI603" i="27" s="1"/>
  <c r="AI604" i="27" s="1"/>
  <c r="AI605" i="27" s="1"/>
  <c r="AI606" i="27" s="1"/>
  <c r="AI607" i="27" s="1"/>
  <c r="AI608" i="27" s="1"/>
  <c r="AI609" i="27" s="1"/>
  <c r="AI610" i="27" s="1"/>
  <c r="AI611" i="27" s="1"/>
  <c r="AI612" i="27" s="1"/>
  <c r="AI613" i="27" s="1"/>
  <c r="AI614" i="27" s="1"/>
  <c r="AI615" i="27" s="1"/>
  <c r="AI616" i="27" s="1"/>
  <c r="AI617" i="27" s="1"/>
  <c r="AI618" i="27" s="1"/>
  <c r="AI619" i="27" s="1"/>
  <c r="AI620" i="27" s="1"/>
  <c r="AI621" i="27" s="1"/>
  <c r="AI622" i="27" s="1"/>
  <c r="AI623" i="27" s="1"/>
  <c r="AI624" i="27" s="1"/>
  <c r="AI625" i="27" s="1"/>
  <c r="AI626" i="27" s="1"/>
  <c r="AI627" i="27" s="1"/>
  <c r="AI628" i="27" s="1"/>
  <c r="AI629" i="27" s="1"/>
  <c r="AI630" i="27" s="1"/>
  <c r="AI631" i="27" s="1"/>
  <c r="AI632" i="27" s="1"/>
  <c r="AI633" i="27" s="1"/>
  <c r="AI634" i="27" s="1"/>
  <c r="AI635" i="27" s="1"/>
  <c r="AI636" i="27" s="1"/>
  <c r="AI637" i="27" s="1"/>
  <c r="AI638" i="27" s="1"/>
  <c r="AI639" i="27" s="1"/>
  <c r="AI640" i="27" s="1"/>
  <c r="AI641" i="27" s="1"/>
  <c r="AI642" i="27" s="1"/>
  <c r="AI643" i="27" s="1"/>
  <c r="AI644" i="27" s="1"/>
  <c r="AI645" i="27" s="1"/>
  <c r="AI646" i="27" s="1"/>
  <c r="AI647" i="27" s="1"/>
  <c r="AI648" i="27" s="1"/>
  <c r="AI649" i="27" s="1"/>
  <c r="AI650" i="27" s="1"/>
  <c r="AI651" i="27" s="1"/>
  <c r="AI652" i="27" s="1"/>
  <c r="AI653" i="27" s="1"/>
  <c r="AI654" i="27" s="1"/>
  <c r="AI655" i="27" s="1"/>
  <c r="AI656" i="27" s="1"/>
  <c r="AI657" i="27" s="1"/>
  <c r="AI658" i="27" s="1"/>
  <c r="AI659" i="27" s="1"/>
  <c r="AI660" i="27" s="1"/>
  <c r="AI661" i="27" s="1"/>
  <c r="AI662" i="27" s="1"/>
  <c r="AI663" i="27" s="1"/>
  <c r="AI664" i="27" s="1"/>
  <c r="AI665" i="27" s="1"/>
  <c r="AI666" i="27" s="1"/>
  <c r="AI667" i="27" s="1"/>
  <c r="AI668" i="27" s="1"/>
  <c r="AI669" i="27" s="1"/>
  <c r="AI670" i="27" s="1"/>
  <c r="AI671" i="27" s="1"/>
  <c r="AI672" i="27" s="1"/>
  <c r="AI673" i="27" s="1"/>
  <c r="AI674" i="27" s="1"/>
  <c r="AI675" i="27" s="1"/>
  <c r="AI676" i="27" s="1"/>
  <c r="AI677" i="27" s="1"/>
  <c r="AI678" i="27" s="1"/>
  <c r="AI679" i="27" s="1"/>
  <c r="AI680" i="27" s="1"/>
  <c r="AI681" i="27" s="1"/>
  <c r="AI682" i="27" s="1"/>
  <c r="AI683" i="27" s="1"/>
  <c r="AI684" i="27" s="1"/>
  <c r="AI685" i="27" s="1"/>
  <c r="AI686" i="27" s="1"/>
  <c r="AI687" i="27" s="1"/>
  <c r="AI688" i="27" s="1"/>
  <c r="AI689" i="27" s="1"/>
  <c r="AI690" i="27" s="1"/>
  <c r="AI691" i="27" s="1"/>
  <c r="AI692" i="27" s="1"/>
  <c r="AI693" i="27" s="1"/>
  <c r="AI694" i="27" s="1"/>
  <c r="AI695" i="27" s="1"/>
  <c r="AI696" i="27" s="1"/>
  <c r="AI697" i="27" s="1"/>
  <c r="AI698" i="27" s="1"/>
  <c r="AI699" i="27" s="1"/>
  <c r="AI700" i="27" s="1"/>
  <c r="AI701" i="27" s="1"/>
  <c r="AI702" i="27" s="1"/>
  <c r="AI703" i="27" s="1"/>
  <c r="AI704" i="27" s="1"/>
  <c r="AI705" i="27" s="1"/>
  <c r="AI706" i="27" s="1"/>
  <c r="AI707" i="27" s="1"/>
  <c r="AI708" i="27" s="1"/>
  <c r="AI709" i="27" s="1"/>
  <c r="AI710" i="27" s="1"/>
  <c r="AI711" i="27" s="1"/>
  <c r="AI712" i="27" s="1"/>
  <c r="AI713" i="27" s="1"/>
  <c r="AI714" i="27" s="1"/>
  <c r="AI715" i="27" s="1"/>
  <c r="AI716" i="27" s="1"/>
  <c r="AI717" i="27" s="1"/>
  <c r="AI718" i="27" s="1"/>
  <c r="AI719" i="27" s="1"/>
  <c r="AI720" i="27" s="1"/>
  <c r="AI721" i="27" s="1"/>
  <c r="AI722" i="27" s="1"/>
  <c r="AI723" i="27" s="1"/>
  <c r="AI724" i="27" s="1"/>
  <c r="AI725" i="27" s="1"/>
  <c r="AI726" i="27" s="1"/>
  <c r="AI727" i="27" s="1"/>
  <c r="AI728" i="27" s="1"/>
  <c r="AH10" i="27"/>
  <c r="AH11" i="27" s="1"/>
  <c r="AH12" i="27" s="1"/>
  <c r="AH13" i="27" s="1"/>
  <c r="AH14" i="27" s="1"/>
  <c r="AH15" i="27" s="1"/>
  <c r="AH16" i="27" s="1"/>
  <c r="AH17" i="27" s="1"/>
  <c r="AH18" i="27" s="1"/>
  <c r="AH19" i="27" s="1"/>
  <c r="AH20" i="27" s="1"/>
  <c r="AH21" i="27" s="1"/>
  <c r="AH22" i="27" s="1"/>
  <c r="AH23" i="27" s="1"/>
  <c r="AH24" i="27" s="1"/>
  <c r="AH25" i="27" s="1"/>
  <c r="AH26" i="27" s="1"/>
  <c r="AH27" i="27" s="1"/>
  <c r="AH28" i="27" s="1"/>
  <c r="AH29" i="27" s="1"/>
  <c r="AH30" i="27" s="1"/>
  <c r="AH31" i="27" s="1"/>
  <c r="AH32" i="27" s="1"/>
  <c r="AH33" i="27" s="1"/>
  <c r="AH34" i="27" s="1"/>
  <c r="AH35" i="27" s="1"/>
  <c r="AH36" i="27" s="1"/>
  <c r="AH37" i="27" s="1"/>
  <c r="AH38" i="27" s="1"/>
  <c r="AH39" i="27" s="1"/>
  <c r="AH40" i="27" s="1"/>
  <c r="AH41" i="27" s="1"/>
  <c r="AH42" i="27" s="1"/>
  <c r="AH43" i="27" s="1"/>
  <c r="AH44" i="27" s="1"/>
  <c r="AH45" i="27" s="1"/>
  <c r="AH46" i="27" s="1"/>
  <c r="AH47" i="27" s="1"/>
  <c r="AH48" i="27" s="1"/>
  <c r="AH49" i="27" s="1"/>
  <c r="AH50" i="27" s="1"/>
  <c r="AH51" i="27" s="1"/>
  <c r="AH52" i="27" s="1"/>
  <c r="AH53" i="27" s="1"/>
  <c r="AH54" i="27" s="1"/>
  <c r="AH55" i="27" s="1"/>
  <c r="AH56" i="27" s="1"/>
  <c r="AH57" i="27" s="1"/>
  <c r="AH58" i="27" s="1"/>
  <c r="AH59" i="27" s="1"/>
  <c r="AH60" i="27" s="1"/>
  <c r="AH61" i="27" s="1"/>
  <c r="AH62" i="27" s="1"/>
  <c r="AH63" i="27" s="1"/>
  <c r="AH64" i="27" s="1"/>
  <c r="AH65" i="27" s="1"/>
  <c r="AH66" i="27" s="1"/>
  <c r="AH67" i="27" s="1"/>
  <c r="AH68" i="27" s="1"/>
  <c r="AH69" i="27" s="1"/>
  <c r="AH70" i="27" s="1"/>
  <c r="AH71" i="27" s="1"/>
  <c r="AH72" i="27" s="1"/>
  <c r="AH73" i="27" s="1"/>
  <c r="AH74" i="27" s="1"/>
  <c r="AH75" i="27" s="1"/>
  <c r="AH76" i="27" s="1"/>
  <c r="AH77" i="27" s="1"/>
  <c r="AH78" i="27" s="1"/>
  <c r="AH79" i="27" s="1"/>
  <c r="AH80" i="27" s="1"/>
  <c r="AH81" i="27" s="1"/>
  <c r="AH82" i="27" s="1"/>
  <c r="AH83" i="27" s="1"/>
  <c r="AH84" i="27" s="1"/>
  <c r="AH85" i="27" s="1"/>
  <c r="AH86" i="27" s="1"/>
  <c r="AH87" i="27" s="1"/>
  <c r="AH88" i="27" s="1"/>
  <c r="AH89" i="27" s="1"/>
  <c r="AH90" i="27" s="1"/>
  <c r="AH91" i="27" s="1"/>
  <c r="AH92" i="27" s="1"/>
  <c r="AH93" i="27" s="1"/>
  <c r="AH94" i="27" s="1"/>
  <c r="AH95" i="27" s="1"/>
  <c r="AH96" i="27" s="1"/>
  <c r="AH97" i="27" s="1"/>
  <c r="AH98" i="27" s="1"/>
  <c r="AH99" i="27" s="1"/>
  <c r="AH100" i="27" s="1"/>
  <c r="AH101" i="27" s="1"/>
  <c r="AH102" i="27" s="1"/>
  <c r="AH103" i="27" s="1"/>
  <c r="AH104" i="27" s="1"/>
  <c r="AH105" i="27" s="1"/>
  <c r="AH106" i="27" s="1"/>
  <c r="AH107" i="27" s="1"/>
  <c r="AH108" i="27" s="1"/>
  <c r="AH109" i="27" s="1"/>
  <c r="AH110" i="27" s="1"/>
  <c r="AH111" i="27" s="1"/>
  <c r="AH112" i="27" s="1"/>
  <c r="AH113" i="27" s="1"/>
  <c r="AH114" i="27" s="1"/>
  <c r="AH115" i="27" s="1"/>
  <c r="AH116" i="27" s="1"/>
  <c r="AH117" i="27" s="1"/>
  <c r="AH118" i="27" s="1"/>
  <c r="AH119" i="27" s="1"/>
  <c r="AH120" i="27" s="1"/>
  <c r="AH121" i="27" s="1"/>
  <c r="AH122" i="27" s="1"/>
  <c r="AH123" i="27" s="1"/>
  <c r="AH124" i="27" s="1"/>
  <c r="AH125" i="27" s="1"/>
  <c r="AH126" i="27" s="1"/>
  <c r="AH127" i="27" s="1"/>
  <c r="AH128" i="27" s="1"/>
  <c r="AH129" i="27" s="1"/>
  <c r="AH130" i="27" s="1"/>
  <c r="AH131" i="27" s="1"/>
  <c r="AH132" i="27" s="1"/>
  <c r="AH133" i="27" s="1"/>
  <c r="AH134" i="27" s="1"/>
  <c r="AH135" i="27" s="1"/>
  <c r="AH136" i="27" s="1"/>
  <c r="AH137" i="27" s="1"/>
  <c r="AH138" i="27" s="1"/>
  <c r="AH139" i="27" s="1"/>
  <c r="AH140" i="27" s="1"/>
  <c r="AH141" i="27" s="1"/>
  <c r="AH142" i="27" s="1"/>
  <c r="AH143" i="27" s="1"/>
  <c r="AH144" i="27" s="1"/>
  <c r="AH145" i="27" s="1"/>
  <c r="AH146" i="27" s="1"/>
  <c r="AH147" i="27" s="1"/>
  <c r="AH148" i="27" s="1"/>
  <c r="AH149" i="27" s="1"/>
  <c r="AH150" i="27" s="1"/>
  <c r="AH151" i="27" s="1"/>
  <c r="AH152" i="27" s="1"/>
  <c r="AH153" i="27" s="1"/>
  <c r="AH154" i="27" s="1"/>
  <c r="AH155" i="27" s="1"/>
  <c r="AH156" i="27" s="1"/>
  <c r="AH157" i="27" s="1"/>
  <c r="AH158" i="27" s="1"/>
  <c r="AH159" i="27" s="1"/>
  <c r="AH160" i="27" s="1"/>
  <c r="AH161" i="27" s="1"/>
  <c r="AH162" i="27" s="1"/>
  <c r="AH163" i="27" s="1"/>
  <c r="AH164" i="27" s="1"/>
  <c r="AH165" i="27" s="1"/>
  <c r="AH166" i="27" s="1"/>
  <c r="AH167" i="27" s="1"/>
  <c r="AH168" i="27" s="1"/>
  <c r="AH169" i="27" s="1"/>
  <c r="AH170" i="27" s="1"/>
  <c r="AH171" i="27" s="1"/>
  <c r="AH172" i="27" s="1"/>
  <c r="AH173" i="27" s="1"/>
  <c r="AH174" i="27" s="1"/>
  <c r="AH175" i="27" s="1"/>
  <c r="AH176" i="27" s="1"/>
  <c r="AH177" i="27" s="1"/>
  <c r="AH178" i="27" s="1"/>
  <c r="AH179" i="27" s="1"/>
  <c r="AH180" i="27" s="1"/>
  <c r="AH181" i="27" s="1"/>
  <c r="AH182" i="27" s="1"/>
  <c r="AH183" i="27" s="1"/>
  <c r="AH184" i="27" s="1"/>
  <c r="AH185" i="27" s="1"/>
  <c r="AH186" i="27" s="1"/>
  <c r="AH187" i="27" s="1"/>
  <c r="AH188" i="27" s="1"/>
  <c r="AH189" i="27" s="1"/>
  <c r="AH190" i="27" s="1"/>
  <c r="AH191" i="27" s="1"/>
  <c r="AH192" i="27" s="1"/>
  <c r="AH193" i="27" s="1"/>
  <c r="AH194" i="27" s="1"/>
  <c r="AH195" i="27" s="1"/>
  <c r="AH196" i="27" s="1"/>
  <c r="AH197" i="27" s="1"/>
  <c r="AH198" i="27" s="1"/>
  <c r="AH199" i="27" s="1"/>
  <c r="AH200" i="27" s="1"/>
  <c r="AH201" i="27" s="1"/>
  <c r="AH202" i="27" s="1"/>
  <c r="AH203" i="27" s="1"/>
  <c r="AH204" i="27" s="1"/>
  <c r="AH205" i="27" s="1"/>
  <c r="AH206" i="27" s="1"/>
  <c r="AH207" i="27" s="1"/>
  <c r="AH208" i="27" s="1"/>
  <c r="AH209" i="27" s="1"/>
  <c r="AH210" i="27" s="1"/>
  <c r="AH211" i="27" s="1"/>
  <c r="AH212" i="27" s="1"/>
  <c r="AH213" i="27" s="1"/>
  <c r="AH214" i="27" s="1"/>
  <c r="AH215" i="27" s="1"/>
  <c r="AH216" i="27" s="1"/>
  <c r="AH217" i="27" s="1"/>
  <c r="AH218" i="27" s="1"/>
  <c r="AH219" i="27" s="1"/>
  <c r="AH220" i="27" s="1"/>
  <c r="AH221" i="27" s="1"/>
  <c r="AH222" i="27" s="1"/>
  <c r="AH223" i="27" s="1"/>
  <c r="AH224" i="27" s="1"/>
  <c r="AH225" i="27" s="1"/>
  <c r="AH226" i="27" s="1"/>
  <c r="AH227" i="27" s="1"/>
  <c r="AH228" i="27" s="1"/>
  <c r="AH229" i="27" s="1"/>
  <c r="AH230" i="27" s="1"/>
  <c r="AH231" i="27" s="1"/>
  <c r="AH232" i="27" s="1"/>
  <c r="AH233" i="27" s="1"/>
  <c r="AH234" i="27" s="1"/>
  <c r="AH235" i="27" s="1"/>
  <c r="AH236" i="27" s="1"/>
  <c r="AH237" i="27" s="1"/>
  <c r="AH238" i="27" s="1"/>
  <c r="AH239" i="27" s="1"/>
  <c r="AH240" i="27" s="1"/>
  <c r="AH241" i="27" s="1"/>
  <c r="AH242" i="27" s="1"/>
  <c r="AH243" i="27" s="1"/>
  <c r="AH244" i="27" s="1"/>
  <c r="AH245" i="27" s="1"/>
  <c r="AH246" i="27" s="1"/>
  <c r="AH247" i="27" s="1"/>
  <c r="AH248" i="27" s="1"/>
  <c r="AH249" i="27" s="1"/>
  <c r="AH250" i="27" s="1"/>
  <c r="AH251" i="27" s="1"/>
  <c r="AH252" i="27" s="1"/>
  <c r="AH253" i="27" s="1"/>
  <c r="AH254" i="27" s="1"/>
  <c r="AH255" i="27" s="1"/>
  <c r="AH256" i="27" s="1"/>
  <c r="AH257" i="27" s="1"/>
  <c r="AH258" i="27" s="1"/>
  <c r="AH259" i="27" s="1"/>
  <c r="AH260" i="27" s="1"/>
  <c r="AH261" i="27" s="1"/>
  <c r="AH262" i="27" s="1"/>
  <c r="AH263" i="27" s="1"/>
  <c r="AH264" i="27" s="1"/>
  <c r="AH265" i="27" s="1"/>
  <c r="AH266" i="27" s="1"/>
  <c r="AH267" i="27" s="1"/>
  <c r="AH268" i="27" s="1"/>
  <c r="AH269" i="27" s="1"/>
  <c r="AH270" i="27" s="1"/>
  <c r="AH271" i="27" s="1"/>
  <c r="AH272" i="27" s="1"/>
  <c r="AH273" i="27" s="1"/>
  <c r="AH274" i="27" s="1"/>
  <c r="AH275" i="27" s="1"/>
  <c r="AH276" i="27" s="1"/>
  <c r="AH277" i="27" s="1"/>
  <c r="AH278" i="27" s="1"/>
  <c r="AH279" i="27" s="1"/>
  <c r="AH280" i="27" s="1"/>
  <c r="AH281" i="27" s="1"/>
  <c r="AH282" i="27" s="1"/>
  <c r="AH283" i="27" s="1"/>
  <c r="AH284" i="27" s="1"/>
  <c r="AH285" i="27" s="1"/>
  <c r="AH286" i="27" s="1"/>
  <c r="AH287" i="27" s="1"/>
  <c r="AH288" i="27" s="1"/>
  <c r="AH289" i="27" s="1"/>
  <c r="AH290" i="27" s="1"/>
  <c r="AH291" i="27" s="1"/>
  <c r="AH292" i="27" s="1"/>
  <c r="AH293" i="27" s="1"/>
  <c r="AH294" i="27" s="1"/>
  <c r="AH295" i="27" s="1"/>
  <c r="AH296" i="27" s="1"/>
  <c r="AH297" i="27" s="1"/>
  <c r="AH298" i="27" s="1"/>
  <c r="AH299" i="27" s="1"/>
  <c r="AH300" i="27" s="1"/>
  <c r="AH301" i="27" s="1"/>
  <c r="AH302" i="27" s="1"/>
  <c r="AH303" i="27" s="1"/>
  <c r="AH304" i="27" s="1"/>
  <c r="AH305" i="27" s="1"/>
  <c r="AH306" i="27" s="1"/>
  <c r="AH307" i="27" s="1"/>
  <c r="AH308" i="27" s="1"/>
  <c r="AH309" i="27" s="1"/>
  <c r="AH310" i="27" s="1"/>
  <c r="AH311" i="27" s="1"/>
  <c r="AH312" i="27" s="1"/>
  <c r="AH313" i="27" s="1"/>
  <c r="AH314" i="27" s="1"/>
  <c r="AH315" i="27" s="1"/>
  <c r="AH316" i="27" s="1"/>
  <c r="AH317" i="27" s="1"/>
  <c r="AH318" i="27" s="1"/>
  <c r="AH319" i="27" s="1"/>
  <c r="AH320" i="27" s="1"/>
  <c r="AH321" i="27" s="1"/>
  <c r="AH322" i="27" s="1"/>
  <c r="AH323" i="27" s="1"/>
  <c r="AH324" i="27" s="1"/>
  <c r="AH325" i="27" s="1"/>
  <c r="AH326" i="27" s="1"/>
  <c r="AH327" i="27" s="1"/>
  <c r="AH328" i="27" s="1"/>
  <c r="AH329" i="27" s="1"/>
  <c r="AH330" i="27" s="1"/>
  <c r="AH331" i="27" s="1"/>
  <c r="AH332" i="27" s="1"/>
  <c r="AH333" i="27" s="1"/>
  <c r="AH334" i="27" s="1"/>
  <c r="AH335" i="27" s="1"/>
  <c r="AH336" i="27" s="1"/>
  <c r="AH337" i="27" s="1"/>
  <c r="AH338" i="27" s="1"/>
  <c r="AH339" i="27" s="1"/>
  <c r="AH340" i="27" s="1"/>
  <c r="AH341" i="27" s="1"/>
  <c r="AH342" i="27" s="1"/>
  <c r="AH343" i="27" s="1"/>
  <c r="AH344" i="27" s="1"/>
  <c r="AH345" i="27" s="1"/>
  <c r="AH346" i="27" s="1"/>
  <c r="AH347" i="27" s="1"/>
  <c r="AH348" i="27" s="1"/>
  <c r="AH349" i="27" s="1"/>
  <c r="AH350" i="27" s="1"/>
  <c r="AH351" i="27" s="1"/>
  <c r="AH352" i="27" s="1"/>
  <c r="AH353" i="27" s="1"/>
  <c r="AH354" i="27" s="1"/>
  <c r="AH355" i="27" s="1"/>
  <c r="AH356" i="27" s="1"/>
  <c r="AH357" i="27" s="1"/>
  <c r="AH358" i="27" s="1"/>
  <c r="AH359" i="27" s="1"/>
  <c r="AH360" i="27" s="1"/>
  <c r="AH361" i="27" s="1"/>
  <c r="AH362" i="27" s="1"/>
  <c r="AH363" i="27" s="1"/>
  <c r="AH364" i="27" s="1"/>
  <c r="AH365" i="27" s="1"/>
  <c r="AH366" i="27" s="1"/>
  <c r="AH367" i="27" s="1"/>
  <c r="AH368" i="27" s="1"/>
  <c r="AH369" i="27" s="1"/>
  <c r="AH370" i="27" s="1"/>
  <c r="AH371" i="27" s="1"/>
  <c r="AH372" i="27" s="1"/>
  <c r="AH373" i="27" s="1"/>
  <c r="AH374" i="27" s="1"/>
  <c r="AH375" i="27" s="1"/>
  <c r="AH376" i="27" s="1"/>
  <c r="AH377" i="27" s="1"/>
  <c r="AH378" i="27" s="1"/>
  <c r="AH379" i="27" s="1"/>
  <c r="AH380" i="27" s="1"/>
  <c r="AH381" i="27" s="1"/>
  <c r="AH382" i="27" s="1"/>
  <c r="AH383" i="27" s="1"/>
  <c r="AH384" i="27" s="1"/>
  <c r="AH385" i="27" s="1"/>
  <c r="AH386" i="27" s="1"/>
  <c r="AH387" i="27" s="1"/>
  <c r="AH388" i="27" s="1"/>
  <c r="AH389" i="27" s="1"/>
  <c r="AH390" i="27" s="1"/>
  <c r="AH391" i="27" s="1"/>
  <c r="AH392" i="27" s="1"/>
  <c r="AH393" i="27" s="1"/>
  <c r="AH394" i="27" s="1"/>
  <c r="AH395" i="27" s="1"/>
  <c r="AH396" i="27" s="1"/>
  <c r="AH397" i="27" s="1"/>
  <c r="AH398" i="27" s="1"/>
  <c r="AH399" i="27" s="1"/>
  <c r="AH400" i="27" s="1"/>
  <c r="AH401" i="27" s="1"/>
  <c r="AH402" i="27" s="1"/>
  <c r="AH403" i="27" s="1"/>
  <c r="AH404" i="27" s="1"/>
  <c r="AH405" i="27" s="1"/>
  <c r="AH406" i="27" s="1"/>
  <c r="AH407" i="27" s="1"/>
  <c r="AH408" i="27" s="1"/>
  <c r="AH409" i="27" s="1"/>
  <c r="AH410" i="27" s="1"/>
  <c r="AH411" i="27" s="1"/>
  <c r="AH412" i="27" s="1"/>
  <c r="AH413" i="27" s="1"/>
  <c r="AH414" i="27" s="1"/>
  <c r="AH415" i="27" s="1"/>
  <c r="AH416" i="27" s="1"/>
  <c r="AH417" i="27" s="1"/>
  <c r="AH418" i="27" s="1"/>
  <c r="AH419" i="27" s="1"/>
  <c r="AH420" i="27" s="1"/>
  <c r="AH421" i="27" s="1"/>
  <c r="AH422" i="27" s="1"/>
  <c r="AH423" i="27" s="1"/>
  <c r="AH424" i="27" s="1"/>
  <c r="AH425" i="27" s="1"/>
  <c r="AH426" i="27" s="1"/>
  <c r="AH427" i="27" s="1"/>
  <c r="AH428" i="27" s="1"/>
  <c r="AH429" i="27" s="1"/>
  <c r="AH430" i="27" s="1"/>
  <c r="AH431" i="27" s="1"/>
  <c r="AH432" i="27" s="1"/>
  <c r="AH433" i="27" s="1"/>
  <c r="AH434" i="27" s="1"/>
  <c r="AH435" i="27" s="1"/>
  <c r="AH436" i="27" s="1"/>
  <c r="AH437" i="27" s="1"/>
  <c r="AH438" i="27" s="1"/>
  <c r="AH439" i="27" s="1"/>
  <c r="AH440" i="27" s="1"/>
  <c r="AH441" i="27" s="1"/>
  <c r="AH442" i="27" s="1"/>
  <c r="AH443" i="27" s="1"/>
  <c r="AH444" i="27" s="1"/>
  <c r="AH445" i="27" s="1"/>
  <c r="AH446" i="27" s="1"/>
  <c r="AH447" i="27" s="1"/>
  <c r="AH448" i="27" s="1"/>
  <c r="AH449" i="27" s="1"/>
  <c r="AH450" i="27" s="1"/>
  <c r="AH451" i="27" s="1"/>
  <c r="AH452" i="27" s="1"/>
  <c r="AH453" i="27" s="1"/>
  <c r="AH454" i="27" s="1"/>
  <c r="AH455" i="27" s="1"/>
  <c r="AH456" i="27" s="1"/>
  <c r="AH457" i="27" s="1"/>
  <c r="AH458" i="27" s="1"/>
  <c r="AH459" i="27" s="1"/>
  <c r="AH460" i="27" s="1"/>
  <c r="AH461" i="27" s="1"/>
  <c r="AH462" i="27" s="1"/>
  <c r="AH463" i="27" s="1"/>
  <c r="AH464" i="27" s="1"/>
  <c r="AH465" i="27" s="1"/>
  <c r="AH466" i="27" s="1"/>
  <c r="AH467" i="27" s="1"/>
  <c r="AH468" i="27" s="1"/>
  <c r="AH469" i="27" s="1"/>
  <c r="AH470" i="27" s="1"/>
  <c r="AH471" i="27" s="1"/>
  <c r="AH472" i="27" s="1"/>
  <c r="AH473" i="27" s="1"/>
  <c r="AH474" i="27" s="1"/>
  <c r="AH475" i="27" s="1"/>
  <c r="AH476" i="27" s="1"/>
  <c r="AH477" i="27" s="1"/>
  <c r="AH478" i="27" s="1"/>
  <c r="AH479" i="27" s="1"/>
  <c r="AH480" i="27" s="1"/>
  <c r="AH481" i="27" s="1"/>
  <c r="AH482" i="27" s="1"/>
  <c r="AH483" i="27" s="1"/>
  <c r="AH484" i="27" s="1"/>
  <c r="AH485" i="27" s="1"/>
  <c r="AH486" i="27" s="1"/>
  <c r="AH487" i="27" s="1"/>
  <c r="AH488" i="27" s="1"/>
  <c r="AH489" i="27" s="1"/>
  <c r="AH490" i="27" s="1"/>
  <c r="AH491" i="27" s="1"/>
  <c r="AH492" i="27" s="1"/>
  <c r="AH493" i="27" s="1"/>
  <c r="AH494" i="27" s="1"/>
  <c r="AH495" i="27" s="1"/>
  <c r="AH496" i="27" s="1"/>
  <c r="AH497" i="27" s="1"/>
  <c r="AH498" i="27" s="1"/>
  <c r="AH499" i="27" s="1"/>
  <c r="AH500" i="27" s="1"/>
  <c r="AH501" i="27" s="1"/>
  <c r="AH502" i="27" s="1"/>
  <c r="AH503" i="27" s="1"/>
  <c r="AH504" i="27" s="1"/>
  <c r="AH505" i="27" s="1"/>
  <c r="AH506" i="27" s="1"/>
  <c r="AH507" i="27" s="1"/>
  <c r="AH508" i="27" s="1"/>
  <c r="AH509" i="27" s="1"/>
  <c r="AH510" i="27" s="1"/>
  <c r="AH511" i="27" s="1"/>
  <c r="AH512" i="27" s="1"/>
  <c r="AH513" i="27" s="1"/>
  <c r="AH514" i="27" s="1"/>
  <c r="AH515" i="27" s="1"/>
  <c r="AH516" i="27" s="1"/>
  <c r="AH517" i="27" s="1"/>
  <c r="AH518" i="27" s="1"/>
  <c r="AH519" i="27" s="1"/>
  <c r="AH520" i="27" s="1"/>
  <c r="AH521" i="27" s="1"/>
  <c r="AH522" i="27" s="1"/>
  <c r="AH523" i="27" s="1"/>
  <c r="AH524" i="27" s="1"/>
  <c r="AH525" i="27" s="1"/>
  <c r="AH526" i="27" s="1"/>
  <c r="AH527" i="27" s="1"/>
  <c r="AH528" i="27" s="1"/>
  <c r="AH529" i="27" s="1"/>
  <c r="AH530" i="27" s="1"/>
  <c r="AH531" i="27" s="1"/>
  <c r="AH532" i="27" s="1"/>
  <c r="AH533" i="27" s="1"/>
  <c r="AH534" i="27" s="1"/>
  <c r="AH535" i="27" s="1"/>
  <c r="AH536" i="27" s="1"/>
  <c r="AH537" i="27" s="1"/>
  <c r="AH538" i="27" s="1"/>
  <c r="AH539" i="27" s="1"/>
  <c r="AH540" i="27" s="1"/>
  <c r="AH541" i="27" s="1"/>
  <c r="AH542" i="27" s="1"/>
  <c r="AH543" i="27" s="1"/>
  <c r="AH544" i="27" s="1"/>
  <c r="AH545" i="27" s="1"/>
  <c r="AH546" i="27" s="1"/>
  <c r="AH547" i="27" s="1"/>
  <c r="AH548" i="27" s="1"/>
  <c r="AH549" i="27" s="1"/>
  <c r="AH550" i="27" s="1"/>
  <c r="AH551" i="27" s="1"/>
  <c r="AH552" i="27" s="1"/>
  <c r="AH553" i="27" s="1"/>
  <c r="AH554" i="27" s="1"/>
  <c r="AH555" i="27" s="1"/>
  <c r="AH556" i="27" s="1"/>
  <c r="AH557" i="27" s="1"/>
  <c r="AH558" i="27" s="1"/>
  <c r="AH559" i="27" s="1"/>
  <c r="AH560" i="27" s="1"/>
  <c r="AH561" i="27" s="1"/>
  <c r="AH562" i="27" s="1"/>
  <c r="AH563" i="27" s="1"/>
  <c r="AH564" i="27" s="1"/>
  <c r="AH565" i="27" s="1"/>
  <c r="AH566" i="27" s="1"/>
  <c r="AH567" i="27" s="1"/>
  <c r="AH568" i="27" s="1"/>
  <c r="AH569" i="27" s="1"/>
  <c r="AH570" i="27" s="1"/>
  <c r="AH571" i="27" s="1"/>
  <c r="AH572" i="27" s="1"/>
  <c r="AH573" i="27" s="1"/>
  <c r="AH574" i="27" s="1"/>
  <c r="AH575" i="27" s="1"/>
  <c r="AH576" i="27" s="1"/>
  <c r="AH577" i="27" s="1"/>
  <c r="AH578" i="27" s="1"/>
  <c r="AH579" i="27" s="1"/>
  <c r="AH580" i="27" s="1"/>
  <c r="AH581" i="27" s="1"/>
  <c r="AH582" i="27" s="1"/>
  <c r="AH583" i="27" s="1"/>
  <c r="AH584" i="27" s="1"/>
  <c r="AH585" i="27" s="1"/>
  <c r="AH586" i="27" s="1"/>
  <c r="AH587" i="27" s="1"/>
  <c r="AH588" i="27" s="1"/>
  <c r="AH589" i="27" s="1"/>
  <c r="AH590" i="27" s="1"/>
  <c r="AH591" i="27" s="1"/>
  <c r="AH592" i="27" s="1"/>
  <c r="AH593" i="27" s="1"/>
  <c r="AH594" i="27" s="1"/>
  <c r="AH595" i="27" s="1"/>
  <c r="AH596" i="27" s="1"/>
  <c r="AH597" i="27" s="1"/>
  <c r="AH598" i="27" s="1"/>
  <c r="AH599" i="27" s="1"/>
  <c r="AH600" i="27" s="1"/>
  <c r="AH601" i="27" s="1"/>
  <c r="AH602" i="27" s="1"/>
  <c r="AH603" i="27" s="1"/>
  <c r="AH604" i="27" s="1"/>
  <c r="AH605" i="27" s="1"/>
  <c r="AH606" i="27" s="1"/>
  <c r="AH607" i="27" s="1"/>
  <c r="AH608" i="27" s="1"/>
  <c r="AH609" i="27" s="1"/>
  <c r="AH610" i="27" s="1"/>
  <c r="AH611" i="27" s="1"/>
  <c r="AH612" i="27" s="1"/>
  <c r="AH613" i="27" s="1"/>
  <c r="AH614" i="27" s="1"/>
  <c r="AH615" i="27" s="1"/>
  <c r="AH616" i="27" s="1"/>
  <c r="AH617" i="27" s="1"/>
  <c r="AH618" i="27" s="1"/>
  <c r="AH619" i="27" s="1"/>
  <c r="AH620" i="27" s="1"/>
  <c r="AH621" i="27" s="1"/>
  <c r="AH622" i="27" s="1"/>
  <c r="AH623" i="27" s="1"/>
  <c r="AH624" i="27" s="1"/>
  <c r="AH625" i="27" s="1"/>
  <c r="AH626" i="27" s="1"/>
  <c r="AH627" i="27" s="1"/>
  <c r="AH628" i="27" s="1"/>
  <c r="AH629" i="27" s="1"/>
  <c r="AH630" i="27" s="1"/>
  <c r="AH631" i="27" s="1"/>
  <c r="AH632" i="27" s="1"/>
  <c r="AH633" i="27" s="1"/>
  <c r="AH634" i="27" s="1"/>
  <c r="AH635" i="27" s="1"/>
  <c r="AH636" i="27" s="1"/>
  <c r="AH637" i="27" s="1"/>
  <c r="AH638" i="27" s="1"/>
  <c r="AH639" i="27" s="1"/>
  <c r="AH640" i="27" s="1"/>
  <c r="AH641" i="27" s="1"/>
  <c r="AH642" i="27" s="1"/>
  <c r="AH643" i="27" s="1"/>
  <c r="AH644" i="27" s="1"/>
  <c r="AH645" i="27" s="1"/>
  <c r="AH646" i="27" s="1"/>
  <c r="AH647" i="27" s="1"/>
  <c r="AH648" i="27" s="1"/>
  <c r="AH649" i="27" s="1"/>
  <c r="AH650" i="27" s="1"/>
  <c r="AH651" i="27" s="1"/>
  <c r="AH652" i="27" s="1"/>
  <c r="AH653" i="27" s="1"/>
  <c r="AH654" i="27" s="1"/>
  <c r="AH655" i="27" s="1"/>
  <c r="AH656" i="27" s="1"/>
  <c r="AH657" i="27" s="1"/>
  <c r="AH658" i="27" s="1"/>
  <c r="AH659" i="27" s="1"/>
  <c r="AH660" i="27" s="1"/>
  <c r="AH661" i="27" s="1"/>
  <c r="AH662" i="27" s="1"/>
  <c r="AH663" i="27" s="1"/>
  <c r="AH664" i="27" s="1"/>
  <c r="AH665" i="27" s="1"/>
  <c r="AH666" i="27" s="1"/>
  <c r="AH667" i="27" s="1"/>
  <c r="AH668" i="27" s="1"/>
  <c r="AH669" i="27" s="1"/>
  <c r="AH670" i="27" s="1"/>
  <c r="AH671" i="27" s="1"/>
  <c r="AH672" i="27" s="1"/>
  <c r="AH673" i="27" s="1"/>
  <c r="AH674" i="27" s="1"/>
  <c r="AH675" i="27" s="1"/>
  <c r="AH676" i="27" s="1"/>
  <c r="AH677" i="27" s="1"/>
  <c r="AH678" i="27" s="1"/>
  <c r="AH679" i="27" s="1"/>
  <c r="AH680" i="27" s="1"/>
  <c r="AH681" i="27" s="1"/>
  <c r="AH682" i="27" s="1"/>
  <c r="AH683" i="27" s="1"/>
  <c r="AH684" i="27" s="1"/>
  <c r="AH685" i="27" s="1"/>
  <c r="AH686" i="27" s="1"/>
  <c r="AH687" i="27" s="1"/>
  <c r="AH688" i="27" s="1"/>
  <c r="AH689" i="27" s="1"/>
  <c r="AH690" i="27" s="1"/>
  <c r="AH691" i="27" s="1"/>
  <c r="AH692" i="27" s="1"/>
  <c r="AH693" i="27" s="1"/>
  <c r="AH694" i="27" s="1"/>
  <c r="AH695" i="27" s="1"/>
  <c r="AH696" i="27" s="1"/>
  <c r="AH697" i="27" s="1"/>
  <c r="AH698" i="27" s="1"/>
  <c r="AH699" i="27" s="1"/>
  <c r="AH700" i="27" s="1"/>
  <c r="AH701" i="27" s="1"/>
  <c r="AH702" i="27" s="1"/>
  <c r="AH703" i="27" s="1"/>
  <c r="AH704" i="27" s="1"/>
  <c r="AH705" i="27" s="1"/>
  <c r="AH706" i="27" s="1"/>
  <c r="AH707" i="27" s="1"/>
  <c r="AH708" i="27" s="1"/>
  <c r="AH709" i="27" s="1"/>
  <c r="AH710" i="27" s="1"/>
  <c r="AH711" i="27" s="1"/>
  <c r="AH712" i="27" s="1"/>
  <c r="AH713" i="27" s="1"/>
  <c r="AH714" i="27" s="1"/>
  <c r="AH715" i="27" s="1"/>
  <c r="AH716" i="27" s="1"/>
  <c r="AH717" i="27" s="1"/>
  <c r="AH718" i="27" s="1"/>
  <c r="AH719" i="27" s="1"/>
  <c r="AH720" i="27" s="1"/>
  <c r="AH721" i="27" s="1"/>
  <c r="AH722" i="27" s="1"/>
  <c r="AH723" i="27" s="1"/>
  <c r="AH724" i="27" s="1"/>
  <c r="AH725" i="27" s="1"/>
  <c r="AH726" i="27" s="1"/>
  <c r="AH727" i="27" s="1"/>
  <c r="AH728" i="27" s="1"/>
  <c r="AS9" i="27"/>
  <c r="AB10" i="27"/>
  <c r="AB11" i="27" s="1"/>
  <c r="AB12" i="27" s="1"/>
  <c r="AB13" i="27" s="1"/>
  <c r="AB14" i="27" s="1"/>
  <c r="AB15" i="27" s="1"/>
  <c r="AB16" i="27" s="1"/>
  <c r="AB17" i="27" s="1"/>
  <c r="AB18" i="27" s="1"/>
  <c r="AB19" i="27" s="1"/>
  <c r="AA10" i="27"/>
  <c r="AA11" i="27" s="1"/>
  <c r="AA12" i="27" s="1"/>
  <c r="AA13" i="27" s="1"/>
  <c r="AA14" i="27" s="1"/>
  <c r="AA15" i="27" s="1"/>
  <c r="AA16" i="27" s="1"/>
  <c r="AA17" i="27" s="1"/>
  <c r="AA18" i="27" s="1"/>
  <c r="AA19" i="27" s="1"/>
  <c r="AA20" i="27" s="1"/>
  <c r="X10" i="27"/>
  <c r="X11" i="27" s="1"/>
  <c r="X12" i="27" s="1"/>
  <c r="X13" i="27" s="1"/>
  <c r="X14" i="27" s="1"/>
  <c r="X15" i="27" s="1"/>
  <c r="X16" i="27" s="1"/>
  <c r="X17" i="27" s="1"/>
  <c r="X18" i="27" s="1"/>
  <c r="X19" i="27" s="1"/>
  <c r="X20" i="27" s="1"/>
  <c r="X21" i="27" s="1"/>
  <c r="X22" i="27" s="1"/>
  <c r="X23" i="27" s="1"/>
  <c r="X24" i="27" s="1"/>
  <c r="X25" i="27" s="1"/>
  <c r="X26" i="27" s="1"/>
  <c r="X27" i="27" s="1"/>
  <c r="X28" i="27" s="1"/>
  <c r="X29" i="27" s="1"/>
  <c r="X30" i="27" s="1"/>
  <c r="X31" i="27" s="1"/>
  <c r="X32" i="27" s="1"/>
  <c r="X33" i="27" s="1"/>
  <c r="X34" i="27" s="1"/>
  <c r="X35" i="27" s="1"/>
  <c r="X36" i="27" s="1"/>
  <c r="X37" i="27" s="1"/>
  <c r="X38" i="27" s="1"/>
  <c r="X39" i="27" s="1"/>
  <c r="X40" i="27" s="1"/>
  <c r="X41" i="27" s="1"/>
  <c r="X42" i="27" s="1"/>
  <c r="X43" i="27" s="1"/>
  <c r="X44" i="27" s="1"/>
  <c r="X45" i="27" s="1"/>
  <c r="X46" i="27" s="1"/>
  <c r="X47" i="27" s="1"/>
  <c r="X48" i="27" s="1"/>
  <c r="X49" i="27" s="1"/>
  <c r="X50" i="27" s="1"/>
  <c r="X51" i="27" s="1"/>
  <c r="X52" i="27" s="1"/>
  <c r="X53" i="27" s="1"/>
  <c r="X54" i="27" s="1"/>
  <c r="X55" i="27" s="1"/>
  <c r="X56" i="27" s="1"/>
  <c r="X57" i="27" s="1"/>
  <c r="X58" i="27" s="1"/>
  <c r="X59" i="27" s="1"/>
  <c r="X60" i="27" s="1"/>
  <c r="X61" i="27" s="1"/>
  <c r="X62" i="27" s="1"/>
  <c r="X63" i="27" s="1"/>
  <c r="X64" i="27" s="1"/>
  <c r="X65" i="27" s="1"/>
  <c r="X66" i="27" s="1"/>
  <c r="X67" i="27" s="1"/>
  <c r="X68" i="27" s="1"/>
  <c r="X69" i="27" s="1"/>
  <c r="X70" i="27" s="1"/>
  <c r="X71" i="27" s="1"/>
  <c r="X72" i="27" s="1"/>
  <c r="X73" i="27" s="1"/>
  <c r="X74" i="27" s="1"/>
  <c r="X75" i="27" s="1"/>
  <c r="X76" i="27" s="1"/>
  <c r="X77" i="27" s="1"/>
  <c r="X78" i="27" s="1"/>
  <c r="X79" i="27" s="1"/>
  <c r="X80" i="27" s="1"/>
  <c r="X81" i="27" s="1"/>
  <c r="X82" i="27" s="1"/>
  <c r="X83" i="27" s="1"/>
  <c r="X84" i="27" s="1"/>
  <c r="X85" i="27" s="1"/>
  <c r="X86" i="27" s="1"/>
  <c r="X87" i="27" s="1"/>
  <c r="X88" i="27" s="1"/>
  <c r="X89" i="27" s="1"/>
  <c r="X90" i="27" s="1"/>
  <c r="X91" i="27" s="1"/>
  <c r="X92" i="27" s="1"/>
  <c r="X93" i="27" s="1"/>
  <c r="X94" i="27" s="1"/>
  <c r="X95" i="27" s="1"/>
  <c r="X96" i="27" s="1"/>
  <c r="X97" i="27" s="1"/>
  <c r="X98" i="27" s="1"/>
  <c r="X99" i="27" s="1"/>
  <c r="X100" i="27" s="1"/>
  <c r="X101" i="27" s="1"/>
  <c r="X102" i="27" s="1"/>
  <c r="X103" i="27" s="1"/>
  <c r="X104" i="27" s="1"/>
  <c r="X105" i="27" s="1"/>
  <c r="X106" i="27" s="1"/>
  <c r="X107" i="27" s="1"/>
  <c r="X108" i="27" s="1"/>
  <c r="X109" i="27" s="1"/>
  <c r="X110" i="27" s="1"/>
  <c r="X111" i="27" s="1"/>
  <c r="X112" i="27" s="1"/>
  <c r="X113" i="27" s="1"/>
  <c r="X114" i="27" s="1"/>
  <c r="X115" i="27" s="1"/>
  <c r="X116" i="27" s="1"/>
  <c r="X117" i="27" s="1"/>
  <c r="X118" i="27" s="1"/>
  <c r="X119" i="27" s="1"/>
  <c r="X120" i="27" s="1"/>
  <c r="X121" i="27" s="1"/>
  <c r="X122" i="27" s="1"/>
  <c r="X123" i="27" s="1"/>
  <c r="X124" i="27" s="1"/>
  <c r="X125" i="27" s="1"/>
  <c r="X126" i="27" s="1"/>
  <c r="X127" i="27" s="1"/>
  <c r="X128" i="27" s="1"/>
  <c r="X129" i="27" s="1"/>
  <c r="X130" i="27" s="1"/>
  <c r="X131" i="27" s="1"/>
  <c r="X132" i="27" s="1"/>
  <c r="X133" i="27" s="1"/>
  <c r="X134" i="27" s="1"/>
  <c r="X135" i="27" s="1"/>
  <c r="X136" i="27" s="1"/>
  <c r="X137" i="27" s="1"/>
  <c r="X138" i="27" s="1"/>
  <c r="X139" i="27" s="1"/>
  <c r="X140" i="27" s="1"/>
  <c r="X141" i="27" s="1"/>
  <c r="X142" i="27" s="1"/>
  <c r="X143" i="27" s="1"/>
  <c r="X144" i="27" s="1"/>
  <c r="X145" i="27" s="1"/>
  <c r="X146" i="27" s="1"/>
  <c r="X147" i="27" s="1"/>
  <c r="X148" i="27" s="1"/>
  <c r="X149" i="27" s="1"/>
  <c r="X150" i="27" s="1"/>
  <c r="X151" i="27" s="1"/>
  <c r="X152" i="27" s="1"/>
  <c r="X153" i="27" s="1"/>
  <c r="X154" i="27" s="1"/>
  <c r="X155" i="27" s="1"/>
  <c r="X156" i="27" s="1"/>
  <c r="X157" i="27" s="1"/>
  <c r="X158" i="27" s="1"/>
  <c r="X159" i="27" s="1"/>
  <c r="X160" i="27" s="1"/>
  <c r="X161" i="27" s="1"/>
  <c r="X162" i="27" s="1"/>
  <c r="X163" i="27" s="1"/>
  <c r="X164" i="27" s="1"/>
  <c r="X165" i="27" s="1"/>
  <c r="X166" i="27" s="1"/>
  <c r="X167" i="27" s="1"/>
  <c r="X168" i="27" s="1"/>
  <c r="X169" i="27" s="1"/>
  <c r="X170" i="27" s="1"/>
  <c r="X171" i="27" s="1"/>
  <c r="X172" i="27" s="1"/>
  <c r="X173" i="27" s="1"/>
  <c r="X174" i="27" s="1"/>
  <c r="X175" i="27" s="1"/>
  <c r="X176" i="27" s="1"/>
  <c r="X177" i="27" s="1"/>
  <c r="X178" i="27" s="1"/>
  <c r="X179" i="27" s="1"/>
  <c r="X180" i="27" s="1"/>
  <c r="X181" i="27" s="1"/>
  <c r="X182" i="27" s="1"/>
  <c r="X183" i="27" s="1"/>
  <c r="X184" i="27" s="1"/>
  <c r="X185" i="27" s="1"/>
  <c r="X186" i="27" s="1"/>
  <c r="X187" i="27" s="1"/>
  <c r="X188" i="27" s="1"/>
  <c r="X189" i="27" s="1"/>
  <c r="X190" i="27" s="1"/>
  <c r="X191" i="27" s="1"/>
  <c r="X192" i="27" s="1"/>
  <c r="X193" i="27" s="1"/>
  <c r="X194" i="27" s="1"/>
  <c r="X195" i="27" s="1"/>
  <c r="X196" i="27" s="1"/>
  <c r="X197" i="27" s="1"/>
  <c r="X198" i="27" s="1"/>
  <c r="X199" i="27" s="1"/>
  <c r="X200" i="27" s="1"/>
  <c r="X201" i="27" s="1"/>
  <c r="X202" i="27" s="1"/>
  <c r="X203" i="27" s="1"/>
  <c r="X204" i="27" s="1"/>
  <c r="X205" i="27" s="1"/>
  <c r="X206" i="27" s="1"/>
  <c r="X207" i="27" s="1"/>
  <c r="X208" i="27" s="1"/>
  <c r="X209" i="27" s="1"/>
  <c r="X210" i="27" s="1"/>
  <c r="X211" i="27" s="1"/>
  <c r="X212" i="27" s="1"/>
  <c r="X213" i="27" s="1"/>
  <c r="X214" i="27" s="1"/>
  <c r="X215" i="27" s="1"/>
  <c r="X216" i="27" s="1"/>
  <c r="X217" i="27" s="1"/>
  <c r="X218" i="27" s="1"/>
  <c r="X219" i="27" s="1"/>
  <c r="X220" i="27" s="1"/>
  <c r="X221" i="27" s="1"/>
  <c r="X222" i="27" s="1"/>
  <c r="X223" i="27" s="1"/>
  <c r="X224" i="27" s="1"/>
  <c r="X225" i="27" s="1"/>
  <c r="X226" i="27" s="1"/>
  <c r="X227" i="27" s="1"/>
  <c r="X228" i="27" s="1"/>
  <c r="X229" i="27" s="1"/>
  <c r="X230" i="27" s="1"/>
  <c r="X231" i="27" s="1"/>
  <c r="X232" i="27" s="1"/>
  <c r="X233" i="27" s="1"/>
  <c r="X234" i="27" s="1"/>
  <c r="X235" i="27" s="1"/>
  <c r="X236" i="27" s="1"/>
  <c r="X237" i="27" s="1"/>
  <c r="X238" i="27" s="1"/>
  <c r="X239" i="27" s="1"/>
  <c r="X240" i="27" s="1"/>
  <c r="X241" i="27" s="1"/>
  <c r="X242" i="27" s="1"/>
  <c r="X243" i="27" s="1"/>
  <c r="X244" i="27" s="1"/>
  <c r="X245" i="27" s="1"/>
  <c r="X246" i="27" s="1"/>
  <c r="X247" i="27" s="1"/>
  <c r="X248" i="27" s="1"/>
  <c r="X249" i="27" s="1"/>
  <c r="X250" i="27" s="1"/>
  <c r="X251" i="27" s="1"/>
  <c r="X252" i="27" s="1"/>
  <c r="X253" i="27" s="1"/>
  <c r="X254" i="27" s="1"/>
  <c r="X255" i="27" s="1"/>
  <c r="X256" i="27" s="1"/>
  <c r="X257" i="27" s="1"/>
  <c r="X258" i="27" s="1"/>
  <c r="X259" i="27" s="1"/>
  <c r="X260" i="27" s="1"/>
  <c r="X261" i="27" s="1"/>
  <c r="X262" i="27" s="1"/>
  <c r="X263" i="27" s="1"/>
  <c r="X264" i="27" s="1"/>
  <c r="X265" i="27" s="1"/>
  <c r="X266" i="27" s="1"/>
  <c r="X267" i="27" s="1"/>
  <c r="X268" i="27" s="1"/>
  <c r="X269" i="27" s="1"/>
  <c r="X270" i="27" s="1"/>
  <c r="X271" i="27" s="1"/>
  <c r="X272" i="27" s="1"/>
  <c r="X273" i="27" s="1"/>
  <c r="X274" i="27" s="1"/>
  <c r="X275" i="27" s="1"/>
  <c r="X276" i="27" s="1"/>
  <c r="X277" i="27" s="1"/>
  <c r="X278" i="27" s="1"/>
  <c r="X279" i="27" s="1"/>
  <c r="X280" i="27" s="1"/>
  <c r="X281" i="27" s="1"/>
  <c r="X282" i="27" s="1"/>
  <c r="X283" i="27" s="1"/>
  <c r="X284" i="27" s="1"/>
  <c r="X285" i="27" s="1"/>
  <c r="X286" i="27" s="1"/>
  <c r="X287" i="27" s="1"/>
  <c r="X288" i="27" s="1"/>
  <c r="X289" i="27" s="1"/>
  <c r="X290" i="27" s="1"/>
  <c r="X291" i="27" s="1"/>
  <c r="X292" i="27" s="1"/>
  <c r="X293" i="27" s="1"/>
  <c r="X294" i="27" s="1"/>
  <c r="X295" i="27" s="1"/>
  <c r="X296" i="27" s="1"/>
  <c r="X297" i="27" s="1"/>
  <c r="X298" i="27" s="1"/>
  <c r="X299" i="27" s="1"/>
  <c r="X300" i="27" s="1"/>
  <c r="X301" i="27" s="1"/>
  <c r="X302" i="27" s="1"/>
  <c r="X303" i="27" s="1"/>
  <c r="X304" i="27" s="1"/>
  <c r="X305" i="27" s="1"/>
  <c r="X306" i="27" s="1"/>
  <c r="X307" i="27" s="1"/>
  <c r="X308" i="27" s="1"/>
  <c r="X309" i="27" s="1"/>
  <c r="X310" i="27" s="1"/>
  <c r="X311" i="27" s="1"/>
  <c r="X312" i="27" s="1"/>
  <c r="X313" i="27" s="1"/>
  <c r="X314" i="27" s="1"/>
  <c r="X315" i="27" s="1"/>
  <c r="X316" i="27" s="1"/>
  <c r="X317" i="27" s="1"/>
  <c r="X318" i="27" s="1"/>
  <c r="X319" i="27" s="1"/>
  <c r="X320" i="27" s="1"/>
  <c r="X321" i="27" s="1"/>
  <c r="X322" i="27" s="1"/>
  <c r="X323" i="27" s="1"/>
  <c r="X324" i="27" s="1"/>
  <c r="X325" i="27" s="1"/>
  <c r="X326" i="27" s="1"/>
  <c r="X327" i="27" s="1"/>
  <c r="X328" i="27" s="1"/>
  <c r="X329" i="27" s="1"/>
  <c r="X330" i="27" s="1"/>
  <c r="X331" i="27" s="1"/>
  <c r="X332" i="27" s="1"/>
  <c r="X333" i="27" s="1"/>
  <c r="X334" i="27" s="1"/>
  <c r="X335" i="27" s="1"/>
  <c r="X336" i="27" s="1"/>
  <c r="X337" i="27" s="1"/>
  <c r="X338" i="27" s="1"/>
  <c r="X339" i="27" s="1"/>
  <c r="X340" i="27" s="1"/>
  <c r="X341" i="27" s="1"/>
  <c r="X342" i="27" s="1"/>
  <c r="X343" i="27" s="1"/>
  <c r="X344" i="27" s="1"/>
  <c r="X345" i="27" s="1"/>
  <c r="X346" i="27" s="1"/>
  <c r="X347" i="27" s="1"/>
  <c r="X348" i="27" s="1"/>
  <c r="X349" i="27" s="1"/>
  <c r="X350" i="27" s="1"/>
  <c r="X351" i="27" s="1"/>
  <c r="X352" i="27" s="1"/>
  <c r="X353" i="27" s="1"/>
  <c r="X354" i="27" s="1"/>
  <c r="X355" i="27" s="1"/>
  <c r="X356" i="27" s="1"/>
  <c r="X357" i="27" s="1"/>
  <c r="X358" i="27" s="1"/>
  <c r="X359" i="27" s="1"/>
  <c r="X360" i="27" s="1"/>
  <c r="X361" i="27" s="1"/>
  <c r="X362" i="27" s="1"/>
  <c r="X363" i="27" s="1"/>
  <c r="X364" i="27" s="1"/>
  <c r="X365" i="27" s="1"/>
  <c r="X366" i="27" s="1"/>
  <c r="X367" i="27" s="1"/>
  <c r="X368" i="27" s="1"/>
  <c r="X369" i="27" s="1"/>
  <c r="X370" i="27" s="1"/>
  <c r="X371" i="27" s="1"/>
  <c r="X372" i="27" s="1"/>
  <c r="X373" i="27" s="1"/>
  <c r="X374" i="27" s="1"/>
  <c r="X375" i="27" s="1"/>
  <c r="X376" i="27" s="1"/>
  <c r="X377" i="27" s="1"/>
  <c r="X378" i="27" s="1"/>
  <c r="X379" i="27" s="1"/>
  <c r="X380" i="27" s="1"/>
  <c r="X381" i="27" s="1"/>
  <c r="X382" i="27" s="1"/>
  <c r="X383" i="27" s="1"/>
  <c r="X384" i="27" s="1"/>
  <c r="X385" i="27" s="1"/>
  <c r="X386" i="27" s="1"/>
  <c r="X387" i="27" s="1"/>
  <c r="X388" i="27" s="1"/>
  <c r="X389" i="27" s="1"/>
  <c r="X390" i="27" s="1"/>
  <c r="X391" i="27" s="1"/>
  <c r="X392" i="27" s="1"/>
  <c r="X393" i="27" s="1"/>
  <c r="X394" i="27" s="1"/>
  <c r="X395" i="27" s="1"/>
  <c r="X396" i="27" s="1"/>
  <c r="X397" i="27" s="1"/>
  <c r="X398" i="27" s="1"/>
  <c r="X399" i="27" s="1"/>
  <c r="X400" i="27" s="1"/>
  <c r="X401" i="27" s="1"/>
  <c r="X402" i="27" s="1"/>
  <c r="X403" i="27" s="1"/>
  <c r="X404" i="27" s="1"/>
  <c r="X405" i="27" s="1"/>
  <c r="X406" i="27" s="1"/>
  <c r="X407" i="27" s="1"/>
  <c r="X408" i="27" s="1"/>
  <c r="X409" i="27" s="1"/>
  <c r="X410" i="27" s="1"/>
  <c r="X411" i="27" s="1"/>
  <c r="X412" i="27" s="1"/>
  <c r="X413" i="27" s="1"/>
  <c r="X414" i="27" s="1"/>
  <c r="X415" i="27" s="1"/>
  <c r="X416" i="27" s="1"/>
  <c r="X417" i="27" s="1"/>
  <c r="X418" i="27" s="1"/>
  <c r="X419" i="27" s="1"/>
  <c r="X420" i="27" s="1"/>
  <c r="X421" i="27" s="1"/>
  <c r="X422" i="27" s="1"/>
  <c r="X423" i="27" s="1"/>
  <c r="X424" i="27" s="1"/>
  <c r="X425" i="27" s="1"/>
  <c r="X426" i="27" s="1"/>
  <c r="X427" i="27" s="1"/>
  <c r="X428" i="27" s="1"/>
  <c r="X429" i="27" s="1"/>
  <c r="X430" i="27" s="1"/>
  <c r="X431" i="27" s="1"/>
  <c r="X432" i="27" s="1"/>
  <c r="X433" i="27" s="1"/>
  <c r="X434" i="27" s="1"/>
  <c r="X435" i="27" s="1"/>
  <c r="X436" i="27" s="1"/>
  <c r="X437" i="27" s="1"/>
  <c r="X438" i="27" s="1"/>
  <c r="X439" i="27" s="1"/>
  <c r="X440" i="27" s="1"/>
  <c r="X441" i="27" s="1"/>
  <c r="X442" i="27" s="1"/>
  <c r="X443" i="27" s="1"/>
  <c r="X444" i="27" s="1"/>
  <c r="X445" i="27" s="1"/>
  <c r="X446" i="27" s="1"/>
  <c r="X447" i="27" s="1"/>
  <c r="X448" i="27" s="1"/>
  <c r="X449" i="27" s="1"/>
  <c r="X450" i="27" s="1"/>
  <c r="X451" i="27" s="1"/>
  <c r="X452" i="27" s="1"/>
  <c r="X453" i="27" s="1"/>
  <c r="X454" i="27" s="1"/>
  <c r="X455" i="27" s="1"/>
  <c r="X456" i="27" s="1"/>
  <c r="X457" i="27" s="1"/>
  <c r="X458" i="27" s="1"/>
  <c r="X459" i="27" s="1"/>
  <c r="X460" i="27" s="1"/>
  <c r="X461" i="27" s="1"/>
  <c r="X462" i="27" s="1"/>
  <c r="X463" i="27" s="1"/>
  <c r="X464" i="27" s="1"/>
  <c r="X465" i="27" s="1"/>
  <c r="X466" i="27" s="1"/>
  <c r="X467" i="27" s="1"/>
  <c r="X468" i="27" s="1"/>
  <c r="X469" i="27" s="1"/>
  <c r="X470" i="27" s="1"/>
  <c r="X471" i="27" s="1"/>
  <c r="X472" i="27" s="1"/>
  <c r="X473" i="27" s="1"/>
  <c r="X474" i="27" s="1"/>
  <c r="X475" i="27" s="1"/>
  <c r="X476" i="27" s="1"/>
  <c r="X477" i="27" s="1"/>
  <c r="X478" i="27" s="1"/>
  <c r="X479" i="27" s="1"/>
  <c r="X480" i="27" s="1"/>
  <c r="X481" i="27" s="1"/>
  <c r="X482" i="27" s="1"/>
  <c r="X483" i="27" s="1"/>
  <c r="X484" i="27" s="1"/>
  <c r="X485" i="27" s="1"/>
  <c r="X486" i="27" s="1"/>
  <c r="X487" i="27" s="1"/>
  <c r="X488" i="27" s="1"/>
  <c r="X489" i="27" s="1"/>
  <c r="X490" i="27" s="1"/>
  <c r="X491" i="27" s="1"/>
  <c r="X492" i="27" s="1"/>
  <c r="X493" i="27" s="1"/>
  <c r="X494" i="27" s="1"/>
  <c r="X495" i="27" s="1"/>
  <c r="X496" i="27" s="1"/>
  <c r="X497" i="27" s="1"/>
  <c r="X498" i="27" s="1"/>
  <c r="X499" i="27" s="1"/>
  <c r="X500" i="27" s="1"/>
  <c r="X501" i="27" s="1"/>
  <c r="X502" i="27" s="1"/>
  <c r="X503" i="27" s="1"/>
  <c r="X504" i="27" s="1"/>
  <c r="X505" i="27" s="1"/>
  <c r="X506" i="27" s="1"/>
  <c r="X507" i="27" s="1"/>
  <c r="X508" i="27" s="1"/>
  <c r="X509" i="27" s="1"/>
  <c r="X510" i="27" s="1"/>
  <c r="X511" i="27" s="1"/>
  <c r="X512" i="27" s="1"/>
  <c r="X513" i="27" s="1"/>
  <c r="X514" i="27" s="1"/>
  <c r="X515" i="27" s="1"/>
  <c r="X516" i="27" s="1"/>
  <c r="X517" i="27" s="1"/>
  <c r="X518" i="27" s="1"/>
  <c r="X519" i="27" s="1"/>
  <c r="X520" i="27" s="1"/>
  <c r="X521" i="27" s="1"/>
  <c r="X522" i="27" s="1"/>
  <c r="X523" i="27" s="1"/>
  <c r="X524" i="27" s="1"/>
  <c r="X525" i="27" s="1"/>
  <c r="X526" i="27" s="1"/>
  <c r="X527" i="27" s="1"/>
  <c r="X528" i="27" s="1"/>
  <c r="X529" i="27" s="1"/>
  <c r="X530" i="27" s="1"/>
  <c r="X531" i="27" s="1"/>
  <c r="X532" i="27" s="1"/>
  <c r="X533" i="27" s="1"/>
  <c r="X534" i="27" s="1"/>
  <c r="X535" i="27" s="1"/>
  <c r="X536" i="27" s="1"/>
  <c r="X537" i="27" s="1"/>
  <c r="X538" i="27" s="1"/>
  <c r="X539" i="27" s="1"/>
  <c r="X540" i="27" s="1"/>
  <c r="X541" i="27" s="1"/>
  <c r="X542" i="27" s="1"/>
  <c r="X543" i="27" s="1"/>
  <c r="X544" i="27" s="1"/>
  <c r="X545" i="27" s="1"/>
  <c r="X546" i="27" s="1"/>
  <c r="X547" i="27" s="1"/>
  <c r="X548" i="27" s="1"/>
  <c r="X549" i="27" s="1"/>
  <c r="X550" i="27" s="1"/>
  <c r="X551" i="27" s="1"/>
  <c r="X552" i="27" s="1"/>
  <c r="X553" i="27" s="1"/>
  <c r="X554" i="27" s="1"/>
  <c r="X555" i="27" s="1"/>
  <c r="X556" i="27" s="1"/>
  <c r="X557" i="27" s="1"/>
  <c r="X558" i="27" s="1"/>
  <c r="X559" i="27" s="1"/>
  <c r="X560" i="27" s="1"/>
  <c r="X561" i="27" s="1"/>
  <c r="X562" i="27" s="1"/>
  <c r="X563" i="27" s="1"/>
  <c r="X564" i="27" s="1"/>
  <c r="X565" i="27" s="1"/>
  <c r="X566" i="27" s="1"/>
  <c r="X567" i="27" s="1"/>
  <c r="X568" i="27" s="1"/>
  <c r="X569" i="27" s="1"/>
  <c r="X570" i="27" s="1"/>
  <c r="X571" i="27" s="1"/>
  <c r="X572" i="27" s="1"/>
  <c r="X573" i="27" s="1"/>
  <c r="X574" i="27" s="1"/>
  <c r="X575" i="27" s="1"/>
  <c r="X576" i="27" s="1"/>
  <c r="X577" i="27" s="1"/>
  <c r="X578" i="27" s="1"/>
  <c r="X579" i="27" s="1"/>
  <c r="X580" i="27" s="1"/>
  <c r="X581" i="27" s="1"/>
  <c r="X582" i="27" s="1"/>
  <c r="X583" i="27" s="1"/>
  <c r="X584" i="27" s="1"/>
  <c r="X585" i="27" s="1"/>
  <c r="X586" i="27" s="1"/>
  <c r="X587" i="27" s="1"/>
  <c r="X588" i="27" s="1"/>
  <c r="X589" i="27" s="1"/>
  <c r="X590" i="27" s="1"/>
  <c r="X591" i="27" s="1"/>
  <c r="X592" i="27" s="1"/>
  <c r="X593" i="27" s="1"/>
  <c r="X594" i="27" s="1"/>
  <c r="X595" i="27" s="1"/>
  <c r="X596" i="27" s="1"/>
  <c r="X597" i="27" s="1"/>
  <c r="X598" i="27" s="1"/>
  <c r="X599" i="27" s="1"/>
  <c r="X600" i="27" s="1"/>
  <c r="X601" i="27" s="1"/>
  <c r="X602" i="27" s="1"/>
  <c r="X603" i="27" s="1"/>
  <c r="X604" i="27" s="1"/>
  <c r="X605" i="27" s="1"/>
  <c r="X606" i="27" s="1"/>
  <c r="X607" i="27" s="1"/>
  <c r="X608" i="27" s="1"/>
  <c r="X609" i="27" s="1"/>
  <c r="X610" i="27" s="1"/>
  <c r="X611" i="27" s="1"/>
  <c r="X612" i="27" s="1"/>
  <c r="X613" i="27" s="1"/>
  <c r="X614" i="27" s="1"/>
  <c r="X615" i="27" s="1"/>
  <c r="X616" i="27" s="1"/>
  <c r="X617" i="27" s="1"/>
  <c r="X618" i="27" s="1"/>
  <c r="X619" i="27" s="1"/>
  <c r="X620" i="27" s="1"/>
  <c r="X621" i="27" s="1"/>
  <c r="X622" i="27" s="1"/>
  <c r="X623" i="27" s="1"/>
  <c r="X624" i="27" s="1"/>
  <c r="X625" i="27" s="1"/>
  <c r="X626" i="27" s="1"/>
  <c r="X627" i="27" s="1"/>
  <c r="X628" i="27" s="1"/>
  <c r="X629" i="27" s="1"/>
  <c r="X630" i="27" s="1"/>
  <c r="X631" i="27" s="1"/>
  <c r="X632" i="27" s="1"/>
  <c r="X633" i="27" s="1"/>
  <c r="X634" i="27" s="1"/>
  <c r="X635" i="27" s="1"/>
  <c r="X636" i="27" s="1"/>
  <c r="X637" i="27" s="1"/>
  <c r="X638" i="27" s="1"/>
  <c r="X639" i="27" s="1"/>
  <c r="X640" i="27" s="1"/>
  <c r="X641" i="27" s="1"/>
  <c r="X642" i="27" s="1"/>
  <c r="X643" i="27" s="1"/>
  <c r="X644" i="27" s="1"/>
  <c r="X645" i="27" s="1"/>
  <c r="X646" i="27" s="1"/>
  <c r="X647" i="27" s="1"/>
  <c r="X648" i="27" s="1"/>
  <c r="X649" i="27" s="1"/>
  <c r="X650" i="27" s="1"/>
  <c r="X651" i="27" s="1"/>
  <c r="X652" i="27" s="1"/>
  <c r="X653" i="27" s="1"/>
  <c r="X654" i="27" s="1"/>
  <c r="X655" i="27" s="1"/>
  <c r="X656" i="27" s="1"/>
  <c r="X657" i="27" s="1"/>
  <c r="X658" i="27" s="1"/>
  <c r="X659" i="27" s="1"/>
  <c r="X660" i="27" s="1"/>
  <c r="X661" i="27" s="1"/>
  <c r="X662" i="27" s="1"/>
  <c r="X663" i="27" s="1"/>
  <c r="X664" i="27" s="1"/>
  <c r="X665" i="27" s="1"/>
  <c r="X666" i="27" s="1"/>
  <c r="X667" i="27" s="1"/>
  <c r="X668" i="27" s="1"/>
  <c r="X669" i="27" s="1"/>
  <c r="X670" i="27" s="1"/>
  <c r="X671" i="27" s="1"/>
  <c r="X672" i="27" s="1"/>
  <c r="X673" i="27" s="1"/>
  <c r="X674" i="27" s="1"/>
  <c r="X675" i="27" s="1"/>
  <c r="X676" i="27" s="1"/>
  <c r="X677" i="27" s="1"/>
  <c r="X678" i="27" s="1"/>
  <c r="X679" i="27" s="1"/>
  <c r="X680" i="27" s="1"/>
  <c r="X681" i="27" s="1"/>
  <c r="X682" i="27" s="1"/>
  <c r="X683" i="27" s="1"/>
  <c r="X684" i="27" s="1"/>
  <c r="X685" i="27" s="1"/>
  <c r="X686" i="27" s="1"/>
  <c r="X687" i="27" s="1"/>
  <c r="X688" i="27" s="1"/>
  <c r="X689" i="27" s="1"/>
  <c r="X690" i="27" s="1"/>
  <c r="X691" i="27" s="1"/>
  <c r="X692" i="27" s="1"/>
  <c r="X693" i="27" s="1"/>
  <c r="X694" i="27" s="1"/>
  <c r="X695" i="27" s="1"/>
  <c r="X696" i="27" s="1"/>
  <c r="X697" i="27" s="1"/>
  <c r="X698" i="27" s="1"/>
  <c r="X699" i="27" s="1"/>
  <c r="X700" i="27" s="1"/>
  <c r="X701" i="27" s="1"/>
  <c r="X702" i="27" s="1"/>
  <c r="X703" i="27" s="1"/>
  <c r="X704" i="27" s="1"/>
  <c r="X705" i="27" s="1"/>
  <c r="X706" i="27" s="1"/>
  <c r="X707" i="27" s="1"/>
  <c r="X708" i="27" s="1"/>
  <c r="X709" i="27" s="1"/>
  <c r="X710" i="27" s="1"/>
  <c r="X711" i="27" s="1"/>
  <c r="X712" i="27" s="1"/>
  <c r="X713" i="27" s="1"/>
  <c r="X714" i="27" s="1"/>
  <c r="X715" i="27" s="1"/>
  <c r="X716" i="27" s="1"/>
  <c r="X717" i="27" s="1"/>
  <c r="X718" i="27" s="1"/>
  <c r="X719" i="27" s="1"/>
  <c r="X720" i="27" s="1"/>
  <c r="X721" i="27" s="1"/>
  <c r="X722" i="27" s="1"/>
  <c r="X723" i="27" s="1"/>
  <c r="X724" i="27" s="1"/>
  <c r="X725" i="27" s="1"/>
  <c r="X726" i="27" s="1"/>
  <c r="X727" i="27" s="1"/>
  <c r="X728" i="27" s="1"/>
  <c r="W10" i="27"/>
  <c r="W11" i="27" s="1"/>
  <c r="W12" i="27" s="1"/>
  <c r="W13" i="27" s="1"/>
  <c r="W14" i="27" s="1"/>
  <c r="W15" i="27" s="1"/>
  <c r="W16" i="27" s="1"/>
  <c r="W17" i="27" s="1"/>
  <c r="W18" i="27" s="1"/>
  <c r="W19" i="27" s="1"/>
  <c r="W20" i="27" s="1"/>
  <c r="W21" i="27" s="1"/>
  <c r="W22" i="27" s="1"/>
  <c r="W23" i="27" s="1"/>
  <c r="W24" i="27" s="1"/>
  <c r="W25" i="27" s="1"/>
  <c r="W26" i="27" s="1"/>
  <c r="W27" i="27" s="1"/>
  <c r="W28" i="27" s="1"/>
  <c r="W29" i="27" s="1"/>
  <c r="W30" i="27" s="1"/>
  <c r="W31" i="27" s="1"/>
  <c r="W32" i="27" s="1"/>
  <c r="W33" i="27" s="1"/>
  <c r="W34" i="27" s="1"/>
  <c r="W35" i="27" s="1"/>
  <c r="W36" i="27" s="1"/>
  <c r="W37" i="27" s="1"/>
  <c r="W38" i="27" s="1"/>
  <c r="W39" i="27" s="1"/>
  <c r="W40" i="27" s="1"/>
  <c r="W41" i="27" s="1"/>
  <c r="W42" i="27" s="1"/>
  <c r="W43" i="27" s="1"/>
  <c r="W44" i="27" s="1"/>
  <c r="W45" i="27" s="1"/>
  <c r="W46" i="27" s="1"/>
  <c r="W47" i="27" s="1"/>
  <c r="W48" i="27" s="1"/>
  <c r="W49" i="27" s="1"/>
  <c r="W50" i="27" s="1"/>
  <c r="W51" i="27" s="1"/>
  <c r="W52" i="27" s="1"/>
  <c r="W53" i="27" s="1"/>
  <c r="W54" i="27" s="1"/>
  <c r="W55" i="27" s="1"/>
  <c r="W56" i="27" s="1"/>
  <c r="W57" i="27" s="1"/>
  <c r="W58" i="27" s="1"/>
  <c r="W59" i="27" s="1"/>
  <c r="W60" i="27" s="1"/>
  <c r="W61" i="27" s="1"/>
  <c r="W62" i="27" s="1"/>
  <c r="W63" i="27" s="1"/>
  <c r="W64" i="27" s="1"/>
  <c r="W65" i="27" s="1"/>
  <c r="W66" i="27" s="1"/>
  <c r="W67" i="27" s="1"/>
  <c r="W68" i="27" s="1"/>
  <c r="W69" i="27" s="1"/>
  <c r="W70" i="27" s="1"/>
  <c r="W71" i="27" s="1"/>
  <c r="W72" i="27" s="1"/>
  <c r="W73" i="27" s="1"/>
  <c r="W74" i="27" s="1"/>
  <c r="W75" i="27" s="1"/>
  <c r="W76" i="27" s="1"/>
  <c r="W77" i="27" s="1"/>
  <c r="W78" i="27" s="1"/>
  <c r="W79" i="27" s="1"/>
  <c r="W80" i="27" s="1"/>
  <c r="W81" i="27" s="1"/>
  <c r="W82" i="27" s="1"/>
  <c r="W83" i="27" s="1"/>
  <c r="W84" i="27" s="1"/>
  <c r="W85" i="27" s="1"/>
  <c r="W86" i="27" s="1"/>
  <c r="W87" i="27" s="1"/>
  <c r="W88" i="27" s="1"/>
  <c r="W89" i="27" s="1"/>
  <c r="W90" i="27" s="1"/>
  <c r="W91" i="27" s="1"/>
  <c r="W92" i="27" s="1"/>
  <c r="W93" i="27" s="1"/>
  <c r="W94" i="27" s="1"/>
  <c r="W95" i="27" s="1"/>
  <c r="W96" i="27" s="1"/>
  <c r="W97" i="27" s="1"/>
  <c r="W98" i="27" s="1"/>
  <c r="W99" i="27" s="1"/>
  <c r="W100" i="27" s="1"/>
  <c r="W101" i="27" s="1"/>
  <c r="W102" i="27" s="1"/>
  <c r="W103" i="27" s="1"/>
  <c r="W104" i="27" s="1"/>
  <c r="W105" i="27" s="1"/>
  <c r="W106" i="27" s="1"/>
  <c r="W107" i="27" s="1"/>
  <c r="W108" i="27" s="1"/>
  <c r="W109" i="27" s="1"/>
  <c r="W110" i="27" s="1"/>
  <c r="W111" i="27" s="1"/>
  <c r="W112" i="27" s="1"/>
  <c r="W113" i="27" s="1"/>
  <c r="W114" i="27" s="1"/>
  <c r="W115" i="27" s="1"/>
  <c r="W116" i="27" s="1"/>
  <c r="W117" i="27" s="1"/>
  <c r="W118" i="27" s="1"/>
  <c r="W119" i="27" s="1"/>
  <c r="W120" i="27" s="1"/>
  <c r="W121" i="27" s="1"/>
  <c r="W122" i="27" s="1"/>
  <c r="W123" i="27" s="1"/>
  <c r="W124" i="27" s="1"/>
  <c r="W125" i="27" s="1"/>
  <c r="W126" i="27" s="1"/>
  <c r="W127" i="27" s="1"/>
  <c r="W128" i="27" s="1"/>
  <c r="W129" i="27" s="1"/>
  <c r="W130" i="27" s="1"/>
  <c r="W131" i="27" s="1"/>
  <c r="W132" i="27" s="1"/>
  <c r="W133" i="27" s="1"/>
  <c r="W134" i="27" s="1"/>
  <c r="W135" i="27" s="1"/>
  <c r="W136" i="27" s="1"/>
  <c r="W137" i="27" s="1"/>
  <c r="W138" i="27" s="1"/>
  <c r="W139" i="27" s="1"/>
  <c r="W140" i="27" s="1"/>
  <c r="W141" i="27" s="1"/>
  <c r="W142" i="27" s="1"/>
  <c r="W143" i="27" s="1"/>
  <c r="W144" i="27" s="1"/>
  <c r="W145" i="27" s="1"/>
  <c r="W146" i="27" s="1"/>
  <c r="W147" i="27" s="1"/>
  <c r="W148" i="27" s="1"/>
  <c r="W149" i="27" s="1"/>
  <c r="W150" i="27" s="1"/>
  <c r="W151" i="27" s="1"/>
  <c r="W152" i="27" s="1"/>
  <c r="W153" i="27" s="1"/>
  <c r="W154" i="27" s="1"/>
  <c r="W155" i="27" s="1"/>
  <c r="W156" i="27" s="1"/>
  <c r="W157" i="27" s="1"/>
  <c r="W158" i="27" s="1"/>
  <c r="W159" i="27" s="1"/>
  <c r="W160" i="27" s="1"/>
  <c r="W161" i="27" s="1"/>
  <c r="W162" i="27" s="1"/>
  <c r="W163" i="27" s="1"/>
  <c r="W164" i="27" s="1"/>
  <c r="W165" i="27" s="1"/>
  <c r="W166" i="27" s="1"/>
  <c r="W167" i="27" s="1"/>
  <c r="W168" i="27" s="1"/>
  <c r="W169" i="27" s="1"/>
  <c r="W170" i="27" s="1"/>
  <c r="W171" i="27" s="1"/>
  <c r="W172" i="27" s="1"/>
  <c r="W173" i="27" s="1"/>
  <c r="W174" i="27" s="1"/>
  <c r="W175" i="27" s="1"/>
  <c r="W176" i="27" s="1"/>
  <c r="W177" i="27" s="1"/>
  <c r="W178" i="27" s="1"/>
  <c r="W179" i="27" s="1"/>
  <c r="W180" i="27" s="1"/>
  <c r="W181" i="27" s="1"/>
  <c r="W182" i="27" s="1"/>
  <c r="W183" i="27" s="1"/>
  <c r="W184" i="27" s="1"/>
  <c r="W185" i="27" s="1"/>
  <c r="W186" i="27" s="1"/>
  <c r="W187" i="27" s="1"/>
  <c r="W188" i="27" s="1"/>
  <c r="W189" i="27" s="1"/>
  <c r="W190" i="27" s="1"/>
  <c r="W191" i="27" s="1"/>
  <c r="W192" i="27" s="1"/>
  <c r="W193" i="27" s="1"/>
  <c r="W194" i="27" s="1"/>
  <c r="W195" i="27" s="1"/>
  <c r="W196" i="27" s="1"/>
  <c r="W197" i="27" s="1"/>
  <c r="W198" i="27" s="1"/>
  <c r="W199" i="27" s="1"/>
  <c r="W200" i="27" s="1"/>
  <c r="W201" i="27" s="1"/>
  <c r="W202" i="27" s="1"/>
  <c r="W203" i="27" s="1"/>
  <c r="W204" i="27" s="1"/>
  <c r="W205" i="27" s="1"/>
  <c r="W206" i="27" s="1"/>
  <c r="W207" i="27" s="1"/>
  <c r="W208" i="27" s="1"/>
  <c r="W209" i="27" s="1"/>
  <c r="W210" i="27" s="1"/>
  <c r="W211" i="27" s="1"/>
  <c r="W212" i="27" s="1"/>
  <c r="W213" i="27" s="1"/>
  <c r="W214" i="27" s="1"/>
  <c r="W215" i="27" s="1"/>
  <c r="W216" i="27" s="1"/>
  <c r="W217" i="27" s="1"/>
  <c r="W218" i="27" s="1"/>
  <c r="W219" i="27" s="1"/>
  <c r="W220" i="27" s="1"/>
  <c r="W221" i="27" s="1"/>
  <c r="W222" i="27" s="1"/>
  <c r="W223" i="27" s="1"/>
  <c r="W224" i="27" s="1"/>
  <c r="W225" i="27" s="1"/>
  <c r="W226" i="27" s="1"/>
  <c r="W227" i="27" s="1"/>
  <c r="W228" i="27" s="1"/>
  <c r="W229" i="27" s="1"/>
  <c r="W230" i="27" s="1"/>
  <c r="W231" i="27" s="1"/>
  <c r="W232" i="27" s="1"/>
  <c r="W233" i="27" s="1"/>
  <c r="W234" i="27" s="1"/>
  <c r="W235" i="27" s="1"/>
  <c r="W236" i="27" s="1"/>
  <c r="W237" i="27" s="1"/>
  <c r="W238" i="27" s="1"/>
  <c r="W239" i="27" s="1"/>
  <c r="W240" i="27" s="1"/>
  <c r="W241" i="27" s="1"/>
  <c r="W242" i="27" s="1"/>
  <c r="W243" i="27" s="1"/>
  <c r="W244" i="27" s="1"/>
  <c r="W245" i="27" s="1"/>
  <c r="W246" i="27" s="1"/>
  <c r="W247" i="27" s="1"/>
  <c r="W248" i="27" s="1"/>
  <c r="W249" i="27" s="1"/>
  <c r="W250" i="27" s="1"/>
  <c r="W251" i="27" s="1"/>
  <c r="W252" i="27" s="1"/>
  <c r="W253" i="27" s="1"/>
  <c r="W254" i="27" s="1"/>
  <c r="W255" i="27" s="1"/>
  <c r="W256" i="27" s="1"/>
  <c r="W257" i="27" s="1"/>
  <c r="W258" i="27" s="1"/>
  <c r="W259" i="27" s="1"/>
  <c r="W260" i="27" s="1"/>
  <c r="W261" i="27" s="1"/>
  <c r="W262" i="27" s="1"/>
  <c r="W263" i="27" s="1"/>
  <c r="W264" i="27" s="1"/>
  <c r="W265" i="27" s="1"/>
  <c r="W266" i="27" s="1"/>
  <c r="W267" i="27" s="1"/>
  <c r="W268" i="27" s="1"/>
  <c r="W269" i="27" s="1"/>
  <c r="W270" i="27" s="1"/>
  <c r="W271" i="27" s="1"/>
  <c r="W272" i="27" s="1"/>
  <c r="W273" i="27" s="1"/>
  <c r="W274" i="27" s="1"/>
  <c r="W275" i="27" s="1"/>
  <c r="W276" i="27" s="1"/>
  <c r="W277" i="27" s="1"/>
  <c r="W278" i="27" s="1"/>
  <c r="W279" i="27" s="1"/>
  <c r="W280" i="27" s="1"/>
  <c r="W281" i="27" s="1"/>
  <c r="W282" i="27" s="1"/>
  <c r="W283" i="27" s="1"/>
  <c r="W284" i="27" s="1"/>
  <c r="W285" i="27" s="1"/>
  <c r="W286" i="27" s="1"/>
  <c r="W287" i="27" s="1"/>
  <c r="W288" i="27" s="1"/>
  <c r="W289" i="27" s="1"/>
  <c r="W290" i="27" s="1"/>
  <c r="W291" i="27" s="1"/>
  <c r="W292" i="27" s="1"/>
  <c r="W293" i="27" s="1"/>
  <c r="W294" i="27" s="1"/>
  <c r="W295" i="27" s="1"/>
  <c r="W296" i="27" s="1"/>
  <c r="W297" i="27" s="1"/>
  <c r="W298" i="27" s="1"/>
  <c r="W299" i="27" s="1"/>
  <c r="W300" i="27" s="1"/>
  <c r="W301" i="27" s="1"/>
  <c r="W302" i="27" s="1"/>
  <c r="W303" i="27" s="1"/>
  <c r="W304" i="27" s="1"/>
  <c r="W305" i="27" s="1"/>
  <c r="W306" i="27" s="1"/>
  <c r="W307" i="27" s="1"/>
  <c r="W308" i="27" s="1"/>
  <c r="W309" i="27" s="1"/>
  <c r="W310" i="27" s="1"/>
  <c r="W311" i="27" s="1"/>
  <c r="W312" i="27" s="1"/>
  <c r="W313" i="27" s="1"/>
  <c r="W314" i="27" s="1"/>
  <c r="W315" i="27" s="1"/>
  <c r="W316" i="27" s="1"/>
  <c r="W317" i="27" s="1"/>
  <c r="W318" i="27" s="1"/>
  <c r="W319" i="27" s="1"/>
  <c r="W320" i="27" s="1"/>
  <c r="W321" i="27" s="1"/>
  <c r="W322" i="27" s="1"/>
  <c r="W323" i="27" s="1"/>
  <c r="W324" i="27" s="1"/>
  <c r="W325" i="27" s="1"/>
  <c r="W326" i="27" s="1"/>
  <c r="W327" i="27" s="1"/>
  <c r="W328" i="27" s="1"/>
  <c r="W329" i="27" s="1"/>
  <c r="W330" i="27" s="1"/>
  <c r="W331" i="27" s="1"/>
  <c r="W332" i="27" s="1"/>
  <c r="W333" i="27" s="1"/>
  <c r="W334" i="27" s="1"/>
  <c r="W335" i="27" s="1"/>
  <c r="W336" i="27" s="1"/>
  <c r="W337" i="27" s="1"/>
  <c r="W338" i="27" s="1"/>
  <c r="W339" i="27" s="1"/>
  <c r="W340" i="27" s="1"/>
  <c r="W341" i="27" s="1"/>
  <c r="W342" i="27" s="1"/>
  <c r="W343" i="27" s="1"/>
  <c r="W344" i="27" s="1"/>
  <c r="W345" i="27" s="1"/>
  <c r="W346" i="27" s="1"/>
  <c r="W347" i="27" s="1"/>
  <c r="W348" i="27" s="1"/>
  <c r="W349" i="27" s="1"/>
  <c r="W350" i="27" s="1"/>
  <c r="W351" i="27" s="1"/>
  <c r="W352" i="27" s="1"/>
  <c r="W353" i="27" s="1"/>
  <c r="W354" i="27" s="1"/>
  <c r="W355" i="27" s="1"/>
  <c r="W356" i="27" s="1"/>
  <c r="W357" i="27" s="1"/>
  <c r="W358" i="27" s="1"/>
  <c r="W359" i="27" s="1"/>
  <c r="W360" i="27" s="1"/>
  <c r="W361" i="27" s="1"/>
  <c r="W362" i="27" s="1"/>
  <c r="W363" i="27" s="1"/>
  <c r="W364" i="27" s="1"/>
  <c r="W365" i="27" s="1"/>
  <c r="W366" i="27" s="1"/>
  <c r="W367" i="27" s="1"/>
  <c r="W368" i="27" s="1"/>
  <c r="W369" i="27" s="1"/>
  <c r="W370" i="27" s="1"/>
  <c r="W371" i="27" s="1"/>
  <c r="W372" i="27" s="1"/>
  <c r="W373" i="27" s="1"/>
  <c r="W374" i="27" s="1"/>
  <c r="W375" i="27" s="1"/>
  <c r="W376" i="27" s="1"/>
  <c r="W377" i="27" s="1"/>
  <c r="W378" i="27" s="1"/>
  <c r="W379" i="27" s="1"/>
  <c r="W380" i="27" s="1"/>
  <c r="W381" i="27" s="1"/>
  <c r="W382" i="27" s="1"/>
  <c r="W383" i="27" s="1"/>
  <c r="W384" i="27" s="1"/>
  <c r="W385" i="27" s="1"/>
  <c r="W386" i="27" s="1"/>
  <c r="W387" i="27" s="1"/>
  <c r="W388" i="27" s="1"/>
  <c r="W389" i="27" s="1"/>
  <c r="W390" i="27" s="1"/>
  <c r="W391" i="27" s="1"/>
  <c r="W392" i="27" s="1"/>
  <c r="W393" i="27" s="1"/>
  <c r="W394" i="27" s="1"/>
  <c r="W395" i="27" s="1"/>
  <c r="W396" i="27" s="1"/>
  <c r="W397" i="27" s="1"/>
  <c r="W398" i="27" s="1"/>
  <c r="W399" i="27" s="1"/>
  <c r="W400" i="27" s="1"/>
  <c r="W401" i="27" s="1"/>
  <c r="W402" i="27" s="1"/>
  <c r="W403" i="27" s="1"/>
  <c r="W404" i="27" s="1"/>
  <c r="W405" i="27" s="1"/>
  <c r="W406" i="27" s="1"/>
  <c r="W407" i="27" s="1"/>
  <c r="W408" i="27" s="1"/>
  <c r="W409" i="27" s="1"/>
  <c r="W410" i="27" s="1"/>
  <c r="W411" i="27" s="1"/>
  <c r="W412" i="27" s="1"/>
  <c r="W413" i="27" s="1"/>
  <c r="W414" i="27" s="1"/>
  <c r="W415" i="27" s="1"/>
  <c r="W416" i="27" s="1"/>
  <c r="W417" i="27" s="1"/>
  <c r="W418" i="27" s="1"/>
  <c r="W419" i="27" s="1"/>
  <c r="W420" i="27" s="1"/>
  <c r="W421" i="27" s="1"/>
  <c r="W422" i="27" s="1"/>
  <c r="W423" i="27" s="1"/>
  <c r="W424" i="27" s="1"/>
  <c r="W425" i="27" s="1"/>
  <c r="W426" i="27" s="1"/>
  <c r="W427" i="27" s="1"/>
  <c r="W428" i="27" s="1"/>
  <c r="W429" i="27" s="1"/>
  <c r="W430" i="27" s="1"/>
  <c r="W431" i="27" s="1"/>
  <c r="W432" i="27" s="1"/>
  <c r="W433" i="27" s="1"/>
  <c r="W434" i="27" s="1"/>
  <c r="W435" i="27" s="1"/>
  <c r="W436" i="27" s="1"/>
  <c r="W437" i="27" s="1"/>
  <c r="W438" i="27" s="1"/>
  <c r="W439" i="27" s="1"/>
  <c r="W440" i="27" s="1"/>
  <c r="W441" i="27" s="1"/>
  <c r="W442" i="27" s="1"/>
  <c r="W443" i="27" s="1"/>
  <c r="W444" i="27" s="1"/>
  <c r="W445" i="27" s="1"/>
  <c r="W446" i="27" s="1"/>
  <c r="W447" i="27" s="1"/>
  <c r="W448" i="27" s="1"/>
  <c r="W449" i="27" s="1"/>
  <c r="W450" i="27" s="1"/>
  <c r="W451" i="27" s="1"/>
  <c r="W452" i="27" s="1"/>
  <c r="W453" i="27" s="1"/>
  <c r="W454" i="27" s="1"/>
  <c r="W455" i="27" s="1"/>
  <c r="W456" i="27" s="1"/>
  <c r="W457" i="27" s="1"/>
  <c r="W458" i="27" s="1"/>
  <c r="W459" i="27" s="1"/>
  <c r="W460" i="27" s="1"/>
  <c r="W461" i="27" s="1"/>
  <c r="W462" i="27" s="1"/>
  <c r="W463" i="27" s="1"/>
  <c r="W464" i="27" s="1"/>
  <c r="W465" i="27" s="1"/>
  <c r="W466" i="27" s="1"/>
  <c r="W467" i="27" s="1"/>
  <c r="W468" i="27" s="1"/>
  <c r="W469" i="27" s="1"/>
  <c r="W470" i="27" s="1"/>
  <c r="W471" i="27" s="1"/>
  <c r="W472" i="27" s="1"/>
  <c r="W473" i="27" s="1"/>
  <c r="W474" i="27" s="1"/>
  <c r="W475" i="27" s="1"/>
  <c r="W476" i="27" s="1"/>
  <c r="W477" i="27" s="1"/>
  <c r="W478" i="27" s="1"/>
  <c r="W479" i="27" s="1"/>
  <c r="W480" i="27" s="1"/>
  <c r="W481" i="27" s="1"/>
  <c r="W482" i="27" s="1"/>
  <c r="W483" i="27" s="1"/>
  <c r="W484" i="27" s="1"/>
  <c r="W485" i="27" s="1"/>
  <c r="W486" i="27" s="1"/>
  <c r="W487" i="27" s="1"/>
  <c r="W488" i="27" s="1"/>
  <c r="W489" i="27" s="1"/>
  <c r="W490" i="27" s="1"/>
  <c r="W491" i="27" s="1"/>
  <c r="W492" i="27" s="1"/>
  <c r="W493" i="27" s="1"/>
  <c r="W494" i="27" s="1"/>
  <c r="W495" i="27" s="1"/>
  <c r="W496" i="27" s="1"/>
  <c r="W497" i="27" s="1"/>
  <c r="W498" i="27" s="1"/>
  <c r="W499" i="27" s="1"/>
  <c r="W500" i="27" s="1"/>
  <c r="W501" i="27" s="1"/>
  <c r="W502" i="27" s="1"/>
  <c r="W503" i="27" s="1"/>
  <c r="W504" i="27" s="1"/>
  <c r="W505" i="27" s="1"/>
  <c r="W506" i="27" s="1"/>
  <c r="W507" i="27" s="1"/>
  <c r="W508" i="27" s="1"/>
  <c r="W509" i="27" s="1"/>
  <c r="W510" i="27" s="1"/>
  <c r="W511" i="27" s="1"/>
  <c r="W512" i="27" s="1"/>
  <c r="W513" i="27" s="1"/>
  <c r="W514" i="27" s="1"/>
  <c r="W515" i="27" s="1"/>
  <c r="W516" i="27" s="1"/>
  <c r="W517" i="27" s="1"/>
  <c r="W518" i="27" s="1"/>
  <c r="W519" i="27" s="1"/>
  <c r="W520" i="27" s="1"/>
  <c r="W521" i="27" s="1"/>
  <c r="W522" i="27" s="1"/>
  <c r="W523" i="27" s="1"/>
  <c r="W524" i="27" s="1"/>
  <c r="W525" i="27" s="1"/>
  <c r="W526" i="27" s="1"/>
  <c r="W527" i="27" s="1"/>
  <c r="W528" i="27" s="1"/>
  <c r="W529" i="27" s="1"/>
  <c r="W530" i="27" s="1"/>
  <c r="W531" i="27" s="1"/>
  <c r="W532" i="27" s="1"/>
  <c r="W533" i="27" s="1"/>
  <c r="W534" i="27" s="1"/>
  <c r="W535" i="27" s="1"/>
  <c r="W536" i="27" s="1"/>
  <c r="W537" i="27" s="1"/>
  <c r="W538" i="27" s="1"/>
  <c r="W539" i="27" s="1"/>
  <c r="W540" i="27" s="1"/>
  <c r="W541" i="27" s="1"/>
  <c r="W542" i="27" s="1"/>
  <c r="W543" i="27" s="1"/>
  <c r="W544" i="27" s="1"/>
  <c r="W545" i="27" s="1"/>
  <c r="W546" i="27" s="1"/>
  <c r="W547" i="27" s="1"/>
  <c r="W548" i="27" s="1"/>
  <c r="W549" i="27" s="1"/>
  <c r="W550" i="27" s="1"/>
  <c r="W551" i="27" s="1"/>
  <c r="W552" i="27" s="1"/>
  <c r="W553" i="27" s="1"/>
  <c r="W554" i="27" s="1"/>
  <c r="W555" i="27" s="1"/>
  <c r="W556" i="27" s="1"/>
  <c r="W557" i="27" s="1"/>
  <c r="W558" i="27" s="1"/>
  <c r="W559" i="27" s="1"/>
  <c r="W560" i="27" s="1"/>
  <c r="W561" i="27" s="1"/>
  <c r="W562" i="27" s="1"/>
  <c r="W563" i="27" s="1"/>
  <c r="W564" i="27" s="1"/>
  <c r="W565" i="27" s="1"/>
  <c r="W566" i="27" s="1"/>
  <c r="W567" i="27" s="1"/>
  <c r="W568" i="27" s="1"/>
  <c r="W569" i="27" s="1"/>
  <c r="W570" i="27" s="1"/>
  <c r="W571" i="27" s="1"/>
  <c r="W572" i="27" s="1"/>
  <c r="W573" i="27" s="1"/>
  <c r="W574" i="27" s="1"/>
  <c r="W575" i="27" s="1"/>
  <c r="W576" i="27" s="1"/>
  <c r="W577" i="27" s="1"/>
  <c r="W578" i="27" s="1"/>
  <c r="W579" i="27" s="1"/>
  <c r="W580" i="27" s="1"/>
  <c r="W581" i="27" s="1"/>
  <c r="W582" i="27" s="1"/>
  <c r="W583" i="27" s="1"/>
  <c r="W584" i="27" s="1"/>
  <c r="W585" i="27" s="1"/>
  <c r="W586" i="27" s="1"/>
  <c r="W587" i="27" s="1"/>
  <c r="W588" i="27" s="1"/>
  <c r="W589" i="27" s="1"/>
  <c r="W590" i="27" s="1"/>
  <c r="W591" i="27" s="1"/>
  <c r="W592" i="27" s="1"/>
  <c r="W593" i="27" s="1"/>
  <c r="W594" i="27" s="1"/>
  <c r="W595" i="27" s="1"/>
  <c r="W596" i="27" s="1"/>
  <c r="W597" i="27" s="1"/>
  <c r="W598" i="27" s="1"/>
  <c r="W599" i="27" s="1"/>
  <c r="W600" i="27" s="1"/>
  <c r="W601" i="27" s="1"/>
  <c r="W602" i="27" s="1"/>
  <c r="W603" i="27" s="1"/>
  <c r="W604" i="27" s="1"/>
  <c r="W605" i="27" s="1"/>
  <c r="W606" i="27" s="1"/>
  <c r="W607" i="27" s="1"/>
  <c r="W608" i="27" s="1"/>
  <c r="W609" i="27" s="1"/>
  <c r="W610" i="27" s="1"/>
  <c r="W611" i="27" s="1"/>
  <c r="W612" i="27" s="1"/>
  <c r="W613" i="27" s="1"/>
  <c r="W614" i="27" s="1"/>
  <c r="W615" i="27" s="1"/>
  <c r="W616" i="27" s="1"/>
  <c r="W617" i="27" s="1"/>
  <c r="W618" i="27" s="1"/>
  <c r="W619" i="27" s="1"/>
  <c r="W620" i="27" s="1"/>
  <c r="W621" i="27" s="1"/>
  <c r="W622" i="27" s="1"/>
  <c r="W623" i="27" s="1"/>
  <c r="W624" i="27" s="1"/>
  <c r="W625" i="27" s="1"/>
  <c r="W626" i="27" s="1"/>
  <c r="W627" i="27" s="1"/>
  <c r="W628" i="27" s="1"/>
  <c r="W629" i="27" s="1"/>
  <c r="W630" i="27" s="1"/>
  <c r="W631" i="27" s="1"/>
  <c r="W632" i="27" s="1"/>
  <c r="W633" i="27" s="1"/>
  <c r="W634" i="27" s="1"/>
  <c r="W635" i="27" s="1"/>
  <c r="W636" i="27" s="1"/>
  <c r="W637" i="27" s="1"/>
  <c r="W638" i="27" s="1"/>
  <c r="W639" i="27" s="1"/>
  <c r="W640" i="27" s="1"/>
  <c r="W641" i="27" s="1"/>
  <c r="W642" i="27" s="1"/>
  <c r="W643" i="27" s="1"/>
  <c r="W644" i="27" s="1"/>
  <c r="W645" i="27" s="1"/>
  <c r="W646" i="27" s="1"/>
  <c r="W647" i="27" s="1"/>
  <c r="W648" i="27" s="1"/>
  <c r="W649" i="27" s="1"/>
  <c r="W650" i="27" s="1"/>
  <c r="W651" i="27" s="1"/>
  <c r="W652" i="27" s="1"/>
  <c r="W653" i="27" s="1"/>
  <c r="W654" i="27" s="1"/>
  <c r="W655" i="27" s="1"/>
  <c r="W656" i="27" s="1"/>
  <c r="W657" i="27" s="1"/>
  <c r="W658" i="27" s="1"/>
  <c r="W659" i="27" s="1"/>
  <c r="W660" i="27" s="1"/>
  <c r="W661" i="27" s="1"/>
  <c r="W662" i="27" s="1"/>
  <c r="W663" i="27" s="1"/>
  <c r="W664" i="27" s="1"/>
  <c r="W665" i="27" s="1"/>
  <c r="W666" i="27" s="1"/>
  <c r="W667" i="27" s="1"/>
  <c r="W668" i="27" s="1"/>
  <c r="W669" i="27" s="1"/>
  <c r="W670" i="27" s="1"/>
  <c r="W671" i="27" s="1"/>
  <c r="W672" i="27" s="1"/>
  <c r="W673" i="27" s="1"/>
  <c r="W674" i="27" s="1"/>
  <c r="W675" i="27" s="1"/>
  <c r="W676" i="27" s="1"/>
  <c r="W677" i="27" s="1"/>
  <c r="W678" i="27" s="1"/>
  <c r="W679" i="27" s="1"/>
  <c r="W680" i="27" s="1"/>
  <c r="W681" i="27" s="1"/>
  <c r="W682" i="27" s="1"/>
  <c r="W683" i="27" s="1"/>
  <c r="W684" i="27" s="1"/>
  <c r="W685" i="27" s="1"/>
  <c r="W686" i="27" s="1"/>
  <c r="W687" i="27" s="1"/>
  <c r="W688" i="27" s="1"/>
  <c r="W689" i="27" s="1"/>
  <c r="W690" i="27" s="1"/>
  <c r="W691" i="27" s="1"/>
  <c r="W692" i="27" s="1"/>
  <c r="W693" i="27" s="1"/>
  <c r="W694" i="27" s="1"/>
  <c r="W695" i="27" s="1"/>
  <c r="W696" i="27" s="1"/>
  <c r="W697" i="27" s="1"/>
  <c r="W698" i="27" s="1"/>
  <c r="W699" i="27" s="1"/>
  <c r="W700" i="27" s="1"/>
  <c r="W701" i="27" s="1"/>
  <c r="W702" i="27" s="1"/>
  <c r="W703" i="27" s="1"/>
  <c r="W704" i="27" s="1"/>
  <c r="W705" i="27" s="1"/>
  <c r="W706" i="27" s="1"/>
  <c r="W707" i="27" s="1"/>
  <c r="W708" i="27" s="1"/>
  <c r="W709" i="27" s="1"/>
  <c r="W710" i="27" s="1"/>
  <c r="W711" i="27" s="1"/>
  <c r="W712" i="27" s="1"/>
  <c r="W713" i="27" s="1"/>
  <c r="W714" i="27" s="1"/>
  <c r="W715" i="27" s="1"/>
  <c r="W716" i="27" s="1"/>
  <c r="W717" i="27" s="1"/>
  <c r="W718" i="27" s="1"/>
  <c r="W719" i="27" s="1"/>
  <c r="W720" i="27" s="1"/>
  <c r="W721" i="27" s="1"/>
  <c r="W722" i="27" s="1"/>
  <c r="W723" i="27" s="1"/>
  <c r="W724" i="27" s="1"/>
  <c r="W725" i="27" s="1"/>
  <c r="W726" i="27" s="1"/>
  <c r="W727" i="27" s="1"/>
  <c r="W728" i="27" s="1"/>
  <c r="V10" i="27"/>
  <c r="V11" i="27" s="1"/>
  <c r="V12" i="27" s="1"/>
  <c r="V13" i="27" s="1"/>
  <c r="V14" i="27" s="1"/>
  <c r="V15" i="27" s="1"/>
  <c r="V16" i="27" s="1"/>
  <c r="V17" i="27" s="1"/>
  <c r="V18" i="27" s="1"/>
  <c r="V19" i="27" s="1"/>
  <c r="V20" i="27" s="1"/>
  <c r="V21" i="27" s="1"/>
  <c r="V22" i="27" s="1"/>
  <c r="V23" i="27" s="1"/>
  <c r="V24" i="27" s="1"/>
  <c r="V25" i="27" s="1"/>
  <c r="V26" i="27" s="1"/>
  <c r="V27" i="27" s="1"/>
  <c r="V28" i="27" s="1"/>
  <c r="V29" i="27" s="1"/>
  <c r="V30" i="27" s="1"/>
  <c r="V31" i="27" s="1"/>
  <c r="V32" i="27" s="1"/>
  <c r="V33" i="27" s="1"/>
  <c r="V34" i="27" s="1"/>
  <c r="V35" i="27" s="1"/>
  <c r="V36" i="27" s="1"/>
  <c r="V37" i="27" s="1"/>
  <c r="V38" i="27" s="1"/>
  <c r="V39" i="27" s="1"/>
  <c r="V40" i="27" s="1"/>
  <c r="V41" i="27" s="1"/>
  <c r="V42" i="27" s="1"/>
  <c r="V43" i="27" s="1"/>
  <c r="V44" i="27" s="1"/>
  <c r="V45" i="27" s="1"/>
  <c r="V46" i="27" s="1"/>
  <c r="V47" i="27" s="1"/>
  <c r="V48" i="27" s="1"/>
  <c r="V49" i="27" s="1"/>
  <c r="V50" i="27" s="1"/>
  <c r="V51" i="27" s="1"/>
  <c r="V52" i="27" s="1"/>
  <c r="V53" i="27" s="1"/>
  <c r="V54" i="27" s="1"/>
  <c r="V55" i="27" s="1"/>
  <c r="V56" i="27" s="1"/>
  <c r="V57" i="27" s="1"/>
  <c r="V58" i="27" s="1"/>
  <c r="V59" i="27" s="1"/>
  <c r="V60" i="27" s="1"/>
  <c r="V61" i="27" s="1"/>
  <c r="V62" i="27" s="1"/>
  <c r="V63" i="27" s="1"/>
  <c r="V64" i="27" s="1"/>
  <c r="V65" i="27" s="1"/>
  <c r="V66" i="27" s="1"/>
  <c r="V67" i="27" s="1"/>
  <c r="V68" i="27" s="1"/>
  <c r="V69" i="27" s="1"/>
  <c r="V70" i="27" s="1"/>
  <c r="V71" i="27" s="1"/>
  <c r="V72" i="27" s="1"/>
  <c r="V73" i="27" s="1"/>
  <c r="V74" i="27" s="1"/>
  <c r="V75" i="27" s="1"/>
  <c r="V76" i="27" s="1"/>
  <c r="V77" i="27" s="1"/>
  <c r="V78" i="27" s="1"/>
  <c r="V79" i="27" s="1"/>
  <c r="V80" i="27" s="1"/>
  <c r="V81" i="27" s="1"/>
  <c r="V82" i="27" s="1"/>
  <c r="V83" i="27" s="1"/>
  <c r="V84" i="27" s="1"/>
  <c r="V85" i="27" s="1"/>
  <c r="V86" i="27" s="1"/>
  <c r="V87" i="27" s="1"/>
  <c r="V88" i="27" s="1"/>
  <c r="V89" i="27" s="1"/>
  <c r="V90" i="27" s="1"/>
  <c r="V91" i="27" s="1"/>
  <c r="V92" i="27" s="1"/>
  <c r="V93" i="27" s="1"/>
  <c r="V94" i="27" s="1"/>
  <c r="V95" i="27" s="1"/>
  <c r="V96" i="27" s="1"/>
  <c r="V97" i="27" s="1"/>
  <c r="V98" i="27" s="1"/>
  <c r="V99" i="27" s="1"/>
  <c r="V100" i="27" s="1"/>
  <c r="V101" i="27" s="1"/>
  <c r="V102" i="27" s="1"/>
  <c r="V103" i="27" s="1"/>
  <c r="V104" i="27" s="1"/>
  <c r="V105" i="27" s="1"/>
  <c r="V106" i="27" s="1"/>
  <c r="V107" i="27" s="1"/>
  <c r="V108" i="27" s="1"/>
  <c r="V109" i="27" s="1"/>
  <c r="V110" i="27" s="1"/>
  <c r="V111" i="27" s="1"/>
  <c r="V112" i="27" s="1"/>
  <c r="V113" i="27" s="1"/>
  <c r="V114" i="27" s="1"/>
  <c r="V115" i="27" s="1"/>
  <c r="V116" i="27" s="1"/>
  <c r="V117" i="27" s="1"/>
  <c r="V118" i="27" s="1"/>
  <c r="V119" i="27" s="1"/>
  <c r="V120" i="27" s="1"/>
  <c r="V121" i="27" s="1"/>
  <c r="V122" i="27" s="1"/>
  <c r="V123" i="27" s="1"/>
  <c r="V124" i="27" s="1"/>
  <c r="V125" i="27" s="1"/>
  <c r="V126" i="27" s="1"/>
  <c r="V127" i="27" s="1"/>
  <c r="V128" i="27" s="1"/>
  <c r="V129" i="27" s="1"/>
  <c r="V130" i="27" s="1"/>
  <c r="V131" i="27" s="1"/>
  <c r="V132" i="27" s="1"/>
  <c r="V133" i="27" s="1"/>
  <c r="V134" i="27" s="1"/>
  <c r="V135" i="27" s="1"/>
  <c r="V136" i="27" s="1"/>
  <c r="V137" i="27" s="1"/>
  <c r="V138" i="27" s="1"/>
  <c r="V139" i="27" s="1"/>
  <c r="V140" i="27" s="1"/>
  <c r="V141" i="27" s="1"/>
  <c r="V142" i="27" s="1"/>
  <c r="V143" i="27" s="1"/>
  <c r="V144" i="27" s="1"/>
  <c r="V145" i="27" s="1"/>
  <c r="V146" i="27" s="1"/>
  <c r="V147" i="27" s="1"/>
  <c r="V148" i="27" s="1"/>
  <c r="V149" i="27" s="1"/>
  <c r="V150" i="27" s="1"/>
  <c r="V151" i="27" s="1"/>
  <c r="V152" i="27" s="1"/>
  <c r="V153" i="27" s="1"/>
  <c r="V154" i="27" s="1"/>
  <c r="V155" i="27" s="1"/>
  <c r="V156" i="27" s="1"/>
  <c r="V157" i="27" s="1"/>
  <c r="V158" i="27" s="1"/>
  <c r="V159" i="27" s="1"/>
  <c r="V160" i="27" s="1"/>
  <c r="V161" i="27" s="1"/>
  <c r="V162" i="27" s="1"/>
  <c r="V163" i="27" s="1"/>
  <c r="V164" i="27" s="1"/>
  <c r="V165" i="27" s="1"/>
  <c r="V166" i="27" s="1"/>
  <c r="V167" i="27" s="1"/>
  <c r="V168" i="27" s="1"/>
  <c r="V169" i="27" s="1"/>
  <c r="V170" i="27" s="1"/>
  <c r="V171" i="27" s="1"/>
  <c r="V172" i="27" s="1"/>
  <c r="V173" i="27" s="1"/>
  <c r="V174" i="27" s="1"/>
  <c r="V175" i="27" s="1"/>
  <c r="V176" i="27" s="1"/>
  <c r="V177" i="27" s="1"/>
  <c r="V178" i="27" s="1"/>
  <c r="V179" i="27" s="1"/>
  <c r="V180" i="27" s="1"/>
  <c r="V181" i="27" s="1"/>
  <c r="V182" i="27" s="1"/>
  <c r="V183" i="27" s="1"/>
  <c r="V184" i="27" s="1"/>
  <c r="V185" i="27" s="1"/>
  <c r="V186" i="27" s="1"/>
  <c r="V187" i="27" s="1"/>
  <c r="V188" i="27" s="1"/>
  <c r="V189" i="27" s="1"/>
  <c r="V190" i="27" s="1"/>
  <c r="V191" i="27" s="1"/>
  <c r="V192" i="27" s="1"/>
  <c r="V193" i="27" s="1"/>
  <c r="V194" i="27" s="1"/>
  <c r="V195" i="27" s="1"/>
  <c r="V196" i="27" s="1"/>
  <c r="V197" i="27" s="1"/>
  <c r="V198" i="27" s="1"/>
  <c r="V199" i="27" s="1"/>
  <c r="V200" i="27" s="1"/>
  <c r="V201" i="27" s="1"/>
  <c r="V202" i="27" s="1"/>
  <c r="V203" i="27" s="1"/>
  <c r="V204" i="27" s="1"/>
  <c r="V205" i="27" s="1"/>
  <c r="V206" i="27" s="1"/>
  <c r="V207" i="27" s="1"/>
  <c r="V208" i="27" s="1"/>
  <c r="V209" i="27" s="1"/>
  <c r="V210" i="27" s="1"/>
  <c r="V211" i="27" s="1"/>
  <c r="V212" i="27" s="1"/>
  <c r="V213" i="27" s="1"/>
  <c r="V214" i="27" s="1"/>
  <c r="V215" i="27" s="1"/>
  <c r="V216" i="27" s="1"/>
  <c r="V217" i="27" s="1"/>
  <c r="V218" i="27" s="1"/>
  <c r="V219" i="27" s="1"/>
  <c r="V220" i="27" s="1"/>
  <c r="V221" i="27" s="1"/>
  <c r="V222" i="27" s="1"/>
  <c r="V223" i="27" s="1"/>
  <c r="V224" i="27" s="1"/>
  <c r="V225" i="27" s="1"/>
  <c r="V226" i="27" s="1"/>
  <c r="V227" i="27" s="1"/>
  <c r="V228" i="27" s="1"/>
  <c r="V229" i="27" s="1"/>
  <c r="V230" i="27" s="1"/>
  <c r="V231" i="27" s="1"/>
  <c r="V232" i="27" s="1"/>
  <c r="V233" i="27" s="1"/>
  <c r="V234" i="27" s="1"/>
  <c r="V235" i="27" s="1"/>
  <c r="V236" i="27" s="1"/>
  <c r="V237" i="27" s="1"/>
  <c r="V238" i="27" s="1"/>
  <c r="V239" i="27" s="1"/>
  <c r="V240" i="27" s="1"/>
  <c r="V241" i="27" s="1"/>
  <c r="V242" i="27" s="1"/>
  <c r="V243" i="27" s="1"/>
  <c r="V244" i="27" s="1"/>
  <c r="V245" i="27" s="1"/>
  <c r="V246" i="27" s="1"/>
  <c r="V247" i="27" s="1"/>
  <c r="V248" i="27" s="1"/>
  <c r="V249" i="27" s="1"/>
  <c r="V250" i="27" s="1"/>
  <c r="V251" i="27" s="1"/>
  <c r="V252" i="27" s="1"/>
  <c r="V253" i="27" s="1"/>
  <c r="V254" i="27" s="1"/>
  <c r="V255" i="27" s="1"/>
  <c r="V256" i="27" s="1"/>
  <c r="V257" i="27" s="1"/>
  <c r="V258" i="27" s="1"/>
  <c r="V259" i="27" s="1"/>
  <c r="V260" i="27" s="1"/>
  <c r="V261" i="27" s="1"/>
  <c r="V262" i="27" s="1"/>
  <c r="V263" i="27" s="1"/>
  <c r="V264" i="27" s="1"/>
  <c r="V265" i="27" s="1"/>
  <c r="V266" i="27" s="1"/>
  <c r="V267" i="27" s="1"/>
  <c r="V268" i="27" s="1"/>
  <c r="V269" i="27" s="1"/>
  <c r="V270" i="27" s="1"/>
  <c r="V271" i="27" s="1"/>
  <c r="V272" i="27" s="1"/>
  <c r="V273" i="27" s="1"/>
  <c r="V274" i="27" s="1"/>
  <c r="V275" i="27" s="1"/>
  <c r="V276" i="27" s="1"/>
  <c r="V277" i="27" s="1"/>
  <c r="V278" i="27" s="1"/>
  <c r="V279" i="27" s="1"/>
  <c r="V280" i="27" s="1"/>
  <c r="V281" i="27" s="1"/>
  <c r="V282" i="27" s="1"/>
  <c r="V283" i="27" s="1"/>
  <c r="V284" i="27" s="1"/>
  <c r="V285" i="27" s="1"/>
  <c r="V286" i="27" s="1"/>
  <c r="V287" i="27" s="1"/>
  <c r="V288" i="27" s="1"/>
  <c r="V289" i="27" s="1"/>
  <c r="V290" i="27" s="1"/>
  <c r="V291" i="27" s="1"/>
  <c r="V292" i="27" s="1"/>
  <c r="V293" i="27" s="1"/>
  <c r="V294" i="27" s="1"/>
  <c r="V295" i="27" s="1"/>
  <c r="V296" i="27" s="1"/>
  <c r="V297" i="27" s="1"/>
  <c r="V298" i="27" s="1"/>
  <c r="V299" i="27" s="1"/>
  <c r="V300" i="27" s="1"/>
  <c r="V301" i="27" s="1"/>
  <c r="V302" i="27" s="1"/>
  <c r="V303" i="27" s="1"/>
  <c r="V304" i="27" s="1"/>
  <c r="V305" i="27" s="1"/>
  <c r="V306" i="27" s="1"/>
  <c r="V307" i="27" s="1"/>
  <c r="V308" i="27" s="1"/>
  <c r="V309" i="27" s="1"/>
  <c r="V310" i="27" s="1"/>
  <c r="V311" i="27" s="1"/>
  <c r="V312" i="27" s="1"/>
  <c r="V313" i="27" s="1"/>
  <c r="V314" i="27" s="1"/>
  <c r="V315" i="27" s="1"/>
  <c r="V316" i="27" s="1"/>
  <c r="V317" i="27" s="1"/>
  <c r="V318" i="27" s="1"/>
  <c r="V319" i="27" s="1"/>
  <c r="V320" i="27" s="1"/>
  <c r="V321" i="27" s="1"/>
  <c r="V322" i="27" s="1"/>
  <c r="V323" i="27" s="1"/>
  <c r="V324" i="27" s="1"/>
  <c r="V325" i="27" s="1"/>
  <c r="V326" i="27" s="1"/>
  <c r="V327" i="27" s="1"/>
  <c r="V328" i="27" s="1"/>
  <c r="V329" i="27" s="1"/>
  <c r="V330" i="27" s="1"/>
  <c r="V331" i="27" s="1"/>
  <c r="V332" i="27" s="1"/>
  <c r="V333" i="27" s="1"/>
  <c r="V334" i="27" s="1"/>
  <c r="V335" i="27" s="1"/>
  <c r="V336" i="27" s="1"/>
  <c r="V337" i="27" s="1"/>
  <c r="V338" i="27" s="1"/>
  <c r="V339" i="27" s="1"/>
  <c r="V340" i="27" s="1"/>
  <c r="V341" i="27" s="1"/>
  <c r="V342" i="27" s="1"/>
  <c r="V343" i="27" s="1"/>
  <c r="V344" i="27" s="1"/>
  <c r="V345" i="27" s="1"/>
  <c r="V346" i="27" s="1"/>
  <c r="V347" i="27" s="1"/>
  <c r="V348" i="27" s="1"/>
  <c r="V349" i="27" s="1"/>
  <c r="V350" i="27" s="1"/>
  <c r="V351" i="27" s="1"/>
  <c r="V352" i="27" s="1"/>
  <c r="V353" i="27" s="1"/>
  <c r="V354" i="27" s="1"/>
  <c r="V355" i="27" s="1"/>
  <c r="V356" i="27" s="1"/>
  <c r="V357" i="27" s="1"/>
  <c r="V358" i="27" s="1"/>
  <c r="V359" i="27" s="1"/>
  <c r="V360" i="27" s="1"/>
  <c r="V361" i="27" s="1"/>
  <c r="V362" i="27" s="1"/>
  <c r="V363" i="27" s="1"/>
  <c r="V364" i="27" s="1"/>
  <c r="V365" i="27" s="1"/>
  <c r="V366" i="27" s="1"/>
  <c r="V367" i="27" s="1"/>
  <c r="V368" i="27" s="1"/>
  <c r="V369" i="27" s="1"/>
  <c r="V370" i="27" s="1"/>
  <c r="V371" i="27" s="1"/>
  <c r="V372" i="27" s="1"/>
  <c r="V373" i="27" s="1"/>
  <c r="V374" i="27" s="1"/>
  <c r="V375" i="27" s="1"/>
  <c r="V376" i="27" s="1"/>
  <c r="V377" i="27" s="1"/>
  <c r="V378" i="27" s="1"/>
  <c r="V379" i="27" s="1"/>
  <c r="V380" i="27" s="1"/>
  <c r="V381" i="27" s="1"/>
  <c r="V382" i="27" s="1"/>
  <c r="V383" i="27" s="1"/>
  <c r="V384" i="27" s="1"/>
  <c r="V385" i="27" s="1"/>
  <c r="V386" i="27" s="1"/>
  <c r="V387" i="27" s="1"/>
  <c r="V388" i="27" s="1"/>
  <c r="V389" i="27" s="1"/>
  <c r="V390" i="27" s="1"/>
  <c r="V391" i="27" s="1"/>
  <c r="V392" i="27" s="1"/>
  <c r="V393" i="27" s="1"/>
  <c r="V394" i="27" s="1"/>
  <c r="V395" i="27" s="1"/>
  <c r="V396" i="27" s="1"/>
  <c r="V397" i="27" s="1"/>
  <c r="V398" i="27" s="1"/>
  <c r="V399" i="27" s="1"/>
  <c r="V400" i="27" s="1"/>
  <c r="V401" i="27" s="1"/>
  <c r="V402" i="27" s="1"/>
  <c r="V403" i="27" s="1"/>
  <c r="V404" i="27" s="1"/>
  <c r="V405" i="27" s="1"/>
  <c r="V406" i="27" s="1"/>
  <c r="V407" i="27" s="1"/>
  <c r="V408" i="27" s="1"/>
  <c r="V409" i="27" s="1"/>
  <c r="V410" i="27" s="1"/>
  <c r="V411" i="27" s="1"/>
  <c r="V412" i="27" s="1"/>
  <c r="V413" i="27" s="1"/>
  <c r="V414" i="27" s="1"/>
  <c r="V415" i="27" s="1"/>
  <c r="V416" i="27" s="1"/>
  <c r="V417" i="27" s="1"/>
  <c r="V418" i="27" s="1"/>
  <c r="V419" i="27" s="1"/>
  <c r="V420" i="27" s="1"/>
  <c r="V421" i="27" s="1"/>
  <c r="V422" i="27" s="1"/>
  <c r="V423" i="27" s="1"/>
  <c r="V424" i="27" s="1"/>
  <c r="V425" i="27" s="1"/>
  <c r="V426" i="27" s="1"/>
  <c r="V427" i="27" s="1"/>
  <c r="V428" i="27" s="1"/>
  <c r="V429" i="27" s="1"/>
  <c r="V430" i="27" s="1"/>
  <c r="V431" i="27" s="1"/>
  <c r="V432" i="27" s="1"/>
  <c r="V433" i="27" s="1"/>
  <c r="V434" i="27" s="1"/>
  <c r="V435" i="27" s="1"/>
  <c r="V436" i="27" s="1"/>
  <c r="V437" i="27" s="1"/>
  <c r="V438" i="27" s="1"/>
  <c r="V439" i="27" s="1"/>
  <c r="V440" i="27" s="1"/>
  <c r="V441" i="27" s="1"/>
  <c r="V442" i="27" s="1"/>
  <c r="V443" i="27" s="1"/>
  <c r="V444" i="27" s="1"/>
  <c r="V445" i="27" s="1"/>
  <c r="V446" i="27" s="1"/>
  <c r="V447" i="27" s="1"/>
  <c r="V448" i="27" s="1"/>
  <c r="V449" i="27" s="1"/>
  <c r="V450" i="27" s="1"/>
  <c r="V451" i="27" s="1"/>
  <c r="V452" i="27" s="1"/>
  <c r="V453" i="27" s="1"/>
  <c r="V454" i="27" s="1"/>
  <c r="V455" i="27" s="1"/>
  <c r="V456" i="27" s="1"/>
  <c r="V457" i="27" s="1"/>
  <c r="V458" i="27" s="1"/>
  <c r="V459" i="27" s="1"/>
  <c r="V460" i="27" s="1"/>
  <c r="V461" i="27" s="1"/>
  <c r="V462" i="27" s="1"/>
  <c r="V463" i="27" s="1"/>
  <c r="V464" i="27" s="1"/>
  <c r="V465" i="27" s="1"/>
  <c r="V466" i="27" s="1"/>
  <c r="V467" i="27" s="1"/>
  <c r="V468" i="27" s="1"/>
  <c r="V469" i="27" s="1"/>
  <c r="V470" i="27" s="1"/>
  <c r="V471" i="27" s="1"/>
  <c r="V472" i="27" s="1"/>
  <c r="V473" i="27" s="1"/>
  <c r="V474" i="27" s="1"/>
  <c r="V475" i="27" s="1"/>
  <c r="V476" i="27" s="1"/>
  <c r="V477" i="27" s="1"/>
  <c r="V478" i="27" s="1"/>
  <c r="V479" i="27" s="1"/>
  <c r="V480" i="27" s="1"/>
  <c r="V481" i="27" s="1"/>
  <c r="V482" i="27" s="1"/>
  <c r="V483" i="27" s="1"/>
  <c r="V484" i="27" s="1"/>
  <c r="V485" i="27" s="1"/>
  <c r="V486" i="27" s="1"/>
  <c r="V487" i="27" s="1"/>
  <c r="V488" i="27" s="1"/>
  <c r="V489" i="27" s="1"/>
  <c r="V490" i="27" s="1"/>
  <c r="V491" i="27" s="1"/>
  <c r="V492" i="27" s="1"/>
  <c r="V493" i="27" s="1"/>
  <c r="V494" i="27" s="1"/>
  <c r="V495" i="27" s="1"/>
  <c r="V496" i="27" s="1"/>
  <c r="V497" i="27" s="1"/>
  <c r="V498" i="27" s="1"/>
  <c r="V499" i="27" s="1"/>
  <c r="V500" i="27" s="1"/>
  <c r="V501" i="27" s="1"/>
  <c r="V502" i="27" s="1"/>
  <c r="V503" i="27" s="1"/>
  <c r="V504" i="27" s="1"/>
  <c r="V505" i="27" s="1"/>
  <c r="V506" i="27" s="1"/>
  <c r="V507" i="27" s="1"/>
  <c r="V508" i="27" s="1"/>
  <c r="V509" i="27" s="1"/>
  <c r="V510" i="27" s="1"/>
  <c r="V511" i="27" s="1"/>
  <c r="V512" i="27" s="1"/>
  <c r="V513" i="27" s="1"/>
  <c r="V514" i="27" s="1"/>
  <c r="V515" i="27" s="1"/>
  <c r="V516" i="27" s="1"/>
  <c r="V517" i="27" s="1"/>
  <c r="V518" i="27" s="1"/>
  <c r="V519" i="27" s="1"/>
  <c r="V520" i="27" s="1"/>
  <c r="V521" i="27" s="1"/>
  <c r="V522" i="27" s="1"/>
  <c r="V523" i="27" s="1"/>
  <c r="V524" i="27" s="1"/>
  <c r="V525" i="27" s="1"/>
  <c r="V526" i="27" s="1"/>
  <c r="V527" i="27" s="1"/>
  <c r="V528" i="27" s="1"/>
  <c r="V529" i="27" s="1"/>
  <c r="V530" i="27" s="1"/>
  <c r="V531" i="27" s="1"/>
  <c r="V532" i="27" s="1"/>
  <c r="V533" i="27" s="1"/>
  <c r="V534" i="27" s="1"/>
  <c r="V535" i="27" s="1"/>
  <c r="V536" i="27" s="1"/>
  <c r="V537" i="27" s="1"/>
  <c r="V538" i="27" s="1"/>
  <c r="V539" i="27" s="1"/>
  <c r="V540" i="27" s="1"/>
  <c r="V541" i="27" s="1"/>
  <c r="V542" i="27" s="1"/>
  <c r="V543" i="27" s="1"/>
  <c r="V544" i="27" s="1"/>
  <c r="V545" i="27" s="1"/>
  <c r="V546" i="27" s="1"/>
  <c r="V547" i="27" s="1"/>
  <c r="V548" i="27" s="1"/>
  <c r="V549" i="27" s="1"/>
  <c r="V550" i="27" s="1"/>
  <c r="V551" i="27" s="1"/>
  <c r="V552" i="27" s="1"/>
  <c r="V553" i="27" s="1"/>
  <c r="V554" i="27" s="1"/>
  <c r="V555" i="27" s="1"/>
  <c r="V556" i="27" s="1"/>
  <c r="V557" i="27" s="1"/>
  <c r="V558" i="27" s="1"/>
  <c r="V559" i="27" s="1"/>
  <c r="V560" i="27" s="1"/>
  <c r="V561" i="27" s="1"/>
  <c r="V562" i="27" s="1"/>
  <c r="V563" i="27" s="1"/>
  <c r="V564" i="27" s="1"/>
  <c r="V565" i="27" s="1"/>
  <c r="V566" i="27" s="1"/>
  <c r="V567" i="27" s="1"/>
  <c r="V568" i="27" s="1"/>
  <c r="V569" i="27" s="1"/>
  <c r="V570" i="27" s="1"/>
  <c r="V571" i="27" s="1"/>
  <c r="V572" i="27" s="1"/>
  <c r="V573" i="27" s="1"/>
  <c r="V574" i="27" s="1"/>
  <c r="V575" i="27" s="1"/>
  <c r="V576" i="27" s="1"/>
  <c r="V577" i="27" s="1"/>
  <c r="V578" i="27" s="1"/>
  <c r="V579" i="27" s="1"/>
  <c r="V580" i="27" s="1"/>
  <c r="V581" i="27" s="1"/>
  <c r="V582" i="27" s="1"/>
  <c r="V583" i="27" s="1"/>
  <c r="V584" i="27" s="1"/>
  <c r="V585" i="27" s="1"/>
  <c r="V586" i="27" s="1"/>
  <c r="V587" i="27" s="1"/>
  <c r="V588" i="27" s="1"/>
  <c r="V589" i="27" s="1"/>
  <c r="V590" i="27" s="1"/>
  <c r="V591" i="27" s="1"/>
  <c r="V592" i="27" s="1"/>
  <c r="V593" i="27" s="1"/>
  <c r="V594" i="27" s="1"/>
  <c r="V595" i="27" s="1"/>
  <c r="V596" i="27" s="1"/>
  <c r="V597" i="27" s="1"/>
  <c r="V598" i="27" s="1"/>
  <c r="V599" i="27" s="1"/>
  <c r="V600" i="27" s="1"/>
  <c r="V601" i="27" s="1"/>
  <c r="V602" i="27" s="1"/>
  <c r="V603" i="27" s="1"/>
  <c r="V604" i="27" s="1"/>
  <c r="V605" i="27" s="1"/>
  <c r="V606" i="27" s="1"/>
  <c r="V607" i="27" s="1"/>
  <c r="V608" i="27" s="1"/>
  <c r="V609" i="27" s="1"/>
  <c r="V610" i="27" s="1"/>
  <c r="V611" i="27" s="1"/>
  <c r="V612" i="27" s="1"/>
  <c r="V613" i="27" s="1"/>
  <c r="V614" i="27" s="1"/>
  <c r="V615" i="27" s="1"/>
  <c r="V616" i="27" s="1"/>
  <c r="V617" i="27" s="1"/>
  <c r="V618" i="27" s="1"/>
  <c r="V619" i="27" s="1"/>
  <c r="V620" i="27" s="1"/>
  <c r="V621" i="27" s="1"/>
  <c r="V622" i="27" s="1"/>
  <c r="V623" i="27" s="1"/>
  <c r="V624" i="27" s="1"/>
  <c r="V625" i="27" s="1"/>
  <c r="V626" i="27" s="1"/>
  <c r="V627" i="27" s="1"/>
  <c r="V628" i="27" s="1"/>
  <c r="V629" i="27" s="1"/>
  <c r="V630" i="27" s="1"/>
  <c r="V631" i="27" s="1"/>
  <c r="V632" i="27" s="1"/>
  <c r="V633" i="27" s="1"/>
  <c r="V634" i="27" s="1"/>
  <c r="V635" i="27" s="1"/>
  <c r="V636" i="27" s="1"/>
  <c r="V637" i="27" s="1"/>
  <c r="V638" i="27" s="1"/>
  <c r="V639" i="27" s="1"/>
  <c r="V640" i="27" s="1"/>
  <c r="V641" i="27" s="1"/>
  <c r="V642" i="27" s="1"/>
  <c r="V643" i="27" s="1"/>
  <c r="V644" i="27" s="1"/>
  <c r="V645" i="27" s="1"/>
  <c r="V646" i="27" s="1"/>
  <c r="V647" i="27" s="1"/>
  <c r="V648" i="27" s="1"/>
  <c r="V649" i="27" s="1"/>
  <c r="V650" i="27" s="1"/>
  <c r="V651" i="27" s="1"/>
  <c r="V652" i="27" s="1"/>
  <c r="V653" i="27" s="1"/>
  <c r="V654" i="27" s="1"/>
  <c r="V655" i="27" s="1"/>
  <c r="V656" i="27" s="1"/>
  <c r="V657" i="27" s="1"/>
  <c r="V658" i="27" s="1"/>
  <c r="V659" i="27" s="1"/>
  <c r="V660" i="27" s="1"/>
  <c r="V661" i="27" s="1"/>
  <c r="V662" i="27" s="1"/>
  <c r="V663" i="27" s="1"/>
  <c r="V664" i="27" s="1"/>
  <c r="V665" i="27" s="1"/>
  <c r="V666" i="27" s="1"/>
  <c r="V667" i="27" s="1"/>
  <c r="V668" i="27" s="1"/>
  <c r="V669" i="27" s="1"/>
  <c r="V670" i="27" s="1"/>
  <c r="V671" i="27" s="1"/>
  <c r="V672" i="27" s="1"/>
  <c r="V673" i="27" s="1"/>
  <c r="V674" i="27" s="1"/>
  <c r="V675" i="27" s="1"/>
  <c r="V676" i="27" s="1"/>
  <c r="V677" i="27" s="1"/>
  <c r="V678" i="27" s="1"/>
  <c r="V679" i="27" s="1"/>
  <c r="V680" i="27" s="1"/>
  <c r="V681" i="27" s="1"/>
  <c r="V682" i="27" s="1"/>
  <c r="V683" i="27" s="1"/>
  <c r="V684" i="27" s="1"/>
  <c r="V685" i="27" s="1"/>
  <c r="V686" i="27" s="1"/>
  <c r="V687" i="27" s="1"/>
  <c r="V688" i="27" s="1"/>
  <c r="V689" i="27" s="1"/>
  <c r="V690" i="27" s="1"/>
  <c r="V691" i="27" s="1"/>
  <c r="V692" i="27" s="1"/>
  <c r="V693" i="27" s="1"/>
  <c r="V694" i="27" s="1"/>
  <c r="V695" i="27" s="1"/>
  <c r="V696" i="27" s="1"/>
  <c r="V697" i="27" s="1"/>
  <c r="V698" i="27" s="1"/>
  <c r="V699" i="27" s="1"/>
  <c r="V700" i="27" s="1"/>
  <c r="V701" i="27" s="1"/>
  <c r="V702" i="27" s="1"/>
  <c r="V703" i="27" s="1"/>
  <c r="V704" i="27" s="1"/>
  <c r="V705" i="27" s="1"/>
  <c r="V706" i="27" s="1"/>
  <c r="V707" i="27" s="1"/>
  <c r="V708" i="27" s="1"/>
  <c r="V709" i="27" s="1"/>
  <c r="V710" i="27" s="1"/>
  <c r="V711" i="27" s="1"/>
  <c r="V712" i="27" s="1"/>
  <c r="V713" i="27" s="1"/>
  <c r="V714" i="27" s="1"/>
  <c r="V715" i="27" s="1"/>
  <c r="V716" i="27" s="1"/>
  <c r="V717" i="27" s="1"/>
  <c r="V718" i="27" s="1"/>
  <c r="V719" i="27" s="1"/>
  <c r="V720" i="27" s="1"/>
  <c r="V721" i="27" s="1"/>
  <c r="V722" i="27" s="1"/>
  <c r="V723" i="27" s="1"/>
  <c r="V724" i="27" s="1"/>
  <c r="V725" i="27" s="1"/>
  <c r="V726" i="27" s="1"/>
  <c r="V727" i="27" s="1"/>
  <c r="V728" i="27" s="1"/>
  <c r="P10" i="27"/>
  <c r="P11" i="27" s="1"/>
  <c r="P12" i="27" s="1"/>
  <c r="P13" i="27" s="1"/>
  <c r="P14" i="27" s="1"/>
  <c r="P15" i="27" s="1"/>
  <c r="P16" i="27" s="1"/>
  <c r="P17" i="27" s="1"/>
  <c r="P18" i="27" s="1"/>
  <c r="P19" i="27" s="1"/>
  <c r="O11" i="27"/>
  <c r="O12" i="27" s="1"/>
  <c r="O13" i="27" s="1"/>
  <c r="O14" i="27" s="1"/>
  <c r="O15" i="27" s="1"/>
  <c r="O16" i="27" s="1"/>
  <c r="O17" i="27" s="1"/>
  <c r="O18" i="27" s="1"/>
  <c r="L10" i="27"/>
  <c r="L11" i="27" s="1"/>
  <c r="L12" i="27" s="1"/>
  <c r="L13" i="27" s="1"/>
  <c r="L14" i="27" s="1"/>
  <c r="L15" i="27" s="1"/>
  <c r="L16" i="27" s="1"/>
  <c r="L17" i="27" s="1"/>
  <c r="L18" i="27" s="1"/>
  <c r="L19" i="27" s="1"/>
  <c r="L20" i="27" s="1"/>
  <c r="L21" i="27" s="1"/>
  <c r="L22" i="27" s="1"/>
  <c r="L23" i="27" s="1"/>
  <c r="L24" i="27" s="1"/>
  <c r="L25" i="27" s="1"/>
  <c r="L26" i="27" s="1"/>
  <c r="L27" i="27" s="1"/>
  <c r="L28" i="27" s="1"/>
  <c r="L29" i="27" s="1"/>
  <c r="L30" i="27" s="1"/>
  <c r="K10" i="27"/>
  <c r="K11" i="27" s="1"/>
  <c r="K12" i="27" s="1"/>
  <c r="K13" i="27" s="1"/>
  <c r="K14" i="27" s="1"/>
  <c r="K15" i="27" s="1"/>
  <c r="K16" i="27" s="1"/>
  <c r="K17" i="27" s="1"/>
  <c r="K18" i="27" s="1"/>
  <c r="K19" i="27" s="1"/>
  <c r="K20" i="27" s="1"/>
  <c r="K21" i="27" s="1"/>
  <c r="K22" i="27" s="1"/>
  <c r="K23" i="27" s="1"/>
  <c r="K24" i="27" s="1"/>
  <c r="K25" i="27" s="1"/>
  <c r="K26" i="27" s="1"/>
  <c r="K27" i="27" s="1"/>
  <c r="K28" i="27" s="1"/>
  <c r="K29" i="27" s="1"/>
  <c r="K30" i="27" s="1"/>
  <c r="K31" i="27" s="1"/>
  <c r="K32" i="27" s="1"/>
  <c r="K33" i="27" s="1"/>
  <c r="K34" i="27" s="1"/>
  <c r="K35" i="27" s="1"/>
  <c r="K36" i="27" s="1"/>
  <c r="K37" i="27" s="1"/>
  <c r="K38" i="27" s="1"/>
  <c r="K39" i="27" s="1"/>
  <c r="K40" i="27" s="1"/>
  <c r="K41" i="27" s="1"/>
  <c r="K42" i="27" s="1"/>
  <c r="K43" i="27" s="1"/>
  <c r="K44" i="27" s="1"/>
  <c r="K45" i="27" s="1"/>
  <c r="K46" i="27" s="1"/>
  <c r="K47" i="27" s="1"/>
  <c r="K48" i="27" s="1"/>
  <c r="K49" i="27" s="1"/>
  <c r="K50" i="27" s="1"/>
  <c r="K51" i="27" s="1"/>
  <c r="K52" i="27" s="1"/>
  <c r="K53" i="27" s="1"/>
  <c r="K54" i="27" s="1"/>
  <c r="K55" i="27" s="1"/>
  <c r="K56" i="27" s="1"/>
  <c r="K57" i="27" s="1"/>
  <c r="K58" i="27" s="1"/>
  <c r="K59" i="27" s="1"/>
  <c r="K60" i="27" s="1"/>
  <c r="K61" i="27" s="1"/>
  <c r="K62" i="27" s="1"/>
  <c r="K63" i="27" s="1"/>
  <c r="K64" i="27" s="1"/>
  <c r="K65" i="27" s="1"/>
  <c r="K66" i="27" s="1"/>
  <c r="K67" i="27" s="1"/>
  <c r="K68" i="27" s="1"/>
  <c r="K69" i="27" s="1"/>
  <c r="K70" i="27" s="1"/>
  <c r="K71" i="27" s="1"/>
  <c r="K72" i="27" s="1"/>
  <c r="K73" i="27" s="1"/>
  <c r="K74" i="27" s="1"/>
  <c r="K75" i="27" s="1"/>
  <c r="K76" i="27" s="1"/>
  <c r="K77" i="27" s="1"/>
  <c r="K78" i="27" s="1"/>
  <c r="K79" i="27" s="1"/>
  <c r="K80" i="27" s="1"/>
  <c r="K81" i="27" s="1"/>
  <c r="K82" i="27" s="1"/>
  <c r="K83" i="27" s="1"/>
  <c r="K84" i="27" s="1"/>
  <c r="K85" i="27" s="1"/>
  <c r="K86" i="27" s="1"/>
  <c r="K87" i="27" s="1"/>
  <c r="K88" i="27" s="1"/>
  <c r="K89" i="27" s="1"/>
  <c r="K90" i="27" s="1"/>
  <c r="K91" i="27" s="1"/>
  <c r="K92" i="27" s="1"/>
  <c r="K93" i="27" s="1"/>
  <c r="K94" i="27" s="1"/>
  <c r="K95" i="27" s="1"/>
  <c r="K96" i="27" s="1"/>
  <c r="K97" i="27" s="1"/>
  <c r="K98" i="27" s="1"/>
  <c r="K99" i="27" s="1"/>
  <c r="K100" i="27" s="1"/>
  <c r="K101" i="27" s="1"/>
  <c r="K102" i="27" s="1"/>
  <c r="K103" i="27" s="1"/>
  <c r="K104" i="27" s="1"/>
  <c r="K105" i="27" s="1"/>
  <c r="K106" i="27" s="1"/>
  <c r="K107" i="27" s="1"/>
  <c r="K108" i="27" s="1"/>
  <c r="K109" i="27" s="1"/>
  <c r="K110" i="27" s="1"/>
  <c r="K111" i="27" s="1"/>
  <c r="K112" i="27" s="1"/>
  <c r="K113" i="27" s="1"/>
  <c r="K114" i="27" s="1"/>
  <c r="K115" i="27" s="1"/>
  <c r="K116" i="27" s="1"/>
  <c r="K117" i="27" s="1"/>
  <c r="K118" i="27" s="1"/>
  <c r="K119" i="27" s="1"/>
  <c r="K120" i="27" s="1"/>
  <c r="K121" i="27" s="1"/>
  <c r="K122" i="27" s="1"/>
  <c r="K123" i="27" s="1"/>
  <c r="K124" i="27" s="1"/>
  <c r="K125" i="27" s="1"/>
  <c r="K126" i="27" s="1"/>
  <c r="K127" i="27" s="1"/>
  <c r="K128" i="27" s="1"/>
  <c r="K129" i="27" s="1"/>
  <c r="K130" i="27" s="1"/>
  <c r="K131" i="27" s="1"/>
  <c r="K132" i="27" s="1"/>
  <c r="K133" i="27" s="1"/>
  <c r="K134" i="27" s="1"/>
  <c r="K135" i="27" s="1"/>
  <c r="K136" i="27" s="1"/>
  <c r="K137" i="27" s="1"/>
  <c r="K138" i="27" s="1"/>
  <c r="K139" i="27" s="1"/>
  <c r="K140" i="27" s="1"/>
  <c r="K141" i="27" s="1"/>
  <c r="K142" i="27" s="1"/>
  <c r="K143" i="27" s="1"/>
  <c r="K144" i="27" s="1"/>
  <c r="K145" i="27" s="1"/>
  <c r="K146" i="27" s="1"/>
  <c r="K147" i="27" s="1"/>
  <c r="K148" i="27" s="1"/>
  <c r="K149" i="27" s="1"/>
  <c r="K150" i="27" s="1"/>
  <c r="K151" i="27" s="1"/>
  <c r="K152" i="27" s="1"/>
  <c r="K153" i="27" s="1"/>
  <c r="K154" i="27" s="1"/>
  <c r="K155" i="27" s="1"/>
  <c r="K156" i="27" s="1"/>
  <c r="K157" i="27" s="1"/>
  <c r="K158" i="27" s="1"/>
  <c r="K159" i="27" s="1"/>
  <c r="K160" i="27" s="1"/>
  <c r="K161" i="27" s="1"/>
  <c r="K162" i="27" s="1"/>
  <c r="K163" i="27" s="1"/>
  <c r="K164" i="27" s="1"/>
  <c r="K165" i="27" s="1"/>
  <c r="K166" i="27" s="1"/>
  <c r="K167" i="27" s="1"/>
  <c r="K168" i="27" s="1"/>
  <c r="K169" i="27" s="1"/>
  <c r="K170" i="27" s="1"/>
  <c r="K171" i="27" s="1"/>
  <c r="K172" i="27" s="1"/>
  <c r="K173" i="27" s="1"/>
  <c r="K174" i="27" s="1"/>
  <c r="K175" i="27" s="1"/>
  <c r="K176" i="27" s="1"/>
  <c r="K177" i="27" s="1"/>
  <c r="K178" i="27" s="1"/>
  <c r="K179" i="27" s="1"/>
  <c r="K180" i="27" s="1"/>
  <c r="K181" i="27" s="1"/>
  <c r="K182" i="27" s="1"/>
  <c r="K183" i="27" s="1"/>
  <c r="K184" i="27" s="1"/>
  <c r="K185" i="27" s="1"/>
  <c r="K186" i="27" s="1"/>
  <c r="K187" i="27" s="1"/>
  <c r="K188" i="27" s="1"/>
  <c r="K189" i="27" s="1"/>
  <c r="K190" i="27" s="1"/>
  <c r="K191" i="27" s="1"/>
  <c r="K192" i="27" s="1"/>
  <c r="K193" i="27" s="1"/>
  <c r="K194" i="27" s="1"/>
  <c r="K195" i="27" s="1"/>
  <c r="K196" i="27" s="1"/>
  <c r="K197" i="27" s="1"/>
  <c r="K198" i="27" s="1"/>
  <c r="K199" i="27" s="1"/>
  <c r="K200" i="27" s="1"/>
  <c r="K201" i="27" s="1"/>
  <c r="K202" i="27" s="1"/>
  <c r="K203" i="27" s="1"/>
  <c r="K204" i="27" s="1"/>
  <c r="K205" i="27" s="1"/>
  <c r="K206" i="27" s="1"/>
  <c r="K207" i="27" s="1"/>
  <c r="K208" i="27" s="1"/>
  <c r="K209" i="27" s="1"/>
  <c r="K210" i="27" s="1"/>
  <c r="K211" i="27" s="1"/>
  <c r="K212" i="27" s="1"/>
  <c r="K213" i="27" s="1"/>
  <c r="K214" i="27" s="1"/>
  <c r="K215" i="27" s="1"/>
  <c r="K216" i="27" s="1"/>
  <c r="K217" i="27" s="1"/>
  <c r="K218" i="27" s="1"/>
  <c r="K219" i="27" s="1"/>
  <c r="K220" i="27" s="1"/>
  <c r="K221" i="27" s="1"/>
  <c r="K222" i="27" s="1"/>
  <c r="K223" i="27" s="1"/>
  <c r="K224" i="27" s="1"/>
  <c r="K225" i="27" s="1"/>
  <c r="K226" i="27" s="1"/>
  <c r="K227" i="27" s="1"/>
  <c r="K228" i="27" s="1"/>
  <c r="K229" i="27" s="1"/>
  <c r="K230" i="27" s="1"/>
  <c r="K231" i="27" s="1"/>
  <c r="K232" i="27" s="1"/>
  <c r="K233" i="27" s="1"/>
  <c r="K234" i="27" s="1"/>
  <c r="K235" i="27" s="1"/>
  <c r="K236" i="27" s="1"/>
  <c r="K237" i="27" s="1"/>
  <c r="K238" i="27" s="1"/>
  <c r="K239" i="27" s="1"/>
  <c r="K240" i="27" s="1"/>
  <c r="K241" i="27" s="1"/>
  <c r="K242" i="27" s="1"/>
  <c r="K243" i="27" s="1"/>
  <c r="K244" i="27" s="1"/>
  <c r="K245" i="27" s="1"/>
  <c r="K246" i="27" s="1"/>
  <c r="K247" i="27" s="1"/>
  <c r="K248" i="27" s="1"/>
  <c r="K249" i="27" s="1"/>
  <c r="K250" i="27" s="1"/>
  <c r="K251" i="27" s="1"/>
  <c r="K252" i="27" s="1"/>
  <c r="K253" i="27" s="1"/>
  <c r="K254" i="27" s="1"/>
  <c r="K255" i="27" s="1"/>
  <c r="K256" i="27" s="1"/>
  <c r="K257" i="27" s="1"/>
  <c r="K258" i="27" s="1"/>
  <c r="K259" i="27" s="1"/>
  <c r="K260" i="27" s="1"/>
  <c r="K261" i="27" s="1"/>
  <c r="K262" i="27" s="1"/>
  <c r="K263" i="27" s="1"/>
  <c r="K264" i="27" s="1"/>
  <c r="K265" i="27" s="1"/>
  <c r="K266" i="27" s="1"/>
  <c r="K267" i="27" s="1"/>
  <c r="K268" i="27" s="1"/>
  <c r="K269" i="27" s="1"/>
  <c r="K270" i="27" s="1"/>
  <c r="K271" i="27" s="1"/>
  <c r="K272" i="27" s="1"/>
  <c r="K273" i="27" s="1"/>
  <c r="K274" i="27" s="1"/>
  <c r="K275" i="27" s="1"/>
  <c r="K276" i="27" s="1"/>
  <c r="K277" i="27" s="1"/>
  <c r="K278" i="27" s="1"/>
  <c r="K279" i="27" s="1"/>
  <c r="K280" i="27" s="1"/>
  <c r="K281" i="27" s="1"/>
  <c r="K282" i="27" s="1"/>
  <c r="K283" i="27" s="1"/>
  <c r="K284" i="27" s="1"/>
  <c r="K285" i="27" s="1"/>
  <c r="K286" i="27" s="1"/>
  <c r="K287" i="27" s="1"/>
  <c r="K288" i="27" s="1"/>
  <c r="K289" i="27" s="1"/>
  <c r="K290" i="27" s="1"/>
  <c r="K291" i="27" s="1"/>
  <c r="K292" i="27" s="1"/>
  <c r="K293" i="27" s="1"/>
  <c r="K294" i="27" s="1"/>
  <c r="K295" i="27" s="1"/>
  <c r="K296" i="27" s="1"/>
  <c r="K297" i="27" s="1"/>
  <c r="K298" i="27" s="1"/>
  <c r="K299" i="27" s="1"/>
  <c r="K300" i="27" s="1"/>
  <c r="K301" i="27" s="1"/>
  <c r="K302" i="27" s="1"/>
  <c r="K303" i="27" s="1"/>
  <c r="K304" i="27" s="1"/>
  <c r="K305" i="27" s="1"/>
  <c r="K306" i="27" s="1"/>
  <c r="K307" i="27" s="1"/>
  <c r="K308" i="27" s="1"/>
  <c r="K309" i="27" s="1"/>
  <c r="K310" i="27" s="1"/>
  <c r="K311" i="27" s="1"/>
  <c r="K312" i="27" s="1"/>
  <c r="K313" i="27" s="1"/>
  <c r="K314" i="27" s="1"/>
  <c r="K315" i="27" s="1"/>
  <c r="K316" i="27" s="1"/>
  <c r="K317" i="27" s="1"/>
  <c r="K318" i="27" s="1"/>
  <c r="K319" i="27" s="1"/>
  <c r="K320" i="27" s="1"/>
  <c r="K321" i="27" s="1"/>
  <c r="K322" i="27" s="1"/>
  <c r="K323" i="27" s="1"/>
  <c r="K324" i="27" s="1"/>
  <c r="K325" i="27" s="1"/>
  <c r="K326" i="27" s="1"/>
  <c r="K327" i="27" s="1"/>
  <c r="K328" i="27" s="1"/>
  <c r="K329" i="27" s="1"/>
  <c r="K330" i="27" s="1"/>
  <c r="K331" i="27" s="1"/>
  <c r="K332" i="27" s="1"/>
  <c r="K333" i="27" s="1"/>
  <c r="K334" i="27" s="1"/>
  <c r="K335" i="27" s="1"/>
  <c r="K336" i="27" s="1"/>
  <c r="K337" i="27" s="1"/>
  <c r="K338" i="27" s="1"/>
  <c r="K339" i="27" s="1"/>
  <c r="K340" i="27" s="1"/>
  <c r="K341" i="27" s="1"/>
  <c r="K342" i="27" s="1"/>
  <c r="K343" i="27" s="1"/>
  <c r="K344" i="27" s="1"/>
  <c r="K345" i="27" s="1"/>
  <c r="K346" i="27" s="1"/>
  <c r="K347" i="27" s="1"/>
  <c r="K348" i="27" s="1"/>
  <c r="K349" i="27" s="1"/>
  <c r="K350" i="27" s="1"/>
  <c r="K351" i="27" s="1"/>
  <c r="K352" i="27" s="1"/>
  <c r="K353" i="27" s="1"/>
  <c r="K354" i="27" s="1"/>
  <c r="K355" i="27" s="1"/>
  <c r="K356" i="27" s="1"/>
  <c r="K357" i="27" s="1"/>
  <c r="K358" i="27" s="1"/>
  <c r="K359" i="27" s="1"/>
  <c r="K360" i="27" s="1"/>
  <c r="K361" i="27" s="1"/>
  <c r="K362" i="27" s="1"/>
  <c r="K363" i="27" s="1"/>
  <c r="K364" i="27" s="1"/>
  <c r="K365" i="27" s="1"/>
  <c r="K366" i="27" s="1"/>
  <c r="K367" i="27" s="1"/>
  <c r="K368" i="27" s="1"/>
  <c r="K369" i="27" s="1"/>
  <c r="K370" i="27" s="1"/>
  <c r="K371" i="27" s="1"/>
  <c r="K372" i="27" s="1"/>
  <c r="K373" i="27" s="1"/>
  <c r="K374" i="27" s="1"/>
  <c r="K375" i="27" s="1"/>
  <c r="K376" i="27" s="1"/>
  <c r="K377" i="27" s="1"/>
  <c r="K378" i="27" s="1"/>
  <c r="K379" i="27" s="1"/>
  <c r="K380" i="27" s="1"/>
  <c r="K381" i="27" s="1"/>
  <c r="K382" i="27" s="1"/>
  <c r="K383" i="27" s="1"/>
  <c r="K384" i="27" s="1"/>
  <c r="K385" i="27" s="1"/>
  <c r="K386" i="27" s="1"/>
  <c r="K387" i="27" s="1"/>
  <c r="K388" i="27" s="1"/>
  <c r="K389" i="27" s="1"/>
  <c r="K390" i="27" s="1"/>
  <c r="K391" i="27" s="1"/>
  <c r="K392" i="27" s="1"/>
  <c r="K393" i="27" s="1"/>
  <c r="K394" i="27" s="1"/>
  <c r="K395" i="27" s="1"/>
  <c r="K396" i="27" s="1"/>
  <c r="K397" i="27" s="1"/>
  <c r="K398" i="27" s="1"/>
  <c r="K399" i="27" s="1"/>
  <c r="K400" i="27" s="1"/>
  <c r="K401" i="27" s="1"/>
  <c r="K402" i="27" s="1"/>
  <c r="K403" i="27" s="1"/>
  <c r="K404" i="27" s="1"/>
  <c r="K405" i="27" s="1"/>
  <c r="K406" i="27" s="1"/>
  <c r="K407" i="27" s="1"/>
  <c r="K408" i="27" s="1"/>
  <c r="K409" i="27" s="1"/>
  <c r="K410" i="27" s="1"/>
  <c r="K411" i="27" s="1"/>
  <c r="K412" i="27" s="1"/>
  <c r="K413" i="27" s="1"/>
  <c r="K414" i="27" s="1"/>
  <c r="K415" i="27" s="1"/>
  <c r="K416" i="27" s="1"/>
  <c r="K417" i="27" s="1"/>
  <c r="K418" i="27" s="1"/>
  <c r="K419" i="27" s="1"/>
  <c r="K420" i="27" s="1"/>
  <c r="K421" i="27" s="1"/>
  <c r="K422" i="27" s="1"/>
  <c r="K423" i="27" s="1"/>
  <c r="K424" i="27" s="1"/>
  <c r="K425" i="27" s="1"/>
  <c r="K426" i="27" s="1"/>
  <c r="K427" i="27" s="1"/>
  <c r="K428" i="27" s="1"/>
  <c r="K429" i="27" s="1"/>
  <c r="K430" i="27" s="1"/>
  <c r="K431" i="27" s="1"/>
  <c r="K432" i="27" s="1"/>
  <c r="K433" i="27" s="1"/>
  <c r="K434" i="27" s="1"/>
  <c r="K435" i="27" s="1"/>
  <c r="K436" i="27" s="1"/>
  <c r="K437" i="27" s="1"/>
  <c r="K438" i="27" s="1"/>
  <c r="K439" i="27" s="1"/>
  <c r="K440" i="27" s="1"/>
  <c r="K441" i="27" s="1"/>
  <c r="K442" i="27" s="1"/>
  <c r="K443" i="27" s="1"/>
  <c r="K444" i="27" s="1"/>
  <c r="K445" i="27" s="1"/>
  <c r="K446" i="27" s="1"/>
  <c r="K447" i="27" s="1"/>
  <c r="K448" i="27" s="1"/>
  <c r="K449" i="27" s="1"/>
  <c r="K450" i="27" s="1"/>
  <c r="K451" i="27" s="1"/>
  <c r="K452" i="27" s="1"/>
  <c r="K453" i="27" s="1"/>
  <c r="K454" i="27" s="1"/>
  <c r="K455" i="27" s="1"/>
  <c r="K456" i="27" s="1"/>
  <c r="K457" i="27" s="1"/>
  <c r="K458" i="27" s="1"/>
  <c r="K459" i="27" s="1"/>
  <c r="K460" i="27" s="1"/>
  <c r="K461" i="27" s="1"/>
  <c r="K462" i="27" s="1"/>
  <c r="K463" i="27" s="1"/>
  <c r="K464" i="27" s="1"/>
  <c r="K465" i="27" s="1"/>
  <c r="K466" i="27" s="1"/>
  <c r="K467" i="27" s="1"/>
  <c r="K468" i="27" s="1"/>
  <c r="K469" i="27" s="1"/>
  <c r="K470" i="27" s="1"/>
  <c r="K471" i="27" s="1"/>
  <c r="K472" i="27" s="1"/>
  <c r="K473" i="27" s="1"/>
  <c r="K474" i="27" s="1"/>
  <c r="K475" i="27" s="1"/>
  <c r="K476" i="27" s="1"/>
  <c r="K477" i="27" s="1"/>
  <c r="K478" i="27" s="1"/>
  <c r="K479" i="27" s="1"/>
  <c r="K480" i="27" s="1"/>
  <c r="K481" i="27" s="1"/>
  <c r="K482" i="27" s="1"/>
  <c r="K483" i="27" s="1"/>
  <c r="K484" i="27" s="1"/>
  <c r="K485" i="27" s="1"/>
  <c r="K486" i="27" s="1"/>
  <c r="K487" i="27" s="1"/>
  <c r="K488" i="27" s="1"/>
  <c r="K489" i="27" s="1"/>
  <c r="K490" i="27" s="1"/>
  <c r="K491" i="27" s="1"/>
  <c r="K492" i="27" s="1"/>
  <c r="K493" i="27" s="1"/>
  <c r="K494" i="27" s="1"/>
  <c r="K495" i="27" s="1"/>
  <c r="K496" i="27" s="1"/>
  <c r="K497" i="27" s="1"/>
  <c r="K498" i="27" s="1"/>
  <c r="K499" i="27" s="1"/>
  <c r="K500" i="27" s="1"/>
  <c r="K501" i="27" s="1"/>
  <c r="K502" i="27" s="1"/>
  <c r="K503" i="27" s="1"/>
  <c r="K504" i="27" s="1"/>
  <c r="K505" i="27" s="1"/>
  <c r="K506" i="27" s="1"/>
  <c r="K507" i="27" s="1"/>
  <c r="K508" i="27" s="1"/>
  <c r="K509" i="27" s="1"/>
  <c r="K510" i="27" s="1"/>
  <c r="K511" i="27" s="1"/>
  <c r="K512" i="27" s="1"/>
  <c r="K513" i="27" s="1"/>
  <c r="K514" i="27" s="1"/>
  <c r="K515" i="27" s="1"/>
  <c r="K516" i="27" s="1"/>
  <c r="K517" i="27" s="1"/>
  <c r="K518" i="27" s="1"/>
  <c r="K519" i="27" s="1"/>
  <c r="K520" i="27" s="1"/>
  <c r="K521" i="27" s="1"/>
  <c r="K522" i="27" s="1"/>
  <c r="K523" i="27" s="1"/>
  <c r="K524" i="27" s="1"/>
  <c r="K525" i="27" s="1"/>
  <c r="K526" i="27" s="1"/>
  <c r="K527" i="27" s="1"/>
  <c r="K528" i="27" s="1"/>
  <c r="K529" i="27" s="1"/>
  <c r="K530" i="27" s="1"/>
  <c r="K531" i="27" s="1"/>
  <c r="K532" i="27" s="1"/>
  <c r="K533" i="27" s="1"/>
  <c r="K534" i="27" s="1"/>
  <c r="K535" i="27" s="1"/>
  <c r="K536" i="27" s="1"/>
  <c r="K537" i="27" s="1"/>
  <c r="K538" i="27" s="1"/>
  <c r="K539" i="27" s="1"/>
  <c r="K540" i="27" s="1"/>
  <c r="K541" i="27" s="1"/>
  <c r="K542" i="27" s="1"/>
  <c r="K543" i="27" s="1"/>
  <c r="K544" i="27" s="1"/>
  <c r="K545" i="27" s="1"/>
  <c r="K546" i="27" s="1"/>
  <c r="K547" i="27" s="1"/>
  <c r="K548" i="27" s="1"/>
  <c r="K549" i="27" s="1"/>
  <c r="K550" i="27" s="1"/>
  <c r="K551" i="27" s="1"/>
  <c r="K552" i="27" s="1"/>
  <c r="K553" i="27" s="1"/>
  <c r="K554" i="27" s="1"/>
  <c r="K555" i="27" s="1"/>
  <c r="K556" i="27" s="1"/>
  <c r="K557" i="27" s="1"/>
  <c r="K558" i="27" s="1"/>
  <c r="K559" i="27" s="1"/>
  <c r="K560" i="27" s="1"/>
  <c r="K561" i="27" s="1"/>
  <c r="K562" i="27" s="1"/>
  <c r="K563" i="27" s="1"/>
  <c r="K564" i="27" s="1"/>
  <c r="K565" i="27" s="1"/>
  <c r="K566" i="27" s="1"/>
  <c r="K567" i="27" s="1"/>
  <c r="K568" i="27" s="1"/>
  <c r="K569" i="27" s="1"/>
  <c r="K570" i="27" s="1"/>
  <c r="K571" i="27" s="1"/>
  <c r="K572" i="27" s="1"/>
  <c r="K573" i="27" s="1"/>
  <c r="K574" i="27" s="1"/>
  <c r="K575" i="27" s="1"/>
  <c r="K576" i="27" s="1"/>
  <c r="K577" i="27" s="1"/>
  <c r="K578" i="27" s="1"/>
  <c r="K579" i="27" s="1"/>
  <c r="K580" i="27" s="1"/>
  <c r="K581" i="27" s="1"/>
  <c r="K582" i="27" s="1"/>
  <c r="K583" i="27" s="1"/>
  <c r="K584" i="27" s="1"/>
  <c r="K585" i="27" s="1"/>
  <c r="K586" i="27" s="1"/>
  <c r="K587" i="27" s="1"/>
  <c r="K588" i="27" s="1"/>
  <c r="K589" i="27" s="1"/>
  <c r="K590" i="27" s="1"/>
  <c r="K591" i="27" s="1"/>
  <c r="K592" i="27" s="1"/>
  <c r="K593" i="27" s="1"/>
  <c r="K594" i="27" s="1"/>
  <c r="K595" i="27" s="1"/>
  <c r="K596" i="27" s="1"/>
  <c r="K597" i="27" s="1"/>
  <c r="K598" i="27" s="1"/>
  <c r="K599" i="27" s="1"/>
  <c r="K600" i="27" s="1"/>
  <c r="K601" i="27" s="1"/>
  <c r="K602" i="27" s="1"/>
  <c r="K603" i="27" s="1"/>
  <c r="K604" i="27" s="1"/>
  <c r="K605" i="27" s="1"/>
  <c r="K606" i="27" s="1"/>
  <c r="K607" i="27" s="1"/>
  <c r="K608" i="27" s="1"/>
  <c r="K609" i="27" s="1"/>
  <c r="K610" i="27" s="1"/>
  <c r="K611" i="27" s="1"/>
  <c r="K612" i="27" s="1"/>
  <c r="K613" i="27" s="1"/>
  <c r="K614" i="27" s="1"/>
  <c r="K615" i="27" s="1"/>
  <c r="K616" i="27" s="1"/>
  <c r="K617" i="27" s="1"/>
  <c r="K618" i="27" s="1"/>
  <c r="K619" i="27" s="1"/>
  <c r="K620" i="27" s="1"/>
  <c r="K621" i="27" s="1"/>
  <c r="K622" i="27" s="1"/>
  <c r="K623" i="27" s="1"/>
  <c r="K624" i="27" s="1"/>
  <c r="K625" i="27" s="1"/>
  <c r="K626" i="27" s="1"/>
  <c r="K627" i="27" s="1"/>
  <c r="K628" i="27" s="1"/>
  <c r="K629" i="27" s="1"/>
  <c r="K630" i="27" s="1"/>
  <c r="K631" i="27" s="1"/>
  <c r="K632" i="27" s="1"/>
  <c r="K633" i="27" s="1"/>
  <c r="K634" i="27" s="1"/>
  <c r="K635" i="27" s="1"/>
  <c r="K636" i="27" s="1"/>
  <c r="K637" i="27" s="1"/>
  <c r="K638" i="27" s="1"/>
  <c r="K639" i="27" s="1"/>
  <c r="K640" i="27" s="1"/>
  <c r="K641" i="27" s="1"/>
  <c r="K642" i="27" s="1"/>
  <c r="K643" i="27" s="1"/>
  <c r="K644" i="27" s="1"/>
  <c r="K645" i="27" s="1"/>
  <c r="K646" i="27" s="1"/>
  <c r="K647" i="27" s="1"/>
  <c r="K648" i="27" s="1"/>
  <c r="K649" i="27" s="1"/>
  <c r="K650" i="27" s="1"/>
  <c r="K651" i="27" s="1"/>
  <c r="K652" i="27" s="1"/>
  <c r="K653" i="27" s="1"/>
  <c r="K654" i="27" s="1"/>
  <c r="K655" i="27" s="1"/>
  <c r="K656" i="27" s="1"/>
  <c r="K657" i="27" s="1"/>
  <c r="K658" i="27" s="1"/>
  <c r="K659" i="27" s="1"/>
  <c r="K660" i="27" s="1"/>
  <c r="K661" i="27" s="1"/>
  <c r="K662" i="27" s="1"/>
  <c r="K663" i="27" s="1"/>
  <c r="K664" i="27" s="1"/>
  <c r="K665" i="27" s="1"/>
  <c r="K666" i="27" s="1"/>
  <c r="K667" i="27" s="1"/>
  <c r="K668" i="27" s="1"/>
  <c r="K669" i="27" s="1"/>
  <c r="K670" i="27" s="1"/>
  <c r="K671" i="27" s="1"/>
  <c r="K672" i="27" s="1"/>
  <c r="K673" i="27" s="1"/>
  <c r="K674" i="27" s="1"/>
  <c r="K675" i="27" s="1"/>
  <c r="K676" i="27" s="1"/>
  <c r="K677" i="27" s="1"/>
  <c r="K678" i="27" s="1"/>
  <c r="K679" i="27" s="1"/>
  <c r="K680" i="27" s="1"/>
  <c r="K681" i="27" s="1"/>
  <c r="K682" i="27" s="1"/>
  <c r="K683" i="27" s="1"/>
  <c r="K684" i="27" s="1"/>
  <c r="K685" i="27" s="1"/>
  <c r="K686" i="27" s="1"/>
  <c r="K687" i="27" s="1"/>
  <c r="K688" i="27" s="1"/>
  <c r="K689" i="27" s="1"/>
  <c r="K690" i="27" s="1"/>
  <c r="K691" i="27" s="1"/>
  <c r="K692" i="27" s="1"/>
  <c r="K693" i="27" s="1"/>
  <c r="K694" i="27" s="1"/>
  <c r="K695" i="27" s="1"/>
  <c r="K696" i="27" s="1"/>
  <c r="K697" i="27" s="1"/>
  <c r="K698" i="27" s="1"/>
  <c r="K699" i="27" s="1"/>
  <c r="K700" i="27" s="1"/>
  <c r="K701" i="27" s="1"/>
  <c r="K702" i="27" s="1"/>
  <c r="K703" i="27" s="1"/>
  <c r="K704" i="27" s="1"/>
  <c r="K705" i="27" s="1"/>
  <c r="K706" i="27" s="1"/>
  <c r="K707" i="27" s="1"/>
  <c r="K708" i="27" s="1"/>
  <c r="K709" i="27" s="1"/>
  <c r="K710" i="27" s="1"/>
  <c r="K711" i="27" s="1"/>
  <c r="K712" i="27" s="1"/>
  <c r="K713" i="27" s="1"/>
  <c r="K714" i="27" s="1"/>
  <c r="K715" i="27" s="1"/>
  <c r="K716" i="27" s="1"/>
  <c r="K717" i="27" s="1"/>
  <c r="K718" i="27" s="1"/>
  <c r="K719" i="27" s="1"/>
  <c r="K720" i="27" s="1"/>
  <c r="K721" i="27" s="1"/>
  <c r="K722" i="27" s="1"/>
  <c r="K723" i="27" s="1"/>
  <c r="K724" i="27" s="1"/>
  <c r="K725" i="27" s="1"/>
  <c r="K726" i="27" s="1"/>
  <c r="K727" i="27" s="1"/>
  <c r="K728" i="27" s="1"/>
  <c r="J10" i="27"/>
  <c r="J11" i="27" s="1"/>
  <c r="J12" i="27" s="1"/>
  <c r="J13" i="27" s="1"/>
  <c r="J14" i="27" s="1"/>
  <c r="J15" i="27" s="1"/>
  <c r="J16" i="27" s="1"/>
  <c r="J17" i="27" s="1"/>
  <c r="J18" i="27" s="1"/>
  <c r="J19" i="27" s="1"/>
  <c r="J20" i="27" s="1"/>
  <c r="J21" i="27" s="1"/>
  <c r="J22" i="27" s="1"/>
  <c r="J23" i="27" s="1"/>
  <c r="J24" i="27" s="1"/>
  <c r="J25" i="27" s="1"/>
  <c r="J26" i="27" s="1"/>
  <c r="J27" i="27" s="1"/>
  <c r="J28" i="27" s="1"/>
  <c r="J29" i="27" s="1"/>
  <c r="J30" i="27" s="1"/>
  <c r="J31" i="27" s="1"/>
  <c r="J32" i="27" s="1"/>
  <c r="J33" i="27" s="1"/>
  <c r="J34" i="27" s="1"/>
  <c r="J35" i="27" s="1"/>
  <c r="J36" i="27" s="1"/>
  <c r="J37" i="27" s="1"/>
  <c r="J38" i="27" s="1"/>
  <c r="J39" i="27" s="1"/>
  <c r="J40" i="27" s="1"/>
  <c r="J41" i="27" s="1"/>
  <c r="J42" i="27" s="1"/>
  <c r="J43" i="27" s="1"/>
  <c r="J44" i="27" s="1"/>
  <c r="J45" i="27" s="1"/>
  <c r="J46" i="27" s="1"/>
  <c r="J47" i="27" s="1"/>
  <c r="J48" i="27" s="1"/>
  <c r="J49" i="27" s="1"/>
  <c r="J50" i="27" s="1"/>
  <c r="J51" i="27" s="1"/>
  <c r="J52" i="27" s="1"/>
  <c r="J53" i="27" s="1"/>
  <c r="J54" i="27" s="1"/>
  <c r="J55" i="27" s="1"/>
  <c r="J56" i="27" s="1"/>
  <c r="J57" i="27" s="1"/>
  <c r="J58" i="27" s="1"/>
  <c r="J59" i="27" s="1"/>
  <c r="J60" i="27" s="1"/>
  <c r="J61" i="27" s="1"/>
  <c r="J62" i="27" s="1"/>
  <c r="J63" i="27" s="1"/>
  <c r="J64" i="27" s="1"/>
  <c r="J65" i="27" s="1"/>
  <c r="J66" i="27" s="1"/>
  <c r="J67" i="27" s="1"/>
  <c r="J68" i="27" s="1"/>
  <c r="J69" i="27" s="1"/>
  <c r="J70" i="27" s="1"/>
  <c r="J71" i="27" s="1"/>
  <c r="J72" i="27" s="1"/>
  <c r="J73" i="27" s="1"/>
  <c r="J74" i="27" s="1"/>
  <c r="J75" i="27" s="1"/>
  <c r="J76" i="27" s="1"/>
  <c r="J77" i="27" s="1"/>
  <c r="J78" i="27" s="1"/>
  <c r="J79" i="27" s="1"/>
  <c r="J80" i="27" s="1"/>
  <c r="J81" i="27" s="1"/>
  <c r="J82" i="27" s="1"/>
  <c r="J83" i="27" s="1"/>
  <c r="J84" i="27" s="1"/>
  <c r="J85" i="27" s="1"/>
  <c r="J86" i="27" s="1"/>
  <c r="J87" i="27" s="1"/>
  <c r="J88" i="27" s="1"/>
  <c r="J89" i="27" s="1"/>
  <c r="J90" i="27" s="1"/>
  <c r="J91" i="27" s="1"/>
  <c r="J92" i="27" s="1"/>
  <c r="J93" i="27" s="1"/>
  <c r="J94" i="27" s="1"/>
  <c r="J95" i="27" s="1"/>
  <c r="J96" i="27" s="1"/>
  <c r="J97" i="27" s="1"/>
  <c r="J98" i="27" s="1"/>
  <c r="J99" i="27" s="1"/>
  <c r="J100" i="27" s="1"/>
  <c r="J101" i="27" s="1"/>
  <c r="J102" i="27" s="1"/>
  <c r="J103" i="27" s="1"/>
  <c r="J104" i="27" s="1"/>
  <c r="J105" i="27" s="1"/>
  <c r="J106" i="27" s="1"/>
  <c r="J107" i="27" s="1"/>
  <c r="J108" i="27" s="1"/>
  <c r="J109" i="27" s="1"/>
  <c r="J110" i="27" s="1"/>
  <c r="J111" i="27" s="1"/>
  <c r="J112" i="27" s="1"/>
  <c r="J113" i="27" s="1"/>
  <c r="J114" i="27" s="1"/>
  <c r="J115" i="27" s="1"/>
  <c r="J116" i="27" s="1"/>
  <c r="J117" i="27" s="1"/>
  <c r="J118" i="27" s="1"/>
  <c r="J119" i="27" s="1"/>
  <c r="J120" i="27" s="1"/>
  <c r="J121" i="27" s="1"/>
  <c r="J122" i="27" s="1"/>
  <c r="J123" i="27" s="1"/>
  <c r="J124" i="27" s="1"/>
  <c r="J125" i="27" s="1"/>
  <c r="J126" i="27" s="1"/>
  <c r="J127" i="27" s="1"/>
  <c r="J128" i="27" s="1"/>
  <c r="J129" i="27" s="1"/>
  <c r="J130" i="27" s="1"/>
  <c r="J131" i="27" s="1"/>
  <c r="J132" i="27" s="1"/>
  <c r="J133" i="27" s="1"/>
  <c r="J134" i="27" s="1"/>
  <c r="J135" i="27" s="1"/>
  <c r="J136" i="27" s="1"/>
  <c r="J137" i="27" s="1"/>
  <c r="J138" i="27" s="1"/>
  <c r="J139" i="27" s="1"/>
  <c r="J140" i="27" s="1"/>
  <c r="J141" i="27" s="1"/>
  <c r="J142" i="27" s="1"/>
  <c r="J143" i="27" s="1"/>
  <c r="J144" i="27" s="1"/>
  <c r="J145" i="27" s="1"/>
  <c r="J146" i="27" s="1"/>
  <c r="J147" i="27" s="1"/>
  <c r="J148" i="27" s="1"/>
  <c r="J149" i="27" s="1"/>
  <c r="J150" i="27" s="1"/>
  <c r="J151" i="27" s="1"/>
  <c r="J152" i="27" s="1"/>
  <c r="J153" i="27" s="1"/>
  <c r="J154" i="27" s="1"/>
  <c r="J155" i="27" s="1"/>
  <c r="J156" i="27" s="1"/>
  <c r="J157" i="27" s="1"/>
  <c r="J158" i="27" s="1"/>
  <c r="J159" i="27" s="1"/>
  <c r="J160" i="27" s="1"/>
  <c r="J161" i="27" s="1"/>
  <c r="J162" i="27" s="1"/>
  <c r="J163" i="27" s="1"/>
  <c r="J164" i="27" s="1"/>
  <c r="J165" i="27" s="1"/>
  <c r="J166" i="27" s="1"/>
  <c r="J167" i="27" s="1"/>
  <c r="J168" i="27" s="1"/>
  <c r="J169" i="27" s="1"/>
  <c r="J170" i="27" s="1"/>
  <c r="J171" i="27" s="1"/>
  <c r="J172" i="27" s="1"/>
  <c r="J173" i="27" s="1"/>
  <c r="J174" i="27" s="1"/>
  <c r="J175" i="27" s="1"/>
  <c r="J176" i="27" s="1"/>
  <c r="J177" i="27" s="1"/>
  <c r="J178" i="27" s="1"/>
  <c r="J179" i="27" s="1"/>
  <c r="J180" i="27" s="1"/>
  <c r="J181" i="27" s="1"/>
  <c r="J182" i="27" s="1"/>
  <c r="J183" i="27" s="1"/>
  <c r="J184" i="27" s="1"/>
  <c r="J185" i="27" s="1"/>
  <c r="J186" i="27" s="1"/>
  <c r="J187" i="27" s="1"/>
  <c r="J188" i="27" s="1"/>
  <c r="J189" i="27" s="1"/>
  <c r="J190" i="27" s="1"/>
  <c r="J191" i="27" s="1"/>
  <c r="J192" i="27" s="1"/>
  <c r="J193" i="27" s="1"/>
  <c r="J194" i="27" s="1"/>
  <c r="J195" i="27" s="1"/>
  <c r="J196" i="27" s="1"/>
  <c r="J197" i="27" s="1"/>
  <c r="J198" i="27" s="1"/>
  <c r="J199" i="27" s="1"/>
  <c r="J200" i="27" s="1"/>
  <c r="J201" i="27" s="1"/>
  <c r="J202" i="27" s="1"/>
  <c r="J203" i="27" s="1"/>
  <c r="J204" i="27" s="1"/>
  <c r="J205" i="27" s="1"/>
  <c r="J206" i="27" s="1"/>
  <c r="J207" i="27" s="1"/>
  <c r="J208" i="27" s="1"/>
  <c r="J209" i="27" s="1"/>
  <c r="J210" i="27" s="1"/>
  <c r="J211" i="27" s="1"/>
  <c r="J212" i="27" s="1"/>
  <c r="J213" i="27" s="1"/>
  <c r="J214" i="27" s="1"/>
  <c r="J215" i="27" s="1"/>
  <c r="J216" i="27" s="1"/>
  <c r="J217" i="27" s="1"/>
  <c r="J218" i="27" s="1"/>
  <c r="J219" i="27" s="1"/>
  <c r="J220" i="27" s="1"/>
  <c r="J221" i="27" s="1"/>
  <c r="J222" i="27" s="1"/>
  <c r="J223" i="27" s="1"/>
  <c r="J224" i="27" s="1"/>
  <c r="J225" i="27" s="1"/>
  <c r="J226" i="27" s="1"/>
  <c r="J227" i="27" s="1"/>
  <c r="J228" i="27" s="1"/>
  <c r="J229" i="27" s="1"/>
  <c r="J230" i="27" s="1"/>
  <c r="J231" i="27" s="1"/>
  <c r="J232" i="27" s="1"/>
  <c r="J233" i="27" s="1"/>
  <c r="J234" i="27" s="1"/>
  <c r="J235" i="27" s="1"/>
  <c r="J236" i="27" s="1"/>
  <c r="J237" i="27" s="1"/>
  <c r="J238" i="27" s="1"/>
  <c r="J239" i="27" s="1"/>
  <c r="J240" i="27" s="1"/>
  <c r="J241" i="27" s="1"/>
  <c r="J242" i="27" s="1"/>
  <c r="J243" i="27" s="1"/>
  <c r="J244" i="27" s="1"/>
  <c r="J245" i="27" s="1"/>
  <c r="J246" i="27" s="1"/>
  <c r="J247" i="27" s="1"/>
  <c r="J248" i="27" s="1"/>
  <c r="J249" i="27" s="1"/>
  <c r="J250" i="27" s="1"/>
  <c r="J251" i="27" s="1"/>
  <c r="J252" i="27" s="1"/>
  <c r="J253" i="27" s="1"/>
  <c r="J254" i="27" s="1"/>
  <c r="J255" i="27" s="1"/>
  <c r="J256" i="27" s="1"/>
  <c r="J257" i="27" s="1"/>
  <c r="J258" i="27" s="1"/>
  <c r="J259" i="27" s="1"/>
  <c r="J260" i="27" s="1"/>
  <c r="J261" i="27" s="1"/>
  <c r="J262" i="27" s="1"/>
  <c r="J263" i="27" s="1"/>
  <c r="J264" i="27" s="1"/>
  <c r="J265" i="27" s="1"/>
  <c r="J266" i="27" s="1"/>
  <c r="J267" i="27" s="1"/>
  <c r="J268" i="27" s="1"/>
  <c r="J269" i="27" s="1"/>
  <c r="J270" i="27" s="1"/>
  <c r="J271" i="27" s="1"/>
  <c r="J272" i="27" s="1"/>
  <c r="J273" i="27" s="1"/>
  <c r="J274" i="27" s="1"/>
  <c r="J275" i="27" s="1"/>
  <c r="J276" i="27" s="1"/>
  <c r="J277" i="27" s="1"/>
  <c r="J278" i="27" s="1"/>
  <c r="J279" i="27" s="1"/>
  <c r="J280" i="27" s="1"/>
  <c r="J281" i="27" s="1"/>
  <c r="J282" i="27" s="1"/>
  <c r="J283" i="27" s="1"/>
  <c r="J284" i="27" s="1"/>
  <c r="J285" i="27" s="1"/>
  <c r="J286" i="27" s="1"/>
  <c r="J287" i="27" s="1"/>
  <c r="J288" i="27" s="1"/>
  <c r="J289" i="27" s="1"/>
  <c r="J290" i="27" s="1"/>
  <c r="J291" i="27" s="1"/>
  <c r="J292" i="27" s="1"/>
  <c r="J293" i="27" s="1"/>
  <c r="J294" i="27" s="1"/>
  <c r="J295" i="27" s="1"/>
  <c r="J296" i="27" s="1"/>
  <c r="J297" i="27" s="1"/>
  <c r="J298" i="27" s="1"/>
  <c r="J299" i="27" s="1"/>
  <c r="J300" i="27" s="1"/>
  <c r="J301" i="27" s="1"/>
  <c r="J302" i="27" s="1"/>
  <c r="J303" i="27" s="1"/>
  <c r="J304" i="27" s="1"/>
  <c r="J305" i="27" s="1"/>
  <c r="J306" i="27" s="1"/>
  <c r="J307" i="27" s="1"/>
  <c r="J308" i="27" s="1"/>
  <c r="J309" i="27" s="1"/>
  <c r="J310" i="27" s="1"/>
  <c r="J311" i="27" s="1"/>
  <c r="J312" i="27" s="1"/>
  <c r="J313" i="27" s="1"/>
  <c r="J314" i="27" s="1"/>
  <c r="J315" i="27" s="1"/>
  <c r="J316" i="27" s="1"/>
  <c r="J317" i="27" s="1"/>
  <c r="J318" i="27" s="1"/>
  <c r="J319" i="27" s="1"/>
  <c r="J320" i="27" s="1"/>
  <c r="J321" i="27" s="1"/>
  <c r="J322" i="27" s="1"/>
  <c r="J323" i="27" s="1"/>
  <c r="J324" i="27" s="1"/>
  <c r="J325" i="27" s="1"/>
  <c r="J326" i="27" s="1"/>
  <c r="J327" i="27" s="1"/>
  <c r="J328" i="27" s="1"/>
  <c r="J329" i="27" s="1"/>
  <c r="J330" i="27" s="1"/>
  <c r="J331" i="27" s="1"/>
  <c r="J332" i="27" s="1"/>
  <c r="J333" i="27" s="1"/>
  <c r="J334" i="27" s="1"/>
  <c r="J335" i="27" s="1"/>
  <c r="J336" i="27" s="1"/>
  <c r="J337" i="27" s="1"/>
  <c r="J338" i="27" s="1"/>
  <c r="J339" i="27" s="1"/>
  <c r="J340" i="27" s="1"/>
  <c r="J341" i="27" s="1"/>
  <c r="J342" i="27" s="1"/>
  <c r="J343" i="27" s="1"/>
  <c r="J344" i="27" s="1"/>
  <c r="J345" i="27" s="1"/>
  <c r="J346" i="27" s="1"/>
  <c r="J347" i="27" s="1"/>
  <c r="J348" i="27" s="1"/>
  <c r="J349" i="27" s="1"/>
  <c r="J350" i="27" s="1"/>
  <c r="J351" i="27" s="1"/>
  <c r="J352" i="27" s="1"/>
  <c r="J353" i="27" s="1"/>
  <c r="J354" i="27" s="1"/>
  <c r="J355" i="27" s="1"/>
  <c r="J356" i="27" s="1"/>
  <c r="J357" i="27" s="1"/>
  <c r="J358" i="27" s="1"/>
  <c r="J359" i="27" s="1"/>
  <c r="J360" i="27" s="1"/>
  <c r="J361" i="27" s="1"/>
  <c r="J362" i="27" s="1"/>
  <c r="J363" i="27" s="1"/>
  <c r="J364" i="27" s="1"/>
  <c r="J365" i="27" s="1"/>
  <c r="J366" i="27" s="1"/>
  <c r="J367" i="27" s="1"/>
  <c r="J368" i="27" s="1"/>
  <c r="J369" i="27" s="1"/>
  <c r="J370" i="27" s="1"/>
  <c r="J371" i="27" s="1"/>
  <c r="J372" i="27" s="1"/>
  <c r="J373" i="27" s="1"/>
  <c r="J374" i="27" s="1"/>
  <c r="J375" i="27" s="1"/>
  <c r="J376" i="27" s="1"/>
  <c r="J377" i="27" s="1"/>
  <c r="J378" i="27" s="1"/>
  <c r="J379" i="27" s="1"/>
  <c r="J380" i="27" s="1"/>
  <c r="J381" i="27" s="1"/>
  <c r="J382" i="27" s="1"/>
  <c r="J383" i="27" s="1"/>
  <c r="J384" i="27" s="1"/>
  <c r="J385" i="27" s="1"/>
  <c r="J386" i="27" s="1"/>
  <c r="J387" i="27" s="1"/>
  <c r="J388" i="27" s="1"/>
  <c r="J389" i="27" s="1"/>
  <c r="J390" i="27" s="1"/>
  <c r="J391" i="27" s="1"/>
  <c r="J392" i="27" s="1"/>
  <c r="J393" i="27" s="1"/>
  <c r="J394" i="27" s="1"/>
  <c r="J395" i="27" s="1"/>
  <c r="J396" i="27" s="1"/>
  <c r="J397" i="27" s="1"/>
  <c r="J398" i="27" s="1"/>
  <c r="J399" i="27" s="1"/>
  <c r="J400" i="27" s="1"/>
  <c r="J401" i="27" s="1"/>
  <c r="J402" i="27" s="1"/>
  <c r="J403" i="27" s="1"/>
  <c r="J404" i="27" s="1"/>
  <c r="J405" i="27" s="1"/>
  <c r="J406" i="27" s="1"/>
  <c r="J407" i="27" s="1"/>
  <c r="J408" i="27" s="1"/>
  <c r="J409" i="27" s="1"/>
  <c r="J410" i="27" s="1"/>
  <c r="J411" i="27" s="1"/>
  <c r="J412" i="27" s="1"/>
  <c r="J413" i="27" s="1"/>
  <c r="J414" i="27" s="1"/>
  <c r="J415" i="27" s="1"/>
  <c r="J416" i="27" s="1"/>
  <c r="J417" i="27" s="1"/>
  <c r="J418" i="27" s="1"/>
  <c r="J419" i="27" s="1"/>
  <c r="J420" i="27" s="1"/>
  <c r="J421" i="27" s="1"/>
  <c r="J422" i="27" s="1"/>
  <c r="J423" i="27" s="1"/>
  <c r="J424" i="27" s="1"/>
  <c r="J425" i="27" s="1"/>
  <c r="J426" i="27" s="1"/>
  <c r="J427" i="27" s="1"/>
  <c r="J428" i="27" s="1"/>
  <c r="J429" i="27" s="1"/>
  <c r="J430" i="27" s="1"/>
  <c r="J431" i="27" s="1"/>
  <c r="J432" i="27" s="1"/>
  <c r="J433" i="27" s="1"/>
  <c r="J434" i="27" s="1"/>
  <c r="J435" i="27" s="1"/>
  <c r="J436" i="27" s="1"/>
  <c r="J437" i="27" s="1"/>
  <c r="J438" i="27" s="1"/>
  <c r="J439" i="27" s="1"/>
  <c r="J440" i="27" s="1"/>
  <c r="J441" i="27" s="1"/>
  <c r="J442" i="27" s="1"/>
  <c r="J443" i="27" s="1"/>
  <c r="J444" i="27" s="1"/>
  <c r="J445" i="27" s="1"/>
  <c r="J446" i="27" s="1"/>
  <c r="J447" i="27" s="1"/>
  <c r="J448" i="27" s="1"/>
  <c r="J449" i="27" s="1"/>
  <c r="J450" i="27" s="1"/>
  <c r="J451" i="27" s="1"/>
  <c r="J452" i="27" s="1"/>
  <c r="J453" i="27" s="1"/>
  <c r="J454" i="27" s="1"/>
  <c r="J455" i="27" s="1"/>
  <c r="J456" i="27" s="1"/>
  <c r="J457" i="27" s="1"/>
  <c r="J458" i="27" s="1"/>
  <c r="J459" i="27" s="1"/>
  <c r="J460" i="27" s="1"/>
  <c r="J461" i="27" s="1"/>
  <c r="J462" i="27" s="1"/>
  <c r="J463" i="27" s="1"/>
  <c r="J464" i="27" s="1"/>
  <c r="J465" i="27" s="1"/>
  <c r="J466" i="27" s="1"/>
  <c r="J467" i="27" s="1"/>
  <c r="J468" i="27" s="1"/>
  <c r="J469" i="27" s="1"/>
  <c r="J470" i="27" s="1"/>
  <c r="J471" i="27" s="1"/>
  <c r="J472" i="27" s="1"/>
  <c r="J473" i="27" s="1"/>
  <c r="J474" i="27" s="1"/>
  <c r="J475" i="27" s="1"/>
  <c r="J476" i="27" s="1"/>
  <c r="J477" i="27" s="1"/>
  <c r="J478" i="27" s="1"/>
  <c r="J479" i="27" s="1"/>
  <c r="J480" i="27" s="1"/>
  <c r="J481" i="27" s="1"/>
  <c r="J482" i="27" s="1"/>
  <c r="J483" i="27" s="1"/>
  <c r="J484" i="27" s="1"/>
  <c r="J485" i="27" s="1"/>
  <c r="J486" i="27" s="1"/>
  <c r="J487" i="27" s="1"/>
  <c r="J488" i="27" s="1"/>
  <c r="J489" i="27" s="1"/>
  <c r="J490" i="27" s="1"/>
  <c r="J491" i="27" s="1"/>
  <c r="J492" i="27" s="1"/>
  <c r="J493" i="27" s="1"/>
  <c r="J494" i="27" s="1"/>
  <c r="J495" i="27" s="1"/>
  <c r="J496" i="27" s="1"/>
  <c r="J497" i="27" s="1"/>
  <c r="J498" i="27" s="1"/>
  <c r="J499" i="27" s="1"/>
  <c r="J500" i="27" s="1"/>
  <c r="J501" i="27" s="1"/>
  <c r="J502" i="27" s="1"/>
  <c r="J503" i="27" s="1"/>
  <c r="J504" i="27" s="1"/>
  <c r="J505" i="27" s="1"/>
  <c r="J506" i="27" s="1"/>
  <c r="J507" i="27" s="1"/>
  <c r="J508" i="27" s="1"/>
  <c r="J509" i="27" s="1"/>
  <c r="J510" i="27" s="1"/>
  <c r="J511" i="27" s="1"/>
  <c r="J512" i="27" s="1"/>
  <c r="J513" i="27" s="1"/>
  <c r="J514" i="27" s="1"/>
  <c r="J515" i="27" s="1"/>
  <c r="J516" i="27" s="1"/>
  <c r="J517" i="27" s="1"/>
  <c r="J518" i="27" s="1"/>
  <c r="J519" i="27" s="1"/>
  <c r="J520" i="27" s="1"/>
  <c r="J521" i="27" s="1"/>
  <c r="J522" i="27" s="1"/>
  <c r="J523" i="27" s="1"/>
  <c r="J524" i="27" s="1"/>
  <c r="J525" i="27" s="1"/>
  <c r="J526" i="27" s="1"/>
  <c r="J527" i="27" s="1"/>
  <c r="J528" i="27" s="1"/>
  <c r="J529" i="27" s="1"/>
  <c r="J530" i="27" s="1"/>
  <c r="J531" i="27" s="1"/>
  <c r="J532" i="27" s="1"/>
  <c r="J533" i="27" s="1"/>
  <c r="J534" i="27" s="1"/>
  <c r="J535" i="27" s="1"/>
  <c r="J536" i="27" s="1"/>
  <c r="J537" i="27" s="1"/>
  <c r="J538" i="27" s="1"/>
  <c r="J539" i="27" s="1"/>
  <c r="J540" i="27" s="1"/>
  <c r="J541" i="27" s="1"/>
  <c r="J542" i="27" s="1"/>
  <c r="J543" i="27" s="1"/>
  <c r="J544" i="27" s="1"/>
  <c r="J545" i="27" s="1"/>
  <c r="J546" i="27" s="1"/>
  <c r="J547" i="27" s="1"/>
  <c r="J548" i="27" s="1"/>
  <c r="J549" i="27" s="1"/>
  <c r="J550" i="27" s="1"/>
  <c r="J551" i="27" s="1"/>
  <c r="J552" i="27" s="1"/>
  <c r="J553" i="27" s="1"/>
  <c r="J554" i="27" s="1"/>
  <c r="J555" i="27" s="1"/>
  <c r="J556" i="27" s="1"/>
  <c r="J557" i="27" s="1"/>
  <c r="J558" i="27" s="1"/>
  <c r="J559" i="27" s="1"/>
  <c r="J560" i="27" s="1"/>
  <c r="J561" i="27" s="1"/>
  <c r="J562" i="27" s="1"/>
  <c r="J563" i="27" s="1"/>
  <c r="J564" i="27" s="1"/>
  <c r="J565" i="27" s="1"/>
  <c r="J566" i="27" s="1"/>
  <c r="J567" i="27" s="1"/>
  <c r="J568" i="27" s="1"/>
  <c r="J569" i="27" s="1"/>
  <c r="J570" i="27" s="1"/>
  <c r="J571" i="27" s="1"/>
  <c r="J572" i="27" s="1"/>
  <c r="J573" i="27" s="1"/>
  <c r="J574" i="27" s="1"/>
  <c r="J575" i="27" s="1"/>
  <c r="J576" i="27" s="1"/>
  <c r="J577" i="27" s="1"/>
  <c r="J578" i="27" s="1"/>
  <c r="J579" i="27" s="1"/>
  <c r="J580" i="27" s="1"/>
  <c r="J581" i="27" s="1"/>
  <c r="J582" i="27" s="1"/>
  <c r="J583" i="27" s="1"/>
  <c r="J584" i="27" s="1"/>
  <c r="J585" i="27" s="1"/>
  <c r="J586" i="27" s="1"/>
  <c r="J587" i="27" s="1"/>
  <c r="J588" i="27" s="1"/>
  <c r="J589" i="27" s="1"/>
  <c r="J590" i="27" s="1"/>
  <c r="J591" i="27" s="1"/>
  <c r="J592" i="27" s="1"/>
  <c r="J593" i="27" s="1"/>
  <c r="J594" i="27" s="1"/>
  <c r="J595" i="27" s="1"/>
  <c r="J596" i="27" s="1"/>
  <c r="J597" i="27" s="1"/>
  <c r="J598" i="27" s="1"/>
  <c r="J599" i="27" s="1"/>
  <c r="J600" i="27" s="1"/>
  <c r="J601" i="27" s="1"/>
  <c r="J602" i="27" s="1"/>
  <c r="J603" i="27" s="1"/>
  <c r="J604" i="27" s="1"/>
  <c r="J605" i="27" s="1"/>
  <c r="J606" i="27" s="1"/>
  <c r="J607" i="27" s="1"/>
  <c r="J608" i="27" s="1"/>
  <c r="J609" i="27" s="1"/>
  <c r="J610" i="27" s="1"/>
  <c r="J611" i="27" s="1"/>
  <c r="J612" i="27" s="1"/>
  <c r="J613" i="27" s="1"/>
  <c r="J614" i="27" s="1"/>
  <c r="J615" i="27" s="1"/>
  <c r="J616" i="27" s="1"/>
  <c r="J617" i="27" s="1"/>
  <c r="J618" i="27" s="1"/>
  <c r="J619" i="27" s="1"/>
  <c r="J620" i="27" s="1"/>
  <c r="J621" i="27" s="1"/>
  <c r="J622" i="27" s="1"/>
  <c r="J623" i="27" s="1"/>
  <c r="J624" i="27" s="1"/>
  <c r="J625" i="27" s="1"/>
  <c r="J626" i="27" s="1"/>
  <c r="J627" i="27" s="1"/>
  <c r="J628" i="27" s="1"/>
  <c r="J629" i="27" s="1"/>
  <c r="J630" i="27" s="1"/>
  <c r="J631" i="27" s="1"/>
  <c r="J632" i="27" s="1"/>
  <c r="J633" i="27" s="1"/>
  <c r="J634" i="27" s="1"/>
  <c r="J635" i="27" s="1"/>
  <c r="J636" i="27" s="1"/>
  <c r="J637" i="27" s="1"/>
  <c r="J638" i="27" s="1"/>
  <c r="J639" i="27" s="1"/>
  <c r="J640" i="27" s="1"/>
  <c r="J641" i="27" s="1"/>
  <c r="J642" i="27" s="1"/>
  <c r="J643" i="27" s="1"/>
  <c r="J644" i="27" s="1"/>
  <c r="J645" i="27" s="1"/>
  <c r="J646" i="27" s="1"/>
  <c r="J647" i="27" s="1"/>
  <c r="J648" i="27" s="1"/>
  <c r="J649" i="27" s="1"/>
  <c r="J650" i="27" s="1"/>
  <c r="J651" i="27" s="1"/>
  <c r="J652" i="27" s="1"/>
  <c r="J653" i="27" s="1"/>
  <c r="J654" i="27" s="1"/>
  <c r="J655" i="27" s="1"/>
  <c r="J656" i="27" s="1"/>
  <c r="J657" i="27" s="1"/>
  <c r="J658" i="27" s="1"/>
  <c r="J659" i="27" s="1"/>
  <c r="J660" i="27" s="1"/>
  <c r="J661" i="27" s="1"/>
  <c r="J662" i="27" s="1"/>
  <c r="J663" i="27" s="1"/>
  <c r="J664" i="27" s="1"/>
  <c r="J665" i="27" s="1"/>
  <c r="J666" i="27" s="1"/>
  <c r="J667" i="27" s="1"/>
  <c r="J668" i="27" s="1"/>
  <c r="J669" i="27" s="1"/>
  <c r="J670" i="27" s="1"/>
  <c r="J671" i="27" s="1"/>
  <c r="J672" i="27" s="1"/>
  <c r="J673" i="27" s="1"/>
  <c r="J674" i="27" s="1"/>
  <c r="J675" i="27" s="1"/>
  <c r="J676" i="27" s="1"/>
  <c r="J677" i="27" s="1"/>
  <c r="J678" i="27" s="1"/>
  <c r="J679" i="27" s="1"/>
  <c r="J680" i="27" s="1"/>
  <c r="J681" i="27" s="1"/>
  <c r="J682" i="27" s="1"/>
  <c r="J683" i="27" s="1"/>
  <c r="J684" i="27" s="1"/>
  <c r="J685" i="27" s="1"/>
  <c r="J686" i="27" s="1"/>
  <c r="J687" i="27" s="1"/>
  <c r="J688" i="27" s="1"/>
  <c r="J689" i="27" s="1"/>
  <c r="J690" i="27" s="1"/>
  <c r="J691" i="27" s="1"/>
  <c r="J692" i="27" s="1"/>
  <c r="J693" i="27" s="1"/>
  <c r="J694" i="27" s="1"/>
  <c r="J695" i="27" s="1"/>
  <c r="J696" i="27" s="1"/>
  <c r="J697" i="27" s="1"/>
  <c r="J698" i="27" s="1"/>
  <c r="J699" i="27" s="1"/>
  <c r="J700" i="27" s="1"/>
  <c r="J701" i="27" s="1"/>
  <c r="J702" i="27" s="1"/>
  <c r="J703" i="27" s="1"/>
  <c r="J704" i="27" s="1"/>
  <c r="J705" i="27" s="1"/>
  <c r="J706" i="27" s="1"/>
  <c r="J707" i="27" s="1"/>
  <c r="J708" i="27" s="1"/>
  <c r="J709" i="27" s="1"/>
  <c r="J710" i="27" s="1"/>
  <c r="J711" i="27" s="1"/>
  <c r="J712" i="27" s="1"/>
  <c r="J713" i="27" s="1"/>
  <c r="J714" i="27" s="1"/>
  <c r="J715" i="27" s="1"/>
  <c r="J716" i="27" s="1"/>
  <c r="J717" i="27" s="1"/>
  <c r="J718" i="27" s="1"/>
  <c r="J719" i="27" s="1"/>
  <c r="J720" i="27" s="1"/>
  <c r="J721" i="27" s="1"/>
  <c r="J722" i="27" s="1"/>
  <c r="J723" i="27" s="1"/>
  <c r="J724" i="27" s="1"/>
  <c r="J725" i="27" s="1"/>
  <c r="J726" i="27" s="1"/>
  <c r="J727" i="27" s="1"/>
  <c r="J728" i="27" s="1"/>
  <c r="I10" i="27"/>
  <c r="I11" i="27" s="1"/>
  <c r="I12" i="27" s="1"/>
  <c r="I13" i="27" s="1"/>
  <c r="I14" i="27" s="1"/>
  <c r="I15" i="27" s="1"/>
  <c r="I16" i="27" s="1"/>
  <c r="I17" i="27" s="1"/>
  <c r="I18" i="27" s="1"/>
  <c r="I19" i="27" s="1"/>
  <c r="H10" i="27"/>
  <c r="H11" i="27" s="1"/>
  <c r="H12" i="27" s="1"/>
  <c r="H13" i="27" s="1"/>
  <c r="H14" i="27" s="1"/>
  <c r="H15" i="27" s="1"/>
  <c r="H16" i="27" s="1"/>
  <c r="H17" i="27" s="1"/>
  <c r="H18" i="27" s="1"/>
  <c r="H19" i="27" s="1"/>
  <c r="H20" i="27" s="1"/>
  <c r="H21" i="27" s="1"/>
  <c r="H22" i="27" s="1"/>
  <c r="H23" i="27" s="1"/>
  <c r="H24" i="27" s="1"/>
  <c r="H25" i="27" s="1"/>
  <c r="H26" i="27" s="1"/>
  <c r="H27" i="27" s="1"/>
  <c r="H28" i="27" s="1"/>
  <c r="H29" i="27" s="1"/>
  <c r="H30" i="27" s="1"/>
  <c r="H31" i="27" s="1"/>
  <c r="H32" i="27" s="1"/>
  <c r="H33" i="27" s="1"/>
  <c r="H34" i="27" s="1"/>
  <c r="H35" i="27" s="1"/>
  <c r="H36" i="27" s="1"/>
  <c r="H37" i="27" s="1"/>
  <c r="H38" i="27" s="1"/>
  <c r="H39" i="27" s="1"/>
  <c r="H40" i="27" s="1"/>
  <c r="H41" i="27" s="1"/>
  <c r="H42" i="27" s="1"/>
  <c r="H43" i="27" s="1"/>
  <c r="H44" i="27" s="1"/>
  <c r="H45" i="27" s="1"/>
  <c r="H46" i="27" s="1"/>
  <c r="H47" i="27" s="1"/>
  <c r="H48" i="27" s="1"/>
  <c r="H49" i="27" s="1"/>
  <c r="H50" i="27" s="1"/>
  <c r="H51" i="27" s="1"/>
  <c r="H52" i="27" s="1"/>
  <c r="H53" i="27" s="1"/>
  <c r="H54" i="27" s="1"/>
  <c r="H55" i="27" s="1"/>
  <c r="H56" i="27" s="1"/>
  <c r="H57" i="27" s="1"/>
  <c r="H58" i="27" s="1"/>
  <c r="H59" i="27" s="1"/>
  <c r="H60" i="27" s="1"/>
  <c r="H61" i="27" s="1"/>
  <c r="H62" i="27" s="1"/>
  <c r="H63" i="27" s="1"/>
  <c r="H64" i="27" s="1"/>
  <c r="H65" i="27" s="1"/>
  <c r="H66" i="27" s="1"/>
  <c r="H67" i="27" s="1"/>
  <c r="H68" i="27" s="1"/>
  <c r="H69" i="27" s="1"/>
  <c r="H70" i="27" s="1"/>
  <c r="H71" i="27" s="1"/>
  <c r="H72" i="27" s="1"/>
  <c r="H73" i="27" s="1"/>
  <c r="H74" i="27" s="1"/>
  <c r="H75" i="27" s="1"/>
  <c r="H76" i="27" s="1"/>
  <c r="H77" i="27" s="1"/>
  <c r="H78" i="27" s="1"/>
  <c r="H79" i="27" s="1"/>
  <c r="H80" i="27" s="1"/>
  <c r="H81" i="27" s="1"/>
  <c r="H82" i="27" s="1"/>
  <c r="H83" i="27" s="1"/>
  <c r="H84" i="27" s="1"/>
  <c r="H85" i="27" s="1"/>
  <c r="H86" i="27" s="1"/>
  <c r="H87" i="27" s="1"/>
  <c r="H88" i="27" s="1"/>
  <c r="H89" i="27" s="1"/>
  <c r="H90" i="27" s="1"/>
  <c r="H91" i="27" s="1"/>
  <c r="H92" i="27" s="1"/>
  <c r="H93" i="27" s="1"/>
  <c r="H94" i="27" s="1"/>
  <c r="H95" i="27" s="1"/>
  <c r="H96" i="27" s="1"/>
  <c r="H97" i="27" s="1"/>
  <c r="H98" i="27" s="1"/>
  <c r="H99" i="27" s="1"/>
  <c r="H100" i="27" s="1"/>
  <c r="H101" i="27" s="1"/>
  <c r="H102" i="27" s="1"/>
  <c r="H103" i="27" s="1"/>
  <c r="H104" i="27" s="1"/>
  <c r="H105" i="27" s="1"/>
  <c r="H106" i="27" s="1"/>
  <c r="H107" i="27" s="1"/>
  <c r="H108" i="27" s="1"/>
  <c r="H109" i="27" s="1"/>
  <c r="H110" i="27" s="1"/>
  <c r="H111" i="27" s="1"/>
  <c r="H112" i="27" s="1"/>
  <c r="H113" i="27" s="1"/>
  <c r="H114" i="27" s="1"/>
  <c r="H115" i="27" s="1"/>
  <c r="H116" i="27" s="1"/>
  <c r="H117" i="27" s="1"/>
  <c r="H118" i="27" s="1"/>
  <c r="H119" i="27" s="1"/>
  <c r="H120" i="27" s="1"/>
  <c r="H121" i="27" s="1"/>
  <c r="H122" i="27" s="1"/>
  <c r="H123" i="27" s="1"/>
  <c r="H124" i="27" s="1"/>
  <c r="H125" i="27" s="1"/>
  <c r="H126" i="27" s="1"/>
  <c r="H127" i="27" s="1"/>
  <c r="H128" i="27" s="1"/>
  <c r="H129" i="27" s="1"/>
  <c r="H130" i="27" s="1"/>
  <c r="H131" i="27" s="1"/>
  <c r="H132" i="27" s="1"/>
  <c r="H133" i="27" s="1"/>
  <c r="H134" i="27" s="1"/>
  <c r="H135" i="27" s="1"/>
  <c r="H136" i="27" s="1"/>
  <c r="H137" i="27" s="1"/>
  <c r="H138" i="27" s="1"/>
  <c r="H139" i="27" s="1"/>
  <c r="H140" i="27" s="1"/>
  <c r="H141" i="27" s="1"/>
  <c r="H142" i="27" s="1"/>
  <c r="H143" i="27" s="1"/>
  <c r="H144" i="27" s="1"/>
  <c r="H145" i="27" s="1"/>
  <c r="H146" i="27" s="1"/>
  <c r="H147" i="27" s="1"/>
  <c r="H148" i="27" s="1"/>
  <c r="H149" i="27" s="1"/>
  <c r="H150" i="27" s="1"/>
  <c r="H151" i="27" s="1"/>
  <c r="H152" i="27" s="1"/>
  <c r="H153" i="27" s="1"/>
  <c r="H154" i="27" s="1"/>
  <c r="H155" i="27" s="1"/>
  <c r="H156" i="27" s="1"/>
  <c r="H157" i="27" s="1"/>
  <c r="H158" i="27" s="1"/>
  <c r="H159" i="27" s="1"/>
  <c r="H160" i="27" s="1"/>
  <c r="H161" i="27" s="1"/>
  <c r="H162" i="27" s="1"/>
  <c r="H163" i="27" s="1"/>
  <c r="H164" i="27" s="1"/>
  <c r="H165" i="27" s="1"/>
  <c r="H166" i="27" s="1"/>
  <c r="H167" i="27" s="1"/>
  <c r="H168" i="27" s="1"/>
  <c r="H169" i="27" s="1"/>
  <c r="H170" i="27" s="1"/>
  <c r="H171" i="27" s="1"/>
  <c r="H172" i="27" s="1"/>
  <c r="H173" i="27" s="1"/>
  <c r="H174" i="27" s="1"/>
  <c r="H175" i="27" s="1"/>
  <c r="H176" i="27" s="1"/>
  <c r="H177" i="27" s="1"/>
  <c r="H178" i="27" s="1"/>
  <c r="H179" i="27" s="1"/>
  <c r="H180" i="27" s="1"/>
  <c r="H181" i="27" s="1"/>
  <c r="H182" i="27" s="1"/>
  <c r="H183" i="27" s="1"/>
  <c r="H184" i="27" s="1"/>
  <c r="H185" i="27" s="1"/>
  <c r="H186" i="27" s="1"/>
  <c r="H187" i="27" s="1"/>
  <c r="H188" i="27" s="1"/>
  <c r="H189" i="27" s="1"/>
  <c r="H190" i="27" s="1"/>
  <c r="H191" i="27" s="1"/>
  <c r="H192" i="27" s="1"/>
  <c r="H193" i="27" s="1"/>
  <c r="H194" i="27" s="1"/>
  <c r="H195" i="27" s="1"/>
  <c r="H196" i="27" s="1"/>
  <c r="H197" i="27" s="1"/>
  <c r="H198" i="27" s="1"/>
  <c r="H199" i="27" s="1"/>
  <c r="H200" i="27" s="1"/>
  <c r="H201" i="27" s="1"/>
  <c r="H202" i="27" s="1"/>
  <c r="H203" i="27" s="1"/>
  <c r="H204" i="27" s="1"/>
  <c r="H205" i="27" s="1"/>
  <c r="H206" i="27" s="1"/>
  <c r="H207" i="27" s="1"/>
  <c r="H208" i="27" s="1"/>
  <c r="H209" i="27" s="1"/>
  <c r="H210" i="27" s="1"/>
  <c r="H211" i="27" s="1"/>
  <c r="H212" i="27" s="1"/>
  <c r="H213" i="27" s="1"/>
  <c r="H214" i="27" s="1"/>
  <c r="H215" i="27" s="1"/>
  <c r="H216" i="27" s="1"/>
  <c r="H217" i="27" s="1"/>
  <c r="H218" i="27" s="1"/>
  <c r="H219" i="27" s="1"/>
  <c r="H220" i="27" s="1"/>
  <c r="H221" i="27" s="1"/>
  <c r="H222" i="27" s="1"/>
  <c r="H223" i="27" s="1"/>
  <c r="H224" i="27" s="1"/>
  <c r="H225" i="27" s="1"/>
  <c r="H226" i="27" s="1"/>
  <c r="H227" i="27" s="1"/>
  <c r="H228" i="27" s="1"/>
  <c r="H229" i="27" s="1"/>
  <c r="H230" i="27" s="1"/>
  <c r="H231" i="27" s="1"/>
  <c r="H232" i="27" s="1"/>
  <c r="H233" i="27" s="1"/>
  <c r="H234" i="27" s="1"/>
  <c r="H235" i="27" s="1"/>
  <c r="H236" i="27" s="1"/>
  <c r="H237" i="27" s="1"/>
  <c r="H238" i="27" s="1"/>
  <c r="H239" i="27" s="1"/>
  <c r="H240" i="27" s="1"/>
  <c r="H241" i="27" s="1"/>
  <c r="H242" i="27" s="1"/>
  <c r="H243" i="27" s="1"/>
  <c r="H244" i="27" s="1"/>
  <c r="H245" i="27" s="1"/>
  <c r="H246" i="27" s="1"/>
  <c r="H247" i="27" s="1"/>
  <c r="H248" i="27" s="1"/>
  <c r="H249" i="27" s="1"/>
  <c r="H250" i="27" s="1"/>
  <c r="H251" i="27" s="1"/>
  <c r="H252" i="27" s="1"/>
  <c r="H253" i="27" s="1"/>
  <c r="H254" i="27" s="1"/>
  <c r="H255" i="27" s="1"/>
  <c r="H256" i="27" s="1"/>
  <c r="H257" i="27" s="1"/>
  <c r="H258" i="27" s="1"/>
  <c r="H259" i="27" s="1"/>
  <c r="H260" i="27" s="1"/>
  <c r="H261" i="27" s="1"/>
  <c r="H262" i="27" s="1"/>
  <c r="H263" i="27" s="1"/>
  <c r="H264" i="27" s="1"/>
  <c r="H265" i="27" s="1"/>
  <c r="H266" i="27" s="1"/>
  <c r="H267" i="27" s="1"/>
  <c r="H268" i="27" s="1"/>
  <c r="H269" i="27" s="1"/>
  <c r="H270" i="27" s="1"/>
  <c r="H271" i="27" s="1"/>
  <c r="H272" i="27" s="1"/>
  <c r="H273" i="27" s="1"/>
  <c r="H274" i="27" s="1"/>
  <c r="H275" i="27" s="1"/>
  <c r="H276" i="27" s="1"/>
  <c r="H277" i="27" s="1"/>
  <c r="H278" i="27" s="1"/>
  <c r="H279" i="27" s="1"/>
  <c r="H280" i="27" s="1"/>
  <c r="H281" i="27" s="1"/>
  <c r="H282" i="27" s="1"/>
  <c r="H283" i="27" s="1"/>
  <c r="H284" i="27" s="1"/>
  <c r="H285" i="27" s="1"/>
  <c r="H286" i="27" s="1"/>
  <c r="H287" i="27" s="1"/>
  <c r="H288" i="27" s="1"/>
  <c r="H289" i="27" s="1"/>
  <c r="H290" i="27" s="1"/>
  <c r="H291" i="27" s="1"/>
  <c r="H292" i="27" s="1"/>
  <c r="H293" i="27" s="1"/>
  <c r="H294" i="27" s="1"/>
  <c r="H295" i="27" s="1"/>
  <c r="H296" i="27" s="1"/>
  <c r="H297" i="27" s="1"/>
  <c r="H298" i="27" s="1"/>
  <c r="H299" i="27" s="1"/>
  <c r="H300" i="27" s="1"/>
  <c r="H301" i="27" s="1"/>
  <c r="H302" i="27" s="1"/>
  <c r="H303" i="27" s="1"/>
  <c r="H304" i="27" s="1"/>
  <c r="H305" i="27" s="1"/>
  <c r="H306" i="27" s="1"/>
  <c r="H307" i="27" s="1"/>
  <c r="H308" i="27" s="1"/>
  <c r="H309" i="27" s="1"/>
  <c r="H310" i="27" s="1"/>
  <c r="H311" i="27" s="1"/>
  <c r="H312" i="27" s="1"/>
  <c r="H313" i="27" s="1"/>
  <c r="H314" i="27" s="1"/>
  <c r="H315" i="27" s="1"/>
  <c r="H316" i="27" s="1"/>
  <c r="H317" i="27" s="1"/>
  <c r="H318" i="27" s="1"/>
  <c r="H319" i="27" s="1"/>
  <c r="H320" i="27" s="1"/>
  <c r="H321" i="27" s="1"/>
  <c r="H322" i="27" s="1"/>
  <c r="H323" i="27" s="1"/>
  <c r="H324" i="27" s="1"/>
  <c r="H325" i="27" s="1"/>
  <c r="H326" i="27" s="1"/>
  <c r="H327" i="27" s="1"/>
  <c r="H328" i="27" s="1"/>
  <c r="H329" i="27" s="1"/>
  <c r="H330" i="27" s="1"/>
  <c r="H331" i="27" s="1"/>
  <c r="H332" i="27" s="1"/>
  <c r="H333" i="27" s="1"/>
  <c r="H334" i="27" s="1"/>
  <c r="H335" i="27" s="1"/>
  <c r="H336" i="27" s="1"/>
  <c r="H337" i="27" s="1"/>
  <c r="H338" i="27" s="1"/>
  <c r="H339" i="27" s="1"/>
  <c r="H340" i="27" s="1"/>
  <c r="H341" i="27" s="1"/>
  <c r="H342" i="27" s="1"/>
  <c r="H343" i="27" s="1"/>
  <c r="H344" i="27" s="1"/>
  <c r="H345" i="27" s="1"/>
  <c r="H346" i="27" s="1"/>
  <c r="H347" i="27" s="1"/>
  <c r="H348" i="27" s="1"/>
  <c r="H349" i="27" s="1"/>
  <c r="H350" i="27" s="1"/>
  <c r="H351" i="27" s="1"/>
  <c r="H352" i="27" s="1"/>
  <c r="H353" i="27" s="1"/>
  <c r="H354" i="27" s="1"/>
  <c r="H355" i="27" s="1"/>
  <c r="H356" i="27" s="1"/>
  <c r="H357" i="27" s="1"/>
  <c r="H358" i="27" s="1"/>
  <c r="H359" i="27" s="1"/>
  <c r="H360" i="27" s="1"/>
  <c r="H361" i="27" s="1"/>
  <c r="H362" i="27" s="1"/>
  <c r="H363" i="27" s="1"/>
  <c r="H364" i="27" s="1"/>
  <c r="H365" i="27" s="1"/>
  <c r="H366" i="27" s="1"/>
  <c r="H367" i="27" s="1"/>
  <c r="H368" i="27" s="1"/>
  <c r="H369" i="27" s="1"/>
  <c r="H370" i="27" s="1"/>
  <c r="H371" i="27" s="1"/>
  <c r="H372" i="27" s="1"/>
  <c r="H373" i="27" s="1"/>
  <c r="H374" i="27" s="1"/>
  <c r="H375" i="27" s="1"/>
  <c r="H376" i="27" s="1"/>
  <c r="H377" i="27" s="1"/>
  <c r="H378" i="27" s="1"/>
  <c r="H379" i="27" s="1"/>
  <c r="H380" i="27" s="1"/>
  <c r="H381" i="27" s="1"/>
  <c r="H382" i="27" s="1"/>
  <c r="H383" i="27" s="1"/>
  <c r="H384" i="27" s="1"/>
  <c r="H385" i="27" s="1"/>
  <c r="H386" i="27" s="1"/>
  <c r="H387" i="27" s="1"/>
  <c r="H388" i="27" s="1"/>
  <c r="H389" i="27" s="1"/>
  <c r="H390" i="27" s="1"/>
  <c r="H391" i="27" s="1"/>
  <c r="H392" i="27" s="1"/>
  <c r="H393" i="27" s="1"/>
  <c r="H394" i="27" s="1"/>
  <c r="H395" i="27" s="1"/>
  <c r="H396" i="27" s="1"/>
  <c r="H397" i="27" s="1"/>
  <c r="H398" i="27" s="1"/>
  <c r="H399" i="27" s="1"/>
  <c r="H400" i="27" s="1"/>
  <c r="H401" i="27" s="1"/>
  <c r="H402" i="27" s="1"/>
  <c r="H403" i="27" s="1"/>
  <c r="H404" i="27" s="1"/>
  <c r="H405" i="27" s="1"/>
  <c r="H406" i="27" s="1"/>
  <c r="H407" i="27" s="1"/>
  <c r="H408" i="27" s="1"/>
  <c r="H409" i="27" s="1"/>
  <c r="H410" i="27" s="1"/>
  <c r="H411" i="27" s="1"/>
  <c r="H412" i="27" s="1"/>
  <c r="H413" i="27" s="1"/>
  <c r="H414" i="27" s="1"/>
  <c r="H415" i="27" s="1"/>
  <c r="H416" i="27" s="1"/>
  <c r="H417" i="27" s="1"/>
  <c r="H418" i="27" s="1"/>
  <c r="H419" i="27" s="1"/>
  <c r="H420" i="27" s="1"/>
  <c r="H421" i="27" s="1"/>
  <c r="H422" i="27" s="1"/>
  <c r="H423" i="27" s="1"/>
  <c r="H424" i="27" s="1"/>
  <c r="H425" i="27" s="1"/>
  <c r="H426" i="27" s="1"/>
  <c r="H427" i="27" s="1"/>
  <c r="H428" i="27" s="1"/>
  <c r="H429" i="27" s="1"/>
  <c r="H430" i="27" s="1"/>
  <c r="H431" i="27" s="1"/>
  <c r="H432" i="27" s="1"/>
  <c r="H433" i="27" s="1"/>
  <c r="H434" i="27" s="1"/>
  <c r="H435" i="27" s="1"/>
  <c r="H436" i="27" s="1"/>
  <c r="H437" i="27" s="1"/>
  <c r="H438" i="27" s="1"/>
  <c r="H439" i="27" s="1"/>
  <c r="H440" i="27" s="1"/>
  <c r="H441" i="27" s="1"/>
  <c r="H442" i="27" s="1"/>
  <c r="H443" i="27" s="1"/>
  <c r="H444" i="27" s="1"/>
  <c r="H445" i="27" s="1"/>
  <c r="H446" i="27" s="1"/>
  <c r="H447" i="27" s="1"/>
  <c r="H448" i="27" s="1"/>
  <c r="H449" i="27" s="1"/>
  <c r="H450" i="27" s="1"/>
  <c r="H451" i="27" s="1"/>
  <c r="H452" i="27" s="1"/>
  <c r="H453" i="27" s="1"/>
  <c r="H454" i="27" s="1"/>
  <c r="H455" i="27" s="1"/>
  <c r="H456" i="27" s="1"/>
  <c r="H457" i="27" s="1"/>
  <c r="H458" i="27" s="1"/>
  <c r="H459" i="27" s="1"/>
  <c r="H460" i="27" s="1"/>
  <c r="H461" i="27" s="1"/>
  <c r="H462" i="27" s="1"/>
  <c r="H463" i="27" s="1"/>
  <c r="H464" i="27" s="1"/>
  <c r="H465" i="27" s="1"/>
  <c r="H466" i="27" s="1"/>
  <c r="H467" i="27" s="1"/>
  <c r="H468" i="27" s="1"/>
  <c r="H469" i="27" s="1"/>
  <c r="H470" i="27" s="1"/>
  <c r="H471" i="27" s="1"/>
  <c r="H472" i="27" s="1"/>
  <c r="H473" i="27" s="1"/>
  <c r="H474" i="27" s="1"/>
  <c r="H475" i="27" s="1"/>
  <c r="H476" i="27" s="1"/>
  <c r="H477" i="27" s="1"/>
  <c r="H478" i="27" s="1"/>
  <c r="H479" i="27" s="1"/>
  <c r="H480" i="27" s="1"/>
  <c r="H481" i="27" s="1"/>
  <c r="H482" i="27" s="1"/>
  <c r="H483" i="27" s="1"/>
  <c r="H484" i="27" s="1"/>
  <c r="H485" i="27" s="1"/>
  <c r="H486" i="27" s="1"/>
  <c r="H487" i="27" s="1"/>
  <c r="H488" i="27" s="1"/>
  <c r="H489" i="27" s="1"/>
  <c r="H490" i="27" s="1"/>
  <c r="H491" i="27" s="1"/>
  <c r="H492" i="27" s="1"/>
  <c r="H493" i="27" s="1"/>
  <c r="H494" i="27" s="1"/>
  <c r="H495" i="27" s="1"/>
  <c r="H496" i="27" s="1"/>
  <c r="H497" i="27" s="1"/>
  <c r="H498" i="27" s="1"/>
  <c r="H499" i="27" s="1"/>
  <c r="H500" i="27" s="1"/>
  <c r="H501" i="27" s="1"/>
  <c r="H502" i="27" s="1"/>
  <c r="H503" i="27" s="1"/>
  <c r="H504" i="27" s="1"/>
  <c r="H505" i="27" s="1"/>
  <c r="H506" i="27" s="1"/>
  <c r="H507" i="27" s="1"/>
  <c r="H508" i="27" s="1"/>
  <c r="H509" i="27" s="1"/>
  <c r="H510" i="27" s="1"/>
  <c r="H511" i="27" s="1"/>
  <c r="H512" i="27" s="1"/>
  <c r="H513" i="27" s="1"/>
  <c r="H514" i="27" s="1"/>
  <c r="H515" i="27" s="1"/>
  <c r="H516" i="27" s="1"/>
  <c r="H517" i="27" s="1"/>
  <c r="H518" i="27" s="1"/>
  <c r="H519" i="27" s="1"/>
  <c r="H520" i="27" s="1"/>
  <c r="H521" i="27" s="1"/>
  <c r="H522" i="27" s="1"/>
  <c r="H523" i="27" s="1"/>
  <c r="H524" i="27" s="1"/>
  <c r="H525" i="27" s="1"/>
  <c r="H526" i="27" s="1"/>
  <c r="H527" i="27" s="1"/>
  <c r="H528" i="27" s="1"/>
  <c r="H529" i="27" s="1"/>
  <c r="H530" i="27" s="1"/>
  <c r="H531" i="27" s="1"/>
  <c r="H532" i="27" s="1"/>
  <c r="H533" i="27" s="1"/>
  <c r="H534" i="27" s="1"/>
  <c r="H535" i="27" s="1"/>
  <c r="H536" i="27" s="1"/>
  <c r="H537" i="27" s="1"/>
  <c r="H538" i="27" s="1"/>
  <c r="H539" i="27" s="1"/>
  <c r="H540" i="27" s="1"/>
  <c r="H541" i="27" s="1"/>
  <c r="H542" i="27" s="1"/>
  <c r="H543" i="27" s="1"/>
  <c r="H544" i="27" s="1"/>
  <c r="H545" i="27" s="1"/>
  <c r="H546" i="27" s="1"/>
  <c r="H547" i="27" s="1"/>
  <c r="H548" i="27" s="1"/>
  <c r="H549" i="27" s="1"/>
  <c r="H550" i="27" s="1"/>
  <c r="H551" i="27" s="1"/>
  <c r="H552" i="27" s="1"/>
  <c r="H553" i="27" s="1"/>
  <c r="H554" i="27" s="1"/>
  <c r="H555" i="27" s="1"/>
  <c r="H556" i="27" s="1"/>
  <c r="H557" i="27" s="1"/>
  <c r="H558" i="27" s="1"/>
  <c r="H559" i="27" s="1"/>
  <c r="H560" i="27" s="1"/>
  <c r="H561" i="27" s="1"/>
  <c r="H562" i="27" s="1"/>
  <c r="H563" i="27" s="1"/>
  <c r="H564" i="27" s="1"/>
  <c r="H565" i="27" s="1"/>
  <c r="H566" i="27" s="1"/>
  <c r="H567" i="27" s="1"/>
  <c r="H568" i="27" s="1"/>
  <c r="H569" i="27" s="1"/>
  <c r="H570" i="27" s="1"/>
  <c r="H571" i="27" s="1"/>
  <c r="H572" i="27" s="1"/>
  <c r="H573" i="27" s="1"/>
  <c r="H574" i="27" s="1"/>
  <c r="H575" i="27" s="1"/>
  <c r="H576" i="27" s="1"/>
  <c r="H577" i="27" s="1"/>
  <c r="H578" i="27" s="1"/>
  <c r="H579" i="27" s="1"/>
  <c r="H580" i="27" s="1"/>
  <c r="H581" i="27" s="1"/>
  <c r="H582" i="27" s="1"/>
  <c r="H583" i="27" s="1"/>
  <c r="H584" i="27" s="1"/>
  <c r="H585" i="27" s="1"/>
  <c r="H586" i="27" s="1"/>
  <c r="H587" i="27" s="1"/>
  <c r="H588" i="27" s="1"/>
  <c r="H589" i="27" s="1"/>
  <c r="H590" i="27" s="1"/>
  <c r="H591" i="27" s="1"/>
  <c r="H592" i="27" s="1"/>
  <c r="H593" i="27" s="1"/>
  <c r="H594" i="27" s="1"/>
  <c r="H595" i="27" s="1"/>
  <c r="H596" i="27" s="1"/>
  <c r="H597" i="27" s="1"/>
  <c r="H598" i="27" s="1"/>
  <c r="H599" i="27" s="1"/>
  <c r="H600" i="27" s="1"/>
  <c r="H601" i="27" s="1"/>
  <c r="H602" i="27" s="1"/>
  <c r="H603" i="27" s="1"/>
  <c r="H604" i="27" s="1"/>
  <c r="H605" i="27" s="1"/>
  <c r="H606" i="27" s="1"/>
  <c r="H607" i="27" s="1"/>
  <c r="H608" i="27" s="1"/>
  <c r="H609" i="27" s="1"/>
  <c r="H610" i="27" s="1"/>
  <c r="H611" i="27" s="1"/>
  <c r="H612" i="27" s="1"/>
  <c r="H613" i="27" s="1"/>
  <c r="H614" i="27" s="1"/>
  <c r="H615" i="27" s="1"/>
  <c r="H616" i="27" s="1"/>
  <c r="H617" i="27" s="1"/>
  <c r="H618" i="27" s="1"/>
  <c r="H619" i="27" s="1"/>
  <c r="H620" i="27" s="1"/>
  <c r="H621" i="27" s="1"/>
  <c r="H622" i="27" s="1"/>
  <c r="H623" i="27" s="1"/>
  <c r="H624" i="27" s="1"/>
  <c r="H625" i="27" s="1"/>
  <c r="H626" i="27" s="1"/>
  <c r="H627" i="27" s="1"/>
  <c r="H628" i="27" s="1"/>
  <c r="H629" i="27" s="1"/>
  <c r="H630" i="27" s="1"/>
  <c r="H631" i="27" s="1"/>
  <c r="H632" i="27" s="1"/>
  <c r="H633" i="27" s="1"/>
  <c r="H634" i="27" s="1"/>
  <c r="H635" i="27" s="1"/>
  <c r="H636" i="27" s="1"/>
  <c r="H637" i="27" s="1"/>
  <c r="H638" i="27" s="1"/>
  <c r="H639" i="27" s="1"/>
  <c r="H640" i="27" s="1"/>
  <c r="H641" i="27" s="1"/>
  <c r="H642" i="27" s="1"/>
  <c r="H643" i="27" s="1"/>
  <c r="H644" i="27" s="1"/>
  <c r="H645" i="27" s="1"/>
  <c r="H646" i="27" s="1"/>
  <c r="H647" i="27" s="1"/>
  <c r="H648" i="27" s="1"/>
  <c r="H649" i="27" s="1"/>
  <c r="H650" i="27" s="1"/>
  <c r="H651" i="27" s="1"/>
  <c r="H652" i="27" s="1"/>
  <c r="H653" i="27" s="1"/>
  <c r="H654" i="27" s="1"/>
  <c r="H655" i="27" s="1"/>
  <c r="H656" i="27" s="1"/>
  <c r="H657" i="27" s="1"/>
  <c r="H658" i="27" s="1"/>
  <c r="H659" i="27" s="1"/>
  <c r="H660" i="27" s="1"/>
  <c r="H661" i="27" s="1"/>
  <c r="H662" i="27" s="1"/>
  <c r="H663" i="27" s="1"/>
  <c r="H664" i="27" s="1"/>
  <c r="H665" i="27" s="1"/>
  <c r="H666" i="27" s="1"/>
  <c r="H667" i="27" s="1"/>
  <c r="H668" i="27" s="1"/>
  <c r="H669" i="27" s="1"/>
  <c r="H670" i="27" s="1"/>
  <c r="H671" i="27" s="1"/>
  <c r="H672" i="27" s="1"/>
  <c r="H673" i="27" s="1"/>
  <c r="H674" i="27" s="1"/>
  <c r="H675" i="27" s="1"/>
  <c r="H676" i="27" s="1"/>
  <c r="H677" i="27" s="1"/>
  <c r="H678" i="27" s="1"/>
  <c r="H679" i="27" s="1"/>
  <c r="H680" i="27" s="1"/>
  <c r="H681" i="27" s="1"/>
  <c r="H682" i="27" s="1"/>
  <c r="H683" i="27" s="1"/>
  <c r="H684" i="27" s="1"/>
  <c r="H685" i="27" s="1"/>
  <c r="H686" i="27" s="1"/>
  <c r="H687" i="27" s="1"/>
  <c r="H688" i="27" s="1"/>
  <c r="H689" i="27" s="1"/>
  <c r="H690" i="27" s="1"/>
  <c r="H691" i="27" s="1"/>
  <c r="H692" i="27" s="1"/>
  <c r="H693" i="27" s="1"/>
  <c r="H694" i="27" s="1"/>
  <c r="H695" i="27" s="1"/>
  <c r="H696" i="27" s="1"/>
  <c r="H697" i="27" s="1"/>
  <c r="H698" i="27" s="1"/>
  <c r="H699" i="27" s="1"/>
  <c r="H700" i="27" s="1"/>
  <c r="H701" i="27" s="1"/>
  <c r="H702" i="27" s="1"/>
  <c r="H703" i="27" s="1"/>
  <c r="H704" i="27" s="1"/>
  <c r="H705" i="27" s="1"/>
  <c r="H706" i="27" s="1"/>
  <c r="H707" i="27" s="1"/>
  <c r="H708" i="27" s="1"/>
  <c r="H709" i="27" s="1"/>
  <c r="H710" i="27" s="1"/>
  <c r="H711" i="27" s="1"/>
  <c r="H712" i="27" s="1"/>
  <c r="H713" i="27" s="1"/>
  <c r="H714" i="27" s="1"/>
  <c r="H715" i="27" s="1"/>
  <c r="H716" i="27" s="1"/>
  <c r="H717" i="27" s="1"/>
  <c r="H718" i="27" s="1"/>
  <c r="H719" i="27" s="1"/>
  <c r="H720" i="27" s="1"/>
  <c r="H721" i="27" s="1"/>
  <c r="H722" i="27" s="1"/>
  <c r="H723" i="27" s="1"/>
  <c r="H724" i="27" s="1"/>
  <c r="H725" i="27" s="1"/>
  <c r="H726" i="27" s="1"/>
  <c r="H727" i="27" s="1"/>
  <c r="H728" i="27" s="1"/>
  <c r="E10" i="27"/>
  <c r="E11" i="27" s="1"/>
  <c r="E12" i="27" s="1"/>
  <c r="E13" i="27" s="1"/>
  <c r="E14" i="27" s="1"/>
  <c r="E15" i="27" s="1"/>
  <c r="E16" i="27" s="1"/>
  <c r="E17" i="27" s="1"/>
  <c r="E18" i="27" s="1"/>
  <c r="E19" i="27" s="1"/>
  <c r="E20" i="27" s="1"/>
  <c r="E21" i="27" s="1"/>
  <c r="E22" i="27" s="1"/>
  <c r="E23" i="27" s="1"/>
  <c r="E24" i="27" s="1"/>
  <c r="E25" i="27" s="1"/>
  <c r="E26" i="27" s="1"/>
  <c r="E27" i="27" s="1"/>
  <c r="E28" i="27" s="1"/>
  <c r="E29" i="27" s="1"/>
  <c r="E30" i="27" s="1"/>
  <c r="E31" i="27" s="1"/>
  <c r="E32" i="27" s="1"/>
  <c r="E33" i="27" s="1"/>
  <c r="E34" i="27" s="1"/>
  <c r="E35" i="27" s="1"/>
  <c r="E36" i="27" s="1"/>
  <c r="E37" i="27" s="1"/>
  <c r="E38" i="27" s="1"/>
  <c r="E39" i="27" s="1"/>
  <c r="E40" i="27" s="1"/>
  <c r="E41" i="27" s="1"/>
  <c r="E42" i="27" s="1"/>
  <c r="E43" i="27" s="1"/>
  <c r="E44" i="27" s="1"/>
  <c r="E45" i="27" s="1"/>
  <c r="E46" i="27" s="1"/>
  <c r="E47" i="27" s="1"/>
  <c r="E48" i="27" s="1"/>
  <c r="E49" i="27" s="1"/>
  <c r="E50" i="27" s="1"/>
  <c r="E51" i="27" s="1"/>
  <c r="E52" i="27" s="1"/>
  <c r="E53" i="27" s="1"/>
  <c r="E54" i="27" s="1"/>
  <c r="E55" i="27" s="1"/>
  <c r="E56" i="27" s="1"/>
  <c r="E57" i="27" s="1"/>
  <c r="E58" i="27" s="1"/>
  <c r="E59" i="27" s="1"/>
  <c r="E60" i="27" s="1"/>
  <c r="E61" i="27" s="1"/>
  <c r="E62" i="27" s="1"/>
  <c r="E63" i="27" s="1"/>
  <c r="E64" i="27" s="1"/>
  <c r="E65" i="27" s="1"/>
  <c r="E66" i="27" s="1"/>
  <c r="E67" i="27" s="1"/>
  <c r="E68" i="27" s="1"/>
  <c r="E69" i="27" s="1"/>
  <c r="E70" i="27" s="1"/>
  <c r="E71" i="27" s="1"/>
  <c r="E72" i="27" s="1"/>
  <c r="E73" i="27" s="1"/>
  <c r="E74" i="27" s="1"/>
  <c r="E75" i="27" s="1"/>
  <c r="E76" i="27" s="1"/>
  <c r="E77" i="27" s="1"/>
  <c r="E78" i="27" s="1"/>
  <c r="E79" i="27" s="1"/>
  <c r="E80" i="27" s="1"/>
  <c r="E81" i="27" s="1"/>
  <c r="E82" i="27" s="1"/>
  <c r="E83" i="27" s="1"/>
  <c r="E84" i="27" s="1"/>
  <c r="E85" i="27" s="1"/>
  <c r="E86" i="27" s="1"/>
  <c r="E87" i="27" s="1"/>
  <c r="E88" i="27" s="1"/>
  <c r="E89" i="27" s="1"/>
  <c r="E90" i="27" s="1"/>
  <c r="E91" i="27" s="1"/>
  <c r="E92" i="27" s="1"/>
  <c r="E93" i="27" s="1"/>
  <c r="E94" i="27" s="1"/>
  <c r="E95" i="27" s="1"/>
  <c r="E96" i="27" s="1"/>
  <c r="E97" i="27" s="1"/>
  <c r="E98" i="27" s="1"/>
  <c r="E99" i="27" s="1"/>
  <c r="E100" i="27" s="1"/>
  <c r="E101" i="27" s="1"/>
  <c r="E102" i="27" s="1"/>
  <c r="E103" i="27" s="1"/>
  <c r="E104" i="27" s="1"/>
  <c r="E105" i="27" s="1"/>
  <c r="E106" i="27" s="1"/>
  <c r="E107" i="27" s="1"/>
  <c r="E108" i="27" s="1"/>
  <c r="E109" i="27" s="1"/>
  <c r="E110" i="27" s="1"/>
  <c r="E111" i="27" s="1"/>
  <c r="E112" i="27" s="1"/>
  <c r="E113" i="27" s="1"/>
  <c r="E114" i="27" s="1"/>
  <c r="E115" i="27" s="1"/>
  <c r="E116" i="27" s="1"/>
  <c r="E117" i="27" s="1"/>
  <c r="E118" i="27" s="1"/>
  <c r="E119" i="27" s="1"/>
  <c r="E120" i="27" s="1"/>
  <c r="E121" i="27" s="1"/>
  <c r="E122" i="27" s="1"/>
  <c r="E123" i="27" s="1"/>
  <c r="E124" i="27" s="1"/>
  <c r="E125" i="27" s="1"/>
  <c r="E126" i="27" s="1"/>
  <c r="E127" i="27" s="1"/>
  <c r="E128" i="27" s="1"/>
  <c r="E129" i="27" s="1"/>
  <c r="E130" i="27" s="1"/>
  <c r="E131" i="27" s="1"/>
  <c r="E132" i="27" s="1"/>
  <c r="E133" i="27" s="1"/>
  <c r="E134" i="27" s="1"/>
  <c r="E135" i="27" s="1"/>
  <c r="E136" i="27" s="1"/>
  <c r="E137" i="27" s="1"/>
  <c r="E138" i="27" s="1"/>
  <c r="E139" i="27" s="1"/>
  <c r="E140" i="27" s="1"/>
  <c r="E141" i="27" s="1"/>
  <c r="E142" i="27" s="1"/>
  <c r="E143" i="27" s="1"/>
  <c r="E144" i="27" s="1"/>
  <c r="E145" i="27" s="1"/>
  <c r="E146" i="27" s="1"/>
  <c r="E147" i="27" s="1"/>
  <c r="E148" i="27" s="1"/>
  <c r="E149" i="27" s="1"/>
  <c r="E150" i="27" s="1"/>
  <c r="E151" i="27" s="1"/>
  <c r="E152" i="27" s="1"/>
  <c r="E153" i="27" s="1"/>
  <c r="E154" i="27" s="1"/>
  <c r="E155" i="27" s="1"/>
  <c r="E156" i="27" s="1"/>
  <c r="E157" i="27" s="1"/>
  <c r="E158" i="27" s="1"/>
  <c r="E159" i="27" s="1"/>
  <c r="E160" i="27" s="1"/>
  <c r="E161" i="27" s="1"/>
  <c r="E162" i="27" s="1"/>
  <c r="E163" i="27" s="1"/>
  <c r="E164" i="27" s="1"/>
  <c r="E165" i="27" s="1"/>
  <c r="E166" i="27" s="1"/>
  <c r="E167" i="27" s="1"/>
  <c r="E168" i="27" s="1"/>
  <c r="E169" i="27" s="1"/>
  <c r="E170" i="27" s="1"/>
  <c r="E171" i="27" s="1"/>
  <c r="E172" i="27" s="1"/>
  <c r="E173" i="27" s="1"/>
  <c r="E174" i="27" s="1"/>
  <c r="E175" i="27" s="1"/>
  <c r="E176" i="27" s="1"/>
  <c r="E177" i="27" s="1"/>
  <c r="E178" i="27" s="1"/>
  <c r="E179" i="27" s="1"/>
  <c r="E180" i="27" s="1"/>
  <c r="E181" i="27" s="1"/>
  <c r="E182" i="27" s="1"/>
  <c r="E183" i="27" s="1"/>
  <c r="E184" i="27" s="1"/>
  <c r="E185" i="27" s="1"/>
  <c r="E186" i="27" s="1"/>
  <c r="E187" i="27" s="1"/>
  <c r="E188" i="27" s="1"/>
  <c r="E189" i="27" s="1"/>
  <c r="E190" i="27" s="1"/>
  <c r="E191" i="27" s="1"/>
  <c r="E192" i="27" s="1"/>
  <c r="E193" i="27" s="1"/>
  <c r="E194" i="27" s="1"/>
  <c r="E195" i="27" s="1"/>
  <c r="E196" i="27" s="1"/>
  <c r="E197" i="27" s="1"/>
  <c r="E198" i="27" s="1"/>
  <c r="E199" i="27" s="1"/>
  <c r="E200" i="27" s="1"/>
  <c r="E201" i="27" s="1"/>
  <c r="E202" i="27" s="1"/>
  <c r="E203" i="27" s="1"/>
  <c r="E204" i="27" s="1"/>
  <c r="E205" i="27" s="1"/>
  <c r="E206" i="27" s="1"/>
  <c r="E207" i="27" s="1"/>
  <c r="E208" i="27" s="1"/>
  <c r="E209" i="27" s="1"/>
  <c r="E210" i="27" s="1"/>
  <c r="E211" i="27" s="1"/>
  <c r="E212" i="27" s="1"/>
  <c r="E213" i="27" s="1"/>
  <c r="E214" i="27" s="1"/>
  <c r="E215" i="27" s="1"/>
  <c r="E216" i="27" s="1"/>
  <c r="E217" i="27" s="1"/>
  <c r="E218" i="27" s="1"/>
  <c r="E219" i="27" s="1"/>
  <c r="E220" i="27" s="1"/>
  <c r="E221" i="27" s="1"/>
  <c r="E222" i="27" s="1"/>
  <c r="E223" i="27" s="1"/>
  <c r="E224" i="27" s="1"/>
  <c r="E225" i="27" s="1"/>
  <c r="E226" i="27" s="1"/>
  <c r="E227" i="27" s="1"/>
  <c r="E228" i="27" s="1"/>
  <c r="E229" i="27" s="1"/>
  <c r="E230" i="27" s="1"/>
  <c r="E231" i="27" s="1"/>
  <c r="E232" i="27" s="1"/>
  <c r="E233" i="27" s="1"/>
  <c r="E234" i="27" s="1"/>
  <c r="E235" i="27" s="1"/>
  <c r="E236" i="27" s="1"/>
  <c r="E237" i="27" s="1"/>
  <c r="E238" i="27" s="1"/>
  <c r="E239" i="27" s="1"/>
  <c r="E240" i="27" s="1"/>
  <c r="E241" i="27" s="1"/>
  <c r="E242" i="27" s="1"/>
  <c r="E243" i="27" s="1"/>
  <c r="E244" i="27" s="1"/>
  <c r="E245" i="27" s="1"/>
  <c r="E246" i="27" s="1"/>
  <c r="E247" i="27" s="1"/>
  <c r="E248" i="27" s="1"/>
  <c r="E249" i="27" s="1"/>
  <c r="E250" i="27" s="1"/>
  <c r="E251" i="27" s="1"/>
  <c r="E252" i="27" s="1"/>
  <c r="E253" i="27" s="1"/>
  <c r="E254" i="27" s="1"/>
  <c r="E255" i="27" s="1"/>
  <c r="E256" i="27" s="1"/>
  <c r="E257" i="27" s="1"/>
  <c r="E258" i="27" s="1"/>
  <c r="E259" i="27" s="1"/>
  <c r="E260" i="27" s="1"/>
  <c r="E261" i="27" s="1"/>
  <c r="E262" i="27" s="1"/>
  <c r="E263" i="27" s="1"/>
  <c r="E264" i="27" s="1"/>
  <c r="E265" i="27" s="1"/>
  <c r="E266" i="27" s="1"/>
  <c r="E267" i="27" s="1"/>
  <c r="E268" i="27" s="1"/>
  <c r="E269" i="27" s="1"/>
  <c r="E270" i="27" s="1"/>
  <c r="E271" i="27" s="1"/>
  <c r="E272" i="27" s="1"/>
  <c r="E273" i="27" s="1"/>
  <c r="E274" i="27" s="1"/>
  <c r="E275" i="27" s="1"/>
  <c r="E276" i="27" s="1"/>
  <c r="E277" i="27" s="1"/>
  <c r="E278" i="27" s="1"/>
  <c r="E279" i="27" s="1"/>
  <c r="E280" i="27" s="1"/>
  <c r="E281" i="27" s="1"/>
  <c r="E282" i="27" s="1"/>
  <c r="E283" i="27" s="1"/>
  <c r="E284" i="27" s="1"/>
  <c r="E285" i="27" s="1"/>
  <c r="E286" i="27" s="1"/>
  <c r="E287" i="27" s="1"/>
  <c r="E288" i="27" s="1"/>
  <c r="E289" i="27" s="1"/>
  <c r="E290" i="27" s="1"/>
  <c r="E291" i="27" s="1"/>
  <c r="E292" i="27" s="1"/>
  <c r="E293" i="27" s="1"/>
  <c r="E294" i="27" s="1"/>
  <c r="E295" i="27" s="1"/>
  <c r="E296" i="27" s="1"/>
  <c r="E297" i="27" s="1"/>
  <c r="E298" i="27" s="1"/>
  <c r="E299" i="27" s="1"/>
  <c r="E300" i="27" s="1"/>
  <c r="E301" i="27" s="1"/>
  <c r="E302" i="27" s="1"/>
  <c r="E303" i="27" s="1"/>
  <c r="E304" i="27" s="1"/>
  <c r="E305" i="27" s="1"/>
  <c r="E306" i="27" s="1"/>
  <c r="E307" i="27" s="1"/>
  <c r="E308" i="27" s="1"/>
  <c r="E309" i="27" s="1"/>
  <c r="E310" i="27" s="1"/>
  <c r="E311" i="27" s="1"/>
  <c r="E312" i="27" s="1"/>
  <c r="E313" i="27" s="1"/>
  <c r="E314" i="27" s="1"/>
  <c r="E315" i="27" s="1"/>
  <c r="E316" i="27" s="1"/>
  <c r="E317" i="27" s="1"/>
  <c r="E318" i="27" s="1"/>
  <c r="E319" i="27" s="1"/>
  <c r="E320" i="27" s="1"/>
  <c r="E321" i="27" s="1"/>
  <c r="E322" i="27" s="1"/>
  <c r="E323" i="27" s="1"/>
  <c r="E324" i="27" s="1"/>
  <c r="E325" i="27" s="1"/>
  <c r="E326" i="27" s="1"/>
  <c r="E327" i="27" s="1"/>
  <c r="E328" i="27" s="1"/>
  <c r="E329" i="27" s="1"/>
  <c r="E330" i="27" s="1"/>
  <c r="E331" i="27" s="1"/>
  <c r="E332" i="27" s="1"/>
  <c r="E333" i="27" s="1"/>
  <c r="E334" i="27" s="1"/>
  <c r="E335" i="27" s="1"/>
  <c r="E336" i="27" s="1"/>
  <c r="E337" i="27" s="1"/>
  <c r="E338" i="27" s="1"/>
  <c r="E339" i="27" s="1"/>
  <c r="E340" i="27" s="1"/>
  <c r="E341" i="27" s="1"/>
  <c r="E342" i="27" s="1"/>
  <c r="E343" i="27" s="1"/>
  <c r="E344" i="27" s="1"/>
  <c r="E345" i="27" s="1"/>
  <c r="E346" i="27" s="1"/>
  <c r="E347" i="27" s="1"/>
  <c r="E348" i="27" s="1"/>
  <c r="E349" i="27" s="1"/>
  <c r="E350" i="27" s="1"/>
  <c r="E351" i="27" s="1"/>
  <c r="E352" i="27" s="1"/>
  <c r="E353" i="27" s="1"/>
  <c r="E354" i="27" s="1"/>
  <c r="E355" i="27" s="1"/>
  <c r="E356" i="27" s="1"/>
  <c r="E357" i="27" s="1"/>
  <c r="E358" i="27" s="1"/>
  <c r="E359" i="27" s="1"/>
  <c r="E360" i="27" s="1"/>
  <c r="E361" i="27" s="1"/>
  <c r="E362" i="27" s="1"/>
  <c r="E363" i="27" s="1"/>
  <c r="E364" i="27" s="1"/>
  <c r="E365" i="27" s="1"/>
  <c r="E366" i="27" s="1"/>
  <c r="E367" i="27" s="1"/>
  <c r="E368" i="27" s="1"/>
  <c r="E369" i="27" s="1"/>
  <c r="E370" i="27" s="1"/>
  <c r="E371" i="27" s="1"/>
  <c r="E372" i="27" s="1"/>
  <c r="E373" i="27" s="1"/>
  <c r="E374" i="27" s="1"/>
  <c r="E375" i="27" s="1"/>
  <c r="E376" i="27" s="1"/>
  <c r="E377" i="27" s="1"/>
  <c r="E378" i="27" s="1"/>
  <c r="E379" i="27" s="1"/>
  <c r="E380" i="27" s="1"/>
  <c r="E381" i="27" s="1"/>
  <c r="E382" i="27" s="1"/>
  <c r="E383" i="27" s="1"/>
  <c r="E384" i="27" s="1"/>
  <c r="E385" i="27" s="1"/>
  <c r="E386" i="27" s="1"/>
  <c r="E387" i="27" s="1"/>
  <c r="E388" i="27" s="1"/>
  <c r="E389" i="27" s="1"/>
  <c r="E390" i="27" s="1"/>
  <c r="E391" i="27" s="1"/>
  <c r="E392" i="27" s="1"/>
  <c r="E393" i="27" s="1"/>
  <c r="E394" i="27" s="1"/>
  <c r="E395" i="27" s="1"/>
  <c r="E396" i="27" s="1"/>
  <c r="E397" i="27" s="1"/>
  <c r="E398" i="27" s="1"/>
  <c r="E399" i="27" s="1"/>
  <c r="E400" i="27" s="1"/>
  <c r="E401" i="27" s="1"/>
  <c r="E402" i="27" s="1"/>
  <c r="E403" i="27" s="1"/>
  <c r="E404" i="27" s="1"/>
  <c r="E405" i="27" s="1"/>
  <c r="E406" i="27" s="1"/>
  <c r="E407" i="27" s="1"/>
  <c r="E408" i="27" s="1"/>
  <c r="E409" i="27" s="1"/>
  <c r="E410" i="27" s="1"/>
  <c r="E411" i="27" s="1"/>
  <c r="E412" i="27" s="1"/>
  <c r="E413" i="27" s="1"/>
  <c r="E414" i="27" s="1"/>
  <c r="E415" i="27" s="1"/>
  <c r="E416" i="27" s="1"/>
  <c r="E417" i="27" s="1"/>
  <c r="E418" i="27" s="1"/>
  <c r="E419" i="27" s="1"/>
  <c r="E420" i="27" s="1"/>
  <c r="E421" i="27" s="1"/>
  <c r="E422" i="27" s="1"/>
  <c r="E423" i="27" s="1"/>
  <c r="E424" i="27" s="1"/>
  <c r="E425" i="27" s="1"/>
  <c r="E426" i="27" s="1"/>
  <c r="E427" i="27" s="1"/>
  <c r="E428" i="27" s="1"/>
  <c r="E429" i="27" s="1"/>
  <c r="E430" i="27" s="1"/>
  <c r="E431" i="27" s="1"/>
  <c r="E432" i="27" s="1"/>
  <c r="E433" i="27" s="1"/>
  <c r="E434" i="27" s="1"/>
  <c r="E435" i="27" s="1"/>
  <c r="E436" i="27" s="1"/>
  <c r="E437" i="27" s="1"/>
  <c r="E438" i="27" s="1"/>
  <c r="E439" i="27" s="1"/>
  <c r="E440" i="27" s="1"/>
  <c r="E441" i="27" s="1"/>
  <c r="E442" i="27" s="1"/>
  <c r="E443" i="27" s="1"/>
  <c r="E444" i="27" s="1"/>
  <c r="E445" i="27" s="1"/>
  <c r="E446" i="27" s="1"/>
  <c r="E447" i="27" s="1"/>
  <c r="E448" i="27" s="1"/>
  <c r="E449" i="27" s="1"/>
  <c r="E450" i="27" s="1"/>
  <c r="E451" i="27" s="1"/>
  <c r="E452" i="27" s="1"/>
  <c r="E453" i="27" s="1"/>
  <c r="E454" i="27" s="1"/>
  <c r="E455" i="27" s="1"/>
  <c r="E456" i="27" s="1"/>
  <c r="E457" i="27" s="1"/>
  <c r="E458" i="27" s="1"/>
  <c r="E459" i="27" s="1"/>
  <c r="E460" i="27" s="1"/>
  <c r="E461" i="27" s="1"/>
  <c r="E462" i="27" s="1"/>
  <c r="E463" i="27" s="1"/>
  <c r="E464" i="27" s="1"/>
  <c r="E465" i="27" s="1"/>
  <c r="E466" i="27" s="1"/>
  <c r="E467" i="27" s="1"/>
  <c r="E468" i="27" s="1"/>
  <c r="E469" i="27" s="1"/>
  <c r="E470" i="27" s="1"/>
  <c r="E471" i="27" s="1"/>
  <c r="E472" i="27" s="1"/>
  <c r="E473" i="27" s="1"/>
  <c r="E474" i="27" s="1"/>
  <c r="E475" i="27" s="1"/>
  <c r="E476" i="27" s="1"/>
  <c r="E477" i="27" s="1"/>
  <c r="E478" i="27" s="1"/>
  <c r="E479" i="27" s="1"/>
  <c r="E480" i="27" s="1"/>
  <c r="E481" i="27" s="1"/>
  <c r="E482" i="27" s="1"/>
  <c r="E483" i="27" s="1"/>
  <c r="E484" i="27" s="1"/>
  <c r="E485" i="27" s="1"/>
  <c r="E486" i="27" s="1"/>
  <c r="E487" i="27" s="1"/>
  <c r="E488" i="27" s="1"/>
  <c r="E489" i="27" s="1"/>
  <c r="E490" i="27" s="1"/>
  <c r="E491" i="27" s="1"/>
  <c r="E492" i="27" s="1"/>
  <c r="E493" i="27" s="1"/>
  <c r="E494" i="27" s="1"/>
  <c r="E495" i="27" s="1"/>
  <c r="E496" i="27" s="1"/>
  <c r="E497" i="27" s="1"/>
  <c r="E498" i="27" s="1"/>
  <c r="E499" i="27" s="1"/>
  <c r="E500" i="27" s="1"/>
  <c r="E501" i="27" s="1"/>
  <c r="E502" i="27" s="1"/>
  <c r="E503" i="27" s="1"/>
  <c r="E504" i="27" s="1"/>
  <c r="E505" i="27" s="1"/>
  <c r="E506" i="27" s="1"/>
  <c r="E507" i="27" s="1"/>
  <c r="E508" i="27" s="1"/>
  <c r="E509" i="27" s="1"/>
  <c r="E510" i="27" s="1"/>
  <c r="E511" i="27" s="1"/>
  <c r="E512" i="27" s="1"/>
  <c r="E513" i="27" s="1"/>
  <c r="E514" i="27" s="1"/>
  <c r="E515" i="27" s="1"/>
  <c r="E516" i="27" s="1"/>
  <c r="E517" i="27" s="1"/>
  <c r="E518" i="27" s="1"/>
  <c r="E519" i="27" s="1"/>
  <c r="E520" i="27" s="1"/>
  <c r="E521" i="27" s="1"/>
  <c r="E522" i="27" s="1"/>
  <c r="E523" i="27" s="1"/>
  <c r="E524" i="27" s="1"/>
  <c r="E525" i="27" s="1"/>
  <c r="E526" i="27" s="1"/>
  <c r="E527" i="27" s="1"/>
  <c r="E528" i="27" s="1"/>
  <c r="E529" i="27" s="1"/>
  <c r="E530" i="27" s="1"/>
  <c r="E531" i="27" s="1"/>
  <c r="E532" i="27" s="1"/>
  <c r="E533" i="27" s="1"/>
  <c r="E534" i="27" s="1"/>
  <c r="E535" i="27" s="1"/>
  <c r="E536" i="27" s="1"/>
  <c r="E537" i="27" s="1"/>
  <c r="E538" i="27" s="1"/>
  <c r="E539" i="27" s="1"/>
  <c r="E540" i="27" s="1"/>
  <c r="E541" i="27" s="1"/>
  <c r="E542" i="27" s="1"/>
  <c r="E543" i="27" s="1"/>
  <c r="E544" i="27" s="1"/>
  <c r="E545" i="27" s="1"/>
  <c r="E546" i="27" s="1"/>
  <c r="E547" i="27" s="1"/>
  <c r="E548" i="27" s="1"/>
  <c r="E549" i="27" s="1"/>
  <c r="E550" i="27" s="1"/>
  <c r="E551" i="27" s="1"/>
  <c r="E552" i="27" s="1"/>
  <c r="E553" i="27" s="1"/>
  <c r="E554" i="27" s="1"/>
  <c r="E555" i="27" s="1"/>
  <c r="E556" i="27" s="1"/>
  <c r="E557" i="27" s="1"/>
  <c r="E558" i="27" s="1"/>
  <c r="E559" i="27" s="1"/>
  <c r="E560" i="27" s="1"/>
  <c r="E561" i="27" s="1"/>
  <c r="E562" i="27" s="1"/>
  <c r="E563" i="27" s="1"/>
  <c r="E564" i="27" s="1"/>
  <c r="E565" i="27" s="1"/>
  <c r="E566" i="27" s="1"/>
  <c r="E567" i="27" s="1"/>
  <c r="E568" i="27" s="1"/>
  <c r="E569" i="27" s="1"/>
  <c r="E570" i="27" s="1"/>
  <c r="E571" i="27" s="1"/>
  <c r="E572" i="27" s="1"/>
  <c r="E573" i="27" s="1"/>
  <c r="E574" i="27" s="1"/>
  <c r="E575" i="27" s="1"/>
  <c r="E576" i="27" s="1"/>
  <c r="E577" i="27" s="1"/>
  <c r="E578" i="27" s="1"/>
  <c r="E579" i="27" s="1"/>
  <c r="E580" i="27" s="1"/>
  <c r="E581" i="27" s="1"/>
  <c r="E582" i="27" s="1"/>
  <c r="E583" i="27" s="1"/>
  <c r="E584" i="27" s="1"/>
  <c r="E585" i="27" s="1"/>
  <c r="E586" i="27" s="1"/>
  <c r="E587" i="27" s="1"/>
  <c r="E588" i="27" s="1"/>
  <c r="E589" i="27" s="1"/>
  <c r="E590" i="27" s="1"/>
  <c r="E591" i="27" s="1"/>
  <c r="E592" i="27" s="1"/>
  <c r="E593" i="27" s="1"/>
  <c r="E594" i="27" s="1"/>
  <c r="E595" i="27" s="1"/>
  <c r="E596" i="27" s="1"/>
  <c r="E597" i="27" s="1"/>
  <c r="E598" i="27" s="1"/>
  <c r="E599" i="27" s="1"/>
  <c r="E600" i="27" s="1"/>
  <c r="E601" i="27" s="1"/>
  <c r="E602" i="27" s="1"/>
  <c r="E603" i="27" s="1"/>
  <c r="E604" i="27" s="1"/>
  <c r="E605" i="27" s="1"/>
  <c r="E606" i="27" s="1"/>
  <c r="E607" i="27" s="1"/>
  <c r="E608" i="27" s="1"/>
  <c r="E609" i="27" s="1"/>
  <c r="E610" i="27" s="1"/>
  <c r="E611" i="27" s="1"/>
  <c r="E612" i="27" s="1"/>
  <c r="E613" i="27" s="1"/>
  <c r="E614" i="27" s="1"/>
  <c r="E615" i="27" s="1"/>
  <c r="E616" i="27" s="1"/>
  <c r="E617" i="27" s="1"/>
  <c r="E618" i="27" s="1"/>
  <c r="E619" i="27" s="1"/>
  <c r="E620" i="27" s="1"/>
  <c r="E621" i="27" s="1"/>
  <c r="E622" i="27" s="1"/>
  <c r="E623" i="27" s="1"/>
  <c r="E624" i="27" s="1"/>
  <c r="E625" i="27" s="1"/>
  <c r="E626" i="27" s="1"/>
  <c r="E627" i="27" s="1"/>
  <c r="E628" i="27" s="1"/>
  <c r="E629" i="27" s="1"/>
  <c r="E630" i="27" s="1"/>
  <c r="E631" i="27" s="1"/>
  <c r="E632" i="27" s="1"/>
  <c r="E633" i="27" s="1"/>
  <c r="E634" i="27" s="1"/>
  <c r="E635" i="27" s="1"/>
  <c r="E636" i="27" s="1"/>
  <c r="E637" i="27" s="1"/>
  <c r="E638" i="27" s="1"/>
  <c r="E639" i="27" s="1"/>
  <c r="E640" i="27" s="1"/>
  <c r="E641" i="27" s="1"/>
  <c r="E642" i="27" s="1"/>
  <c r="E643" i="27" s="1"/>
  <c r="E644" i="27" s="1"/>
  <c r="E645" i="27" s="1"/>
  <c r="E646" i="27" s="1"/>
  <c r="E647" i="27" s="1"/>
  <c r="E648" i="27" s="1"/>
  <c r="E649" i="27" s="1"/>
  <c r="E650" i="27" s="1"/>
  <c r="E651" i="27" s="1"/>
  <c r="E652" i="27" s="1"/>
  <c r="E653" i="27" s="1"/>
  <c r="E654" i="27" s="1"/>
  <c r="E655" i="27" s="1"/>
  <c r="E656" i="27" s="1"/>
  <c r="E657" i="27" s="1"/>
  <c r="E658" i="27" s="1"/>
  <c r="E659" i="27" s="1"/>
  <c r="E660" i="27" s="1"/>
  <c r="E661" i="27" s="1"/>
  <c r="E662" i="27" s="1"/>
  <c r="E663" i="27" s="1"/>
  <c r="E664" i="27" s="1"/>
  <c r="E665" i="27" s="1"/>
  <c r="E666" i="27" s="1"/>
  <c r="E667" i="27" s="1"/>
  <c r="E668" i="27" s="1"/>
  <c r="E669" i="27" s="1"/>
  <c r="E670" i="27" s="1"/>
  <c r="E671" i="27" s="1"/>
  <c r="E672" i="27" s="1"/>
  <c r="E673" i="27" s="1"/>
  <c r="E674" i="27" s="1"/>
  <c r="E675" i="27" s="1"/>
  <c r="E676" i="27" s="1"/>
  <c r="E677" i="27" s="1"/>
  <c r="E678" i="27" s="1"/>
  <c r="E679" i="27" s="1"/>
  <c r="E680" i="27" s="1"/>
  <c r="E681" i="27" s="1"/>
  <c r="E682" i="27" s="1"/>
  <c r="E683" i="27" s="1"/>
  <c r="E684" i="27" s="1"/>
  <c r="E685" i="27" s="1"/>
  <c r="E686" i="27" s="1"/>
  <c r="E687" i="27" s="1"/>
  <c r="E688" i="27" s="1"/>
  <c r="E689" i="27" s="1"/>
  <c r="E690" i="27" s="1"/>
  <c r="E691" i="27" s="1"/>
  <c r="E692" i="27" s="1"/>
  <c r="E693" i="27" s="1"/>
  <c r="E694" i="27" s="1"/>
  <c r="E695" i="27" s="1"/>
  <c r="E696" i="27" s="1"/>
  <c r="E697" i="27" s="1"/>
  <c r="E698" i="27" s="1"/>
  <c r="E699" i="27" s="1"/>
  <c r="E700" i="27" s="1"/>
  <c r="E701" i="27" s="1"/>
  <c r="E702" i="27" s="1"/>
  <c r="E703" i="27" s="1"/>
  <c r="E704" i="27" s="1"/>
  <c r="E705" i="27" s="1"/>
  <c r="E706" i="27" s="1"/>
  <c r="E707" i="27" s="1"/>
  <c r="E708" i="27" s="1"/>
  <c r="E709" i="27" s="1"/>
  <c r="E710" i="27" s="1"/>
  <c r="E711" i="27" s="1"/>
  <c r="E712" i="27" s="1"/>
  <c r="E713" i="27" s="1"/>
  <c r="E714" i="27" s="1"/>
  <c r="E715" i="27" s="1"/>
  <c r="E716" i="27" s="1"/>
  <c r="E717" i="27" s="1"/>
  <c r="E718" i="27" s="1"/>
  <c r="E719" i="27" s="1"/>
  <c r="E720" i="27" s="1"/>
  <c r="E721" i="27" s="1"/>
  <c r="E722" i="27" s="1"/>
  <c r="E723" i="27" s="1"/>
  <c r="E724" i="27" s="1"/>
  <c r="E725" i="27" s="1"/>
  <c r="E726" i="27" s="1"/>
  <c r="E727" i="27" s="1"/>
  <c r="E728" i="27" s="1"/>
  <c r="D10" i="27"/>
  <c r="D11" i="27" s="1"/>
  <c r="D12" i="27" s="1"/>
  <c r="D13" i="27" s="1"/>
  <c r="D14" i="27" s="1"/>
  <c r="D15" i="27" s="1"/>
  <c r="D16" i="27" s="1"/>
  <c r="D17" i="27" s="1"/>
  <c r="D18" i="27" s="1"/>
  <c r="D19" i="27" s="1"/>
  <c r="D20" i="27" s="1"/>
  <c r="D21" i="27" s="1"/>
  <c r="D22" i="27" s="1"/>
  <c r="D23" i="27" s="1"/>
  <c r="D24" i="27" s="1"/>
  <c r="D25" i="27" s="1"/>
  <c r="D26" i="27" s="1"/>
  <c r="D27" i="27" s="1"/>
  <c r="D28" i="27" s="1"/>
  <c r="D29" i="27" s="1"/>
  <c r="D30" i="27" s="1"/>
  <c r="D31" i="27" s="1"/>
  <c r="D32" i="27" s="1"/>
  <c r="D33" i="27" s="1"/>
  <c r="D34" i="27" s="1"/>
  <c r="D35" i="27" s="1"/>
  <c r="D36" i="27" s="1"/>
  <c r="D37" i="27" s="1"/>
  <c r="D38" i="27" s="1"/>
  <c r="D39" i="27" s="1"/>
  <c r="D40" i="27" s="1"/>
  <c r="D41" i="27" s="1"/>
  <c r="D42" i="27" s="1"/>
  <c r="D43" i="27" s="1"/>
  <c r="D44" i="27" s="1"/>
  <c r="D45" i="27" s="1"/>
  <c r="D46" i="27" s="1"/>
  <c r="D47" i="27" s="1"/>
  <c r="D48" i="27" s="1"/>
  <c r="D49" i="27" s="1"/>
  <c r="D50" i="27" s="1"/>
  <c r="D51" i="27" s="1"/>
  <c r="D52" i="27" s="1"/>
  <c r="D53" i="27" s="1"/>
  <c r="D54" i="27" s="1"/>
  <c r="D55" i="27" s="1"/>
  <c r="D56" i="27" s="1"/>
  <c r="D57" i="27" s="1"/>
  <c r="D58" i="27" s="1"/>
  <c r="D59" i="27" s="1"/>
  <c r="D60" i="27" s="1"/>
  <c r="D61" i="27" s="1"/>
  <c r="D62" i="27" s="1"/>
  <c r="D63" i="27" s="1"/>
  <c r="D64" i="27" s="1"/>
  <c r="D65" i="27" s="1"/>
  <c r="D66" i="27" s="1"/>
  <c r="D67" i="27" s="1"/>
  <c r="D68" i="27" s="1"/>
  <c r="D69" i="27" s="1"/>
  <c r="D70" i="27" s="1"/>
  <c r="D71" i="27" s="1"/>
  <c r="D72" i="27" s="1"/>
  <c r="D73" i="27" s="1"/>
  <c r="D74" i="27" s="1"/>
  <c r="D75" i="27" s="1"/>
  <c r="D76" i="27" s="1"/>
  <c r="D77" i="27" s="1"/>
  <c r="D78" i="27" s="1"/>
  <c r="D79" i="27" s="1"/>
  <c r="D80" i="27" s="1"/>
  <c r="D81" i="27" s="1"/>
  <c r="D82" i="27" s="1"/>
  <c r="D83" i="27" s="1"/>
  <c r="D84" i="27" s="1"/>
  <c r="D85" i="27" s="1"/>
  <c r="D86" i="27" s="1"/>
  <c r="D87" i="27" s="1"/>
  <c r="D88" i="27" s="1"/>
  <c r="D89" i="27" s="1"/>
  <c r="D90" i="27" s="1"/>
  <c r="D91" i="27" s="1"/>
  <c r="D92" i="27" s="1"/>
  <c r="D93" i="27" s="1"/>
  <c r="D94" i="27" s="1"/>
  <c r="D95" i="27" s="1"/>
  <c r="D96" i="27" s="1"/>
  <c r="D97" i="27" s="1"/>
  <c r="D98" i="27" s="1"/>
  <c r="D99" i="27" s="1"/>
  <c r="D100" i="27" s="1"/>
  <c r="D101" i="27" s="1"/>
  <c r="D102" i="27" s="1"/>
  <c r="D103" i="27" s="1"/>
  <c r="D104" i="27" s="1"/>
  <c r="D105" i="27" s="1"/>
  <c r="D106" i="27" s="1"/>
  <c r="D107" i="27" s="1"/>
  <c r="D108" i="27" s="1"/>
  <c r="D109" i="27" s="1"/>
  <c r="D110" i="27" s="1"/>
  <c r="D111" i="27" s="1"/>
  <c r="D112" i="27" s="1"/>
  <c r="D113" i="27" s="1"/>
  <c r="D114" i="27" s="1"/>
  <c r="D115" i="27" s="1"/>
  <c r="D116" i="27" s="1"/>
  <c r="D117" i="27" s="1"/>
  <c r="D118" i="27" s="1"/>
  <c r="D119" i="27" s="1"/>
  <c r="D120" i="27" s="1"/>
  <c r="D121" i="27" s="1"/>
  <c r="D122" i="27" s="1"/>
  <c r="D123" i="27" s="1"/>
  <c r="D124" i="27" s="1"/>
  <c r="D125" i="27" s="1"/>
  <c r="D126" i="27" s="1"/>
  <c r="D127" i="27" s="1"/>
  <c r="D128" i="27" s="1"/>
  <c r="D129" i="27" s="1"/>
  <c r="D130" i="27" s="1"/>
  <c r="D131" i="27" s="1"/>
  <c r="D132" i="27" s="1"/>
  <c r="D133" i="27" s="1"/>
  <c r="D134" i="27" s="1"/>
  <c r="D135" i="27" s="1"/>
  <c r="D136" i="27" s="1"/>
  <c r="D137" i="27" s="1"/>
  <c r="D138" i="27" s="1"/>
  <c r="D139" i="27" s="1"/>
  <c r="D140" i="27" s="1"/>
  <c r="D141" i="27" s="1"/>
  <c r="D142" i="27" s="1"/>
  <c r="D143" i="27" s="1"/>
  <c r="D144" i="27" s="1"/>
  <c r="D145" i="27" s="1"/>
  <c r="D146" i="27" s="1"/>
  <c r="D147" i="27" s="1"/>
  <c r="D148" i="27" s="1"/>
  <c r="D149" i="27" s="1"/>
  <c r="D150" i="27" s="1"/>
  <c r="D151" i="27" s="1"/>
  <c r="D152" i="27" s="1"/>
  <c r="D153" i="27" s="1"/>
  <c r="D154" i="27" s="1"/>
  <c r="D155" i="27" s="1"/>
  <c r="D156" i="27" s="1"/>
  <c r="D157" i="27" s="1"/>
  <c r="D158" i="27" s="1"/>
  <c r="D159" i="27" s="1"/>
  <c r="D160" i="27" s="1"/>
  <c r="D161" i="27" s="1"/>
  <c r="D162" i="27" s="1"/>
  <c r="D163" i="27" s="1"/>
  <c r="D164" i="27" s="1"/>
  <c r="D165" i="27" s="1"/>
  <c r="D166" i="27" s="1"/>
  <c r="D167" i="27" s="1"/>
  <c r="D168" i="27" s="1"/>
  <c r="D169" i="27" s="1"/>
  <c r="D170" i="27" s="1"/>
  <c r="D171" i="27" s="1"/>
  <c r="D172" i="27" s="1"/>
  <c r="D173" i="27" s="1"/>
  <c r="D174" i="27" s="1"/>
  <c r="D175" i="27" s="1"/>
  <c r="D176" i="27" s="1"/>
  <c r="D177" i="27" s="1"/>
  <c r="D178" i="27" s="1"/>
  <c r="D179" i="27" s="1"/>
  <c r="D180" i="27" s="1"/>
  <c r="D181" i="27" s="1"/>
  <c r="D182" i="27" s="1"/>
  <c r="D183" i="27" s="1"/>
  <c r="D184" i="27" s="1"/>
  <c r="D185" i="27" s="1"/>
  <c r="D186" i="27" s="1"/>
  <c r="D187" i="27" s="1"/>
  <c r="D188" i="27" s="1"/>
  <c r="D189" i="27" s="1"/>
  <c r="D190" i="27" s="1"/>
  <c r="D191" i="27" s="1"/>
  <c r="D192" i="27" s="1"/>
  <c r="D193" i="27" s="1"/>
  <c r="D194" i="27" s="1"/>
  <c r="D195" i="27" s="1"/>
  <c r="D196" i="27" s="1"/>
  <c r="D197" i="27" s="1"/>
  <c r="D198" i="27" s="1"/>
  <c r="D199" i="27" s="1"/>
  <c r="D200" i="27" s="1"/>
  <c r="D201" i="27" s="1"/>
  <c r="D202" i="27" s="1"/>
  <c r="D203" i="27" s="1"/>
  <c r="D204" i="27" s="1"/>
  <c r="D205" i="27" s="1"/>
  <c r="D206" i="27" s="1"/>
  <c r="D207" i="27" s="1"/>
  <c r="D208" i="27" s="1"/>
  <c r="D209" i="27" s="1"/>
  <c r="D210" i="27" s="1"/>
  <c r="D211" i="27" s="1"/>
  <c r="D212" i="27" s="1"/>
  <c r="D213" i="27" s="1"/>
  <c r="D214" i="27" s="1"/>
  <c r="D215" i="27" s="1"/>
  <c r="D216" i="27" s="1"/>
  <c r="D217" i="27" s="1"/>
  <c r="D218" i="27" s="1"/>
  <c r="D219" i="27" s="1"/>
  <c r="D220" i="27" s="1"/>
  <c r="D221" i="27" s="1"/>
  <c r="D222" i="27" s="1"/>
  <c r="D223" i="27" s="1"/>
  <c r="D224" i="27" s="1"/>
  <c r="D225" i="27" s="1"/>
  <c r="D226" i="27" s="1"/>
  <c r="D227" i="27" s="1"/>
  <c r="D228" i="27" s="1"/>
  <c r="D229" i="27" s="1"/>
  <c r="D230" i="27" s="1"/>
  <c r="D231" i="27" s="1"/>
  <c r="D232" i="27" s="1"/>
  <c r="D233" i="27" s="1"/>
  <c r="D234" i="27" s="1"/>
  <c r="D235" i="27" s="1"/>
  <c r="D236" i="27" s="1"/>
  <c r="D237" i="27" s="1"/>
  <c r="D238" i="27" s="1"/>
  <c r="D239" i="27" s="1"/>
  <c r="D240" i="27" s="1"/>
  <c r="D241" i="27" s="1"/>
  <c r="D242" i="27" s="1"/>
  <c r="D243" i="27" s="1"/>
  <c r="D244" i="27" s="1"/>
  <c r="D245" i="27" s="1"/>
  <c r="D246" i="27" s="1"/>
  <c r="D247" i="27" s="1"/>
  <c r="D248" i="27" s="1"/>
  <c r="D249" i="27" s="1"/>
  <c r="D250" i="27" s="1"/>
  <c r="D251" i="27" s="1"/>
  <c r="D252" i="27" s="1"/>
  <c r="D253" i="27" s="1"/>
  <c r="D254" i="27" s="1"/>
  <c r="D255" i="27" s="1"/>
  <c r="D256" i="27" s="1"/>
  <c r="D257" i="27" s="1"/>
  <c r="D258" i="27" s="1"/>
  <c r="D259" i="27" s="1"/>
  <c r="D260" i="27" s="1"/>
  <c r="D261" i="27" s="1"/>
  <c r="D262" i="27" s="1"/>
  <c r="D263" i="27" s="1"/>
  <c r="D264" i="27" s="1"/>
  <c r="D265" i="27" s="1"/>
  <c r="D266" i="27" s="1"/>
  <c r="D267" i="27" s="1"/>
  <c r="D268" i="27" s="1"/>
  <c r="D269" i="27" s="1"/>
  <c r="D270" i="27" s="1"/>
  <c r="D271" i="27" s="1"/>
  <c r="D272" i="27" s="1"/>
  <c r="D273" i="27" s="1"/>
  <c r="D274" i="27" s="1"/>
  <c r="D275" i="27" s="1"/>
  <c r="D276" i="27" s="1"/>
  <c r="D277" i="27" s="1"/>
  <c r="D278" i="27" s="1"/>
  <c r="D279" i="27" s="1"/>
  <c r="D280" i="27" s="1"/>
  <c r="D281" i="27" s="1"/>
  <c r="D282" i="27" s="1"/>
  <c r="D283" i="27" s="1"/>
  <c r="D284" i="27" s="1"/>
  <c r="D285" i="27" s="1"/>
  <c r="D286" i="27" s="1"/>
  <c r="D287" i="27" s="1"/>
  <c r="D288" i="27" s="1"/>
  <c r="D289" i="27" s="1"/>
  <c r="D290" i="27" s="1"/>
  <c r="D291" i="27" s="1"/>
  <c r="D292" i="27" s="1"/>
  <c r="D293" i="27" s="1"/>
  <c r="D294" i="27" s="1"/>
  <c r="D295" i="27" s="1"/>
  <c r="D296" i="27" s="1"/>
  <c r="D297" i="27" s="1"/>
  <c r="D298" i="27" s="1"/>
  <c r="D299" i="27" s="1"/>
  <c r="D300" i="27" s="1"/>
  <c r="D301" i="27" s="1"/>
  <c r="D302" i="27" s="1"/>
  <c r="D303" i="27" s="1"/>
  <c r="D304" i="27" s="1"/>
  <c r="D305" i="27" s="1"/>
  <c r="D306" i="27" s="1"/>
  <c r="D307" i="27" s="1"/>
  <c r="D308" i="27" s="1"/>
  <c r="D309" i="27" s="1"/>
  <c r="D310" i="27" s="1"/>
  <c r="D311" i="27" s="1"/>
  <c r="D312" i="27" s="1"/>
  <c r="D313" i="27" s="1"/>
  <c r="D314" i="27" s="1"/>
  <c r="D315" i="27" s="1"/>
  <c r="D316" i="27" s="1"/>
  <c r="D317" i="27" s="1"/>
  <c r="D318" i="27" s="1"/>
  <c r="D319" i="27" s="1"/>
  <c r="D320" i="27" s="1"/>
  <c r="D321" i="27" s="1"/>
  <c r="D322" i="27" s="1"/>
  <c r="D323" i="27" s="1"/>
  <c r="D324" i="27" s="1"/>
  <c r="D325" i="27" s="1"/>
  <c r="D326" i="27" s="1"/>
  <c r="D327" i="27" s="1"/>
  <c r="D328" i="27" s="1"/>
  <c r="D329" i="27" s="1"/>
  <c r="D330" i="27" s="1"/>
  <c r="D331" i="27" s="1"/>
  <c r="D332" i="27" s="1"/>
  <c r="D333" i="27" s="1"/>
  <c r="D334" i="27" s="1"/>
  <c r="D335" i="27" s="1"/>
  <c r="D336" i="27" s="1"/>
  <c r="D337" i="27" s="1"/>
  <c r="D338" i="27" s="1"/>
  <c r="D339" i="27" s="1"/>
  <c r="D340" i="27" s="1"/>
  <c r="D341" i="27" s="1"/>
  <c r="D342" i="27" s="1"/>
  <c r="D343" i="27" s="1"/>
  <c r="D344" i="27" s="1"/>
  <c r="D345" i="27" s="1"/>
  <c r="D346" i="27" s="1"/>
  <c r="D347" i="27" s="1"/>
  <c r="D348" i="27" s="1"/>
  <c r="D349" i="27" s="1"/>
  <c r="D350" i="27" s="1"/>
  <c r="D351" i="27" s="1"/>
  <c r="D352" i="27" s="1"/>
  <c r="D353" i="27" s="1"/>
  <c r="D354" i="27" s="1"/>
  <c r="D355" i="27" s="1"/>
  <c r="D356" i="27" s="1"/>
  <c r="D357" i="27" s="1"/>
  <c r="D358" i="27" s="1"/>
  <c r="D359" i="27" s="1"/>
  <c r="D360" i="27" s="1"/>
  <c r="D361" i="27" s="1"/>
  <c r="D362" i="27" s="1"/>
  <c r="D363" i="27" s="1"/>
  <c r="D364" i="27" s="1"/>
  <c r="D365" i="27" s="1"/>
  <c r="D366" i="27" s="1"/>
  <c r="D367" i="27" s="1"/>
  <c r="D368" i="27" s="1"/>
  <c r="D369" i="27" s="1"/>
  <c r="D370" i="27" s="1"/>
  <c r="D371" i="27" s="1"/>
  <c r="D372" i="27" s="1"/>
  <c r="D373" i="27" s="1"/>
  <c r="D374" i="27" s="1"/>
  <c r="D375" i="27" s="1"/>
  <c r="D376" i="27" s="1"/>
  <c r="D377" i="27" s="1"/>
  <c r="D378" i="27" s="1"/>
  <c r="D379" i="27" s="1"/>
  <c r="D380" i="27" s="1"/>
  <c r="D381" i="27" s="1"/>
  <c r="D382" i="27" s="1"/>
  <c r="D383" i="27" s="1"/>
  <c r="D384" i="27" s="1"/>
  <c r="D385" i="27" s="1"/>
  <c r="D386" i="27" s="1"/>
  <c r="D387" i="27" s="1"/>
  <c r="D388" i="27" s="1"/>
  <c r="D389" i="27" s="1"/>
  <c r="D390" i="27" s="1"/>
  <c r="D391" i="27" s="1"/>
  <c r="D392" i="27" s="1"/>
  <c r="D393" i="27" s="1"/>
  <c r="D394" i="27" s="1"/>
  <c r="D395" i="27" s="1"/>
  <c r="D396" i="27" s="1"/>
  <c r="D397" i="27" s="1"/>
  <c r="D398" i="27" s="1"/>
  <c r="D399" i="27" s="1"/>
  <c r="D400" i="27" s="1"/>
  <c r="D401" i="27" s="1"/>
  <c r="D402" i="27" s="1"/>
  <c r="D403" i="27" s="1"/>
  <c r="D404" i="27" s="1"/>
  <c r="D405" i="27" s="1"/>
  <c r="D406" i="27" s="1"/>
  <c r="D407" i="27" s="1"/>
  <c r="D408" i="27" s="1"/>
  <c r="D409" i="27" s="1"/>
  <c r="D410" i="27" s="1"/>
  <c r="D411" i="27" s="1"/>
  <c r="D412" i="27" s="1"/>
  <c r="D413" i="27" s="1"/>
  <c r="D414" i="27" s="1"/>
  <c r="D415" i="27" s="1"/>
  <c r="D416" i="27" s="1"/>
  <c r="D417" i="27" s="1"/>
  <c r="D418" i="27" s="1"/>
  <c r="D419" i="27" s="1"/>
  <c r="D420" i="27" s="1"/>
  <c r="D421" i="27" s="1"/>
  <c r="D422" i="27" s="1"/>
  <c r="D423" i="27" s="1"/>
  <c r="D424" i="27" s="1"/>
  <c r="D425" i="27" s="1"/>
  <c r="D426" i="27" s="1"/>
  <c r="D427" i="27" s="1"/>
  <c r="D428" i="27" s="1"/>
  <c r="D429" i="27" s="1"/>
  <c r="D430" i="27" s="1"/>
  <c r="D431" i="27" s="1"/>
  <c r="D432" i="27" s="1"/>
  <c r="D433" i="27" s="1"/>
  <c r="D434" i="27" s="1"/>
  <c r="D435" i="27" s="1"/>
  <c r="D436" i="27" s="1"/>
  <c r="D437" i="27" s="1"/>
  <c r="D438" i="27" s="1"/>
  <c r="D439" i="27" s="1"/>
  <c r="D440" i="27" s="1"/>
  <c r="D441" i="27" s="1"/>
  <c r="D442" i="27" s="1"/>
  <c r="D443" i="27" s="1"/>
  <c r="D444" i="27" s="1"/>
  <c r="D445" i="27" s="1"/>
  <c r="D446" i="27" s="1"/>
  <c r="D447" i="27" s="1"/>
  <c r="D448" i="27" s="1"/>
  <c r="D449" i="27" s="1"/>
  <c r="D450" i="27" s="1"/>
  <c r="D451" i="27" s="1"/>
  <c r="D452" i="27" s="1"/>
  <c r="D453" i="27" s="1"/>
  <c r="D454" i="27" s="1"/>
  <c r="D455" i="27" s="1"/>
  <c r="D456" i="27" s="1"/>
  <c r="D457" i="27" s="1"/>
  <c r="D458" i="27" s="1"/>
  <c r="D459" i="27" s="1"/>
  <c r="D460" i="27" s="1"/>
  <c r="D461" i="27" s="1"/>
  <c r="D462" i="27" s="1"/>
  <c r="D463" i="27" s="1"/>
  <c r="D464" i="27" s="1"/>
  <c r="D465" i="27" s="1"/>
  <c r="D466" i="27" s="1"/>
  <c r="D467" i="27" s="1"/>
  <c r="D468" i="27" s="1"/>
  <c r="D469" i="27" s="1"/>
  <c r="D470" i="27" s="1"/>
  <c r="D471" i="27" s="1"/>
  <c r="D472" i="27" s="1"/>
  <c r="D473" i="27" s="1"/>
  <c r="D474" i="27" s="1"/>
  <c r="D475" i="27" s="1"/>
  <c r="D476" i="27" s="1"/>
  <c r="D477" i="27" s="1"/>
  <c r="D478" i="27" s="1"/>
  <c r="D479" i="27" s="1"/>
  <c r="D480" i="27" s="1"/>
  <c r="D481" i="27" s="1"/>
  <c r="D482" i="27" s="1"/>
  <c r="D483" i="27" s="1"/>
  <c r="D484" i="27" s="1"/>
  <c r="D485" i="27" s="1"/>
  <c r="D486" i="27" s="1"/>
  <c r="D487" i="27" s="1"/>
  <c r="D488" i="27" s="1"/>
  <c r="D489" i="27" s="1"/>
  <c r="D490" i="27" s="1"/>
  <c r="D491" i="27" s="1"/>
  <c r="D492" i="27" s="1"/>
  <c r="D493" i="27" s="1"/>
  <c r="D494" i="27" s="1"/>
  <c r="D495" i="27" s="1"/>
  <c r="D496" i="27" s="1"/>
  <c r="D497" i="27" s="1"/>
  <c r="D498" i="27" s="1"/>
  <c r="D499" i="27" s="1"/>
  <c r="D500" i="27" s="1"/>
  <c r="D501" i="27" s="1"/>
  <c r="D502" i="27" s="1"/>
  <c r="D503" i="27" s="1"/>
  <c r="D504" i="27" s="1"/>
  <c r="D505" i="27" s="1"/>
  <c r="D506" i="27" s="1"/>
  <c r="D507" i="27" s="1"/>
  <c r="D508" i="27" s="1"/>
  <c r="D509" i="27" s="1"/>
  <c r="D510" i="27" s="1"/>
  <c r="D511" i="27" s="1"/>
  <c r="D512" i="27" s="1"/>
  <c r="D513" i="27" s="1"/>
  <c r="D514" i="27" s="1"/>
  <c r="D515" i="27" s="1"/>
  <c r="D516" i="27" s="1"/>
  <c r="D517" i="27" s="1"/>
  <c r="D518" i="27" s="1"/>
  <c r="D519" i="27" s="1"/>
  <c r="D520" i="27" s="1"/>
  <c r="D521" i="27" s="1"/>
  <c r="D522" i="27" s="1"/>
  <c r="D523" i="27" s="1"/>
  <c r="D524" i="27" s="1"/>
  <c r="D525" i="27" s="1"/>
  <c r="D526" i="27" s="1"/>
  <c r="D527" i="27" s="1"/>
  <c r="D528" i="27" s="1"/>
  <c r="D529" i="27" s="1"/>
  <c r="D530" i="27" s="1"/>
  <c r="D531" i="27" s="1"/>
  <c r="D532" i="27" s="1"/>
  <c r="D533" i="27" s="1"/>
  <c r="D534" i="27" s="1"/>
  <c r="D535" i="27" s="1"/>
  <c r="D536" i="27" s="1"/>
  <c r="D537" i="27" s="1"/>
  <c r="D538" i="27" s="1"/>
  <c r="D539" i="27" s="1"/>
  <c r="D540" i="27" s="1"/>
  <c r="D541" i="27" s="1"/>
  <c r="D542" i="27" s="1"/>
  <c r="D543" i="27" s="1"/>
  <c r="D544" i="27" s="1"/>
  <c r="D545" i="27" s="1"/>
  <c r="D546" i="27" s="1"/>
  <c r="D547" i="27" s="1"/>
  <c r="D548" i="27" s="1"/>
  <c r="D549" i="27" s="1"/>
  <c r="D550" i="27" s="1"/>
  <c r="D551" i="27" s="1"/>
  <c r="D552" i="27" s="1"/>
  <c r="D553" i="27" s="1"/>
  <c r="D554" i="27" s="1"/>
  <c r="D555" i="27" s="1"/>
  <c r="D556" i="27" s="1"/>
  <c r="D557" i="27" s="1"/>
  <c r="D558" i="27" s="1"/>
  <c r="D559" i="27" s="1"/>
  <c r="D560" i="27" s="1"/>
  <c r="D561" i="27" s="1"/>
  <c r="D562" i="27" s="1"/>
  <c r="D563" i="27" s="1"/>
  <c r="D564" i="27" s="1"/>
  <c r="D565" i="27" s="1"/>
  <c r="D566" i="27" s="1"/>
  <c r="D567" i="27" s="1"/>
  <c r="D568" i="27" s="1"/>
  <c r="D569" i="27" s="1"/>
  <c r="D570" i="27" s="1"/>
  <c r="D571" i="27" s="1"/>
  <c r="D572" i="27" s="1"/>
  <c r="D573" i="27" s="1"/>
  <c r="D574" i="27" s="1"/>
  <c r="D575" i="27" s="1"/>
  <c r="D576" i="27" s="1"/>
  <c r="D577" i="27" s="1"/>
  <c r="D578" i="27" s="1"/>
  <c r="D579" i="27" s="1"/>
  <c r="D580" i="27" s="1"/>
  <c r="D581" i="27" s="1"/>
  <c r="D582" i="27" s="1"/>
  <c r="D583" i="27" s="1"/>
  <c r="D584" i="27" s="1"/>
  <c r="D585" i="27" s="1"/>
  <c r="D586" i="27" s="1"/>
  <c r="D587" i="27" s="1"/>
  <c r="D588" i="27" s="1"/>
  <c r="D589" i="27" s="1"/>
  <c r="D590" i="27" s="1"/>
  <c r="D591" i="27" s="1"/>
  <c r="D592" i="27" s="1"/>
  <c r="D593" i="27" s="1"/>
  <c r="D594" i="27" s="1"/>
  <c r="D595" i="27" s="1"/>
  <c r="D596" i="27" s="1"/>
  <c r="D597" i="27" s="1"/>
  <c r="D598" i="27" s="1"/>
  <c r="D599" i="27" s="1"/>
  <c r="D600" i="27" s="1"/>
  <c r="D601" i="27" s="1"/>
  <c r="D602" i="27" s="1"/>
  <c r="D603" i="27" s="1"/>
  <c r="D604" i="27" s="1"/>
  <c r="D605" i="27" s="1"/>
  <c r="D606" i="27" s="1"/>
  <c r="D607" i="27" s="1"/>
  <c r="D608" i="27" s="1"/>
  <c r="D609" i="27" s="1"/>
  <c r="D610" i="27" s="1"/>
  <c r="D611" i="27" s="1"/>
  <c r="D612" i="27" s="1"/>
  <c r="D613" i="27" s="1"/>
  <c r="D614" i="27" s="1"/>
  <c r="D615" i="27" s="1"/>
  <c r="D616" i="27" s="1"/>
  <c r="D617" i="27" s="1"/>
  <c r="D618" i="27" s="1"/>
  <c r="D619" i="27" s="1"/>
  <c r="D620" i="27" s="1"/>
  <c r="D621" i="27" s="1"/>
  <c r="D622" i="27" s="1"/>
  <c r="D623" i="27" s="1"/>
  <c r="D624" i="27" s="1"/>
  <c r="D625" i="27" s="1"/>
  <c r="D626" i="27" s="1"/>
  <c r="D627" i="27" s="1"/>
  <c r="D628" i="27" s="1"/>
  <c r="D629" i="27" s="1"/>
  <c r="D630" i="27" s="1"/>
  <c r="D631" i="27" s="1"/>
  <c r="D632" i="27" s="1"/>
  <c r="D633" i="27" s="1"/>
  <c r="D634" i="27" s="1"/>
  <c r="D635" i="27" s="1"/>
  <c r="D636" i="27" s="1"/>
  <c r="D637" i="27" s="1"/>
  <c r="D638" i="27" s="1"/>
  <c r="D639" i="27" s="1"/>
  <c r="C10" i="27"/>
  <c r="C11" i="27" s="1"/>
  <c r="C12" i="27" s="1"/>
  <c r="C13" i="27" s="1"/>
  <c r="C14" i="27" s="1"/>
  <c r="C15" i="27" s="1"/>
  <c r="C16" i="27" s="1"/>
  <c r="C17" i="27" s="1"/>
  <c r="C18" i="27" s="1"/>
  <c r="C19" i="27" s="1"/>
  <c r="C20" i="27" s="1"/>
  <c r="C21" i="27" s="1"/>
  <c r="C22" i="27" s="1"/>
  <c r="C23" i="27" s="1"/>
  <c r="C24" i="27" s="1"/>
  <c r="C25" i="27" s="1"/>
  <c r="C26" i="27" s="1"/>
  <c r="C27" i="27" s="1"/>
  <c r="C28" i="27" s="1"/>
  <c r="C29" i="27" s="1"/>
  <c r="C30" i="27" s="1"/>
  <c r="C31" i="27" s="1"/>
  <c r="C32" i="27" s="1"/>
  <c r="C33" i="27" s="1"/>
  <c r="C34" i="27" s="1"/>
  <c r="C35" i="27" s="1"/>
  <c r="C36" i="27" s="1"/>
  <c r="C37" i="27" s="1"/>
  <c r="C38" i="27" s="1"/>
  <c r="C39" i="27" s="1"/>
  <c r="C40" i="27" s="1"/>
  <c r="C41" i="27" s="1"/>
  <c r="C42" i="27" s="1"/>
  <c r="C43" i="27" s="1"/>
  <c r="C44" i="27" s="1"/>
  <c r="C45" i="27" s="1"/>
  <c r="C46" i="27" s="1"/>
  <c r="C47" i="27" s="1"/>
  <c r="C48" i="27" s="1"/>
  <c r="C49" i="27" s="1"/>
  <c r="C50" i="27" s="1"/>
  <c r="C51" i="27" s="1"/>
  <c r="C52" i="27" s="1"/>
  <c r="C53" i="27" s="1"/>
  <c r="C54" i="27" s="1"/>
  <c r="C55" i="27" s="1"/>
  <c r="C56" i="27" s="1"/>
  <c r="C57" i="27" s="1"/>
  <c r="C58" i="27" s="1"/>
  <c r="C59" i="27" s="1"/>
  <c r="C60" i="27" s="1"/>
  <c r="C61" i="27" s="1"/>
  <c r="C62" i="27" s="1"/>
  <c r="C63" i="27" s="1"/>
  <c r="C64" i="27" s="1"/>
  <c r="C65" i="27" s="1"/>
  <c r="C66" i="27" s="1"/>
  <c r="C67" i="27" s="1"/>
  <c r="C68" i="27" s="1"/>
  <c r="C69" i="27" s="1"/>
  <c r="C70" i="27" s="1"/>
  <c r="C71" i="27" s="1"/>
  <c r="C72" i="27" s="1"/>
  <c r="C73" i="27" s="1"/>
  <c r="C74" i="27" s="1"/>
  <c r="C75" i="27" s="1"/>
  <c r="C76" i="27" s="1"/>
  <c r="C77" i="27" s="1"/>
  <c r="C78" i="27" s="1"/>
  <c r="C79" i="27" s="1"/>
  <c r="C80" i="27" s="1"/>
  <c r="C81" i="27" s="1"/>
  <c r="C82" i="27" s="1"/>
  <c r="C83" i="27" s="1"/>
  <c r="C84" i="27" s="1"/>
  <c r="C85" i="27" s="1"/>
  <c r="C86" i="27" s="1"/>
  <c r="C87" i="27" s="1"/>
  <c r="C88" i="27" s="1"/>
  <c r="C89" i="27" s="1"/>
  <c r="C90" i="27" s="1"/>
  <c r="C91" i="27" s="1"/>
  <c r="C92" i="27" s="1"/>
  <c r="C93" i="27" s="1"/>
  <c r="C94" i="27" s="1"/>
  <c r="C95" i="27" s="1"/>
  <c r="C96" i="27" s="1"/>
  <c r="C97" i="27" s="1"/>
  <c r="C98" i="27" s="1"/>
  <c r="C99" i="27" s="1"/>
  <c r="C100" i="27" s="1"/>
  <c r="C101" i="27" s="1"/>
  <c r="C102" i="27" s="1"/>
  <c r="C103" i="27" s="1"/>
  <c r="C104" i="27" s="1"/>
  <c r="C105" i="27" s="1"/>
  <c r="C106" i="27" s="1"/>
  <c r="C107" i="27" s="1"/>
  <c r="C108" i="27" s="1"/>
  <c r="C109" i="27" s="1"/>
  <c r="C110" i="27" s="1"/>
  <c r="C111" i="27" s="1"/>
  <c r="C112" i="27" s="1"/>
  <c r="C113" i="27" s="1"/>
  <c r="C114" i="27" s="1"/>
  <c r="C115" i="27" s="1"/>
  <c r="C116" i="27" s="1"/>
  <c r="C117" i="27" s="1"/>
  <c r="C118" i="27" s="1"/>
  <c r="C119" i="27" s="1"/>
  <c r="C120" i="27" s="1"/>
  <c r="C121" i="27" s="1"/>
  <c r="C122" i="27" s="1"/>
  <c r="C123" i="27" s="1"/>
  <c r="C124" i="27" s="1"/>
  <c r="C125" i="27" s="1"/>
  <c r="C126" i="27" s="1"/>
  <c r="C127" i="27" s="1"/>
  <c r="C128" i="27" s="1"/>
  <c r="C129" i="27" s="1"/>
  <c r="C130" i="27" s="1"/>
  <c r="C131" i="27" s="1"/>
  <c r="C132" i="27" s="1"/>
  <c r="C133" i="27" s="1"/>
  <c r="C134" i="27" s="1"/>
  <c r="C135" i="27" s="1"/>
  <c r="C136" i="27" s="1"/>
  <c r="C137" i="27" s="1"/>
  <c r="C138" i="27" s="1"/>
  <c r="C139" i="27" s="1"/>
  <c r="C140" i="27" s="1"/>
  <c r="C141" i="27" s="1"/>
  <c r="C142" i="27" s="1"/>
  <c r="C143" i="27" s="1"/>
  <c r="C144" i="27" s="1"/>
  <c r="C145" i="27" s="1"/>
  <c r="C146" i="27" s="1"/>
  <c r="C147" i="27" s="1"/>
  <c r="C148" i="27" s="1"/>
  <c r="C149" i="27" s="1"/>
  <c r="C150" i="27" s="1"/>
  <c r="C151" i="27" s="1"/>
  <c r="C152" i="27" s="1"/>
  <c r="C153" i="27" s="1"/>
  <c r="C154" i="27" s="1"/>
  <c r="C155" i="27" s="1"/>
  <c r="C156" i="27" s="1"/>
  <c r="C157" i="27" s="1"/>
  <c r="C158" i="27" s="1"/>
  <c r="C159" i="27" s="1"/>
  <c r="C160" i="27" s="1"/>
  <c r="C161" i="27" s="1"/>
  <c r="C162" i="27" s="1"/>
  <c r="C163" i="27" s="1"/>
  <c r="C164" i="27" s="1"/>
  <c r="C165" i="27" s="1"/>
  <c r="C166" i="27" s="1"/>
  <c r="C167" i="27" s="1"/>
  <c r="C168" i="27" s="1"/>
  <c r="C169" i="27" s="1"/>
  <c r="C170" i="27" s="1"/>
  <c r="C171" i="27" s="1"/>
  <c r="C172" i="27" s="1"/>
  <c r="C173" i="27" s="1"/>
  <c r="C174" i="27" s="1"/>
  <c r="C175" i="27" s="1"/>
  <c r="C176" i="27" s="1"/>
  <c r="C177" i="27" s="1"/>
  <c r="C178" i="27" s="1"/>
  <c r="C179" i="27" s="1"/>
  <c r="C180" i="27" s="1"/>
  <c r="C181" i="27" s="1"/>
  <c r="C182" i="27" s="1"/>
  <c r="C183" i="27" s="1"/>
  <c r="C184" i="27" s="1"/>
  <c r="C185" i="27" s="1"/>
  <c r="C186" i="27" s="1"/>
  <c r="C187" i="27" s="1"/>
  <c r="C188" i="27" s="1"/>
  <c r="C189" i="27" s="1"/>
  <c r="C190" i="27" s="1"/>
  <c r="C191" i="27" s="1"/>
  <c r="C192" i="27" s="1"/>
  <c r="C193" i="27" s="1"/>
  <c r="C194" i="27" s="1"/>
  <c r="C195" i="27" s="1"/>
  <c r="C196" i="27" s="1"/>
  <c r="C197" i="27" s="1"/>
  <c r="C198" i="27" s="1"/>
  <c r="C199" i="27" s="1"/>
  <c r="C200" i="27" s="1"/>
  <c r="C201" i="27" s="1"/>
  <c r="C202" i="27" s="1"/>
  <c r="C203" i="27" s="1"/>
  <c r="C204" i="27" s="1"/>
  <c r="C205" i="27" s="1"/>
  <c r="C206" i="27" s="1"/>
  <c r="C207" i="27" s="1"/>
  <c r="C208" i="27" s="1"/>
  <c r="C209" i="27" s="1"/>
  <c r="C210" i="27" s="1"/>
  <c r="C211" i="27" s="1"/>
  <c r="C212" i="27" s="1"/>
  <c r="C213" i="27" s="1"/>
  <c r="C214" i="27" s="1"/>
  <c r="C215" i="27" s="1"/>
  <c r="C216" i="27" s="1"/>
  <c r="C217" i="27" s="1"/>
  <c r="C218" i="27" s="1"/>
  <c r="C219" i="27" s="1"/>
  <c r="C220" i="27" s="1"/>
  <c r="C221" i="27" s="1"/>
  <c r="C222" i="27" s="1"/>
  <c r="C223" i="27" s="1"/>
  <c r="C224" i="27" s="1"/>
  <c r="C225" i="27" s="1"/>
  <c r="C226" i="27" s="1"/>
  <c r="C227" i="27" s="1"/>
  <c r="C228" i="27" s="1"/>
  <c r="C229" i="27" s="1"/>
  <c r="C230" i="27" s="1"/>
  <c r="C231" i="27" s="1"/>
  <c r="C232" i="27" s="1"/>
  <c r="C233" i="27" s="1"/>
  <c r="C234" i="27" s="1"/>
  <c r="C235" i="27" s="1"/>
  <c r="C236" i="27" s="1"/>
  <c r="C237" i="27" s="1"/>
  <c r="C238" i="27" s="1"/>
  <c r="C239" i="27" s="1"/>
  <c r="C240" i="27" s="1"/>
  <c r="C241" i="27" s="1"/>
  <c r="C242" i="27" s="1"/>
  <c r="C243" i="27" s="1"/>
  <c r="C244" i="27" s="1"/>
  <c r="C245" i="27" s="1"/>
  <c r="C246" i="27" s="1"/>
  <c r="C247" i="27" s="1"/>
  <c r="C248" i="27" s="1"/>
  <c r="C249" i="27" s="1"/>
  <c r="C250" i="27" s="1"/>
  <c r="C251" i="27" s="1"/>
  <c r="C252" i="27" s="1"/>
  <c r="C253" i="27" s="1"/>
  <c r="C254" i="27" s="1"/>
  <c r="C255" i="27" s="1"/>
  <c r="C256" i="27" s="1"/>
  <c r="C257" i="27" s="1"/>
  <c r="C258" i="27" s="1"/>
  <c r="C259" i="27" s="1"/>
  <c r="C260" i="27" s="1"/>
  <c r="C261" i="27" s="1"/>
  <c r="C262" i="27" s="1"/>
  <c r="C263" i="27" s="1"/>
  <c r="C264" i="27" s="1"/>
  <c r="C265" i="27" s="1"/>
  <c r="C266" i="27" s="1"/>
  <c r="C267" i="27" s="1"/>
  <c r="C268" i="27" s="1"/>
  <c r="C269" i="27" s="1"/>
  <c r="C270" i="27" s="1"/>
  <c r="C271" i="27" s="1"/>
  <c r="C272" i="27" s="1"/>
  <c r="C273" i="27" s="1"/>
  <c r="C274" i="27" s="1"/>
  <c r="C275" i="27" s="1"/>
  <c r="C276" i="27" s="1"/>
  <c r="C277" i="27" s="1"/>
  <c r="C278" i="27" s="1"/>
  <c r="C279" i="27" s="1"/>
  <c r="C280" i="27" s="1"/>
  <c r="C281" i="27" s="1"/>
  <c r="C282" i="27" s="1"/>
  <c r="C283" i="27" s="1"/>
  <c r="C284" i="27" s="1"/>
  <c r="C285" i="27" s="1"/>
  <c r="C286" i="27" s="1"/>
  <c r="C287" i="27" s="1"/>
  <c r="C288" i="27" s="1"/>
  <c r="C289" i="27" s="1"/>
  <c r="C290" i="27" s="1"/>
  <c r="C291" i="27" s="1"/>
  <c r="C292" i="27" s="1"/>
  <c r="C293" i="27" s="1"/>
  <c r="C294" i="27" s="1"/>
  <c r="C295" i="27" s="1"/>
  <c r="C296" i="27" s="1"/>
  <c r="C297" i="27" s="1"/>
  <c r="C298" i="27" s="1"/>
  <c r="C299" i="27" s="1"/>
  <c r="C300" i="27" s="1"/>
  <c r="C301" i="27" s="1"/>
  <c r="C302" i="27" s="1"/>
  <c r="C303" i="27" s="1"/>
  <c r="C304" i="27" s="1"/>
  <c r="C305" i="27" s="1"/>
  <c r="C306" i="27" s="1"/>
  <c r="C307" i="27" s="1"/>
  <c r="C308" i="27" s="1"/>
  <c r="C309" i="27" s="1"/>
  <c r="C310" i="27" s="1"/>
  <c r="C311" i="27" s="1"/>
  <c r="C312" i="27" s="1"/>
  <c r="C313" i="27" s="1"/>
  <c r="C314" i="27" s="1"/>
  <c r="C315" i="27" s="1"/>
  <c r="C316" i="27" s="1"/>
  <c r="C317" i="27" s="1"/>
  <c r="C318" i="27" s="1"/>
  <c r="C319" i="27" s="1"/>
  <c r="C320" i="27" s="1"/>
  <c r="C321" i="27" s="1"/>
  <c r="C322" i="27" s="1"/>
  <c r="C323" i="27" s="1"/>
  <c r="C324" i="27" s="1"/>
  <c r="C325" i="27" s="1"/>
  <c r="C326" i="27" s="1"/>
  <c r="C327" i="27" s="1"/>
  <c r="C328" i="27" s="1"/>
  <c r="C329" i="27" s="1"/>
  <c r="C330" i="27" s="1"/>
  <c r="C331" i="27" s="1"/>
  <c r="C332" i="27" s="1"/>
  <c r="C333" i="27" s="1"/>
  <c r="C334" i="27" s="1"/>
  <c r="C335" i="27" s="1"/>
  <c r="C336" i="27" s="1"/>
  <c r="C337" i="27" s="1"/>
  <c r="C338" i="27" s="1"/>
  <c r="C339" i="27" s="1"/>
  <c r="C340" i="27" s="1"/>
  <c r="C341" i="27" s="1"/>
  <c r="C342" i="27" s="1"/>
  <c r="C343" i="27" s="1"/>
  <c r="C344" i="27" s="1"/>
  <c r="C345" i="27" s="1"/>
  <c r="C346" i="27" s="1"/>
  <c r="C347" i="27" s="1"/>
  <c r="C348" i="27" s="1"/>
  <c r="C349" i="27" s="1"/>
  <c r="C350" i="27" s="1"/>
  <c r="C351" i="27" s="1"/>
  <c r="C352" i="27" s="1"/>
  <c r="C353" i="27" s="1"/>
  <c r="C354" i="27" s="1"/>
  <c r="C355" i="27" s="1"/>
  <c r="C356" i="27" s="1"/>
  <c r="C357" i="27" s="1"/>
  <c r="C358" i="27" s="1"/>
  <c r="C359" i="27" s="1"/>
  <c r="C360" i="27" s="1"/>
  <c r="C361" i="27" s="1"/>
  <c r="C362" i="27" s="1"/>
  <c r="C363" i="27" s="1"/>
  <c r="C364" i="27" s="1"/>
  <c r="C365" i="27" s="1"/>
  <c r="C366" i="27" s="1"/>
  <c r="C367" i="27" s="1"/>
  <c r="C368" i="27" s="1"/>
  <c r="C369" i="27" s="1"/>
  <c r="C370" i="27" s="1"/>
  <c r="C371" i="27" s="1"/>
  <c r="C372" i="27" s="1"/>
  <c r="C373" i="27" s="1"/>
  <c r="C374" i="27" s="1"/>
  <c r="C375" i="27" s="1"/>
  <c r="C376" i="27" s="1"/>
  <c r="C377" i="27" s="1"/>
  <c r="C378" i="27" s="1"/>
  <c r="C379" i="27" s="1"/>
  <c r="C380" i="27" s="1"/>
  <c r="C381" i="27" s="1"/>
  <c r="C382" i="27" s="1"/>
  <c r="C383" i="27" s="1"/>
  <c r="C384" i="27" s="1"/>
  <c r="C385" i="27" s="1"/>
  <c r="C386" i="27" s="1"/>
  <c r="C387" i="27" s="1"/>
  <c r="C388" i="27" s="1"/>
  <c r="C389" i="27" s="1"/>
  <c r="C390" i="27" s="1"/>
  <c r="C391" i="27" s="1"/>
  <c r="C392" i="27" s="1"/>
  <c r="C393" i="27" s="1"/>
  <c r="C394" i="27" s="1"/>
  <c r="C395" i="27" s="1"/>
  <c r="C396" i="27" s="1"/>
  <c r="C397" i="27" s="1"/>
  <c r="C398" i="27" s="1"/>
  <c r="C399" i="27" s="1"/>
  <c r="C400" i="27" s="1"/>
  <c r="C401" i="27" s="1"/>
  <c r="C402" i="27" s="1"/>
  <c r="C403" i="27" s="1"/>
  <c r="C404" i="27" s="1"/>
  <c r="C405" i="27" s="1"/>
  <c r="C406" i="27" s="1"/>
  <c r="C407" i="27" s="1"/>
  <c r="C408" i="27" s="1"/>
  <c r="C409" i="27" s="1"/>
  <c r="C410" i="27" s="1"/>
  <c r="C411" i="27" s="1"/>
  <c r="C412" i="27" s="1"/>
  <c r="C413" i="27" s="1"/>
  <c r="C414" i="27" s="1"/>
  <c r="C415" i="27" s="1"/>
  <c r="C416" i="27" s="1"/>
  <c r="C417" i="27" s="1"/>
  <c r="C418" i="27" s="1"/>
  <c r="C419" i="27" s="1"/>
  <c r="C420" i="27" s="1"/>
  <c r="C421" i="27" s="1"/>
  <c r="C422" i="27" s="1"/>
  <c r="C423" i="27" s="1"/>
  <c r="C424" i="27" s="1"/>
  <c r="C425" i="27" s="1"/>
  <c r="C426" i="27" s="1"/>
  <c r="C427" i="27" s="1"/>
  <c r="C428" i="27" s="1"/>
  <c r="C429" i="27" s="1"/>
  <c r="C430" i="27" s="1"/>
  <c r="C431" i="27" s="1"/>
  <c r="C432" i="27" s="1"/>
  <c r="C433" i="27" s="1"/>
  <c r="C434" i="27" s="1"/>
  <c r="C435" i="27" s="1"/>
  <c r="C436" i="27" s="1"/>
  <c r="C437" i="27" s="1"/>
  <c r="C438" i="27" s="1"/>
  <c r="C439" i="27" s="1"/>
  <c r="C440" i="27" s="1"/>
  <c r="C441" i="27" s="1"/>
  <c r="C442" i="27" s="1"/>
  <c r="C443" i="27" s="1"/>
  <c r="C444" i="27" s="1"/>
  <c r="C445" i="27" s="1"/>
  <c r="C446" i="27" s="1"/>
  <c r="C447" i="27" s="1"/>
  <c r="C448" i="27" s="1"/>
  <c r="C449" i="27" s="1"/>
  <c r="C450" i="27" s="1"/>
  <c r="C451" i="27" s="1"/>
  <c r="C452" i="27" s="1"/>
  <c r="C453" i="27" s="1"/>
  <c r="C454" i="27" s="1"/>
  <c r="C455" i="27" s="1"/>
  <c r="C456" i="27" s="1"/>
  <c r="C457" i="27" s="1"/>
  <c r="C458" i="27" s="1"/>
  <c r="C459" i="27" s="1"/>
  <c r="C460" i="27" s="1"/>
  <c r="C461" i="27" s="1"/>
  <c r="C462" i="27" s="1"/>
  <c r="C463" i="27" s="1"/>
  <c r="C464" i="27" s="1"/>
  <c r="C465" i="27" s="1"/>
  <c r="C466" i="27" s="1"/>
  <c r="C467" i="27" s="1"/>
  <c r="C468" i="27" s="1"/>
  <c r="C469" i="27" s="1"/>
  <c r="C470" i="27" s="1"/>
  <c r="C471" i="27" s="1"/>
  <c r="C472" i="27" s="1"/>
  <c r="C473" i="27" s="1"/>
  <c r="C474" i="27" s="1"/>
  <c r="C475" i="27" s="1"/>
  <c r="C476" i="27" s="1"/>
  <c r="C477" i="27" s="1"/>
  <c r="C478" i="27" s="1"/>
  <c r="C479" i="27" s="1"/>
  <c r="C480" i="27" s="1"/>
  <c r="C481" i="27" s="1"/>
  <c r="C482" i="27" s="1"/>
  <c r="C483" i="27" s="1"/>
  <c r="C484" i="27" s="1"/>
  <c r="C485" i="27" s="1"/>
  <c r="C486" i="27" s="1"/>
  <c r="C487" i="27" s="1"/>
  <c r="C488" i="27" s="1"/>
  <c r="C489" i="27" s="1"/>
  <c r="C490" i="27" s="1"/>
  <c r="C491" i="27" s="1"/>
  <c r="C492" i="27" s="1"/>
  <c r="C493" i="27" s="1"/>
  <c r="C494" i="27" s="1"/>
  <c r="C495" i="27" s="1"/>
  <c r="C496" i="27" s="1"/>
  <c r="C497" i="27" s="1"/>
  <c r="C498" i="27" s="1"/>
  <c r="C499" i="27" s="1"/>
  <c r="C500" i="27" s="1"/>
  <c r="C501" i="27" s="1"/>
  <c r="C502" i="27" s="1"/>
  <c r="C503" i="27" s="1"/>
  <c r="C504" i="27" s="1"/>
  <c r="C505" i="27" s="1"/>
  <c r="C506" i="27" s="1"/>
  <c r="C507" i="27" s="1"/>
  <c r="C508" i="27" s="1"/>
  <c r="C509" i="27" s="1"/>
  <c r="C510" i="27" s="1"/>
  <c r="C511" i="27" s="1"/>
  <c r="C512" i="27" s="1"/>
  <c r="C513" i="27" s="1"/>
  <c r="C514" i="27" s="1"/>
  <c r="C515" i="27" s="1"/>
  <c r="C516" i="27" s="1"/>
  <c r="C517" i="27" s="1"/>
  <c r="C518" i="27" s="1"/>
  <c r="C519" i="27" s="1"/>
  <c r="C520" i="27" s="1"/>
  <c r="C521" i="27" s="1"/>
  <c r="C522" i="27" s="1"/>
  <c r="C523" i="27" s="1"/>
  <c r="C524" i="27" s="1"/>
  <c r="C525" i="27" s="1"/>
  <c r="C526" i="27" s="1"/>
  <c r="C527" i="27" s="1"/>
  <c r="C528" i="27" s="1"/>
  <c r="C529" i="27" s="1"/>
  <c r="C530" i="27" s="1"/>
  <c r="C531" i="27" s="1"/>
  <c r="C532" i="27" s="1"/>
  <c r="C533" i="27" s="1"/>
  <c r="C534" i="27" s="1"/>
  <c r="C535" i="27" s="1"/>
  <c r="C536" i="27" s="1"/>
  <c r="C537" i="27" s="1"/>
  <c r="C538" i="27" s="1"/>
  <c r="C539" i="27" s="1"/>
  <c r="C540" i="27" s="1"/>
  <c r="C541" i="27" s="1"/>
  <c r="C542" i="27" s="1"/>
  <c r="C543" i="27" s="1"/>
  <c r="C544" i="27" s="1"/>
  <c r="C545" i="27" s="1"/>
  <c r="C546" i="27" s="1"/>
  <c r="C547" i="27" s="1"/>
  <c r="C548" i="27" s="1"/>
  <c r="C549" i="27" s="1"/>
  <c r="C550" i="27" s="1"/>
  <c r="C551" i="27" s="1"/>
  <c r="C552" i="27" s="1"/>
  <c r="C553" i="27" s="1"/>
  <c r="C554" i="27" s="1"/>
  <c r="C555" i="27" s="1"/>
  <c r="C556" i="27" s="1"/>
  <c r="C557" i="27" s="1"/>
  <c r="C558" i="27" s="1"/>
  <c r="C559" i="27" s="1"/>
  <c r="C560" i="27" s="1"/>
  <c r="C561" i="27" s="1"/>
  <c r="C562" i="27" s="1"/>
  <c r="C563" i="27" s="1"/>
  <c r="C564" i="27" s="1"/>
  <c r="C565" i="27" s="1"/>
  <c r="C566" i="27" s="1"/>
  <c r="C567" i="27" s="1"/>
  <c r="C568" i="27" s="1"/>
  <c r="C569" i="27" s="1"/>
  <c r="C570" i="27" s="1"/>
  <c r="C571" i="27" s="1"/>
  <c r="C572" i="27" s="1"/>
  <c r="C573" i="27" s="1"/>
  <c r="C574" i="27" s="1"/>
  <c r="C575" i="27" s="1"/>
  <c r="C576" i="27" s="1"/>
  <c r="C577" i="27" s="1"/>
  <c r="C578" i="27" s="1"/>
  <c r="C579" i="27" s="1"/>
  <c r="C580" i="27" s="1"/>
  <c r="C581" i="27" s="1"/>
  <c r="C582" i="27" s="1"/>
  <c r="C583" i="27" s="1"/>
  <c r="C584" i="27" s="1"/>
  <c r="C585" i="27" s="1"/>
  <c r="C586" i="27" s="1"/>
  <c r="C587" i="27" s="1"/>
  <c r="C588" i="27" s="1"/>
  <c r="C589" i="27" s="1"/>
  <c r="C590" i="27" s="1"/>
  <c r="C591" i="27" s="1"/>
  <c r="C592" i="27" s="1"/>
  <c r="C593" i="27" s="1"/>
  <c r="C594" i="27" s="1"/>
  <c r="C595" i="27" s="1"/>
  <c r="C596" i="27" s="1"/>
  <c r="C597" i="27" s="1"/>
  <c r="C598" i="27" s="1"/>
  <c r="C599" i="27" s="1"/>
  <c r="C600" i="27" s="1"/>
  <c r="C601" i="27" s="1"/>
  <c r="C602" i="27" s="1"/>
  <c r="C603" i="27" s="1"/>
  <c r="C604" i="27" s="1"/>
  <c r="C605" i="27" s="1"/>
  <c r="C606" i="27" s="1"/>
  <c r="C607" i="27" s="1"/>
  <c r="C608" i="27" s="1"/>
  <c r="C609" i="27" s="1"/>
  <c r="C610" i="27" s="1"/>
  <c r="C611" i="27" s="1"/>
  <c r="C612" i="27" s="1"/>
  <c r="C613" i="27" s="1"/>
  <c r="C614" i="27" s="1"/>
  <c r="C615" i="27" s="1"/>
  <c r="C616" i="27" s="1"/>
  <c r="C617" i="27" s="1"/>
  <c r="C618" i="27" s="1"/>
  <c r="C619" i="27" s="1"/>
  <c r="C620" i="27" s="1"/>
  <c r="C621" i="27" s="1"/>
  <c r="C622" i="27" s="1"/>
  <c r="C623" i="27" s="1"/>
  <c r="C624" i="27" s="1"/>
  <c r="C625" i="27" s="1"/>
  <c r="C626" i="27" s="1"/>
  <c r="C627" i="27" s="1"/>
  <c r="C628" i="27" s="1"/>
  <c r="C629" i="27" s="1"/>
  <c r="C630" i="27" s="1"/>
  <c r="C631" i="27" s="1"/>
  <c r="C632" i="27" s="1"/>
  <c r="C633" i="27" s="1"/>
  <c r="C634" i="27" s="1"/>
  <c r="C635" i="27" s="1"/>
  <c r="C636" i="27" s="1"/>
  <c r="C637" i="27" s="1"/>
  <c r="C638" i="27" s="1"/>
  <c r="C639" i="27" s="1"/>
  <c r="C640" i="27" s="1"/>
  <c r="C641" i="27" s="1"/>
  <c r="C642" i="27" s="1"/>
  <c r="C643" i="27" s="1"/>
  <c r="C644" i="27" s="1"/>
  <c r="C645" i="27" s="1"/>
  <c r="C646" i="27" s="1"/>
  <c r="C647" i="27" s="1"/>
  <c r="C648" i="27" s="1"/>
  <c r="C649" i="27" s="1"/>
  <c r="C650" i="27" s="1"/>
  <c r="C651" i="27" s="1"/>
  <c r="C652" i="27" s="1"/>
  <c r="C653" i="27" s="1"/>
  <c r="C654" i="27" s="1"/>
  <c r="C655" i="27" s="1"/>
  <c r="C656" i="27" s="1"/>
  <c r="C657" i="27" s="1"/>
  <c r="C658" i="27" s="1"/>
  <c r="C659" i="27" s="1"/>
  <c r="C660" i="27" s="1"/>
  <c r="C661" i="27" s="1"/>
  <c r="C662" i="27" s="1"/>
  <c r="C663" i="27" s="1"/>
  <c r="C664" i="27" s="1"/>
  <c r="C665" i="27" s="1"/>
  <c r="C666" i="27" s="1"/>
  <c r="C667" i="27" s="1"/>
  <c r="C668" i="27" s="1"/>
  <c r="C669" i="27" s="1"/>
  <c r="C670" i="27" s="1"/>
  <c r="C671" i="27" s="1"/>
  <c r="C672" i="27" s="1"/>
  <c r="C673" i="27" s="1"/>
  <c r="C674" i="27" s="1"/>
  <c r="C675" i="27" s="1"/>
  <c r="C676" i="27" s="1"/>
  <c r="C677" i="27" s="1"/>
  <c r="C678" i="27" s="1"/>
  <c r="C679" i="27" s="1"/>
  <c r="C680" i="27" s="1"/>
  <c r="C681" i="27" s="1"/>
  <c r="C682" i="27" s="1"/>
  <c r="C683" i="27" s="1"/>
  <c r="C684" i="27" s="1"/>
  <c r="C685" i="27" s="1"/>
  <c r="C686" i="27" s="1"/>
  <c r="C687" i="27" s="1"/>
  <c r="C688" i="27" s="1"/>
  <c r="C689" i="27" s="1"/>
  <c r="C690" i="27" s="1"/>
  <c r="C691" i="27" s="1"/>
  <c r="C692" i="27" s="1"/>
  <c r="C693" i="27" s="1"/>
  <c r="C694" i="27" s="1"/>
  <c r="C695" i="27" s="1"/>
  <c r="C696" i="27" s="1"/>
  <c r="C697" i="27" s="1"/>
  <c r="C698" i="27" s="1"/>
  <c r="C699" i="27" s="1"/>
  <c r="C700" i="27" s="1"/>
  <c r="C701" i="27" s="1"/>
  <c r="C702" i="27" s="1"/>
  <c r="C703" i="27" s="1"/>
  <c r="C704" i="27" s="1"/>
  <c r="C705" i="27" s="1"/>
  <c r="C706" i="27" s="1"/>
  <c r="C707" i="27" s="1"/>
  <c r="C708" i="27" s="1"/>
  <c r="C709" i="27" s="1"/>
  <c r="C710" i="27" s="1"/>
  <c r="C711" i="27" s="1"/>
  <c r="C712" i="27" s="1"/>
  <c r="C713" i="27" s="1"/>
  <c r="C714" i="27" s="1"/>
  <c r="C715" i="27" s="1"/>
  <c r="C716" i="27" s="1"/>
  <c r="C717" i="27" s="1"/>
  <c r="C718" i="27" s="1"/>
  <c r="C719" i="27" s="1"/>
  <c r="C720" i="27" s="1"/>
  <c r="C721" i="27" s="1"/>
  <c r="C722" i="27" s="1"/>
  <c r="C723" i="27" s="1"/>
  <c r="C724" i="27" s="1"/>
  <c r="C725" i="27" s="1"/>
  <c r="C726" i="27" s="1"/>
  <c r="C727" i="27" s="1"/>
  <c r="C728" i="27" s="1"/>
  <c r="B10" i="27"/>
  <c r="B11" i="27" s="1"/>
  <c r="B12" i="27" s="1"/>
  <c r="B13" i="27" s="1"/>
  <c r="B14" i="27" s="1"/>
  <c r="B15" i="27" s="1"/>
  <c r="B16" i="27" s="1"/>
  <c r="B17" i="27" s="1"/>
  <c r="B18" i="27" s="1"/>
  <c r="B19" i="27" s="1"/>
  <c r="AV639" i="27"/>
  <c r="AV640" i="27"/>
  <c r="AV641" i="27"/>
  <c r="AV642" i="27"/>
  <c r="AV643" i="27"/>
  <c r="AV644" i="27"/>
  <c r="AW644" i="27"/>
  <c r="AV645" i="27"/>
  <c r="AV646" i="27"/>
  <c r="AV647" i="27"/>
  <c r="AV648" i="27"/>
  <c r="AV649" i="27"/>
  <c r="AV650" i="27"/>
  <c r="AV651" i="27"/>
  <c r="AV652" i="27"/>
  <c r="AV653" i="27"/>
  <c r="AV654" i="27"/>
  <c r="AV655" i="27"/>
  <c r="AV656" i="27"/>
  <c r="AV657" i="27"/>
  <c r="AV658" i="27"/>
  <c r="AV659" i="27"/>
  <c r="AV660" i="27"/>
  <c r="AV661" i="27"/>
  <c r="AV662" i="27"/>
  <c r="AV663" i="27"/>
  <c r="AV664" i="27"/>
  <c r="AV665" i="27"/>
  <c r="AV666" i="27"/>
  <c r="AV667" i="27"/>
  <c r="AV668" i="27"/>
  <c r="AV669" i="27"/>
  <c r="AV670" i="27"/>
  <c r="AV671" i="27"/>
  <c r="AV672" i="27"/>
  <c r="AV673" i="27"/>
  <c r="AV674" i="27"/>
  <c r="AW674" i="27"/>
  <c r="AV675" i="27"/>
  <c r="AV676" i="27"/>
  <c r="AV677" i="27"/>
  <c r="AV678" i="27"/>
  <c r="AV679" i="27"/>
  <c r="AV680" i="27"/>
  <c r="AV681" i="27"/>
  <c r="AV682" i="27"/>
  <c r="AV683" i="27"/>
  <c r="AV684" i="27"/>
  <c r="AV685" i="27"/>
  <c r="AV686" i="27"/>
  <c r="AV687" i="27"/>
  <c r="AV688" i="27"/>
  <c r="AV689" i="27"/>
  <c r="AV690" i="27"/>
  <c r="AW690" i="27"/>
  <c r="AV691" i="27"/>
  <c r="AV692" i="27"/>
  <c r="AV693" i="27"/>
  <c r="AV694" i="27"/>
  <c r="AV695" i="27"/>
  <c r="AV696" i="27"/>
  <c r="AV697" i="27"/>
  <c r="AV698" i="27"/>
  <c r="AV699" i="27"/>
  <c r="AV700" i="27"/>
  <c r="AV701" i="27"/>
  <c r="AV702" i="27"/>
  <c r="AV703" i="27"/>
  <c r="AV704" i="27"/>
  <c r="AV705" i="27"/>
  <c r="AV706" i="27"/>
  <c r="AV707" i="27"/>
  <c r="AV708" i="27"/>
  <c r="AV709" i="27"/>
  <c r="AV710" i="27"/>
  <c r="AV711" i="27"/>
  <c r="AV712" i="27"/>
  <c r="AV713" i="27"/>
  <c r="AV714" i="27"/>
  <c r="AV715" i="27"/>
  <c r="AV716" i="27"/>
  <c r="AV717" i="27"/>
  <c r="AV718" i="27"/>
  <c r="AV719" i="27"/>
  <c r="AV720" i="27"/>
  <c r="AV721" i="27"/>
  <c r="AV722" i="27"/>
  <c r="AV723" i="27"/>
  <c r="AV724" i="27"/>
  <c r="AV725" i="27"/>
  <c r="AV726" i="27"/>
  <c r="AV727" i="27"/>
  <c r="AV728" i="27"/>
  <c r="U9" i="27"/>
  <c r="BB9" i="27" s="1"/>
  <c r="AG9" i="27"/>
  <c r="E1" i="29"/>
  <c r="AN20" i="27" l="1"/>
  <c r="AO19" i="27"/>
  <c r="AP19" i="27"/>
  <c r="AS20" i="27"/>
  <c r="AS19" i="27"/>
  <c r="AG20" i="27"/>
  <c r="AA21" i="27"/>
  <c r="AC19" i="27"/>
  <c r="AB20" i="27"/>
  <c r="AD19" i="27"/>
  <c r="AE19" i="27" s="1"/>
  <c r="P20" i="27"/>
  <c r="Q19" i="27"/>
  <c r="S19" i="27" s="1"/>
  <c r="T19" i="27" s="1"/>
  <c r="R19" i="27"/>
  <c r="AU19" i="27"/>
  <c r="B20" i="27"/>
  <c r="O20" i="27"/>
  <c r="U19" i="27"/>
  <c r="AU17" i="27"/>
  <c r="AU16" i="27"/>
  <c r="AU15" i="27"/>
  <c r="AU14" i="27"/>
  <c r="AU13" i="27"/>
  <c r="AU12" i="27"/>
  <c r="AU11" i="27"/>
  <c r="AU10" i="27"/>
  <c r="B636" i="30"/>
  <c r="D640" i="27"/>
  <c r="AG21" i="27"/>
  <c r="AA22" i="27"/>
  <c r="I20" i="27"/>
  <c r="AF19" i="27"/>
  <c r="AG19" i="27"/>
  <c r="Q20" i="27"/>
  <c r="R20" i="27"/>
  <c r="P21" i="27"/>
  <c r="AM21" i="27"/>
  <c r="AW714" i="27"/>
  <c r="AW654" i="27"/>
  <c r="AW641" i="27"/>
  <c r="AW655" i="27"/>
  <c r="AW684" i="27"/>
  <c r="AW656" i="27"/>
  <c r="AW677" i="27"/>
  <c r="AW663" i="27"/>
  <c r="AW705" i="27"/>
  <c r="AW666" i="27"/>
  <c r="AW712" i="27"/>
  <c r="AW670" i="27"/>
  <c r="AW719" i="27"/>
  <c r="AW694" i="27"/>
  <c r="AW651" i="27"/>
  <c r="AW711" i="27"/>
  <c r="AW723" i="27"/>
  <c r="AW673" i="27"/>
  <c r="AW702" i="27"/>
  <c r="AW701" i="27"/>
  <c r="AW662" i="27"/>
  <c r="AW697" i="27"/>
  <c r="AW645" i="27"/>
  <c r="AW683" i="27"/>
  <c r="AW639" i="27"/>
  <c r="AW678" i="27"/>
  <c r="AW706" i="27"/>
  <c r="AW689" i="27"/>
  <c r="AW667" i="27"/>
  <c r="AW649" i="27"/>
  <c r="AW643" i="27"/>
  <c r="AW717" i="27"/>
  <c r="BC9" i="27"/>
  <c r="A631" i="30"/>
  <c r="C631" i="30"/>
  <c r="A632" i="30"/>
  <c r="C632" i="30"/>
  <c r="A633" i="30"/>
  <c r="C633" i="30"/>
  <c r="A634" i="30"/>
  <c r="C634" i="30"/>
  <c r="A635" i="30"/>
  <c r="C635" i="30"/>
  <c r="A7" i="30"/>
  <c r="B7" i="30"/>
  <c r="C7" i="30"/>
  <c r="A8" i="30"/>
  <c r="B8" i="30"/>
  <c r="C8" i="30"/>
  <c r="A9" i="30"/>
  <c r="B9" i="30"/>
  <c r="C9" i="30"/>
  <c r="A10" i="30"/>
  <c r="B10" i="30"/>
  <c r="C10" i="30"/>
  <c r="A11" i="30"/>
  <c r="B11" i="30"/>
  <c r="C11" i="30"/>
  <c r="A12" i="30"/>
  <c r="B12" i="30"/>
  <c r="C12" i="30"/>
  <c r="A13" i="30"/>
  <c r="B13" i="30"/>
  <c r="C13" i="30"/>
  <c r="A14" i="30"/>
  <c r="B14" i="30"/>
  <c r="C14" i="30"/>
  <c r="A15" i="30"/>
  <c r="B15" i="30"/>
  <c r="C15" i="30"/>
  <c r="A16" i="30"/>
  <c r="C16" i="30"/>
  <c r="A17" i="30"/>
  <c r="C17" i="30"/>
  <c r="A18" i="30"/>
  <c r="C18" i="30"/>
  <c r="A19" i="30"/>
  <c r="C19" i="30"/>
  <c r="A20" i="30"/>
  <c r="C20" i="30"/>
  <c r="A21" i="30"/>
  <c r="C21" i="30"/>
  <c r="A22" i="30"/>
  <c r="C22" i="30"/>
  <c r="A23" i="30"/>
  <c r="C23" i="30"/>
  <c r="A24" i="30"/>
  <c r="C24" i="30"/>
  <c r="A25" i="30"/>
  <c r="C25" i="30"/>
  <c r="A26" i="30"/>
  <c r="C26" i="30"/>
  <c r="A27" i="30"/>
  <c r="C27" i="30"/>
  <c r="A28" i="30"/>
  <c r="C28" i="30"/>
  <c r="A29" i="30"/>
  <c r="C29" i="30"/>
  <c r="A30" i="30"/>
  <c r="C30" i="30"/>
  <c r="A31" i="30"/>
  <c r="C31" i="30"/>
  <c r="A32" i="30"/>
  <c r="C32" i="30"/>
  <c r="A33" i="30"/>
  <c r="C33" i="30"/>
  <c r="A34" i="30"/>
  <c r="C34" i="30"/>
  <c r="A35" i="30"/>
  <c r="C35" i="30"/>
  <c r="A36" i="30"/>
  <c r="C36" i="30"/>
  <c r="A37" i="30"/>
  <c r="C37" i="30"/>
  <c r="A38" i="30"/>
  <c r="C38" i="30"/>
  <c r="A39" i="30"/>
  <c r="C39" i="30"/>
  <c r="A40" i="30"/>
  <c r="C40" i="30"/>
  <c r="A41" i="30"/>
  <c r="C41" i="30"/>
  <c r="A42" i="30"/>
  <c r="C42" i="30"/>
  <c r="A43" i="30"/>
  <c r="C43" i="30"/>
  <c r="A44" i="30"/>
  <c r="C44" i="30"/>
  <c r="A45" i="30"/>
  <c r="C45" i="30"/>
  <c r="A46" i="30"/>
  <c r="C46" i="30"/>
  <c r="A47" i="30"/>
  <c r="C47" i="30"/>
  <c r="A48" i="30"/>
  <c r="C48" i="30"/>
  <c r="A49" i="30"/>
  <c r="C49" i="30"/>
  <c r="A50" i="30"/>
  <c r="C50" i="30"/>
  <c r="A51" i="30"/>
  <c r="C51" i="30"/>
  <c r="A52" i="30"/>
  <c r="C52" i="30"/>
  <c r="A53" i="30"/>
  <c r="C53" i="30"/>
  <c r="A54" i="30"/>
  <c r="C54" i="30"/>
  <c r="A55" i="30"/>
  <c r="C55" i="30"/>
  <c r="A56" i="30"/>
  <c r="C56" i="30"/>
  <c r="A57" i="30"/>
  <c r="C57" i="30"/>
  <c r="A58" i="30"/>
  <c r="C58" i="30"/>
  <c r="A59" i="30"/>
  <c r="C59" i="30"/>
  <c r="A60" i="30"/>
  <c r="C60" i="30"/>
  <c r="A61" i="30"/>
  <c r="C61" i="30"/>
  <c r="A62" i="30"/>
  <c r="C62" i="30"/>
  <c r="A63" i="30"/>
  <c r="C63" i="30"/>
  <c r="A64" i="30"/>
  <c r="C64" i="30"/>
  <c r="A65" i="30"/>
  <c r="C65" i="30"/>
  <c r="A66" i="30"/>
  <c r="C66" i="30"/>
  <c r="A67" i="30"/>
  <c r="C67" i="30"/>
  <c r="A68" i="30"/>
  <c r="C68" i="30"/>
  <c r="A69" i="30"/>
  <c r="C69" i="30"/>
  <c r="A70" i="30"/>
  <c r="C70" i="30"/>
  <c r="A71" i="30"/>
  <c r="C71" i="30"/>
  <c r="A72" i="30"/>
  <c r="C72" i="30"/>
  <c r="A73" i="30"/>
  <c r="C73" i="30"/>
  <c r="A74" i="30"/>
  <c r="C74" i="30"/>
  <c r="A75" i="30"/>
  <c r="C75" i="30"/>
  <c r="A76" i="30"/>
  <c r="C76" i="30"/>
  <c r="A77" i="30"/>
  <c r="C77" i="30"/>
  <c r="A78" i="30"/>
  <c r="C78" i="30"/>
  <c r="A79" i="30"/>
  <c r="C79" i="30"/>
  <c r="A80" i="30"/>
  <c r="C80" i="30"/>
  <c r="A81" i="30"/>
  <c r="C81" i="30"/>
  <c r="A82" i="30"/>
  <c r="C82" i="30"/>
  <c r="A83" i="30"/>
  <c r="C83" i="30"/>
  <c r="A84" i="30"/>
  <c r="C84" i="30"/>
  <c r="A85" i="30"/>
  <c r="C85" i="30"/>
  <c r="A86" i="30"/>
  <c r="C86" i="30"/>
  <c r="A87" i="30"/>
  <c r="C87" i="30"/>
  <c r="A88" i="30"/>
  <c r="C88" i="30"/>
  <c r="A89" i="30"/>
  <c r="C89" i="30"/>
  <c r="A90" i="30"/>
  <c r="C90" i="30"/>
  <c r="A91" i="30"/>
  <c r="C91" i="30"/>
  <c r="A92" i="30"/>
  <c r="C92" i="30"/>
  <c r="A93" i="30"/>
  <c r="C93" i="30"/>
  <c r="A94" i="30"/>
  <c r="C94" i="30"/>
  <c r="A95" i="30"/>
  <c r="C95" i="30"/>
  <c r="A96" i="30"/>
  <c r="C96" i="30"/>
  <c r="A97" i="30"/>
  <c r="C97" i="30"/>
  <c r="A98" i="30"/>
  <c r="C98" i="30"/>
  <c r="A99" i="30"/>
  <c r="C99" i="30"/>
  <c r="A100" i="30"/>
  <c r="C100" i="30"/>
  <c r="A101" i="30"/>
  <c r="C101" i="30"/>
  <c r="A102" i="30"/>
  <c r="C102" i="30"/>
  <c r="A103" i="30"/>
  <c r="C103" i="30"/>
  <c r="A104" i="30"/>
  <c r="C104" i="30"/>
  <c r="A105" i="30"/>
  <c r="C105" i="30"/>
  <c r="A106" i="30"/>
  <c r="C106" i="30"/>
  <c r="A107" i="30"/>
  <c r="C107" i="30"/>
  <c r="A108" i="30"/>
  <c r="C108" i="30"/>
  <c r="A109" i="30"/>
  <c r="C109" i="30"/>
  <c r="A110" i="30"/>
  <c r="C110" i="30"/>
  <c r="A111" i="30"/>
  <c r="C111" i="30"/>
  <c r="A112" i="30"/>
  <c r="C112" i="30"/>
  <c r="A113" i="30"/>
  <c r="C113" i="30"/>
  <c r="A114" i="30"/>
  <c r="C114" i="30"/>
  <c r="A115" i="30"/>
  <c r="C115" i="30"/>
  <c r="A116" i="30"/>
  <c r="C116" i="30"/>
  <c r="A117" i="30"/>
  <c r="C117" i="30"/>
  <c r="A118" i="30"/>
  <c r="C118" i="30"/>
  <c r="A119" i="30"/>
  <c r="C119" i="30"/>
  <c r="A120" i="30"/>
  <c r="C120" i="30"/>
  <c r="A121" i="30"/>
  <c r="C121" i="30"/>
  <c r="A122" i="30"/>
  <c r="C122" i="30"/>
  <c r="A123" i="30"/>
  <c r="C123" i="30"/>
  <c r="A124" i="30"/>
  <c r="C124" i="30"/>
  <c r="A125" i="30"/>
  <c r="C125" i="30"/>
  <c r="A126" i="30"/>
  <c r="C126" i="30"/>
  <c r="A127" i="30"/>
  <c r="C127" i="30"/>
  <c r="A128" i="30"/>
  <c r="C128" i="30"/>
  <c r="A129" i="30"/>
  <c r="C129" i="30"/>
  <c r="A130" i="30"/>
  <c r="C130" i="30"/>
  <c r="A131" i="30"/>
  <c r="C131" i="30"/>
  <c r="A132" i="30"/>
  <c r="C132" i="30"/>
  <c r="A133" i="30"/>
  <c r="C133" i="30"/>
  <c r="A134" i="30"/>
  <c r="C134" i="30"/>
  <c r="A135" i="30"/>
  <c r="C135" i="30"/>
  <c r="A136" i="30"/>
  <c r="C136" i="30"/>
  <c r="A137" i="30"/>
  <c r="C137" i="30"/>
  <c r="A138" i="30"/>
  <c r="C138" i="30"/>
  <c r="A139" i="30"/>
  <c r="C139" i="30"/>
  <c r="A140" i="30"/>
  <c r="C140" i="30"/>
  <c r="A141" i="30"/>
  <c r="C141" i="30"/>
  <c r="A142" i="30"/>
  <c r="C142" i="30"/>
  <c r="A143" i="30"/>
  <c r="C143" i="30"/>
  <c r="A144" i="30"/>
  <c r="C144" i="30"/>
  <c r="A145" i="30"/>
  <c r="C145" i="30"/>
  <c r="A146" i="30"/>
  <c r="C146" i="30"/>
  <c r="A147" i="30"/>
  <c r="C147" i="30"/>
  <c r="A148" i="30"/>
  <c r="C148" i="30"/>
  <c r="A149" i="30"/>
  <c r="C149" i="30"/>
  <c r="A150" i="30"/>
  <c r="C150" i="30"/>
  <c r="A151" i="30"/>
  <c r="C151" i="30"/>
  <c r="A152" i="30"/>
  <c r="C152" i="30"/>
  <c r="A153" i="30"/>
  <c r="C153" i="30"/>
  <c r="A154" i="30"/>
  <c r="C154" i="30"/>
  <c r="A155" i="30"/>
  <c r="C155" i="30"/>
  <c r="A156" i="30"/>
  <c r="C156" i="30"/>
  <c r="A157" i="30"/>
  <c r="C157" i="30"/>
  <c r="A158" i="30"/>
  <c r="C158" i="30"/>
  <c r="A159" i="30"/>
  <c r="C159" i="30"/>
  <c r="A160" i="30"/>
  <c r="C160" i="30"/>
  <c r="A161" i="30"/>
  <c r="C161" i="30"/>
  <c r="A162" i="30"/>
  <c r="C162" i="30"/>
  <c r="A163" i="30"/>
  <c r="C163" i="30"/>
  <c r="A164" i="30"/>
  <c r="C164" i="30"/>
  <c r="A165" i="30"/>
  <c r="C165" i="30"/>
  <c r="A166" i="30"/>
  <c r="C166" i="30"/>
  <c r="A167" i="30"/>
  <c r="C167" i="30"/>
  <c r="A168" i="30"/>
  <c r="C168" i="30"/>
  <c r="A169" i="30"/>
  <c r="C169" i="30"/>
  <c r="A170" i="30"/>
  <c r="C170" i="30"/>
  <c r="A171" i="30"/>
  <c r="C171" i="30"/>
  <c r="A172" i="30"/>
  <c r="C172" i="30"/>
  <c r="A173" i="30"/>
  <c r="C173" i="30"/>
  <c r="A174" i="30"/>
  <c r="C174" i="30"/>
  <c r="A175" i="30"/>
  <c r="C175" i="30"/>
  <c r="A176" i="30"/>
  <c r="C176" i="30"/>
  <c r="A177" i="30"/>
  <c r="C177" i="30"/>
  <c r="A178" i="30"/>
  <c r="C178" i="30"/>
  <c r="A179" i="30"/>
  <c r="C179" i="30"/>
  <c r="A180" i="30"/>
  <c r="C180" i="30"/>
  <c r="A181" i="30"/>
  <c r="C181" i="30"/>
  <c r="A182" i="30"/>
  <c r="C182" i="30"/>
  <c r="A183" i="30"/>
  <c r="C183" i="30"/>
  <c r="A184" i="30"/>
  <c r="C184" i="30"/>
  <c r="A185" i="30"/>
  <c r="C185" i="30"/>
  <c r="A186" i="30"/>
  <c r="C186" i="30"/>
  <c r="A187" i="30"/>
  <c r="C187" i="30"/>
  <c r="A188" i="30"/>
  <c r="C188" i="30"/>
  <c r="A189" i="30"/>
  <c r="C189" i="30"/>
  <c r="A190" i="30"/>
  <c r="C190" i="30"/>
  <c r="A191" i="30"/>
  <c r="C191" i="30"/>
  <c r="A192" i="30"/>
  <c r="C192" i="30"/>
  <c r="A193" i="30"/>
  <c r="C193" i="30"/>
  <c r="A194" i="30"/>
  <c r="C194" i="30"/>
  <c r="A195" i="30"/>
  <c r="C195" i="30"/>
  <c r="A196" i="30"/>
  <c r="C196" i="30"/>
  <c r="A197" i="30"/>
  <c r="C197" i="30"/>
  <c r="A198" i="30"/>
  <c r="C198" i="30"/>
  <c r="A199" i="30"/>
  <c r="C199" i="30"/>
  <c r="A200" i="30"/>
  <c r="C200" i="30"/>
  <c r="A201" i="30"/>
  <c r="C201" i="30"/>
  <c r="A202" i="30"/>
  <c r="C202" i="30"/>
  <c r="A203" i="30"/>
  <c r="C203" i="30"/>
  <c r="A204" i="30"/>
  <c r="C204" i="30"/>
  <c r="A205" i="30"/>
  <c r="C205" i="30"/>
  <c r="A206" i="30"/>
  <c r="C206" i="30"/>
  <c r="A207" i="30"/>
  <c r="C207" i="30"/>
  <c r="A208" i="30"/>
  <c r="C208" i="30"/>
  <c r="A209" i="30"/>
  <c r="C209" i="30"/>
  <c r="A210" i="30"/>
  <c r="C210" i="30"/>
  <c r="A211" i="30"/>
  <c r="C211" i="30"/>
  <c r="A212" i="30"/>
  <c r="C212" i="30"/>
  <c r="A213" i="30"/>
  <c r="C213" i="30"/>
  <c r="A214" i="30"/>
  <c r="C214" i="30"/>
  <c r="A215" i="30"/>
  <c r="C215" i="30"/>
  <c r="A216" i="30"/>
  <c r="C216" i="30"/>
  <c r="A217" i="30"/>
  <c r="C217" i="30"/>
  <c r="A218" i="30"/>
  <c r="C218" i="30"/>
  <c r="A219" i="30"/>
  <c r="C219" i="30"/>
  <c r="A220" i="30"/>
  <c r="C220" i="30"/>
  <c r="A221" i="30"/>
  <c r="C221" i="30"/>
  <c r="A222" i="30"/>
  <c r="C222" i="30"/>
  <c r="A223" i="30"/>
  <c r="C223" i="30"/>
  <c r="A224" i="30"/>
  <c r="C224" i="30"/>
  <c r="A225" i="30"/>
  <c r="C225" i="30"/>
  <c r="A226" i="30"/>
  <c r="C226" i="30"/>
  <c r="A227" i="30"/>
  <c r="C227" i="30"/>
  <c r="A228" i="30"/>
  <c r="C228" i="30"/>
  <c r="A229" i="30"/>
  <c r="C229" i="30"/>
  <c r="A230" i="30"/>
  <c r="C230" i="30"/>
  <c r="A231" i="30"/>
  <c r="C231" i="30"/>
  <c r="A232" i="30"/>
  <c r="C232" i="30"/>
  <c r="A233" i="30"/>
  <c r="C233" i="30"/>
  <c r="A234" i="30"/>
  <c r="C234" i="30"/>
  <c r="A235" i="30"/>
  <c r="C235" i="30"/>
  <c r="A236" i="30"/>
  <c r="C236" i="30"/>
  <c r="A237" i="30"/>
  <c r="C237" i="30"/>
  <c r="A238" i="30"/>
  <c r="C238" i="30"/>
  <c r="A239" i="30"/>
  <c r="C239" i="30"/>
  <c r="A240" i="30"/>
  <c r="C240" i="30"/>
  <c r="A241" i="30"/>
  <c r="C241" i="30"/>
  <c r="A242" i="30"/>
  <c r="C242" i="30"/>
  <c r="A243" i="30"/>
  <c r="C243" i="30"/>
  <c r="A244" i="30"/>
  <c r="C244" i="30"/>
  <c r="A245" i="30"/>
  <c r="C245" i="30"/>
  <c r="A246" i="30"/>
  <c r="C246" i="30"/>
  <c r="A247" i="30"/>
  <c r="C247" i="30"/>
  <c r="A248" i="30"/>
  <c r="C248" i="30"/>
  <c r="A249" i="30"/>
  <c r="C249" i="30"/>
  <c r="A250" i="30"/>
  <c r="C250" i="30"/>
  <c r="A251" i="30"/>
  <c r="C251" i="30"/>
  <c r="A252" i="30"/>
  <c r="C252" i="30"/>
  <c r="A253" i="30"/>
  <c r="C253" i="30"/>
  <c r="A254" i="30"/>
  <c r="C254" i="30"/>
  <c r="A255" i="30"/>
  <c r="C255" i="30"/>
  <c r="A256" i="30"/>
  <c r="C256" i="30"/>
  <c r="A257" i="30"/>
  <c r="C257" i="30"/>
  <c r="A258" i="30"/>
  <c r="C258" i="30"/>
  <c r="A259" i="30"/>
  <c r="C259" i="30"/>
  <c r="A260" i="30"/>
  <c r="C260" i="30"/>
  <c r="A261" i="30"/>
  <c r="C261" i="30"/>
  <c r="A262" i="30"/>
  <c r="C262" i="30"/>
  <c r="A263" i="30"/>
  <c r="C263" i="30"/>
  <c r="A264" i="30"/>
  <c r="C264" i="30"/>
  <c r="A265" i="30"/>
  <c r="C265" i="30"/>
  <c r="A266" i="30"/>
  <c r="C266" i="30"/>
  <c r="A267" i="30"/>
  <c r="C267" i="30"/>
  <c r="A268" i="30"/>
  <c r="C268" i="30"/>
  <c r="A269" i="30"/>
  <c r="C269" i="30"/>
  <c r="A270" i="30"/>
  <c r="C270" i="30"/>
  <c r="A271" i="30"/>
  <c r="C271" i="30"/>
  <c r="A272" i="30"/>
  <c r="C272" i="30"/>
  <c r="A273" i="30"/>
  <c r="C273" i="30"/>
  <c r="A274" i="30"/>
  <c r="C274" i="30"/>
  <c r="A275" i="30"/>
  <c r="C275" i="30"/>
  <c r="A276" i="30"/>
  <c r="C276" i="30"/>
  <c r="A277" i="30"/>
  <c r="C277" i="30"/>
  <c r="A278" i="30"/>
  <c r="C278" i="30"/>
  <c r="A279" i="30"/>
  <c r="C279" i="30"/>
  <c r="A280" i="30"/>
  <c r="C280" i="30"/>
  <c r="A281" i="30"/>
  <c r="C281" i="30"/>
  <c r="A282" i="30"/>
  <c r="C282" i="30"/>
  <c r="A283" i="30"/>
  <c r="C283" i="30"/>
  <c r="A284" i="30"/>
  <c r="C284" i="30"/>
  <c r="A285" i="30"/>
  <c r="C285" i="30"/>
  <c r="A286" i="30"/>
  <c r="C286" i="30"/>
  <c r="A287" i="30"/>
  <c r="C287" i="30"/>
  <c r="A288" i="30"/>
  <c r="C288" i="30"/>
  <c r="A289" i="30"/>
  <c r="C289" i="30"/>
  <c r="A290" i="30"/>
  <c r="C290" i="30"/>
  <c r="A291" i="30"/>
  <c r="C291" i="30"/>
  <c r="A292" i="30"/>
  <c r="C292" i="30"/>
  <c r="A293" i="30"/>
  <c r="C293" i="30"/>
  <c r="A294" i="30"/>
  <c r="C294" i="30"/>
  <c r="A295" i="30"/>
  <c r="C295" i="30"/>
  <c r="A296" i="30"/>
  <c r="C296" i="30"/>
  <c r="A297" i="30"/>
  <c r="C297" i="30"/>
  <c r="A298" i="30"/>
  <c r="C298" i="30"/>
  <c r="A299" i="30"/>
  <c r="C299" i="30"/>
  <c r="A300" i="30"/>
  <c r="C300" i="30"/>
  <c r="A301" i="30"/>
  <c r="C301" i="30"/>
  <c r="A302" i="30"/>
  <c r="C302" i="30"/>
  <c r="A303" i="30"/>
  <c r="C303" i="30"/>
  <c r="A304" i="30"/>
  <c r="C304" i="30"/>
  <c r="A305" i="30"/>
  <c r="C305" i="30"/>
  <c r="A306" i="30"/>
  <c r="C306" i="30"/>
  <c r="A307" i="30"/>
  <c r="C307" i="30"/>
  <c r="A308" i="30"/>
  <c r="C308" i="30"/>
  <c r="A309" i="30"/>
  <c r="C309" i="30"/>
  <c r="A310" i="30"/>
  <c r="C310" i="30"/>
  <c r="A311" i="30"/>
  <c r="C311" i="30"/>
  <c r="A312" i="30"/>
  <c r="C312" i="30"/>
  <c r="A313" i="30"/>
  <c r="C313" i="30"/>
  <c r="A314" i="30"/>
  <c r="C314" i="30"/>
  <c r="A315" i="30"/>
  <c r="C315" i="30"/>
  <c r="A316" i="30"/>
  <c r="C316" i="30"/>
  <c r="A317" i="30"/>
  <c r="C317" i="30"/>
  <c r="A318" i="30"/>
  <c r="C318" i="30"/>
  <c r="A319" i="30"/>
  <c r="C319" i="30"/>
  <c r="A320" i="30"/>
  <c r="C320" i="30"/>
  <c r="A321" i="30"/>
  <c r="C321" i="30"/>
  <c r="A322" i="30"/>
  <c r="C322" i="30"/>
  <c r="A323" i="30"/>
  <c r="C323" i="30"/>
  <c r="A324" i="30"/>
  <c r="C324" i="30"/>
  <c r="A325" i="30"/>
  <c r="C325" i="30"/>
  <c r="A326" i="30"/>
  <c r="C326" i="30"/>
  <c r="A327" i="30"/>
  <c r="C327" i="30"/>
  <c r="A328" i="30"/>
  <c r="C328" i="30"/>
  <c r="A329" i="30"/>
  <c r="C329" i="30"/>
  <c r="A330" i="30"/>
  <c r="C330" i="30"/>
  <c r="A331" i="30"/>
  <c r="C331" i="30"/>
  <c r="A332" i="30"/>
  <c r="C332" i="30"/>
  <c r="A333" i="30"/>
  <c r="C333" i="30"/>
  <c r="A334" i="30"/>
  <c r="C334" i="30"/>
  <c r="A335" i="30"/>
  <c r="C335" i="30"/>
  <c r="A336" i="30"/>
  <c r="C336" i="30"/>
  <c r="A337" i="30"/>
  <c r="C337" i="30"/>
  <c r="A338" i="30"/>
  <c r="C338" i="30"/>
  <c r="A339" i="30"/>
  <c r="C339" i="30"/>
  <c r="A340" i="30"/>
  <c r="C340" i="30"/>
  <c r="A341" i="30"/>
  <c r="C341" i="30"/>
  <c r="A342" i="30"/>
  <c r="C342" i="30"/>
  <c r="A343" i="30"/>
  <c r="C343" i="30"/>
  <c r="A344" i="30"/>
  <c r="C344" i="30"/>
  <c r="A345" i="30"/>
  <c r="C345" i="30"/>
  <c r="A346" i="30"/>
  <c r="C346" i="30"/>
  <c r="A347" i="30"/>
  <c r="C347" i="30"/>
  <c r="A348" i="30"/>
  <c r="C348" i="30"/>
  <c r="A349" i="30"/>
  <c r="C349" i="30"/>
  <c r="A350" i="30"/>
  <c r="C350" i="30"/>
  <c r="A351" i="30"/>
  <c r="C351" i="30"/>
  <c r="A352" i="30"/>
  <c r="C352" i="30"/>
  <c r="A353" i="30"/>
  <c r="C353" i="30"/>
  <c r="A354" i="30"/>
  <c r="C354" i="30"/>
  <c r="A355" i="30"/>
  <c r="C355" i="30"/>
  <c r="A356" i="30"/>
  <c r="C356" i="30"/>
  <c r="A357" i="30"/>
  <c r="C357" i="30"/>
  <c r="A358" i="30"/>
  <c r="C358" i="30"/>
  <c r="A359" i="30"/>
  <c r="C359" i="30"/>
  <c r="A360" i="30"/>
  <c r="C360" i="30"/>
  <c r="A361" i="30"/>
  <c r="C361" i="30"/>
  <c r="A362" i="30"/>
  <c r="C362" i="30"/>
  <c r="A363" i="30"/>
  <c r="C363" i="30"/>
  <c r="A364" i="30"/>
  <c r="C364" i="30"/>
  <c r="A365" i="30"/>
  <c r="C365" i="30"/>
  <c r="A366" i="30"/>
  <c r="C366" i="30"/>
  <c r="A367" i="30"/>
  <c r="C367" i="30"/>
  <c r="A368" i="30"/>
  <c r="C368" i="30"/>
  <c r="A369" i="30"/>
  <c r="C369" i="30"/>
  <c r="A370" i="30"/>
  <c r="C370" i="30"/>
  <c r="A371" i="30"/>
  <c r="C371" i="30"/>
  <c r="A372" i="30"/>
  <c r="C372" i="30"/>
  <c r="A373" i="30"/>
  <c r="C373" i="30"/>
  <c r="A374" i="30"/>
  <c r="C374" i="30"/>
  <c r="A375" i="30"/>
  <c r="C375" i="30"/>
  <c r="A376" i="30"/>
  <c r="C376" i="30"/>
  <c r="A377" i="30"/>
  <c r="C377" i="30"/>
  <c r="A378" i="30"/>
  <c r="C378" i="30"/>
  <c r="A379" i="30"/>
  <c r="C379" i="30"/>
  <c r="A380" i="30"/>
  <c r="C380" i="30"/>
  <c r="A381" i="30"/>
  <c r="C381" i="30"/>
  <c r="A382" i="30"/>
  <c r="C382" i="30"/>
  <c r="A383" i="30"/>
  <c r="C383" i="30"/>
  <c r="A384" i="30"/>
  <c r="C384" i="30"/>
  <c r="A385" i="30"/>
  <c r="C385" i="30"/>
  <c r="A386" i="30"/>
  <c r="C386" i="30"/>
  <c r="A387" i="30"/>
  <c r="C387" i="30"/>
  <c r="A388" i="30"/>
  <c r="C388" i="30"/>
  <c r="A389" i="30"/>
  <c r="C389" i="30"/>
  <c r="A390" i="30"/>
  <c r="C390" i="30"/>
  <c r="A391" i="30"/>
  <c r="C391" i="30"/>
  <c r="A392" i="30"/>
  <c r="C392" i="30"/>
  <c r="A393" i="30"/>
  <c r="C393" i="30"/>
  <c r="A394" i="30"/>
  <c r="C394" i="30"/>
  <c r="A395" i="30"/>
  <c r="C395" i="30"/>
  <c r="A396" i="30"/>
  <c r="C396" i="30"/>
  <c r="A397" i="30"/>
  <c r="C397" i="30"/>
  <c r="A398" i="30"/>
  <c r="C398" i="30"/>
  <c r="A399" i="30"/>
  <c r="C399" i="30"/>
  <c r="A400" i="30"/>
  <c r="C400" i="30"/>
  <c r="A401" i="30"/>
  <c r="C401" i="30"/>
  <c r="A402" i="30"/>
  <c r="C402" i="30"/>
  <c r="A403" i="30"/>
  <c r="C403" i="30"/>
  <c r="A404" i="30"/>
  <c r="C404" i="30"/>
  <c r="A405" i="30"/>
  <c r="C405" i="30"/>
  <c r="A406" i="30"/>
  <c r="C406" i="30"/>
  <c r="A407" i="30"/>
  <c r="C407" i="30"/>
  <c r="A408" i="30"/>
  <c r="C408" i="30"/>
  <c r="A409" i="30"/>
  <c r="C409" i="30"/>
  <c r="A410" i="30"/>
  <c r="C410" i="30"/>
  <c r="A411" i="30"/>
  <c r="C411" i="30"/>
  <c r="A412" i="30"/>
  <c r="C412" i="30"/>
  <c r="A413" i="30"/>
  <c r="C413" i="30"/>
  <c r="A414" i="30"/>
  <c r="C414" i="30"/>
  <c r="A415" i="30"/>
  <c r="C415" i="30"/>
  <c r="A416" i="30"/>
  <c r="C416" i="30"/>
  <c r="A417" i="30"/>
  <c r="C417" i="30"/>
  <c r="A418" i="30"/>
  <c r="C418" i="30"/>
  <c r="A419" i="30"/>
  <c r="C419" i="30"/>
  <c r="A420" i="30"/>
  <c r="C420" i="30"/>
  <c r="A421" i="30"/>
  <c r="C421" i="30"/>
  <c r="A422" i="30"/>
  <c r="C422" i="30"/>
  <c r="A423" i="30"/>
  <c r="C423" i="30"/>
  <c r="A424" i="30"/>
  <c r="C424" i="30"/>
  <c r="A425" i="30"/>
  <c r="C425" i="30"/>
  <c r="A426" i="30"/>
  <c r="C426" i="30"/>
  <c r="A427" i="30"/>
  <c r="C427" i="30"/>
  <c r="A428" i="30"/>
  <c r="C428" i="30"/>
  <c r="A429" i="30"/>
  <c r="C429" i="30"/>
  <c r="A430" i="30"/>
  <c r="C430" i="30"/>
  <c r="A431" i="30"/>
  <c r="C431" i="30"/>
  <c r="A432" i="30"/>
  <c r="C432" i="30"/>
  <c r="A433" i="30"/>
  <c r="C433" i="30"/>
  <c r="A434" i="30"/>
  <c r="C434" i="30"/>
  <c r="A435" i="30"/>
  <c r="C435" i="30"/>
  <c r="A436" i="30"/>
  <c r="C436" i="30"/>
  <c r="A437" i="30"/>
  <c r="C437" i="30"/>
  <c r="A438" i="30"/>
  <c r="C438" i="30"/>
  <c r="A439" i="30"/>
  <c r="C439" i="30"/>
  <c r="A440" i="30"/>
  <c r="C440" i="30"/>
  <c r="A441" i="30"/>
  <c r="C441" i="30"/>
  <c r="A442" i="30"/>
  <c r="C442" i="30"/>
  <c r="A443" i="30"/>
  <c r="C443" i="30"/>
  <c r="A444" i="30"/>
  <c r="C444" i="30"/>
  <c r="A445" i="30"/>
  <c r="C445" i="30"/>
  <c r="A446" i="30"/>
  <c r="C446" i="30"/>
  <c r="A447" i="30"/>
  <c r="C447" i="30"/>
  <c r="A448" i="30"/>
  <c r="C448" i="30"/>
  <c r="A449" i="30"/>
  <c r="C449" i="30"/>
  <c r="A450" i="30"/>
  <c r="C450" i="30"/>
  <c r="A451" i="30"/>
  <c r="C451" i="30"/>
  <c r="A452" i="30"/>
  <c r="C452" i="30"/>
  <c r="A453" i="30"/>
  <c r="C453" i="30"/>
  <c r="A454" i="30"/>
  <c r="C454" i="30"/>
  <c r="A455" i="30"/>
  <c r="C455" i="30"/>
  <c r="A456" i="30"/>
  <c r="C456" i="30"/>
  <c r="A457" i="30"/>
  <c r="C457" i="30"/>
  <c r="A458" i="30"/>
  <c r="C458" i="30"/>
  <c r="A459" i="30"/>
  <c r="C459" i="30"/>
  <c r="A460" i="30"/>
  <c r="C460" i="30"/>
  <c r="A461" i="30"/>
  <c r="C461" i="30"/>
  <c r="A462" i="30"/>
  <c r="C462" i="30"/>
  <c r="A463" i="30"/>
  <c r="C463" i="30"/>
  <c r="A464" i="30"/>
  <c r="C464" i="30"/>
  <c r="A465" i="30"/>
  <c r="C465" i="30"/>
  <c r="A466" i="30"/>
  <c r="C466" i="30"/>
  <c r="A467" i="30"/>
  <c r="C467" i="30"/>
  <c r="A468" i="30"/>
  <c r="C468" i="30"/>
  <c r="A469" i="30"/>
  <c r="C469" i="30"/>
  <c r="A470" i="30"/>
  <c r="C470" i="30"/>
  <c r="A471" i="30"/>
  <c r="C471" i="30"/>
  <c r="A472" i="30"/>
  <c r="C472" i="30"/>
  <c r="A473" i="30"/>
  <c r="C473" i="30"/>
  <c r="A474" i="30"/>
  <c r="C474" i="30"/>
  <c r="A475" i="30"/>
  <c r="C475" i="30"/>
  <c r="A476" i="30"/>
  <c r="C476" i="30"/>
  <c r="A477" i="30"/>
  <c r="C477" i="30"/>
  <c r="A478" i="30"/>
  <c r="C478" i="30"/>
  <c r="A479" i="30"/>
  <c r="C479" i="30"/>
  <c r="A480" i="30"/>
  <c r="C480" i="30"/>
  <c r="A481" i="30"/>
  <c r="C481" i="30"/>
  <c r="A482" i="30"/>
  <c r="C482" i="30"/>
  <c r="A483" i="30"/>
  <c r="C483" i="30"/>
  <c r="A484" i="30"/>
  <c r="C484" i="30"/>
  <c r="A485" i="30"/>
  <c r="C485" i="30"/>
  <c r="A486" i="30"/>
  <c r="C486" i="30"/>
  <c r="A487" i="30"/>
  <c r="C487" i="30"/>
  <c r="A488" i="30"/>
  <c r="C488" i="30"/>
  <c r="A489" i="30"/>
  <c r="C489" i="30"/>
  <c r="A490" i="30"/>
  <c r="C490" i="30"/>
  <c r="A491" i="30"/>
  <c r="C491" i="30"/>
  <c r="A492" i="30"/>
  <c r="C492" i="30"/>
  <c r="A493" i="30"/>
  <c r="C493" i="30"/>
  <c r="A494" i="30"/>
  <c r="C494" i="30"/>
  <c r="A495" i="30"/>
  <c r="C495" i="30"/>
  <c r="A496" i="30"/>
  <c r="C496" i="30"/>
  <c r="A497" i="30"/>
  <c r="C497" i="30"/>
  <c r="A498" i="30"/>
  <c r="C498" i="30"/>
  <c r="A499" i="30"/>
  <c r="C499" i="30"/>
  <c r="A500" i="30"/>
  <c r="C500" i="30"/>
  <c r="A501" i="30"/>
  <c r="C501" i="30"/>
  <c r="A502" i="30"/>
  <c r="C502" i="30"/>
  <c r="A503" i="30"/>
  <c r="C503" i="30"/>
  <c r="A504" i="30"/>
  <c r="C504" i="30"/>
  <c r="A505" i="30"/>
  <c r="C505" i="30"/>
  <c r="A506" i="30"/>
  <c r="C506" i="30"/>
  <c r="A507" i="30"/>
  <c r="C507" i="30"/>
  <c r="A508" i="30"/>
  <c r="C508" i="30"/>
  <c r="A509" i="30"/>
  <c r="C509" i="30"/>
  <c r="A510" i="30"/>
  <c r="C510" i="30"/>
  <c r="A511" i="30"/>
  <c r="C511" i="30"/>
  <c r="A512" i="30"/>
  <c r="C512" i="30"/>
  <c r="A513" i="30"/>
  <c r="C513" i="30"/>
  <c r="A514" i="30"/>
  <c r="C514" i="30"/>
  <c r="A515" i="30"/>
  <c r="C515" i="30"/>
  <c r="A516" i="30"/>
  <c r="C516" i="30"/>
  <c r="A517" i="30"/>
  <c r="C517" i="30"/>
  <c r="A518" i="30"/>
  <c r="C518" i="30"/>
  <c r="A519" i="30"/>
  <c r="C519" i="30"/>
  <c r="A520" i="30"/>
  <c r="C520" i="30"/>
  <c r="A521" i="30"/>
  <c r="C521" i="30"/>
  <c r="A522" i="30"/>
  <c r="C522" i="30"/>
  <c r="A523" i="30"/>
  <c r="C523" i="30"/>
  <c r="A524" i="30"/>
  <c r="C524" i="30"/>
  <c r="A525" i="30"/>
  <c r="C525" i="30"/>
  <c r="A526" i="30"/>
  <c r="C526" i="30"/>
  <c r="A527" i="30"/>
  <c r="C527" i="30"/>
  <c r="A528" i="30"/>
  <c r="C528" i="30"/>
  <c r="A529" i="30"/>
  <c r="C529" i="30"/>
  <c r="A530" i="30"/>
  <c r="C530" i="30"/>
  <c r="A531" i="30"/>
  <c r="C531" i="30"/>
  <c r="A532" i="30"/>
  <c r="C532" i="30"/>
  <c r="A533" i="30"/>
  <c r="C533" i="30"/>
  <c r="A534" i="30"/>
  <c r="C534" i="30"/>
  <c r="A535" i="30"/>
  <c r="C535" i="30"/>
  <c r="A536" i="30"/>
  <c r="C536" i="30"/>
  <c r="A537" i="30"/>
  <c r="C537" i="30"/>
  <c r="A538" i="30"/>
  <c r="C538" i="30"/>
  <c r="A539" i="30"/>
  <c r="C539" i="30"/>
  <c r="A540" i="30"/>
  <c r="C540" i="30"/>
  <c r="A541" i="30"/>
  <c r="C541" i="30"/>
  <c r="A542" i="30"/>
  <c r="C542" i="30"/>
  <c r="A543" i="30"/>
  <c r="C543" i="30"/>
  <c r="A544" i="30"/>
  <c r="C544" i="30"/>
  <c r="A545" i="30"/>
  <c r="C545" i="30"/>
  <c r="A546" i="30"/>
  <c r="C546" i="30"/>
  <c r="A547" i="30"/>
  <c r="C547" i="30"/>
  <c r="A548" i="30"/>
  <c r="C548" i="30"/>
  <c r="A549" i="30"/>
  <c r="C549" i="30"/>
  <c r="A550" i="30"/>
  <c r="C550" i="30"/>
  <c r="A551" i="30"/>
  <c r="C551" i="30"/>
  <c r="A552" i="30"/>
  <c r="C552" i="30"/>
  <c r="A553" i="30"/>
  <c r="C553" i="30"/>
  <c r="A554" i="30"/>
  <c r="C554" i="30"/>
  <c r="A555" i="30"/>
  <c r="C555" i="30"/>
  <c r="A556" i="30"/>
  <c r="C556" i="30"/>
  <c r="A557" i="30"/>
  <c r="C557" i="30"/>
  <c r="A558" i="30"/>
  <c r="C558" i="30"/>
  <c r="A559" i="30"/>
  <c r="C559" i="30"/>
  <c r="A560" i="30"/>
  <c r="C560" i="30"/>
  <c r="A561" i="30"/>
  <c r="C561" i="30"/>
  <c r="A562" i="30"/>
  <c r="C562" i="30"/>
  <c r="A563" i="30"/>
  <c r="C563" i="30"/>
  <c r="A564" i="30"/>
  <c r="C564" i="30"/>
  <c r="A565" i="30"/>
  <c r="C565" i="30"/>
  <c r="A566" i="30"/>
  <c r="C566" i="30"/>
  <c r="A567" i="30"/>
  <c r="C567" i="30"/>
  <c r="A568" i="30"/>
  <c r="C568" i="30"/>
  <c r="A569" i="30"/>
  <c r="C569" i="30"/>
  <c r="A570" i="30"/>
  <c r="C570" i="30"/>
  <c r="A571" i="30"/>
  <c r="C571" i="30"/>
  <c r="A572" i="30"/>
  <c r="C572" i="30"/>
  <c r="A573" i="30"/>
  <c r="C573" i="30"/>
  <c r="A574" i="30"/>
  <c r="C574" i="30"/>
  <c r="A575" i="30"/>
  <c r="C575" i="30"/>
  <c r="A576" i="30"/>
  <c r="C576" i="30"/>
  <c r="A577" i="30"/>
  <c r="C577" i="30"/>
  <c r="A578" i="30"/>
  <c r="C578" i="30"/>
  <c r="A579" i="30"/>
  <c r="C579" i="30"/>
  <c r="A580" i="30"/>
  <c r="C580" i="30"/>
  <c r="A581" i="30"/>
  <c r="C581" i="30"/>
  <c r="A582" i="30"/>
  <c r="C582" i="30"/>
  <c r="A583" i="30"/>
  <c r="C583" i="30"/>
  <c r="A584" i="30"/>
  <c r="C584" i="30"/>
  <c r="A585" i="30"/>
  <c r="C585" i="30"/>
  <c r="A586" i="30"/>
  <c r="C586" i="30"/>
  <c r="A587" i="30"/>
  <c r="C587" i="30"/>
  <c r="A588" i="30"/>
  <c r="C588" i="30"/>
  <c r="A589" i="30"/>
  <c r="C589" i="30"/>
  <c r="A590" i="30"/>
  <c r="C590" i="30"/>
  <c r="A591" i="30"/>
  <c r="C591" i="30"/>
  <c r="A592" i="30"/>
  <c r="C592" i="30"/>
  <c r="A593" i="30"/>
  <c r="C593" i="30"/>
  <c r="A594" i="30"/>
  <c r="C594" i="30"/>
  <c r="A595" i="30"/>
  <c r="C595" i="30"/>
  <c r="A596" i="30"/>
  <c r="C596" i="30"/>
  <c r="A597" i="30"/>
  <c r="C597" i="30"/>
  <c r="A598" i="30"/>
  <c r="C598" i="30"/>
  <c r="A599" i="30"/>
  <c r="C599" i="30"/>
  <c r="A600" i="30"/>
  <c r="C600" i="30"/>
  <c r="A601" i="30"/>
  <c r="C601" i="30"/>
  <c r="A602" i="30"/>
  <c r="C602" i="30"/>
  <c r="A603" i="30"/>
  <c r="C603" i="30"/>
  <c r="A604" i="30"/>
  <c r="C604" i="30"/>
  <c r="A605" i="30"/>
  <c r="C605" i="30"/>
  <c r="A606" i="30"/>
  <c r="C606" i="30"/>
  <c r="A607" i="30"/>
  <c r="C607" i="30"/>
  <c r="A608" i="30"/>
  <c r="C608" i="30"/>
  <c r="A609" i="30"/>
  <c r="C609" i="30"/>
  <c r="A610" i="30"/>
  <c r="C610" i="30"/>
  <c r="A611" i="30"/>
  <c r="C611" i="30"/>
  <c r="A612" i="30"/>
  <c r="C612" i="30"/>
  <c r="A613" i="30"/>
  <c r="C613" i="30"/>
  <c r="A614" i="30"/>
  <c r="C614" i="30"/>
  <c r="A615" i="30"/>
  <c r="C615" i="30"/>
  <c r="A616" i="30"/>
  <c r="C616" i="30"/>
  <c r="A617" i="30"/>
  <c r="C617" i="30"/>
  <c r="A618" i="30"/>
  <c r="C618" i="30"/>
  <c r="A619" i="30"/>
  <c r="C619" i="30"/>
  <c r="A620" i="30"/>
  <c r="C620" i="30"/>
  <c r="A621" i="30"/>
  <c r="C621" i="30"/>
  <c r="A622" i="30"/>
  <c r="C622" i="30"/>
  <c r="A623" i="30"/>
  <c r="C623" i="30"/>
  <c r="A624" i="30"/>
  <c r="C624" i="30"/>
  <c r="A625" i="30"/>
  <c r="C625" i="30"/>
  <c r="A626" i="30"/>
  <c r="C626" i="30"/>
  <c r="A627" i="30"/>
  <c r="C627" i="30"/>
  <c r="A628" i="30"/>
  <c r="C628" i="30"/>
  <c r="A629" i="30"/>
  <c r="C629" i="30"/>
  <c r="A630" i="30"/>
  <c r="C630" i="30"/>
  <c r="G6" i="30"/>
  <c r="F6" i="30"/>
  <c r="E6" i="30"/>
  <c r="D6" i="30"/>
  <c r="I6" i="30" s="1"/>
  <c r="C6" i="30"/>
  <c r="A6" i="30"/>
  <c r="AQ19" i="27" l="1"/>
  <c r="AR19" i="27" s="1"/>
  <c r="AO20" i="27"/>
  <c r="AN21" i="27"/>
  <c r="AP20" i="27"/>
  <c r="AD20" i="27"/>
  <c r="AB21" i="27"/>
  <c r="AC20" i="27"/>
  <c r="AE20" i="27" s="1"/>
  <c r="AF20" i="27" s="1"/>
  <c r="S20" i="27"/>
  <c r="T20" i="27" s="1"/>
  <c r="U20" i="27"/>
  <c r="O21" i="27"/>
  <c r="B21" i="27"/>
  <c r="AU20" i="27"/>
  <c r="D641" i="27"/>
  <c r="B637" i="30"/>
  <c r="I21" i="27"/>
  <c r="AG22" i="27"/>
  <c r="AA23" i="27"/>
  <c r="R21" i="27"/>
  <c r="Q21" i="27"/>
  <c r="P22" i="27"/>
  <c r="AM22" i="27"/>
  <c r="AS21" i="27"/>
  <c r="AW638" i="27"/>
  <c r="AV638" i="27"/>
  <c r="AW637" i="27"/>
  <c r="AV637" i="27"/>
  <c r="AW636" i="27"/>
  <c r="AV636" i="27"/>
  <c r="AW635" i="27"/>
  <c r="AV635" i="27"/>
  <c r="AW634" i="27"/>
  <c r="AV634" i="27"/>
  <c r="AW633" i="27"/>
  <c r="AV633" i="27"/>
  <c r="AW632" i="27"/>
  <c r="AV632" i="27"/>
  <c r="AW631" i="27"/>
  <c r="AV631" i="27"/>
  <c r="AW630" i="27"/>
  <c r="AV630" i="27"/>
  <c r="AW629" i="27"/>
  <c r="AV629" i="27"/>
  <c r="AW628" i="27"/>
  <c r="AV628" i="27"/>
  <c r="AW627" i="27"/>
  <c r="AV627" i="27"/>
  <c r="AW626" i="27"/>
  <c r="AV626" i="27"/>
  <c r="AW625" i="27"/>
  <c r="AV625" i="27"/>
  <c r="AW624" i="27"/>
  <c r="AV624" i="27"/>
  <c r="AW623" i="27"/>
  <c r="AV623" i="27"/>
  <c r="AW622" i="27"/>
  <c r="AV622" i="27"/>
  <c r="AW621" i="27"/>
  <c r="AV621" i="27"/>
  <c r="AW620" i="27"/>
  <c r="AV620" i="27"/>
  <c r="AW619" i="27"/>
  <c r="AV619" i="27"/>
  <c r="AW618" i="27"/>
  <c r="AV618" i="27"/>
  <c r="AW617" i="27"/>
  <c r="AV617" i="27"/>
  <c r="AW616" i="27"/>
  <c r="AV616" i="27"/>
  <c r="AW615" i="27"/>
  <c r="AV615" i="27"/>
  <c r="AW614" i="27"/>
  <c r="AV614" i="27"/>
  <c r="AW613" i="27"/>
  <c r="AV613" i="27"/>
  <c r="AW612" i="27"/>
  <c r="AV612" i="27"/>
  <c r="AW611" i="27"/>
  <c r="AV611" i="27"/>
  <c r="AW610" i="27"/>
  <c r="AV610" i="27"/>
  <c r="AW609" i="27"/>
  <c r="AV609" i="27"/>
  <c r="AW608" i="27"/>
  <c r="AV608" i="27"/>
  <c r="AW607" i="27"/>
  <c r="AV607" i="27"/>
  <c r="AW606" i="27"/>
  <c r="AV606" i="27"/>
  <c r="AW605" i="27"/>
  <c r="AV605" i="27"/>
  <c r="AW604" i="27"/>
  <c r="AV604" i="27"/>
  <c r="AW603" i="27"/>
  <c r="AV603" i="27"/>
  <c r="AW602" i="27"/>
  <c r="AV602" i="27"/>
  <c r="AW601" i="27"/>
  <c r="AV601" i="27"/>
  <c r="AW600" i="27"/>
  <c r="AV600" i="27"/>
  <c r="AW599" i="27"/>
  <c r="AV599" i="27"/>
  <c r="AW598" i="27"/>
  <c r="AV598" i="27"/>
  <c r="AW597" i="27"/>
  <c r="AV597" i="27"/>
  <c r="AW596" i="27"/>
  <c r="AV596" i="27"/>
  <c r="AW595" i="27"/>
  <c r="AV595" i="27"/>
  <c r="AW594" i="27"/>
  <c r="AV594" i="27"/>
  <c r="AW593" i="27"/>
  <c r="AV593" i="27"/>
  <c r="AW592" i="27"/>
  <c r="AV592" i="27"/>
  <c r="AW591" i="27"/>
  <c r="AV591" i="27"/>
  <c r="AW590" i="27"/>
  <c r="AV590" i="27"/>
  <c r="AW589" i="27"/>
  <c r="AV589" i="27"/>
  <c r="AW588" i="27"/>
  <c r="AV588" i="27"/>
  <c r="AW587" i="27"/>
  <c r="AV587" i="27"/>
  <c r="AW586" i="27"/>
  <c r="AV586" i="27"/>
  <c r="AW585" i="27"/>
  <c r="AV585" i="27"/>
  <c r="AW584" i="27"/>
  <c r="AV584" i="27"/>
  <c r="AW583" i="27"/>
  <c r="AV583" i="27"/>
  <c r="AW582" i="27"/>
  <c r="AV582" i="27"/>
  <c r="AW581" i="27"/>
  <c r="AV581" i="27"/>
  <c r="AW580" i="27"/>
  <c r="AV580" i="27"/>
  <c r="AW579" i="27"/>
  <c r="AV579" i="27"/>
  <c r="AW578" i="27"/>
  <c r="AV578" i="27"/>
  <c r="AW577" i="27"/>
  <c r="AV577" i="27"/>
  <c r="AW576" i="27"/>
  <c r="AV576" i="27"/>
  <c r="AW575" i="27"/>
  <c r="AV575" i="27"/>
  <c r="AW574" i="27"/>
  <c r="AV574" i="27"/>
  <c r="AW573" i="27"/>
  <c r="AV573" i="27"/>
  <c r="AW572" i="27"/>
  <c r="AV572" i="27"/>
  <c r="AW571" i="27"/>
  <c r="AV571" i="27"/>
  <c r="AW570" i="27"/>
  <c r="AV570" i="27"/>
  <c r="AW569" i="27"/>
  <c r="AV569" i="27"/>
  <c r="AW568" i="27"/>
  <c r="AV568" i="27"/>
  <c r="AW567" i="27"/>
  <c r="AV567" i="27"/>
  <c r="AW566" i="27"/>
  <c r="AV566" i="27"/>
  <c r="AW565" i="27"/>
  <c r="AV565" i="27"/>
  <c r="AW564" i="27"/>
  <c r="AV564" i="27"/>
  <c r="AW563" i="27"/>
  <c r="AV563" i="27"/>
  <c r="AW562" i="27"/>
  <c r="AV562" i="27"/>
  <c r="AW561" i="27"/>
  <c r="AV561" i="27"/>
  <c r="AW560" i="27"/>
  <c r="AV560" i="27"/>
  <c r="AW559" i="27"/>
  <c r="AV559" i="27"/>
  <c r="AW558" i="27"/>
  <c r="AV558" i="27"/>
  <c r="AW557" i="27"/>
  <c r="AV557" i="27"/>
  <c r="AW556" i="27"/>
  <c r="AV556" i="27"/>
  <c r="AW555" i="27"/>
  <c r="AV555" i="27"/>
  <c r="AW554" i="27"/>
  <c r="AV554" i="27"/>
  <c r="AW553" i="27"/>
  <c r="AV553" i="27"/>
  <c r="AW552" i="27"/>
  <c r="AV552" i="27"/>
  <c r="AW551" i="27"/>
  <c r="AV551" i="27"/>
  <c r="AW550" i="27"/>
  <c r="AV550" i="27"/>
  <c r="AW549" i="27"/>
  <c r="AV549" i="27"/>
  <c r="AW548" i="27"/>
  <c r="AV548" i="27"/>
  <c r="AW547" i="27"/>
  <c r="AV547" i="27"/>
  <c r="AW546" i="27"/>
  <c r="AV546" i="27"/>
  <c r="AW545" i="27"/>
  <c r="AV545" i="27"/>
  <c r="AW544" i="27"/>
  <c r="AV544" i="27"/>
  <c r="AW543" i="27"/>
  <c r="AV543" i="27"/>
  <c r="AW542" i="27"/>
  <c r="AV542" i="27"/>
  <c r="AW541" i="27"/>
  <c r="AV541" i="27"/>
  <c r="AW540" i="27"/>
  <c r="AV540" i="27"/>
  <c r="AW539" i="27"/>
  <c r="AV539" i="27"/>
  <c r="AW538" i="27"/>
  <c r="AV538" i="27"/>
  <c r="AW537" i="27"/>
  <c r="AV537" i="27"/>
  <c r="AW536" i="27"/>
  <c r="AV536" i="27"/>
  <c r="AW535" i="27"/>
  <c r="AV535" i="27"/>
  <c r="AW534" i="27"/>
  <c r="AV534" i="27"/>
  <c r="AW533" i="27"/>
  <c r="AV533" i="27"/>
  <c r="AW532" i="27"/>
  <c r="AV532" i="27"/>
  <c r="AW531" i="27"/>
  <c r="AV531" i="27"/>
  <c r="AW530" i="27"/>
  <c r="AV530" i="27"/>
  <c r="AW529" i="27"/>
  <c r="AV529" i="27"/>
  <c r="AW528" i="27"/>
  <c r="AV528" i="27"/>
  <c r="AW527" i="27"/>
  <c r="AV527" i="27"/>
  <c r="AW526" i="27"/>
  <c r="AV526" i="27"/>
  <c r="AW525" i="27"/>
  <c r="AV525" i="27"/>
  <c r="AW524" i="27"/>
  <c r="AV524" i="27"/>
  <c r="AW523" i="27"/>
  <c r="AV523" i="27"/>
  <c r="AW522" i="27"/>
  <c r="AV522" i="27"/>
  <c r="AW521" i="27"/>
  <c r="AV521" i="27"/>
  <c r="AW520" i="27"/>
  <c r="AV520" i="27"/>
  <c r="AW519" i="27"/>
  <c r="AV519" i="27"/>
  <c r="AW518" i="27"/>
  <c r="AV518" i="27"/>
  <c r="AW517" i="27"/>
  <c r="AV517" i="27"/>
  <c r="AW516" i="27"/>
  <c r="AV516" i="27"/>
  <c r="AW515" i="27"/>
  <c r="AV515" i="27"/>
  <c r="AW514" i="27"/>
  <c r="AV514" i="27"/>
  <c r="AW513" i="27"/>
  <c r="AV513" i="27"/>
  <c r="AW512" i="27"/>
  <c r="AV512" i="27"/>
  <c r="AW511" i="27"/>
  <c r="AV511" i="27"/>
  <c r="AW510" i="27"/>
  <c r="AV510" i="27"/>
  <c r="AW509" i="27"/>
  <c r="AV509" i="27"/>
  <c r="AW508" i="27"/>
  <c r="AV508" i="27"/>
  <c r="AW507" i="27"/>
  <c r="AV507" i="27"/>
  <c r="AW506" i="27"/>
  <c r="AV506" i="27"/>
  <c r="AW505" i="27"/>
  <c r="AV505" i="27"/>
  <c r="AW504" i="27"/>
  <c r="AV504" i="27"/>
  <c r="AW503" i="27"/>
  <c r="AV503" i="27"/>
  <c r="AW502" i="27"/>
  <c r="AV502" i="27"/>
  <c r="AW501" i="27"/>
  <c r="AV501" i="27"/>
  <c r="AW500" i="27"/>
  <c r="AV500" i="27"/>
  <c r="AW499" i="27"/>
  <c r="AV499" i="27"/>
  <c r="AW498" i="27"/>
  <c r="AV498" i="27"/>
  <c r="AW497" i="27"/>
  <c r="AV497" i="27"/>
  <c r="AW496" i="27"/>
  <c r="AV496" i="27"/>
  <c r="AW495" i="27"/>
  <c r="AV495" i="27"/>
  <c r="AW494" i="27"/>
  <c r="AV494" i="27"/>
  <c r="AW493" i="27"/>
  <c r="AV493" i="27"/>
  <c r="AW492" i="27"/>
  <c r="AV492" i="27"/>
  <c r="AW491" i="27"/>
  <c r="AV491" i="27"/>
  <c r="AW490" i="27"/>
  <c r="AV490" i="27"/>
  <c r="AW489" i="27"/>
  <c r="AV489" i="27"/>
  <c r="AW488" i="27"/>
  <c r="AV488" i="27"/>
  <c r="AW487" i="27"/>
  <c r="AV487" i="27"/>
  <c r="AW486" i="27"/>
  <c r="AV486" i="27"/>
  <c r="AW485" i="27"/>
  <c r="AV485" i="27"/>
  <c r="AW484" i="27"/>
  <c r="AV484" i="27"/>
  <c r="AW483" i="27"/>
  <c r="AV483" i="27"/>
  <c r="AW482" i="27"/>
  <c r="AV482" i="27"/>
  <c r="AW481" i="27"/>
  <c r="AV481" i="27"/>
  <c r="AW480" i="27"/>
  <c r="AV480" i="27"/>
  <c r="AW479" i="27"/>
  <c r="AV479" i="27"/>
  <c r="AW478" i="27"/>
  <c r="AV478" i="27"/>
  <c r="AW477" i="27"/>
  <c r="AV477" i="27"/>
  <c r="AW476" i="27"/>
  <c r="AV476" i="27"/>
  <c r="AW475" i="27"/>
  <c r="AV475" i="27"/>
  <c r="AW474" i="27"/>
  <c r="AV474" i="27"/>
  <c r="AW473" i="27"/>
  <c r="AV473" i="27"/>
  <c r="AW472" i="27"/>
  <c r="AV472" i="27"/>
  <c r="AW471" i="27"/>
  <c r="AV471" i="27"/>
  <c r="AW470" i="27"/>
  <c r="AV470" i="27"/>
  <c r="AW469" i="27"/>
  <c r="AV469" i="27"/>
  <c r="AW468" i="27"/>
  <c r="AV468" i="27"/>
  <c r="AW467" i="27"/>
  <c r="AV467" i="27"/>
  <c r="AW466" i="27"/>
  <c r="AV466" i="27"/>
  <c r="AW465" i="27"/>
  <c r="AV465" i="27"/>
  <c r="AW464" i="27"/>
  <c r="AV464" i="27"/>
  <c r="AW463" i="27"/>
  <c r="AV463" i="27"/>
  <c r="AW462" i="27"/>
  <c r="AV462" i="27"/>
  <c r="AW461" i="27"/>
  <c r="AV461" i="27"/>
  <c r="AW460" i="27"/>
  <c r="AV460" i="27"/>
  <c r="AW459" i="27"/>
  <c r="AV459" i="27"/>
  <c r="AW458" i="27"/>
  <c r="AV458" i="27"/>
  <c r="AW457" i="27"/>
  <c r="AV457" i="27"/>
  <c r="AW456" i="27"/>
  <c r="AV456" i="27"/>
  <c r="AW455" i="27"/>
  <c r="AV455" i="27"/>
  <c r="AW454" i="27"/>
  <c r="AV454" i="27"/>
  <c r="AW453" i="27"/>
  <c r="AV453" i="27"/>
  <c r="AW452" i="27"/>
  <c r="AV452" i="27"/>
  <c r="AW451" i="27"/>
  <c r="AV451" i="27"/>
  <c r="AW450" i="27"/>
  <c r="AV450" i="27"/>
  <c r="AW449" i="27"/>
  <c r="AV449" i="27"/>
  <c r="AW448" i="27"/>
  <c r="AV448" i="27"/>
  <c r="AW447" i="27"/>
  <c r="AV447" i="27"/>
  <c r="AW446" i="27"/>
  <c r="AV446" i="27"/>
  <c r="AW445" i="27"/>
  <c r="AV445" i="27"/>
  <c r="AW444" i="27"/>
  <c r="AV444" i="27"/>
  <c r="AW443" i="27"/>
  <c r="AV443" i="27"/>
  <c r="AW442" i="27"/>
  <c r="AV442" i="27"/>
  <c r="AW441" i="27"/>
  <c r="AV441" i="27"/>
  <c r="AW440" i="27"/>
  <c r="AV440" i="27"/>
  <c r="AW439" i="27"/>
  <c r="AV439" i="27"/>
  <c r="AW438" i="27"/>
  <c r="AV438" i="27"/>
  <c r="AW437" i="27"/>
  <c r="AV437" i="27"/>
  <c r="AW436" i="27"/>
  <c r="AV436" i="27"/>
  <c r="AW435" i="27"/>
  <c r="AV435" i="27"/>
  <c r="AW434" i="27"/>
  <c r="AV434" i="27"/>
  <c r="AW433" i="27"/>
  <c r="AV433" i="27"/>
  <c r="AW432" i="27"/>
  <c r="AV432" i="27"/>
  <c r="AW431" i="27"/>
  <c r="AV431" i="27"/>
  <c r="AW430" i="27"/>
  <c r="AV430" i="27"/>
  <c r="AW429" i="27"/>
  <c r="AV429" i="27"/>
  <c r="AW428" i="27"/>
  <c r="AV428" i="27"/>
  <c r="AW427" i="27"/>
  <c r="AV427" i="27"/>
  <c r="AW426" i="27"/>
  <c r="AV426" i="27"/>
  <c r="AW425" i="27"/>
  <c r="AV425" i="27"/>
  <c r="AW424" i="27"/>
  <c r="AV424" i="27"/>
  <c r="AW423" i="27"/>
  <c r="AV423" i="27"/>
  <c r="AW422" i="27"/>
  <c r="AV422" i="27"/>
  <c r="AW421" i="27"/>
  <c r="AV421" i="27"/>
  <c r="AW420" i="27"/>
  <c r="AV420" i="27"/>
  <c r="AW419" i="27"/>
  <c r="AV419" i="27"/>
  <c r="AW418" i="27"/>
  <c r="AV418" i="27"/>
  <c r="AW417" i="27"/>
  <c r="AV417" i="27"/>
  <c r="AW416" i="27"/>
  <c r="AV416" i="27"/>
  <c r="AW415" i="27"/>
  <c r="AV415" i="27"/>
  <c r="AW414" i="27"/>
  <c r="AV414" i="27"/>
  <c r="AW413" i="27"/>
  <c r="AV413" i="27"/>
  <c r="AW412" i="27"/>
  <c r="AV412" i="27"/>
  <c r="AW411" i="27"/>
  <c r="AV411" i="27"/>
  <c r="AW410" i="27"/>
  <c r="AV410" i="27"/>
  <c r="AW409" i="27"/>
  <c r="AV409" i="27"/>
  <c r="AW408" i="27"/>
  <c r="AV408" i="27"/>
  <c r="AW407" i="27"/>
  <c r="AV407" i="27"/>
  <c r="AW406" i="27"/>
  <c r="AV406" i="27"/>
  <c r="AW405" i="27"/>
  <c r="AV405" i="27"/>
  <c r="AW404" i="27"/>
  <c r="AV404" i="27"/>
  <c r="AW403" i="27"/>
  <c r="AV403" i="27"/>
  <c r="AW402" i="27"/>
  <c r="AV402" i="27"/>
  <c r="AW401" i="27"/>
  <c r="AV401" i="27"/>
  <c r="AW400" i="27"/>
  <c r="AV400" i="27"/>
  <c r="AW399" i="27"/>
  <c r="AV399" i="27"/>
  <c r="AW398" i="27"/>
  <c r="AV398" i="27"/>
  <c r="AW397" i="27"/>
  <c r="AV397" i="27"/>
  <c r="AW396" i="27"/>
  <c r="AV396" i="27"/>
  <c r="AW395" i="27"/>
  <c r="AV395" i="27"/>
  <c r="AW394" i="27"/>
  <c r="AV394" i="27"/>
  <c r="AW393" i="27"/>
  <c r="AV393" i="27"/>
  <c r="AW392" i="27"/>
  <c r="AV392" i="27"/>
  <c r="AW391" i="27"/>
  <c r="AV391" i="27"/>
  <c r="AW390" i="27"/>
  <c r="AV390" i="27"/>
  <c r="AW389" i="27"/>
  <c r="AV389" i="27"/>
  <c r="AW388" i="27"/>
  <c r="AV388" i="27"/>
  <c r="AW387" i="27"/>
  <c r="AV387" i="27"/>
  <c r="AW386" i="27"/>
  <c r="AV386" i="27"/>
  <c r="AW385" i="27"/>
  <c r="AV385" i="27"/>
  <c r="AW384" i="27"/>
  <c r="AV384" i="27"/>
  <c r="AW383" i="27"/>
  <c r="AV383" i="27"/>
  <c r="AW382" i="27"/>
  <c r="AV382" i="27"/>
  <c r="AW381" i="27"/>
  <c r="AV381" i="27"/>
  <c r="AW380" i="27"/>
  <c r="AV380" i="27"/>
  <c r="AW379" i="27"/>
  <c r="AV379" i="27"/>
  <c r="AW378" i="27"/>
  <c r="AV378" i="27"/>
  <c r="AW377" i="27"/>
  <c r="AV377" i="27"/>
  <c r="AW376" i="27"/>
  <c r="AV376" i="27"/>
  <c r="AW375" i="27"/>
  <c r="AV375" i="27"/>
  <c r="AW374" i="27"/>
  <c r="AV374" i="27"/>
  <c r="AW373" i="27"/>
  <c r="AV373" i="27"/>
  <c r="AW372" i="27"/>
  <c r="AV372" i="27"/>
  <c r="AW371" i="27"/>
  <c r="AV371" i="27"/>
  <c r="AW370" i="27"/>
  <c r="AV370" i="27"/>
  <c r="AW369" i="27"/>
  <c r="AV369" i="27"/>
  <c r="AW368" i="27"/>
  <c r="AV368" i="27"/>
  <c r="AW367" i="27"/>
  <c r="AV367" i="27"/>
  <c r="AW366" i="27"/>
  <c r="AV366" i="27"/>
  <c r="AW365" i="27"/>
  <c r="AV365" i="27"/>
  <c r="AW364" i="27"/>
  <c r="AV364" i="27"/>
  <c r="AW363" i="27"/>
  <c r="AV363" i="27"/>
  <c r="AW362" i="27"/>
  <c r="AV362" i="27"/>
  <c r="AW361" i="27"/>
  <c r="AV361" i="27"/>
  <c r="AW360" i="27"/>
  <c r="AV360" i="27"/>
  <c r="AW359" i="27"/>
  <c r="AV359" i="27"/>
  <c r="AW358" i="27"/>
  <c r="AV358" i="27"/>
  <c r="AW357" i="27"/>
  <c r="AV357" i="27"/>
  <c r="AW356" i="27"/>
  <c r="AV356" i="27"/>
  <c r="AW355" i="27"/>
  <c r="AV355" i="27"/>
  <c r="AW354" i="27"/>
  <c r="AV354" i="27"/>
  <c r="AW353" i="27"/>
  <c r="AV353" i="27"/>
  <c r="AW352" i="27"/>
  <c r="AV352" i="27"/>
  <c r="AW351" i="27"/>
  <c r="AV351" i="27"/>
  <c r="AW350" i="27"/>
  <c r="AV350" i="27"/>
  <c r="AW349" i="27"/>
  <c r="AV349" i="27"/>
  <c r="AW348" i="27"/>
  <c r="AV348" i="27"/>
  <c r="AW347" i="27"/>
  <c r="AV347" i="27"/>
  <c r="AW346" i="27"/>
  <c r="AV346" i="27"/>
  <c r="AW345" i="27"/>
  <c r="AV345" i="27"/>
  <c r="AW344" i="27"/>
  <c r="AV344" i="27"/>
  <c r="AW343" i="27"/>
  <c r="AV343" i="27"/>
  <c r="AW342" i="27"/>
  <c r="AV342" i="27"/>
  <c r="AW341" i="27"/>
  <c r="AV341" i="27"/>
  <c r="AW340" i="27"/>
  <c r="AV340" i="27"/>
  <c r="AW339" i="27"/>
  <c r="AV339" i="27"/>
  <c r="AW338" i="27"/>
  <c r="AV338" i="27"/>
  <c r="AW337" i="27"/>
  <c r="AV337" i="27"/>
  <c r="AW336" i="27"/>
  <c r="AV336" i="27"/>
  <c r="AW335" i="27"/>
  <c r="AV335" i="27"/>
  <c r="AW334" i="27"/>
  <c r="AV334" i="27"/>
  <c r="AW333" i="27"/>
  <c r="AV333" i="27"/>
  <c r="AW332" i="27"/>
  <c r="AV332" i="27"/>
  <c r="AW331" i="27"/>
  <c r="AV331" i="27"/>
  <c r="AW330" i="27"/>
  <c r="AV330" i="27"/>
  <c r="AW329" i="27"/>
  <c r="AV329" i="27"/>
  <c r="AW328" i="27"/>
  <c r="AV328" i="27"/>
  <c r="AW327" i="27"/>
  <c r="AV327" i="27"/>
  <c r="AW326" i="27"/>
  <c r="AV326" i="27"/>
  <c r="AW325" i="27"/>
  <c r="AV325" i="27"/>
  <c r="AW324" i="27"/>
  <c r="AV324" i="27"/>
  <c r="AW323" i="27"/>
  <c r="AV323" i="27"/>
  <c r="AW322" i="27"/>
  <c r="AV322" i="27"/>
  <c r="AW321" i="27"/>
  <c r="AV321" i="27"/>
  <c r="AW320" i="27"/>
  <c r="AV320" i="27"/>
  <c r="AW319" i="27"/>
  <c r="AV319" i="27"/>
  <c r="AW318" i="27"/>
  <c r="AV318" i="27"/>
  <c r="AW317" i="27"/>
  <c r="AV317" i="27"/>
  <c r="AW316" i="27"/>
  <c r="AV316" i="27"/>
  <c r="AW315" i="27"/>
  <c r="AV315" i="27"/>
  <c r="AW314" i="27"/>
  <c r="AV314" i="27"/>
  <c r="AW313" i="27"/>
  <c r="AV313" i="27"/>
  <c r="AW312" i="27"/>
  <c r="AV312" i="27"/>
  <c r="AW311" i="27"/>
  <c r="AV311" i="27"/>
  <c r="AW310" i="27"/>
  <c r="AV310" i="27"/>
  <c r="AW309" i="27"/>
  <c r="AV309" i="27"/>
  <c r="AW308" i="27"/>
  <c r="AV308" i="27"/>
  <c r="AW307" i="27"/>
  <c r="AV307" i="27"/>
  <c r="AW306" i="27"/>
  <c r="AV306" i="27"/>
  <c r="AW305" i="27"/>
  <c r="AV305" i="27"/>
  <c r="AW304" i="27"/>
  <c r="AV304" i="27"/>
  <c r="AW303" i="27"/>
  <c r="AV303" i="27"/>
  <c r="AW302" i="27"/>
  <c r="AV302" i="27"/>
  <c r="AW301" i="27"/>
  <c r="AV301" i="27"/>
  <c r="AW300" i="27"/>
  <c r="AV300" i="27"/>
  <c r="AW299" i="27"/>
  <c r="AV299" i="27"/>
  <c r="AW298" i="27"/>
  <c r="AV298" i="27"/>
  <c r="AW297" i="27"/>
  <c r="AV297" i="27"/>
  <c r="AW296" i="27"/>
  <c r="AV296" i="27"/>
  <c r="AW295" i="27"/>
  <c r="AV295" i="27"/>
  <c r="AW294" i="27"/>
  <c r="AV294" i="27"/>
  <c r="AW293" i="27"/>
  <c r="AV293" i="27"/>
  <c r="AW292" i="27"/>
  <c r="AV292" i="27"/>
  <c r="AW291" i="27"/>
  <c r="AV291" i="27"/>
  <c r="AW290" i="27"/>
  <c r="AV290" i="27"/>
  <c r="AW289" i="27"/>
  <c r="AV289" i="27"/>
  <c r="AW288" i="27"/>
  <c r="AV288" i="27"/>
  <c r="AW287" i="27"/>
  <c r="AV287" i="27"/>
  <c r="AW286" i="27"/>
  <c r="AV286" i="27"/>
  <c r="AW285" i="27"/>
  <c r="AV285" i="27"/>
  <c r="AW284" i="27"/>
  <c r="AV284" i="27"/>
  <c r="AW283" i="27"/>
  <c r="AV283" i="27"/>
  <c r="AW282" i="27"/>
  <c r="AV282" i="27"/>
  <c r="AW281" i="27"/>
  <c r="AV281" i="27"/>
  <c r="AW280" i="27"/>
  <c r="AV280" i="27"/>
  <c r="AW279" i="27"/>
  <c r="AV279" i="27"/>
  <c r="AW278" i="27"/>
  <c r="AV278" i="27"/>
  <c r="AW277" i="27"/>
  <c r="AV277" i="27"/>
  <c r="AW276" i="27"/>
  <c r="AV276" i="27"/>
  <c r="AW275" i="27"/>
  <c r="AV275" i="27"/>
  <c r="AW274" i="27"/>
  <c r="AV274" i="27"/>
  <c r="AW273" i="27"/>
  <c r="AV273" i="27"/>
  <c r="AW272" i="27"/>
  <c r="AV272" i="27"/>
  <c r="AW271" i="27"/>
  <c r="AV271" i="27"/>
  <c r="AW270" i="27"/>
  <c r="AV270" i="27"/>
  <c r="AW269" i="27"/>
  <c r="AV269" i="27"/>
  <c r="AW268" i="27"/>
  <c r="AV268" i="27"/>
  <c r="AW267" i="27"/>
  <c r="AV267" i="27"/>
  <c r="AW266" i="27"/>
  <c r="AV266" i="27"/>
  <c r="AW265" i="27"/>
  <c r="AV265" i="27"/>
  <c r="AW264" i="27"/>
  <c r="AV264" i="27"/>
  <c r="AW263" i="27"/>
  <c r="AV263" i="27"/>
  <c r="AW262" i="27"/>
  <c r="AV262" i="27"/>
  <c r="AW261" i="27"/>
  <c r="AV261" i="27"/>
  <c r="AW260" i="27"/>
  <c r="AV260" i="27"/>
  <c r="AW259" i="27"/>
  <c r="AV259" i="27"/>
  <c r="AW258" i="27"/>
  <c r="AV258" i="27"/>
  <c r="AW257" i="27"/>
  <c r="AV257" i="27"/>
  <c r="AW256" i="27"/>
  <c r="AV256" i="27"/>
  <c r="AW255" i="27"/>
  <c r="AV255" i="27"/>
  <c r="AW254" i="27"/>
  <c r="AV254" i="27"/>
  <c r="AW253" i="27"/>
  <c r="AV253" i="27"/>
  <c r="AW252" i="27"/>
  <c r="AV252" i="27"/>
  <c r="AW251" i="27"/>
  <c r="AV251" i="27"/>
  <c r="AW250" i="27"/>
  <c r="AV250" i="27"/>
  <c r="AW249" i="27"/>
  <c r="AV249" i="27"/>
  <c r="AW248" i="27"/>
  <c r="AV248" i="27"/>
  <c r="AW247" i="27"/>
  <c r="AV247" i="27"/>
  <c r="AW246" i="27"/>
  <c r="AV246" i="27"/>
  <c r="AW245" i="27"/>
  <c r="AV245" i="27"/>
  <c r="AW244" i="27"/>
  <c r="AV244" i="27"/>
  <c r="AW243" i="27"/>
  <c r="AV243" i="27"/>
  <c r="AW242" i="27"/>
  <c r="AV242" i="27"/>
  <c r="AW241" i="27"/>
  <c r="AV241" i="27"/>
  <c r="AW240" i="27"/>
  <c r="AV240" i="27"/>
  <c r="AW239" i="27"/>
  <c r="AV239" i="27"/>
  <c r="AW238" i="27"/>
  <c r="AV238" i="27"/>
  <c r="AW237" i="27"/>
  <c r="AV237" i="27"/>
  <c r="AW236" i="27"/>
  <c r="AV236" i="27"/>
  <c r="AW235" i="27"/>
  <c r="AV235" i="27"/>
  <c r="AW234" i="27"/>
  <c r="AV234" i="27"/>
  <c r="AW233" i="27"/>
  <c r="AV233" i="27"/>
  <c r="AW232" i="27"/>
  <c r="AV232" i="27"/>
  <c r="AW231" i="27"/>
  <c r="AV231" i="27"/>
  <c r="AW230" i="27"/>
  <c r="AV230" i="27"/>
  <c r="AW229" i="27"/>
  <c r="AV229" i="27"/>
  <c r="AW228" i="27"/>
  <c r="AV228" i="27"/>
  <c r="AW227" i="27"/>
  <c r="AV227" i="27"/>
  <c r="AW226" i="27"/>
  <c r="AV226" i="27"/>
  <c r="AW225" i="27"/>
  <c r="AV225" i="27"/>
  <c r="AW224" i="27"/>
  <c r="AV224" i="27"/>
  <c r="AW223" i="27"/>
  <c r="AV223" i="27"/>
  <c r="AW222" i="27"/>
  <c r="AV222" i="27"/>
  <c r="AW221" i="27"/>
  <c r="AV221" i="27"/>
  <c r="AW220" i="27"/>
  <c r="AV220" i="27"/>
  <c r="AW219" i="27"/>
  <c r="AV219" i="27"/>
  <c r="AW218" i="27"/>
  <c r="AV218" i="27"/>
  <c r="AW217" i="27"/>
  <c r="AV217" i="27"/>
  <c r="AW216" i="27"/>
  <c r="AV216" i="27"/>
  <c r="AW215" i="27"/>
  <c r="AV215" i="27"/>
  <c r="AW214" i="27"/>
  <c r="AV214" i="27"/>
  <c r="AW213" i="27"/>
  <c r="AV213" i="27"/>
  <c r="AW212" i="27"/>
  <c r="AV212" i="27"/>
  <c r="AW211" i="27"/>
  <c r="AV211" i="27"/>
  <c r="AW210" i="27"/>
  <c r="AV210" i="27"/>
  <c r="AW209" i="27"/>
  <c r="AV209" i="27"/>
  <c r="AW208" i="27"/>
  <c r="AV208" i="27"/>
  <c r="AW207" i="27"/>
  <c r="AV207" i="27"/>
  <c r="AW206" i="27"/>
  <c r="AV206" i="27"/>
  <c r="AW205" i="27"/>
  <c r="AV205" i="27"/>
  <c r="AW204" i="27"/>
  <c r="AV204" i="27"/>
  <c r="AW203" i="27"/>
  <c r="AV203" i="27"/>
  <c r="AW202" i="27"/>
  <c r="AV202" i="27"/>
  <c r="AW201" i="27"/>
  <c r="AV201" i="27"/>
  <c r="AW200" i="27"/>
  <c r="AV200" i="27"/>
  <c r="AW199" i="27"/>
  <c r="AV199" i="27"/>
  <c r="AW198" i="27"/>
  <c r="AV198" i="27"/>
  <c r="AW197" i="27"/>
  <c r="AV197" i="27"/>
  <c r="AW196" i="27"/>
  <c r="AV196" i="27"/>
  <c r="AW195" i="27"/>
  <c r="AV195" i="27"/>
  <c r="AW194" i="27"/>
  <c r="AV194" i="27"/>
  <c r="AW193" i="27"/>
  <c r="AV193" i="27"/>
  <c r="AW192" i="27"/>
  <c r="AV192" i="27"/>
  <c r="AW191" i="27"/>
  <c r="AV191" i="27"/>
  <c r="AW190" i="27"/>
  <c r="AV190" i="27"/>
  <c r="AW189" i="27"/>
  <c r="AV189" i="27"/>
  <c r="AW188" i="27"/>
  <c r="AV188" i="27"/>
  <c r="AW187" i="27"/>
  <c r="AV187" i="27"/>
  <c r="AW186" i="27"/>
  <c r="AV186" i="27"/>
  <c r="AW185" i="27"/>
  <c r="AV185" i="27"/>
  <c r="AW184" i="27"/>
  <c r="AV184" i="27"/>
  <c r="AW183" i="27"/>
  <c r="AV183" i="27"/>
  <c r="AW182" i="27"/>
  <c r="AV182" i="27"/>
  <c r="AW181" i="27"/>
  <c r="AV181" i="27"/>
  <c r="AW180" i="27"/>
  <c r="AV180" i="27"/>
  <c r="AW179" i="27"/>
  <c r="AV179" i="27"/>
  <c r="AW178" i="27"/>
  <c r="AV178" i="27"/>
  <c r="AW177" i="27"/>
  <c r="AV177" i="27"/>
  <c r="AW176" i="27"/>
  <c r="AV176" i="27"/>
  <c r="AW175" i="27"/>
  <c r="AV175" i="27"/>
  <c r="AW174" i="27"/>
  <c r="AV174" i="27"/>
  <c r="AW173" i="27"/>
  <c r="AV173" i="27"/>
  <c r="AW172" i="27"/>
  <c r="AV172" i="27"/>
  <c r="AW171" i="27"/>
  <c r="AV171" i="27"/>
  <c r="AW170" i="27"/>
  <c r="AV170" i="27"/>
  <c r="AW169" i="27"/>
  <c r="AV169" i="27"/>
  <c r="AW168" i="27"/>
  <c r="AV168" i="27"/>
  <c r="AW167" i="27"/>
  <c r="AV167" i="27"/>
  <c r="AW166" i="27"/>
  <c r="AV166" i="27"/>
  <c r="AW165" i="27"/>
  <c r="AV165" i="27"/>
  <c r="AW164" i="27"/>
  <c r="AV164" i="27"/>
  <c r="AW163" i="27"/>
  <c r="AV163" i="27"/>
  <c r="AW162" i="27"/>
  <c r="AV162" i="27"/>
  <c r="AW161" i="27"/>
  <c r="AV161" i="27"/>
  <c r="AW160" i="27"/>
  <c r="AV160" i="27"/>
  <c r="AW159" i="27"/>
  <c r="AV159" i="27"/>
  <c r="AW158" i="27"/>
  <c r="AV158" i="27"/>
  <c r="AW157" i="27"/>
  <c r="AV157" i="27"/>
  <c r="AW156" i="27"/>
  <c r="AV156" i="27"/>
  <c r="AW155" i="27"/>
  <c r="AV155" i="27"/>
  <c r="AW154" i="27"/>
  <c r="AV154" i="27"/>
  <c r="AW153" i="27"/>
  <c r="AV153" i="27"/>
  <c r="AW152" i="27"/>
  <c r="AV152" i="27"/>
  <c r="AW151" i="27"/>
  <c r="AV151" i="27"/>
  <c r="AW150" i="27"/>
  <c r="AV150" i="27"/>
  <c r="AW149" i="27"/>
  <c r="AV149" i="27"/>
  <c r="AW148" i="27"/>
  <c r="AV148" i="27"/>
  <c r="AW147" i="27"/>
  <c r="AV147" i="27"/>
  <c r="AW146" i="27"/>
  <c r="AV146" i="27"/>
  <c r="AW145" i="27"/>
  <c r="AV145" i="27"/>
  <c r="AW144" i="27"/>
  <c r="AV144" i="27"/>
  <c r="AW143" i="27"/>
  <c r="AV143" i="27"/>
  <c r="AW142" i="27"/>
  <c r="AV142" i="27"/>
  <c r="AW141" i="27"/>
  <c r="AV141" i="27"/>
  <c r="AW140" i="27"/>
  <c r="AV140" i="27"/>
  <c r="AW139" i="27"/>
  <c r="AV139" i="27"/>
  <c r="AW138" i="27"/>
  <c r="AV138" i="27"/>
  <c r="AW137" i="27"/>
  <c r="AV137" i="27"/>
  <c r="AW136" i="27"/>
  <c r="AV136" i="27"/>
  <c r="AW135" i="27"/>
  <c r="AV135" i="27"/>
  <c r="AW134" i="27"/>
  <c r="AV134" i="27"/>
  <c r="AW133" i="27"/>
  <c r="AV133" i="27"/>
  <c r="AW132" i="27"/>
  <c r="AV132" i="27"/>
  <c r="AW131" i="27"/>
  <c r="AV131" i="27"/>
  <c r="AW130" i="27"/>
  <c r="AV130" i="27"/>
  <c r="AW129" i="27"/>
  <c r="AV129" i="27"/>
  <c r="AW128" i="27"/>
  <c r="AV128" i="27"/>
  <c r="AW127" i="27"/>
  <c r="AV127" i="27"/>
  <c r="AW126" i="27"/>
  <c r="AV126" i="27"/>
  <c r="AW125" i="27"/>
  <c r="AV125" i="27"/>
  <c r="AW124" i="27"/>
  <c r="AV124" i="27"/>
  <c r="AW123" i="27"/>
  <c r="AV123" i="27"/>
  <c r="AW122" i="27"/>
  <c r="AV122" i="27"/>
  <c r="AW121" i="27"/>
  <c r="AV121" i="27"/>
  <c r="AW120" i="27"/>
  <c r="AV120" i="27"/>
  <c r="AW119" i="27"/>
  <c r="AV119" i="27"/>
  <c r="AW118" i="27"/>
  <c r="AV118" i="27"/>
  <c r="AW117" i="27"/>
  <c r="AV117" i="27"/>
  <c r="AW116" i="27"/>
  <c r="AV116" i="27"/>
  <c r="AW115" i="27"/>
  <c r="AV115" i="27"/>
  <c r="AW114" i="27"/>
  <c r="AV114" i="27"/>
  <c r="AW113" i="27"/>
  <c r="AV113" i="27"/>
  <c r="AW112" i="27"/>
  <c r="AV112" i="27"/>
  <c r="AW111" i="27"/>
  <c r="AV111" i="27"/>
  <c r="AW110" i="27"/>
  <c r="AV110" i="27"/>
  <c r="AW109" i="27"/>
  <c r="AV109" i="27"/>
  <c r="AW108" i="27"/>
  <c r="AV108" i="27"/>
  <c r="AW107" i="27"/>
  <c r="AV107" i="27"/>
  <c r="AW106" i="27"/>
  <c r="AV106" i="27"/>
  <c r="AW105" i="27"/>
  <c r="AV105" i="27"/>
  <c r="AW104" i="27"/>
  <c r="AV104" i="27"/>
  <c r="AW103" i="27"/>
  <c r="AV103" i="27"/>
  <c r="AW102" i="27"/>
  <c r="AV102" i="27"/>
  <c r="AW101" i="27"/>
  <c r="AV101" i="27"/>
  <c r="AW100" i="27"/>
  <c r="AV100" i="27"/>
  <c r="AW99" i="27"/>
  <c r="AV99" i="27"/>
  <c r="AW98" i="27"/>
  <c r="AV98" i="27"/>
  <c r="AW97" i="27"/>
  <c r="AV97" i="27"/>
  <c r="AW96" i="27"/>
  <c r="AV96" i="27"/>
  <c r="AW95" i="27"/>
  <c r="AV95" i="27"/>
  <c r="AW94" i="27"/>
  <c r="AV94" i="27"/>
  <c r="AW93" i="27"/>
  <c r="AV93" i="27"/>
  <c r="AW92" i="27"/>
  <c r="AV92" i="27"/>
  <c r="AW91" i="27"/>
  <c r="AV91" i="27"/>
  <c r="AW90" i="27"/>
  <c r="AV90" i="27"/>
  <c r="AW89" i="27"/>
  <c r="AV89" i="27"/>
  <c r="AW88" i="27"/>
  <c r="AV88" i="27"/>
  <c r="AW87" i="27"/>
  <c r="AV87" i="27"/>
  <c r="AW86" i="27"/>
  <c r="AV86" i="27"/>
  <c r="AW85" i="27"/>
  <c r="AV85" i="27"/>
  <c r="AW84" i="27"/>
  <c r="AV84" i="27"/>
  <c r="AW83" i="27"/>
  <c r="AV83" i="27"/>
  <c r="AW82" i="27"/>
  <c r="AV82" i="27"/>
  <c r="AW81" i="27"/>
  <c r="AV81" i="27"/>
  <c r="AW80" i="27"/>
  <c r="AV80" i="27"/>
  <c r="AW79" i="27"/>
  <c r="AV79" i="27"/>
  <c r="AW78" i="27"/>
  <c r="AV78" i="27"/>
  <c r="AW77" i="27"/>
  <c r="AV77" i="27"/>
  <c r="AW76" i="27"/>
  <c r="AV76" i="27"/>
  <c r="AW75" i="27"/>
  <c r="AV75" i="27"/>
  <c r="AW74" i="27"/>
  <c r="AV74" i="27"/>
  <c r="AW73" i="27"/>
  <c r="AV73" i="27"/>
  <c r="AW72" i="27"/>
  <c r="AV72" i="27"/>
  <c r="AW71" i="27"/>
  <c r="AV71" i="27"/>
  <c r="AW70" i="27"/>
  <c r="AV70" i="27"/>
  <c r="AW69" i="27"/>
  <c r="AV69" i="27"/>
  <c r="AW68" i="27"/>
  <c r="AV68" i="27"/>
  <c r="AW67" i="27"/>
  <c r="AV67" i="27"/>
  <c r="AW66" i="27"/>
  <c r="AV66" i="27"/>
  <c r="AW65" i="27"/>
  <c r="AV65" i="27"/>
  <c r="AW64" i="27"/>
  <c r="AV64" i="27"/>
  <c r="AW63" i="27"/>
  <c r="AV63" i="27"/>
  <c r="AW62" i="27"/>
  <c r="AV62" i="27"/>
  <c r="AW61" i="27"/>
  <c r="AV61" i="27"/>
  <c r="AW60" i="27"/>
  <c r="AV60" i="27"/>
  <c r="AW59" i="27"/>
  <c r="AV59" i="27"/>
  <c r="AW58" i="27"/>
  <c r="AV58" i="27"/>
  <c r="AW57" i="27"/>
  <c r="AV57" i="27"/>
  <c r="AW56" i="27"/>
  <c r="AV56" i="27"/>
  <c r="AW55" i="27"/>
  <c r="AV55" i="27"/>
  <c r="AW54" i="27"/>
  <c r="AV54" i="27"/>
  <c r="AW53" i="27"/>
  <c r="AV53" i="27"/>
  <c r="AW52" i="27"/>
  <c r="AV52" i="27"/>
  <c r="AW51" i="27"/>
  <c r="AV51" i="27"/>
  <c r="AW50" i="27"/>
  <c r="AV50" i="27"/>
  <c r="AW49" i="27"/>
  <c r="AV49" i="27"/>
  <c r="AW48" i="27"/>
  <c r="AV48" i="27"/>
  <c r="AW47" i="27"/>
  <c r="AV47" i="27"/>
  <c r="AW46" i="27"/>
  <c r="AV46" i="27"/>
  <c r="AW45" i="27"/>
  <c r="AV45" i="27"/>
  <c r="AW44" i="27"/>
  <c r="AV44" i="27"/>
  <c r="AW43" i="27"/>
  <c r="AV43" i="27"/>
  <c r="AW42" i="27"/>
  <c r="AV42" i="27"/>
  <c r="AW41" i="27"/>
  <c r="AV41" i="27"/>
  <c r="AW40" i="27"/>
  <c r="AV40" i="27"/>
  <c r="AW39" i="27"/>
  <c r="AV39" i="27"/>
  <c r="AW38" i="27"/>
  <c r="AV38" i="27"/>
  <c r="AW37" i="27"/>
  <c r="AV37" i="27"/>
  <c r="AW36" i="27"/>
  <c r="AV36" i="27"/>
  <c r="AW35" i="27"/>
  <c r="AV35" i="27"/>
  <c r="AW34" i="27"/>
  <c r="AV34" i="27"/>
  <c r="AW33" i="27"/>
  <c r="AV33" i="27"/>
  <c r="AW32" i="27"/>
  <c r="AV32" i="27"/>
  <c r="AW31" i="27"/>
  <c r="AV31" i="27"/>
  <c r="AW30" i="27"/>
  <c r="AV30" i="27"/>
  <c r="AW29" i="27"/>
  <c r="AV29" i="27"/>
  <c r="AW28" i="27"/>
  <c r="AV28" i="27"/>
  <c r="AW27" i="27"/>
  <c r="AV27" i="27"/>
  <c r="AW26" i="27"/>
  <c r="AV26" i="27"/>
  <c r="AW25" i="27"/>
  <c r="AV25" i="27"/>
  <c r="AW24" i="27"/>
  <c r="AV24" i="27"/>
  <c r="AW23" i="27"/>
  <c r="AV23" i="27"/>
  <c r="AW22" i="27"/>
  <c r="AV22" i="27"/>
  <c r="AW21" i="27"/>
  <c r="AV21" i="27"/>
  <c r="AW20" i="27"/>
  <c r="AV20" i="27"/>
  <c r="AW19" i="27"/>
  <c r="AV19" i="27"/>
  <c r="AW18" i="27"/>
  <c r="AV18" i="27"/>
  <c r="AS18" i="27"/>
  <c r="AW17" i="27"/>
  <c r="AV17" i="27"/>
  <c r="AS17" i="27"/>
  <c r="AW16" i="27"/>
  <c r="AV16" i="27"/>
  <c r="AS16" i="27"/>
  <c r="AW15" i="27"/>
  <c r="AV15" i="27"/>
  <c r="AS15" i="27"/>
  <c r="AW14" i="27"/>
  <c r="AV14" i="27"/>
  <c r="AS14" i="27"/>
  <c r="AW13" i="27"/>
  <c r="AV13" i="27"/>
  <c r="AS13" i="27"/>
  <c r="AW12" i="27"/>
  <c r="AV12" i="27"/>
  <c r="AS12" i="27"/>
  <c r="AW11" i="27"/>
  <c r="AV11" i="27"/>
  <c r="AS11" i="27"/>
  <c r="AW10" i="27"/>
  <c r="AV10" i="27"/>
  <c r="AS10" i="27"/>
  <c r="AP10" i="27"/>
  <c r="AD10" i="27"/>
  <c r="AG10" i="27"/>
  <c r="R10" i="27"/>
  <c r="U10" i="27"/>
  <c r="D7" i="30"/>
  <c r="I7" i="30" s="1"/>
  <c r="AW9" i="27"/>
  <c r="AV9" i="27"/>
  <c r="BF9" i="27"/>
  <c r="AP9" i="27"/>
  <c r="AO9" i="27"/>
  <c r="BE9" i="27"/>
  <c r="AD9" i="27"/>
  <c r="AC9" i="27"/>
  <c r="BD9" i="27"/>
  <c r="R9" i="27"/>
  <c r="Q9" i="27"/>
  <c r="J6" i="27"/>
  <c r="AQ20" i="27" l="1"/>
  <c r="AR20" i="27" s="1"/>
  <c r="AP21" i="27"/>
  <c r="AO21" i="27"/>
  <c r="AN22" i="27"/>
  <c r="AC21" i="27"/>
  <c r="AB22" i="27"/>
  <c r="AD21" i="27"/>
  <c r="B22" i="27"/>
  <c r="AU21" i="27"/>
  <c r="O22" i="27"/>
  <c r="U21" i="27"/>
  <c r="B638" i="30"/>
  <c r="D642" i="27"/>
  <c r="AS22" i="27"/>
  <c r="AM23" i="27"/>
  <c r="Q22" i="27"/>
  <c r="R22" i="27"/>
  <c r="P23" i="27"/>
  <c r="S21" i="27"/>
  <c r="T21" i="27" s="1"/>
  <c r="AA24" i="27"/>
  <c r="AG23" i="27"/>
  <c r="I22" i="27"/>
  <c r="AQ9" i="27"/>
  <c r="AR9" i="27" s="1"/>
  <c r="BF20" i="27"/>
  <c r="G17" i="30"/>
  <c r="BF21" i="27"/>
  <c r="G18" i="30"/>
  <c r="BF22" i="27"/>
  <c r="G19" i="30"/>
  <c r="BF19" i="27"/>
  <c r="G16" i="30"/>
  <c r="BF14" i="27"/>
  <c r="G11" i="30"/>
  <c r="BF16" i="27"/>
  <c r="G13" i="30"/>
  <c r="BF10" i="27"/>
  <c r="G7" i="30"/>
  <c r="BF17" i="27"/>
  <c r="G14" i="30"/>
  <c r="BF15" i="27"/>
  <c r="G12" i="30"/>
  <c r="BF11" i="27"/>
  <c r="G8" i="30"/>
  <c r="BF18" i="27"/>
  <c r="G15" i="30"/>
  <c r="BF13" i="27"/>
  <c r="G10" i="30"/>
  <c r="BF12" i="27"/>
  <c r="G9" i="30"/>
  <c r="BE10" i="27"/>
  <c r="F7" i="30"/>
  <c r="B16" i="30"/>
  <c r="BB10" i="27"/>
  <c r="BC10" i="27"/>
  <c r="E7" i="30"/>
  <c r="AE9" i="27"/>
  <c r="AF9" i="27" s="1"/>
  <c r="AD11" i="27"/>
  <c r="BG9" i="27"/>
  <c r="BH9" i="27" s="1"/>
  <c r="S9" i="27"/>
  <c r="T9" i="27" s="1"/>
  <c r="BA9" i="27" s="1"/>
  <c r="AC11" i="27"/>
  <c r="BL9" i="27"/>
  <c r="AC10" i="27"/>
  <c r="AE10" i="27" s="1"/>
  <c r="AF10" i="27" s="1"/>
  <c r="Q10" i="27"/>
  <c r="S10" i="27" s="1"/>
  <c r="T10" i="27" s="1"/>
  <c r="BA10" i="27" s="1"/>
  <c r="BD10" i="27"/>
  <c r="D8" i="30"/>
  <c r="I8" i="30" s="1"/>
  <c r="AO10" i="27"/>
  <c r="AQ10" i="27" s="1"/>
  <c r="AR10" i="27" s="1"/>
  <c r="AN23" i="27" l="1"/>
  <c r="AP22" i="27"/>
  <c r="AO22" i="27"/>
  <c r="AQ22" i="27" s="1"/>
  <c r="AR22" i="27" s="1"/>
  <c r="AQ21" i="27"/>
  <c r="AR21" i="27" s="1"/>
  <c r="AD22" i="27"/>
  <c r="AB23" i="27"/>
  <c r="AC22" i="27"/>
  <c r="AE21" i="27"/>
  <c r="AF21" i="27" s="1"/>
  <c r="O23" i="27"/>
  <c r="U22" i="27"/>
  <c r="B23" i="27"/>
  <c r="AU22" i="27"/>
  <c r="B639" i="30"/>
  <c r="D643" i="27"/>
  <c r="AA25" i="27"/>
  <c r="AG24" i="27"/>
  <c r="P24" i="27"/>
  <c r="Q23" i="27"/>
  <c r="R23" i="27"/>
  <c r="S22" i="27"/>
  <c r="T22" i="27" s="1"/>
  <c r="I23" i="27"/>
  <c r="AM24" i="27"/>
  <c r="AS23" i="27"/>
  <c r="BL10" i="27"/>
  <c r="BG10" i="27"/>
  <c r="BH10" i="27" s="1"/>
  <c r="AE11" i="27"/>
  <c r="B17" i="30"/>
  <c r="AY10" i="27"/>
  <c r="AZ10" i="27"/>
  <c r="AF11" i="27"/>
  <c r="AZ11" i="27" s="1"/>
  <c r="AG11" i="27"/>
  <c r="BI9" i="27"/>
  <c r="BJ9" i="27" s="1"/>
  <c r="BK9" i="27" s="1"/>
  <c r="AT9" i="27" s="1"/>
  <c r="AG12" i="27"/>
  <c r="AY9" i="27"/>
  <c r="AZ9" i="27"/>
  <c r="R11" i="27"/>
  <c r="Q11" i="27"/>
  <c r="U11" i="27"/>
  <c r="AD12" i="27"/>
  <c r="AC12" i="27"/>
  <c r="D9" i="30"/>
  <c r="I9" i="30" s="1"/>
  <c r="AP11" i="27"/>
  <c r="AO11" i="27"/>
  <c r="D5" i="28"/>
  <c r="D6" i="28"/>
  <c r="D7" i="28"/>
  <c r="D8" i="28"/>
  <c r="D9" i="28"/>
  <c r="D10" i="28"/>
  <c r="D11" i="28"/>
  <c r="D12" i="28"/>
  <c r="D13" i="28"/>
  <c r="D14" i="28"/>
  <c r="D15" i="28"/>
  <c r="D16" i="28"/>
  <c r="D17" i="28"/>
  <c r="D18" i="28"/>
  <c r="D19" i="28"/>
  <c r="D20" i="28"/>
  <c r="D21" i="28"/>
  <c r="D22" i="28"/>
  <c r="D23" i="28"/>
  <c r="D24" i="28"/>
  <c r="D25" i="28"/>
  <c r="D26" i="28"/>
  <c r="D27" i="28"/>
  <c r="D28" i="28"/>
  <c r="D29" i="28"/>
  <c r="D30" i="28"/>
  <c r="D31" i="28"/>
  <c r="D32" i="28"/>
  <c r="D33" i="28"/>
  <c r="D34" i="28"/>
  <c r="D35" i="28"/>
  <c r="D36" i="28"/>
  <c r="D37" i="28"/>
  <c r="D38" i="28"/>
  <c r="D39" i="28"/>
  <c r="D40" i="28"/>
  <c r="D41" i="28"/>
  <c r="D42" i="28"/>
  <c r="D43" i="28"/>
  <c r="D44" i="28"/>
  <c r="D45" i="28"/>
  <c r="D46" i="28"/>
  <c r="D47" i="28"/>
  <c r="D48" i="28"/>
  <c r="D49" i="28"/>
  <c r="D50" i="28"/>
  <c r="D51" i="28"/>
  <c r="D52" i="28"/>
  <c r="D53" i="28"/>
  <c r="D54" i="28"/>
  <c r="D55" i="28"/>
  <c r="D56" i="28"/>
  <c r="D57" i="28"/>
  <c r="D58" i="28"/>
  <c r="D59" i="28"/>
  <c r="D60" i="28"/>
  <c r="D61" i="28"/>
  <c r="D62" i="28"/>
  <c r="D63" i="28"/>
  <c r="D64" i="28"/>
  <c r="D65" i="28"/>
  <c r="D66" i="28"/>
  <c r="D67" i="28"/>
  <c r="D68" i="28"/>
  <c r="D69" i="28"/>
  <c r="D70" i="28"/>
  <c r="D71" i="28"/>
  <c r="D72" i="28"/>
  <c r="D73" i="28"/>
  <c r="D74" i="28"/>
  <c r="D75" i="28"/>
  <c r="D76" i="28"/>
  <c r="D77" i="28"/>
  <c r="D78" i="28"/>
  <c r="D79" i="28"/>
  <c r="D80" i="28"/>
  <c r="D81" i="28"/>
  <c r="D82" i="28"/>
  <c r="D83" i="28"/>
  <c r="D84" i="28"/>
  <c r="D85" i="28"/>
  <c r="D86" i="28"/>
  <c r="D87" i="28"/>
  <c r="D88" i="28"/>
  <c r="D89" i="28"/>
  <c r="D90" i="28"/>
  <c r="D91" i="28"/>
  <c r="D92" i="28"/>
  <c r="D93" i="28"/>
  <c r="D94" i="28"/>
  <c r="D95" i="28"/>
  <c r="D96" i="28"/>
  <c r="D97" i="28"/>
  <c r="D98" i="28"/>
  <c r="D99" i="28"/>
  <c r="D100" i="28"/>
  <c r="D101" i="28"/>
  <c r="D102" i="28"/>
  <c r="D103" i="28"/>
  <c r="D104" i="28"/>
  <c r="D105" i="28"/>
  <c r="D106" i="28"/>
  <c r="D107" i="28"/>
  <c r="D108" i="28"/>
  <c r="D109" i="28"/>
  <c r="D110" i="28"/>
  <c r="D111" i="28"/>
  <c r="D112" i="28"/>
  <c r="D113" i="28"/>
  <c r="D114" i="28"/>
  <c r="D115" i="28"/>
  <c r="D116" i="28"/>
  <c r="D117" i="28"/>
  <c r="D118" i="28"/>
  <c r="D119" i="28"/>
  <c r="D120" i="28"/>
  <c r="D121" i="28"/>
  <c r="D122" i="28"/>
  <c r="D123" i="28"/>
  <c r="D124" i="28"/>
  <c r="D125" i="28"/>
  <c r="D126" i="28"/>
  <c r="D127" i="28"/>
  <c r="D128" i="28"/>
  <c r="D129" i="28"/>
  <c r="D130" i="28"/>
  <c r="D131" i="28"/>
  <c r="D132" i="28"/>
  <c r="D133" i="28"/>
  <c r="D134" i="28"/>
  <c r="D135" i="28"/>
  <c r="D136" i="28"/>
  <c r="D137" i="28"/>
  <c r="D138" i="28"/>
  <c r="D139" i="28"/>
  <c r="D140" i="28"/>
  <c r="D141" i="28"/>
  <c r="D142" i="28"/>
  <c r="D143" i="28"/>
  <c r="D144" i="28"/>
  <c r="D145" i="28"/>
  <c r="D146" i="28"/>
  <c r="D147" i="28"/>
  <c r="D148" i="28"/>
  <c r="D149" i="28"/>
  <c r="D150" i="28"/>
  <c r="D151" i="28"/>
  <c r="D152" i="28"/>
  <c r="D153" i="28"/>
  <c r="D154" i="28"/>
  <c r="D155" i="28"/>
  <c r="D156" i="28"/>
  <c r="D157" i="28"/>
  <c r="D158" i="28"/>
  <c r="D159" i="28"/>
  <c r="D160" i="28"/>
  <c r="D161" i="28"/>
  <c r="D162" i="28"/>
  <c r="D163" i="28"/>
  <c r="D164" i="28"/>
  <c r="D165" i="28"/>
  <c r="D166" i="28"/>
  <c r="D167" i="28"/>
  <c r="D168" i="28"/>
  <c r="D169" i="28"/>
  <c r="D170" i="28"/>
  <c r="D171" i="28"/>
  <c r="D172" i="28"/>
  <c r="D173" i="28"/>
  <c r="D174" i="28"/>
  <c r="D175" i="28"/>
  <c r="D176" i="28"/>
  <c r="D177" i="28"/>
  <c r="D178" i="28"/>
  <c r="D179" i="28"/>
  <c r="D180" i="28"/>
  <c r="D181" i="28"/>
  <c r="D182" i="28"/>
  <c r="D183" i="28"/>
  <c r="D184" i="28"/>
  <c r="D185" i="28"/>
  <c r="D186" i="28"/>
  <c r="D187" i="28"/>
  <c r="D188" i="28"/>
  <c r="D189" i="28"/>
  <c r="D190" i="28"/>
  <c r="D191" i="28"/>
  <c r="D192" i="28"/>
  <c r="D193" i="28"/>
  <c r="D194" i="28"/>
  <c r="D195" i="28"/>
  <c r="D196" i="28"/>
  <c r="D197" i="28"/>
  <c r="D198" i="28"/>
  <c r="D199" i="28"/>
  <c r="D200" i="28"/>
  <c r="D201" i="28"/>
  <c r="D202" i="28"/>
  <c r="D203" i="28"/>
  <c r="D204" i="28"/>
  <c r="D205" i="28"/>
  <c r="D206" i="28"/>
  <c r="D207" i="28"/>
  <c r="D208" i="28"/>
  <c r="D209" i="28"/>
  <c r="D210" i="28"/>
  <c r="D211" i="28"/>
  <c r="D212" i="28"/>
  <c r="D213" i="28"/>
  <c r="D214" i="28"/>
  <c r="D215" i="28"/>
  <c r="D216" i="28"/>
  <c r="D217" i="28"/>
  <c r="D218" i="28"/>
  <c r="D219" i="28"/>
  <c r="D220" i="28"/>
  <c r="D221" i="28"/>
  <c r="D222" i="28"/>
  <c r="D223" i="28"/>
  <c r="D224" i="28"/>
  <c r="D225" i="28"/>
  <c r="D226" i="28"/>
  <c r="D227" i="28"/>
  <c r="D228" i="28"/>
  <c r="D229" i="28"/>
  <c r="D230" i="28"/>
  <c r="D231" i="28"/>
  <c r="D232" i="28"/>
  <c r="D233" i="28"/>
  <c r="D234" i="28"/>
  <c r="D235" i="28"/>
  <c r="D236" i="28"/>
  <c r="D237" i="28"/>
  <c r="D238" i="28"/>
  <c r="D239" i="28"/>
  <c r="D240" i="28"/>
  <c r="D241" i="28"/>
  <c r="D242" i="28"/>
  <c r="D243" i="28"/>
  <c r="D244" i="28"/>
  <c r="D245" i="28"/>
  <c r="D246" i="28"/>
  <c r="D247" i="28"/>
  <c r="D248" i="28"/>
  <c r="D249" i="28"/>
  <c r="D250" i="28"/>
  <c r="D251" i="28"/>
  <c r="D252" i="28"/>
  <c r="D253" i="28"/>
  <c r="D254" i="28"/>
  <c r="D255" i="28"/>
  <c r="D256" i="28"/>
  <c r="D257" i="28"/>
  <c r="D258" i="28"/>
  <c r="D259" i="28"/>
  <c r="D260" i="28"/>
  <c r="D261" i="28"/>
  <c r="D262" i="28"/>
  <c r="D263" i="28"/>
  <c r="D264" i="28"/>
  <c r="D265" i="28"/>
  <c r="D266" i="28"/>
  <c r="D267" i="28"/>
  <c r="D268" i="28"/>
  <c r="D269" i="28"/>
  <c r="D270" i="28"/>
  <c r="D271" i="28"/>
  <c r="D272" i="28"/>
  <c r="D273" i="28"/>
  <c r="D274" i="28"/>
  <c r="D275" i="28"/>
  <c r="D276" i="28"/>
  <c r="D277" i="28"/>
  <c r="D278" i="28"/>
  <c r="D279" i="28"/>
  <c r="D280" i="28"/>
  <c r="D281" i="28"/>
  <c r="D282" i="28"/>
  <c r="D283" i="28"/>
  <c r="D284" i="28"/>
  <c r="D285" i="28"/>
  <c r="D286" i="28"/>
  <c r="D287" i="28"/>
  <c r="D288" i="28"/>
  <c r="D289" i="28"/>
  <c r="D290" i="28"/>
  <c r="D291" i="28"/>
  <c r="D292" i="28"/>
  <c r="D293" i="28"/>
  <c r="D294" i="28"/>
  <c r="D295" i="28"/>
  <c r="D296" i="28"/>
  <c r="D297" i="28"/>
  <c r="D298" i="28"/>
  <c r="D299" i="28"/>
  <c r="D300" i="28"/>
  <c r="D301" i="28"/>
  <c r="D302" i="28"/>
  <c r="D303" i="28"/>
  <c r="D304" i="28"/>
  <c r="D305" i="28"/>
  <c r="D306" i="28"/>
  <c r="D307" i="28"/>
  <c r="D308" i="28"/>
  <c r="D309" i="28"/>
  <c r="D310" i="28"/>
  <c r="D311" i="28"/>
  <c r="D312" i="28"/>
  <c r="D313" i="28"/>
  <c r="D314" i="28"/>
  <c r="D315" i="28"/>
  <c r="D316" i="28"/>
  <c r="D317" i="28"/>
  <c r="D318" i="28"/>
  <c r="D319" i="28"/>
  <c r="D320" i="28"/>
  <c r="D321" i="28"/>
  <c r="D322" i="28"/>
  <c r="D323" i="28"/>
  <c r="D324" i="28"/>
  <c r="D325" i="28"/>
  <c r="D326" i="28"/>
  <c r="D327" i="28"/>
  <c r="D328" i="28"/>
  <c r="D329" i="28"/>
  <c r="D330" i="28"/>
  <c r="D331" i="28"/>
  <c r="D332" i="28"/>
  <c r="D333" i="28"/>
  <c r="D334" i="28"/>
  <c r="D335" i="28"/>
  <c r="D336" i="28"/>
  <c r="D337" i="28"/>
  <c r="D338" i="28"/>
  <c r="D339" i="28"/>
  <c r="D340" i="28"/>
  <c r="D341" i="28"/>
  <c r="D342" i="28"/>
  <c r="D343" i="28"/>
  <c r="D344" i="28"/>
  <c r="D345" i="28"/>
  <c r="D346" i="28"/>
  <c r="D347" i="28"/>
  <c r="D348" i="28"/>
  <c r="D349" i="28"/>
  <c r="D350" i="28"/>
  <c r="D351" i="28"/>
  <c r="D352" i="28"/>
  <c r="D353" i="28"/>
  <c r="D354" i="28"/>
  <c r="D355" i="28"/>
  <c r="D356" i="28"/>
  <c r="D357" i="28"/>
  <c r="D358" i="28"/>
  <c r="D359" i="28"/>
  <c r="D360" i="28"/>
  <c r="D361" i="28"/>
  <c r="D362" i="28"/>
  <c r="D363" i="28"/>
  <c r="D364" i="28"/>
  <c r="D365" i="28"/>
  <c r="D366" i="28"/>
  <c r="D367" i="28"/>
  <c r="D368" i="28"/>
  <c r="D369" i="28"/>
  <c r="D370" i="28"/>
  <c r="D371" i="28"/>
  <c r="D372" i="28"/>
  <c r="D373" i="28"/>
  <c r="D374" i="28"/>
  <c r="D375" i="28"/>
  <c r="D376" i="28"/>
  <c r="D377" i="28"/>
  <c r="D378" i="28"/>
  <c r="D379" i="28"/>
  <c r="D380" i="28"/>
  <c r="D381" i="28"/>
  <c r="D382" i="28"/>
  <c r="D383" i="28"/>
  <c r="D384" i="28"/>
  <c r="D385" i="28"/>
  <c r="D386" i="28"/>
  <c r="D387" i="28"/>
  <c r="D388" i="28"/>
  <c r="D389" i="28"/>
  <c r="D390" i="28"/>
  <c r="D391" i="28"/>
  <c r="D392" i="28"/>
  <c r="D393" i="28"/>
  <c r="D394" i="28"/>
  <c r="D395" i="28"/>
  <c r="D396" i="28"/>
  <c r="D397" i="28"/>
  <c r="D398" i="28"/>
  <c r="D399" i="28"/>
  <c r="D400" i="28"/>
  <c r="D401" i="28"/>
  <c r="D402" i="28"/>
  <c r="D403" i="28"/>
  <c r="D404" i="28"/>
  <c r="D405" i="28"/>
  <c r="D406" i="28"/>
  <c r="D407" i="28"/>
  <c r="D408" i="28"/>
  <c r="D409" i="28"/>
  <c r="D410" i="28"/>
  <c r="D411" i="28"/>
  <c r="D412" i="28"/>
  <c r="D413" i="28"/>
  <c r="D414" i="28"/>
  <c r="D415" i="28"/>
  <c r="D416" i="28"/>
  <c r="D417" i="28"/>
  <c r="D418" i="28"/>
  <c r="D419" i="28"/>
  <c r="D420" i="28"/>
  <c r="D421" i="28"/>
  <c r="D422" i="28"/>
  <c r="D423" i="28"/>
  <c r="D424" i="28"/>
  <c r="D425" i="28"/>
  <c r="D426" i="28"/>
  <c r="D427" i="28"/>
  <c r="D428" i="28"/>
  <c r="D429" i="28"/>
  <c r="D430" i="28"/>
  <c r="D431" i="28"/>
  <c r="D432" i="28"/>
  <c r="D433" i="28"/>
  <c r="D434" i="28"/>
  <c r="D435" i="28"/>
  <c r="D436" i="28"/>
  <c r="D437" i="28"/>
  <c r="D438" i="28"/>
  <c r="D439" i="28"/>
  <c r="D440" i="28"/>
  <c r="D441" i="28"/>
  <c r="D442" i="28"/>
  <c r="D443" i="28"/>
  <c r="D444" i="28"/>
  <c r="D445" i="28"/>
  <c r="D446" i="28"/>
  <c r="D447" i="28"/>
  <c r="D448" i="28"/>
  <c r="D449" i="28"/>
  <c r="D450" i="28"/>
  <c r="D451" i="28"/>
  <c r="D452" i="28"/>
  <c r="D453" i="28"/>
  <c r="D454" i="28"/>
  <c r="D455" i="28"/>
  <c r="D456" i="28"/>
  <c r="D457" i="28"/>
  <c r="D458" i="28"/>
  <c r="D459" i="28"/>
  <c r="D460" i="28"/>
  <c r="D461" i="28"/>
  <c r="D462" i="28"/>
  <c r="D463" i="28"/>
  <c r="D464" i="28"/>
  <c r="D465" i="28"/>
  <c r="D466" i="28"/>
  <c r="D467" i="28"/>
  <c r="D468" i="28"/>
  <c r="D469" i="28"/>
  <c r="D470" i="28"/>
  <c r="D471" i="28"/>
  <c r="D472" i="28"/>
  <c r="D473" i="28"/>
  <c r="D474" i="28"/>
  <c r="D475" i="28"/>
  <c r="D476" i="28"/>
  <c r="D477" i="28"/>
  <c r="D478" i="28"/>
  <c r="D479" i="28"/>
  <c r="D480" i="28"/>
  <c r="D481" i="28"/>
  <c r="D482" i="28"/>
  <c r="D483" i="28"/>
  <c r="D484" i="28"/>
  <c r="D485" i="28"/>
  <c r="D486" i="28"/>
  <c r="D487" i="28"/>
  <c r="D488" i="28"/>
  <c r="D489" i="28"/>
  <c r="D490" i="28"/>
  <c r="D491" i="28"/>
  <c r="D492" i="28"/>
  <c r="D493" i="28"/>
  <c r="D494" i="28"/>
  <c r="D495" i="28"/>
  <c r="D496" i="28"/>
  <c r="D497" i="28"/>
  <c r="D498" i="28"/>
  <c r="D499" i="28"/>
  <c r="D500" i="28"/>
  <c r="D501" i="28"/>
  <c r="D502" i="28"/>
  <c r="D503" i="28"/>
  <c r="D4" i="28"/>
  <c r="AN24" i="27" l="1"/>
  <c r="AP23" i="27"/>
  <c r="AO23" i="27"/>
  <c r="AQ23" i="27" s="1"/>
  <c r="AR23" i="27" s="1"/>
  <c r="AE22" i="27"/>
  <c r="AF22" i="27" s="1"/>
  <c r="AB24" i="27"/>
  <c r="AC23" i="27"/>
  <c r="AD23" i="27"/>
  <c r="S23" i="27"/>
  <c r="T23" i="27" s="1"/>
  <c r="B24" i="27"/>
  <c r="AU23" i="27"/>
  <c r="U23" i="27"/>
  <c r="O24" i="27"/>
  <c r="B640" i="30"/>
  <c r="D644" i="27"/>
  <c r="I24" i="27"/>
  <c r="Q24" i="27"/>
  <c r="R24" i="27"/>
  <c r="P25" i="27"/>
  <c r="AG25" i="27"/>
  <c r="AA26" i="27"/>
  <c r="BF23" i="27"/>
  <c r="G20" i="30"/>
  <c r="AM25" i="27"/>
  <c r="AS24" i="27"/>
  <c r="H6" i="30"/>
  <c r="AQ11" i="27"/>
  <c r="AR11" i="27" s="1"/>
  <c r="AY11" i="27" s="1"/>
  <c r="AX10" i="27"/>
  <c r="S11" i="27"/>
  <c r="T11" i="27" s="1"/>
  <c r="BA11" i="27" s="1"/>
  <c r="BI10" i="27"/>
  <c r="BJ10" i="27" s="1"/>
  <c r="BK10" i="27" s="1"/>
  <c r="AT10" i="27" s="1"/>
  <c r="H7" i="30" s="1"/>
  <c r="BE12" i="27"/>
  <c r="F9" i="30"/>
  <c r="BE11" i="27"/>
  <c r="F8" i="30"/>
  <c r="BC11" i="27"/>
  <c r="BL11" i="27" s="1"/>
  <c r="BB11" i="27"/>
  <c r="E8" i="30"/>
  <c r="B18" i="30"/>
  <c r="AE12" i="27"/>
  <c r="AF12" i="27" s="1"/>
  <c r="AZ12" i="27" s="1"/>
  <c r="AX9" i="27"/>
  <c r="AG13" i="27"/>
  <c r="AP12" i="27"/>
  <c r="AO12" i="27"/>
  <c r="R12" i="27"/>
  <c r="Q12" i="27"/>
  <c r="BD11" i="27"/>
  <c r="D10" i="30"/>
  <c r="I10" i="30" s="1"/>
  <c r="AD13" i="27"/>
  <c r="AC13" i="27"/>
  <c r="U12" i="27"/>
  <c r="AP24" i="27" l="1"/>
  <c r="AN25" i="27"/>
  <c r="AO24" i="27"/>
  <c r="AQ24" i="27" s="1"/>
  <c r="AR24" i="27" s="1"/>
  <c r="AE23" i="27"/>
  <c r="AF23" i="27" s="1"/>
  <c r="AB25" i="27"/>
  <c r="AC24" i="27"/>
  <c r="AD24" i="27"/>
  <c r="B25" i="27"/>
  <c r="AU24" i="27"/>
  <c r="U24" i="27"/>
  <c r="O25" i="27"/>
  <c r="B641" i="30"/>
  <c r="D645" i="27"/>
  <c r="AA27" i="27"/>
  <c r="AG26" i="27"/>
  <c r="S24" i="27"/>
  <c r="T24" i="27" s="1"/>
  <c r="R25" i="27"/>
  <c r="P26" i="27"/>
  <c r="Q25" i="27"/>
  <c r="BF24" i="27"/>
  <c r="G21" i="30"/>
  <c r="AS25" i="27"/>
  <c r="AM26" i="27"/>
  <c r="I25" i="27"/>
  <c r="AX11" i="27"/>
  <c r="BG11" i="27"/>
  <c r="BH11" i="27" s="1"/>
  <c r="BE13" i="27"/>
  <c r="F10" i="30"/>
  <c r="BB12" i="27"/>
  <c r="BC12" i="27"/>
  <c r="E9" i="30"/>
  <c r="B19" i="30"/>
  <c r="AE13" i="27"/>
  <c r="AF13" i="27" s="1"/>
  <c r="AZ13" i="27" s="1"/>
  <c r="S12" i="27"/>
  <c r="T12" i="27" s="1"/>
  <c r="BA12" i="27" s="1"/>
  <c r="AG14" i="27"/>
  <c r="AO13" i="27"/>
  <c r="AP13" i="27"/>
  <c r="AQ12" i="27"/>
  <c r="AR12" i="27" s="1"/>
  <c r="AY12" i="27" s="1"/>
  <c r="U13" i="27"/>
  <c r="D11" i="30"/>
  <c r="I11" i="30" s="1"/>
  <c r="Q13" i="27"/>
  <c r="R13" i="27"/>
  <c r="AD14" i="27"/>
  <c r="AC14" i="27"/>
  <c r="AE14" i="27" s="1"/>
  <c r="AF14" i="27" s="1"/>
  <c r="AZ14" i="27" s="1"/>
  <c r="BD12" i="27"/>
  <c r="BG12" i="27" s="1"/>
  <c r="AN26" i="27" l="1"/>
  <c r="AO25" i="27"/>
  <c r="AQ25" i="27" s="1"/>
  <c r="AR25" i="27" s="1"/>
  <c r="AP25" i="27"/>
  <c r="AE24" i="27"/>
  <c r="AF24" i="27" s="1"/>
  <c r="AB26" i="27"/>
  <c r="AC25" i="27"/>
  <c r="AD25" i="27"/>
  <c r="O26" i="27"/>
  <c r="U25" i="27"/>
  <c r="S25" i="27"/>
  <c r="T25" i="27" s="1"/>
  <c r="B26" i="27"/>
  <c r="AU25" i="27"/>
  <c r="D646" i="27"/>
  <c r="B642" i="30"/>
  <c r="AA28" i="27"/>
  <c r="AG27" i="27"/>
  <c r="Q26" i="27"/>
  <c r="R26" i="27"/>
  <c r="P27" i="27"/>
  <c r="I26" i="27"/>
  <c r="AM27" i="27"/>
  <c r="AS26" i="27"/>
  <c r="G22" i="30"/>
  <c r="BF25" i="27"/>
  <c r="BI11" i="27"/>
  <c r="BJ11" i="27" s="1"/>
  <c r="BK11" i="27" s="1"/>
  <c r="AT11" i="27" s="1"/>
  <c r="BL12" i="27"/>
  <c r="BE14" i="27"/>
  <c r="F11" i="30"/>
  <c r="BB13" i="27"/>
  <c r="BC13" i="27"/>
  <c r="BL13" i="27" s="1"/>
  <c r="E10" i="30"/>
  <c r="AX12" i="27"/>
  <c r="B20" i="30"/>
  <c r="AG15" i="27"/>
  <c r="S13" i="27"/>
  <c r="T13" i="27" s="1"/>
  <c r="BA13" i="27" s="1"/>
  <c r="AQ13" i="27"/>
  <c r="AR13" i="27" s="1"/>
  <c r="AY13" i="27" s="1"/>
  <c r="BI12" i="27"/>
  <c r="BH12" i="27"/>
  <c r="AD15" i="27"/>
  <c r="AC15" i="27"/>
  <c r="AP14" i="27"/>
  <c r="AO14" i="27"/>
  <c r="U14" i="27"/>
  <c r="D12" i="30"/>
  <c r="I12" i="30" s="1"/>
  <c r="BD13" i="27"/>
  <c r="BG13" i="27" s="1"/>
  <c r="Q14" i="27"/>
  <c r="R14" i="27"/>
  <c r="AP26" i="27" l="1"/>
  <c r="AN27" i="27"/>
  <c r="AO26" i="27"/>
  <c r="AE25" i="27"/>
  <c r="AF25" i="27" s="1"/>
  <c r="AB27" i="27"/>
  <c r="AC26" i="27"/>
  <c r="AD26" i="27"/>
  <c r="O27" i="27"/>
  <c r="U26" i="27"/>
  <c r="B27" i="27"/>
  <c r="AU26" i="27"/>
  <c r="B643" i="30"/>
  <c r="D647" i="27"/>
  <c r="BF26" i="27"/>
  <c r="G23" i="30"/>
  <c r="S26" i="27"/>
  <c r="T26" i="27" s="1"/>
  <c r="AM28" i="27"/>
  <c r="AS27" i="27"/>
  <c r="Q27" i="27"/>
  <c r="R27" i="27"/>
  <c r="P28" i="27"/>
  <c r="I27" i="27"/>
  <c r="AA29" i="27"/>
  <c r="AG28" i="27"/>
  <c r="H8" i="30"/>
  <c r="BE15" i="27"/>
  <c r="F12" i="30"/>
  <c r="AX13" i="27"/>
  <c r="BB14" i="27"/>
  <c r="BC14" i="27"/>
  <c r="BL14" i="27" s="1"/>
  <c r="E11" i="30"/>
  <c r="B21" i="30"/>
  <c r="S14" i="27"/>
  <c r="T14" i="27" s="1"/>
  <c r="BA14" i="27" s="1"/>
  <c r="AE15" i="27"/>
  <c r="AF15" i="27" s="1"/>
  <c r="AZ15" i="27" s="1"/>
  <c r="AG16" i="27"/>
  <c r="AC16" i="27"/>
  <c r="AD16" i="27"/>
  <c r="BI13" i="27"/>
  <c r="BH13" i="27"/>
  <c r="D13" i="30"/>
  <c r="I13" i="30" s="1"/>
  <c r="AO15" i="27"/>
  <c r="AP15" i="27"/>
  <c r="BD14" i="27"/>
  <c r="BG14" i="27" s="1"/>
  <c r="BJ12" i="27"/>
  <c r="BK12" i="27" s="1"/>
  <c r="AT12" i="27" s="1"/>
  <c r="H9" i="30" s="1"/>
  <c r="U15" i="27"/>
  <c r="Q15" i="27"/>
  <c r="R15" i="27"/>
  <c r="AQ14" i="27"/>
  <c r="AR14" i="27" s="1"/>
  <c r="AY14" i="27" s="1"/>
  <c r="AQ26" i="27" l="1"/>
  <c r="AR26" i="27" s="1"/>
  <c r="AN28" i="27"/>
  <c r="AO27" i="27"/>
  <c r="AQ27" i="27" s="1"/>
  <c r="AR27" i="27" s="1"/>
  <c r="AP27" i="27"/>
  <c r="AE26" i="27"/>
  <c r="AF26" i="27" s="1"/>
  <c r="AB28" i="27"/>
  <c r="AC27" i="27"/>
  <c r="AD27" i="27"/>
  <c r="B28" i="27"/>
  <c r="AU27" i="27"/>
  <c r="O28" i="27"/>
  <c r="U27" i="27"/>
  <c r="B644" i="30"/>
  <c r="D648" i="27"/>
  <c r="I28" i="27"/>
  <c r="AS28" i="27"/>
  <c r="AM29" i="27"/>
  <c r="P29" i="27"/>
  <c r="Q28" i="27"/>
  <c r="R28" i="27"/>
  <c r="BF27" i="27"/>
  <c r="G24" i="30"/>
  <c r="S27" i="27"/>
  <c r="T27" i="27" s="1"/>
  <c r="AG29" i="27"/>
  <c r="AA30" i="27"/>
  <c r="BE16" i="27"/>
  <c r="F13" i="30"/>
  <c r="AX14" i="27"/>
  <c r="B22" i="30"/>
  <c r="BB15" i="27"/>
  <c r="BC15" i="27"/>
  <c r="BL15" i="27" s="1"/>
  <c r="E12" i="30"/>
  <c r="AG17" i="27"/>
  <c r="D14" i="30"/>
  <c r="I14" i="30" s="1"/>
  <c r="AO16" i="27"/>
  <c r="AP16" i="27"/>
  <c r="S15" i="27"/>
  <c r="T15" i="27" s="1"/>
  <c r="BA15" i="27" s="1"/>
  <c r="AQ15" i="27"/>
  <c r="AR15" i="27" s="1"/>
  <c r="AY15" i="27" s="1"/>
  <c r="R16" i="27"/>
  <c r="Q16" i="27"/>
  <c r="U16" i="27"/>
  <c r="BD15" i="27"/>
  <c r="BG15" i="27" s="1"/>
  <c r="AE16" i="27"/>
  <c r="AF16" i="27" s="1"/>
  <c r="AZ16" i="27" s="1"/>
  <c r="BH14" i="27"/>
  <c r="BI14" i="27"/>
  <c r="AD17" i="27"/>
  <c r="AC17" i="27"/>
  <c r="BJ13" i="27"/>
  <c r="BK13" i="27" s="1"/>
  <c r="AT13" i="27" s="1"/>
  <c r="AO28" i="27" l="1"/>
  <c r="AP28" i="27"/>
  <c r="AN29" i="27"/>
  <c r="AE27" i="27"/>
  <c r="AF27" i="27" s="1"/>
  <c r="AB29" i="27"/>
  <c r="AC28" i="27"/>
  <c r="AD28" i="27"/>
  <c r="U28" i="27"/>
  <c r="O29" i="27"/>
  <c r="S28" i="27"/>
  <c r="T28" i="27" s="1"/>
  <c r="B29" i="27"/>
  <c r="AU28" i="27"/>
  <c r="D649" i="27"/>
  <c r="B645" i="30"/>
  <c r="AG30" i="27"/>
  <c r="AA31" i="27"/>
  <c r="AM30" i="27"/>
  <c r="AS29" i="27"/>
  <c r="G25" i="30"/>
  <c r="BF28" i="27"/>
  <c r="P30" i="27"/>
  <c r="R29" i="27"/>
  <c r="Q29" i="27"/>
  <c r="S29" i="27" s="1"/>
  <c r="T29" i="27" s="1"/>
  <c r="I29" i="27"/>
  <c r="H10" i="30"/>
  <c r="BE17" i="27"/>
  <c r="F14" i="30"/>
  <c r="B23" i="30"/>
  <c r="BB16" i="27"/>
  <c r="BC16" i="27"/>
  <c r="E13" i="30"/>
  <c r="AX15" i="27"/>
  <c r="S16" i="27"/>
  <c r="T16" i="27" s="1"/>
  <c r="BA16" i="27" s="1"/>
  <c r="AE17" i="27"/>
  <c r="AF17" i="27" s="1"/>
  <c r="AZ17" i="27" s="1"/>
  <c r="AG18" i="27"/>
  <c r="BI15" i="27"/>
  <c r="BH15" i="27"/>
  <c r="AQ16" i="27"/>
  <c r="AR16" i="27" s="1"/>
  <c r="AY16" i="27" s="1"/>
  <c r="AO17" i="27"/>
  <c r="AP17" i="27"/>
  <c r="R17" i="27"/>
  <c r="Q17" i="27"/>
  <c r="U17" i="27"/>
  <c r="D15" i="30"/>
  <c r="I15" i="30" s="1"/>
  <c r="AD18" i="27"/>
  <c r="AC18" i="27"/>
  <c r="BD16" i="27"/>
  <c r="BG16" i="27" s="1"/>
  <c r="BJ14" i="27"/>
  <c r="BK14" i="27" s="1"/>
  <c r="AT14" i="27" s="1"/>
  <c r="H11" i="30" s="1"/>
  <c r="AN30" i="27" l="1"/>
  <c r="AP29" i="27"/>
  <c r="AO29" i="27"/>
  <c r="AQ29" i="27" s="1"/>
  <c r="AR29" i="27" s="1"/>
  <c r="AQ28" i="27"/>
  <c r="AR28" i="27" s="1"/>
  <c r="AE28" i="27"/>
  <c r="AF28" i="27" s="1"/>
  <c r="AC29" i="27"/>
  <c r="AD29" i="27"/>
  <c r="AB30" i="27"/>
  <c r="B30" i="27"/>
  <c r="AU29" i="27"/>
  <c r="O30" i="27"/>
  <c r="U29" i="27"/>
  <c r="D650" i="27"/>
  <c r="B646" i="30"/>
  <c r="Q30" i="27"/>
  <c r="R30" i="27"/>
  <c r="P31" i="27"/>
  <c r="AG31" i="27"/>
  <c r="AA32" i="27"/>
  <c r="AM31" i="27"/>
  <c r="AS30" i="27"/>
  <c r="I30" i="27"/>
  <c r="BF29" i="27"/>
  <c r="G26" i="30"/>
  <c r="BL16" i="27"/>
  <c r="S17" i="27"/>
  <c r="T17" i="27" s="1"/>
  <c r="BA17" i="27" s="1"/>
  <c r="AX16" i="27"/>
  <c r="BE18" i="27"/>
  <c r="F15" i="30"/>
  <c r="BC17" i="27"/>
  <c r="BB17" i="27"/>
  <c r="E14" i="30"/>
  <c r="B24" i="30"/>
  <c r="BJ15" i="27"/>
  <c r="BK15" i="27" s="1"/>
  <c r="AT15" i="27" s="1"/>
  <c r="AE18" i="27"/>
  <c r="AF18" i="27" s="1"/>
  <c r="AZ18" i="27" s="1"/>
  <c r="R18" i="27"/>
  <c r="Q18" i="27"/>
  <c r="AQ17" i="27"/>
  <c r="AR17" i="27" s="1"/>
  <c r="AY17" i="27" s="1"/>
  <c r="BI16" i="27"/>
  <c r="BH16" i="27"/>
  <c r="AO18" i="27"/>
  <c r="AP18" i="27"/>
  <c r="D16" i="30"/>
  <c r="I16" i="30" s="1"/>
  <c r="BD17" i="27"/>
  <c r="BG17" i="27" s="1"/>
  <c r="U18" i="27"/>
  <c r="AO30" i="27" l="1"/>
  <c r="AN31" i="27"/>
  <c r="AP30" i="27"/>
  <c r="AC30" i="27"/>
  <c r="AE30" i="27" s="1"/>
  <c r="AF30" i="27" s="1"/>
  <c r="AD30" i="27"/>
  <c r="AB31" i="27"/>
  <c r="AE29" i="27"/>
  <c r="AF29" i="27" s="1"/>
  <c r="AX17" i="27"/>
  <c r="U30" i="27"/>
  <c r="O31" i="27"/>
  <c r="B31" i="27"/>
  <c r="AU30" i="27"/>
  <c r="D651" i="27"/>
  <c r="B647" i="30"/>
  <c r="G27" i="30"/>
  <c r="BF30" i="27"/>
  <c r="AM32" i="27"/>
  <c r="AS31" i="27"/>
  <c r="AG32" i="27"/>
  <c r="AA33" i="27"/>
  <c r="R31" i="27"/>
  <c r="Q31" i="27"/>
  <c r="S31" i="27" s="1"/>
  <c r="T31" i="27" s="1"/>
  <c r="P32" i="27"/>
  <c r="I31" i="27"/>
  <c r="S30" i="27"/>
  <c r="T30" i="27" s="1"/>
  <c r="H12" i="30"/>
  <c r="BL17" i="27"/>
  <c r="BE19" i="27"/>
  <c r="F16" i="30"/>
  <c r="BB18" i="27"/>
  <c r="BC18" i="27"/>
  <c r="BL18" i="27" s="1"/>
  <c r="E15" i="30"/>
  <c r="B25" i="30"/>
  <c r="S18" i="27"/>
  <c r="T18" i="27" s="1"/>
  <c r="BA18" i="27" s="1"/>
  <c r="AQ18" i="27"/>
  <c r="AR18" i="27" s="1"/>
  <c r="AY18" i="27" s="1"/>
  <c r="D17" i="30"/>
  <c r="I17" i="30" s="1"/>
  <c r="AZ19" i="27"/>
  <c r="BJ16" i="27"/>
  <c r="BK16" i="27" s="1"/>
  <c r="AT16" i="27" s="1"/>
  <c r="H13" i="30" s="1"/>
  <c r="BD18" i="27"/>
  <c r="BG18" i="27" s="1"/>
  <c r="BI17" i="27"/>
  <c r="BH17" i="27"/>
  <c r="AP31" i="27" l="1"/>
  <c r="AN32" i="27"/>
  <c r="AO31" i="27"/>
  <c r="AQ31" i="27" s="1"/>
  <c r="AR31" i="27" s="1"/>
  <c r="AQ30" i="27"/>
  <c r="AR30" i="27" s="1"/>
  <c r="AD31" i="27"/>
  <c r="AB32" i="27"/>
  <c r="AC31" i="27"/>
  <c r="AE31" i="27" s="1"/>
  <c r="AF31" i="27" s="1"/>
  <c r="B32" i="27"/>
  <c r="AU31" i="27"/>
  <c r="O32" i="27"/>
  <c r="U31" i="27"/>
  <c r="D652" i="27"/>
  <c r="B648" i="30"/>
  <c r="AA34" i="27"/>
  <c r="AG33" i="27"/>
  <c r="G28" i="30"/>
  <c r="BF31" i="27"/>
  <c r="AM33" i="27"/>
  <c r="AS32" i="27"/>
  <c r="I32" i="27"/>
  <c r="P33" i="27"/>
  <c r="Q32" i="27"/>
  <c r="R32" i="27"/>
  <c r="AX18" i="27"/>
  <c r="BE20" i="27"/>
  <c r="F17" i="30"/>
  <c r="BC19" i="27"/>
  <c r="BL19" i="27" s="1"/>
  <c r="BB19" i="27"/>
  <c r="E16" i="30"/>
  <c r="B26" i="30"/>
  <c r="BJ17" i="27"/>
  <c r="BK17" i="27" s="1"/>
  <c r="AT17" i="27" s="1"/>
  <c r="AY19" i="27"/>
  <c r="BI18" i="27"/>
  <c r="BH18" i="27"/>
  <c r="AZ20" i="27"/>
  <c r="BD19" i="27"/>
  <c r="BG19" i="27" s="1"/>
  <c r="D18" i="30"/>
  <c r="I18" i="30" s="1"/>
  <c r="BA19" i="27"/>
  <c r="AP32" i="27" l="1"/>
  <c r="AN33" i="27"/>
  <c r="AO32" i="27"/>
  <c r="AC32" i="27"/>
  <c r="AD32" i="27"/>
  <c r="AB33" i="27"/>
  <c r="S32" i="27"/>
  <c r="T32" i="27" s="1"/>
  <c r="U32" i="27"/>
  <c r="O33" i="27"/>
  <c r="B33" i="27"/>
  <c r="AU32" i="27"/>
  <c r="B649" i="30"/>
  <c r="D653" i="27"/>
  <c r="BF32" i="27"/>
  <c r="G29" i="30"/>
  <c r="AS33" i="27"/>
  <c r="AM34" i="27"/>
  <c r="AA35" i="27"/>
  <c r="AG34" i="27"/>
  <c r="I33" i="27"/>
  <c r="P34" i="27"/>
  <c r="Q33" i="27"/>
  <c r="S33" i="27" s="1"/>
  <c r="T33" i="27" s="1"/>
  <c r="R33" i="27"/>
  <c r="H14" i="30"/>
  <c r="AX19" i="27"/>
  <c r="BE21" i="27"/>
  <c r="F18" i="30"/>
  <c r="BB20" i="27"/>
  <c r="BC20" i="27"/>
  <c r="BL20" i="27" s="1"/>
  <c r="E17" i="30"/>
  <c r="B27" i="30"/>
  <c r="BJ18" i="27"/>
  <c r="BK18" i="27" s="1"/>
  <c r="AT18" i="27" s="1"/>
  <c r="H15" i="30" s="1"/>
  <c r="AZ21" i="27"/>
  <c r="BA20" i="27"/>
  <c r="AY20" i="27"/>
  <c r="AY21" i="27"/>
  <c r="D19" i="30"/>
  <c r="I19" i="30" s="1"/>
  <c r="BD20" i="27"/>
  <c r="BG20" i="27" s="1"/>
  <c r="BI19" i="27"/>
  <c r="BH19" i="27"/>
  <c r="BA21" i="27"/>
  <c r="AQ32" i="27" l="1"/>
  <c r="AR32" i="27" s="1"/>
  <c r="AN34" i="27"/>
  <c r="AO33" i="27"/>
  <c r="AP33" i="27"/>
  <c r="AD33" i="27"/>
  <c r="AB34" i="27"/>
  <c r="AC33" i="27"/>
  <c r="AE33" i="27" s="1"/>
  <c r="AF33" i="27" s="1"/>
  <c r="AE32" i="27"/>
  <c r="AF32" i="27" s="1"/>
  <c r="B34" i="27"/>
  <c r="AU33" i="27"/>
  <c r="U33" i="27"/>
  <c r="O34" i="27"/>
  <c r="B650" i="30"/>
  <c r="D654" i="27"/>
  <c r="I34" i="27"/>
  <c r="AS34" i="27"/>
  <c r="AM35" i="27"/>
  <c r="AG35" i="27"/>
  <c r="AA36" i="27"/>
  <c r="BF33" i="27"/>
  <c r="G30" i="30"/>
  <c r="Q34" i="27"/>
  <c r="R34" i="27"/>
  <c r="P35" i="27"/>
  <c r="AX20" i="27"/>
  <c r="BE22" i="27"/>
  <c r="F19" i="30"/>
  <c r="B28" i="30"/>
  <c r="BC21" i="27"/>
  <c r="BB21" i="27"/>
  <c r="E18" i="30"/>
  <c r="AZ22" i="27"/>
  <c r="AX21" i="27"/>
  <c r="D20" i="30"/>
  <c r="I20" i="30" s="1"/>
  <c r="BJ19" i="27"/>
  <c r="BK19" i="27" s="1"/>
  <c r="BI20" i="27"/>
  <c r="BH20" i="27"/>
  <c r="BD21" i="27"/>
  <c r="BG21" i="27" s="1"/>
  <c r="AQ33" i="27" l="1"/>
  <c r="AR33" i="27" s="1"/>
  <c r="AP34" i="27"/>
  <c r="AO34" i="27"/>
  <c r="AQ34" i="27" s="1"/>
  <c r="AR34" i="27" s="1"/>
  <c r="AN35" i="27"/>
  <c r="AB35" i="27"/>
  <c r="AC34" i="27"/>
  <c r="AE34" i="27" s="1"/>
  <c r="AF34" i="27" s="1"/>
  <c r="AD34" i="27"/>
  <c r="O35" i="27"/>
  <c r="U34" i="27"/>
  <c r="B35" i="27"/>
  <c r="AU34" i="27"/>
  <c r="D655" i="27"/>
  <c r="B651" i="30"/>
  <c r="BF34" i="27"/>
  <c r="G31" i="30"/>
  <c r="AT19" i="27"/>
  <c r="AG36" i="27"/>
  <c r="AA37" i="27"/>
  <c r="AM36" i="27"/>
  <c r="AS35" i="27"/>
  <c r="Q35" i="27"/>
  <c r="R35" i="27"/>
  <c r="P36" i="27"/>
  <c r="S34" i="27"/>
  <c r="T34" i="27" s="1"/>
  <c r="I35" i="27"/>
  <c r="BL21" i="27"/>
  <c r="BE23" i="27"/>
  <c r="F20" i="30"/>
  <c r="BB22" i="27"/>
  <c r="BC22" i="27"/>
  <c r="BL22" i="27" s="1"/>
  <c r="E19" i="30"/>
  <c r="B29" i="30"/>
  <c r="AZ23" i="27"/>
  <c r="BA22" i="27"/>
  <c r="AY22" i="27"/>
  <c r="BJ20" i="27"/>
  <c r="BK20" i="27" s="1"/>
  <c r="BH21" i="27"/>
  <c r="BI21" i="27"/>
  <c r="BD22" i="27"/>
  <c r="BG22" i="27" s="1"/>
  <c r="D21" i="30"/>
  <c r="I21" i="30" s="1"/>
  <c r="AP35" i="27" l="1"/>
  <c r="AN36" i="27"/>
  <c r="AO35" i="27"/>
  <c r="AQ35" i="27" s="1"/>
  <c r="AR35" i="27" s="1"/>
  <c r="AC35" i="27"/>
  <c r="AD35" i="27"/>
  <c r="AB36" i="27"/>
  <c r="B36" i="27"/>
  <c r="AU35" i="27"/>
  <c r="O36" i="27"/>
  <c r="U35" i="27"/>
  <c r="D656" i="27"/>
  <c r="B652" i="30"/>
  <c r="I36" i="27"/>
  <c r="AT20" i="27"/>
  <c r="H17" i="30" s="1"/>
  <c r="AM37" i="27"/>
  <c r="AS36" i="27"/>
  <c r="H16" i="30"/>
  <c r="Q36" i="27"/>
  <c r="R36" i="27"/>
  <c r="P37" i="27"/>
  <c r="BF35" i="27"/>
  <c r="G32" i="30"/>
  <c r="AA38" i="27"/>
  <c r="AG37" i="27"/>
  <c r="S35" i="27"/>
  <c r="T35" i="27" s="1"/>
  <c r="AX22" i="27"/>
  <c r="BE24" i="27"/>
  <c r="F21" i="30"/>
  <c r="B30" i="30"/>
  <c r="BC23" i="27"/>
  <c r="BB23" i="27"/>
  <c r="E20" i="30"/>
  <c r="BA23" i="27"/>
  <c r="AZ24" i="27"/>
  <c r="BJ21" i="27"/>
  <c r="BK21" i="27" s="1"/>
  <c r="BD23" i="27"/>
  <c r="BG23" i="27" s="1"/>
  <c r="AY23" i="27"/>
  <c r="D22" i="30"/>
  <c r="I22" i="30" s="1"/>
  <c r="BI22" i="27"/>
  <c r="BH22" i="27"/>
  <c r="AP36" i="27" l="1"/>
  <c r="AO36" i="27"/>
  <c r="AQ36" i="27" s="1"/>
  <c r="AR36" i="27" s="1"/>
  <c r="AN37" i="27"/>
  <c r="AD36" i="27"/>
  <c r="AB37" i="27"/>
  <c r="AC36" i="27"/>
  <c r="AE36" i="27" s="1"/>
  <c r="AF36" i="27" s="1"/>
  <c r="AE35" i="27"/>
  <c r="AF35" i="27" s="1"/>
  <c r="U36" i="27"/>
  <c r="O37" i="27"/>
  <c r="B37" i="27"/>
  <c r="AU36" i="27"/>
  <c r="B653" i="30"/>
  <c r="D657" i="27"/>
  <c r="AA39" i="27"/>
  <c r="AG38" i="27"/>
  <c r="Q37" i="27"/>
  <c r="P38" i="27"/>
  <c r="R37" i="27"/>
  <c r="AM38" i="27"/>
  <c r="AS37" i="27"/>
  <c r="AT21" i="27"/>
  <c r="H18" i="30" s="1"/>
  <c r="S36" i="27"/>
  <c r="T36" i="27" s="1"/>
  <c r="G33" i="30"/>
  <c r="BF36" i="27"/>
  <c r="I37" i="27"/>
  <c r="BL23" i="27"/>
  <c r="AX23" i="27"/>
  <c r="BE25" i="27"/>
  <c r="F22" i="30"/>
  <c r="BB24" i="27"/>
  <c r="BC24" i="27"/>
  <c r="BL24" i="27" s="1"/>
  <c r="E21" i="30"/>
  <c r="BA24" i="27"/>
  <c r="B31" i="30"/>
  <c r="BJ22" i="27"/>
  <c r="BK22" i="27" s="1"/>
  <c r="AZ25" i="27"/>
  <c r="AY24" i="27"/>
  <c r="BI23" i="27"/>
  <c r="BH23" i="27"/>
  <c r="D23" i="30"/>
  <c r="I23" i="30" s="1"/>
  <c r="BD24" i="27"/>
  <c r="BG24" i="27" s="1"/>
  <c r="AO37" i="27" l="1"/>
  <c r="AN38" i="27"/>
  <c r="AP37" i="27"/>
  <c r="AC37" i="27"/>
  <c r="AD37" i="27"/>
  <c r="AB38" i="27"/>
  <c r="B38" i="27"/>
  <c r="AU37" i="27"/>
  <c r="O38" i="27"/>
  <c r="U37" i="27"/>
  <c r="B654" i="30"/>
  <c r="D658" i="27"/>
  <c r="AS38" i="27"/>
  <c r="AM39" i="27"/>
  <c r="BF37" i="27"/>
  <c r="G34" i="30"/>
  <c r="AA40" i="27"/>
  <c r="AG39" i="27"/>
  <c r="AT22" i="27"/>
  <c r="H19" i="30" s="1"/>
  <c r="I38" i="27"/>
  <c r="S37" i="27"/>
  <c r="T37" i="27" s="1"/>
  <c r="Q38" i="27"/>
  <c r="P39" i="27"/>
  <c r="R38" i="27"/>
  <c r="AX24" i="27"/>
  <c r="BE26" i="27"/>
  <c r="F23" i="30"/>
  <c r="B32" i="30"/>
  <c r="BC25" i="27"/>
  <c r="BB25" i="27"/>
  <c r="E22" i="30"/>
  <c r="BA25" i="27"/>
  <c r="BJ23" i="27"/>
  <c r="BK23" i="27" s="1"/>
  <c r="AY25" i="27"/>
  <c r="BD25" i="27"/>
  <c r="BG25" i="27" s="1"/>
  <c r="BI24" i="27"/>
  <c r="BH24" i="27"/>
  <c r="AZ26" i="27"/>
  <c r="D24" i="30"/>
  <c r="I24" i="30" s="1"/>
  <c r="AZ27" i="27"/>
  <c r="AP38" i="27" l="1"/>
  <c r="AO38" i="27"/>
  <c r="AQ38" i="27" s="1"/>
  <c r="AR38" i="27" s="1"/>
  <c r="AN39" i="27"/>
  <c r="AQ37" i="27"/>
  <c r="AR37" i="27" s="1"/>
  <c r="AC38" i="27"/>
  <c r="AD38" i="27"/>
  <c r="AB39" i="27"/>
  <c r="AE37" i="27"/>
  <c r="AF37" i="27" s="1"/>
  <c r="O39" i="27"/>
  <c r="U38" i="27"/>
  <c r="B39" i="27"/>
  <c r="AU38" i="27"/>
  <c r="D659" i="27"/>
  <c r="B655" i="30"/>
  <c r="AT23" i="27"/>
  <c r="H20" i="30" s="1"/>
  <c r="R39" i="27"/>
  <c r="P40" i="27"/>
  <c r="Q39" i="27"/>
  <c r="S39" i="27" s="1"/>
  <c r="T39" i="27" s="1"/>
  <c r="AM40" i="27"/>
  <c r="AS39" i="27"/>
  <c r="BF38" i="27"/>
  <c r="G35" i="30"/>
  <c r="I39" i="27"/>
  <c r="AG40" i="27"/>
  <c r="AA41" i="27"/>
  <c r="S38" i="27"/>
  <c r="T38" i="27" s="1"/>
  <c r="AX25" i="27"/>
  <c r="BL25" i="27"/>
  <c r="BE27" i="27"/>
  <c r="F24" i="30"/>
  <c r="B33" i="30"/>
  <c r="BB26" i="27"/>
  <c r="BC26" i="27"/>
  <c r="E23" i="30"/>
  <c r="BA26" i="27"/>
  <c r="BJ24" i="27"/>
  <c r="BK24" i="27" s="1"/>
  <c r="BI25" i="27"/>
  <c r="BH25" i="27"/>
  <c r="BD26" i="27"/>
  <c r="BG26" i="27" s="1"/>
  <c r="D25" i="30"/>
  <c r="I25" i="30" s="1"/>
  <c r="AY26" i="27"/>
  <c r="AN40" i="27" l="1"/>
  <c r="AO39" i="27"/>
  <c r="AP39" i="27"/>
  <c r="AC39" i="27"/>
  <c r="AD39" i="27"/>
  <c r="AB40" i="27"/>
  <c r="AE38" i="27"/>
  <c r="AF38" i="27" s="1"/>
  <c r="B40" i="27"/>
  <c r="AU39" i="27"/>
  <c r="U39" i="27"/>
  <c r="O40" i="27"/>
  <c r="D660" i="27"/>
  <c r="B656" i="30"/>
  <c r="I40" i="27"/>
  <c r="AT24" i="27"/>
  <c r="H21" i="30" s="1"/>
  <c r="G36" i="30"/>
  <c r="BF39" i="27"/>
  <c r="AM41" i="27"/>
  <c r="AS40" i="27"/>
  <c r="Q40" i="27"/>
  <c r="R40" i="27"/>
  <c r="P41" i="27"/>
  <c r="AG41" i="27"/>
  <c r="AA42" i="27"/>
  <c r="BL26" i="27"/>
  <c r="AY27" i="27"/>
  <c r="BE28" i="27"/>
  <c r="F25" i="30"/>
  <c r="BB27" i="27"/>
  <c r="BC27" i="27"/>
  <c r="BL27" i="27" s="1"/>
  <c r="E24" i="30"/>
  <c r="B34" i="30"/>
  <c r="AX26" i="27"/>
  <c r="AZ28" i="27"/>
  <c r="BJ25" i="27"/>
  <c r="BK25" i="27" s="1"/>
  <c r="BA27" i="27"/>
  <c r="D26" i="30"/>
  <c r="I26" i="30" s="1"/>
  <c r="BI26" i="27"/>
  <c r="BH26" i="27"/>
  <c r="BD27" i="27"/>
  <c r="BG27" i="27" s="1"/>
  <c r="AX27" i="27" l="1"/>
  <c r="AQ39" i="27"/>
  <c r="AR39" i="27" s="1"/>
  <c r="AO40" i="27"/>
  <c r="AN41" i="27"/>
  <c r="AP40" i="27"/>
  <c r="AC40" i="27"/>
  <c r="AD40" i="27"/>
  <c r="AB41" i="27"/>
  <c r="AE39" i="27"/>
  <c r="AF39" i="27" s="1"/>
  <c r="O41" i="27"/>
  <c r="U40" i="27"/>
  <c r="S40" i="27"/>
  <c r="T40" i="27" s="1"/>
  <c r="B41" i="27"/>
  <c r="AU40" i="27"/>
  <c r="B657" i="30"/>
  <c r="D661" i="27"/>
  <c r="P42" i="27"/>
  <c r="Q41" i="27"/>
  <c r="R41" i="27"/>
  <c r="AG42" i="27"/>
  <c r="AA43" i="27"/>
  <c r="AT25" i="27"/>
  <c r="H22" i="30" s="1"/>
  <c r="BF40" i="27"/>
  <c r="G37" i="30"/>
  <c r="I41" i="27"/>
  <c r="AM42" i="27"/>
  <c r="AS41" i="27"/>
  <c r="BE29" i="27"/>
  <c r="F26" i="30"/>
  <c r="BB28" i="27"/>
  <c r="BC28" i="27"/>
  <c r="BL28" i="27" s="1"/>
  <c r="E25" i="30"/>
  <c r="B35" i="30"/>
  <c r="AY28" i="27"/>
  <c r="BJ26" i="27"/>
  <c r="BK26" i="27" s="1"/>
  <c r="D27" i="30"/>
  <c r="I27" i="30" s="1"/>
  <c r="BA28" i="27"/>
  <c r="BD28" i="27"/>
  <c r="BG28" i="27" s="1"/>
  <c r="BI27" i="27"/>
  <c r="BH27" i="27"/>
  <c r="AZ29" i="27"/>
  <c r="AP41" i="27" l="1"/>
  <c r="AN42" i="27"/>
  <c r="AO41" i="27"/>
  <c r="AQ41" i="27" s="1"/>
  <c r="AR41" i="27" s="1"/>
  <c r="AQ40" i="27"/>
  <c r="AR40" i="27" s="1"/>
  <c r="AB42" i="27"/>
  <c r="AC41" i="27"/>
  <c r="AE41" i="27" s="1"/>
  <c r="AF41" i="27" s="1"/>
  <c r="AD41" i="27"/>
  <c r="AE40" i="27"/>
  <c r="AF40" i="27" s="1"/>
  <c r="B42" i="27"/>
  <c r="AU41" i="27"/>
  <c r="S41" i="27"/>
  <c r="T41" i="27" s="1"/>
  <c r="U41" i="27"/>
  <c r="O42" i="27"/>
  <c r="B658" i="30"/>
  <c r="D662" i="27"/>
  <c r="AG43" i="27"/>
  <c r="AA44" i="27"/>
  <c r="I42" i="27"/>
  <c r="AT26" i="27"/>
  <c r="H23" i="30" s="1"/>
  <c r="BF41" i="27"/>
  <c r="G38" i="30"/>
  <c r="AM43" i="27"/>
  <c r="AS42" i="27"/>
  <c r="R42" i="27"/>
  <c r="P43" i="27"/>
  <c r="Q42" i="27"/>
  <c r="S42" i="27" s="1"/>
  <c r="T42" i="27" s="1"/>
  <c r="AX28" i="27"/>
  <c r="BJ27" i="27"/>
  <c r="BK27" i="27" s="1"/>
  <c r="BE30" i="27"/>
  <c r="F27" i="30"/>
  <c r="B36" i="30"/>
  <c r="BB29" i="27"/>
  <c r="BC29" i="27"/>
  <c r="BL29" i="27" s="1"/>
  <c r="E26" i="30"/>
  <c r="BA29" i="27"/>
  <c r="BI28" i="27"/>
  <c r="BH28" i="27"/>
  <c r="D28" i="30"/>
  <c r="I28" i="30" s="1"/>
  <c r="AZ30" i="27"/>
  <c r="AY29" i="27"/>
  <c r="BD29" i="27"/>
  <c r="BG29" i="27" s="1"/>
  <c r="AN43" i="27" l="1"/>
  <c r="AP42" i="27"/>
  <c r="AO42" i="27"/>
  <c r="AD42" i="27"/>
  <c r="AC42" i="27"/>
  <c r="AE42" i="27" s="1"/>
  <c r="AF42" i="27" s="1"/>
  <c r="AB43" i="27"/>
  <c r="O43" i="27"/>
  <c r="U42" i="27"/>
  <c r="B43" i="27"/>
  <c r="AU42" i="27"/>
  <c r="D663" i="27"/>
  <c r="B659" i="30"/>
  <c r="AS43" i="27"/>
  <c r="AM44" i="27"/>
  <c r="AA45" i="27"/>
  <c r="AG44" i="27"/>
  <c r="I43" i="27"/>
  <c r="AT27" i="27"/>
  <c r="H24" i="30" s="1"/>
  <c r="P44" i="27"/>
  <c r="Q43" i="27"/>
  <c r="R43" i="27"/>
  <c r="BF42" i="27"/>
  <c r="G39" i="30"/>
  <c r="BE31" i="27"/>
  <c r="F28" i="30"/>
  <c r="BB30" i="27"/>
  <c r="BC30" i="27"/>
  <c r="BL30" i="27" s="1"/>
  <c r="E27" i="30"/>
  <c r="B37" i="30"/>
  <c r="BJ28" i="27"/>
  <c r="BK28" i="27" s="1"/>
  <c r="BA30" i="27"/>
  <c r="AX29" i="27"/>
  <c r="AY30" i="27"/>
  <c r="AZ31" i="27"/>
  <c r="BI29" i="27"/>
  <c r="BH29" i="27"/>
  <c r="D29" i="30"/>
  <c r="I29" i="30" s="1"/>
  <c r="BD30" i="27"/>
  <c r="BG30" i="27" s="1"/>
  <c r="AQ42" i="27" l="1"/>
  <c r="AR42" i="27" s="1"/>
  <c r="AN44" i="27"/>
  <c r="AO43" i="27"/>
  <c r="AP43" i="27"/>
  <c r="AB44" i="27"/>
  <c r="AC43" i="27"/>
  <c r="AD43" i="27"/>
  <c r="B44" i="27"/>
  <c r="AU43" i="27"/>
  <c r="O44" i="27"/>
  <c r="U43" i="27"/>
  <c r="B660" i="30"/>
  <c r="D664" i="27"/>
  <c r="Q44" i="27"/>
  <c r="R44" i="27"/>
  <c r="P45" i="27"/>
  <c r="AA46" i="27"/>
  <c r="AG45" i="27"/>
  <c r="BF43" i="27"/>
  <c r="G40" i="30"/>
  <c r="I44" i="27"/>
  <c r="AS44" i="27"/>
  <c r="AM45" i="27"/>
  <c r="AT28" i="27"/>
  <c r="H25" i="30" s="1"/>
  <c r="S43" i="27"/>
  <c r="T43" i="27" s="1"/>
  <c r="BE32" i="27"/>
  <c r="F29" i="30"/>
  <c r="AX30" i="27"/>
  <c r="BC31" i="27"/>
  <c r="BB31" i="27"/>
  <c r="E28" i="30"/>
  <c r="B38" i="30"/>
  <c r="BJ29" i="27"/>
  <c r="BK29" i="27" s="1"/>
  <c r="AZ32" i="27"/>
  <c r="AY31" i="27"/>
  <c r="BI30" i="27"/>
  <c r="BH30" i="27"/>
  <c r="D30" i="30"/>
  <c r="I30" i="30" s="1"/>
  <c r="BD31" i="27"/>
  <c r="BG31" i="27" s="1"/>
  <c r="BA31" i="27"/>
  <c r="AQ43" i="27" l="1"/>
  <c r="AR43" i="27" s="1"/>
  <c r="AO44" i="27"/>
  <c r="AP44" i="27"/>
  <c r="AN45" i="27"/>
  <c r="AE43" i="27"/>
  <c r="AF43" i="27" s="1"/>
  <c r="AD44" i="27"/>
  <c r="AB45" i="27"/>
  <c r="AC44" i="27"/>
  <c r="AE44" i="27" s="1"/>
  <c r="AF44" i="27" s="1"/>
  <c r="S44" i="27"/>
  <c r="T44" i="27" s="1"/>
  <c r="O45" i="27"/>
  <c r="U44" i="27"/>
  <c r="B45" i="27"/>
  <c r="AU44" i="27"/>
  <c r="D665" i="27"/>
  <c r="B661" i="30"/>
  <c r="I45" i="27"/>
  <c r="AT29" i="27"/>
  <c r="H26" i="30" s="1"/>
  <c r="BF44" i="27"/>
  <c r="G41" i="30"/>
  <c r="AG46" i="27"/>
  <c r="AA47" i="27"/>
  <c r="AM46" i="27"/>
  <c r="AS45" i="27"/>
  <c r="Q45" i="27"/>
  <c r="P46" i="27"/>
  <c r="R45" i="27"/>
  <c r="BL31" i="27"/>
  <c r="BA32" i="27"/>
  <c r="AX31" i="27"/>
  <c r="BE33" i="27"/>
  <c r="F30" i="30"/>
  <c r="B39" i="30"/>
  <c r="BB32" i="27"/>
  <c r="BC32" i="27"/>
  <c r="BL32" i="27" s="1"/>
  <c r="E29" i="30"/>
  <c r="AZ33" i="27"/>
  <c r="AY32" i="27"/>
  <c r="BD32" i="27"/>
  <c r="BG32" i="27" s="1"/>
  <c r="BJ30" i="27"/>
  <c r="BK30" i="27" s="1"/>
  <c r="D31" i="30"/>
  <c r="I31" i="30" s="1"/>
  <c r="BI31" i="27"/>
  <c r="BH31" i="27"/>
  <c r="AQ44" i="27" l="1"/>
  <c r="AR44" i="27" s="1"/>
  <c r="AP45" i="27"/>
  <c r="AO45" i="27"/>
  <c r="AQ45" i="27" s="1"/>
  <c r="AR45" i="27" s="1"/>
  <c r="AN46" i="27"/>
  <c r="AB46" i="27"/>
  <c r="AD45" i="27"/>
  <c r="AC45" i="27"/>
  <c r="AE45" i="27" s="1"/>
  <c r="AF45" i="27" s="1"/>
  <c r="AX32" i="27"/>
  <c r="B46" i="27"/>
  <c r="AU45" i="27"/>
  <c r="U45" i="27"/>
  <c r="O46" i="27"/>
  <c r="S45" i="27"/>
  <c r="T45" i="27" s="1"/>
  <c r="D666" i="27"/>
  <c r="B662" i="30"/>
  <c r="P47" i="27"/>
  <c r="R46" i="27"/>
  <c r="Q46" i="27"/>
  <c r="BF45" i="27"/>
  <c r="G42" i="30"/>
  <c r="AS46" i="27"/>
  <c r="AM47" i="27"/>
  <c r="AT30" i="27"/>
  <c r="H27" i="30" s="1"/>
  <c r="AA48" i="27"/>
  <c r="AG47" i="27"/>
  <c r="I46" i="27"/>
  <c r="BE34" i="27"/>
  <c r="F31" i="30"/>
  <c r="AZ34" i="27"/>
  <c r="BB33" i="27"/>
  <c r="BC33" i="27"/>
  <c r="BL33" i="27" s="1"/>
  <c r="E30" i="30"/>
  <c r="B40" i="30"/>
  <c r="BA33" i="27"/>
  <c r="BJ31" i="27"/>
  <c r="BK31" i="27" s="1"/>
  <c r="AY33" i="27"/>
  <c r="BD33" i="27"/>
  <c r="BG33" i="27" s="1"/>
  <c r="BI32" i="27"/>
  <c r="BH32" i="27"/>
  <c r="D32" i="30"/>
  <c r="I32" i="30" s="1"/>
  <c r="AN47" i="27" l="1"/>
  <c r="AO46" i="27"/>
  <c r="AP46" i="27"/>
  <c r="AC46" i="27"/>
  <c r="AB47" i="27"/>
  <c r="AD46" i="27"/>
  <c r="O47" i="27"/>
  <c r="U46" i="27"/>
  <c r="B47" i="27"/>
  <c r="AU46" i="27"/>
  <c r="S46" i="27"/>
  <c r="T46" i="27" s="1"/>
  <c r="B663" i="30"/>
  <c r="D667" i="27"/>
  <c r="AM48" i="27"/>
  <c r="AS47" i="27"/>
  <c r="AT31" i="27"/>
  <c r="H28" i="30" s="1"/>
  <c r="AA49" i="27"/>
  <c r="AG48" i="27"/>
  <c r="BF46" i="27"/>
  <c r="G43" i="30"/>
  <c r="I47" i="27"/>
  <c r="R47" i="27"/>
  <c r="Q47" i="27"/>
  <c r="S47" i="27" s="1"/>
  <c r="T47" i="27" s="1"/>
  <c r="P48" i="27"/>
  <c r="BJ32" i="27"/>
  <c r="BK32" i="27" s="1"/>
  <c r="BE35" i="27"/>
  <c r="F32" i="30"/>
  <c r="B41" i="30"/>
  <c r="AX33" i="27"/>
  <c r="BB34" i="27"/>
  <c r="BC34" i="27"/>
  <c r="BL34" i="27" s="1"/>
  <c r="E31" i="30"/>
  <c r="AY34" i="27"/>
  <c r="AZ35" i="27"/>
  <c r="BD34" i="27"/>
  <c r="BG34" i="27" s="1"/>
  <c r="D33" i="30"/>
  <c r="I33" i="30" s="1"/>
  <c r="BI33" i="27"/>
  <c r="BH33" i="27"/>
  <c r="BA34" i="27"/>
  <c r="AQ46" i="27" l="1"/>
  <c r="AR46" i="27" s="1"/>
  <c r="AP47" i="27"/>
  <c r="AN48" i="27"/>
  <c r="AO47" i="27"/>
  <c r="AQ47" i="27" s="1"/>
  <c r="AR47" i="27" s="1"/>
  <c r="AB48" i="27"/>
  <c r="AC47" i="27"/>
  <c r="AD47" i="27"/>
  <c r="AE46" i="27"/>
  <c r="AF46" i="27" s="1"/>
  <c r="B48" i="27"/>
  <c r="AU47" i="27"/>
  <c r="U47" i="27"/>
  <c r="O48" i="27"/>
  <c r="B664" i="30"/>
  <c r="D668" i="27"/>
  <c r="AA50" i="27"/>
  <c r="AG49" i="27"/>
  <c r="I48" i="27"/>
  <c r="AT32" i="27"/>
  <c r="H29" i="30" s="1"/>
  <c r="P49" i="27"/>
  <c r="Q48" i="27"/>
  <c r="R48" i="27"/>
  <c r="G44" i="30"/>
  <c r="BF47" i="27"/>
  <c r="AM49" i="27"/>
  <c r="AS48" i="27"/>
  <c r="AX34" i="27"/>
  <c r="AZ36" i="27"/>
  <c r="BE36" i="27"/>
  <c r="F33" i="30"/>
  <c r="BB35" i="27"/>
  <c r="BC35" i="27"/>
  <c r="BL35" i="27" s="1"/>
  <c r="E32" i="30"/>
  <c r="B42" i="30"/>
  <c r="BA35" i="27"/>
  <c r="BJ33" i="27"/>
  <c r="BK33" i="27" s="1"/>
  <c r="BD35" i="27"/>
  <c r="BG35" i="27" s="1"/>
  <c r="D34" i="30"/>
  <c r="I34" i="30" s="1"/>
  <c r="AY35" i="27"/>
  <c r="BI34" i="27"/>
  <c r="BH34" i="27"/>
  <c r="AO48" i="27" l="1"/>
  <c r="AN49" i="27"/>
  <c r="AP48" i="27"/>
  <c r="AE47" i="27"/>
  <c r="AF47" i="27" s="1"/>
  <c r="AC48" i="27"/>
  <c r="AB49" i="27"/>
  <c r="AD48" i="27"/>
  <c r="O49" i="27"/>
  <c r="U48" i="27"/>
  <c r="S48" i="27"/>
  <c r="T48" i="27" s="1"/>
  <c r="B49" i="27"/>
  <c r="AU48" i="27"/>
  <c r="D669" i="27"/>
  <c r="B665" i="30"/>
  <c r="I49" i="27"/>
  <c r="BF48" i="27"/>
  <c r="G45" i="30"/>
  <c r="AM50" i="27"/>
  <c r="AS49" i="27"/>
  <c r="P50" i="27"/>
  <c r="R49" i="27"/>
  <c r="Q49" i="27"/>
  <c r="S49" i="27" s="1"/>
  <c r="T49" i="27" s="1"/>
  <c r="AT33" i="27"/>
  <c r="H30" i="30" s="1"/>
  <c r="AG50" i="27"/>
  <c r="AA51" i="27"/>
  <c r="AZ37" i="27"/>
  <c r="BE37" i="27"/>
  <c r="F34" i="30"/>
  <c r="B43" i="30"/>
  <c r="BC36" i="27"/>
  <c r="BB36" i="27"/>
  <c r="E33" i="30"/>
  <c r="AX35" i="27"/>
  <c r="BA36" i="27"/>
  <c r="BJ34" i="27"/>
  <c r="BK34" i="27" s="1"/>
  <c r="BI35" i="27"/>
  <c r="BH35" i="27"/>
  <c r="BJ35" i="27" s="1"/>
  <c r="BK35" i="27" s="1"/>
  <c r="BD36" i="27"/>
  <c r="BG36" i="27" s="1"/>
  <c r="D35" i="30"/>
  <c r="I35" i="30" s="1"/>
  <c r="AY36" i="27"/>
  <c r="AN50" i="27" l="1"/>
  <c r="AO49" i="27"/>
  <c r="AP49" i="27"/>
  <c r="AQ48" i="27"/>
  <c r="AR48" i="27" s="1"/>
  <c r="AC49" i="27"/>
  <c r="AD49" i="27"/>
  <c r="AB50" i="27"/>
  <c r="AE48" i="27"/>
  <c r="AF48" i="27" s="1"/>
  <c r="B50" i="27"/>
  <c r="AU49" i="27"/>
  <c r="O50" i="27"/>
  <c r="U49" i="27"/>
  <c r="D670" i="27"/>
  <c r="B666" i="30"/>
  <c r="G46" i="30"/>
  <c r="BF49" i="27"/>
  <c r="AT34" i="27"/>
  <c r="H31" i="30" s="1"/>
  <c r="AT35" i="27"/>
  <c r="H32" i="30" s="1"/>
  <c r="I50" i="27"/>
  <c r="AG51" i="27"/>
  <c r="AA52" i="27"/>
  <c r="R50" i="27"/>
  <c r="Q50" i="27"/>
  <c r="S50" i="27" s="1"/>
  <c r="T50" i="27" s="1"/>
  <c r="P51" i="27"/>
  <c r="AM51" i="27"/>
  <c r="AS50" i="27"/>
  <c r="AZ38" i="27"/>
  <c r="BL36" i="27"/>
  <c r="BE38" i="27"/>
  <c r="F35" i="30"/>
  <c r="AX36" i="27"/>
  <c r="BB37" i="27"/>
  <c r="BC37" i="27"/>
  <c r="E34" i="30"/>
  <c r="B44" i="30"/>
  <c r="AY37" i="27"/>
  <c r="BD37" i="27"/>
  <c r="BG37" i="27" s="1"/>
  <c r="BA37" i="27"/>
  <c r="D36" i="30"/>
  <c r="I36" i="30" s="1"/>
  <c r="BI36" i="27"/>
  <c r="BH36" i="27"/>
  <c r="AQ49" i="27" l="1"/>
  <c r="AR49" i="27" s="1"/>
  <c r="AN51" i="27"/>
  <c r="AO50" i="27"/>
  <c r="AQ50" i="27" s="1"/>
  <c r="AR50" i="27" s="1"/>
  <c r="AP50" i="27"/>
  <c r="AC50" i="27"/>
  <c r="AB51" i="27"/>
  <c r="AD50" i="27"/>
  <c r="AE49" i="27"/>
  <c r="AF49" i="27" s="1"/>
  <c r="U50" i="27"/>
  <c r="O51" i="27"/>
  <c r="B51" i="27"/>
  <c r="AU50" i="27"/>
  <c r="D671" i="27"/>
  <c r="B667" i="30"/>
  <c r="BF50" i="27"/>
  <c r="G47" i="30"/>
  <c r="AG52" i="27"/>
  <c r="AA53" i="27"/>
  <c r="AS51" i="27"/>
  <c r="AM52" i="27"/>
  <c r="P52" i="27"/>
  <c r="Q51" i="27"/>
  <c r="R51" i="27"/>
  <c r="I51" i="27"/>
  <c r="BL37" i="27"/>
  <c r="AX37" i="27"/>
  <c r="BE39" i="27"/>
  <c r="F36" i="30"/>
  <c r="BB38" i="27"/>
  <c r="BC38" i="27"/>
  <c r="BL38" i="27" s="1"/>
  <c r="E35" i="30"/>
  <c r="B45" i="30"/>
  <c r="AY38" i="27"/>
  <c r="BA38" i="27"/>
  <c r="D37" i="30"/>
  <c r="I37" i="30" s="1"/>
  <c r="BJ36" i="27"/>
  <c r="BK36" i="27" s="1"/>
  <c r="AZ39" i="27"/>
  <c r="BI37" i="27"/>
  <c r="BH37" i="27"/>
  <c r="BD38" i="27"/>
  <c r="BG38" i="27" s="1"/>
  <c r="AP51" i="27" l="1"/>
  <c r="AO51" i="27"/>
  <c r="AQ51" i="27" s="1"/>
  <c r="AR51" i="27" s="1"/>
  <c r="AN52" i="27"/>
  <c r="AC51" i="27"/>
  <c r="AD51" i="27"/>
  <c r="AB52" i="27"/>
  <c r="AE50" i="27"/>
  <c r="AF50" i="27" s="1"/>
  <c r="B52" i="27"/>
  <c r="AU51" i="27"/>
  <c r="U51" i="27"/>
  <c r="O52" i="27"/>
  <c r="D672" i="27"/>
  <c r="B668" i="30"/>
  <c r="AT36" i="27"/>
  <c r="H33" i="30" s="1"/>
  <c r="Q52" i="27"/>
  <c r="R52" i="27"/>
  <c r="P53" i="27"/>
  <c r="S51" i="27"/>
  <c r="T51" i="27" s="1"/>
  <c r="G48" i="30"/>
  <c r="BF51" i="27"/>
  <c r="AM53" i="27"/>
  <c r="AS52" i="27"/>
  <c r="I52" i="27"/>
  <c r="AA54" i="27"/>
  <c r="AG53" i="27"/>
  <c r="AX38" i="27"/>
  <c r="BE40" i="27"/>
  <c r="F37" i="30"/>
  <c r="BC39" i="27"/>
  <c r="BB39" i="27"/>
  <c r="E36" i="30"/>
  <c r="B46" i="30"/>
  <c r="BA39" i="27"/>
  <c r="AZ40" i="27"/>
  <c r="AY39" i="27"/>
  <c r="BH38" i="27"/>
  <c r="BI38" i="27"/>
  <c r="D38" i="30"/>
  <c r="I38" i="30" s="1"/>
  <c r="BJ37" i="27"/>
  <c r="BK37" i="27" s="1"/>
  <c r="BD39" i="27"/>
  <c r="BG39" i="27" s="1"/>
  <c r="AP52" i="27" l="1"/>
  <c r="AN53" i="27"/>
  <c r="AO52" i="27"/>
  <c r="AQ52" i="27" s="1"/>
  <c r="AR52" i="27" s="1"/>
  <c r="AD52" i="27"/>
  <c r="AB53" i="27"/>
  <c r="AC52" i="27"/>
  <c r="AE52" i="27" s="1"/>
  <c r="AF52" i="27" s="1"/>
  <c r="AE51" i="27"/>
  <c r="AF51" i="27" s="1"/>
  <c r="U52" i="27"/>
  <c r="O53" i="27"/>
  <c r="B53" i="27"/>
  <c r="AU52" i="27"/>
  <c r="B669" i="30"/>
  <c r="D673" i="27"/>
  <c r="P54" i="27"/>
  <c r="R53" i="27"/>
  <c r="Q53" i="27"/>
  <c r="S53" i="27" s="1"/>
  <c r="T53" i="27" s="1"/>
  <c r="AG54" i="27"/>
  <c r="AA55" i="27"/>
  <c r="S52" i="27"/>
  <c r="T52" i="27" s="1"/>
  <c r="G49" i="30"/>
  <c r="BF52" i="27"/>
  <c r="AS53" i="27"/>
  <c r="AM54" i="27"/>
  <c r="I53" i="27"/>
  <c r="AT37" i="27"/>
  <c r="H34" i="30" s="1"/>
  <c r="BL39" i="27"/>
  <c r="AX39" i="27"/>
  <c r="BE41" i="27"/>
  <c r="F38" i="30"/>
  <c r="AZ41" i="27"/>
  <c r="BB40" i="27"/>
  <c r="BC40" i="27"/>
  <c r="BL40" i="27" s="1"/>
  <c r="E37" i="30"/>
  <c r="B47" i="30"/>
  <c r="BA40" i="27"/>
  <c r="D39" i="30"/>
  <c r="I39" i="30" s="1"/>
  <c r="AY40" i="27"/>
  <c r="AX40" i="27" s="1"/>
  <c r="BD40" i="27"/>
  <c r="BG40" i="27" s="1"/>
  <c r="BJ38" i="27"/>
  <c r="BK38" i="27" s="1"/>
  <c r="BI39" i="27"/>
  <c r="BH39" i="27"/>
  <c r="AO53" i="27" l="1"/>
  <c r="AP53" i="27"/>
  <c r="AN54" i="27"/>
  <c r="AB54" i="27"/>
  <c r="AD53" i="27"/>
  <c r="AC53" i="27"/>
  <c r="AE53" i="27" s="1"/>
  <c r="AF53" i="27" s="1"/>
  <c r="BJ39" i="27"/>
  <c r="BK39" i="27" s="1"/>
  <c r="AT39" i="27" s="1"/>
  <c r="H36" i="30" s="1"/>
  <c r="B54" i="27"/>
  <c r="AU53" i="27"/>
  <c r="O54" i="27"/>
  <c r="U53" i="27"/>
  <c r="D674" i="27"/>
  <c r="B670" i="30"/>
  <c r="Q54" i="27"/>
  <c r="R54" i="27"/>
  <c r="P55" i="27"/>
  <c r="AS54" i="27"/>
  <c r="AM55" i="27"/>
  <c r="BF53" i="27"/>
  <c r="G50" i="30"/>
  <c r="AA56" i="27"/>
  <c r="AG55" i="27"/>
  <c r="AT38" i="27"/>
  <c r="H35" i="30" s="1"/>
  <c r="I54" i="27"/>
  <c r="BE42" i="27"/>
  <c r="F39" i="30"/>
  <c r="B48" i="30"/>
  <c r="BC41" i="27"/>
  <c r="BB41" i="27"/>
  <c r="E38" i="30"/>
  <c r="AZ42" i="27"/>
  <c r="AY41" i="27"/>
  <c r="BI40" i="27"/>
  <c r="BH40" i="27"/>
  <c r="BA41" i="27"/>
  <c r="D40" i="30"/>
  <c r="I40" i="30" s="1"/>
  <c r="BD41" i="27"/>
  <c r="BG41" i="27" s="1"/>
  <c r="AP54" i="27" l="1"/>
  <c r="AO54" i="27"/>
  <c r="AQ54" i="27" s="1"/>
  <c r="AR54" i="27" s="1"/>
  <c r="AN55" i="27"/>
  <c r="AQ53" i="27"/>
  <c r="AR53" i="27" s="1"/>
  <c r="AC54" i="27"/>
  <c r="AB55" i="27"/>
  <c r="AD54" i="27"/>
  <c r="B55" i="27"/>
  <c r="AU54" i="27"/>
  <c r="O55" i="27"/>
  <c r="U54" i="27"/>
  <c r="D675" i="27"/>
  <c r="B671" i="30"/>
  <c r="AS55" i="27"/>
  <c r="AM56" i="27"/>
  <c r="I55" i="27"/>
  <c r="R55" i="27"/>
  <c r="Q55" i="27"/>
  <c r="S55" i="27" s="1"/>
  <c r="T55" i="27" s="1"/>
  <c r="P56" i="27"/>
  <c r="AG56" i="27"/>
  <c r="AA57" i="27"/>
  <c r="BF54" i="27"/>
  <c r="G51" i="30"/>
  <c r="S54" i="27"/>
  <c r="T54" i="27" s="1"/>
  <c r="BL41" i="27"/>
  <c r="BJ40" i="27"/>
  <c r="BK40" i="27" s="1"/>
  <c r="BE43" i="27"/>
  <c r="F40" i="30"/>
  <c r="B49" i="30"/>
  <c r="BB42" i="27"/>
  <c r="BC42" i="27"/>
  <c r="E39" i="30"/>
  <c r="BA42" i="27"/>
  <c r="AX41" i="27"/>
  <c r="AY42" i="27"/>
  <c r="D41" i="30"/>
  <c r="I41" i="30" s="1"/>
  <c r="AZ44" i="27"/>
  <c r="AZ43" i="27"/>
  <c r="BD42" i="27"/>
  <c r="BG42" i="27" s="1"/>
  <c r="BI41" i="27"/>
  <c r="BH41" i="27"/>
  <c r="AO55" i="27" l="1"/>
  <c r="AN56" i="27"/>
  <c r="AP55" i="27"/>
  <c r="AB56" i="27"/>
  <c r="AD55" i="27"/>
  <c r="AC55" i="27"/>
  <c r="AE55" i="27" s="1"/>
  <c r="AF55" i="27" s="1"/>
  <c r="AE54" i="27"/>
  <c r="AF54" i="27" s="1"/>
  <c r="O56" i="27"/>
  <c r="U55" i="27"/>
  <c r="B56" i="27"/>
  <c r="AU55" i="27"/>
  <c r="B672" i="30"/>
  <c r="D676" i="27"/>
  <c r="AT40" i="27"/>
  <c r="H37" i="30" s="1"/>
  <c r="AA58" i="27"/>
  <c r="AG57" i="27"/>
  <c r="I56" i="27"/>
  <c r="AS56" i="27"/>
  <c r="AM57" i="27"/>
  <c r="P57" i="27"/>
  <c r="R56" i="27"/>
  <c r="Q56" i="27"/>
  <c r="S56" i="27" s="1"/>
  <c r="T56" i="27" s="1"/>
  <c r="BF55" i="27"/>
  <c r="G52" i="30"/>
  <c r="BL42" i="27"/>
  <c r="BJ41" i="27"/>
  <c r="BK41" i="27" s="1"/>
  <c r="BE44" i="27"/>
  <c r="F41" i="30"/>
  <c r="BB43" i="27"/>
  <c r="BC43" i="27"/>
  <c r="E40" i="30"/>
  <c r="AX42" i="27"/>
  <c r="B50" i="30"/>
  <c r="BA43" i="27"/>
  <c r="BD43" i="27"/>
  <c r="BG43" i="27" s="1"/>
  <c r="BI42" i="27"/>
  <c r="BH42" i="27"/>
  <c r="AY43" i="27"/>
  <c r="D42" i="30"/>
  <c r="I42" i="30" s="1"/>
  <c r="AP56" i="27" l="1"/>
  <c r="AO56" i="27"/>
  <c r="AQ56" i="27" s="1"/>
  <c r="AR56" i="27" s="1"/>
  <c r="AN57" i="27"/>
  <c r="AQ55" i="27"/>
  <c r="AR55" i="27" s="1"/>
  <c r="AC56" i="27"/>
  <c r="AB57" i="27"/>
  <c r="AD56" i="27"/>
  <c r="B57" i="27"/>
  <c r="AU56" i="27"/>
  <c r="U56" i="27"/>
  <c r="O57" i="27"/>
  <c r="B673" i="30"/>
  <c r="D677" i="27"/>
  <c r="P58" i="27"/>
  <c r="R57" i="27"/>
  <c r="Q57" i="27"/>
  <c r="S57" i="27" s="1"/>
  <c r="BF56" i="27"/>
  <c r="G53" i="30"/>
  <c r="AT41" i="27"/>
  <c r="H38" i="30" s="1"/>
  <c r="AG58" i="27"/>
  <c r="AA59" i="27"/>
  <c r="I57" i="27"/>
  <c r="AM58" i="27"/>
  <c r="AS57" i="27"/>
  <c r="BL43" i="27"/>
  <c r="BJ42" i="27"/>
  <c r="BK42" i="27" s="1"/>
  <c r="BE45" i="27"/>
  <c r="F42" i="30"/>
  <c r="BB44" i="27"/>
  <c r="BC44" i="27"/>
  <c r="BL44" i="27" s="1"/>
  <c r="E41" i="30"/>
  <c r="B51" i="30"/>
  <c r="AX43" i="27"/>
  <c r="BA44" i="27"/>
  <c r="AZ45" i="27"/>
  <c r="D43" i="30"/>
  <c r="I43" i="30" s="1"/>
  <c r="BD44" i="27"/>
  <c r="BG44" i="27" s="1"/>
  <c r="AY44" i="27"/>
  <c r="BI43" i="27"/>
  <c r="BH43" i="27"/>
  <c r="AN58" i="27" l="1"/>
  <c r="AO57" i="27"/>
  <c r="AQ57" i="27" s="1"/>
  <c r="AR57" i="27" s="1"/>
  <c r="AP57" i="27"/>
  <c r="AD57" i="27"/>
  <c r="AC57" i="27"/>
  <c r="AE57" i="27" s="1"/>
  <c r="AF57" i="27" s="1"/>
  <c r="AB58" i="27"/>
  <c r="AE56" i="27"/>
  <c r="AF56" i="27" s="1"/>
  <c r="O58" i="27"/>
  <c r="U57" i="27"/>
  <c r="T57" i="27"/>
  <c r="B58" i="27"/>
  <c r="AU57" i="27"/>
  <c r="B674" i="30"/>
  <c r="D678" i="27"/>
  <c r="I58" i="27"/>
  <c r="AT42" i="27"/>
  <c r="H39" i="30" s="1"/>
  <c r="AM59" i="27"/>
  <c r="AS58" i="27"/>
  <c r="R58" i="27"/>
  <c r="P59" i="27"/>
  <c r="Q58" i="27"/>
  <c r="S58" i="27" s="1"/>
  <c r="T58" i="27" s="1"/>
  <c r="AG59" i="27"/>
  <c r="AA60" i="27"/>
  <c r="BF57" i="27"/>
  <c r="G54" i="30"/>
  <c r="BE46" i="27"/>
  <c r="F43" i="30"/>
  <c r="B52" i="30"/>
  <c r="BB45" i="27"/>
  <c r="BC45" i="27"/>
  <c r="BL45" i="27" s="1"/>
  <c r="E42" i="30"/>
  <c r="AX44" i="27"/>
  <c r="AZ46" i="27"/>
  <c r="BJ43" i="27"/>
  <c r="BK43" i="27" s="1"/>
  <c r="AY45" i="27"/>
  <c r="BI44" i="27"/>
  <c r="BH44" i="27"/>
  <c r="BD45" i="27"/>
  <c r="BG45" i="27" s="1"/>
  <c r="D44" i="30"/>
  <c r="I44" i="30" s="1"/>
  <c r="BA45" i="27"/>
  <c r="AN59" i="27" l="1"/>
  <c r="AO58" i="27"/>
  <c r="AP58" i="27"/>
  <c r="AC58" i="27"/>
  <c r="AD58" i="27"/>
  <c r="AB59" i="27"/>
  <c r="B59" i="27"/>
  <c r="AU58" i="27"/>
  <c r="U58" i="27"/>
  <c r="O59" i="27"/>
  <c r="D679" i="27"/>
  <c r="B675" i="30"/>
  <c r="Q59" i="27"/>
  <c r="R59" i="27"/>
  <c r="P60" i="27"/>
  <c r="BF58" i="27"/>
  <c r="G55" i="30"/>
  <c r="AS59" i="27"/>
  <c r="AM60" i="27"/>
  <c r="AA61" i="27"/>
  <c r="AG60" i="27"/>
  <c r="AT43" i="27"/>
  <c r="H40" i="30" s="1"/>
  <c r="I59" i="27"/>
  <c r="BJ44" i="27"/>
  <c r="BK44" i="27" s="1"/>
  <c r="AX45" i="27"/>
  <c r="BE47" i="27"/>
  <c r="F44" i="30"/>
  <c r="BB46" i="27"/>
  <c r="BC46" i="27"/>
  <c r="BL46" i="27" s="1"/>
  <c r="E43" i="30"/>
  <c r="B53" i="30"/>
  <c r="BA46" i="27"/>
  <c r="AZ47" i="27"/>
  <c r="BD46" i="27"/>
  <c r="BG46" i="27" s="1"/>
  <c r="BI45" i="27"/>
  <c r="BH45" i="27"/>
  <c r="AY46" i="27"/>
  <c r="D45" i="30"/>
  <c r="I45" i="30" s="1"/>
  <c r="AQ58" i="27" l="1"/>
  <c r="AR58" i="27" s="1"/>
  <c r="AN60" i="27"/>
  <c r="AO59" i="27"/>
  <c r="AQ59" i="27" s="1"/>
  <c r="AR59" i="27" s="1"/>
  <c r="AP59" i="27"/>
  <c r="AC59" i="27"/>
  <c r="AB60" i="27"/>
  <c r="AD59" i="27"/>
  <c r="AE58" i="27"/>
  <c r="AF58" i="27" s="1"/>
  <c r="U59" i="27"/>
  <c r="O60" i="27"/>
  <c r="B60" i="27"/>
  <c r="AU59" i="27"/>
  <c r="B676" i="30"/>
  <c r="D680" i="27"/>
  <c r="I60" i="27"/>
  <c r="BF59" i="27"/>
  <c r="G56" i="30"/>
  <c r="R60" i="27"/>
  <c r="Q60" i="27"/>
  <c r="S60" i="27" s="1"/>
  <c r="T60" i="27" s="1"/>
  <c r="P61" i="27"/>
  <c r="AM61" i="27"/>
  <c r="AS60" i="27"/>
  <c r="AG61" i="27"/>
  <c r="AA62" i="27"/>
  <c r="AT44" i="27"/>
  <c r="H41" i="30" s="1"/>
  <c r="S59" i="27"/>
  <c r="T59" i="27" s="1"/>
  <c r="BE48" i="27"/>
  <c r="F45" i="30"/>
  <c r="AX46" i="27"/>
  <c r="BB47" i="27"/>
  <c r="BC47" i="27"/>
  <c r="BL47" i="27" s="1"/>
  <c r="E44" i="30"/>
  <c r="B54" i="30"/>
  <c r="AZ48" i="27"/>
  <c r="BA47" i="27"/>
  <c r="BJ45" i="27"/>
  <c r="BK45" i="27" s="1"/>
  <c r="BI46" i="27"/>
  <c r="BH46" i="27"/>
  <c r="AY47" i="27"/>
  <c r="BD47" i="27"/>
  <c r="BG47" i="27" s="1"/>
  <c r="D46" i="30"/>
  <c r="I46" i="30" s="1"/>
  <c r="AO60" i="27" l="1"/>
  <c r="AN61" i="27"/>
  <c r="AP60" i="27"/>
  <c r="AB61" i="27"/>
  <c r="AD60" i="27"/>
  <c r="AC60" i="27"/>
  <c r="AE60" i="27" s="1"/>
  <c r="AF60" i="27" s="1"/>
  <c r="AE59" i="27"/>
  <c r="AF59" i="27" s="1"/>
  <c r="B61" i="27"/>
  <c r="AU60" i="27"/>
  <c r="U60" i="27"/>
  <c r="O61" i="27"/>
  <c r="B677" i="30"/>
  <c r="D681" i="27"/>
  <c r="AM62" i="27"/>
  <c r="AS61" i="27"/>
  <c r="AT45" i="27"/>
  <c r="H42" i="30" s="1"/>
  <c r="BF60" i="27"/>
  <c r="G57" i="30"/>
  <c r="Q61" i="27"/>
  <c r="R61" i="27"/>
  <c r="P62" i="27"/>
  <c r="AG62" i="27"/>
  <c r="AA63" i="27"/>
  <c r="I61" i="27"/>
  <c r="AZ49" i="27"/>
  <c r="BE49" i="27"/>
  <c r="F46" i="30"/>
  <c r="BB48" i="27"/>
  <c r="BC48" i="27"/>
  <c r="BL48" i="27" s="1"/>
  <c r="E45" i="30"/>
  <c r="AX47" i="27"/>
  <c r="B55" i="30"/>
  <c r="AY48" i="27"/>
  <c r="BJ46" i="27"/>
  <c r="BK46" i="27" s="1"/>
  <c r="BD48" i="27"/>
  <c r="BG48" i="27" s="1"/>
  <c r="BA48" i="27"/>
  <c r="D47" i="30"/>
  <c r="I47" i="30" s="1"/>
  <c r="BH47" i="27"/>
  <c r="BI47" i="27"/>
  <c r="AO61" i="27" l="1"/>
  <c r="AN62" i="27"/>
  <c r="AP61" i="27"/>
  <c r="AQ60" i="27"/>
  <c r="AR60" i="27" s="1"/>
  <c r="AC61" i="27"/>
  <c r="AD61" i="27"/>
  <c r="AB62" i="27"/>
  <c r="U61" i="27"/>
  <c r="O62" i="27"/>
  <c r="B62" i="27"/>
  <c r="AU61" i="27"/>
  <c r="B678" i="30"/>
  <c r="D682" i="27"/>
  <c r="I62" i="27"/>
  <c r="AA64" i="27"/>
  <c r="AG63" i="27"/>
  <c r="BF61" i="27"/>
  <c r="G58" i="30"/>
  <c r="Q62" i="27"/>
  <c r="R62" i="27"/>
  <c r="P63" i="27"/>
  <c r="AT46" i="27"/>
  <c r="H43" i="30" s="1"/>
  <c r="S61" i="27"/>
  <c r="T61" i="27" s="1"/>
  <c r="AM63" i="27"/>
  <c r="AS62" i="27"/>
  <c r="AX48" i="27"/>
  <c r="BE50" i="27"/>
  <c r="F47" i="30"/>
  <c r="B56" i="30"/>
  <c r="BB49" i="27"/>
  <c r="BC49" i="27"/>
  <c r="E46" i="30"/>
  <c r="AY49" i="27"/>
  <c r="BA49" i="27"/>
  <c r="BJ47" i="27"/>
  <c r="BK47" i="27" s="1"/>
  <c r="D48" i="30"/>
  <c r="I48" i="30" s="1"/>
  <c r="BD49" i="27"/>
  <c r="BG49" i="27" s="1"/>
  <c r="AZ50" i="27"/>
  <c r="BI48" i="27"/>
  <c r="BH48" i="27"/>
  <c r="AN63" i="27" l="1"/>
  <c r="AO62" i="27"/>
  <c r="AP62" i="27"/>
  <c r="AQ61" i="27"/>
  <c r="AR61" i="27" s="1"/>
  <c r="AB63" i="27"/>
  <c r="AD62" i="27"/>
  <c r="AC62" i="27"/>
  <c r="AE62" i="27" s="1"/>
  <c r="AF62" i="27" s="1"/>
  <c r="AE61" i="27"/>
  <c r="AF61" i="27" s="1"/>
  <c r="B63" i="27"/>
  <c r="AU62" i="27"/>
  <c r="U62" i="27"/>
  <c r="O63" i="27"/>
  <c r="D683" i="27"/>
  <c r="B679" i="30"/>
  <c r="Q63" i="27"/>
  <c r="P64" i="27"/>
  <c r="R63" i="27"/>
  <c r="AG64" i="27"/>
  <c r="AA65" i="27"/>
  <c r="G59" i="30"/>
  <c r="BF62" i="27"/>
  <c r="AT47" i="27"/>
  <c r="H44" i="30" s="1"/>
  <c r="S62" i="27"/>
  <c r="T62" i="27" s="1"/>
  <c r="I63" i="27"/>
  <c r="AM64" i="27"/>
  <c r="AS63" i="27"/>
  <c r="BL49" i="27"/>
  <c r="AX49" i="27"/>
  <c r="BE51" i="27"/>
  <c r="F48" i="30"/>
  <c r="BB50" i="27"/>
  <c r="BC50" i="27"/>
  <c r="BL50" i="27" s="1"/>
  <c r="E47" i="30"/>
  <c r="B57" i="30"/>
  <c r="BA50" i="27"/>
  <c r="BJ48" i="27"/>
  <c r="BK48" i="27" s="1"/>
  <c r="BD50" i="27"/>
  <c r="BG50" i="27" s="1"/>
  <c r="AY50" i="27"/>
  <c r="AX50" i="27" s="1"/>
  <c r="D49" i="30"/>
  <c r="I49" i="30" s="1"/>
  <c r="BI49" i="27"/>
  <c r="BH49" i="27"/>
  <c r="AZ51" i="27"/>
  <c r="AQ62" i="27" l="1"/>
  <c r="AR62" i="27" s="1"/>
  <c r="AO63" i="27"/>
  <c r="AN64" i="27"/>
  <c r="AP63" i="27"/>
  <c r="AC63" i="27"/>
  <c r="AB64" i="27"/>
  <c r="AD63" i="27"/>
  <c r="O64" i="27"/>
  <c r="U63" i="27"/>
  <c r="B64" i="27"/>
  <c r="AU63" i="27"/>
  <c r="D684" i="27"/>
  <c r="B680" i="30"/>
  <c r="AT48" i="27"/>
  <c r="H45" i="30" s="1"/>
  <c r="G60" i="30"/>
  <c r="BF63" i="27"/>
  <c r="Q64" i="27"/>
  <c r="P65" i="27"/>
  <c r="R64" i="27"/>
  <c r="I64" i="27"/>
  <c r="AG65" i="27"/>
  <c r="AA66" i="27"/>
  <c r="AM65" i="27"/>
  <c r="AS64" i="27"/>
  <c r="S63" i="27"/>
  <c r="T63" i="27" s="1"/>
  <c r="AY51" i="27"/>
  <c r="BE52" i="27"/>
  <c r="F49" i="30"/>
  <c r="BC51" i="27"/>
  <c r="BL51" i="27" s="1"/>
  <c r="BB51" i="27"/>
  <c r="E48" i="30"/>
  <c r="B58" i="30"/>
  <c r="AZ52" i="27"/>
  <c r="BI50" i="27"/>
  <c r="BH50" i="27"/>
  <c r="D50" i="30"/>
  <c r="I50" i="30" s="1"/>
  <c r="BD51" i="27"/>
  <c r="BG51" i="27" s="1"/>
  <c r="BJ49" i="27"/>
  <c r="BK49" i="27" s="1"/>
  <c r="BA51" i="27"/>
  <c r="AP64" i="27" l="1"/>
  <c r="AO64" i="27"/>
  <c r="AQ64" i="27" s="1"/>
  <c r="AR64" i="27" s="1"/>
  <c r="AN65" i="27"/>
  <c r="AQ63" i="27"/>
  <c r="AR63" i="27" s="1"/>
  <c r="AB65" i="27"/>
  <c r="AD64" i="27"/>
  <c r="AC64" i="27"/>
  <c r="AE64" i="27" s="1"/>
  <c r="AF64" i="27" s="1"/>
  <c r="AE63" i="27"/>
  <c r="AF63" i="27" s="1"/>
  <c r="B65" i="27"/>
  <c r="AU64" i="27"/>
  <c r="O65" i="27"/>
  <c r="U64" i="27"/>
  <c r="B681" i="30"/>
  <c r="D685" i="27"/>
  <c r="G61" i="30"/>
  <c r="BF64" i="27"/>
  <c r="S64" i="27"/>
  <c r="T64" i="27" s="1"/>
  <c r="P66" i="27"/>
  <c r="Q65" i="27"/>
  <c r="R65" i="27"/>
  <c r="AX51" i="27"/>
  <c r="AG66" i="27"/>
  <c r="AA67" i="27"/>
  <c r="I65" i="27"/>
  <c r="AM66" i="27"/>
  <c r="AS65" i="27"/>
  <c r="AT49" i="27"/>
  <c r="H46" i="30" s="1"/>
  <c r="BE53" i="27"/>
  <c r="F50" i="30"/>
  <c r="AZ53" i="27"/>
  <c r="BB52" i="27"/>
  <c r="BC52" i="27"/>
  <c r="BL52" i="27" s="1"/>
  <c r="E49" i="30"/>
  <c r="B59" i="30"/>
  <c r="BA52" i="27"/>
  <c r="BI51" i="27"/>
  <c r="BH51" i="27"/>
  <c r="D51" i="30"/>
  <c r="I51" i="30" s="1"/>
  <c r="BD52" i="27"/>
  <c r="BG52" i="27" s="1"/>
  <c r="AY52" i="27"/>
  <c r="BJ50" i="27"/>
  <c r="BK50" i="27" s="1"/>
  <c r="AO65" i="27" l="1"/>
  <c r="AP65" i="27"/>
  <c r="AN66" i="27"/>
  <c r="AD65" i="27"/>
  <c r="AB66" i="27"/>
  <c r="AC65" i="27"/>
  <c r="AE65" i="27" s="1"/>
  <c r="AF65" i="27" s="1"/>
  <c r="O66" i="27"/>
  <c r="U65" i="27"/>
  <c r="B66" i="27"/>
  <c r="AU65" i="27"/>
  <c r="D686" i="27"/>
  <c r="B682" i="30"/>
  <c r="AA68" i="27"/>
  <c r="AG67" i="27"/>
  <c r="R66" i="27"/>
  <c r="P67" i="27"/>
  <c r="Q66" i="27"/>
  <c r="S66" i="27" s="1"/>
  <c r="T66" i="27" s="1"/>
  <c r="AM67" i="27"/>
  <c r="AS66" i="27"/>
  <c r="BF65" i="27"/>
  <c r="G62" i="30"/>
  <c r="I66" i="27"/>
  <c r="S65" i="27"/>
  <c r="T65" i="27" s="1"/>
  <c r="AT50" i="27"/>
  <c r="H47" i="30" s="1"/>
  <c r="BE54" i="27"/>
  <c r="F51" i="30"/>
  <c r="B60" i="30"/>
  <c r="BC53" i="27"/>
  <c r="BB53" i="27"/>
  <c r="E50" i="30"/>
  <c r="AX52" i="27"/>
  <c r="BA53" i="27"/>
  <c r="AZ54" i="27"/>
  <c r="D52" i="30"/>
  <c r="I52" i="30" s="1"/>
  <c r="BD53" i="27"/>
  <c r="BG53" i="27" s="1"/>
  <c r="AY53" i="27"/>
  <c r="BJ51" i="27"/>
  <c r="BK51" i="27" s="1"/>
  <c r="BI52" i="27"/>
  <c r="BH52" i="27"/>
  <c r="AY54" i="27"/>
  <c r="AO66" i="27" l="1"/>
  <c r="AN67" i="27"/>
  <c r="AP66" i="27"/>
  <c r="AQ65" i="27"/>
  <c r="AR65" i="27" s="1"/>
  <c r="AB67" i="27"/>
  <c r="AC66" i="27"/>
  <c r="AD66" i="27"/>
  <c r="B67" i="27"/>
  <c r="AU66" i="27"/>
  <c r="U66" i="27"/>
  <c r="O67" i="27"/>
  <c r="B683" i="30"/>
  <c r="D687" i="27"/>
  <c r="G63" i="30"/>
  <c r="BF66" i="27"/>
  <c r="AT51" i="27"/>
  <c r="H48" i="30" s="1"/>
  <c r="Q67" i="27"/>
  <c r="P68" i="27"/>
  <c r="R67" i="27"/>
  <c r="I67" i="27"/>
  <c r="AM68" i="27"/>
  <c r="AS67" i="27"/>
  <c r="AG68" i="27"/>
  <c r="AA69" i="27"/>
  <c r="BL53" i="27"/>
  <c r="BE55" i="27"/>
  <c r="F52" i="30"/>
  <c r="BC54" i="27"/>
  <c r="BB54" i="27"/>
  <c r="E51" i="30"/>
  <c r="B61" i="30"/>
  <c r="AX53" i="27"/>
  <c r="BJ52" i="27"/>
  <c r="BK52" i="27" s="1"/>
  <c r="AZ55" i="27"/>
  <c r="BA54" i="27"/>
  <c r="AX54" i="27" s="1"/>
  <c r="BD54" i="27"/>
  <c r="BG54" i="27" s="1"/>
  <c r="D53" i="30"/>
  <c r="I53" i="30" s="1"/>
  <c r="BI53" i="27"/>
  <c r="BH53" i="27"/>
  <c r="AO67" i="27" l="1"/>
  <c r="AN68" i="27"/>
  <c r="AP67" i="27"/>
  <c r="AQ66" i="27"/>
  <c r="AR66" i="27" s="1"/>
  <c r="AE66" i="27"/>
  <c r="AF66" i="27" s="1"/>
  <c r="AD67" i="27"/>
  <c r="AB68" i="27"/>
  <c r="AC67" i="27"/>
  <c r="AE67" i="27" s="1"/>
  <c r="AF67" i="27" s="1"/>
  <c r="O68" i="27"/>
  <c r="U67" i="27"/>
  <c r="S67" i="27"/>
  <c r="T67" i="27" s="1"/>
  <c r="B68" i="27"/>
  <c r="AU67" i="27"/>
  <c r="D688" i="27"/>
  <c r="B684" i="30"/>
  <c r="I68" i="27"/>
  <c r="AM69" i="27"/>
  <c r="AS68" i="27"/>
  <c r="P69" i="27"/>
  <c r="Q68" i="27"/>
  <c r="R68" i="27"/>
  <c r="AG69" i="27"/>
  <c r="AA70" i="27"/>
  <c r="AT52" i="27"/>
  <c r="H49" i="30" s="1"/>
  <c r="G64" i="30"/>
  <c r="BF67" i="27"/>
  <c r="BL54" i="27"/>
  <c r="BJ53" i="27"/>
  <c r="BK53" i="27" s="1"/>
  <c r="BE56" i="27"/>
  <c r="F53" i="30"/>
  <c r="BB55" i="27"/>
  <c r="BC55" i="27"/>
  <c r="BL55" i="27" s="1"/>
  <c r="E52" i="30"/>
  <c r="B62" i="30"/>
  <c r="AZ56" i="27"/>
  <c r="BA55" i="27"/>
  <c r="BI54" i="27"/>
  <c r="BH54" i="27"/>
  <c r="D54" i="30"/>
  <c r="I54" i="30" s="1"/>
  <c r="BD55" i="27"/>
  <c r="BG55" i="27" s="1"/>
  <c r="AY55" i="27"/>
  <c r="AP68" i="27" l="1"/>
  <c r="AN69" i="27"/>
  <c r="AO68" i="27"/>
  <c r="AQ68" i="27" s="1"/>
  <c r="AR68" i="27" s="1"/>
  <c r="AQ67" i="27"/>
  <c r="AR67" i="27" s="1"/>
  <c r="AD68" i="27"/>
  <c r="AC68" i="27"/>
  <c r="AE68" i="27" s="1"/>
  <c r="AF68" i="27" s="1"/>
  <c r="AB69" i="27"/>
  <c r="B69" i="27"/>
  <c r="AU68" i="27"/>
  <c r="O69" i="27"/>
  <c r="U68" i="27"/>
  <c r="D689" i="27"/>
  <c r="B685" i="30"/>
  <c r="AT53" i="27"/>
  <c r="H50" i="30" s="1"/>
  <c r="G65" i="30"/>
  <c r="BF68" i="27"/>
  <c r="AS69" i="27"/>
  <c r="AM70" i="27"/>
  <c r="R69" i="27"/>
  <c r="Q69" i="27"/>
  <c r="S69" i="27" s="1"/>
  <c r="T69" i="27" s="1"/>
  <c r="P70" i="27"/>
  <c r="I69" i="27"/>
  <c r="AA71" i="27"/>
  <c r="AG70" i="27"/>
  <c r="S68" i="27"/>
  <c r="T68" i="27" s="1"/>
  <c r="BE57" i="27"/>
  <c r="F54" i="30"/>
  <c r="AZ57" i="27"/>
  <c r="B63" i="30"/>
  <c r="BB56" i="27"/>
  <c r="BC56" i="27"/>
  <c r="BL56" i="27" s="1"/>
  <c r="E53" i="30"/>
  <c r="BJ54" i="27"/>
  <c r="BK54" i="27" s="1"/>
  <c r="BA56" i="27"/>
  <c r="AY56" i="27"/>
  <c r="AX56" i="27" s="1"/>
  <c r="BD56" i="27"/>
  <c r="BG56" i="27" s="1"/>
  <c r="BI55" i="27"/>
  <c r="BH55" i="27"/>
  <c r="AZ58" i="27"/>
  <c r="AX55" i="27"/>
  <c r="D55" i="30"/>
  <c r="I55" i="30" s="1"/>
  <c r="AO69" i="27" l="1"/>
  <c r="AN70" i="27"/>
  <c r="AP69" i="27"/>
  <c r="AC69" i="27"/>
  <c r="AB70" i="27"/>
  <c r="AD69" i="27"/>
  <c r="U69" i="27"/>
  <c r="O70" i="27"/>
  <c r="B70" i="27"/>
  <c r="AU69" i="27"/>
  <c r="D690" i="27"/>
  <c r="B686" i="30"/>
  <c r="I70" i="27"/>
  <c r="AT54" i="27"/>
  <c r="H51" i="30" s="1"/>
  <c r="AS70" i="27"/>
  <c r="AM71" i="27"/>
  <c r="AG71" i="27"/>
  <c r="AA72" i="27"/>
  <c r="BF69" i="27"/>
  <c r="G66" i="30"/>
  <c r="R70" i="27"/>
  <c r="P71" i="27"/>
  <c r="Q70" i="27"/>
  <c r="BJ55" i="27"/>
  <c r="BK55" i="27" s="1"/>
  <c r="BE58" i="27"/>
  <c r="F55" i="30"/>
  <c r="BB57" i="27"/>
  <c r="BC57" i="27"/>
  <c r="BL57" i="27" s="1"/>
  <c r="E54" i="30"/>
  <c r="B64" i="30"/>
  <c r="BA57" i="27"/>
  <c r="AY57" i="27"/>
  <c r="D56" i="30"/>
  <c r="I56" i="30" s="1"/>
  <c r="BI56" i="27"/>
  <c r="BH56" i="27"/>
  <c r="BD57" i="27"/>
  <c r="BG57" i="27" s="1"/>
  <c r="AP70" i="27" l="1"/>
  <c r="AN71" i="27"/>
  <c r="AO70" i="27"/>
  <c r="AQ70" i="27" s="1"/>
  <c r="AR70" i="27" s="1"/>
  <c r="AQ69" i="27"/>
  <c r="AR69" i="27" s="1"/>
  <c r="AB71" i="27"/>
  <c r="AD70" i="27"/>
  <c r="AC70" i="27"/>
  <c r="AE70" i="27" s="1"/>
  <c r="AF70" i="27" s="1"/>
  <c r="AE69" i="27"/>
  <c r="AF69" i="27" s="1"/>
  <c r="B71" i="27"/>
  <c r="AU70" i="27"/>
  <c r="O71" i="27"/>
  <c r="U70" i="27"/>
  <c r="D691" i="27"/>
  <c r="B687" i="30"/>
  <c r="AG72" i="27"/>
  <c r="AA73" i="27"/>
  <c r="AM72" i="27"/>
  <c r="AS71" i="27"/>
  <c r="G67" i="30"/>
  <c r="BF70" i="27"/>
  <c r="AT55" i="27"/>
  <c r="H52" i="30" s="1"/>
  <c r="S70" i="27"/>
  <c r="T70" i="27" s="1"/>
  <c r="Q71" i="27"/>
  <c r="R71" i="27"/>
  <c r="P72" i="27"/>
  <c r="I71" i="27"/>
  <c r="AX57" i="27"/>
  <c r="BE59" i="27"/>
  <c r="F56" i="30"/>
  <c r="BB58" i="27"/>
  <c r="BC58" i="27"/>
  <c r="BL58" i="27" s="1"/>
  <c r="E55" i="30"/>
  <c r="B65" i="30"/>
  <c r="BJ56" i="27"/>
  <c r="BK56" i="27" s="1"/>
  <c r="AY58" i="27"/>
  <c r="D57" i="30"/>
  <c r="I57" i="30" s="1"/>
  <c r="BA58" i="27"/>
  <c r="AZ60" i="27"/>
  <c r="BD58" i="27"/>
  <c r="BG58" i="27" s="1"/>
  <c r="BI57" i="27"/>
  <c r="BH57" i="27"/>
  <c r="AY59" i="27"/>
  <c r="AZ59" i="27"/>
  <c r="AN72" i="27" l="1"/>
  <c r="AP71" i="27"/>
  <c r="AO71" i="27"/>
  <c r="AQ71" i="27" s="1"/>
  <c r="AR71" i="27" s="1"/>
  <c r="AC71" i="27"/>
  <c r="AB72" i="27"/>
  <c r="AD71" i="27"/>
  <c r="U71" i="27"/>
  <c r="O72" i="27"/>
  <c r="B72" i="27"/>
  <c r="AU71" i="27"/>
  <c r="D692" i="27"/>
  <c r="B688" i="30"/>
  <c r="I72" i="27"/>
  <c r="AT56" i="27"/>
  <c r="H53" i="30" s="1"/>
  <c r="AM73" i="27"/>
  <c r="AS72" i="27"/>
  <c r="AG73" i="27"/>
  <c r="AA74" i="27"/>
  <c r="BF71" i="27"/>
  <c r="G68" i="30"/>
  <c r="Q72" i="27"/>
  <c r="R72" i="27"/>
  <c r="P73" i="27"/>
  <c r="S71" i="27"/>
  <c r="T71" i="27" s="1"/>
  <c r="BE60" i="27"/>
  <c r="F57" i="30"/>
  <c r="B66" i="30"/>
  <c r="BB59" i="27"/>
  <c r="BC59" i="27"/>
  <c r="BL59" i="27" s="1"/>
  <c r="E56" i="30"/>
  <c r="BA59" i="27"/>
  <c r="AX59" i="27" s="1"/>
  <c r="AX58" i="27"/>
  <c r="BJ57" i="27"/>
  <c r="BK57" i="27" s="1"/>
  <c r="BD59" i="27"/>
  <c r="BG59" i="27" s="1"/>
  <c r="D58" i="30"/>
  <c r="I58" i="30" s="1"/>
  <c r="BI58" i="27"/>
  <c r="BH58" i="27"/>
  <c r="AO72" i="27" l="1"/>
  <c r="AP72" i="27"/>
  <c r="AN73" i="27"/>
  <c r="AC72" i="27"/>
  <c r="AB73" i="27"/>
  <c r="AD72" i="27"/>
  <c r="AE71" i="27"/>
  <c r="AF71" i="27" s="1"/>
  <c r="B73" i="27"/>
  <c r="AU72" i="27"/>
  <c r="O73" i="27"/>
  <c r="U72" i="27"/>
  <c r="B689" i="30"/>
  <c r="D693" i="27"/>
  <c r="AG74" i="27"/>
  <c r="AA75" i="27"/>
  <c r="G69" i="30"/>
  <c r="BF72" i="27"/>
  <c r="I73" i="27"/>
  <c r="AM74" i="27"/>
  <c r="AS73" i="27"/>
  <c r="S72" i="27"/>
  <c r="T72" i="27" s="1"/>
  <c r="AT57" i="27"/>
  <c r="H54" i="30" s="1"/>
  <c r="R73" i="27"/>
  <c r="Q73" i="27"/>
  <c r="S73" i="27" s="1"/>
  <c r="T73" i="27" s="1"/>
  <c r="P74" i="27"/>
  <c r="BA60" i="27"/>
  <c r="BE61" i="27"/>
  <c r="F58" i="30"/>
  <c r="BB60" i="27"/>
  <c r="BC60" i="27"/>
  <c r="E57" i="30"/>
  <c r="B67" i="30"/>
  <c r="BJ58" i="27"/>
  <c r="BK58" i="27" s="1"/>
  <c r="AZ61" i="27"/>
  <c r="BD60" i="27"/>
  <c r="BG60" i="27" s="1"/>
  <c r="AY60" i="27"/>
  <c r="D59" i="30"/>
  <c r="I59" i="30" s="1"/>
  <c r="BI59" i="27"/>
  <c r="BH59" i="27"/>
  <c r="AP73" i="27" l="1"/>
  <c r="AO73" i="27"/>
  <c r="AQ73" i="27" s="1"/>
  <c r="AR73" i="27" s="1"/>
  <c r="AN74" i="27"/>
  <c r="AQ72" i="27"/>
  <c r="AR72" i="27" s="1"/>
  <c r="AB74" i="27"/>
  <c r="AD73" i="27"/>
  <c r="AC73" i="27"/>
  <c r="AE73" i="27" s="1"/>
  <c r="AF73" i="27" s="1"/>
  <c r="AE72" i="27"/>
  <c r="AF72" i="27" s="1"/>
  <c r="AX60" i="27"/>
  <c r="O74" i="27"/>
  <c r="U73" i="27"/>
  <c r="B74" i="27"/>
  <c r="AU73" i="27"/>
  <c r="D694" i="27"/>
  <c r="B690" i="30"/>
  <c r="I74" i="27"/>
  <c r="BF73" i="27"/>
  <c r="G70" i="30"/>
  <c r="P75" i="27"/>
  <c r="Q74" i="27"/>
  <c r="R74" i="27"/>
  <c r="AA76" i="27"/>
  <c r="AG75" i="27"/>
  <c r="AM75" i="27"/>
  <c r="AS74" i="27"/>
  <c r="AT58" i="27"/>
  <c r="H55" i="30" s="1"/>
  <c r="BL60" i="27"/>
  <c r="BE62" i="27"/>
  <c r="F59" i="30"/>
  <c r="AZ62" i="27"/>
  <c r="B68" i="30"/>
  <c r="BC61" i="27"/>
  <c r="BB61" i="27"/>
  <c r="E58" i="30"/>
  <c r="AY61" i="27"/>
  <c r="BJ59" i="27"/>
  <c r="BK59" i="27" s="1"/>
  <c r="D60" i="30"/>
  <c r="I60" i="30" s="1"/>
  <c r="BD61" i="27"/>
  <c r="BG61" i="27" s="1"/>
  <c r="BA61" i="27"/>
  <c r="BI60" i="27"/>
  <c r="BH60" i="27"/>
  <c r="AN75" i="27" l="1"/>
  <c r="AP74" i="27"/>
  <c r="AO74" i="27"/>
  <c r="AQ74" i="27" s="1"/>
  <c r="AR74" i="27" s="1"/>
  <c r="AD74" i="27"/>
  <c r="AC74" i="27"/>
  <c r="AE74" i="27" s="1"/>
  <c r="AF74" i="27" s="1"/>
  <c r="AB75" i="27"/>
  <c r="B75" i="27"/>
  <c r="AU74" i="27"/>
  <c r="O75" i="27"/>
  <c r="U74" i="27"/>
  <c r="B691" i="30"/>
  <c r="D695" i="27"/>
  <c r="AM76" i="27"/>
  <c r="AS75" i="27"/>
  <c r="S74" i="27"/>
  <c r="T74" i="27" s="1"/>
  <c r="R75" i="27"/>
  <c r="Q75" i="27"/>
  <c r="P76" i="27"/>
  <c r="AT59" i="27"/>
  <c r="H56" i="30" s="1"/>
  <c r="AA77" i="27"/>
  <c r="AG76" i="27"/>
  <c r="G71" i="30"/>
  <c r="BF74" i="27"/>
  <c r="I75" i="27"/>
  <c r="BL61" i="27"/>
  <c r="AX61" i="27"/>
  <c r="BE63" i="27"/>
  <c r="F60" i="30"/>
  <c r="BB62" i="27"/>
  <c r="BC62" i="27"/>
  <c r="BL62" i="27" s="1"/>
  <c r="E59" i="30"/>
  <c r="B69" i="30"/>
  <c r="AZ63" i="27"/>
  <c r="BJ60" i="27"/>
  <c r="BK60" i="27" s="1"/>
  <c r="AY62" i="27"/>
  <c r="BA62" i="27"/>
  <c r="BD62" i="27"/>
  <c r="BG62" i="27" s="1"/>
  <c r="BH61" i="27"/>
  <c r="BI61" i="27"/>
  <c r="D61" i="30"/>
  <c r="I61" i="30" s="1"/>
  <c r="AP75" i="27" l="1"/>
  <c r="AN76" i="27"/>
  <c r="AO75" i="27"/>
  <c r="AQ75" i="27" s="1"/>
  <c r="AR75" i="27" s="1"/>
  <c r="AB76" i="27"/>
  <c r="AD75" i="27"/>
  <c r="AC75" i="27"/>
  <c r="AE75" i="27" s="1"/>
  <c r="AF75" i="27" s="1"/>
  <c r="U75" i="27"/>
  <c r="O76" i="27"/>
  <c r="S75" i="27"/>
  <c r="T75" i="27" s="1"/>
  <c r="B76" i="27"/>
  <c r="AU75" i="27"/>
  <c r="D696" i="27"/>
  <c r="B692" i="30"/>
  <c r="AT60" i="27"/>
  <c r="H57" i="30" s="1"/>
  <c r="AG77" i="27"/>
  <c r="AA78" i="27"/>
  <c r="BF75" i="27"/>
  <c r="G72" i="30"/>
  <c r="P77" i="27"/>
  <c r="R76" i="27"/>
  <c r="Q76" i="27"/>
  <c r="I76" i="27"/>
  <c r="AM77" i="27"/>
  <c r="AS76" i="27"/>
  <c r="BE64" i="27"/>
  <c r="F61" i="30"/>
  <c r="BC63" i="27"/>
  <c r="BL63" i="27" s="1"/>
  <c r="BB63" i="27"/>
  <c r="E60" i="30"/>
  <c r="B70" i="30"/>
  <c r="AZ64" i="27"/>
  <c r="AX62" i="27"/>
  <c r="BA63" i="27"/>
  <c r="AY63" i="27"/>
  <c r="D62" i="30"/>
  <c r="I62" i="30" s="1"/>
  <c r="BA64" i="27"/>
  <c r="BD63" i="27"/>
  <c r="BG63" i="27" s="1"/>
  <c r="BI62" i="27"/>
  <c r="BH62" i="27"/>
  <c r="BJ61" i="27"/>
  <c r="BK61" i="27" s="1"/>
  <c r="AO76" i="27" l="1"/>
  <c r="AN77" i="27"/>
  <c r="AP76" i="27"/>
  <c r="AB77" i="27"/>
  <c r="AC76" i="27"/>
  <c r="AE76" i="27" s="1"/>
  <c r="AF76" i="27" s="1"/>
  <c r="AD76" i="27"/>
  <c r="B77" i="27"/>
  <c r="AU76" i="27"/>
  <c r="O77" i="27"/>
  <c r="U76" i="27"/>
  <c r="B693" i="30"/>
  <c r="D697" i="27"/>
  <c r="P78" i="27"/>
  <c r="Q77" i="27"/>
  <c r="R77" i="27"/>
  <c r="AA79" i="27"/>
  <c r="AG78" i="27"/>
  <c r="AT61" i="27"/>
  <c r="H58" i="30" s="1"/>
  <c r="AM78" i="27"/>
  <c r="AS77" i="27"/>
  <c r="I77" i="27"/>
  <c r="S76" i="27"/>
  <c r="T76" i="27" s="1"/>
  <c r="G73" i="30"/>
  <c r="BF76" i="27"/>
  <c r="AY64" i="27"/>
  <c r="AX64" i="27" s="1"/>
  <c r="AX63" i="27"/>
  <c r="BJ62" i="27"/>
  <c r="BK62" i="27" s="1"/>
  <c r="BE65" i="27"/>
  <c r="F62" i="30"/>
  <c r="BB64" i="27"/>
  <c r="BC64" i="27"/>
  <c r="BL64" i="27" s="1"/>
  <c r="E61" i="30"/>
  <c r="B71" i="30"/>
  <c r="AZ65" i="27"/>
  <c r="BI63" i="27"/>
  <c r="BH63" i="27"/>
  <c r="BD64" i="27"/>
  <c r="BG64" i="27" s="1"/>
  <c r="D63" i="30"/>
  <c r="I63" i="30" s="1"/>
  <c r="AN78" i="27" l="1"/>
  <c r="AP77" i="27"/>
  <c r="AO77" i="27"/>
  <c r="AQ77" i="27" s="1"/>
  <c r="AR77" i="27" s="1"/>
  <c r="AQ76" i="27"/>
  <c r="AR76" i="27" s="1"/>
  <c r="AD77" i="27"/>
  <c r="AB78" i="27"/>
  <c r="AC77" i="27"/>
  <c r="AE77" i="27" s="1"/>
  <c r="AF77" i="27" s="1"/>
  <c r="U77" i="27"/>
  <c r="O78" i="27"/>
  <c r="B78" i="27"/>
  <c r="AU77" i="27"/>
  <c r="B694" i="30"/>
  <c r="D698" i="27"/>
  <c r="BF77" i="27"/>
  <c r="G74" i="30"/>
  <c r="AG79" i="27"/>
  <c r="AA80" i="27"/>
  <c r="I78" i="27"/>
  <c r="AS78" i="27"/>
  <c r="AM79" i="27"/>
  <c r="AT62" i="27"/>
  <c r="H59" i="30" s="1"/>
  <c r="S77" i="27"/>
  <c r="T77" i="27" s="1"/>
  <c r="R78" i="27"/>
  <c r="Q78" i="27"/>
  <c r="S78" i="27" s="1"/>
  <c r="T78" i="27" s="1"/>
  <c r="P79" i="27"/>
  <c r="BA65" i="27"/>
  <c r="AZ66" i="27"/>
  <c r="BE66" i="27"/>
  <c r="F63" i="30"/>
  <c r="B72" i="30"/>
  <c r="BC65" i="27"/>
  <c r="BB65" i="27"/>
  <c r="E62" i="30"/>
  <c r="BJ63" i="27"/>
  <c r="BK63" i="27" s="1"/>
  <c r="BA66" i="27"/>
  <c r="D64" i="30"/>
  <c r="I64" i="30" s="1"/>
  <c r="AY65" i="27"/>
  <c r="BD65" i="27"/>
  <c r="BG65" i="27" s="1"/>
  <c r="BI64" i="27"/>
  <c r="BH64" i="27"/>
  <c r="AP78" i="27" l="1"/>
  <c r="AN79" i="27"/>
  <c r="AO78" i="27"/>
  <c r="AQ78" i="27" s="1"/>
  <c r="AR78" i="27" s="1"/>
  <c r="AC78" i="27"/>
  <c r="AD78" i="27"/>
  <c r="AB79" i="27"/>
  <c r="AX65" i="27"/>
  <c r="B79" i="27"/>
  <c r="AU78" i="27"/>
  <c r="O79" i="27"/>
  <c r="U78" i="27"/>
  <c r="D699" i="27"/>
  <c r="B695" i="30"/>
  <c r="AM80" i="27"/>
  <c r="AS79" i="27"/>
  <c r="AT63" i="27"/>
  <c r="H60" i="30" s="1"/>
  <c r="I79" i="27"/>
  <c r="P80" i="27"/>
  <c r="R79" i="27"/>
  <c r="Q79" i="27"/>
  <c r="S79" i="27" s="1"/>
  <c r="T79" i="27" s="1"/>
  <c r="BF78" i="27"/>
  <c r="G75" i="30"/>
  <c r="AA81" i="27"/>
  <c r="AG80" i="27"/>
  <c r="BL65" i="27"/>
  <c r="BE67" i="27"/>
  <c r="F64" i="30"/>
  <c r="BB66" i="27"/>
  <c r="BC66" i="27"/>
  <c r="E63" i="30"/>
  <c r="B73" i="30"/>
  <c r="BJ64" i="27"/>
  <c r="BK64" i="27" s="1"/>
  <c r="BD66" i="27"/>
  <c r="BG66" i="27" s="1"/>
  <c r="AY66" i="27"/>
  <c r="AX66" i="27" s="1"/>
  <c r="AZ67" i="27"/>
  <c r="D65" i="30"/>
  <c r="I65" i="30" s="1"/>
  <c r="BI65" i="27"/>
  <c r="BH65" i="27"/>
  <c r="AN80" i="27" l="1"/>
  <c r="AO79" i="27"/>
  <c r="AP79" i="27"/>
  <c r="AD79" i="27"/>
  <c r="AB80" i="27"/>
  <c r="AC79" i="27"/>
  <c r="AE79" i="27" s="1"/>
  <c r="AF79" i="27" s="1"/>
  <c r="AE78" i="27"/>
  <c r="AF78" i="27" s="1"/>
  <c r="U79" i="27"/>
  <c r="O80" i="27"/>
  <c r="B80" i="27"/>
  <c r="AU79" i="27"/>
  <c r="B696" i="30"/>
  <c r="D700" i="27"/>
  <c r="BF79" i="27"/>
  <c r="G76" i="30"/>
  <c r="AT64" i="27"/>
  <c r="H61" i="30" s="1"/>
  <c r="I80" i="27"/>
  <c r="AS80" i="27"/>
  <c r="AM81" i="27"/>
  <c r="Q80" i="27"/>
  <c r="R80" i="27"/>
  <c r="P81" i="27"/>
  <c r="AG81" i="27"/>
  <c r="AA82" i="27"/>
  <c r="BL66" i="27"/>
  <c r="BJ65" i="27"/>
  <c r="BK65" i="27" s="1"/>
  <c r="BE68" i="27"/>
  <c r="F65" i="30"/>
  <c r="B74" i="30"/>
  <c r="BC67" i="27"/>
  <c r="BB67" i="27"/>
  <c r="E64" i="30"/>
  <c r="AZ68" i="27"/>
  <c r="AY67" i="27"/>
  <c r="D66" i="30"/>
  <c r="I66" i="30" s="1"/>
  <c r="BD67" i="27"/>
  <c r="BG67" i="27" s="1"/>
  <c r="BA67" i="27"/>
  <c r="BI66" i="27"/>
  <c r="BH66" i="27"/>
  <c r="AQ79" i="27" l="1"/>
  <c r="AR79" i="27" s="1"/>
  <c r="AO80" i="27"/>
  <c r="AN81" i="27"/>
  <c r="AP80" i="27"/>
  <c r="AB81" i="27"/>
  <c r="AC80" i="27"/>
  <c r="AE80" i="27" s="1"/>
  <c r="AF80" i="27" s="1"/>
  <c r="AD80" i="27"/>
  <c r="B81" i="27"/>
  <c r="AU80" i="27"/>
  <c r="O81" i="27"/>
  <c r="U80" i="27"/>
  <c r="B697" i="30"/>
  <c r="D701" i="27"/>
  <c r="AM82" i="27"/>
  <c r="AS81" i="27"/>
  <c r="AT65" i="27"/>
  <c r="H62" i="30" s="1"/>
  <c r="AA83" i="27"/>
  <c r="AG82" i="27"/>
  <c r="Q81" i="27"/>
  <c r="P82" i="27"/>
  <c r="R81" i="27"/>
  <c r="BF80" i="27"/>
  <c r="G77" i="30"/>
  <c r="I81" i="27"/>
  <c r="S80" i="27"/>
  <c r="T80" i="27" s="1"/>
  <c r="BA68" i="27"/>
  <c r="BL67" i="27"/>
  <c r="AX67" i="27"/>
  <c r="BE69" i="27"/>
  <c r="F66" i="30"/>
  <c r="BB68" i="27"/>
  <c r="BC68" i="27"/>
  <c r="BL68" i="27" s="1"/>
  <c r="E65" i="30"/>
  <c r="B75" i="30"/>
  <c r="AY68" i="27"/>
  <c r="BJ66" i="27"/>
  <c r="BK66" i="27" s="1"/>
  <c r="AZ69" i="27"/>
  <c r="BI67" i="27"/>
  <c r="BH67" i="27"/>
  <c r="D67" i="30"/>
  <c r="I67" i="30" s="1"/>
  <c r="BD68" i="27"/>
  <c r="BG68" i="27" s="1"/>
  <c r="AP81" i="27" l="1"/>
  <c r="AO81" i="27"/>
  <c r="AQ81" i="27" s="1"/>
  <c r="AR81" i="27" s="1"/>
  <c r="AN82" i="27"/>
  <c r="AQ80" i="27"/>
  <c r="AR80" i="27" s="1"/>
  <c r="AC81" i="27"/>
  <c r="AD81" i="27"/>
  <c r="AB82" i="27"/>
  <c r="AX68" i="27"/>
  <c r="O82" i="27"/>
  <c r="U81" i="27"/>
  <c r="B82" i="27"/>
  <c r="AU81" i="27"/>
  <c r="B698" i="30"/>
  <c r="D702" i="27"/>
  <c r="P83" i="27"/>
  <c r="R82" i="27"/>
  <c r="Q82" i="27"/>
  <c r="S81" i="27"/>
  <c r="T81" i="27" s="1"/>
  <c r="BF81" i="27"/>
  <c r="G78" i="30"/>
  <c r="AT66" i="27"/>
  <c r="H63" i="30" s="1"/>
  <c r="AA84" i="27"/>
  <c r="AG83" i="27"/>
  <c r="I82" i="27"/>
  <c r="AM83" i="27"/>
  <c r="AS82" i="27"/>
  <c r="BE70" i="27"/>
  <c r="F67" i="30"/>
  <c r="BB69" i="27"/>
  <c r="BC69" i="27"/>
  <c r="BL69" i="27" s="1"/>
  <c r="E66" i="30"/>
  <c r="B76" i="30"/>
  <c r="BA69" i="27"/>
  <c r="BJ67" i="27"/>
  <c r="BK67" i="27" s="1"/>
  <c r="AY69" i="27"/>
  <c r="D68" i="30"/>
  <c r="I68" i="30" s="1"/>
  <c r="BD69" i="27"/>
  <c r="BG69" i="27" s="1"/>
  <c r="AZ70" i="27"/>
  <c r="BI68" i="27"/>
  <c r="BH68" i="27"/>
  <c r="AP82" i="27" l="1"/>
  <c r="AN83" i="27"/>
  <c r="AO82" i="27"/>
  <c r="AQ82" i="27" s="1"/>
  <c r="AR82" i="27" s="1"/>
  <c r="AC82" i="27"/>
  <c r="AD82" i="27"/>
  <c r="AB83" i="27"/>
  <c r="AE81" i="27"/>
  <c r="AF81" i="27" s="1"/>
  <c r="B83" i="27"/>
  <c r="AU82" i="27"/>
  <c r="S82" i="27"/>
  <c r="T82" i="27" s="1"/>
  <c r="U82" i="27"/>
  <c r="O83" i="27"/>
  <c r="B699" i="30"/>
  <c r="D703" i="27"/>
  <c r="AA85" i="27"/>
  <c r="AG84" i="27"/>
  <c r="AT67" i="27"/>
  <c r="H64" i="30" s="1"/>
  <c r="AM84" i="27"/>
  <c r="AS83" i="27"/>
  <c r="G79" i="30"/>
  <c r="BF82" i="27"/>
  <c r="I83" i="27"/>
  <c r="R83" i="27"/>
  <c r="P84" i="27"/>
  <c r="Q83" i="27"/>
  <c r="S83" i="27" s="1"/>
  <c r="T83" i="27" s="1"/>
  <c r="AZ71" i="27"/>
  <c r="BE71" i="27"/>
  <c r="F68" i="30"/>
  <c r="B77" i="30"/>
  <c r="AX69" i="27"/>
  <c r="BB70" i="27"/>
  <c r="BC70" i="27"/>
  <c r="BL70" i="27" s="1"/>
  <c r="E67" i="30"/>
  <c r="BA70" i="27"/>
  <c r="BJ68" i="27"/>
  <c r="BK68" i="27" s="1"/>
  <c r="BD70" i="27"/>
  <c r="BG70" i="27" s="1"/>
  <c r="BI69" i="27"/>
  <c r="BH69" i="27"/>
  <c r="AY70" i="27"/>
  <c r="D69" i="30"/>
  <c r="I69" i="30" s="1"/>
  <c r="AO83" i="27" l="1"/>
  <c r="AN84" i="27"/>
  <c r="AP83" i="27"/>
  <c r="AC83" i="27"/>
  <c r="AD83" i="27"/>
  <c r="AB84" i="27"/>
  <c r="AE82" i="27"/>
  <c r="AF82" i="27" s="1"/>
  <c r="U83" i="27"/>
  <c r="O84" i="27"/>
  <c r="B84" i="27"/>
  <c r="AU83" i="27"/>
  <c r="B700" i="30"/>
  <c r="D704" i="27"/>
  <c r="AM85" i="27"/>
  <c r="AS84" i="27"/>
  <c r="AG85" i="27"/>
  <c r="AA86" i="27"/>
  <c r="AT68" i="27"/>
  <c r="H65" i="30" s="1"/>
  <c r="G80" i="30"/>
  <c r="BF83" i="27"/>
  <c r="P85" i="27"/>
  <c r="Q84" i="27"/>
  <c r="R84" i="27"/>
  <c r="I84" i="27"/>
  <c r="BJ69" i="27"/>
  <c r="BK69" i="27" s="1"/>
  <c r="BE72" i="27"/>
  <c r="F69" i="30"/>
  <c r="AX70" i="27"/>
  <c r="BC71" i="27"/>
  <c r="BB71" i="27"/>
  <c r="E68" i="30"/>
  <c r="B78" i="30"/>
  <c r="AY71" i="27"/>
  <c r="AZ72" i="27"/>
  <c r="D70" i="30"/>
  <c r="I70" i="30" s="1"/>
  <c r="BA71" i="27"/>
  <c r="BD71" i="27"/>
  <c r="BG71" i="27" s="1"/>
  <c r="BI70" i="27"/>
  <c r="BH70" i="27"/>
  <c r="AP84" i="27" l="1"/>
  <c r="AO84" i="27"/>
  <c r="AQ84" i="27" s="1"/>
  <c r="AR84" i="27" s="1"/>
  <c r="AN85" i="27"/>
  <c r="AQ83" i="27"/>
  <c r="AR83" i="27" s="1"/>
  <c r="AC84" i="27"/>
  <c r="AD84" i="27"/>
  <c r="AB85" i="27"/>
  <c r="AE83" i="27"/>
  <c r="AF83" i="27" s="1"/>
  <c r="B85" i="27"/>
  <c r="AU84" i="27"/>
  <c r="O85" i="27"/>
  <c r="U84" i="27"/>
  <c r="B701" i="30"/>
  <c r="D705" i="27"/>
  <c r="P86" i="27"/>
  <c r="Q85" i="27"/>
  <c r="R85" i="27"/>
  <c r="S84" i="27"/>
  <c r="T84" i="27" s="1"/>
  <c r="AT69" i="27"/>
  <c r="H66" i="30" s="1"/>
  <c r="BF84" i="27"/>
  <c r="G81" i="30"/>
  <c r="AG86" i="27"/>
  <c r="AA87" i="27"/>
  <c r="I85" i="27"/>
  <c r="AM86" i="27"/>
  <c r="AS85" i="27"/>
  <c r="BL71" i="27"/>
  <c r="AX71" i="27"/>
  <c r="BE73" i="27"/>
  <c r="F70" i="30"/>
  <c r="B79" i="30"/>
  <c r="BB72" i="27"/>
  <c r="BC72" i="27"/>
  <c r="E69" i="30"/>
  <c r="AY72" i="27"/>
  <c r="BH71" i="27"/>
  <c r="BI71" i="27"/>
  <c r="BA72" i="27"/>
  <c r="BD72" i="27"/>
  <c r="BG72" i="27" s="1"/>
  <c r="D71" i="30"/>
  <c r="I71" i="30" s="1"/>
  <c r="AZ73" i="27"/>
  <c r="BJ70" i="27"/>
  <c r="BK70" i="27" s="1"/>
  <c r="AO85" i="27" l="1"/>
  <c r="AQ85" i="27" s="1"/>
  <c r="AR85" i="27" s="1"/>
  <c r="AP85" i="27"/>
  <c r="AN86" i="27"/>
  <c r="AD85" i="27"/>
  <c r="AC85" i="27"/>
  <c r="AE85" i="27" s="1"/>
  <c r="AF85" i="27" s="1"/>
  <c r="AB86" i="27"/>
  <c r="AE84" i="27"/>
  <c r="AF84" i="27" s="1"/>
  <c r="O86" i="27"/>
  <c r="U85" i="27"/>
  <c r="B86" i="27"/>
  <c r="AU85" i="27"/>
  <c r="D706" i="27"/>
  <c r="B702" i="30"/>
  <c r="BF85" i="27"/>
  <c r="G82" i="30"/>
  <c r="AG87" i="27"/>
  <c r="AA88" i="27"/>
  <c r="AS86" i="27"/>
  <c r="AM87" i="27"/>
  <c r="S85" i="27"/>
  <c r="T85" i="27" s="1"/>
  <c r="AT70" i="27"/>
  <c r="H67" i="30" s="1"/>
  <c r="I86" i="27"/>
  <c r="P87" i="27"/>
  <c r="Q86" i="27"/>
  <c r="R86" i="27"/>
  <c r="AZ74" i="27"/>
  <c r="BL72" i="27"/>
  <c r="AX72" i="27"/>
  <c r="BE74" i="27"/>
  <c r="F71" i="30"/>
  <c r="B80" i="30"/>
  <c r="BB73" i="27"/>
  <c r="BC73" i="27"/>
  <c r="BL73" i="27" s="1"/>
  <c r="E70" i="30"/>
  <c r="AY73" i="27"/>
  <c r="BA73" i="27"/>
  <c r="D72" i="30"/>
  <c r="I72" i="30" s="1"/>
  <c r="BD73" i="27"/>
  <c r="BG73" i="27" s="1"/>
  <c r="BI72" i="27"/>
  <c r="BH72" i="27"/>
  <c r="BJ71" i="27"/>
  <c r="BK71" i="27" s="1"/>
  <c r="AN87" i="27" l="1"/>
  <c r="AO86" i="27"/>
  <c r="AQ86" i="27" s="1"/>
  <c r="AR86" i="27" s="1"/>
  <c r="AP86" i="27"/>
  <c r="AB87" i="27"/>
  <c r="AC86" i="27"/>
  <c r="AD86" i="27"/>
  <c r="B87" i="27"/>
  <c r="AU86" i="27"/>
  <c r="O87" i="27"/>
  <c r="U86" i="27"/>
  <c r="B703" i="30"/>
  <c r="D707" i="27"/>
  <c r="AG88" i="27"/>
  <c r="AA89" i="27"/>
  <c r="R87" i="27"/>
  <c r="Q87" i="27"/>
  <c r="S87" i="27" s="1"/>
  <c r="T87" i="27" s="1"/>
  <c r="P88" i="27"/>
  <c r="BF86" i="27"/>
  <c r="G83" i="30"/>
  <c r="S86" i="27"/>
  <c r="T86" i="27" s="1"/>
  <c r="I87" i="27"/>
  <c r="AM88" i="27"/>
  <c r="AS87" i="27"/>
  <c r="AT71" i="27"/>
  <c r="H68" i="30" s="1"/>
  <c r="AY74" i="27"/>
  <c r="AX73" i="27"/>
  <c r="BE75" i="27"/>
  <c r="F72" i="30"/>
  <c r="B81" i="30"/>
  <c r="BB74" i="27"/>
  <c r="BC74" i="27"/>
  <c r="BL74" i="27" s="1"/>
  <c r="E71" i="30"/>
  <c r="BJ72" i="27"/>
  <c r="BK72" i="27" s="1"/>
  <c r="BA74" i="27"/>
  <c r="BI73" i="27"/>
  <c r="BH73" i="27"/>
  <c r="BD74" i="27"/>
  <c r="BG74" i="27" s="1"/>
  <c r="AZ75" i="27"/>
  <c r="D73" i="30"/>
  <c r="I73" i="30" s="1"/>
  <c r="BJ73" i="27" l="1"/>
  <c r="BK73" i="27" s="1"/>
  <c r="AX74" i="27"/>
  <c r="AN88" i="27"/>
  <c r="AO87" i="27"/>
  <c r="AQ87" i="27" s="1"/>
  <c r="AR87" i="27" s="1"/>
  <c r="AP87" i="27"/>
  <c r="AE86" i="27"/>
  <c r="AF86" i="27" s="1"/>
  <c r="AD87" i="27"/>
  <c r="AB88" i="27"/>
  <c r="AC87" i="27"/>
  <c r="AE87" i="27" s="1"/>
  <c r="AF87" i="27" s="1"/>
  <c r="O88" i="27"/>
  <c r="U87" i="27"/>
  <c r="B88" i="27"/>
  <c r="AU87" i="27"/>
  <c r="B704" i="30"/>
  <c r="D708" i="27"/>
  <c r="I88" i="27"/>
  <c r="BF87" i="27"/>
  <c r="G84" i="30"/>
  <c r="AM89" i="27"/>
  <c r="AS88" i="27"/>
  <c r="AT73" i="27"/>
  <c r="H70" i="30" s="1"/>
  <c r="AT72" i="27"/>
  <c r="H69" i="30" s="1"/>
  <c r="P89" i="27"/>
  <c r="R88" i="27"/>
  <c r="Q88" i="27"/>
  <c r="S88" i="27" s="1"/>
  <c r="T88" i="27" s="1"/>
  <c r="AG89" i="27"/>
  <c r="AA90" i="27"/>
  <c r="AY75" i="27"/>
  <c r="BE76" i="27"/>
  <c r="F73" i="30"/>
  <c r="BC75" i="27"/>
  <c r="BL75" i="27" s="1"/>
  <c r="BB75" i="27"/>
  <c r="E72" i="30"/>
  <c r="B82" i="30"/>
  <c r="BA75" i="27"/>
  <c r="BD75" i="27"/>
  <c r="BG75" i="27" s="1"/>
  <c r="BA76" i="27"/>
  <c r="AZ76" i="27"/>
  <c r="D74" i="30"/>
  <c r="I74" i="30" s="1"/>
  <c r="BI74" i="27"/>
  <c r="BH74" i="27"/>
  <c r="AX75" i="27" l="1"/>
  <c r="AP88" i="27"/>
  <c r="AO88" i="27"/>
  <c r="AQ88" i="27" s="1"/>
  <c r="AR88" i="27" s="1"/>
  <c r="AN89" i="27"/>
  <c r="AB89" i="27"/>
  <c r="AD88" i="27"/>
  <c r="AC88" i="27"/>
  <c r="AE88" i="27" s="1"/>
  <c r="AF88" i="27" s="1"/>
  <c r="B89" i="27"/>
  <c r="AU88" i="27"/>
  <c r="O89" i="27"/>
  <c r="U88" i="27"/>
  <c r="D709" i="27"/>
  <c r="B705" i="30"/>
  <c r="AM90" i="27"/>
  <c r="AS89" i="27"/>
  <c r="BF88" i="27"/>
  <c r="G85" i="30"/>
  <c r="Q89" i="27"/>
  <c r="S89" i="27" s="1"/>
  <c r="T89" i="27" s="1"/>
  <c r="R89" i="27"/>
  <c r="P90" i="27"/>
  <c r="AG90" i="27"/>
  <c r="AA91" i="27"/>
  <c r="I89" i="27"/>
  <c r="BE77" i="27"/>
  <c r="F74" i="30"/>
  <c r="B83" i="30"/>
  <c r="BC76" i="27"/>
  <c r="BB76" i="27"/>
  <c r="E73" i="30"/>
  <c r="AY76" i="27"/>
  <c r="AX76" i="27" s="1"/>
  <c r="BJ74" i="27"/>
  <c r="BK74" i="27" s="1"/>
  <c r="D75" i="30"/>
  <c r="I75" i="30" s="1"/>
  <c r="BH75" i="27"/>
  <c r="BI75" i="27"/>
  <c r="BD76" i="27"/>
  <c r="BG76" i="27" s="1"/>
  <c r="AZ77" i="27"/>
  <c r="AN90" i="27" l="1"/>
  <c r="AO89" i="27"/>
  <c r="AP89" i="27"/>
  <c r="AB90" i="27"/>
  <c r="AC89" i="27"/>
  <c r="AD89" i="27"/>
  <c r="U89" i="27"/>
  <c r="O90" i="27"/>
  <c r="B90" i="27"/>
  <c r="AU89" i="27"/>
  <c r="D710" i="27"/>
  <c r="B706" i="30"/>
  <c r="AT74" i="27"/>
  <c r="H71" i="30" s="1"/>
  <c r="BF89" i="27"/>
  <c r="G86" i="30"/>
  <c r="AG91" i="27"/>
  <c r="AA92" i="27"/>
  <c r="Q90" i="27"/>
  <c r="R90" i="27"/>
  <c r="P91" i="27"/>
  <c r="I90" i="27"/>
  <c r="AM91" i="27"/>
  <c r="AS90" i="27"/>
  <c r="BA77" i="27"/>
  <c r="BL76" i="27"/>
  <c r="BE78" i="27"/>
  <c r="F75" i="30"/>
  <c r="BB77" i="27"/>
  <c r="BC77" i="27"/>
  <c r="BL77" i="27" s="1"/>
  <c r="E74" i="30"/>
  <c r="B84" i="30"/>
  <c r="AZ78" i="27"/>
  <c r="BA78" i="27"/>
  <c r="BJ75" i="27"/>
  <c r="BK75" i="27" s="1"/>
  <c r="BD77" i="27"/>
  <c r="BG77" i="27" s="1"/>
  <c r="BH76" i="27"/>
  <c r="BI76" i="27"/>
  <c r="AY77" i="27"/>
  <c r="AX77" i="27" s="1"/>
  <c r="D76" i="30"/>
  <c r="I76" i="30" s="1"/>
  <c r="AQ89" i="27" l="1"/>
  <c r="AR89" i="27" s="1"/>
  <c r="AO90" i="27"/>
  <c r="AP90" i="27"/>
  <c r="AN91" i="27"/>
  <c r="AE89" i="27"/>
  <c r="AF89" i="27" s="1"/>
  <c r="AD90" i="27"/>
  <c r="AB91" i="27"/>
  <c r="AC90" i="27"/>
  <c r="AE90" i="27" s="1"/>
  <c r="AF90" i="27" s="1"/>
  <c r="O91" i="27"/>
  <c r="U90" i="27"/>
  <c r="B91" i="27"/>
  <c r="AU90" i="27"/>
  <c r="D711" i="27"/>
  <c r="B707" i="30"/>
  <c r="AT75" i="27"/>
  <c r="H72" i="30" s="1"/>
  <c r="Q91" i="27"/>
  <c r="P92" i="27"/>
  <c r="R91" i="27"/>
  <c r="S90" i="27"/>
  <c r="T90" i="27" s="1"/>
  <c r="AA93" i="27"/>
  <c r="AG92" i="27"/>
  <c r="AM92" i="27"/>
  <c r="AS91" i="27"/>
  <c r="I91" i="27"/>
  <c r="BF90" i="27"/>
  <c r="G87" i="30"/>
  <c r="BE79" i="27"/>
  <c r="F76" i="30"/>
  <c r="BB78" i="27"/>
  <c r="BC78" i="27"/>
  <c r="BL78" i="27" s="1"/>
  <c r="E75" i="30"/>
  <c r="B85" i="30"/>
  <c r="AY78" i="27"/>
  <c r="AX78" i="27" s="1"/>
  <c r="AZ79" i="27"/>
  <c r="BH77" i="27"/>
  <c r="BI77" i="27"/>
  <c r="BJ76" i="27"/>
  <c r="BK76" i="27" s="1"/>
  <c r="D77" i="30"/>
  <c r="I77" i="30" s="1"/>
  <c r="BD78" i="27"/>
  <c r="BG78" i="27" s="1"/>
  <c r="AP91" i="27" l="1"/>
  <c r="AO91" i="27"/>
  <c r="AQ91" i="27" s="1"/>
  <c r="AR91" i="27" s="1"/>
  <c r="AN92" i="27"/>
  <c r="AQ90" i="27"/>
  <c r="AR90" i="27" s="1"/>
  <c r="AB92" i="27"/>
  <c r="AC91" i="27"/>
  <c r="AD91" i="27"/>
  <c r="B92" i="27"/>
  <c r="AU91" i="27"/>
  <c r="O92" i="27"/>
  <c r="U91" i="27"/>
  <c r="B708" i="30"/>
  <c r="D712" i="27"/>
  <c r="AT76" i="27"/>
  <c r="H73" i="30" s="1"/>
  <c r="Q92" i="27"/>
  <c r="P93" i="27"/>
  <c r="R92" i="27"/>
  <c r="AA94" i="27"/>
  <c r="AG93" i="27"/>
  <c r="S91" i="27"/>
  <c r="T91" i="27" s="1"/>
  <c r="I92" i="27"/>
  <c r="G88" i="30"/>
  <c r="BF91" i="27"/>
  <c r="AM93" i="27"/>
  <c r="AS92" i="27"/>
  <c r="BE80" i="27"/>
  <c r="F77" i="30"/>
  <c r="BC79" i="27"/>
  <c r="BL79" i="27" s="1"/>
  <c r="BB79" i="27"/>
  <c r="E76" i="30"/>
  <c r="B86" i="30"/>
  <c r="AZ80" i="27"/>
  <c r="BI78" i="27"/>
  <c r="BH78" i="27"/>
  <c r="AY79" i="27"/>
  <c r="BD79" i="27"/>
  <c r="BG79" i="27" s="1"/>
  <c r="BJ77" i="27"/>
  <c r="BK77" i="27" s="1"/>
  <c r="BA79" i="27"/>
  <c r="D78" i="30"/>
  <c r="I78" i="30" s="1"/>
  <c r="AP92" i="27" l="1"/>
  <c r="AN93" i="27"/>
  <c r="AO92" i="27"/>
  <c r="AQ92" i="27" s="1"/>
  <c r="AR92" i="27" s="1"/>
  <c r="AE91" i="27"/>
  <c r="AF91" i="27" s="1"/>
  <c r="AD92" i="27"/>
  <c r="AC92" i="27"/>
  <c r="AE92" i="27" s="1"/>
  <c r="AF92" i="27" s="1"/>
  <c r="AB93" i="27"/>
  <c r="O93" i="27"/>
  <c r="U92" i="27"/>
  <c r="B93" i="27"/>
  <c r="AU92" i="27"/>
  <c r="B709" i="30"/>
  <c r="D713" i="27"/>
  <c r="I93" i="27"/>
  <c r="Q93" i="27"/>
  <c r="P94" i="27"/>
  <c r="R93" i="27"/>
  <c r="BF92" i="27"/>
  <c r="G89" i="30"/>
  <c r="AA95" i="27"/>
  <c r="AG94" i="27"/>
  <c r="S92" i="27"/>
  <c r="T92" i="27" s="1"/>
  <c r="AT77" i="27"/>
  <c r="H74" i="30" s="1"/>
  <c r="AM94" i="27"/>
  <c r="AS93" i="27"/>
  <c r="BE81" i="27"/>
  <c r="F78" i="30"/>
  <c r="BB80" i="27"/>
  <c r="BC80" i="27"/>
  <c r="BL80" i="27" s="1"/>
  <c r="E77" i="30"/>
  <c r="B87" i="30"/>
  <c r="AZ81" i="27"/>
  <c r="BJ78" i="27"/>
  <c r="BK78" i="27" s="1"/>
  <c r="BA80" i="27"/>
  <c r="D79" i="30"/>
  <c r="I79" i="30" s="1"/>
  <c r="AX79" i="27"/>
  <c r="BD80" i="27"/>
  <c r="BG80" i="27" s="1"/>
  <c r="AY80" i="27"/>
  <c r="BI79" i="27"/>
  <c r="BH79" i="27"/>
  <c r="AP93" i="27" l="1"/>
  <c r="AN94" i="27"/>
  <c r="AO93" i="27"/>
  <c r="AQ93" i="27" s="1"/>
  <c r="AR93" i="27" s="1"/>
  <c r="AB94" i="27"/>
  <c r="AC93" i="27"/>
  <c r="AD93" i="27"/>
  <c r="B94" i="27"/>
  <c r="AU93" i="27"/>
  <c r="O94" i="27"/>
  <c r="U93" i="27"/>
  <c r="D714" i="27"/>
  <c r="B710" i="30"/>
  <c r="AT78" i="27"/>
  <c r="H75" i="30" s="1"/>
  <c r="AA96" i="27"/>
  <c r="AG95" i="27"/>
  <c r="S93" i="27"/>
  <c r="T93" i="27" s="1"/>
  <c r="I94" i="27"/>
  <c r="Q94" i="27"/>
  <c r="R94" i="27"/>
  <c r="P95" i="27"/>
  <c r="BF93" i="27"/>
  <c r="G90" i="30"/>
  <c r="AS94" i="27"/>
  <c r="AM95" i="27"/>
  <c r="BE82" i="27"/>
  <c r="F79" i="30"/>
  <c r="B88" i="30"/>
  <c r="BC81" i="27"/>
  <c r="BL81" i="27" s="1"/>
  <c r="BB81" i="27"/>
  <c r="E78" i="30"/>
  <c r="AY81" i="27"/>
  <c r="BA81" i="27"/>
  <c r="AX80" i="27"/>
  <c r="BJ79" i="27"/>
  <c r="BK79" i="27" s="1"/>
  <c r="AZ82" i="27"/>
  <c r="BD81" i="27"/>
  <c r="BG81" i="27" s="1"/>
  <c r="D80" i="30"/>
  <c r="I80" i="30" s="1"/>
  <c r="BI80" i="27"/>
  <c r="BH80" i="27"/>
  <c r="AO94" i="27" l="1"/>
  <c r="AP94" i="27"/>
  <c r="AN95" i="27"/>
  <c r="AE93" i="27"/>
  <c r="AF93" i="27" s="1"/>
  <c r="AC94" i="27"/>
  <c r="AD94" i="27"/>
  <c r="AB95" i="27"/>
  <c r="S94" i="27"/>
  <c r="T94" i="27" s="1"/>
  <c r="O95" i="27"/>
  <c r="U94" i="27"/>
  <c r="B95" i="27"/>
  <c r="AU94" i="27"/>
  <c r="D715" i="27"/>
  <c r="B711" i="30"/>
  <c r="AT79" i="27"/>
  <c r="H76" i="30" s="1"/>
  <c r="I95" i="27"/>
  <c r="AG96" i="27"/>
  <c r="AA97" i="27"/>
  <c r="Q95" i="27"/>
  <c r="P96" i="27"/>
  <c r="R95" i="27"/>
  <c r="AM96" i="27"/>
  <c r="AS95" i="27"/>
  <c r="G91" i="30"/>
  <c r="BF94" i="27"/>
  <c r="AX81" i="27"/>
  <c r="BE83" i="27"/>
  <c r="F80" i="30"/>
  <c r="BB82" i="27"/>
  <c r="BC82" i="27"/>
  <c r="BL82" i="27" s="1"/>
  <c r="E79" i="30"/>
  <c r="B89" i="30"/>
  <c r="BA82" i="27"/>
  <c r="AY82" i="27"/>
  <c r="BJ80" i="27"/>
  <c r="BK80" i="27" s="1"/>
  <c r="BI81" i="27"/>
  <c r="BH81" i="27"/>
  <c r="AZ83" i="27"/>
  <c r="D81" i="30"/>
  <c r="I81" i="30" s="1"/>
  <c r="BD82" i="27"/>
  <c r="BG82" i="27" s="1"/>
  <c r="AO95" i="27" l="1"/>
  <c r="AN96" i="27"/>
  <c r="AP95" i="27"/>
  <c r="AQ94" i="27"/>
  <c r="AR94" i="27" s="1"/>
  <c r="AC95" i="27"/>
  <c r="AD95" i="27"/>
  <c r="AB96" i="27"/>
  <c r="AE94" i="27"/>
  <c r="AF94" i="27" s="1"/>
  <c r="B96" i="27"/>
  <c r="AU95" i="27"/>
  <c r="U95" i="27"/>
  <c r="O96" i="27"/>
  <c r="B712" i="30"/>
  <c r="D716" i="27"/>
  <c r="G92" i="30"/>
  <c r="BF95" i="27"/>
  <c r="AG97" i="27"/>
  <c r="AA98" i="27"/>
  <c r="I96" i="27"/>
  <c r="S95" i="27"/>
  <c r="T95" i="27" s="1"/>
  <c r="AM97" i="27"/>
  <c r="AS96" i="27"/>
  <c r="AT80" i="27"/>
  <c r="H77" i="30" s="1"/>
  <c r="P97" i="27"/>
  <c r="Q96" i="27"/>
  <c r="R96" i="27"/>
  <c r="AX82" i="27"/>
  <c r="BE84" i="27"/>
  <c r="F81" i="30"/>
  <c r="B90" i="30"/>
  <c r="BC83" i="27"/>
  <c r="BL83" i="27" s="1"/>
  <c r="BB83" i="27"/>
  <c r="E80" i="30"/>
  <c r="BJ81" i="27"/>
  <c r="BK81" i="27" s="1"/>
  <c r="D82" i="30"/>
  <c r="I82" i="30" s="1"/>
  <c r="AZ84" i="27"/>
  <c r="AY83" i="27"/>
  <c r="BD83" i="27"/>
  <c r="BG83" i="27" s="1"/>
  <c r="BA83" i="27"/>
  <c r="BI82" i="27"/>
  <c r="BH82" i="27"/>
  <c r="AO96" i="27" l="1"/>
  <c r="AP96" i="27"/>
  <c r="AN97" i="27"/>
  <c r="AQ95" i="27"/>
  <c r="AR95" i="27" s="1"/>
  <c r="AC96" i="27"/>
  <c r="AD96" i="27"/>
  <c r="AB97" i="27"/>
  <c r="AE95" i="27"/>
  <c r="AF95" i="27" s="1"/>
  <c r="O97" i="27"/>
  <c r="U96" i="27"/>
  <c r="B97" i="27"/>
  <c r="AU96" i="27"/>
  <c r="B713" i="30"/>
  <c r="D717" i="27"/>
  <c r="AT81" i="27"/>
  <c r="H78" i="30" s="1"/>
  <c r="I97" i="27"/>
  <c r="AG98" i="27"/>
  <c r="AA99" i="27"/>
  <c r="BF96" i="27"/>
  <c r="G93" i="30"/>
  <c r="Q97" i="27"/>
  <c r="R97" i="27"/>
  <c r="P98" i="27"/>
  <c r="AM98" i="27"/>
  <c r="AS97" i="27"/>
  <c r="S96" i="27"/>
  <c r="T96" i="27" s="1"/>
  <c r="AZ85" i="27"/>
  <c r="BE85" i="27"/>
  <c r="F82" i="30"/>
  <c r="BB84" i="27"/>
  <c r="BC84" i="27"/>
  <c r="BL84" i="27" s="1"/>
  <c r="E81" i="30"/>
  <c r="B91" i="30"/>
  <c r="BJ82" i="27"/>
  <c r="BK82" i="27" s="1"/>
  <c r="BA84" i="27"/>
  <c r="AY84" i="27"/>
  <c r="BI83" i="27"/>
  <c r="BH83" i="27"/>
  <c r="D83" i="30"/>
  <c r="I83" i="30" s="1"/>
  <c r="BD84" i="27"/>
  <c r="BG84" i="27" s="1"/>
  <c r="AX83" i="27"/>
  <c r="AP97" i="27" l="1"/>
  <c r="AO97" i="27"/>
  <c r="AQ97" i="27" s="1"/>
  <c r="AR97" i="27" s="1"/>
  <c r="AN98" i="27"/>
  <c r="AQ96" i="27"/>
  <c r="AR96" i="27" s="1"/>
  <c r="AD97" i="27"/>
  <c r="AC97" i="27"/>
  <c r="AE97" i="27" s="1"/>
  <c r="AF97" i="27" s="1"/>
  <c r="AB98" i="27"/>
  <c r="AE96" i="27"/>
  <c r="AF96" i="27" s="1"/>
  <c r="B98" i="27"/>
  <c r="AU97" i="27"/>
  <c r="U97" i="27"/>
  <c r="O98" i="27"/>
  <c r="B714" i="30"/>
  <c r="D718" i="27"/>
  <c r="P99" i="27"/>
  <c r="Q98" i="27"/>
  <c r="R98" i="27"/>
  <c r="S97" i="27"/>
  <c r="T97" i="27" s="1"/>
  <c r="I98" i="27"/>
  <c r="AT82" i="27"/>
  <c r="H79" i="30" s="1"/>
  <c r="AG99" i="27"/>
  <c r="AA100" i="27"/>
  <c r="AM99" i="27"/>
  <c r="AS98" i="27"/>
  <c r="G94" i="30"/>
  <c r="BF97" i="27"/>
  <c r="BE86" i="27"/>
  <c r="F83" i="30"/>
  <c r="B92" i="30"/>
  <c r="AX84" i="27"/>
  <c r="BB85" i="27"/>
  <c r="BC85" i="27"/>
  <c r="BL85" i="27" s="1"/>
  <c r="E82" i="30"/>
  <c r="AZ86" i="27"/>
  <c r="BA85" i="27"/>
  <c r="BJ83" i="27"/>
  <c r="BK83" i="27" s="1"/>
  <c r="BI84" i="27"/>
  <c r="BH84" i="27"/>
  <c r="AY85" i="27"/>
  <c r="D84" i="30"/>
  <c r="I84" i="30" s="1"/>
  <c r="BD85" i="27"/>
  <c r="BG85" i="27" s="1"/>
  <c r="AO98" i="27" l="1"/>
  <c r="AP98" i="27"/>
  <c r="AN99" i="27"/>
  <c r="AB99" i="27"/>
  <c r="AD98" i="27"/>
  <c r="AC98" i="27"/>
  <c r="AE98" i="27" s="1"/>
  <c r="AF98" i="27" s="1"/>
  <c r="U98" i="27"/>
  <c r="O99" i="27"/>
  <c r="B99" i="27"/>
  <c r="AU98" i="27"/>
  <c r="B715" i="30"/>
  <c r="D719" i="27"/>
  <c r="I99" i="27"/>
  <c r="AM100" i="27"/>
  <c r="AS99" i="27"/>
  <c r="BF98" i="27"/>
  <c r="G95" i="30"/>
  <c r="S98" i="27"/>
  <c r="T98" i="27" s="1"/>
  <c r="AT83" i="27"/>
  <c r="H80" i="30" s="1"/>
  <c r="AA101" i="27"/>
  <c r="AG100" i="27"/>
  <c r="P100" i="27"/>
  <c r="R99" i="27"/>
  <c r="Q99" i="27"/>
  <c r="S99" i="27" s="1"/>
  <c r="T99" i="27" s="1"/>
  <c r="BE87" i="27"/>
  <c r="F84" i="30"/>
  <c r="B93" i="30"/>
  <c r="BB86" i="27"/>
  <c r="BC86" i="27"/>
  <c r="BL86" i="27" s="1"/>
  <c r="E83" i="30"/>
  <c r="AX85" i="27"/>
  <c r="BJ84" i="27"/>
  <c r="BK84" i="27" s="1"/>
  <c r="BH85" i="27"/>
  <c r="BI85" i="27"/>
  <c r="AZ87" i="27"/>
  <c r="BA86" i="27"/>
  <c r="D85" i="30"/>
  <c r="I85" i="30" s="1"/>
  <c r="BD86" i="27"/>
  <c r="BG86" i="27" s="1"/>
  <c r="AY86" i="27"/>
  <c r="AP99" i="27" l="1"/>
  <c r="AO99" i="27"/>
  <c r="AQ99" i="27" s="1"/>
  <c r="AR99" i="27" s="1"/>
  <c r="AN100" i="27"/>
  <c r="AQ98" i="27"/>
  <c r="AR98" i="27" s="1"/>
  <c r="AC99" i="27"/>
  <c r="AB100" i="27"/>
  <c r="AD99" i="27"/>
  <c r="B100" i="27"/>
  <c r="AU99" i="27"/>
  <c r="O100" i="27"/>
  <c r="U99" i="27"/>
  <c r="D720" i="27"/>
  <c r="B716" i="30"/>
  <c r="AT84" i="27"/>
  <c r="H81" i="30" s="1"/>
  <c r="AM101" i="27"/>
  <c r="AS100" i="27"/>
  <c r="BF99" i="27"/>
  <c r="G96" i="30"/>
  <c r="Q100" i="27"/>
  <c r="R100" i="27"/>
  <c r="P101" i="27"/>
  <c r="I100" i="27"/>
  <c r="AG101" i="27"/>
  <c r="AA102" i="27"/>
  <c r="BE88" i="27"/>
  <c r="F85" i="30"/>
  <c r="BB87" i="27"/>
  <c r="BC87" i="27"/>
  <c r="BL87" i="27" s="1"/>
  <c r="E84" i="30"/>
  <c r="B94" i="30"/>
  <c r="AX86" i="27"/>
  <c r="AZ88" i="27"/>
  <c r="BA87" i="27"/>
  <c r="BI86" i="27"/>
  <c r="BH86" i="27"/>
  <c r="AY87" i="27"/>
  <c r="D86" i="30"/>
  <c r="I86" i="30" s="1"/>
  <c r="BJ85" i="27"/>
  <c r="BK85" i="27" s="1"/>
  <c r="BD87" i="27"/>
  <c r="BG87" i="27" s="1"/>
  <c r="AO100" i="27" l="1"/>
  <c r="AP100" i="27"/>
  <c r="AN101" i="27"/>
  <c r="AD100" i="27"/>
  <c r="AC100" i="27"/>
  <c r="AE100" i="27" s="1"/>
  <c r="AF100" i="27" s="1"/>
  <c r="AB101" i="27"/>
  <c r="AE99" i="27"/>
  <c r="AF99" i="27" s="1"/>
  <c r="U100" i="27"/>
  <c r="O101" i="27"/>
  <c r="B101" i="27"/>
  <c r="AU100" i="27"/>
  <c r="D721" i="27"/>
  <c r="B717" i="30"/>
  <c r="AT85" i="27"/>
  <c r="H82" i="30" s="1"/>
  <c r="AM102" i="27"/>
  <c r="AS101" i="27"/>
  <c r="Q101" i="27"/>
  <c r="P102" i="27"/>
  <c r="R101" i="27"/>
  <c r="S100" i="27"/>
  <c r="T100" i="27" s="1"/>
  <c r="AG102" i="27"/>
  <c r="AA103" i="27"/>
  <c r="BF100" i="27"/>
  <c r="G97" i="30"/>
  <c r="I101" i="27"/>
  <c r="BE89" i="27"/>
  <c r="F86" i="30"/>
  <c r="BB88" i="27"/>
  <c r="BC88" i="27"/>
  <c r="E85" i="30"/>
  <c r="B95" i="30"/>
  <c r="AX87" i="27"/>
  <c r="AZ89" i="27"/>
  <c r="BJ86" i="27"/>
  <c r="BK86" i="27" s="1"/>
  <c r="BA88" i="27"/>
  <c r="BH87" i="27"/>
  <c r="BI87" i="27"/>
  <c r="BD88" i="27"/>
  <c r="BG88" i="27" s="1"/>
  <c r="D87" i="30"/>
  <c r="I87" i="30" s="1"/>
  <c r="AZ90" i="27"/>
  <c r="AY88" i="27"/>
  <c r="AN102" i="27" l="1"/>
  <c r="AO101" i="27"/>
  <c r="AP101" i="27"/>
  <c r="AQ100" i="27"/>
  <c r="AR100" i="27" s="1"/>
  <c r="AC101" i="27"/>
  <c r="AB102" i="27"/>
  <c r="AD101" i="27"/>
  <c r="B102" i="27"/>
  <c r="AU101" i="27"/>
  <c r="U101" i="27"/>
  <c r="O102" i="27"/>
  <c r="B718" i="30"/>
  <c r="D722" i="27"/>
  <c r="P103" i="27"/>
  <c r="R102" i="27"/>
  <c r="Q102" i="27"/>
  <c r="I102" i="27"/>
  <c r="AM103" i="27"/>
  <c r="AS102" i="27"/>
  <c r="S101" i="27"/>
  <c r="T101" i="27" s="1"/>
  <c r="BF101" i="27"/>
  <c r="G98" i="30"/>
  <c r="AA104" i="27"/>
  <c r="AG103" i="27"/>
  <c r="AT86" i="27"/>
  <c r="H83" i="30" s="1"/>
  <c r="BL88" i="27"/>
  <c r="BE90" i="27"/>
  <c r="F87" i="30"/>
  <c r="BC89" i="27"/>
  <c r="BL89" i="27" s="1"/>
  <c r="BB89" i="27"/>
  <c r="E86" i="30"/>
  <c r="AX88" i="27"/>
  <c r="B96" i="30"/>
  <c r="BA89" i="27"/>
  <c r="BI88" i="27"/>
  <c r="BH88" i="27"/>
  <c r="BJ87" i="27"/>
  <c r="BK87" i="27" s="1"/>
  <c r="BD89" i="27"/>
  <c r="BG89" i="27" s="1"/>
  <c r="AY89" i="27"/>
  <c r="D88" i="30"/>
  <c r="I88" i="30" s="1"/>
  <c r="AQ101" i="27" l="1"/>
  <c r="AR101" i="27" s="1"/>
  <c r="AP102" i="27"/>
  <c r="AO102" i="27"/>
  <c r="AQ102" i="27" s="1"/>
  <c r="AR102" i="27" s="1"/>
  <c r="AN103" i="27"/>
  <c r="AC102" i="27"/>
  <c r="AB103" i="27"/>
  <c r="AD102" i="27"/>
  <c r="AE101" i="27"/>
  <c r="AF101" i="27" s="1"/>
  <c r="S102" i="27"/>
  <c r="T102" i="27" s="1"/>
  <c r="O103" i="27"/>
  <c r="U102" i="27"/>
  <c r="B103" i="27"/>
  <c r="AU102" i="27"/>
  <c r="B719" i="30"/>
  <c r="D723" i="27"/>
  <c r="AM104" i="27"/>
  <c r="AS103" i="27"/>
  <c r="BF102" i="27"/>
  <c r="G99" i="30"/>
  <c r="I103" i="27"/>
  <c r="AA105" i="27"/>
  <c r="AG104" i="27"/>
  <c r="AT87" i="27"/>
  <c r="H84" i="30" s="1"/>
  <c r="R103" i="27"/>
  <c r="P104" i="27"/>
  <c r="Q103" i="27"/>
  <c r="S103" i="27" s="1"/>
  <c r="T103" i="27" s="1"/>
  <c r="BE91" i="27"/>
  <c r="F88" i="30"/>
  <c r="B97" i="30"/>
  <c r="BB90" i="27"/>
  <c r="BC90" i="27"/>
  <c r="E87" i="30"/>
  <c r="BA90" i="27"/>
  <c r="AX89" i="27"/>
  <c r="AZ91" i="27"/>
  <c r="AY90" i="27"/>
  <c r="BJ88" i="27"/>
  <c r="BK88" i="27" s="1"/>
  <c r="BH89" i="27"/>
  <c r="BI89" i="27"/>
  <c r="D89" i="30"/>
  <c r="I89" i="30" s="1"/>
  <c r="BD90" i="27"/>
  <c r="BG90" i="27" s="1"/>
  <c r="AP103" i="27" l="1"/>
  <c r="AO103" i="27"/>
  <c r="AQ103" i="27" s="1"/>
  <c r="AR103" i="27" s="1"/>
  <c r="AN104" i="27"/>
  <c r="AC103" i="27"/>
  <c r="AB104" i="27"/>
  <c r="AD103" i="27"/>
  <c r="AE102" i="27"/>
  <c r="AF102" i="27" s="1"/>
  <c r="B104" i="27"/>
  <c r="AU103" i="27"/>
  <c r="U103" i="27"/>
  <c r="O104" i="27"/>
  <c r="D724" i="27"/>
  <c r="B720" i="30"/>
  <c r="AT88" i="27"/>
  <c r="H85" i="30" s="1"/>
  <c r="I104" i="27"/>
  <c r="BF103" i="27"/>
  <c r="G100" i="30"/>
  <c r="AA106" i="27"/>
  <c r="AG105" i="27"/>
  <c r="Q104" i="27"/>
  <c r="P105" i="27"/>
  <c r="R104" i="27"/>
  <c r="AM105" i="27"/>
  <c r="AS104" i="27"/>
  <c r="BL90" i="27"/>
  <c r="BE92" i="27"/>
  <c r="F89" i="30"/>
  <c r="BC91" i="27"/>
  <c r="BB91" i="27"/>
  <c r="E88" i="30"/>
  <c r="AX90" i="27"/>
  <c r="B98" i="30"/>
  <c r="AZ92" i="27"/>
  <c r="D90" i="30"/>
  <c r="I90" i="30" s="1"/>
  <c r="AY91" i="27"/>
  <c r="BJ89" i="27"/>
  <c r="BK89" i="27" s="1"/>
  <c r="BI90" i="27"/>
  <c r="BH90" i="27"/>
  <c r="BA91" i="27"/>
  <c r="BD91" i="27"/>
  <c r="BG91" i="27" s="1"/>
  <c r="AO104" i="27" l="1"/>
  <c r="AN105" i="27"/>
  <c r="AP104" i="27"/>
  <c r="AC104" i="27"/>
  <c r="AD104" i="27"/>
  <c r="AB105" i="27"/>
  <c r="AE103" i="27"/>
  <c r="AF103" i="27" s="1"/>
  <c r="O105" i="27"/>
  <c r="U104" i="27"/>
  <c r="B105" i="27"/>
  <c r="AU104" i="27"/>
  <c r="D725" i="27"/>
  <c r="B721" i="30"/>
  <c r="S104" i="27"/>
  <c r="T104" i="27" s="1"/>
  <c r="AT89" i="27"/>
  <c r="H86" i="30" s="1"/>
  <c r="AM106" i="27"/>
  <c r="AS105" i="27"/>
  <c r="I105" i="27"/>
  <c r="R105" i="27"/>
  <c r="P106" i="27"/>
  <c r="Q105" i="27"/>
  <c r="S105" i="27" s="1"/>
  <c r="T105" i="27" s="1"/>
  <c r="BF104" i="27"/>
  <c r="G101" i="30"/>
  <c r="AG106" i="27"/>
  <c r="AA107" i="27"/>
  <c r="BL91" i="27"/>
  <c r="AY92" i="27"/>
  <c r="BE93" i="27"/>
  <c r="F90" i="30"/>
  <c r="B99" i="30"/>
  <c r="BB92" i="27"/>
  <c r="BC92" i="27"/>
  <c r="E89" i="30"/>
  <c r="BJ90" i="27"/>
  <c r="BK90" i="27" s="1"/>
  <c r="AZ93" i="27"/>
  <c r="BA92" i="27"/>
  <c r="AX91" i="27"/>
  <c r="D91" i="30"/>
  <c r="I91" i="30" s="1"/>
  <c r="BH91" i="27"/>
  <c r="BI91" i="27"/>
  <c r="BD92" i="27"/>
  <c r="BG92" i="27" s="1"/>
  <c r="AX92" i="27" l="1"/>
  <c r="AO105" i="27"/>
  <c r="AP105" i="27"/>
  <c r="AN106" i="27"/>
  <c r="AQ104" i="27"/>
  <c r="AR104" i="27" s="1"/>
  <c r="AC105" i="27"/>
  <c r="AB106" i="27"/>
  <c r="AD105" i="27"/>
  <c r="AE104" i="27"/>
  <c r="AF104" i="27" s="1"/>
  <c r="B106" i="27"/>
  <c r="AU105" i="27"/>
  <c r="U105" i="27"/>
  <c r="O106" i="27"/>
  <c r="B722" i="30"/>
  <c r="D726" i="27"/>
  <c r="I106" i="27"/>
  <c r="AT90" i="27"/>
  <c r="H87" i="30" s="1"/>
  <c r="BF105" i="27"/>
  <c r="G102" i="30"/>
  <c r="AM107" i="27"/>
  <c r="AS106" i="27"/>
  <c r="P107" i="27"/>
  <c r="Q106" i="27"/>
  <c r="R106" i="27"/>
  <c r="AG107" i="27"/>
  <c r="AA108" i="27"/>
  <c r="BL92" i="27"/>
  <c r="BE94" i="27"/>
  <c r="F91" i="30"/>
  <c r="BC93" i="27"/>
  <c r="BB93" i="27"/>
  <c r="E90" i="30"/>
  <c r="B100" i="30"/>
  <c r="AZ94" i="27"/>
  <c r="AY93" i="27"/>
  <c r="BA93" i="27"/>
  <c r="D92" i="30"/>
  <c r="I92" i="30" s="1"/>
  <c r="BJ91" i="27"/>
  <c r="BK91" i="27" s="1"/>
  <c r="BD93" i="27"/>
  <c r="BG93" i="27" s="1"/>
  <c r="BI92" i="27"/>
  <c r="BH92" i="27"/>
  <c r="AP106" i="27" l="1"/>
  <c r="AO106" i="27"/>
  <c r="AQ106" i="27" s="1"/>
  <c r="AR106" i="27" s="1"/>
  <c r="AN107" i="27"/>
  <c r="AQ105" i="27"/>
  <c r="AR105" i="27" s="1"/>
  <c r="AD106" i="27"/>
  <c r="AB107" i="27"/>
  <c r="AC106" i="27"/>
  <c r="AE106" i="27" s="1"/>
  <c r="AF106" i="27" s="1"/>
  <c r="AE105" i="27"/>
  <c r="AF105" i="27" s="1"/>
  <c r="U106" i="27"/>
  <c r="O107" i="27"/>
  <c r="B107" i="27"/>
  <c r="AU106" i="27"/>
  <c r="B723" i="30"/>
  <c r="D727" i="27"/>
  <c r="AT91" i="27"/>
  <c r="H88" i="30" s="1"/>
  <c r="P108" i="27"/>
  <c r="Q107" i="27"/>
  <c r="R107" i="27"/>
  <c r="BF106" i="27"/>
  <c r="G103" i="30"/>
  <c r="AM108" i="27"/>
  <c r="AS107" i="27"/>
  <c r="AG108" i="27"/>
  <c r="AA109" i="27"/>
  <c r="I107" i="27"/>
  <c r="S106" i="27"/>
  <c r="T106" i="27" s="1"/>
  <c r="AY94" i="27"/>
  <c r="BL93" i="27"/>
  <c r="AZ95" i="27"/>
  <c r="BE95" i="27"/>
  <c r="F92" i="30"/>
  <c r="BJ92" i="27"/>
  <c r="BK92" i="27" s="1"/>
  <c r="BC94" i="27"/>
  <c r="BL94" i="27" s="1"/>
  <c r="BB94" i="27"/>
  <c r="E91" i="30"/>
  <c r="B101" i="30"/>
  <c r="AX93" i="27"/>
  <c r="BI93" i="27"/>
  <c r="BH93" i="27"/>
  <c r="BA94" i="27"/>
  <c r="BD94" i="27"/>
  <c r="BG94" i="27" s="1"/>
  <c r="D93" i="30"/>
  <c r="I93" i="30" s="1"/>
  <c r="AO107" i="27" l="1"/>
  <c r="AP107" i="27"/>
  <c r="AN108" i="27"/>
  <c r="AB108" i="27"/>
  <c r="AC107" i="27"/>
  <c r="AD107" i="27"/>
  <c r="B108" i="27"/>
  <c r="AU107" i="27"/>
  <c r="U107" i="27"/>
  <c r="O108" i="27"/>
  <c r="B724" i="30"/>
  <c r="D728" i="27"/>
  <c r="B725" i="30" s="1"/>
  <c r="AM109" i="27"/>
  <c r="AS108" i="27"/>
  <c r="P109" i="27"/>
  <c r="R108" i="27"/>
  <c r="Q108" i="27"/>
  <c r="S108" i="27" s="1"/>
  <c r="T108" i="27" s="1"/>
  <c r="G104" i="30"/>
  <c r="BF107" i="27"/>
  <c r="I108" i="27"/>
  <c r="S107" i="27"/>
  <c r="T107" i="27" s="1"/>
  <c r="AG109" i="27"/>
  <c r="AA110" i="27"/>
  <c r="AT92" i="27"/>
  <c r="H89" i="30" s="1"/>
  <c r="AX94" i="27"/>
  <c r="BE96" i="27"/>
  <c r="F93" i="30"/>
  <c r="BJ93" i="27"/>
  <c r="BK93" i="27" s="1"/>
  <c r="B102" i="30"/>
  <c r="BB95" i="27"/>
  <c r="BC95" i="27"/>
  <c r="E92" i="30"/>
  <c r="AZ96" i="27"/>
  <c r="AY95" i="27"/>
  <c r="BA95" i="27"/>
  <c r="BD95" i="27"/>
  <c r="BG95" i="27" s="1"/>
  <c r="BI94" i="27"/>
  <c r="BH94" i="27"/>
  <c r="D94" i="30"/>
  <c r="I94" i="30" s="1"/>
  <c r="AP108" i="27" l="1"/>
  <c r="AN109" i="27"/>
  <c r="AO108" i="27"/>
  <c r="AQ108" i="27" s="1"/>
  <c r="AR108" i="27" s="1"/>
  <c r="AQ107" i="27"/>
  <c r="AR107" i="27" s="1"/>
  <c r="AE107" i="27"/>
  <c r="AF107" i="27" s="1"/>
  <c r="AB109" i="27"/>
  <c r="AD108" i="27"/>
  <c r="AC108" i="27"/>
  <c r="AE108" i="27" s="1"/>
  <c r="AF108" i="27" s="1"/>
  <c r="O109" i="27"/>
  <c r="U108" i="27"/>
  <c r="B109" i="27"/>
  <c r="AU108" i="27"/>
  <c r="P110" i="27"/>
  <c r="R109" i="27"/>
  <c r="Q109" i="27"/>
  <c r="S109" i="27" s="1"/>
  <c r="T109" i="27" s="1"/>
  <c r="AG110" i="27"/>
  <c r="AA111" i="27"/>
  <c r="BF108" i="27"/>
  <c r="G105" i="30"/>
  <c r="AT93" i="27"/>
  <c r="H90" i="30" s="1"/>
  <c r="I109" i="27"/>
  <c r="AM110" i="27"/>
  <c r="AS109" i="27"/>
  <c r="BL95" i="27"/>
  <c r="AX95" i="27"/>
  <c r="BE97" i="27"/>
  <c r="F94" i="30"/>
  <c r="BC96" i="27"/>
  <c r="BL96" i="27" s="1"/>
  <c r="BB96" i="27"/>
  <c r="E93" i="30"/>
  <c r="B103" i="30"/>
  <c r="AY96" i="27"/>
  <c r="BJ94" i="27"/>
  <c r="BK94" i="27" s="1"/>
  <c r="AZ97" i="27"/>
  <c r="BA97" i="27"/>
  <c r="D95" i="30"/>
  <c r="I95" i="30" s="1"/>
  <c r="BH95" i="27"/>
  <c r="BI95" i="27"/>
  <c r="BA96" i="27"/>
  <c r="BD96" i="27"/>
  <c r="BG96" i="27" s="1"/>
  <c r="AN110" i="27" l="1"/>
  <c r="AO109" i="27"/>
  <c r="AP109" i="27"/>
  <c r="AC109" i="27"/>
  <c r="AD109" i="27"/>
  <c r="AB110" i="27"/>
  <c r="B110" i="27"/>
  <c r="AU109" i="27"/>
  <c r="O110" i="27"/>
  <c r="U109" i="27"/>
  <c r="AT94" i="27"/>
  <c r="H91" i="30" s="1"/>
  <c r="AG111" i="27"/>
  <c r="AA112" i="27"/>
  <c r="BF109" i="27"/>
  <c r="G106" i="30"/>
  <c r="Q110" i="27"/>
  <c r="R110" i="27"/>
  <c r="P111" i="27"/>
  <c r="AS110" i="27"/>
  <c r="AM111" i="27"/>
  <c r="I110" i="27"/>
  <c r="AX96" i="27"/>
  <c r="BE98" i="27"/>
  <c r="F95" i="30"/>
  <c r="B104" i="30"/>
  <c r="BB97" i="27"/>
  <c r="BC97" i="27"/>
  <c r="BL97" i="27" s="1"/>
  <c r="E94" i="30"/>
  <c r="AZ98" i="27"/>
  <c r="AY97" i="27"/>
  <c r="AX97" i="27" s="1"/>
  <c r="BD97" i="27"/>
  <c r="BG97" i="27" s="1"/>
  <c r="BJ95" i="27"/>
  <c r="BK95" i="27" s="1"/>
  <c r="BI96" i="27"/>
  <c r="BH96" i="27"/>
  <c r="D96" i="30"/>
  <c r="I96" i="30" s="1"/>
  <c r="AQ109" i="27" l="1"/>
  <c r="AR109" i="27" s="1"/>
  <c r="AN111" i="27"/>
  <c r="AO110" i="27"/>
  <c r="AP110" i="27"/>
  <c r="AB111" i="27"/>
  <c r="AD110" i="27"/>
  <c r="AC110" i="27"/>
  <c r="AE110" i="27" s="1"/>
  <c r="AF110" i="27" s="1"/>
  <c r="AE109" i="27"/>
  <c r="AF109" i="27" s="1"/>
  <c r="S110" i="27"/>
  <c r="T110" i="27" s="1"/>
  <c r="O111" i="27"/>
  <c r="U110" i="27"/>
  <c r="B111" i="27"/>
  <c r="AU110" i="27"/>
  <c r="Q111" i="27"/>
  <c r="R111" i="27"/>
  <c r="P112" i="27"/>
  <c r="AT95" i="27"/>
  <c r="H92" i="30" s="1"/>
  <c r="AG112" i="27"/>
  <c r="AA113" i="27"/>
  <c r="BF110" i="27"/>
  <c r="G107" i="30"/>
  <c r="I111" i="27"/>
  <c r="AM112" i="27"/>
  <c r="AS111" i="27"/>
  <c r="BE99" i="27"/>
  <c r="F96" i="30"/>
  <c r="BB98" i="27"/>
  <c r="BC98" i="27"/>
  <c r="BL98" i="27" s="1"/>
  <c r="E95" i="30"/>
  <c r="B105" i="30"/>
  <c r="AY98" i="27"/>
  <c r="AZ99" i="27"/>
  <c r="BJ96" i="27"/>
  <c r="BK96" i="27" s="1"/>
  <c r="BA98" i="27"/>
  <c r="AY99" i="27"/>
  <c r="BI97" i="27"/>
  <c r="BH97" i="27"/>
  <c r="D97" i="30"/>
  <c r="I97" i="30" s="1"/>
  <c r="BD98" i="27"/>
  <c r="BG98" i="27" s="1"/>
  <c r="AQ110" i="27" l="1"/>
  <c r="AR110" i="27" s="1"/>
  <c r="AO111" i="27"/>
  <c r="AN112" i="27"/>
  <c r="AP111" i="27"/>
  <c r="AC111" i="27"/>
  <c r="AB112" i="27"/>
  <c r="AD111" i="27"/>
  <c r="U111" i="27"/>
  <c r="O112" i="27"/>
  <c r="B112" i="27"/>
  <c r="AU111" i="27"/>
  <c r="AT96" i="27"/>
  <c r="H93" i="30" s="1"/>
  <c r="AA114" i="27"/>
  <c r="AG113" i="27"/>
  <c r="AM113" i="27"/>
  <c r="AS112" i="27"/>
  <c r="Q112" i="27"/>
  <c r="R112" i="27"/>
  <c r="P113" i="27"/>
  <c r="I112" i="27"/>
  <c r="BF111" i="27"/>
  <c r="G108" i="30"/>
  <c r="S111" i="27"/>
  <c r="T111" i="27" s="1"/>
  <c r="AX98" i="27"/>
  <c r="BE100" i="27"/>
  <c r="F97" i="30"/>
  <c r="B106" i="30"/>
  <c r="BB99" i="27"/>
  <c r="BC99" i="27"/>
  <c r="E96" i="30"/>
  <c r="BA99" i="27"/>
  <c r="AX99" i="27" s="1"/>
  <c r="BJ97" i="27"/>
  <c r="BK97" i="27" s="1"/>
  <c r="AZ100" i="27"/>
  <c r="BH98" i="27"/>
  <c r="BI98" i="27"/>
  <c r="D98" i="30"/>
  <c r="I98" i="30" s="1"/>
  <c r="BD99" i="27"/>
  <c r="BG99" i="27" s="1"/>
  <c r="AO112" i="27" l="1"/>
  <c r="AP112" i="27"/>
  <c r="AN113" i="27"/>
  <c r="AQ111" i="27"/>
  <c r="AR111" i="27" s="1"/>
  <c r="AC112" i="27"/>
  <c r="AD112" i="27"/>
  <c r="AB113" i="27"/>
  <c r="AE111" i="27"/>
  <c r="AF111" i="27" s="1"/>
  <c r="U112" i="27"/>
  <c r="O113" i="27"/>
  <c r="B113" i="27"/>
  <c r="AU112" i="27"/>
  <c r="G109" i="30"/>
  <c r="BF112" i="27"/>
  <c r="AT97" i="27"/>
  <c r="H94" i="30" s="1"/>
  <c r="AA115" i="27"/>
  <c r="AG114" i="27"/>
  <c r="Q113" i="27"/>
  <c r="R113" i="27"/>
  <c r="P114" i="27"/>
  <c r="S112" i="27"/>
  <c r="T112" i="27" s="1"/>
  <c r="AS113" i="27"/>
  <c r="AM114" i="27"/>
  <c r="I113" i="27"/>
  <c r="BL99" i="27"/>
  <c r="AY100" i="27"/>
  <c r="BE101" i="27"/>
  <c r="F98" i="30"/>
  <c r="BB100" i="27"/>
  <c r="BC100" i="27"/>
  <c r="BL100" i="27" s="1"/>
  <c r="E97" i="30"/>
  <c r="B107" i="30"/>
  <c r="BA100" i="27"/>
  <c r="BJ98" i="27"/>
  <c r="BK98" i="27" s="1"/>
  <c r="BH99" i="27"/>
  <c r="BI99" i="27"/>
  <c r="D99" i="30"/>
  <c r="I99" i="30" s="1"/>
  <c r="BD100" i="27"/>
  <c r="BG100" i="27" s="1"/>
  <c r="AZ101" i="27"/>
  <c r="AZ102" i="27"/>
  <c r="AO113" i="27" l="1"/>
  <c r="AP113" i="27"/>
  <c r="AN114" i="27"/>
  <c r="AQ112" i="27"/>
  <c r="AR112" i="27" s="1"/>
  <c r="AB114" i="27"/>
  <c r="AC113" i="27"/>
  <c r="AD113" i="27"/>
  <c r="AE112" i="27"/>
  <c r="AF112" i="27" s="1"/>
  <c r="S113" i="27"/>
  <c r="T113" i="27" s="1"/>
  <c r="U113" i="27"/>
  <c r="O114" i="27"/>
  <c r="B114" i="27"/>
  <c r="AU113" i="27"/>
  <c r="I114" i="27"/>
  <c r="AM115" i="27"/>
  <c r="AS114" i="27"/>
  <c r="AT98" i="27"/>
  <c r="H95" i="30" s="1"/>
  <c r="AA116" i="27"/>
  <c r="AG115" i="27"/>
  <c r="G110" i="30"/>
  <c r="BF113" i="27"/>
  <c r="P115" i="27"/>
  <c r="R114" i="27"/>
  <c r="Q114" i="27"/>
  <c r="AX100" i="27"/>
  <c r="BE102" i="27"/>
  <c r="F99" i="30"/>
  <c r="BC101" i="27"/>
  <c r="BB101" i="27"/>
  <c r="E98" i="30"/>
  <c r="B108" i="30"/>
  <c r="AY101" i="27"/>
  <c r="BA101" i="27"/>
  <c r="BJ99" i="27"/>
  <c r="BK99" i="27" s="1"/>
  <c r="BD101" i="27"/>
  <c r="BG101" i="27" s="1"/>
  <c r="D100" i="30"/>
  <c r="I100" i="30" s="1"/>
  <c r="BI100" i="27"/>
  <c r="BH100" i="27"/>
  <c r="AN115" i="27" l="1"/>
  <c r="AP114" i="27"/>
  <c r="AO114" i="27"/>
  <c r="AQ114" i="27" s="1"/>
  <c r="AR114" i="27" s="1"/>
  <c r="AQ113" i="27"/>
  <c r="AR113" i="27" s="1"/>
  <c r="AE113" i="27"/>
  <c r="AF113" i="27" s="1"/>
  <c r="AC114" i="27"/>
  <c r="AB115" i="27"/>
  <c r="AD114" i="27"/>
  <c r="B115" i="27"/>
  <c r="AU114" i="27"/>
  <c r="U114" i="27"/>
  <c r="O115" i="27"/>
  <c r="AM116" i="27"/>
  <c r="AS115" i="27"/>
  <c r="S114" i="27"/>
  <c r="T114" i="27" s="1"/>
  <c r="R115" i="27"/>
  <c r="P116" i="27"/>
  <c r="Q115" i="27"/>
  <c r="S115" i="27" s="1"/>
  <c r="T115" i="27" s="1"/>
  <c r="AT99" i="27"/>
  <c r="H96" i="30" s="1"/>
  <c r="I115" i="27"/>
  <c r="AA117" i="27"/>
  <c r="AG116" i="27"/>
  <c r="BF114" i="27"/>
  <c r="G111" i="30"/>
  <c r="BJ100" i="27"/>
  <c r="BK100" i="27" s="1"/>
  <c r="BL101" i="27"/>
  <c r="AX101" i="27"/>
  <c r="BE103" i="27"/>
  <c r="F100" i="30"/>
  <c r="B109" i="30"/>
  <c r="BB102" i="27"/>
  <c r="BC102" i="27"/>
  <c r="E99" i="30"/>
  <c r="AZ103" i="27"/>
  <c r="BD102" i="27"/>
  <c r="BG102" i="27" s="1"/>
  <c r="AY102" i="27"/>
  <c r="BI101" i="27"/>
  <c r="BH101" i="27"/>
  <c r="BA102" i="27"/>
  <c r="D101" i="30"/>
  <c r="I101" i="30" s="1"/>
  <c r="AN116" i="27" l="1"/>
  <c r="AO115" i="27"/>
  <c r="AP115" i="27"/>
  <c r="AC115" i="27"/>
  <c r="AD115" i="27"/>
  <c r="AB116" i="27"/>
  <c r="AE114" i="27"/>
  <c r="AF114" i="27" s="1"/>
  <c r="O116" i="27"/>
  <c r="U115" i="27"/>
  <c r="B116" i="27"/>
  <c r="AU115" i="27"/>
  <c r="I116" i="27"/>
  <c r="AT100" i="27"/>
  <c r="H97" i="30" s="1"/>
  <c r="AG117" i="27"/>
  <c r="AA118" i="27"/>
  <c r="Q116" i="27"/>
  <c r="R116" i="27"/>
  <c r="P117" i="27"/>
  <c r="G112" i="30"/>
  <c r="BF115" i="27"/>
  <c r="AM117" i="27"/>
  <c r="AS116" i="27"/>
  <c r="BJ101" i="27"/>
  <c r="BK101" i="27" s="1"/>
  <c r="BA103" i="27"/>
  <c r="BL102" i="27"/>
  <c r="BE104" i="27"/>
  <c r="F101" i="30"/>
  <c r="BB103" i="27"/>
  <c r="BC103" i="27"/>
  <c r="BL103" i="27" s="1"/>
  <c r="E100" i="30"/>
  <c r="B110" i="30"/>
  <c r="AY103" i="27"/>
  <c r="AX103" i="27" s="1"/>
  <c r="AX102" i="27"/>
  <c r="AZ104" i="27"/>
  <c r="D102" i="30"/>
  <c r="I102" i="30" s="1"/>
  <c r="BD103" i="27"/>
  <c r="BG103" i="27" s="1"/>
  <c r="BI102" i="27"/>
  <c r="BH102" i="27"/>
  <c r="AQ115" i="27" l="1"/>
  <c r="AR115" i="27" s="1"/>
  <c r="AO116" i="27"/>
  <c r="AP116" i="27"/>
  <c r="AN117" i="27"/>
  <c r="AC116" i="27"/>
  <c r="AB117" i="27"/>
  <c r="AD116" i="27"/>
  <c r="AE115" i="27"/>
  <c r="AF115" i="27" s="1"/>
  <c r="B117" i="27"/>
  <c r="AU116" i="27"/>
  <c r="U116" i="27"/>
  <c r="O117" i="27"/>
  <c r="S116" i="27"/>
  <c r="T116" i="27" s="1"/>
  <c r="BF116" i="27"/>
  <c r="G113" i="30"/>
  <c r="AM118" i="27"/>
  <c r="AS117" i="27"/>
  <c r="R117" i="27"/>
  <c r="Q117" i="27"/>
  <c r="S117" i="27" s="1"/>
  <c r="T117" i="27" s="1"/>
  <c r="P118" i="27"/>
  <c r="AG118" i="27"/>
  <c r="AA119" i="27"/>
  <c r="AT101" i="27"/>
  <c r="H98" i="30" s="1"/>
  <c r="I117" i="27"/>
  <c r="BE105" i="27"/>
  <c r="F102" i="30"/>
  <c r="B111" i="30"/>
  <c r="BB104" i="27"/>
  <c r="BC104" i="27"/>
  <c r="BL104" i="27" s="1"/>
  <c r="E101" i="30"/>
  <c r="BA104" i="27"/>
  <c r="AY104" i="27"/>
  <c r="BJ102" i="27"/>
  <c r="BK102" i="27" s="1"/>
  <c r="AZ105" i="27"/>
  <c r="D103" i="30"/>
  <c r="I103" i="30" s="1"/>
  <c r="BI103" i="27"/>
  <c r="BH103" i="27"/>
  <c r="BD104" i="27"/>
  <c r="BG104" i="27" s="1"/>
  <c r="AN118" i="27" l="1"/>
  <c r="AO117" i="27"/>
  <c r="AP117" i="27"/>
  <c r="AQ116" i="27"/>
  <c r="AR116" i="27" s="1"/>
  <c r="AC117" i="27"/>
  <c r="AD117" i="27"/>
  <c r="AB118" i="27"/>
  <c r="AE116" i="27"/>
  <c r="AF116" i="27" s="1"/>
  <c r="U117" i="27"/>
  <c r="O118" i="27"/>
  <c r="B118" i="27"/>
  <c r="AU117" i="27"/>
  <c r="P119" i="27"/>
  <c r="Q118" i="27"/>
  <c r="R118" i="27"/>
  <c r="I118" i="27"/>
  <c r="AG119" i="27"/>
  <c r="AA120" i="27"/>
  <c r="AT102" i="27"/>
  <c r="H99" i="30" s="1"/>
  <c r="BF117" i="27"/>
  <c r="G114" i="30"/>
  <c r="AM119" i="27"/>
  <c r="AS118" i="27"/>
  <c r="BE106" i="27"/>
  <c r="F103" i="30"/>
  <c r="BB105" i="27"/>
  <c r="BC105" i="27"/>
  <c r="BL105" i="27" s="1"/>
  <c r="E102" i="30"/>
  <c r="B112" i="30"/>
  <c r="AX104" i="27"/>
  <c r="BJ103" i="27"/>
  <c r="BK103" i="27" s="1"/>
  <c r="AY105" i="27"/>
  <c r="BD105" i="27"/>
  <c r="BG105" i="27" s="1"/>
  <c r="D104" i="30"/>
  <c r="I104" i="30" s="1"/>
  <c r="AZ106" i="27"/>
  <c r="BI104" i="27"/>
  <c r="BH104" i="27"/>
  <c r="BA105" i="27"/>
  <c r="AQ117" i="27" l="1"/>
  <c r="AR117" i="27" s="1"/>
  <c r="AO118" i="27"/>
  <c r="AP118" i="27"/>
  <c r="AN119" i="27"/>
  <c r="AB119" i="27"/>
  <c r="AD118" i="27"/>
  <c r="AC118" i="27"/>
  <c r="AE118" i="27" s="1"/>
  <c r="AF118" i="27" s="1"/>
  <c r="AE117" i="27"/>
  <c r="AF117" i="27" s="1"/>
  <c r="B119" i="27"/>
  <c r="AU118" i="27"/>
  <c r="U118" i="27"/>
  <c r="O119" i="27"/>
  <c r="AA121" i="27"/>
  <c r="AG120" i="27"/>
  <c r="AT103" i="27"/>
  <c r="H100" i="30" s="1"/>
  <c r="S118" i="27"/>
  <c r="T118" i="27" s="1"/>
  <c r="P120" i="27"/>
  <c r="Q119" i="27"/>
  <c r="R119" i="27"/>
  <c r="I119" i="27"/>
  <c r="BF118" i="27"/>
  <c r="G115" i="30"/>
  <c r="AM120" i="27"/>
  <c r="AS119" i="27"/>
  <c r="AX105" i="27"/>
  <c r="AY106" i="27"/>
  <c r="BE107" i="27"/>
  <c r="F104" i="30"/>
  <c r="BC106" i="27"/>
  <c r="BB106" i="27"/>
  <c r="E103" i="30"/>
  <c r="B113" i="30"/>
  <c r="BJ104" i="27"/>
  <c r="BK104" i="27" s="1"/>
  <c r="D105" i="30"/>
  <c r="I105" i="30" s="1"/>
  <c r="BA106" i="27"/>
  <c r="BD106" i="27"/>
  <c r="BG106" i="27" s="1"/>
  <c r="BI105" i="27"/>
  <c r="BH105" i="27"/>
  <c r="AZ107" i="27"/>
  <c r="AO119" i="27" l="1"/>
  <c r="AN120" i="27"/>
  <c r="AP119" i="27"/>
  <c r="AQ118" i="27"/>
  <c r="AR118" i="27" s="1"/>
  <c r="AB120" i="27"/>
  <c r="AD119" i="27"/>
  <c r="AC119" i="27"/>
  <c r="AE119" i="27" s="1"/>
  <c r="AF119" i="27" s="1"/>
  <c r="O120" i="27"/>
  <c r="U119" i="27"/>
  <c r="B120" i="27"/>
  <c r="AU119" i="27"/>
  <c r="AX106" i="27"/>
  <c r="AM121" i="27"/>
  <c r="AS120" i="27"/>
  <c r="AT104" i="27"/>
  <c r="H101" i="30" s="1"/>
  <c r="S119" i="27"/>
  <c r="T119" i="27" s="1"/>
  <c r="Q120" i="27"/>
  <c r="R120" i="27"/>
  <c r="P121" i="27"/>
  <c r="BF119" i="27"/>
  <c r="G116" i="30"/>
  <c r="AG121" i="27"/>
  <c r="AA122" i="27"/>
  <c r="I120" i="27"/>
  <c r="BL106" i="27"/>
  <c r="BE108" i="27"/>
  <c r="F105" i="30"/>
  <c r="BC107" i="27"/>
  <c r="BL107" i="27" s="1"/>
  <c r="BB107" i="27"/>
  <c r="E104" i="30"/>
  <c r="B114" i="30"/>
  <c r="BJ105" i="27"/>
  <c r="BK105" i="27" s="1"/>
  <c r="AZ108" i="27"/>
  <c r="BA107" i="27"/>
  <c r="BD107" i="27"/>
  <c r="BG107" i="27" s="1"/>
  <c r="D106" i="30"/>
  <c r="I106" i="30" s="1"/>
  <c r="BI106" i="27"/>
  <c r="BH106" i="27"/>
  <c r="AY107" i="27"/>
  <c r="AN121" i="27" l="1"/>
  <c r="AP120" i="27"/>
  <c r="AO120" i="27"/>
  <c r="AQ120" i="27" s="1"/>
  <c r="AR120" i="27" s="1"/>
  <c r="AQ119" i="27"/>
  <c r="AR119" i="27" s="1"/>
  <c r="AC120" i="27"/>
  <c r="AD120" i="27"/>
  <c r="AB121" i="27"/>
  <c r="B121" i="27"/>
  <c r="AU120" i="27"/>
  <c r="O121" i="27"/>
  <c r="U120" i="27"/>
  <c r="I121" i="27"/>
  <c r="Q121" i="27"/>
  <c r="P122" i="27"/>
  <c r="R121" i="27"/>
  <c r="AT105" i="27"/>
  <c r="H102" i="30" s="1"/>
  <c r="S120" i="27"/>
  <c r="T120" i="27" s="1"/>
  <c r="AA123" i="27"/>
  <c r="AG122" i="27"/>
  <c r="BF120" i="27"/>
  <c r="G117" i="30"/>
  <c r="AM122" i="27"/>
  <c r="AS121" i="27"/>
  <c r="BE109" i="27"/>
  <c r="F106" i="30"/>
  <c r="AX107" i="27"/>
  <c r="BJ106" i="27"/>
  <c r="BK106" i="27" s="1"/>
  <c r="B115" i="30"/>
  <c r="BB108" i="27"/>
  <c r="BC108" i="27"/>
  <c r="BL108" i="27" s="1"/>
  <c r="E105" i="30"/>
  <c r="AY108" i="27"/>
  <c r="D107" i="30"/>
  <c r="I107" i="30" s="1"/>
  <c r="BD108" i="27"/>
  <c r="BG108" i="27" s="1"/>
  <c r="BA108" i="27"/>
  <c r="AZ109" i="27"/>
  <c r="BI107" i="27"/>
  <c r="BH107" i="27"/>
  <c r="AO121" i="27" l="1"/>
  <c r="AP121" i="27"/>
  <c r="AN122" i="27"/>
  <c r="AB122" i="27"/>
  <c r="AD121" i="27"/>
  <c r="AC121" i="27"/>
  <c r="AE121" i="27" s="1"/>
  <c r="AF121" i="27" s="1"/>
  <c r="AE120" i="27"/>
  <c r="AF120" i="27" s="1"/>
  <c r="U121" i="27"/>
  <c r="O122" i="27"/>
  <c r="B122" i="27"/>
  <c r="AU121" i="27"/>
  <c r="AT106" i="27"/>
  <c r="H103" i="30" s="1"/>
  <c r="AA124" i="27"/>
  <c r="AG123" i="27"/>
  <c r="R122" i="27"/>
  <c r="Q122" i="27"/>
  <c r="S122" i="27" s="1"/>
  <c r="T122" i="27" s="1"/>
  <c r="P123" i="27"/>
  <c r="G118" i="30"/>
  <c r="BF121" i="27"/>
  <c r="S121" i="27"/>
  <c r="T121" i="27" s="1"/>
  <c r="AM123" i="27"/>
  <c r="AS122" i="27"/>
  <c r="I122" i="27"/>
  <c r="BE110" i="27"/>
  <c r="F107" i="30"/>
  <c r="BB109" i="27"/>
  <c r="BC109" i="27"/>
  <c r="BL109" i="27" s="1"/>
  <c r="E106" i="30"/>
  <c r="B116" i="30"/>
  <c r="AY109" i="27"/>
  <c r="AX108" i="27"/>
  <c r="BJ107" i="27"/>
  <c r="BK107" i="27" s="1"/>
  <c r="BA109" i="27"/>
  <c r="AZ110" i="27"/>
  <c r="BD109" i="27"/>
  <c r="BG109" i="27" s="1"/>
  <c r="D108" i="30"/>
  <c r="I108" i="30" s="1"/>
  <c r="BH108" i="27"/>
  <c r="BI108" i="27"/>
  <c r="AN123" i="27" l="1"/>
  <c r="AP122" i="27"/>
  <c r="AO122" i="27"/>
  <c r="AQ122" i="27" s="1"/>
  <c r="AR122" i="27" s="1"/>
  <c r="AQ121" i="27"/>
  <c r="AR121" i="27" s="1"/>
  <c r="AB123" i="27"/>
  <c r="AC122" i="27"/>
  <c r="AD122" i="27"/>
  <c r="B123" i="27"/>
  <c r="AU122" i="27"/>
  <c r="U122" i="27"/>
  <c r="O123" i="27"/>
  <c r="AT107" i="27"/>
  <c r="H104" i="30" s="1"/>
  <c r="BF122" i="27"/>
  <c r="G119" i="30"/>
  <c r="AG124" i="27"/>
  <c r="AA125" i="27"/>
  <c r="I123" i="27"/>
  <c r="AM124" i="27"/>
  <c r="AS123" i="27"/>
  <c r="P124" i="27"/>
  <c r="Q123" i="27"/>
  <c r="R123" i="27"/>
  <c r="AX109" i="27"/>
  <c r="BE111" i="27"/>
  <c r="F108" i="30"/>
  <c r="B117" i="30"/>
  <c r="BB110" i="27"/>
  <c r="BC110" i="27"/>
  <c r="BL110" i="27" s="1"/>
  <c r="E107" i="30"/>
  <c r="AZ111" i="27"/>
  <c r="BA110" i="27"/>
  <c r="AY110" i="27"/>
  <c r="BD110" i="27"/>
  <c r="BG110" i="27" s="1"/>
  <c r="BH109" i="27"/>
  <c r="BI109" i="27"/>
  <c r="BJ108" i="27"/>
  <c r="BK108" i="27" s="1"/>
  <c r="D109" i="30"/>
  <c r="I109" i="30" s="1"/>
  <c r="AP123" i="27" l="1"/>
  <c r="AO123" i="27"/>
  <c r="AQ123" i="27" s="1"/>
  <c r="AR123" i="27" s="1"/>
  <c r="AN124" i="27"/>
  <c r="AE122" i="27"/>
  <c r="AF122" i="27" s="1"/>
  <c r="AD123" i="27"/>
  <c r="AC123" i="27"/>
  <c r="AB124" i="27"/>
  <c r="U123" i="27"/>
  <c r="O124" i="27"/>
  <c r="B124" i="27"/>
  <c r="AU123" i="27"/>
  <c r="I124" i="27"/>
  <c r="AM125" i="27"/>
  <c r="AS124" i="27"/>
  <c r="R124" i="27"/>
  <c r="P125" i="27"/>
  <c r="Q124" i="27"/>
  <c r="S124" i="27" s="1"/>
  <c r="T124" i="27" s="1"/>
  <c r="G120" i="30"/>
  <c r="BF123" i="27"/>
  <c r="AG125" i="27"/>
  <c r="AA126" i="27"/>
  <c r="AT108" i="27"/>
  <c r="H105" i="30" s="1"/>
  <c r="S123" i="27"/>
  <c r="T123" i="27" s="1"/>
  <c r="BE112" i="27"/>
  <c r="F109" i="30"/>
  <c r="AX110" i="27"/>
  <c r="BC111" i="27"/>
  <c r="BB111" i="27"/>
  <c r="E108" i="30"/>
  <c r="B118" i="30"/>
  <c r="AY111" i="27"/>
  <c r="BA111" i="27"/>
  <c r="BJ109" i="27"/>
  <c r="BK109" i="27" s="1"/>
  <c r="AZ113" i="27"/>
  <c r="BI110" i="27"/>
  <c r="BH110" i="27"/>
  <c r="BD111" i="27"/>
  <c r="BG111" i="27" s="1"/>
  <c r="D110" i="30"/>
  <c r="I110" i="30" s="1"/>
  <c r="AZ112" i="27"/>
  <c r="AP124" i="27" l="1"/>
  <c r="AN125" i="27"/>
  <c r="AO124" i="27"/>
  <c r="AQ124" i="27" s="1"/>
  <c r="AR124" i="27" s="1"/>
  <c r="AB125" i="27"/>
  <c r="AC124" i="27"/>
  <c r="AD124" i="27"/>
  <c r="AE123" i="27"/>
  <c r="AF123" i="27" s="1"/>
  <c r="B125" i="27"/>
  <c r="AU124" i="27"/>
  <c r="O125" i="27"/>
  <c r="U124" i="27"/>
  <c r="BF124" i="27"/>
  <c r="G121" i="30"/>
  <c r="AT109" i="27"/>
  <c r="H106" i="30" s="1"/>
  <c r="AS125" i="27"/>
  <c r="AM126" i="27"/>
  <c r="P126" i="27"/>
  <c r="Q125" i="27"/>
  <c r="R125" i="27"/>
  <c r="AG126" i="27"/>
  <c r="AA127" i="27"/>
  <c r="I125" i="27"/>
  <c r="AY112" i="27"/>
  <c r="BL111" i="27"/>
  <c r="BE113" i="27"/>
  <c r="F110" i="30"/>
  <c r="B119" i="30"/>
  <c r="BB112" i="27"/>
  <c r="BC112" i="27"/>
  <c r="BL112" i="27" s="1"/>
  <c r="E109" i="30"/>
  <c r="AX111" i="27"/>
  <c r="BD112" i="27"/>
  <c r="BG112" i="27" s="1"/>
  <c r="D111" i="30"/>
  <c r="I111" i="30" s="1"/>
  <c r="BA112" i="27"/>
  <c r="BH111" i="27"/>
  <c r="BI111" i="27"/>
  <c r="BJ110" i="27"/>
  <c r="BK110" i="27" s="1"/>
  <c r="AX112" i="27" l="1"/>
  <c r="AP125" i="27"/>
  <c r="AN126" i="27"/>
  <c r="AO125" i="27"/>
  <c r="AQ125" i="27" s="1"/>
  <c r="AR125" i="27" s="1"/>
  <c r="AE124" i="27"/>
  <c r="AF124" i="27" s="1"/>
  <c r="AB126" i="27"/>
  <c r="AC125" i="27"/>
  <c r="AD125" i="27"/>
  <c r="S125" i="27"/>
  <c r="T125" i="27" s="1"/>
  <c r="U125" i="27"/>
  <c r="O126" i="27"/>
  <c r="B126" i="27"/>
  <c r="AU125" i="27"/>
  <c r="P127" i="27"/>
  <c r="Q126" i="27"/>
  <c r="R126" i="27"/>
  <c r="AG127" i="27"/>
  <c r="AA128" i="27"/>
  <c r="BF125" i="27"/>
  <c r="G122" i="30"/>
  <c r="AM127" i="27"/>
  <c r="AS126" i="27"/>
  <c r="AT110" i="27"/>
  <c r="H107" i="30" s="1"/>
  <c r="I126" i="27"/>
  <c r="BE114" i="27"/>
  <c r="F111" i="30"/>
  <c r="BB113" i="27"/>
  <c r="BC113" i="27"/>
  <c r="BL113" i="27" s="1"/>
  <c r="E110" i="30"/>
  <c r="B120" i="30"/>
  <c r="BA113" i="27"/>
  <c r="AY113" i="27"/>
  <c r="AZ114" i="27"/>
  <c r="BD113" i="27"/>
  <c r="BG113" i="27" s="1"/>
  <c r="D112" i="30"/>
  <c r="I112" i="30" s="1"/>
  <c r="BA114" i="27"/>
  <c r="BJ111" i="27"/>
  <c r="BK111" i="27" s="1"/>
  <c r="BI112" i="27"/>
  <c r="BH112" i="27"/>
  <c r="AN127" i="27" l="1"/>
  <c r="AP126" i="27"/>
  <c r="AO126" i="27"/>
  <c r="AQ126" i="27" s="1"/>
  <c r="AR126" i="27" s="1"/>
  <c r="AE125" i="27"/>
  <c r="AF125" i="27" s="1"/>
  <c r="AC126" i="27"/>
  <c r="AB127" i="27"/>
  <c r="AD126" i="27"/>
  <c r="B127" i="27"/>
  <c r="AU126" i="27"/>
  <c r="O127" i="27"/>
  <c r="U126" i="27"/>
  <c r="S126" i="27"/>
  <c r="T126" i="27" s="1"/>
  <c r="BF126" i="27"/>
  <c r="G123" i="30"/>
  <c r="AM128" i="27"/>
  <c r="AS127" i="27"/>
  <c r="R127" i="27"/>
  <c r="Q127" i="27"/>
  <c r="S127" i="27" s="1"/>
  <c r="T127" i="27" s="1"/>
  <c r="P128" i="27"/>
  <c r="AT111" i="27"/>
  <c r="H108" i="30" s="1"/>
  <c r="AA129" i="27"/>
  <c r="AG128" i="27"/>
  <c r="I127" i="27"/>
  <c r="AZ115" i="27"/>
  <c r="BE115" i="27"/>
  <c r="F112" i="30"/>
  <c r="BB114" i="27"/>
  <c r="BC114" i="27"/>
  <c r="E111" i="30"/>
  <c r="B121" i="30"/>
  <c r="AX113" i="27"/>
  <c r="AY114" i="27"/>
  <c r="AX114" i="27" s="1"/>
  <c r="BJ112" i="27"/>
  <c r="BK112" i="27" s="1"/>
  <c r="D113" i="30"/>
  <c r="I113" i="30" s="1"/>
  <c r="BI113" i="27"/>
  <c r="BH113" i="27"/>
  <c r="BD114" i="27"/>
  <c r="BG114" i="27" s="1"/>
  <c r="AO127" i="27" l="1"/>
  <c r="AN128" i="27"/>
  <c r="AP127" i="27"/>
  <c r="AD127" i="27"/>
  <c r="AB128" i="27"/>
  <c r="AC127" i="27"/>
  <c r="AE127" i="27" s="1"/>
  <c r="AF127" i="27" s="1"/>
  <c r="AE126" i="27"/>
  <c r="AF126" i="27" s="1"/>
  <c r="O128" i="27"/>
  <c r="U127" i="27"/>
  <c r="B128" i="27"/>
  <c r="AU127" i="27"/>
  <c r="AG129" i="27"/>
  <c r="AA130" i="27"/>
  <c r="AT112" i="27"/>
  <c r="H109" i="30" s="1"/>
  <c r="Q128" i="27"/>
  <c r="R128" i="27"/>
  <c r="P129" i="27"/>
  <c r="BF127" i="27"/>
  <c r="G124" i="30"/>
  <c r="AM129" i="27"/>
  <c r="AS128" i="27"/>
  <c r="I128" i="27"/>
  <c r="BL114" i="27"/>
  <c r="BE116" i="27"/>
  <c r="F113" i="30"/>
  <c r="BB115" i="27"/>
  <c r="BC115" i="27"/>
  <c r="BL115" i="27" s="1"/>
  <c r="E112" i="30"/>
  <c r="B122" i="30"/>
  <c r="AZ116" i="27"/>
  <c r="BH114" i="27"/>
  <c r="BI114" i="27"/>
  <c r="AY115" i="27"/>
  <c r="D114" i="30"/>
  <c r="I114" i="30" s="1"/>
  <c r="BJ113" i="27"/>
  <c r="BK113" i="27" s="1"/>
  <c r="BD115" i="27"/>
  <c r="BG115" i="27" s="1"/>
  <c r="BA115" i="27"/>
  <c r="AP128" i="27" l="1"/>
  <c r="AO128" i="27"/>
  <c r="AQ128" i="27" s="1"/>
  <c r="AR128" i="27" s="1"/>
  <c r="AN129" i="27"/>
  <c r="AQ127" i="27"/>
  <c r="AR127" i="27" s="1"/>
  <c r="AD128" i="27"/>
  <c r="AB129" i="27"/>
  <c r="AC128" i="27"/>
  <c r="AE128" i="27" s="1"/>
  <c r="AF128" i="27" s="1"/>
  <c r="B129" i="27"/>
  <c r="AU128" i="27"/>
  <c r="S128" i="27"/>
  <c r="T128" i="27" s="1"/>
  <c r="U128" i="27"/>
  <c r="O129" i="27"/>
  <c r="BF128" i="27"/>
  <c r="G125" i="30"/>
  <c r="AM130" i="27"/>
  <c r="AS129" i="27"/>
  <c r="P130" i="27"/>
  <c r="Q129" i="27"/>
  <c r="R129" i="27"/>
  <c r="AA131" i="27"/>
  <c r="AG130" i="27"/>
  <c r="AT113" i="27"/>
  <c r="H110" i="30" s="1"/>
  <c r="I129" i="27"/>
  <c r="BE117" i="27"/>
  <c r="F114" i="30"/>
  <c r="B123" i="30"/>
  <c r="BB116" i="27"/>
  <c r="BC116" i="27"/>
  <c r="BL116" i="27" s="1"/>
  <c r="E113" i="30"/>
  <c r="AX115" i="27"/>
  <c r="AY116" i="27"/>
  <c r="BI115" i="27"/>
  <c r="BH115" i="27"/>
  <c r="BJ114" i="27"/>
  <c r="BK114" i="27" s="1"/>
  <c r="BD116" i="27"/>
  <c r="BG116" i="27" s="1"/>
  <c r="D115" i="30"/>
  <c r="I115" i="30" s="1"/>
  <c r="BA116" i="27"/>
  <c r="AZ117" i="27"/>
  <c r="AN130" i="27" l="1"/>
  <c r="AP129" i="27"/>
  <c r="AO129" i="27"/>
  <c r="AQ129" i="27" s="1"/>
  <c r="AR129" i="27" s="1"/>
  <c r="AD129" i="27"/>
  <c r="AC129" i="27"/>
  <c r="AE129" i="27" s="1"/>
  <c r="AF129" i="27" s="1"/>
  <c r="AB130" i="27"/>
  <c r="O130" i="27"/>
  <c r="U129" i="27"/>
  <c r="S129" i="27"/>
  <c r="T129" i="27" s="1"/>
  <c r="B130" i="27"/>
  <c r="AU129" i="27"/>
  <c r="AT114" i="27"/>
  <c r="H111" i="30" s="1"/>
  <c r="I130" i="27"/>
  <c r="AA132" i="27"/>
  <c r="AG131" i="27"/>
  <c r="AS130" i="27"/>
  <c r="AM131" i="27"/>
  <c r="G126" i="30"/>
  <c r="BF129" i="27"/>
  <c r="Q130" i="27"/>
  <c r="P131" i="27"/>
  <c r="R130" i="27"/>
  <c r="BE118" i="27"/>
  <c r="F115" i="30"/>
  <c r="BC117" i="27"/>
  <c r="BB117" i="27"/>
  <c r="E114" i="30"/>
  <c r="B124" i="30"/>
  <c r="AZ118" i="27"/>
  <c r="AX116" i="27"/>
  <c r="AY117" i="27"/>
  <c r="BA117" i="27"/>
  <c r="BJ115" i="27"/>
  <c r="BK115" i="27" s="1"/>
  <c r="D116" i="30"/>
  <c r="I116" i="30" s="1"/>
  <c r="BI116" i="27"/>
  <c r="BH116" i="27"/>
  <c r="BD117" i="27"/>
  <c r="BG117" i="27" s="1"/>
  <c r="AO130" i="27" l="1"/>
  <c r="AN131" i="27"/>
  <c r="AP130" i="27"/>
  <c r="AC130" i="27"/>
  <c r="AD130" i="27"/>
  <c r="AB131" i="27"/>
  <c r="B131" i="27"/>
  <c r="AU130" i="27"/>
  <c r="U130" i="27"/>
  <c r="O131" i="27"/>
  <c r="AG132" i="27"/>
  <c r="AA133" i="27"/>
  <c r="AT115" i="27"/>
  <c r="H112" i="30" s="1"/>
  <c r="G127" i="30"/>
  <c r="BF130" i="27"/>
  <c r="I131" i="27"/>
  <c r="S130" i="27"/>
  <c r="T130" i="27" s="1"/>
  <c r="AM132" i="27"/>
  <c r="AS131" i="27"/>
  <c r="R131" i="27"/>
  <c r="Q131" i="27"/>
  <c r="P132" i="27"/>
  <c r="BL117" i="27"/>
  <c r="BE119" i="27"/>
  <c r="F116" i="30"/>
  <c r="B125" i="30"/>
  <c r="BB118" i="27"/>
  <c r="BC118" i="27"/>
  <c r="E115" i="30"/>
  <c r="AX117" i="27"/>
  <c r="BJ116" i="27"/>
  <c r="BK116" i="27" s="1"/>
  <c r="AY118" i="27"/>
  <c r="BH117" i="27"/>
  <c r="BI117" i="27"/>
  <c r="AZ119" i="27"/>
  <c r="BA118" i="27"/>
  <c r="D117" i="30"/>
  <c r="I117" i="30" s="1"/>
  <c r="BD118" i="27"/>
  <c r="BG118" i="27" s="1"/>
  <c r="AN132" i="27" l="1"/>
  <c r="AP131" i="27"/>
  <c r="AO131" i="27"/>
  <c r="AQ131" i="27" s="1"/>
  <c r="AR131" i="27" s="1"/>
  <c r="AQ130" i="27"/>
  <c r="AR130" i="27" s="1"/>
  <c r="AC131" i="27"/>
  <c r="AB132" i="27"/>
  <c r="AD131" i="27"/>
  <c r="AE130" i="27"/>
  <c r="AF130" i="27" s="1"/>
  <c r="U131" i="27"/>
  <c r="O132" i="27"/>
  <c r="B132" i="27"/>
  <c r="AU131" i="27"/>
  <c r="AT116" i="27"/>
  <c r="H113" i="30" s="1"/>
  <c r="I132" i="27"/>
  <c r="AA134" i="27"/>
  <c r="AG133" i="27"/>
  <c r="BF131" i="27"/>
  <c r="G128" i="30"/>
  <c r="P133" i="27"/>
  <c r="Q132" i="27"/>
  <c r="R132" i="27"/>
  <c r="AM133" i="27"/>
  <c r="AS132" i="27"/>
  <c r="S131" i="27"/>
  <c r="T131" i="27" s="1"/>
  <c r="BL118" i="27"/>
  <c r="AX118" i="27"/>
  <c r="BE120" i="27"/>
  <c r="F117" i="30"/>
  <c r="BB119" i="27"/>
  <c r="BC119" i="27"/>
  <c r="BL119" i="27" s="1"/>
  <c r="E116" i="30"/>
  <c r="B126" i="30"/>
  <c r="BA119" i="27"/>
  <c r="AZ120" i="27"/>
  <c r="D118" i="30"/>
  <c r="I118" i="30" s="1"/>
  <c r="BD119" i="27"/>
  <c r="BG119" i="27" s="1"/>
  <c r="AY119" i="27"/>
  <c r="BI118" i="27"/>
  <c r="BH118" i="27"/>
  <c r="BJ117" i="27"/>
  <c r="BK117" i="27" s="1"/>
  <c r="AO132" i="27" l="1"/>
  <c r="AP132" i="27"/>
  <c r="AN133" i="27"/>
  <c r="AC132" i="27"/>
  <c r="AB133" i="27"/>
  <c r="AD132" i="27"/>
  <c r="AE131" i="27"/>
  <c r="AF131" i="27" s="1"/>
  <c r="S132" i="27"/>
  <c r="T132" i="27" s="1"/>
  <c r="B133" i="27"/>
  <c r="AU132" i="27"/>
  <c r="U132" i="27"/>
  <c r="O133" i="27"/>
  <c r="BF132" i="27"/>
  <c r="G129" i="30"/>
  <c r="I133" i="27"/>
  <c r="AA135" i="27"/>
  <c r="AG134" i="27"/>
  <c r="AM134" i="27"/>
  <c r="AS133" i="27"/>
  <c r="R133" i="27"/>
  <c r="P134" i="27"/>
  <c r="Q133" i="27"/>
  <c r="S133" i="27" s="1"/>
  <c r="T133" i="27" s="1"/>
  <c r="AT117" i="27"/>
  <c r="H114" i="30" s="1"/>
  <c r="BA120" i="27"/>
  <c r="BE121" i="27"/>
  <c r="F118" i="30"/>
  <c r="B127" i="30"/>
  <c r="BB120" i="27"/>
  <c r="BC120" i="27"/>
  <c r="BL120" i="27" s="1"/>
  <c r="E117" i="30"/>
  <c r="AX119" i="27"/>
  <c r="BJ118" i="27"/>
  <c r="BK118" i="27" s="1"/>
  <c r="AY120" i="27"/>
  <c r="AX120" i="27" s="1"/>
  <c r="BD120" i="27"/>
  <c r="BG120" i="27" s="1"/>
  <c r="AZ121" i="27"/>
  <c r="D119" i="30"/>
  <c r="I119" i="30" s="1"/>
  <c r="BH119" i="27"/>
  <c r="BI119" i="27"/>
  <c r="AN134" i="27" l="1"/>
  <c r="AO133" i="27"/>
  <c r="AP133" i="27"/>
  <c r="AQ132" i="27"/>
  <c r="AR132" i="27" s="1"/>
  <c r="AD133" i="27"/>
  <c r="AC133" i="27"/>
  <c r="AE133" i="27" s="1"/>
  <c r="AF133" i="27" s="1"/>
  <c r="AB134" i="27"/>
  <c r="AE132" i="27"/>
  <c r="AF132" i="27" s="1"/>
  <c r="O134" i="27"/>
  <c r="U133" i="27"/>
  <c r="B134" i="27"/>
  <c r="AU133" i="27"/>
  <c r="AA136" i="27"/>
  <c r="AG135" i="27"/>
  <c r="AT118" i="27"/>
  <c r="H115" i="30" s="1"/>
  <c r="BF133" i="27"/>
  <c r="G130" i="30"/>
  <c r="Q134" i="27"/>
  <c r="R134" i="27"/>
  <c r="P135" i="27"/>
  <c r="I134" i="27"/>
  <c r="AS134" i="27"/>
  <c r="AM135" i="27"/>
  <c r="AZ122" i="27"/>
  <c r="BE122" i="27"/>
  <c r="F119" i="30"/>
  <c r="BC121" i="27"/>
  <c r="BL121" i="27" s="1"/>
  <c r="BB121" i="27"/>
  <c r="E118" i="30"/>
  <c r="B128" i="30"/>
  <c r="BA121" i="27"/>
  <c r="AY121" i="27"/>
  <c r="BI120" i="27"/>
  <c r="BH120" i="27"/>
  <c r="BD121" i="27"/>
  <c r="BG121" i="27" s="1"/>
  <c r="D120" i="30"/>
  <c r="I120" i="30" s="1"/>
  <c r="BJ119" i="27"/>
  <c r="BK119" i="27" s="1"/>
  <c r="AQ133" i="27" l="1"/>
  <c r="AR133" i="27" s="1"/>
  <c r="AN135" i="27"/>
  <c r="AP134" i="27"/>
  <c r="AO134" i="27"/>
  <c r="AQ134" i="27" s="1"/>
  <c r="AR134" i="27" s="1"/>
  <c r="AB135" i="27"/>
  <c r="AC134" i="27"/>
  <c r="AD134" i="27"/>
  <c r="B135" i="27"/>
  <c r="AU134" i="27"/>
  <c r="O135" i="27"/>
  <c r="U134" i="27"/>
  <c r="Q135" i="27"/>
  <c r="R135" i="27"/>
  <c r="P136" i="27"/>
  <c r="S134" i="27"/>
  <c r="T134" i="27" s="1"/>
  <c r="AM136" i="27"/>
  <c r="AS135" i="27"/>
  <c r="AG136" i="27"/>
  <c r="AA137" i="27"/>
  <c r="I135" i="27"/>
  <c r="AT119" i="27"/>
  <c r="H116" i="30" s="1"/>
  <c r="BF134" i="27"/>
  <c r="G131" i="30"/>
  <c r="BE123" i="27"/>
  <c r="F120" i="30"/>
  <c r="B129" i="30"/>
  <c r="BB122" i="27"/>
  <c r="BC122" i="27"/>
  <c r="BL122" i="27" s="1"/>
  <c r="E119" i="30"/>
  <c r="BJ120" i="27"/>
  <c r="BK120" i="27" s="1"/>
  <c r="AX121" i="27"/>
  <c r="BH121" i="27"/>
  <c r="BI121" i="27"/>
  <c r="AZ123" i="27"/>
  <c r="D121" i="30"/>
  <c r="I121" i="30" s="1"/>
  <c r="BA122" i="27"/>
  <c r="BD122" i="27"/>
  <c r="BG122" i="27" s="1"/>
  <c r="AY122" i="27"/>
  <c r="AP135" i="27" l="1"/>
  <c r="AO135" i="27"/>
  <c r="AQ135" i="27" s="1"/>
  <c r="AR135" i="27" s="1"/>
  <c r="AN136" i="27"/>
  <c r="AE134" i="27"/>
  <c r="AF134" i="27" s="1"/>
  <c r="AC135" i="27"/>
  <c r="AB136" i="27"/>
  <c r="AD135" i="27"/>
  <c r="U135" i="27"/>
  <c r="O136" i="27"/>
  <c r="B136" i="27"/>
  <c r="AU135" i="27"/>
  <c r="BF135" i="27"/>
  <c r="G132" i="30"/>
  <c r="AM137" i="27"/>
  <c r="AS136" i="27"/>
  <c r="AT120" i="27"/>
  <c r="H117" i="30" s="1"/>
  <c r="S135" i="27"/>
  <c r="T135" i="27" s="1"/>
  <c r="I136" i="27"/>
  <c r="AG137" i="27"/>
  <c r="AA138" i="27"/>
  <c r="P137" i="27"/>
  <c r="Q136" i="27"/>
  <c r="R136" i="27"/>
  <c r="AX122" i="27"/>
  <c r="BE124" i="27"/>
  <c r="F121" i="30"/>
  <c r="BC123" i="27"/>
  <c r="BL123" i="27" s="1"/>
  <c r="BB123" i="27"/>
  <c r="E120" i="30"/>
  <c r="BA123" i="27"/>
  <c r="B130" i="30"/>
  <c r="AY123" i="27"/>
  <c r="AX123" i="27" s="1"/>
  <c r="AZ124" i="27"/>
  <c r="BI122" i="27"/>
  <c r="BH122" i="27"/>
  <c r="BD123" i="27"/>
  <c r="BG123" i="27" s="1"/>
  <c r="D122" i="30"/>
  <c r="I122" i="30" s="1"/>
  <c r="BJ121" i="27"/>
  <c r="BK121" i="27" s="1"/>
  <c r="AO136" i="27" l="1"/>
  <c r="AP136" i="27"/>
  <c r="AN137" i="27"/>
  <c r="AD136" i="27"/>
  <c r="AB137" i="27"/>
  <c r="AC136" i="27"/>
  <c r="AE136" i="27" s="1"/>
  <c r="AF136" i="27" s="1"/>
  <c r="AE135" i="27"/>
  <c r="AF135" i="27" s="1"/>
  <c r="B137" i="27"/>
  <c r="AU136" i="27"/>
  <c r="U136" i="27"/>
  <c r="O137" i="27"/>
  <c r="AA139" i="27"/>
  <c r="AG138" i="27"/>
  <c r="AT121" i="27"/>
  <c r="H118" i="30" s="1"/>
  <c r="AM138" i="27"/>
  <c r="AS137" i="27"/>
  <c r="S136" i="27"/>
  <c r="T136" i="27" s="1"/>
  <c r="P138" i="27"/>
  <c r="R137" i="27"/>
  <c r="Q137" i="27"/>
  <c r="S137" i="27" s="1"/>
  <c r="T137" i="27" s="1"/>
  <c r="I137" i="27"/>
  <c r="G133" i="30"/>
  <c r="BF136" i="27"/>
  <c r="BE125" i="27"/>
  <c r="F122" i="30"/>
  <c r="BC124" i="27"/>
  <c r="BL124" i="27" s="1"/>
  <c r="BB124" i="27"/>
  <c r="E121" i="30"/>
  <c r="B131" i="30"/>
  <c r="AZ125" i="27"/>
  <c r="AY124" i="27"/>
  <c r="BI123" i="27"/>
  <c r="BH123" i="27"/>
  <c r="BA124" i="27"/>
  <c r="BD124" i="27"/>
  <c r="BG124" i="27" s="1"/>
  <c r="D123" i="30"/>
  <c r="I123" i="30" s="1"/>
  <c r="BJ122" i="27"/>
  <c r="BK122" i="27" s="1"/>
  <c r="AO137" i="27" l="1"/>
  <c r="AN138" i="27"/>
  <c r="AP137" i="27"/>
  <c r="AQ136" i="27"/>
  <c r="AR136" i="27" s="1"/>
  <c r="AC137" i="27"/>
  <c r="AD137" i="27"/>
  <c r="AB138" i="27"/>
  <c r="U137" i="27"/>
  <c r="O138" i="27"/>
  <c r="B138" i="27"/>
  <c r="AU137" i="27"/>
  <c r="Q138" i="27"/>
  <c r="P139" i="27"/>
  <c r="R138" i="27"/>
  <c r="G134" i="30"/>
  <c r="BF137" i="27"/>
  <c r="AM139" i="27"/>
  <c r="AS138" i="27"/>
  <c r="AA140" i="27"/>
  <c r="AG139" i="27"/>
  <c r="AT122" i="27"/>
  <c r="H119" i="30" s="1"/>
  <c r="I138" i="27"/>
  <c r="AZ126" i="27"/>
  <c r="AX124" i="27"/>
  <c r="BE126" i="27"/>
  <c r="F123" i="30"/>
  <c r="BJ123" i="27"/>
  <c r="BK123" i="27" s="1"/>
  <c r="BC125" i="27"/>
  <c r="BB125" i="27"/>
  <c r="E122" i="30"/>
  <c r="B132" i="30"/>
  <c r="D124" i="30"/>
  <c r="I124" i="30" s="1"/>
  <c r="BA125" i="27"/>
  <c r="AY125" i="27"/>
  <c r="BH124" i="27"/>
  <c r="BI124" i="27"/>
  <c r="BD125" i="27"/>
  <c r="BG125" i="27" s="1"/>
  <c r="AP138" i="27" l="1"/>
  <c r="AO138" i="27"/>
  <c r="AQ138" i="27" s="1"/>
  <c r="AR138" i="27" s="1"/>
  <c r="AN139" i="27"/>
  <c r="AQ137" i="27"/>
  <c r="AR137" i="27" s="1"/>
  <c r="AD138" i="27"/>
  <c r="AC138" i="27"/>
  <c r="AE138" i="27" s="1"/>
  <c r="AF138" i="27" s="1"/>
  <c r="AB139" i="27"/>
  <c r="AE137" i="27"/>
  <c r="AF137" i="27" s="1"/>
  <c r="B139" i="27"/>
  <c r="AU138" i="27"/>
  <c r="O139" i="27"/>
  <c r="U138" i="27"/>
  <c r="AA141" i="27"/>
  <c r="AG140" i="27"/>
  <c r="AT123" i="27"/>
  <c r="H120" i="30" s="1"/>
  <c r="AM140" i="27"/>
  <c r="AS139" i="27"/>
  <c r="P140" i="27"/>
  <c r="R139" i="27"/>
  <c r="Q139" i="27"/>
  <c r="S138" i="27"/>
  <c r="T138" i="27" s="1"/>
  <c r="G135" i="30"/>
  <c r="BF138" i="27"/>
  <c r="I139" i="27"/>
  <c r="BL125" i="27"/>
  <c r="BE127" i="27"/>
  <c r="F124" i="30"/>
  <c r="BB126" i="27"/>
  <c r="BC126" i="27"/>
  <c r="BL126" i="27" s="1"/>
  <c r="E123" i="30"/>
  <c r="B133" i="30"/>
  <c r="AY126" i="27"/>
  <c r="AX125" i="27"/>
  <c r="AZ127" i="27"/>
  <c r="BJ124" i="27"/>
  <c r="BK124" i="27" s="1"/>
  <c r="BD126" i="27"/>
  <c r="BG126" i="27" s="1"/>
  <c r="BA126" i="27"/>
  <c r="BH125" i="27"/>
  <c r="BI125" i="27"/>
  <c r="D125" i="30"/>
  <c r="I125" i="30" s="1"/>
  <c r="AO139" i="27" l="1"/>
  <c r="AP139" i="27"/>
  <c r="AN140" i="27"/>
  <c r="AX126" i="27"/>
  <c r="AD139" i="27"/>
  <c r="AC139" i="27"/>
  <c r="AE139" i="27" s="1"/>
  <c r="AF139" i="27" s="1"/>
  <c r="AB140" i="27"/>
  <c r="O140" i="27"/>
  <c r="U139" i="27"/>
  <c r="S139" i="27"/>
  <c r="T139" i="27" s="1"/>
  <c r="B140" i="27"/>
  <c r="AU139" i="27"/>
  <c r="G136" i="30"/>
  <c r="BF139" i="27"/>
  <c r="Q140" i="27"/>
  <c r="P141" i="27"/>
  <c r="R140" i="27"/>
  <c r="AM141" i="27"/>
  <c r="AS140" i="27"/>
  <c r="I140" i="27"/>
  <c r="AA142" i="27"/>
  <c r="AG141" i="27"/>
  <c r="AT124" i="27"/>
  <c r="H121" i="30" s="1"/>
  <c r="BE128" i="27"/>
  <c r="F125" i="30"/>
  <c r="BB127" i="27"/>
  <c r="BC127" i="27"/>
  <c r="BL127" i="27" s="1"/>
  <c r="E124" i="30"/>
  <c r="B134" i="30"/>
  <c r="AZ128" i="27"/>
  <c r="AY127" i="27"/>
  <c r="BA127" i="27"/>
  <c r="BI126" i="27"/>
  <c r="BH126" i="27"/>
  <c r="BD127" i="27"/>
  <c r="BG127" i="27" s="1"/>
  <c r="BJ125" i="27"/>
  <c r="BK125" i="27" s="1"/>
  <c r="D126" i="30"/>
  <c r="I126" i="30" s="1"/>
  <c r="AP140" i="27" l="1"/>
  <c r="AN141" i="27"/>
  <c r="AO140" i="27"/>
  <c r="AQ140" i="27" s="1"/>
  <c r="AR140" i="27" s="1"/>
  <c r="AQ139" i="27"/>
  <c r="AR139" i="27" s="1"/>
  <c r="AC140" i="27"/>
  <c r="AB141" i="27"/>
  <c r="AD140" i="27"/>
  <c r="B141" i="27"/>
  <c r="AU140" i="27"/>
  <c r="BJ126" i="27"/>
  <c r="BK126" i="27" s="1"/>
  <c r="AT126" i="27" s="1"/>
  <c r="H123" i="30" s="1"/>
  <c r="O141" i="27"/>
  <c r="U140" i="27"/>
  <c r="AT125" i="27"/>
  <c r="H122" i="30" s="1"/>
  <c r="R141" i="27"/>
  <c r="Q141" i="27"/>
  <c r="P142" i="27"/>
  <c r="AM142" i="27"/>
  <c r="AS141" i="27"/>
  <c r="S140" i="27"/>
  <c r="T140" i="27" s="1"/>
  <c r="I141" i="27"/>
  <c r="G137" i="30"/>
  <c r="BF140" i="27"/>
  <c r="AA143" i="27"/>
  <c r="AG142" i="27"/>
  <c r="AX127" i="27"/>
  <c r="BE129" i="27"/>
  <c r="F126" i="30"/>
  <c r="BB128" i="27"/>
  <c r="BC128" i="27"/>
  <c r="E125" i="30"/>
  <c r="B135" i="30"/>
  <c r="AY128" i="27"/>
  <c r="BD128" i="27"/>
  <c r="BG128" i="27" s="1"/>
  <c r="BI127" i="27"/>
  <c r="BH127" i="27"/>
  <c r="AZ129" i="27"/>
  <c r="BA128" i="27"/>
  <c r="D127" i="30"/>
  <c r="I127" i="30" s="1"/>
  <c r="AN142" i="27" l="1"/>
  <c r="AP141" i="27"/>
  <c r="AO141" i="27"/>
  <c r="AQ141" i="27" s="1"/>
  <c r="AR141" i="27" s="1"/>
  <c r="AB142" i="27"/>
  <c r="AC141" i="27"/>
  <c r="AD141" i="27"/>
  <c r="AE140" i="27"/>
  <c r="AF140" i="27" s="1"/>
  <c r="O142" i="27"/>
  <c r="U141" i="27"/>
  <c r="B142" i="27"/>
  <c r="AU141" i="27"/>
  <c r="BF141" i="27"/>
  <c r="G138" i="30"/>
  <c r="AM143" i="27"/>
  <c r="AS142" i="27"/>
  <c r="AA144" i="27"/>
  <c r="AG143" i="27"/>
  <c r="I142" i="27"/>
  <c r="S141" i="27"/>
  <c r="T141" i="27" s="1"/>
  <c r="R142" i="27"/>
  <c r="P143" i="27"/>
  <c r="Q142" i="27"/>
  <c r="S142" i="27" s="1"/>
  <c r="T142" i="27" s="1"/>
  <c r="BL128" i="27"/>
  <c r="AX128" i="27"/>
  <c r="BE130" i="27"/>
  <c r="F127" i="30"/>
  <c r="B136" i="30"/>
  <c r="BB129" i="27"/>
  <c r="BC129" i="27"/>
  <c r="BL129" i="27" s="1"/>
  <c r="E126" i="30"/>
  <c r="BA129" i="27"/>
  <c r="BJ127" i="27"/>
  <c r="BK127" i="27" s="1"/>
  <c r="BD129" i="27"/>
  <c r="BG129" i="27" s="1"/>
  <c r="AY129" i="27"/>
  <c r="BI128" i="27"/>
  <c r="BH128" i="27"/>
  <c r="D128" i="30"/>
  <c r="I128" i="30" s="1"/>
  <c r="AZ130" i="27"/>
  <c r="AP142" i="27" l="1"/>
  <c r="AO142" i="27"/>
  <c r="AQ142" i="27" s="1"/>
  <c r="AR142" i="27" s="1"/>
  <c r="AN143" i="27"/>
  <c r="AE141" i="27"/>
  <c r="AF141" i="27" s="1"/>
  <c r="AB143" i="27"/>
  <c r="AC142" i="27"/>
  <c r="AD142" i="27"/>
  <c r="B143" i="27"/>
  <c r="AU142" i="27"/>
  <c r="O143" i="27"/>
  <c r="U142" i="27"/>
  <c r="AG144" i="27"/>
  <c r="AA145" i="27"/>
  <c r="AM144" i="27"/>
  <c r="AS143" i="27"/>
  <c r="R143" i="27"/>
  <c r="P144" i="27"/>
  <c r="Q143" i="27"/>
  <c r="AT127" i="27"/>
  <c r="H124" i="30" s="1"/>
  <c r="I143" i="27"/>
  <c r="BF142" i="27"/>
  <c r="G139" i="30"/>
  <c r="AX129" i="27"/>
  <c r="AY130" i="27"/>
  <c r="BA130" i="27"/>
  <c r="BE131" i="27"/>
  <c r="F128" i="30"/>
  <c r="BB130" i="27"/>
  <c r="BC130" i="27"/>
  <c r="BL130" i="27" s="1"/>
  <c r="E127" i="30"/>
  <c r="B137" i="30"/>
  <c r="BJ128" i="27"/>
  <c r="BK128" i="27" s="1"/>
  <c r="BD130" i="27"/>
  <c r="BG130" i="27" s="1"/>
  <c r="BH129" i="27"/>
  <c r="BI129" i="27"/>
  <c r="AZ131" i="27"/>
  <c r="D129" i="30"/>
  <c r="I129" i="30" s="1"/>
  <c r="AN144" i="27" l="1"/>
  <c r="AP143" i="27"/>
  <c r="AO143" i="27"/>
  <c r="AQ143" i="27" s="1"/>
  <c r="AR143" i="27" s="1"/>
  <c r="AE142" i="27"/>
  <c r="AF142" i="27" s="1"/>
  <c r="AD143" i="27"/>
  <c r="AB144" i="27"/>
  <c r="AC143" i="27"/>
  <c r="AE143" i="27" s="1"/>
  <c r="AF143" i="27" s="1"/>
  <c r="O144" i="27"/>
  <c r="U143" i="27"/>
  <c r="S143" i="27"/>
  <c r="T143" i="27" s="1"/>
  <c r="AX130" i="27"/>
  <c r="B144" i="27"/>
  <c r="AU143" i="27"/>
  <c r="Q144" i="27"/>
  <c r="R144" i="27"/>
  <c r="P145" i="27"/>
  <c r="AG145" i="27"/>
  <c r="AA146" i="27"/>
  <c r="AT128" i="27"/>
  <c r="H125" i="30" s="1"/>
  <c r="BF143" i="27"/>
  <c r="G140" i="30"/>
  <c r="AM145" i="27"/>
  <c r="AS144" i="27"/>
  <c r="I144" i="27"/>
  <c r="BE132" i="27"/>
  <c r="F129" i="30"/>
  <c r="BC131" i="27"/>
  <c r="BL131" i="27" s="1"/>
  <c r="BB131" i="27"/>
  <c r="E128" i="30"/>
  <c r="B138" i="30"/>
  <c r="AZ132" i="27"/>
  <c r="AY131" i="27"/>
  <c r="BD131" i="27"/>
  <c r="BG131" i="27" s="1"/>
  <c r="D130" i="30"/>
  <c r="I130" i="30" s="1"/>
  <c r="BJ129" i="27"/>
  <c r="BK129" i="27" s="1"/>
  <c r="BI130" i="27"/>
  <c r="BH130" i="27"/>
  <c r="BA131" i="27"/>
  <c r="AN145" i="27" l="1"/>
  <c r="AP144" i="27"/>
  <c r="AO144" i="27"/>
  <c r="AQ144" i="27" s="1"/>
  <c r="AR144" i="27" s="1"/>
  <c r="AB145" i="27"/>
  <c r="AD144" i="27"/>
  <c r="AC144" i="27"/>
  <c r="B145" i="27"/>
  <c r="AU144" i="27"/>
  <c r="S144" i="27"/>
  <c r="T144" i="27" s="1"/>
  <c r="U144" i="27"/>
  <c r="O145" i="27"/>
  <c r="AT129" i="27"/>
  <c r="H126" i="30" s="1"/>
  <c r="I145" i="27"/>
  <c r="R145" i="27"/>
  <c r="P146" i="27"/>
  <c r="Q145" i="27"/>
  <c r="S145" i="27" s="1"/>
  <c r="T145" i="27" s="1"/>
  <c r="AA147" i="27"/>
  <c r="AG146" i="27"/>
  <c r="G141" i="30"/>
  <c r="BF144" i="27"/>
  <c r="AM146" i="27"/>
  <c r="AS145" i="27"/>
  <c r="BE133" i="27"/>
  <c r="F130" i="30"/>
  <c r="BB132" i="27"/>
  <c r="BC132" i="27"/>
  <c r="BL132" i="27" s="1"/>
  <c r="E129" i="30"/>
  <c r="B139" i="30"/>
  <c r="AY132" i="27"/>
  <c r="AZ133" i="27"/>
  <c r="BJ130" i="27"/>
  <c r="BK130" i="27" s="1"/>
  <c r="D131" i="30"/>
  <c r="I131" i="30" s="1"/>
  <c r="BA132" i="27"/>
  <c r="AX131" i="27"/>
  <c r="BD132" i="27"/>
  <c r="BG132" i="27" s="1"/>
  <c r="BI131" i="27"/>
  <c r="BH131" i="27"/>
  <c r="AN146" i="27" l="1"/>
  <c r="AP145" i="27"/>
  <c r="AO145" i="27"/>
  <c r="AQ145" i="27" s="1"/>
  <c r="AR145" i="27" s="1"/>
  <c r="AE144" i="27"/>
  <c r="AF144" i="27" s="1"/>
  <c r="AC145" i="27"/>
  <c r="AD145" i="27"/>
  <c r="AB146" i="27"/>
  <c r="O146" i="27"/>
  <c r="U145" i="27"/>
  <c r="B146" i="27"/>
  <c r="AU145" i="27"/>
  <c r="AX132" i="27"/>
  <c r="AG147" i="27"/>
  <c r="AA148" i="27"/>
  <c r="I146" i="27"/>
  <c r="AT130" i="27"/>
  <c r="H127" i="30" s="1"/>
  <c r="G142" i="30"/>
  <c r="BF145" i="27"/>
  <c r="R146" i="27"/>
  <c r="P147" i="27"/>
  <c r="Q146" i="27"/>
  <c r="S146" i="27" s="1"/>
  <c r="T146" i="27" s="1"/>
  <c r="AM147" i="27"/>
  <c r="AS146" i="27"/>
  <c r="BE134" i="27"/>
  <c r="F131" i="30"/>
  <c r="BC133" i="27"/>
  <c r="BB133" i="27"/>
  <c r="E130" i="30"/>
  <c r="B140" i="30"/>
  <c r="BJ131" i="27"/>
  <c r="BK131" i="27" s="1"/>
  <c r="BA133" i="27"/>
  <c r="AY133" i="27"/>
  <c r="D132" i="30"/>
  <c r="I132" i="30" s="1"/>
  <c r="BD133" i="27"/>
  <c r="BG133" i="27" s="1"/>
  <c r="BI132" i="27"/>
  <c r="BH132" i="27"/>
  <c r="AZ134" i="27"/>
  <c r="AO146" i="27" l="1"/>
  <c r="AN147" i="27"/>
  <c r="AP146" i="27"/>
  <c r="AC146" i="27"/>
  <c r="AB147" i="27"/>
  <c r="AD146" i="27"/>
  <c r="AE145" i="27"/>
  <c r="AF145" i="27" s="1"/>
  <c r="B147" i="27"/>
  <c r="AU146" i="27"/>
  <c r="O147" i="27"/>
  <c r="U146" i="27"/>
  <c r="P148" i="27"/>
  <c r="Q147" i="27"/>
  <c r="R147" i="27"/>
  <c r="AT131" i="27"/>
  <c r="H128" i="30" s="1"/>
  <c r="I147" i="27"/>
  <c r="AM148" i="27"/>
  <c r="AS147" i="27"/>
  <c r="AG148" i="27"/>
  <c r="AA149" i="27"/>
  <c r="BF146" i="27"/>
  <c r="G143" i="30"/>
  <c r="AX133" i="27"/>
  <c r="BL133" i="27"/>
  <c r="BE135" i="27"/>
  <c r="F132" i="30"/>
  <c r="B141" i="30"/>
  <c r="BB134" i="27"/>
  <c r="BC134" i="27"/>
  <c r="BL134" i="27" s="1"/>
  <c r="E131" i="30"/>
  <c r="AZ135" i="27"/>
  <c r="AY134" i="27"/>
  <c r="BJ132" i="27"/>
  <c r="BK132" i="27" s="1"/>
  <c r="D133" i="30"/>
  <c r="I133" i="30" s="1"/>
  <c r="BA134" i="27"/>
  <c r="BI133" i="27"/>
  <c r="BH133" i="27"/>
  <c r="BD134" i="27"/>
  <c r="BG134" i="27" s="1"/>
  <c r="AP147" i="27" l="1"/>
  <c r="AO147" i="27"/>
  <c r="AQ147" i="27" s="1"/>
  <c r="AR147" i="27" s="1"/>
  <c r="AN148" i="27"/>
  <c r="AQ146" i="27"/>
  <c r="AR146" i="27" s="1"/>
  <c r="AD147" i="27"/>
  <c r="AC147" i="27"/>
  <c r="AE147" i="27" s="1"/>
  <c r="AF147" i="27" s="1"/>
  <c r="AB148" i="27"/>
  <c r="AE146" i="27"/>
  <c r="AF146" i="27" s="1"/>
  <c r="U147" i="27"/>
  <c r="O148" i="27"/>
  <c r="B148" i="27"/>
  <c r="AU147" i="27"/>
  <c r="BF147" i="27"/>
  <c r="G144" i="30"/>
  <c r="AT132" i="27"/>
  <c r="H129" i="30" s="1"/>
  <c r="AM149" i="27"/>
  <c r="AS148" i="27"/>
  <c r="I148" i="27"/>
  <c r="S147" i="27"/>
  <c r="T147" i="27" s="1"/>
  <c r="AG149" i="27"/>
  <c r="AA150" i="27"/>
  <c r="R148" i="27"/>
  <c r="Q148" i="27"/>
  <c r="P149" i="27"/>
  <c r="BA135" i="27"/>
  <c r="AY135" i="27"/>
  <c r="AX135" i="27" s="1"/>
  <c r="AX134" i="27"/>
  <c r="BE136" i="27"/>
  <c r="F133" i="30"/>
  <c r="BC135" i="27"/>
  <c r="BB135" i="27"/>
  <c r="E132" i="30"/>
  <c r="B142" i="30"/>
  <c r="AZ136" i="27"/>
  <c r="BD135" i="27"/>
  <c r="BG135" i="27" s="1"/>
  <c r="D134" i="30"/>
  <c r="I134" i="30" s="1"/>
  <c r="BH134" i="27"/>
  <c r="BI134" i="27"/>
  <c r="BJ133" i="27"/>
  <c r="BK133" i="27" s="1"/>
  <c r="AP148" i="27" l="1"/>
  <c r="AN149" i="27"/>
  <c r="AO148" i="27"/>
  <c r="AQ148" i="27" s="1"/>
  <c r="AR148" i="27" s="1"/>
  <c r="AC148" i="27"/>
  <c r="AB149" i="27"/>
  <c r="AD148" i="27"/>
  <c r="B149" i="27"/>
  <c r="AU148" i="27"/>
  <c r="U148" i="27"/>
  <c r="O149" i="27"/>
  <c r="S148" i="27"/>
  <c r="T148" i="27" s="1"/>
  <c r="BF148" i="27"/>
  <c r="G145" i="30"/>
  <c r="AM150" i="27"/>
  <c r="AS149" i="27"/>
  <c r="AT133" i="27"/>
  <c r="H130" i="30" s="1"/>
  <c r="AA151" i="27"/>
  <c r="AG150" i="27"/>
  <c r="I149" i="27"/>
  <c r="Q149" i="27"/>
  <c r="R149" i="27"/>
  <c r="P150" i="27"/>
  <c r="BL135" i="27"/>
  <c r="BE137" i="27"/>
  <c r="F134" i="30"/>
  <c r="BC136" i="27"/>
  <c r="BL136" i="27" s="1"/>
  <c r="BB136" i="27"/>
  <c r="E133" i="30"/>
  <c r="B143" i="30"/>
  <c r="AY136" i="27"/>
  <c r="AZ137" i="27"/>
  <c r="BD136" i="27"/>
  <c r="BG136" i="27" s="1"/>
  <c r="BA136" i="27"/>
  <c r="BJ134" i="27"/>
  <c r="BK134" i="27" s="1"/>
  <c r="BH135" i="27"/>
  <c r="BI135" i="27"/>
  <c r="D135" i="30"/>
  <c r="I135" i="30" s="1"/>
  <c r="AN150" i="27" l="1"/>
  <c r="AP149" i="27"/>
  <c r="AO149" i="27"/>
  <c r="AQ149" i="27" s="1"/>
  <c r="AR149" i="27" s="1"/>
  <c r="AD149" i="27"/>
  <c r="AC149" i="27"/>
  <c r="AE149" i="27" s="1"/>
  <c r="AF149" i="27" s="1"/>
  <c r="AB150" i="27"/>
  <c r="AE148" i="27"/>
  <c r="AF148" i="27" s="1"/>
  <c r="U149" i="27"/>
  <c r="O150" i="27"/>
  <c r="B150" i="27"/>
  <c r="AU149" i="27"/>
  <c r="AX136" i="27"/>
  <c r="AM151" i="27"/>
  <c r="AS150" i="27"/>
  <c r="I150" i="27"/>
  <c r="AG151" i="27"/>
  <c r="AA152" i="27"/>
  <c r="AT134" i="27"/>
  <c r="H131" i="30" s="1"/>
  <c r="S149" i="27"/>
  <c r="T149" i="27" s="1"/>
  <c r="BF149" i="27"/>
  <c r="G146" i="30"/>
  <c r="Q150" i="27"/>
  <c r="R150" i="27"/>
  <c r="P151" i="27"/>
  <c r="BE138" i="27"/>
  <c r="F135" i="30"/>
  <c r="BB137" i="27"/>
  <c r="BC137" i="27"/>
  <c r="BL137" i="27" s="1"/>
  <c r="E134" i="30"/>
  <c r="B144" i="30"/>
  <c r="AZ138" i="27"/>
  <c r="AY137" i="27"/>
  <c r="D136" i="30"/>
  <c r="I136" i="30" s="1"/>
  <c r="BA137" i="27"/>
  <c r="BD137" i="27"/>
  <c r="BG137" i="27" s="1"/>
  <c r="BJ135" i="27"/>
  <c r="BK135" i="27" s="1"/>
  <c r="BI136" i="27"/>
  <c r="BH136" i="27"/>
  <c r="AO150" i="27" l="1"/>
  <c r="AP150" i="27"/>
  <c r="AN151" i="27"/>
  <c r="AB151" i="27"/>
  <c r="AD150" i="27"/>
  <c r="AC150" i="27"/>
  <c r="B151" i="27"/>
  <c r="AU150" i="27"/>
  <c r="O151" i="27"/>
  <c r="U150" i="27"/>
  <c r="AX137" i="27"/>
  <c r="P152" i="27"/>
  <c r="Q151" i="27"/>
  <c r="R151" i="27"/>
  <c r="I151" i="27"/>
  <c r="AG152" i="27"/>
  <c r="AA153" i="27"/>
  <c r="AT135" i="27"/>
  <c r="H132" i="30" s="1"/>
  <c r="S150" i="27"/>
  <c r="T150" i="27" s="1"/>
  <c r="BF150" i="27"/>
  <c r="G147" i="30"/>
  <c r="AS151" i="27"/>
  <c r="AM152" i="27"/>
  <c r="BE139" i="27"/>
  <c r="F136" i="30"/>
  <c r="BB138" i="27"/>
  <c r="BC138" i="27"/>
  <c r="BL138" i="27" s="1"/>
  <c r="E135" i="30"/>
  <c r="B145" i="30"/>
  <c r="BA138" i="27"/>
  <c r="BJ136" i="27"/>
  <c r="BK136" i="27" s="1"/>
  <c r="BD138" i="27"/>
  <c r="BG138" i="27" s="1"/>
  <c r="AZ139" i="27"/>
  <c r="AY138" i="27"/>
  <c r="D137" i="30"/>
  <c r="I137" i="30" s="1"/>
  <c r="BH137" i="27"/>
  <c r="BI137" i="27"/>
  <c r="AN152" i="27" l="1"/>
  <c r="AO151" i="27"/>
  <c r="AP151" i="27"/>
  <c r="AQ150" i="27"/>
  <c r="AR150" i="27" s="1"/>
  <c r="AE150" i="27"/>
  <c r="AF150" i="27" s="1"/>
  <c r="AC151" i="27"/>
  <c r="AD151" i="27"/>
  <c r="AB152" i="27"/>
  <c r="O152" i="27"/>
  <c r="U151" i="27"/>
  <c r="B152" i="27"/>
  <c r="AU151" i="27"/>
  <c r="AG153" i="27"/>
  <c r="AA154" i="27"/>
  <c r="I152" i="27"/>
  <c r="AM153" i="27"/>
  <c r="AS152" i="27"/>
  <c r="S151" i="27"/>
  <c r="T151" i="27" s="1"/>
  <c r="AT136" i="27"/>
  <c r="H133" i="30" s="1"/>
  <c r="G148" i="30"/>
  <c r="BF151" i="27"/>
  <c r="Q152" i="27"/>
  <c r="S152" i="27" s="1"/>
  <c r="T152" i="27" s="1"/>
  <c r="P153" i="27"/>
  <c r="R152" i="27"/>
  <c r="AY139" i="27"/>
  <c r="AX138" i="27"/>
  <c r="BE140" i="27"/>
  <c r="F137" i="30"/>
  <c r="BC139" i="27"/>
  <c r="BB139" i="27"/>
  <c r="E136" i="30"/>
  <c r="B146" i="30"/>
  <c r="AZ140" i="27"/>
  <c r="D138" i="30"/>
  <c r="I138" i="30" s="1"/>
  <c r="BA139" i="27"/>
  <c r="BJ137" i="27"/>
  <c r="BK137" i="27" s="1"/>
  <c r="BI138" i="27"/>
  <c r="BH138" i="27"/>
  <c r="BD139" i="27"/>
  <c r="BG139" i="27" s="1"/>
  <c r="AQ151" i="27" l="1"/>
  <c r="AR151" i="27" s="1"/>
  <c r="AX139" i="27"/>
  <c r="AN153" i="27"/>
  <c r="AO152" i="27"/>
  <c r="AP152" i="27"/>
  <c r="AB153" i="27"/>
  <c r="AC152" i="27"/>
  <c r="AD152" i="27"/>
  <c r="AE151" i="27"/>
  <c r="AF151" i="27" s="1"/>
  <c r="B153" i="27"/>
  <c r="AU152" i="27"/>
  <c r="O153" i="27"/>
  <c r="U152" i="27"/>
  <c r="I153" i="27"/>
  <c r="AM154" i="27"/>
  <c r="AS153" i="27"/>
  <c r="AA155" i="27"/>
  <c r="AG154" i="27"/>
  <c r="AT137" i="27"/>
  <c r="H134" i="30" s="1"/>
  <c r="G149" i="30"/>
  <c r="BF152" i="27"/>
  <c r="R153" i="27"/>
  <c r="P154" i="27"/>
  <c r="Q153" i="27"/>
  <c r="BL139" i="27"/>
  <c r="BE141" i="27"/>
  <c r="F138" i="30"/>
  <c r="BB140" i="27"/>
  <c r="BC140" i="27"/>
  <c r="E137" i="30"/>
  <c r="B147" i="30"/>
  <c r="BJ138" i="27"/>
  <c r="BK138" i="27" s="1"/>
  <c r="AZ141" i="27"/>
  <c r="AY140" i="27"/>
  <c r="BD140" i="27"/>
  <c r="BG140" i="27" s="1"/>
  <c r="BH139" i="27"/>
  <c r="BI139" i="27"/>
  <c r="D139" i="30"/>
  <c r="I139" i="30" s="1"/>
  <c r="BA140" i="27"/>
  <c r="AQ152" i="27" l="1"/>
  <c r="AR152" i="27" s="1"/>
  <c r="AP153" i="27"/>
  <c r="AN154" i="27"/>
  <c r="AO153" i="27"/>
  <c r="AQ153" i="27" s="1"/>
  <c r="AR153" i="27" s="1"/>
  <c r="AE152" i="27"/>
  <c r="AF152" i="27" s="1"/>
  <c r="AC153" i="27"/>
  <c r="AD153" i="27"/>
  <c r="AB154" i="27"/>
  <c r="U153" i="27"/>
  <c r="O154" i="27"/>
  <c r="B154" i="27"/>
  <c r="AU153" i="27"/>
  <c r="AA156" i="27"/>
  <c r="AG155" i="27"/>
  <c r="AT138" i="27"/>
  <c r="H135" i="30" s="1"/>
  <c r="G150" i="30"/>
  <c r="BF153" i="27"/>
  <c r="AM155" i="27"/>
  <c r="AS154" i="27"/>
  <c r="I154" i="27"/>
  <c r="S153" i="27"/>
  <c r="T153" i="27" s="1"/>
  <c r="Q154" i="27"/>
  <c r="R154" i="27"/>
  <c r="P155" i="27"/>
  <c r="BL140" i="27"/>
  <c r="BE142" i="27"/>
  <c r="F139" i="30"/>
  <c r="BC141" i="27"/>
  <c r="BL141" i="27" s="1"/>
  <c r="BB141" i="27"/>
  <c r="E138" i="30"/>
  <c r="B148" i="30"/>
  <c r="AZ142" i="27"/>
  <c r="BJ139" i="27"/>
  <c r="BK139" i="27" s="1"/>
  <c r="BD141" i="27"/>
  <c r="BG141" i="27" s="1"/>
  <c r="BH140" i="27"/>
  <c r="BI140" i="27"/>
  <c r="AX140" i="27"/>
  <c r="D140" i="30"/>
  <c r="I140" i="30" s="1"/>
  <c r="AY141" i="27"/>
  <c r="BA141" i="27"/>
  <c r="AN155" i="27" l="1"/>
  <c r="AO154" i="27"/>
  <c r="AP154" i="27"/>
  <c r="AC154" i="27"/>
  <c r="AB155" i="27"/>
  <c r="AD154" i="27"/>
  <c r="AE153" i="27"/>
  <c r="AF153" i="27" s="1"/>
  <c r="B155" i="27"/>
  <c r="AU154" i="27"/>
  <c r="U154" i="27"/>
  <c r="O155" i="27"/>
  <c r="S154" i="27"/>
  <c r="T154" i="27" s="1"/>
  <c r="I155" i="27"/>
  <c r="BF154" i="27"/>
  <c r="G151" i="30"/>
  <c r="P156" i="27"/>
  <c r="Q155" i="27"/>
  <c r="S155" i="27" s="1"/>
  <c r="T155" i="27" s="1"/>
  <c r="R155" i="27"/>
  <c r="AT139" i="27"/>
  <c r="H136" i="30" s="1"/>
  <c r="AM156" i="27"/>
  <c r="AS155" i="27"/>
  <c r="AG156" i="27"/>
  <c r="AA157" i="27"/>
  <c r="BE143" i="27"/>
  <c r="F140" i="30"/>
  <c r="BB142" i="27"/>
  <c r="BC142" i="27"/>
  <c r="E139" i="30"/>
  <c r="B149" i="30"/>
  <c r="AY142" i="27"/>
  <c r="AX141" i="27"/>
  <c r="AZ143" i="27"/>
  <c r="BJ140" i="27"/>
  <c r="BK140" i="27" s="1"/>
  <c r="BA142" i="27"/>
  <c r="D141" i="30"/>
  <c r="I141" i="30" s="1"/>
  <c r="BD142" i="27"/>
  <c r="BG142" i="27" s="1"/>
  <c r="AY143" i="27"/>
  <c r="BI141" i="27"/>
  <c r="BH141" i="27"/>
  <c r="AQ154" i="27" l="1"/>
  <c r="AR154" i="27" s="1"/>
  <c r="AP155" i="27"/>
  <c r="AO155" i="27"/>
  <c r="AQ155" i="27" s="1"/>
  <c r="AR155" i="27" s="1"/>
  <c r="AN156" i="27"/>
  <c r="AB156" i="27"/>
  <c r="AD155" i="27"/>
  <c r="AC155" i="27"/>
  <c r="AE155" i="27" s="1"/>
  <c r="AF155" i="27" s="1"/>
  <c r="AE154" i="27"/>
  <c r="AF154" i="27" s="1"/>
  <c r="U155" i="27"/>
  <c r="O156" i="27"/>
  <c r="B156" i="27"/>
  <c r="AU155" i="27"/>
  <c r="AT140" i="27"/>
  <c r="H137" i="30" s="1"/>
  <c r="Q156" i="27"/>
  <c r="P157" i="27"/>
  <c r="R156" i="27"/>
  <c r="AG157" i="27"/>
  <c r="AA158" i="27"/>
  <c r="BF155" i="27"/>
  <c r="G152" i="30"/>
  <c r="AM157" i="27"/>
  <c r="AS156" i="27"/>
  <c r="I156" i="27"/>
  <c r="BL142" i="27"/>
  <c r="AX142" i="27"/>
  <c r="BE144" i="27"/>
  <c r="F141" i="30"/>
  <c r="BB143" i="27"/>
  <c r="BC143" i="27"/>
  <c r="E140" i="30"/>
  <c r="B150" i="30"/>
  <c r="BJ141" i="27"/>
  <c r="BK141" i="27" s="1"/>
  <c r="AZ144" i="27"/>
  <c r="BA143" i="27"/>
  <c r="AX143" i="27" s="1"/>
  <c r="BI142" i="27"/>
  <c r="BH142" i="27"/>
  <c r="BD143" i="27"/>
  <c r="BG143" i="27" s="1"/>
  <c r="D142" i="30"/>
  <c r="I142" i="30" s="1"/>
  <c r="AP156" i="27" l="1"/>
  <c r="AN157" i="27"/>
  <c r="AO156" i="27"/>
  <c r="AQ156" i="27" s="1"/>
  <c r="AR156" i="27" s="1"/>
  <c r="AB157" i="27"/>
  <c r="AD156" i="27"/>
  <c r="AC156" i="27"/>
  <c r="AE156" i="27" s="1"/>
  <c r="AF156" i="27" s="1"/>
  <c r="B157" i="27"/>
  <c r="AU156" i="27"/>
  <c r="O157" i="27"/>
  <c r="U156" i="27"/>
  <c r="G153" i="30"/>
  <c r="BF156" i="27"/>
  <c r="S156" i="27"/>
  <c r="T156" i="27" s="1"/>
  <c r="I157" i="27"/>
  <c r="AT141" i="27"/>
  <c r="H138" i="30" s="1"/>
  <c r="Q157" i="27"/>
  <c r="R157" i="27"/>
  <c r="P158" i="27"/>
  <c r="AM158" i="27"/>
  <c r="AS157" i="27"/>
  <c r="AG158" i="27"/>
  <c r="AA159" i="27"/>
  <c r="BL143" i="27"/>
  <c r="AY144" i="27"/>
  <c r="BE145" i="27"/>
  <c r="F142" i="30"/>
  <c r="BB144" i="27"/>
  <c r="BC144" i="27"/>
  <c r="BL144" i="27" s="1"/>
  <c r="E141" i="30"/>
  <c r="B151" i="30"/>
  <c r="BJ142" i="27"/>
  <c r="BK142" i="27" s="1"/>
  <c r="BA144" i="27"/>
  <c r="AZ145" i="27"/>
  <c r="AY145" i="27"/>
  <c r="BD144" i="27"/>
  <c r="BG144" i="27" s="1"/>
  <c r="D143" i="30"/>
  <c r="I143" i="30" s="1"/>
  <c r="BH143" i="27"/>
  <c r="BI143" i="27"/>
  <c r="AN158" i="27" l="1"/>
  <c r="AP157" i="27"/>
  <c r="AO157" i="27"/>
  <c r="AQ157" i="27" s="1"/>
  <c r="AR157" i="27" s="1"/>
  <c r="AB158" i="27"/>
  <c r="AD157" i="27"/>
  <c r="AC157" i="27"/>
  <c r="AE157" i="27" s="1"/>
  <c r="AF157" i="27" s="1"/>
  <c r="O158" i="27"/>
  <c r="U157" i="27"/>
  <c r="B158" i="27"/>
  <c r="AU157" i="27"/>
  <c r="AX144" i="27"/>
  <c r="BF157" i="27"/>
  <c r="G154" i="30"/>
  <c r="AT142" i="27"/>
  <c r="H139" i="30" s="1"/>
  <c r="P159" i="27"/>
  <c r="Q158" i="27"/>
  <c r="R158" i="27"/>
  <c r="I158" i="27"/>
  <c r="AG159" i="27"/>
  <c r="AA160" i="27"/>
  <c r="AM159" i="27"/>
  <c r="AS158" i="27"/>
  <c r="S157" i="27"/>
  <c r="T157" i="27" s="1"/>
  <c r="BE146" i="27"/>
  <c r="F143" i="30"/>
  <c r="B152" i="30"/>
  <c r="BB145" i="27"/>
  <c r="BC145" i="27"/>
  <c r="BL145" i="27" s="1"/>
  <c r="E142" i="30"/>
  <c r="AZ146" i="27"/>
  <c r="BJ143" i="27"/>
  <c r="BK143" i="27" s="1"/>
  <c r="BA145" i="27"/>
  <c r="AX145" i="27" s="1"/>
  <c r="BI144" i="27"/>
  <c r="BH144" i="27"/>
  <c r="BD145" i="27"/>
  <c r="BG145" i="27" s="1"/>
  <c r="D144" i="30"/>
  <c r="I144" i="30" s="1"/>
  <c r="AN159" i="27" l="1"/>
  <c r="AO158" i="27"/>
  <c r="AP158" i="27"/>
  <c r="AB159" i="27"/>
  <c r="AD158" i="27"/>
  <c r="AC158" i="27"/>
  <c r="AE158" i="27" s="1"/>
  <c r="AF158" i="27" s="1"/>
  <c r="B159" i="27"/>
  <c r="AU158" i="27"/>
  <c r="O159" i="27"/>
  <c r="U158" i="27"/>
  <c r="AA161" i="27"/>
  <c r="AG160" i="27"/>
  <c r="I159" i="27"/>
  <c r="S158" i="27"/>
  <c r="T158" i="27" s="1"/>
  <c r="Q159" i="27"/>
  <c r="S159" i="27" s="1"/>
  <c r="T159" i="27" s="1"/>
  <c r="P160" i="27"/>
  <c r="R159" i="27"/>
  <c r="AT143" i="27"/>
  <c r="H140" i="30" s="1"/>
  <c r="BF158" i="27"/>
  <c r="G155" i="30"/>
  <c r="AS159" i="27"/>
  <c r="AM160" i="27"/>
  <c r="AY146" i="27"/>
  <c r="BE147" i="27"/>
  <c r="F144" i="30"/>
  <c r="BC146" i="27"/>
  <c r="BB146" i="27"/>
  <c r="E143" i="30"/>
  <c r="BJ144" i="27"/>
  <c r="BK144" i="27" s="1"/>
  <c r="B153" i="30"/>
  <c r="AZ147" i="27"/>
  <c r="BH145" i="27"/>
  <c r="BI145" i="27"/>
  <c r="BA146" i="27"/>
  <c r="D145" i="30"/>
  <c r="I145" i="30" s="1"/>
  <c r="BD146" i="27"/>
  <c r="BG146" i="27" s="1"/>
  <c r="AQ158" i="27" l="1"/>
  <c r="AR158" i="27" s="1"/>
  <c r="AP159" i="27"/>
  <c r="AO159" i="27"/>
  <c r="AQ159" i="27" s="1"/>
  <c r="AR159" i="27" s="1"/>
  <c r="AN160" i="27"/>
  <c r="AB160" i="27"/>
  <c r="AC159" i="27"/>
  <c r="AE159" i="27" s="1"/>
  <c r="AF159" i="27" s="1"/>
  <c r="AD159" i="27"/>
  <c r="O160" i="27"/>
  <c r="U159" i="27"/>
  <c r="B160" i="27"/>
  <c r="AU159" i="27"/>
  <c r="AX146" i="27"/>
  <c r="AT144" i="27"/>
  <c r="H141" i="30" s="1"/>
  <c r="AS160" i="27"/>
  <c r="AM161" i="27"/>
  <c r="I160" i="27"/>
  <c r="AG161" i="27"/>
  <c r="AA162" i="27"/>
  <c r="Q160" i="27"/>
  <c r="P161" i="27"/>
  <c r="R160" i="27"/>
  <c r="BF159" i="27"/>
  <c r="G156" i="30"/>
  <c r="BL146" i="27"/>
  <c r="BE148" i="27"/>
  <c r="F145" i="30"/>
  <c r="B154" i="30"/>
  <c r="BB147" i="27"/>
  <c r="BC147" i="27"/>
  <c r="E144" i="30"/>
  <c r="BA147" i="27"/>
  <c r="AZ148" i="27"/>
  <c r="AY147" i="27"/>
  <c r="BD147" i="27"/>
  <c r="BG147" i="27" s="1"/>
  <c r="BH146" i="27"/>
  <c r="BI146" i="27"/>
  <c r="D146" i="30"/>
  <c r="I146" i="30" s="1"/>
  <c r="BJ145" i="27"/>
  <c r="BK145" i="27" s="1"/>
  <c r="AN161" i="27" l="1"/>
  <c r="AO160" i="27"/>
  <c r="AP160" i="27"/>
  <c r="AC160" i="27"/>
  <c r="AD160" i="27"/>
  <c r="AB161" i="27"/>
  <c r="S160" i="27"/>
  <c r="T160" i="27" s="1"/>
  <c r="B161" i="27"/>
  <c r="AU160" i="27"/>
  <c r="U160" i="27"/>
  <c r="O161" i="27"/>
  <c r="I161" i="27"/>
  <c r="AM162" i="27"/>
  <c r="AS161" i="27"/>
  <c r="Q161" i="27"/>
  <c r="R161" i="27"/>
  <c r="P162" i="27"/>
  <c r="AT145" i="27"/>
  <c r="H142" i="30" s="1"/>
  <c r="AA163" i="27"/>
  <c r="AG162" i="27"/>
  <c r="BF160" i="27"/>
  <c r="G157" i="30"/>
  <c r="BL147" i="27"/>
  <c r="AX147" i="27"/>
  <c r="AZ149" i="27"/>
  <c r="BE149" i="27"/>
  <c r="F146" i="30"/>
  <c r="BB148" i="27"/>
  <c r="BC148" i="27"/>
  <c r="E145" i="30"/>
  <c r="B155" i="30"/>
  <c r="AY148" i="27"/>
  <c r="BJ146" i="27"/>
  <c r="BK146" i="27" s="1"/>
  <c r="BI147" i="27"/>
  <c r="BH147" i="27"/>
  <c r="AZ150" i="27"/>
  <c r="D147" i="30"/>
  <c r="I147" i="30" s="1"/>
  <c r="BD148" i="27"/>
  <c r="BG148" i="27" s="1"/>
  <c r="BA148" i="27"/>
  <c r="AQ160" i="27" l="1"/>
  <c r="AR160" i="27" s="1"/>
  <c r="AO161" i="27"/>
  <c r="AP161" i="27"/>
  <c r="AN162" i="27"/>
  <c r="AC161" i="27"/>
  <c r="AD161" i="27"/>
  <c r="AB162" i="27"/>
  <c r="AE160" i="27"/>
  <c r="AF160" i="27" s="1"/>
  <c r="B162" i="27"/>
  <c r="AU161" i="27"/>
  <c r="O162" i="27"/>
  <c r="U161" i="27"/>
  <c r="AT146" i="27"/>
  <c r="H143" i="30" s="1"/>
  <c r="S161" i="27"/>
  <c r="T161" i="27" s="1"/>
  <c r="AS162" i="27"/>
  <c r="AM163" i="27"/>
  <c r="P163" i="27"/>
  <c r="R162" i="27"/>
  <c r="Q162" i="27"/>
  <c r="AA164" i="27"/>
  <c r="AG163" i="27"/>
  <c r="I162" i="27"/>
  <c r="BF161" i="27"/>
  <c r="G158" i="30"/>
  <c r="BL148" i="27"/>
  <c r="AX148" i="27"/>
  <c r="BE150" i="27"/>
  <c r="F147" i="30"/>
  <c r="BC149" i="27"/>
  <c r="BB149" i="27"/>
  <c r="E146" i="30"/>
  <c r="B156" i="30"/>
  <c r="BJ147" i="27"/>
  <c r="BK147" i="27" s="1"/>
  <c r="AY149" i="27"/>
  <c r="BI148" i="27"/>
  <c r="BH148" i="27"/>
  <c r="D148" i="30"/>
  <c r="I148" i="30" s="1"/>
  <c r="BD149" i="27"/>
  <c r="BG149" i="27" s="1"/>
  <c r="BA149" i="27"/>
  <c r="AP162" i="27" l="1"/>
  <c r="AN163" i="27"/>
  <c r="AO162" i="27"/>
  <c r="AQ162" i="27" s="1"/>
  <c r="AR162" i="27" s="1"/>
  <c r="AQ161" i="27"/>
  <c r="AR161" i="27" s="1"/>
  <c r="AB163" i="27"/>
  <c r="AD162" i="27"/>
  <c r="AC162" i="27"/>
  <c r="AE162" i="27" s="1"/>
  <c r="AF162" i="27" s="1"/>
  <c r="AE161" i="27"/>
  <c r="AF161" i="27" s="1"/>
  <c r="U162" i="27"/>
  <c r="O163" i="27"/>
  <c r="B163" i="27"/>
  <c r="AU162" i="27"/>
  <c r="BF162" i="27"/>
  <c r="G159" i="30"/>
  <c r="I163" i="27"/>
  <c r="S162" i="27"/>
  <c r="T162" i="27" s="1"/>
  <c r="AT147" i="27"/>
  <c r="H144" i="30" s="1"/>
  <c r="Q163" i="27"/>
  <c r="R163" i="27"/>
  <c r="P164" i="27"/>
  <c r="AA165" i="27"/>
  <c r="AG164" i="27"/>
  <c r="AS163" i="27"/>
  <c r="AM164" i="27"/>
  <c r="BL149" i="27"/>
  <c r="AX149" i="27"/>
  <c r="BE151" i="27"/>
  <c r="F148" i="30"/>
  <c r="BB150" i="27"/>
  <c r="BC150" i="27"/>
  <c r="BL150" i="27" s="1"/>
  <c r="E147" i="30"/>
  <c r="B157" i="30"/>
  <c r="AY150" i="27"/>
  <c r="AZ151" i="27"/>
  <c r="BJ148" i="27"/>
  <c r="BK148" i="27" s="1"/>
  <c r="BA150" i="27"/>
  <c r="D149" i="30"/>
  <c r="I149" i="30" s="1"/>
  <c r="BD150" i="27"/>
  <c r="BG150" i="27" s="1"/>
  <c r="BI149" i="27"/>
  <c r="BH149" i="27"/>
  <c r="AO163" i="27" l="1"/>
  <c r="AN164" i="27"/>
  <c r="AP163" i="27"/>
  <c r="AC163" i="27"/>
  <c r="AD163" i="27"/>
  <c r="AB164" i="27"/>
  <c r="B164" i="27"/>
  <c r="AU163" i="27"/>
  <c r="U163" i="27"/>
  <c r="O164" i="27"/>
  <c r="AT148" i="27"/>
  <c r="H145" i="30" s="1"/>
  <c r="AA166" i="27"/>
  <c r="AG165" i="27"/>
  <c r="I164" i="27"/>
  <c r="R164" i="27"/>
  <c r="P165" i="27"/>
  <c r="Q164" i="27"/>
  <c r="S164" i="27" s="1"/>
  <c r="T164" i="27" s="1"/>
  <c r="BF163" i="27"/>
  <c r="G160" i="30"/>
  <c r="S163" i="27"/>
  <c r="T163" i="27" s="1"/>
  <c r="AM165" i="27"/>
  <c r="AS164" i="27"/>
  <c r="BE152" i="27"/>
  <c r="F149" i="30"/>
  <c r="B158" i="30"/>
  <c r="BC151" i="27"/>
  <c r="BB151" i="27"/>
  <c r="E148" i="30"/>
  <c r="AX150" i="27"/>
  <c r="AY151" i="27"/>
  <c r="AZ152" i="27"/>
  <c r="BJ149" i="27"/>
  <c r="BK149" i="27" s="1"/>
  <c r="BI150" i="27"/>
  <c r="BH150" i="27"/>
  <c r="BA151" i="27"/>
  <c r="BD151" i="27"/>
  <c r="BG151" i="27" s="1"/>
  <c r="D150" i="30"/>
  <c r="I150" i="30" s="1"/>
  <c r="AP164" i="27" l="1"/>
  <c r="AO164" i="27"/>
  <c r="AQ164" i="27" s="1"/>
  <c r="AR164" i="27" s="1"/>
  <c r="AN165" i="27"/>
  <c r="AQ163" i="27"/>
  <c r="AR163" i="27" s="1"/>
  <c r="AB165" i="27"/>
  <c r="AD164" i="27"/>
  <c r="AC164" i="27"/>
  <c r="AE164" i="27" s="1"/>
  <c r="AF164" i="27" s="1"/>
  <c r="AE163" i="27"/>
  <c r="AF163" i="27" s="1"/>
  <c r="U164" i="27"/>
  <c r="O165" i="27"/>
  <c r="B165" i="27"/>
  <c r="AU164" i="27"/>
  <c r="Q165" i="27"/>
  <c r="R165" i="27"/>
  <c r="P166" i="27"/>
  <c r="BF164" i="27"/>
  <c r="G161" i="30"/>
  <c r="AG166" i="27"/>
  <c r="AA167" i="27"/>
  <c r="AT149" i="27"/>
  <c r="H146" i="30" s="1"/>
  <c r="AM166" i="27"/>
  <c r="AS165" i="27"/>
  <c r="I165" i="27"/>
  <c r="BL151" i="27"/>
  <c r="AX151" i="27"/>
  <c r="BE153" i="27"/>
  <c r="F150" i="30"/>
  <c r="BB152" i="27"/>
  <c r="BC152" i="27"/>
  <c r="BL152" i="27" s="1"/>
  <c r="E149" i="30"/>
  <c r="B159" i="30"/>
  <c r="BJ150" i="27"/>
  <c r="BK150" i="27" s="1"/>
  <c r="AY152" i="27"/>
  <c r="D151" i="30"/>
  <c r="I151" i="30" s="1"/>
  <c r="AZ153" i="27"/>
  <c r="BA152" i="27"/>
  <c r="BH151" i="27"/>
  <c r="BI151" i="27"/>
  <c r="BD152" i="27"/>
  <c r="BG152" i="27" s="1"/>
  <c r="AN166" i="27" l="1"/>
  <c r="AO165" i="27"/>
  <c r="AP165" i="27"/>
  <c r="AD165" i="27"/>
  <c r="AB166" i="27"/>
  <c r="AC165" i="27"/>
  <c r="AE165" i="27" s="1"/>
  <c r="AF165" i="27" s="1"/>
  <c r="S165" i="27"/>
  <c r="T165" i="27" s="1"/>
  <c r="B166" i="27"/>
  <c r="AU165" i="27"/>
  <c r="U165" i="27"/>
  <c r="O166" i="27"/>
  <c r="AT150" i="27"/>
  <c r="H147" i="30" s="1"/>
  <c r="BF165" i="27"/>
  <c r="G162" i="30"/>
  <c r="AG167" i="27"/>
  <c r="AA168" i="27"/>
  <c r="I166" i="27"/>
  <c r="AS166" i="27"/>
  <c r="AM167" i="27"/>
  <c r="Q166" i="27"/>
  <c r="R166" i="27"/>
  <c r="P167" i="27"/>
  <c r="AX152" i="27"/>
  <c r="BE154" i="27"/>
  <c r="F151" i="30"/>
  <c r="BB153" i="27"/>
  <c r="BC153" i="27"/>
  <c r="E150" i="30"/>
  <c r="B160" i="30"/>
  <c r="BD153" i="27"/>
  <c r="BG153" i="27" s="1"/>
  <c r="BJ151" i="27"/>
  <c r="BK151" i="27" s="1"/>
  <c r="AZ154" i="27"/>
  <c r="BI152" i="27"/>
  <c r="BH152" i="27"/>
  <c r="D152" i="30"/>
  <c r="I152" i="30" s="1"/>
  <c r="BA153" i="27"/>
  <c r="AY153" i="27"/>
  <c r="AQ165" i="27" l="1"/>
  <c r="AR165" i="27" s="1"/>
  <c r="AP166" i="27"/>
  <c r="AO166" i="27"/>
  <c r="AQ166" i="27" s="1"/>
  <c r="AR166" i="27" s="1"/>
  <c r="AN167" i="27"/>
  <c r="AB167" i="27"/>
  <c r="AD166" i="27"/>
  <c r="AC166" i="27"/>
  <c r="AE166" i="27" s="1"/>
  <c r="AF166" i="27" s="1"/>
  <c r="O167" i="27"/>
  <c r="U166" i="27"/>
  <c r="B167" i="27"/>
  <c r="AU166" i="27"/>
  <c r="P168" i="27"/>
  <c r="Q167" i="27"/>
  <c r="R167" i="27"/>
  <c r="AG168" i="27"/>
  <c r="AA169" i="27"/>
  <c r="I167" i="27"/>
  <c r="AT151" i="27"/>
  <c r="H148" i="30" s="1"/>
  <c r="S166" i="27"/>
  <c r="T166" i="27" s="1"/>
  <c r="AM168" i="27"/>
  <c r="AS167" i="27"/>
  <c r="G163" i="30"/>
  <c r="BF166" i="27"/>
  <c r="BL153" i="27"/>
  <c r="AX153" i="27"/>
  <c r="BE155" i="27"/>
  <c r="F152" i="30"/>
  <c r="BC154" i="27"/>
  <c r="BB154" i="27"/>
  <c r="E151" i="30"/>
  <c r="B161" i="30"/>
  <c r="BJ152" i="27"/>
  <c r="BK152" i="27" s="1"/>
  <c r="D153" i="30"/>
  <c r="I153" i="30" s="1"/>
  <c r="BA154" i="27"/>
  <c r="BH153" i="27"/>
  <c r="BI153" i="27"/>
  <c r="AY154" i="27"/>
  <c r="AZ155" i="27"/>
  <c r="BD154" i="27"/>
  <c r="BG154" i="27" s="1"/>
  <c r="AP167" i="27" l="1"/>
  <c r="AN168" i="27"/>
  <c r="AO167" i="27"/>
  <c r="AQ167" i="27" s="1"/>
  <c r="AR167" i="27" s="1"/>
  <c r="AC167" i="27"/>
  <c r="AD167" i="27"/>
  <c r="AB168" i="27"/>
  <c r="B168" i="27"/>
  <c r="AU167" i="27"/>
  <c r="S167" i="27"/>
  <c r="T167" i="27" s="1"/>
  <c r="U167" i="27"/>
  <c r="O168" i="27"/>
  <c r="AA170" i="27"/>
  <c r="AG169" i="27"/>
  <c r="Q168" i="27"/>
  <c r="R168" i="27"/>
  <c r="P169" i="27"/>
  <c r="AT152" i="27"/>
  <c r="H149" i="30" s="1"/>
  <c r="I168" i="27"/>
  <c r="BF167" i="27"/>
  <c r="G164" i="30"/>
  <c r="AS168" i="27"/>
  <c r="AM169" i="27"/>
  <c r="BL154" i="27"/>
  <c r="AX154" i="27"/>
  <c r="BE156" i="27"/>
  <c r="F153" i="30"/>
  <c r="BB155" i="27"/>
  <c r="BC155" i="27"/>
  <c r="E152" i="30"/>
  <c r="B162" i="30"/>
  <c r="BA155" i="27"/>
  <c r="AZ156" i="27"/>
  <c r="BI154" i="27"/>
  <c r="BH154" i="27"/>
  <c r="BJ153" i="27"/>
  <c r="BK153" i="27" s="1"/>
  <c r="AY155" i="27"/>
  <c r="BD155" i="27"/>
  <c r="BG155" i="27" s="1"/>
  <c r="D154" i="30"/>
  <c r="I154" i="30" s="1"/>
  <c r="AN169" i="27" l="1"/>
  <c r="AP168" i="27"/>
  <c r="AO168" i="27"/>
  <c r="AB169" i="27"/>
  <c r="AC168" i="27"/>
  <c r="AE168" i="27" s="1"/>
  <c r="AF168" i="27" s="1"/>
  <c r="AD168" i="27"/>
  <c r="AE167" i="27"/>
  <c r="AF167" i="27" s="1"/>
  <c r="U168" i="27"/>
  <c r="O169" i="27"/>
  <c r="B169" i="27"/>
  <c r="AU168" i="27"/>
  <c r="S168" i="27"/>
  <c r="T168" i="27" s="1"/>
  <c r="R169" i="27"/>
  <c r="P170" i="27"/>
  <c r="Q169" i="27"/>
  <c r="G165" i="30"/>
  <c r="BF168" i="27"/>
  <c r="AT153" i="27"/>
  <c r="H150" i="30" s="1"/>
  <c r="I169" i="27"/>
  <c r="AA171" i="27"/>
  <c r="AG170" i="27"/>
  <c r="AM170" i="27"/>
  <c r="AS169" i="27"/>
  <c r="BL155" i="27"/>
  <c r="AZ157" i="27"/>
  <c r="BE157" i="27"/>
  <c r="F154" i="30"/>
  <c r="BB156" i="27"/>
  <c r="BC156" i="27"/>
  <c r="BL156" i="27" s="1"/>
  <c r="E153" i="30"/>
  <c r="AX155" i="27"/>
  <c r="B163" i="30"/>
  <c r="AY156" i="27"/>
  <c r="BA156" i="27"/>
  <c r="BJ154" i="27"/>
  <c r="BK154" i="27" s="1"/>
  <c r="BI155" i="27"/>
  <c r="BH155" i="27"/>
  <c r="BD156" i="27"/>
  <c r="BG156" i="27" s="1"/>
  <c r="D155" i="30"/>
  <c r="I155" i="30" s="1"/>
  <c r="AQ168" i="27" l="1"/>
  <c r="AR168" i="27" s="1"/>
  <c r="AO169" i="27"/>
  <c r="AN170" i="27"/>
  <c r="AP169" i="27"/>
  <c r="AC169" i="27"/>
  <c r="AB170" i="27"/>
  <c r="AD169" i="27"/>
  <c r="B170" i="27"/>
  <c r="AU169" i="27"/>
  <c r="O170" i="27"/>
  <c r="U169" i="27"/>
  <c r="S169" i="27"/>
  <c r="T169" i="27" s="1"/>
  <c r="AG171" i="27"/>
  <c r="AA172" i="27"/>
  <c r="I170" i="27"/>
  <c r="Q170" i="27"/>
  <c r="R170" i="27"/>
  <c r="P171" i="27"/>
  <c r="AS170" i="27"/>
  <c r="AM171" i="27"/>
  <c r="AT154" i="27"/>
  <c r="H151" i="30" s="1"/>
  <c r="BF169" i="27"/>
  <c r="G166" i="30"/>
  <c r="AX156" i="27"/>
  <c r="BE158" i="27"/>
  <c r="F155" i="30"/>
  <c r="B164" i="30"/>
  <c r="BB157" i="27"/>
  <c r="BC157" i="27"/>
  <c r="BL157" i="27" s="1"/>
  <c r="E154" i="30"/>
  <c r="AZ158" i="27"/>
  <c r="BJ155" i="27"/>
  <c r="BK155" i="27" s="1"/>
  <c r="AY157" i="27"/>
  <c r="BA157" i="27"/>
  <c r="BI156" i="27"/>
  <c r="BH156" i="27"/>
  <c r="D156" i="30"/>
  <c r="I156" i="30" s="1"/>
  <c r="BD157" i="27"/>
  <c r="BG157" i="27" s="1"/>
  <c r="AO170" i="27" l="1"/>
  <c r="AN171" i="27"/>
  <c r="AP170" i="27"/>
  <c r="AQ169" i="27"/>
  <c r="AR169" i="27" s="1"/>
  <c r="AC170" i="27"/>
  <c r="AB171" i="27"/>
  <c r="AD170" i="27"/>
  <c r="AE169" i="27"/>
  <c r="AF169" i="27" s="1"/>
  <c r="O171" i="27"/>
  <c r="U170" i="27"/>
  <c r="B171" i="27"/>
  <c r="AU170" i="27"/>
  <c r="Q171" i="27"/>
  <c r="R171" i="27"/>
  <c r="P172" i="27"/>
  <c r="AT155" i="27"/>
  <c r="H152" i="30" s="1"/>
  <c r="I171" i="27"/>
  <c r="AG172" i="27"/>
  <c r="AA173" i="27"/>
  <c r="BF170" i="27"/>
  <c r="G167" i="30"/>
  <c r="S170" i="27"/>
  <c r="T170" i="27" s="1"/>
  <c r="AM172" i="27"/>
  <c r="AS171" i="27"/>
  <c r="AY158" i="27"/>
  <c r="AX157" i="27"/>
  <c r="BE159" i="27"/>
  <c r="F156" i="30"/>
  <c r="BB158" i="27"/>
  <c r="BC158" i="27"/>
  <c r="BL158" i="27" s="1"/>
  <c r="E155" i="30"/>
  <c r="B165" i="30"/>
  <c r="AZ159" i="27"/>
  <c r="BJ156" i="27"/>
  <c r="BK156" i="27" s="1"/>
  <c r="BI157" i="27"/>
  <c r="BH157" i="27"/>
  <c r="BA158" i="27"/>
  <c r="AX158" i="27" s="1"/>
  <c r="BD158" i="27"/>
  <c r="BG158" i="27" s="1"/>
  <c r="D157" i="30"/>
  <c r="I157" i="30" s="1"/>
  <c r="AO171" i="27" l="1"/>
  <c r="AP171" i="27"/>
  <c r="AN172" i="27"/>
  <c r="AQ170" i="27"/>
  <c r="AR170" i="27" s="1"/>
  <c r="AD171" i="27"/>
  <c r="AB172" i="27"/>
  <c r="AC171" i="27"/>
  <c r="AE171" i="27" s="1"/>
  <c r="AF171" i="27" s="1"/>
  <c r="AE170" i="27"/>
  <c r="AF170" i="27" s="1"/>
  <c r="B172" i="27"/>
  <c r="AU171" i="27"/>
  <c r="O172" i="27"/>
  <c r="U171" i="27"/>
  <c r="AT156" i="27"/>
  <c r="H153" i="30" s="1"/>
  <c r="AA174" i="27"/>
  <c r="AG173" i="27"/>
  <c r="G168" i="30"/>
  <c r="BF171" i="27"/>
  <c r="R172" i="27"/>
  <c r="P173" i="27"/>
  <c r="Q172" i="27"/>
  <c r="S172" i="27" s="1"/>
  <c r="T172" i="27" s="1"/>
  <c r="I172" i="27"/>
  <c r="AM173" i="27"/>
  <c r="AS172" i="27"/>
  <c r="S171" i="27"/>
  <c r="T171" i="27" s="1"/>
  <c r="BJ157" i="27"/>
  <c r="BK157" i="27" s="1"/>
  <c r="BE160" i="27"/>
  <c r="F157" i="30"/>
  <c r="B166" i="30"/>
  <c r="BB159" i="27"/>
  <c r="BC159" i="27"/>
  <c r="E156" i="30"/>
  <c r="AY159" i="27"/>
  <c r="BA159" i="27"/>
  <c r="AZ160" i="27"/>
  <c r="D158" i="30"/>
  <c r="I158" i="30" s="1"/>
  <c r="BD159" i="27"/>
  <c r="BG159" i="27" s="1"/>
  <c r="BI158" i="27"/>
  <c r="BH158" i="27"/>
  <c r="AP172" i="27" l="1"/>
  <c r="AO172" i="27"/>
  <c r="AQ172" i="27" s="1"/>
  <c r="AR172" i="27" s="1"/>
  <c r="AN173" i="27"/>
  <c r="AQ171" i="27"/>
  <c r="AR171" i="27" s="1"/>
  <c r="AD172" i="27"/>
  <c r="AB173" i="27"/>
  <c r="AC172" i="27"/>
  <c r="AE172" i="27" s="1"/>
  <c r="AF172" i="27" s="1"/>
  <c r="O173" i="27"/>
  <c r="U172" i="27"/>
  <c r="B173" i="27"/>
  <c r="AU172" i="27"/>
  <c r="P174" i="27"/>
  <c r="Q173" i="27"/>
  <c r="R173" i="27"/>
  <c r="AM174" i="27"/>
  <c r="AS173" i="27"/>
  <c r="BF172" i="27"/>
  <c r="G169" i="30"/>
  <c r="AT157" i="27"/>
  <c r="H154" i="30" s="1"/>
  <c r="AA175" i="27"/>
  <c r="AG174" i="27"/>
  <c r="I173" i="27"/>
  <c r="BL159" i="27"/>
  <c r="BE161" i="27"/>
  <c r="F158" i="30"/>
  <c r="BB160" i="27"/>
  <c r="BC160" i="27"/>
  <c r="BL160" i="27" s="1"/>
  <c r="E157" i="30"/>
  <c r="B167" i="30"/>
  <c r="AZ161" i="27"/>
  <c r="BJ158" i="27"/>
  <c r="BK158" i="27" s="1"/>
  <c r="AX159" i="27"/>
  <c r="AY160" i="27"/>
  <c r="BA160" i="27"/>
  <c r="BD160" i="27"/>
  <c r="BG160" i="27" s="1"/>
  <c r="D159" i="30"/>
  <c r="I159" i="30" s="1"/>
  <c r="BH159" i="27"/>
  <c r="BI159" i="27"/>
  <c r="AN174" i="27" l="1"/>
  <c r="AP173" i="27"/>
  <c r="AO173" i="27"/>
  <c r="AQ173" i="27" s="1"/>
  <c r="AR173" i="27" s="1"/>
  <c r="AD173" i="27"/>
  <c r="AB174" i="27"/>
  <c r="AC173" i="27"/>
  <c r="AE173" i="27" s="1"/>
  <c r="AF173" i="27" s="1"/>
  <c r="B174" i="27"/>
  <c r="AU173" i="27"/>
  <c r="U173" i="27"/>
  <c r="O174" i="27"/>
  <c r="AG175" i="27"/>
  <c r="AA176" i="27"/>
  <c r="AT158" i="27"/>
  <c r="H155" i="30" s="1"/>
  <c r="I174" i="27"/>
  <c r="AM175" i="27"/>
  <c r="AS174" i="27"/>
  <c r="S173" i="27"/>
  <c r="T173" i="27" s="1"/>
  <c r="BF173" i="27"/>
  <c r="G170" i="30"/>
  <c r="R174" i="27"/>
  <c r="P175" i="27"/>
  <c r="Q174" i="27"/>
  <c r="AX160" i="27"/>
  <c r="BE162" i="27"/>
  <c r="F159" i="30"/>
  <c r="B168" i="30"/>
  <c r="BC161" i="27"/>
  <c r="BL161" i="27" s="1"/>
  <c r="BB161" i="27"/>
  <c r="E158" i="30"/>
  <c r="BA161" i="27"/>
  <c r="AZ162" i="27"/>
  <c r="BI160" i="27"/>
  <c r="BH160" i="27"/>
  <c r="BJ159" i="27"/>
  <c r="BK159" i="27" s="1"/>
  <c r="AY161" i="27"/>
  <c r="BD161" i="27"/>
  <c r="BG161" i="27" s="1"/>
  <c r="D160" i="30"/>
  <c r="I160" i="30" s="1"/>
  <c r="AP174" i="27" l="1"/>
  <c r="AN175" i="27"/>
  <c r="AO174" i="27"/>
  <c r="AQ174" i="27" s="1"/>
  <c r="AR174" i="27" s="1"/>
  <c r="AD174" i="27"/>
  <c r="AC174" i="27"/>
  <c r="AE174" i="27" s="1"/>
  <c r="AF174" i="27" s="1"/>
  <c r="AB175" i="27"/>
  <c r="U174" i="27"/>
  <c r="O175" i="27"/>
  <c r="S174" i="27"/>
  <c r="T174" i="27" s="1"/>
  <c r="B175" i="27"/>
  <c r="AU174" i="27"/>
  <c r="AM176" i="27"/>
  <c r="AS175" i="27"/>
  <c r="BF174" i="27"/>
  <c r="G171" i="30"/>
  <c r="I175" i="27"/>
  <c r="P176" i="27"/>
  <c r="Q175" i="27"/>
  <c r="R175" i="27"/>
  <c r="AT159" i="27"/>
  <c r="H156" i="30" s="1"/>
  <c r="AG176" i="27"/>
  <c r="AA177" i="27"/>
  <c r="BE163" i="27"/>
  <c r="F160" i="30"/>
  <c r="BB162" i="27"/>
  <c r="BC162" i="27"/>
  <c r="BL162" i="27" s="1"/>
  <c r="E159" i="30"/>
  <c r="AX161" i="27"/>
  <c r="B169" i="30"/>
  <c r="BJ160" i="27"/>
  <c r="BK160" i="27" s="1"/>
  <c r="AZ163" i="27"/>
  <c r="AY162" i="27"/>
  <c r="BA162" i="27"/>
  <c r="BA163" i="27"/>
  <c r="BI161" i="27"/>
  <c r="BH161" i="27"/>
  <c r="D161" i="30"/>
  <c r="I161" i="30" s="1"/>
  <c r="BD162" i="27"/>
  <c r="BG162" i="27" s="1"/>
  <c r="AO175" i="27" l="1"/>
  <c r="AP175" i="27"/>
  <c r="AN176" i="27"/>
  <c r="AD175" i="27"/>
  <c r="AC175" i="27"/>
  <c r="AE175" i="27" s="1"/>
  <c r="AF175" i="27" s="1"/>
  <c r="AB176" i="27"/>
  <c r="B176" i="27"/>
  <c r="AU175" i="27"/>
  <c r="O176" i="27"/>
  <c r="U175" i="27"/>
  <c r="Q176" i="27"/>
  <c r="R176" i="27"/>
  <c r="P177" i="27"/>
  <c r="I176" i="27"/>
  <c r="AT160" i="27"/>
  <c r="H157" i="30" s="1"/>
  <c r="BF175" i="27"/>
  <c r="G172" i="30"/>
  <c r="AM177" i="27"/>
  <c r="AS176" i="27"/>
  <c r="S175" i="27"/>
  <c r="T175" i="27" s="1"/>
  <c r="AG177" i="27"/>
  <c r="AA178" i="27"/>
  <c r="BE164" i="27"/>
  <c r="F161" i="30"/>
  <c r="B170" i="30"/>
  <c r="BC163" i="27"/>
  <c r="BB163" i="27"/>
  <c r="E160" i="30"/>
  <c r="BJ161" i="27"/>
  <c r="BK161" i="27" s="1"/>
  <c r="AZ164" i="27"/>
  <c r="AX162" i="27"/>
  <c r="D162" i="30"/>
  <c r="I162" i="30" s="1"/>
  <c r="AY163" i="27"/>
  <c r="AX163" i="27" s="1"/>
  <c r="BD163" i="27"/>
  <c r="BG163" i="27" s="1"/>
  <c r="BI162" i="27"/>
  <c r="BH162" i="27"/>
  <c r="AY164" i="27"/>
  <c r="AO176" i="27" l="1"/>
  <c r="AN177" i="27"/>
  <c r="AP176" i="27"/>
  <c r="AQ175" i="27"/>
  <c r="AR175" i="27" s="1"/>
  <c r="AC176" i="27"/>
  <c r="AD176" i="27"/>
  <c r="AB177" i="27"/>
  <c r="U176" i="27"/>
  <c r="O177" i="27"/>
  <c r="B177" i="27"/>
  <c r="AU176" i="27"/>
  <c r="AT161" i="27"/>
  <c r="H158" i="30" s="1"/>
  <c r="AG178" i="27"/>
  <c r="AA179" i="27"/>
  <c r="I177" i="27"/>
  <c r="P178" i="27"/>
  <c r="R177" i="27"/>
  <c r="Q177" i="27"/>
  <c r="S177" i="27" s="1"/>
  <c r="T177" i="27" s="1"/>
  <c r="G173" i="30"/>
  <c r="BF176" i="27"/>
  <c r="AM178" i="27"/>
  <c r="AS177" i="27"/>
  <c r="S176" i="27"/>
  <c r="T176" i="27" s="1"/>
  <c r="BL163" i="27"/>
  <c r="BE165" i="27"/>
  <c r="F162" i="30"/>
  <c r="BC164" i="27"/>
  <c r="BB164" i="27"/>
  <c r="E161" i="30"/>
  <c r="B171" i="30"/>
  <c r="BA164" i="27"/>
  <c r="AX164" i="27" s="1"/>
  <c r="BH163" i="27"/>
  <c r="BI163" i="27"/>
  <c r="D163" i="30"/>
  <c r="I163" i="30" s="1"/>
  <c r="BD164" i="27"/>
  <c r="BG164" i="27" s="1"/>
  <c r="BJ162" i="27"/>
  <c r="BK162" i="27" s="1"/>
  <c r="AZ165" i="27"/>
  <c r="AN178" i="27" l="1"/>
  <c r="AP177" i="27"/>
  <c r="AO177" i="27"/>
  <c r="AQ177" i="27" s="1"/>
  <c r="AR177" i="27" s="1"/>
  <c r="AQ176" i="27"/>
  <c r="AR176" i="27" s="1"/>
  <c r="AC177" i="27"/>
  <c r="AB178" i="27"/>
  <c r="AD177" i="27"/>
  <c r="AE176" i="27"/>
  <c r="AF176" i="27" s="1"/>
  <c r="B178" i="27"/>
  <c r="AU177" i="27"/>
  <c r="O178" i="27"/>
  <c r="U177" i="27"/>
  <c r="AT162" i="27"/>
  <c r="H159" i="30" s="1"/>
  <c r="Q178" i="27"/>
  <c r="R178" i="27"/>
  <c r="P179" i="27"/>
  <c r="I178" i="27"/>
  <c r="AG179" i="27"/>
  <c r="AA180" i="27"/>
  <c r="BF177" i="27"/>
  <c r="G174" i="30"/>
  <c r="AM179" i="27"/>
  <c r="AS178" i="27"/>
  <c r="BL164" i="27"/>
  <c r="BE166" i="27"/>
  <c r="F163" i="30"/>
  <c r="B172" i="30"/>
  <c r="BC165" i="27"/>
  <c r="BB165" i="27"/>
  <c r="E162" i="30"/>
  <c r="BA165" i="27"/>
  <c r="BD165" i="27"/>
  <c r="BG165" i="27" s="1"/>
  <c r="D164" i="30"/>
  <c r="I164" i="30" s="1"/>
  <c r="AZ166" i="27"/>
  <c r="AY165" i="27"/>
  <c r="BI164" i="27"/>
  <c r="BH164" i="27"/>
  <c r="BJ163" i="27"/>
  <c r="BK163" i="27" s="1"/>
  <c r="AO178" i="27" l="1"/>
  <c r="AN179" i="27"/>
  <c r="AP178" i="27"/>
  <c r="AC178" i="27"/>
  <c r="AD178" i="27"/>
  <c r="AB179" i="27"/>
  <c r="AE177" i="27"/>
  <c r="AF177" i="27" s="1"/>
  <c r="S178" i="27"/>
  <c r="T178" i="27" s="1"/>
  <c r="U178" i="27"/>
  <c r="O179" i="27"/>
  <c r="B179" i="27"/>
  <c r="AU178" i="27"/>
  <c r="AG180" i="27"/>
  <c r="AA181" i="27"/>
  <c r="R179" i="27"/>
  <c r="P180" i="27"/>
  <c r="Q179" i="27"/>
  <c r="I179" i="27"/>
  <c r="BF178" i="27"/>
  <c r="G175" i="30"/>
  <c r="AM180" i="27"/>
  <c r="AS179" i="27"/>
  <c r="AT163" i="27"/>
  <c r="H160" i="30" s="1"/>
  <c r="BL165" i="27"/>
  <c r="BJ164" i="27"/>
  <c r="BK164" i="27" s="1"/>
  <c r="BE167" i="27"/>
  <c r="F164" i="30"/>
  <c r="BB166" i="27"/>
  <c r="BC166" i="27"/>
  <c r="BL166" i="27" s="1"/>
  <c r="E163" i="30"/>
  <c r="AX165" i="27"/>
  <c r="B173" i="30"/>
  <c r="AZ167" i="27"/>
  <c r="AY166" i="27"/>
  <c r="BA166" i="27"/>
  <c r="D165" i="30"/>
  <c r="I165" i="30" s="1"/>
  <c r="BD166" i="27"/>
  <c r="BG166" i="27" s="1"/>
  <c r="BI165" i="27"/>
  <c r="BH165" i="27"/>
  <c r="AO179" i="27" l="1"/>
  <c r="AP179" i="27"/>
  <c r="AN180" i="27"/>
  <c r="AQ178" i="27"/>
  <c r="AR178" i="27" s="1"/>
  <c r="AC179" i="27"/>
  <c r="AD179" i="27"/>
  <c r="AB180" i="27"/>
  <c r="AE178" i="27"/>
  <c r="AF178" i="27" s="1"/>
  <c r="B180" i="27"/>
  <c r="AU179" i="27"/>
  <c r="O180" i="27"/>
  <c r="U179" i="27"/>
  <c r="S179" i="27"/>
  <c r="T179" i="27" s="1"/>
  <c r="P181" i="27"/>
  <c r="R180" i="27"/>
  <c r="Q180" i="27"/>
  <c r="S180" i="27" s="1"/>
  <c r="T180" i="27" s="1"/>
  <c r="I180" i="27"/>
  <c r="BF179" i="27"/>
  <c r="G176" i="30"/>
  <c r="AA182" i="27"/>
  <c r="AG181" i="27"/>
  <c r="AT164" i="27"/>
  <c r="H161" i="30" s="1"/>
  <c r="AM181" i="27"/>
  <c r="AS180" i="27"/>
  <c r="AX166" i="27"/>
  <c r="BE168" i="27"/>
  <c r="F165" i="30"/>
  <c r="BC167" i="27"/>
  <c r="BL167" i="27" s="1"/>
  <c r="BB167" i="27"/>
  <c r="E164" i="30"/>
  <c r="B174" i="30"/>
  <c r="AY167" i="27"/>
  <c r="BA167" i="27"/>
  <c r="AZ168" i="27"/>
  <c r="BD167" i="27"/>
  <c r="BG167" i="27" s="1"/>
  <c r="D166" i="30"/>
  <c r="I166" i="30" s="1"/>
  <c r="BI166" i="27"/>
  <c r="BH166" i="27"/>
  <c r="BJ165" i="27"/>
  <c r="BK165" i="27" s="1"/>
  <c r="AN181" i="27" l="1"/>
  <c r="AO180" i="27"/>
  <c r="AP180" i="27"/>
  <c r="AQ179" i="27"/>
  <c r="AR179" i="27" s="1"/>
  <c r="AC180" i="27"/>
  <c r="AD180" i="27"/>
  <c r="AB181" i="27"/>
  <c r="AE179" i="27"/>
  <c r="AF179" i="27" s="1"/>
  <c r="O181" i="27"/>
  <c r="U180" i="27"/>
  <c r="B181" i="27"/>
  <c r="AU180" i="27"/>
  <c r="AA183" i="27"/>
  <c r="AG182" i="27"/>
  <c r="G177" i="30"/>
  <c r="BF180" i="27"/>
  <c r="AS181" i="27"/>
  <c r="AM182" i="27"/>
  <c r="AT165" i="27"/>
  <c r="H162" i="30" s="1"/>
  <c r="I181" i="27"/>
  <c r="Q181" i="27"/>
  <c r="R181" i="27"/>
  <c r="P182" i="27"/>
  <c r="AY168" i="27"/>
  <c r="AX167" i="27"/>
  <c r="BE169" i="27"/>
  <c r="F166" i="30"/>
  <c r="B175" i="30"/>
  <c r="BB168" i="27"/>
  <c r="BC168" i="27"/>
  <c r="E165" i="30"/>
  <c r="BJ166" i="27"/>
  <c r="BK166" i="27" s="1"/>
  <c r="BA168" i="27"/>
  <c r="BI167" i="27"/>
  <c r="BH167" i="27"/>
  <c r="AZ169" i="27"/>
  <c r="D167" i="30"/>
  <c r="I167" i="30" s="1"/>
  <c r="BD168" i="27"/>
  <c r="BG168" i="27" s="1"/>
  <c r="AQ180" i="27" l="1"/>
  <c r="AR180" i="27" s="1"/>
  <c r="AP181" i="27"/>
  <c r="AN182" i="27"/>
  <c r="AO181" i="27"/>
  <c r="AQ181" i="27" s="1"/>
  <c r="AR181" i="27" s="1"/>
  <c r="AB182" i="27"/>
  <c r="AC181" i="27"/>
  <c r="AD181" i="27"/>
  <c r="AE180" i="27"/>
  <c r="AF180" i="27" s="1"/>
  <c r="B182" i="27"/>
  <c r="AU181" i="27"/>
  <c r="U181" i="27"/>
  <c r="O182" i="27"/>
  <c r="AX168" i="27"/>
  <c r="I182" i="27"/>
  <c r="P183" i="27"/>
  <c r="R182" i="27"/>
  <c r="Q182" i="27"/>
  <c r="S182" i="27" s="1"/>
  <c r="T182" i="27" s="1"/>
  <c r="AT166" i="27"/>
  <c r="H163" i="30" s="1"/>
  <c r="AM183" i="27"/>
  <c r="AS182" i="27"/>
  <c r="BF181" i="27"/>
  <c r="G178" i="30"/>
  <c r="S181" i="27"/>
  <c r="T181" i="27" s="1"/>
  <c r="AA184" i="27"/>
  <c r="AG183" i="27"/>
  <c r="BL168" i="27"/>
  <c r="BE170" i="27"/>
  <c r="F167" i="30"/>
  <c r="BB169" i="27"/>
  <c r="BC169" i="27"/>
  <c r="BL169" i="27" s="1"/>
  <c r="E166" i="30"/>
  <c r="B176" i="30"/>
  <c r="BJ167" i="27"/>
  <c r="BK167" i="27" s="1"/>
  <c r="AY169" i="27"/>
  <c r="BD169" i="27"/>
  <c r="BG169" i="27" s="1"/>
  <c r="AZ170" i="27"/>
  <c r="BH168" i="27"/>
  <c r="BI168" i="27"/>
  <c r="D168" i="30"/>
  <c r="I168" i="30" s="1"/>
  <c r="BA169" i="27"/>
  <c r="AP182" i="27" l="1"/>
  <c r="AO182" i="27"/>
  <c r="AQ182" i="27" s="1"/>
  <c r="AR182" i="27" s="1"/>
  <c r="AN183" i="27"/>
  <c r="AE181" i="27"/>
  <c r="AF181" i="27" s="1"/>
  <c r="AD182" i="27"/>
  <c r="AB183" i="27"/>
  <c r="AC182" i="27"/>
  <c r="AE182" i="27" s="1"/>
  <c r="AF182" i="27" s="1"/>
  <c r="U182" i="27"/>
  <c r="O183" i="27"/>
  <c r="B183" i="27"/>
  <c r="AU182" i="27"/>
  <c r="AM184" i="27"/>
  <c r="AS183" i="27"/>
  <c r="AA185" i="27"/>
  <c r="AG184" i="27"/>
  <c r="P184" i="27"/>
  <c r="Q183" i="27"/>
  <c r="S183" i="27" s="1"/>
  <c r="T183" i="27" s="1"/>
  <c r="R183" i="27"/>
  <c r="AT167" i="27"/>
  <c r="H164" i="30" s="1"/>
  <c r="I183" i="27"/>
  <c r="BF182" i="27"/>
  <c r="G179" i="30"/>
  <c r="AZ171" i="27"/>
  <c r="AX169" i="27"/>
  <c r="BE171" i="27"/>
  <c r="F168" i="30"/>
  <c r="BB170" i="27"/>
  <c r="BC170" i="27"/>
  <c r="BL170" i="27" s="1"/>
  <c r="E167" i="30"/>
  <c r="B177" i="30"/>
  <c r="BA170" i="27"/>
  <c r="BI169" i="27"/>
  <c r="BH169" i="27"/>
  <c r="D169" i="30"/>
  <c r="I169" i="30" s="1"/>
  <c r="AY170" i="27"/>
  <c r="BD170" i="27"/>
  <c r="BG170" i="27" s="1"/>
  <c r="BJ168" i="27"/>
  <c r="BK168" i="27" s="1"/>
  <c r="AO183" i="27" l="1"/>
  <c r="AN184" i="27"/>
  <c r="AP183" i="27"/>
  <c r="AB184" i="27"/>
  <c r="AC183" i="27"/>
  <c r="AD183" i="27"/>
  <c r="B184" i="27"/>
  <c r="AU183" i="27"/>
  <c r="O184" i="27"/>
  <c r="U183" i="27"/>
  <c r="AG185" i="27"/>
  <c r="AA186" i="27"/>
  <c r="AS184" i="27"/>
  <c r="AM185" i="27"/>
  <c r="R184" i="27"/>
  <c r="Q184" i="27"/>
  <c r="P185" i="27"/>
  <c r="BF183" i="27"/>
  <c r="G180" i="30"/>
  <c r="I184" i="27"/>
  <c r="AT168" i="27"/>
  <c r="H165" i="30" s="1"/>
  <c r="AZ172" i="27"/>
  <c r="BE172" i="27"/>
  <c r="F169" i="30"/>
  <c r="BC171" i="27"/>
  <c r="BL171" i="27" s="1"/>
  <c r="BB171" i="27"/>
  <c r="E168" i="30"/>
  <c r="B178" i="30"/>
  <c r="AY171" i="27"/>
  <c r="BA171" i="27"/>
  <c r="AX170" i="27"/>
  <c r="BD171" i="27"/>
  <c r="BG171" i="27" s="1"/>
  <c r="BI170" i="27"/>
  <c r="BH170" i="27"/>
  <c r="BJ169" i="27"/>
  <c r="BK169" i="27" s="1"/>
  <c r="D170" i="30"/>
  <c r="I170" i="30" s="1"/>
  <c r="AN185" i="27" l="1"/>
  <c r="AO184" i="27"/>
  <c r="AP184" i="27"/>
  <c r="AQ183" i="27"/>
  <c r="AR183" i="27" s="1"/>
  <c r="AE183" i="27"/>
  <c r="AF183" i="27" s="1"/>
  <c r="AB185" i="27"/>
  <c r="AC184" i="27"/>
  <c r="AD184" i="27"/>
  <c r="O185" i="27"/>
  <c r="U184" i="27"/>
  <c r="S184" i="27"/>
  <c r="T184" i="27" s="1"/>
  <c r="B185" i="27"/>
  <c r="AU184" i="27"/>
  <c r="AM186" i="27"/>
  <c r="AS185" i="27"/>
  <c r="AG186" i="27"/>
  <c r="AA187" i="27"/>
  <c r="I185" i="27"/>
  <c r="Q185" i="27"/>
  <c r="R185" i="27"/>
  <c r="P186" i="27"/>
  <c r="BF184" i="27"/>
  <c r="G181" i="30"/>
  <c r="AT169" i="27"/>
  <c r="H166" i="30" s="1"/>
  <c r="BE173" i="27"/>
  <c r="F170" i="30"/>
  <c r="BB172" i="27"/>
  <c r="BC172" i="27"/>
  <c r="BL172" i="27" s="1"/>
  <c r="E169" i="30"/>
  <c r="B179" i="30"/>
  <c r="AX171" i="27"/>
  <c r="AZ173" i="27"/>
  <c r="BJ170" i="27"/>
  <c r="BK170" i="27" s="1"/>
  <c r="AY172" i="27"/>
  <c r="BD172" i="27"/>
  <c r="BG172" i="27" s="1"/>
  <c r="BA172" i="27"/>
  <c r="D171" i="30"/>
  <c r="I171" i="30" s="1"/>
  <c r="BI171" i="27"/>
  <c r="BH171" i="27"/>
  <c r="AQ184" i="27" l="1"/>
  <c r="AR184" i="27" s="1"/>
  <c r="AO185" i="27"/>
  <c r="AP185" i="27"/>
  <c r="AN186" i="27"/>
  <c r="AE184" i="27"/>
  <c r="AF184" i="27" s="1"/>
  <c r="AD185" i="27"/>
  <c r="AC185" i="27"/>
  <c r="AE185" i="27" s="1"/>
  <c r="AF185" i="27" s="1"/>
  <c r="AB186" i="27"/>
  <c r="B186" i="27"/>
  <c r="AU185" i="27"/>
  <c r="U185" i="27"/>
  <c r="O186" i="27"/>
  <c r="S185" i="27"/>
  <c r="T185" i="27" s="1"/>
  <c r="I186" i="27"/>
  <c r="AG187" i="27"/>
  <c r="AA188" i="27"/>
  <c r="AT170" i="27"/>
  <c r="H167" i="30" s="1"/>
  <c r="G182" i="30"/>
  <c r="BF185" i="27"/>
  <c r="R186" i="27"/>
  <c r="Q186" i="27"/>
  <c r="S186" i="27" s="1"/>
  <c r="T186" i="27" s="1"/>
  <c r="P187" i="27"/>
  <c r="AM187" i="27"/>
  <c r="AS186" i="27"/>
  <c r="AZ174" i="27"/>
  <c r="AX172" i="27"/>
  <c r="BE174" i="27"/>
  <c r="F171" i="30"/>
  <c r="B180" i="30"/>
  <c r="BB173" i="27"/>
  <c r="BC173" i="27"/>
  <c r="BL173" i="27" s="1"/>
  <c r="E170" i="30"/>
  <c r="BA173" i="27"/>
  <c r="BJ171" i="27"/>
  <c r="BK171" i="27" s="1"/>
  <c r="D172" i="30"/>
  <c r="I172" i="30" s="1"/>
  <c r="BD173" i="27"/>
  <c r="BG173" i="27" s="1"/>
  <c r="BI172" i="27"/>
  <c r="BH172" i="27"/>
  <c r="AY173" i="27"/>
  <c r="AN187" i="27" l="1"/>
  <c r="AO186" i="27"/>
  <c r="AP186" i="27"/>
  <c r="AQ185" i="27"/>
  <c r="AR185" i="27" s="1"/>
  <c r="AB187" i="27"/>
  <c r="AC186" i="27"/>
  <c r="AD186" i="27"/>
  <c r="U186" i="27"/>
  <c r="O187" i="27"/>
  <c r="B187" i="27"/>
  <c r="AU186" i="27"/>
  <c r="AG188" i="27"/>
  <c r="AA189" i="27"/>
  <c r="G183" i="30"/>
  <c r="BF186" i="27"/>
  <c r="Q187" i="27"/>
  <c r="R187" i="27"/>
  <c r="P188" i="27"/>
  <c r="I187" i="27"/>
  <c r="AS187" i="27"/>
  <c r="AM188" i="27"/>
  <c r="AT171" i="27"/>
  <c r="H168" i="30" s="1"/>
  <c r="AX173" i="27"/>
  <c r="BJ172" i="27"/>
  <c r="BK172" i="27" s="1"/>
  <c r="BA174" i="27"/>
  <c r="BE175" i="27"/>
  <c r="F172" i="30"/>
  <c r="BB174" i="27"/>
  <c r="BC174" i="27"/>
  <c r="BL174" i="27" s="1"/>
  <c r="E171" i="30"/>
  <c r="B181" i="30"/>
  <c r="AY174" i="27"/>
  <c r="AX174" i="27" s="1"/>
  <c r="AZ175" i="27"/>
  <c r="D173" i="30"/>
  <c r="I173" i="30" s="1"/>
  <c r="BD174" i="27"/>
  <c r="BG174" i="27" s="1"/>
  <c r="BH173" i="27"/>
  <c r="BI173" i="27"/>
  <c r="AQ186" i="27" l="1"/>
  <c r="AR186" i="27" s="1"/>
  <c r="AP187" i="27"/>
  <c r="AN188" i="27"/>
  <c r="AO187" i="27"/>
  <c r="AQ187" i="27" s="1"/>
  <c r="AR187" i="27" s="1"/>
  <c r="AE186" i="27"/>
  <c r="AF186" i="27" s="1"/>
  <c r="AC187" i="27"/>
  <c r="AB188" i="27"/>
  <c r="AD187" i="27"/>
  <c r="S187" i="27"/>
  <c r="T187" i="27" s="1"/>
  <c r="B188" i="27"/>
  <c r="AU187" i="27"/>
  <c r="U187" i="27"/>
  <c r="O188" i="27"/>
  <c r="AT172" i="27"/>
  <c r="H169" i="30" s="1"/>
  <c r="AG189" i="27"/>
  <c r="AA190" i="27"/>
  <c r="AM189" i="27"/>
  <c r="AS188" i="27"/>
  <c r="I188" i="27"/>
  <c r="P189" i="27"/>
  <c r="R188" i="27"/>
  <c r="Q188" i="27"/>
  <c r="BF187" i="27"/>
  <c r="G184" i="30"/>
  <c r="BE176" i="27"/>
  <c r="F173" i="30"/>
  <c r="B182" i="30"/>
  <c r="BB175" i="27"/>
  <c r="BC175" i="27"/>
  <c r="BL175" i="27" s="1"/>
  <c r="E172" i="30"/>
  <c r="AZ176" i="27"/>
  <c r="AY175" i="27"/>
  <c r="BJ173" i="27"/>
  <c r="BK173" i="27" s="1"/>
  <c r="BI174" i="27"/>
  <c r="BH174" i="27"/>
  <c r="BA175" i="27"/>
  <c r="BD175" i="27"/>
  <c r="BG175" i="27" s="1"/>
  <c r="D174" i="30"/>
  <c r="I174" i="30" s="1"/>
  <c r="AN189" i="27" l="1"/>
  <c r="AO188" i="27"/>
  <c r="AP188" i="27"/>
  <c r="AD188" i="27"/>
  <c r="AC188" i="27"/>
  <c r="AE188" i="27" s="1"/>
  <c r="AF188" i="27" s="1"/>
  <c r="AB189" i="27"/>
  <c r="AE187" i="27"/>
  <c r="AF187" i="27" s="1"/>
  <c r="B189" i="27"/>
  <c r="AU188" i="27"/>
  <c r="S188" i="27"/>
  <c r="T188" i="27" s="1"/>
  <c r="U188" i="27"/>
  <c r="O189" i="27"/>
  <c r="G185" i="30"/>
  <c r="BF188" i="27"/>
  <c r="AT173" i="27"/>
  <c r="H170" i="30" s="1"/>
  <c r="I189" i="27"/>
  <c r="AS189" i="27"/>
  <c r="AM190" i="27"/>
  <c r="Q189" i="27"/>
  <c r="R189" i="27"/>
  <c r="P190" i="27"/>
  <c r="AG190" i="27"/>
  <c r="AA191" i="27"/>
  <c r="AZ177" i="27"/>
  <c r="BE177" i="27"/>
  <c r="F174" i="30"/>
  <c r="BB176" i="27"/>
  <c r="BC176" i="27"/>
  <c r="BL176" i="27" s="1"/>
  <c r="E173" i="30"/>
  <c r="B183" i="30"/>
  <c r="BJ174" i="27"/>
  <c r="BK174" i="27" s="1"/>
  <c r="AY176" i="27"/>
  <c r="BD176" i="27"/>
  <c r="BG176" i="27" s="1"/>
  <c r="BI175" i="27"/>
  <c r="BH175" i="27"/>
  <c r="AX175" i="27"/>
  <c r="BA176" i="27"/>
  <c r="D175" i="30"/>
  <c r="I175" i="30" s="1"/>
  <c r="AQ188" i="27" l="1"/>
  <c r="AR188" i="27" s="1"/>
  <c r="AP189" i="27"/>
  <c r="AN190" i="27"/>
  <c r="AO189" i="27"/>
  <c r="AQ189" i="27" s="1"/>
  <c r="AR189" i="27" s="1"/>
  <c r="AB190" i="27"/>
  <c r="AD189" i="27"/>
  <c r="AC189" i="27"/>
  <c r="AE189" i="27" s="1"/>
  <c r="AF189" i="27" s="1"/>
  <c r="O190" i="27"/>
  <c r="U189" i="27"/>
  <c r="B190" i="27"/>
  <c r="AU189" i="27"/>
  <c r="AT174" i="27"/>
  <c r="H171" i="30" s="1"/>
  <c r="I190" i="27"/>
  <c r="S189" i="27"/>
  <c r="T189" i="27" s="1"/>
  <c r="AM191" i="27"/>
  <c r="AS190" i="27"/>
  <c r="G186" i="30"/>
  <c r="BF189" i="27"/>
  <c r="AG191" i="27"/>
  <c r="AA192" i="27"/>
  <c r="Q190" i="27"/>
  <c r="P191" i="27"/>
  <c r="R190" i="27"/>
  <c r="BA177" i="27"/>
  <c r="BE178" i="27"/>
  <c r="F175" i="30"/>
  <c r="B184" i="30"/>
  <c r="BB177" i="27"/>
  <c r="BC177" i="27"/>
  <c r="E174" i="30"/>
  <c r="BJ175" i="27"/>
  <c r="BK175" i="27" s="1"/>
  <c r="AZ178" i="27"/>
  <c r="AY177" i="27"/>
  <c r="D176" i="30"/>
  <c r="I176" i="30" s="1"/>
  <c r="BI176" i="27"/>
  <c r="BH176" i="27"/>
  <c r="AX176" i="27"/>
  <c r="BD177" i="27"/>
  <c r="BG177" i="27" s="1"/>
  <c r="AN191" i="27" l="1"/>
  <c r="AP190" i="27"/>
  <c r="AO190" i="27"/>
  <c r="AQ190" i="27" s="1"/>
  <c r="AR190" i="27" s="1"/>
  <c r="AC190" i="27"/>
  <c r="AD190" i="27"/>
  <c r="AB191" i="27"/>
  <c r="B191" i="27"/>
  <c r="AU190" i="27"/>
  <c r="AX177" i="27"/>
  <c r="O191" i="27"/>
  <c r="U190" i="27"/>
  <c r="G187" i="30"/>
  <c r="BF190" i="27"/>
  <c r="AM192" i="27"/>
  <c r="AS191" i="27"/>
  <c r="S190" i="27"/>
  <c r="T190" i="27" s="1"/>
  <c r="I191" i="27"/>
  <c r="AG192" i="27"/>
  <c r="AA193" i="27"/>
  <c r="P192" i="27"/>
  <c r="Q191" i="27"/>
  <c r="R191" i="27"/>
  <c r="AT175" i="27"/>
  <c r="H172" i="30" s="1"/>
  <c r="BL177" i="27"/>
  <c r="BE179" i="27"/>
  <c r="F176" i="30"/>
  <c r="BB178" i="27"/>
  <c r="BC178" i="27"/>
  <c r="E175" i="30"/>
  <c r="BA178" i="27"/>
  <c r="B185" i="30"/>
  <c r="BJ176" i="27"/>
  <c r="BK176" i="27" s="1"/>
  <c r="AY178" i="27"/>
  <c r="AZ179" i="27"/>
  <c r="D177" i="30"/>
  <c r="I177" i="30" s="1"/>
  <c r="BI177" i="27"/>
  <c r="BH177" i="27"/>
  <c r="BD178" i="27"/>
  <c r="BG178" i="27" s="1"/>
  <c r="AN192" i="27" l="1"/>
  <c r="AO191" i="27"/>
  <c r="AP191" i="27"/>
  <c r="AD191" i="27"/>
  <c r="AC191" i="27"/>
  <c r="AE191" i="27" s="1"/>
  <c r="AF191" i="27" s="1"/>
  <c r="AB192" i="27"/>
  <c r="AE190" i="27"/>
  <c r="AF190" i="27" s="1"/>
  <c r="O192" i="27"/>
  <c r="U191" i="27"/>
  <c r="B192" i="27"/>
  <c r="AU191" i="27"/>
  <c r="AT176" i="27"/>
  <c r="H173" i="30" s="1"/>
  <c r="AM193" i="27"/>
  <c r="AS192" i="27"/>
  <c r="S191" i="27"/>
  <c r="T191" i="27" s="1"/>
  <c r="G188" i="30"/>
  <c r="BF191" i="27"/>
  <c r="P193" i="27"/>
  <c r="Q192" i="27"/>
  <c r="R192" i="27"/>
  <c r="I192" i="27"/>
  <c r="AG193" i="27"/>
  <c r="AA194" i="27"/>
  <c r="BL178" i="27"/>
  <c r="BJ177" i="27"/>
  <c r="BK177" i="27" s="1"/>
  <c r="AX178" i="27"/>
  <c r="BE180" i="27"/>
  <c r="F177" i="30"/>
  <c r="BC179" i="27"/>
  <c r="BB179" i="27"/>
  <c r="E176" i="30"/>
  <c r="B186" i="30"/>
  <c r="AZ180" i="27"/>
  <c r="BA179" i="27"/>
  <c r="D178" i="30"/>
  <c r="I178" i="30" s="1"/>
  <c r="AY179" i="27"/>
  <c r="BH178" i="27"/>
  <c r="BI178" i="27"/>
  <c r="BD179" i="27"/>
  <c r="BG179" i="27" s="1"/>
  <c r="AQ191" i="27" l="1"/>
  <c r="AR191" i="27" s="1"/>
  <c r="AN193" i="27"/>
  <c r="AP192" i="27"/>
  <c r="AO192" i="27"/>
  <c r="AQ192" i="27" s="1"/>
  <c r="AR192" i="27" s="1"/>
  <c r="AB193" i="27"/>
  <c r="AD192" i="27"/>
  <c r="AC192" i="27"/>
  <c r="AE192" i="27" s="1"/>
  <c r="AF192" i="27" s="1"/>
  <c r="B193" i="27"/>
  <c r="AU192" i="27"/>
  <c r="S192" i="27"/>
  <c r="T192" i="27" s="1"/>
  <c r="O193" i="27"/>
  <c r="U192" i="27"/>
  <c r="AM194" i="27"/>
  <c r="AS193" i="27"/>
  <c r="AT177" i="27"/>
  <c r="H174" i="30" s="1"/>
  <c r="G189" i="30"/>
  <c r="BF192" i="27"/>
  <c r="I193" i="27"/>
  <c r="R193" i="27"/>
  <c r="P194" i="27"/>
  <c r="Q193" i="27"/>
  <c r="S193" i="27" s="1"/>
  <c r="T193" i="27" s="1"/>
  <c r="AA195" i="27"/>
  <c r="AG194" i="27"/>
  <c r="BL179" i="27"/>
  <c r="AX179" i="27"/>
  <c r="BE181" i="27"/>
  <c r="F178" i="30"/>
  <c r="BB180" i="27"/>
  <c r="BC180" i="27"/>
  <c r="BL180" i="27" s="1"/>
  <c r="E177" i="30"/>
  <c r="B187" i="30"/>
  <c r="AY180" i="27"/>
  <c r="AZ181" i="27"/>
  <c r="BJ178" i="27"/>
  <c r="BK178" i="27" s="1"/>
  <c r="D179" i="30"/>
  <c r="I179" i="30" s="1"/>
  <c r="BI179" i="27"/>
  <c r="BH179" i="27"/>
  <c r="BA180" i="27"/>
  <c r="BD180" i="27"/>
  <c r="BG180" i="27" s="1"/>
  <c r="AN194" i="27" l="1"/>
  <c r="AO193" i="27"/>
  <c r="AP193" i="27"/>
  <c r="AD193" i="27"/>
  <c r="AC193" i="27"/>
  <c r="AE193" i="27" s="1"/>
  <c r="AF193" i="27" s="1"/>
  <c r="AB194" i="27"/>
  <c r="U193" i="27"/>
  <c r="O194" i="27"/>
  <c r="B194" i="27"/>
  <c r="AU193" i="27"/>
  <c r="R194" i="27"/>
  <c r="P195" i="27"/>
  <c r="Q194" i="27"/>
  <c r="S194" i="27" s="1"/>
  <c r="T194" i="27" s="1"/>
  <c r="AT178" i="27"/>
  <c r="H175" i="30" s="1"/>
  <c r="I194" i="27"/>
  <c r="AA196" i="27"/>
  <c r="AG195" i="27"/>
  <c r="BF193" i="27"/>
  <c r="G190" i="30"/>
  <c r="AS194" i="27"/>
  <c r="AM195" i="27"/>
  <c r="AX180" i="27"/>
  <c r="BE182" i="27"/>
  <c r="F179" i="30"/>
  <c r="AZ182" i="27"/>
  <c r="BC181" i="27"/>
  <c r="BL181" i="27" s="1"/>
  <c r="BB181" i="27"/>
  <c r="E178" i="30"/>
  <c r="B188" i="30"/>
  <c r="BJ179" i="27"/>
  <c r="BK179" i="27" s="1"/>
  <c r="BD181" i="27"/>
  <c r="BG181" i="27" s="1"/>
  <c r="D180" i="30"/>
  <c r="I180" i="30" s="1"/>
  <c r="AY181" i="27"/>
  <c r="BA181" i="27"/>
  <c r="BI180" i="27"/>
  <c r="BH180" i="27"/>
  <c r="BJ180" i="27" s="1"/>
  <c r="BK180" i="27" s="1"/>
  <c r="AQ193" i="27" l="1"/>
  <c r="AR193" i="27" s="1"/>
  <c r="AO194" i="27"/>
  <c r="AP194" i="27"/>
  <c r="AN195" i="27"/>
  <c r="AD194" i="27"/>
  <c r="AC194" i="27"/>
  <c r="AE194" i="27" s="1"/>
  <c r="AF194" i="27" s="1"/>
  <c r="AB195" i="27"/>
  <c r="B195" i="27"/>
  <c r="AU194" i="27"/>
  <c r="U194" i="27"/>
  <c r="O195" i="27"/>
  <c r="AM196" i="27"/>
  <c r="AS195" i="27"/>
  <c r="AT179" i="27"/>
  <c r="H176" i="30" s="1"/>
  <c r="I195" i="27"/>
  <c r="BF194" i="27"/>
  <c r="G191" i="30"/>
  <c r="Q195" i="27"/>
  <c r="R195" i="27"/>
  <c r="P196" i="27"/>
  <c r="AG196" i="27"/>
  <c r="AA197" i="27"/>
  <c r="AT180" i="27"/>
  <c r="H177" i="30" s="1"/>
  <c r="BE183" i="27"/>
  <c r="F180" i="30"/>
  <c r="BB182" i="27"/>
  <c r="BC182" i="27"/>
  <c r="E179" i="30"/>
  <c r="B189" i="30"/>
  <c r="AY182" i="27"/>
  <c r="AZ183" i="27"/>
  <c r="BA182" i="27"/>
  <c r="AX181" i="27"/>
  <c r="BI181" i="27"/>
  <c r="BH181" i="27"/>
  <c r="D181" i="30"/>
  <c r="I181" i="30" s="1"/>
  <c r="BD182" i="27"/>
  <c r="BG182" i="27" s="1"/>
  <c r="AN196" i="27" l="1"/>
  <c r="AO195" i="27"/>
  <c r="AP195" i="27"/>
  <c r="AQ194" i="27"/>
  <c r="AR194" i="27" s="1"/>
  <c r="AB196" i="27"/>
  <c r="AC195" i="27"/>
  <c r="AD195" i="27"/>
  <c r="U195" i="27"/>
  <c r="O196" i="27"/>
  <c r="B196" i="27"/>
  <c r="AU195" i="27"/>
  <c r="I196" i="27"/>
  <c r="Q196" i="27"/>
  <c r="S196" i="27" s="1"/>
  <c r="T196" i="27" s="1"/>
  <c r="R196" i="27"/>
  <c r="P197" i="27"/>
  <c r="G192" i="30"/>
  <c r="BF195" i="27"/>
  <c r="AM197" i="27"/>
  <c r="AS196" i="27"/>
  <c r="AA198" i="27"/>
  <c r="AG197" i="27"/>
  <c r="S195" i="27"/>
  <c r="T195" i="27" s="1"/>
  <c r="BL182" i="27"/>
  <c r="AX182" i="27"/>
  <c r="BE184" i="27"/>
  <c r="F181" i="30"/>
  <c r="BA183" i="27"/>
  <c r="BC183" i="27"/>
  <c r="BB183" i="27"/>
  <c r="E180" i="30"/>
  <c r="B190" i="30"/>
  <c r="BJ181" i="27"/>
  <c r="BK181" i="27" s="1"/>
  <c r="AY183" i="27"/>
  <c r="AX183" i="27" s="1"/>
  <c r="AZ184" i="27"/>
  <c r="BH182" i="27"/>
  <c r="BI182" i="27"/>
  <c r="BD183" i="27"/>
  <c r="BG183" i="27" s="1"/>
  <c r="D182" i="30"/>
  <c r="I182" i="30" s="1"/>
  <c r="AQ195" i="27" l="1"/>
  <c r="AR195" i="27" s="1"/>
  <c r="AP196" i="27"/>
  <c r="AN197" i="27"/>
  <c r="AO196" i="27"/>
  <c r="AQ196" i="27" s="1"/>
  <c r="AR196" i="27" s="1"/>
  <c r="AE195" i="27"/>
  <c r="AF195" i="27" s="1"/>
  <c r="AD196" i="27"/>
  <c r="AC196" i="27"/>
  <c r="AE196" i="27" s="1"/>
  <c r="AF196" i="27" s="1"/>
  <c r="AB197" i="27"/>
  <c r="B197" i="27"/>
  <c r="AU196" i="27"/>
  <c r="O197" i="27"/>
  <c r="U196" i="27"/>
  <c r="BF196" i="27"/>
  <c r="G193" i="30"/>
  <c r="P198" i="27"/>
  <c r="Q197" i="27"/>
  <c r="R197" i="27"/>
  <c r="AM198" i="27"/>
  <c r="AS197" i="27"/>
  <c r="AT181" i="27"/>
  <c r="H178" i="30" s="1"/>
  <c r="I197" i="27"/>
  <c r="AG198" i="27"/>
  <c r="AA199" i="27"/>
  <c r="BL183" i="27"/>
  <c r="BE185" i="27"/>
  <c r="F182" i="30"/>
  <c r="B191" i="30"/>
  <c r="BB184" i="27"/>
  <c r="BC184" i="27"/>
  <c r="BL184" i="27" s="1"/>
  <c r="E181" i="30"/>
  <c r="AZ186" i="27"/>
  <c r="BH183" i="27"/>
  <c r="BI183" i="27"/>
  <c r="BD184" i="27"/>
  <c r="BG184" i="27" s="1"/>
  <c r="AY184" i="27"/>
  <c r="BJ182" i="27"/>
  <c r="BK182" i="27" s="1"/>
  <c r="AZ185" i="27"/>
  <c r="D183" i="30"/>
  <c r="I183" i="30" s="1"/>
  <c r="BA184" i="27"/>
  <c r="AN198" i="27" l="1"/>
  <c r="AP197" i="27"/>
  <c r="AO197" i="27"/>
  <c r="AQ197" i="27" s="1"/>
  <c r="AR197" i="27" s="1"/>
  <c r="AB198" i="27"/>
  <c r="AD197" i="27"/>
  <c r="AC197" i="27"/>
  <c r="AE197" i="27" s="1"/>
  <c r="AF197" i="27" s="1"/>
  <c r="U197" i="27"/>
  <c r="O198" i="27"/>
  <c r="B198" i="27"/>
  <c r="AU197" i="27"/>
  <c r="AT182" i="27"/>
  <c r="H179" i="30" s="1"/>
  <c r="I198" i="27"/>
  <c r="S197" i="27"/>
  <c r="T197" i="27" s="1"/>
  <c r="BF197" i="27"/>
  <c r="G194" i="30"/>
  <c r="P199" i="27"/>
  <c r="Q198" i="27"/>
  <c r="R198" i="27"/>
  <c r="AG199" i="27"/>
  <c r="AA200" i="27"/>
  <c r="AM199" i="27"/>
  <c r="AS198" i="27"/>
  <c r="BE186" i="27"/>
  <c r="F183" i="30"/>
  <c r="AX184" i="27"/>
  <c r="BB185" i="27"/>
  <c r="BC185" i="27"/>
  <c r="BL185" i="27" s="1"/>
  <c r="E182" i="30"/>
  <c r="B192" i="30"/>
  <c r="AY185" i="27"/>
  <c r="BA185" i="27"/>
  <c r="BI184" i="27"/>
  <c r="BH184" i="27"/>
  <c r="D184" i="30"/>
  <c r="I184" i="30" s="1"/>
  <c r="BJ183" i="27"/>
  <c r="BK183" i="27" s="1"/>
  <c r="BD185" i="27"/>
  <c r="BG185" i="27" s="1"/>
  <c r="AN199" i="27" l="1"/>
  <c r="AO198" i="27"/>
  <c r="AP198" i="27"/>
  <c r="AD198" i="27"/>
  <c r="AC198" i="27"/>
  <c r="AE198" i="27" s="1"/>
  <c r="AF198" i="27" s="1"/>
  <c r="AB199" i="27"/>
  <c r="B199" i="27"/>
  <c r="AU198" i="27"/>
  <c r="U198" i="27"/>
  <c r="O199" i="27"/>
  <c r="AT183" i="27"/>
  <c r="H180" i="30" s="1"/>
  <c r="P200" i="27"/>
  <c r="R199" i="27"/>
  <c r="Q199" i="27"/>
  <c r="S199" i="27" s="1"/>
  <c r="T199" i="27" s="1"/>
  <c r="AS199" i="27"/>
  <c r="AM200" i="27"/>
  <c r="AG200" i="27"/>
  <c r="AA201" i="27"/>
  <c r="I199" i="27"/>
  <c r="S198" i="27"/>
  <c r="T198" i="27" s="1"/>
  <c r="BF198" i="27"/>
  <c r="G195" i="30"/>
  <c r="AX185" i="27"/>
  <c r="BE187" i="27"/>
  <c r="F184" i="30"/>
  <c r="B193" i="30"/>
  <c r="BB186" i="27"/>
  <c r="BC186" i="27"/>
  <c r="BL186" i="27" s="1"/>
  <c r="E183" i="30"/>
  <c r="AZ187" i="27"/>
  <c r="BJ184" i="27"/>
  <c r="BK184" i="27" s="1"/>
  <c r="BA186" i="27"/>
  <c r="BD186" i="27"/>
  <c r="BG186" i="27" s="1"/>
  <c r="D185" i="30"/>
  <c r="I185" i="30" s="1"/>
  <c r="BI185" i="27"/>
  <c r="BH185" i="27"/>
  <c r="AY186" i="27"/>
  <c r="AQ198" i="27" l="1"/>
  <c r="AR198" i="27" s="1"/>
  <c r="AO199" i="27"/>
  <c r="AP199" i="27"/>
  <c r="AN200" i="27"/>
  <c r="AD199" i="27"/>
  <c r="AB200" i="27"/>
  <c r="AC199" i="27"/>
  <c r="AE199" i="27" s="1"/>
  <c r="AF199" i="27" s="1"/>
  <c r="O200" i="27"/>
  <c r="U199" i="27"/>
  <c r="B200" i="27"/>
  <c r="AU199" i="27"/>
  <c r="AM201" i="27"/>
  <c r="AS200" i="27"/>
  <c r="Q200" i="27"/>
  <c r="R200" i="27"/>
  <c r="P201" i="27"/>
  <c r="I200" i="27"/>
  <c r="AA202" i="27"/>
  <c r="AG201" i="27"/>
  <c r="AT184" i="27"/>
  <c r="H181" i="30" s="1"/>
  <c r="BF199" i="27"/>
  <c r="G196" i="30"/>
  <c r="BJ185" i="27"/>
  <c r="BK185" i="27" s="1"/>
  <c r="BA187" i="27"/>
  <c r="AY187" i="27"/>
  <c r="BE188" i="27"/>
  <c r="F185" i="30"/>
  <c r="BB187" i="27"/>
  <c r="BC187" i="27"/>
  <c r="BL187" i="27" s="1"/>
  <c r="E184" i="30"/>
  <c r="B194" i="30"/>
  <c r="AX187" i="27"/>
  <c r="D186" i="30"/>
  <c r="I186" i="30" s="1"/>
  <c r="AZ188" i="27"/>
  <c r="AX186" i="27"/>
  <c r="BI186" i="27"/>
  <c r="BH186" i="27"/>
  <c r="BD187" i="27"/>
  <c r="BG187" i="27" s="1"/>
  <c r="AP200" i="27" l="1"/>
  <c r="AN201" i="27"/>
  <c r="AO200" i="27"/>
  <c r="AQ200" i="27" s="1"/>
  <c r="AR200" i="27" s="1"/>
  <c r="AQ199" i="27"/>
  <c r="AR199" i="27" s="1"/>
  <c r="AB201" i="27"/>
  <c r="AC200" i="27"/>
  <c r="AD200" i="27"/>
  <c r="B201" i="27"/>
  <c r="AU200" i="27"/>
  <c r="U200" i="27"/>
  <c r="O201" i="27"/>
  <c r="AG202" i="27"/>
  <c r="AA203" i="27"/>
  <c r="S200" i="27"/>
  <c r="T200" i="27" s="1"/>
  <c r="BF200" i="27"/>
  <c r="G197" i="30"/>
  <c r="I201" i="27"/>
  <c r="Q201" i="27"/>
  <c r="R201" i="27"/>
  <c r="P202" i="27"/>
  <c r="AM202" i="27"/>
  <c r="AS201" i="27"/>
  <c r="AT185" i="27"/>
  <c r="H182" i="30" s="1"/>
  <c r="BE189" i="27"/>
  <c r="F186" i="30"/>
  <c r="B195" i="30"/>
  <c r="BB188" i="27"/>
  <c r="BC188" i="27"/>
  <c r="BL188" i="27" s="1"/>
  <c r="E185" i="30"/>
  <c r="AY188" i="27"/>
  <c r="BJ186" i="27"/>
  <c r="BK186" i="27" s="1"/>
  <c r="BD188" i="27"/>
  <c r="BG188" i="27" s="1"/>
  <c r="BA188" i="27"/>
  <c r="BH187" i="27"/>
  <c r="BI187" i="27"/>
  <c r="AZ189" i="27"/>
  <c r="D187" i="30"/>
  <c r="I187" i="30" s="1"/>
  <c r="AP201" i="27" l="1"/>
  <c r="AN202" i="27"/>
  <c r="AO201" i="27"/>
  <c r="AQ201" i="27" s="1"/>
  <c r="AR201" i="27" s="1"/>
  <c r="AE200" i="27"/>
  <c r="AF200" i="27" s="1"/>
  <c r="AC201" i="27"/>
  <c r="AB202" i="27"/>
  <c r="AD201" i="27"/>
  <c r="O202" i="27"/>
  <c r="U201" i="27"/>
  <c r="B202" i="27"/>
  <c r="AU201" i="27"/>
  <c r="AM203" i="27"/>
  <c r="AS202" i="27"/>
  <c r="AT186" i="27"/>
  <c r="H183" i="30" s="1"/>
  <c r="P203" i="27"/>
  <c r="Q202" i="27"/>
  <c r="R202" i="27"/>
  <c r="S201" i="27"/>
  <c r="T201" i="27" s="1"/>
  <c r="I202" i="27"/>
  <c r="AG203" i="27"/>
  <c r="AA204" i="27"/>
  <c r="G198" i="30"/>
  <c r="BF201" i="27"/>
  <c r="AZ190" i="27"/>
  <c r="AX188" i="27"/>
  <c r="BE190" i="27"/>
  <c r="F187" i="30"/>
  <c r="BB189" i="27"/>
  <c r="BC189" i="27"/>
  <c r="BL189" i="27" s="1"/>
  <c r="E186" i="30"/>
  <c r="B196" i="30"/>
  <c r="AY189" i="27"/>
  <c r="BJ187" i="27"/>
  <c r="BK187" i="27" s="1"/>
  <c r="BD189" i="27"/>
  <c r="BG189" i="27" s="1"/>
  <c r="BA189" i="27"/>
  <c r="AX189" i="27" s="1"/>
  <c r="D188" i="30"/>
  <c r="I188" i="30" s="1"/>
  <c r="BI188" i="27"/>
  <c r="BH188" i="27"/>
  <c r="BA190" i="27"/>
  <c r="AN203" i="27" l="1"/>
  <c r="AO202" i="27"/>
  <c r="AP202" i="27"/>
  <c r="AD202" i="27"/>
  <c r="AB203" i="27"/>
  <c r="AC202" i="27"/>
  <c r="AE202" i="27" s="1"/>
  <c r="AF202" i="27" s="1"/>
  <c r="AE201" i="27"/>
  <c r="AF201" i="27" s="1"/>
  <c r="B203" i="27"/>
  <c r="AU202" i="27"/>
  <c r="U202" i="27"/>
  <c r="O203" i="27"/>
  <c r="AM204" i="27"/>
  <c r="AS203" i="27"/>
  <c r="AT187" i="27"/>
  <c r="H184" i="30" s="1"/>
  <c r="R203" i="27"/>
  <c r="P204" i="27"/>
  <c r="Q203" i="27"/>
  <c r="S203" i="27" s="1"/>
  <c r="T203" i="27" s="1"/>
  <c r="BF202" i="27"/>
  <c r="G199" i="30"/>
  <c r="I203" i="27"/>
  <c r="S202" i="27"/>
  <c r="T202" i="27" s="1"/>
  <c r="AG204" i="27"/>
  <c r="AA205" i="27"/>
  <c r="BE191" i="27"/>
  <c r="F188" i="30"/>
  <c r="B197" i="30"/>
  <c r="BB190" i="27"/>
  <c r="BC190" i="27"/>
  <c r="BL190" i="27" s="1"/>
  <c r="E187" i="30"/>
  <c r="BJ188" i="27"/>
  <c r="BK188" i="27" s="1"/>
  <c r="AZ191" i="27"/>
  <c r="BI189" i="27"/>
  <c r="BH189" i="27"/>
  <c r="AY191" i="27"/>
  <c r="AY190" i="27"/>
  <c r="AX190" i="27" s="1"/>
  <c r="D189" i="30"/>
  <c r="I189" i="30" s="1"/>
  <c r="BD190" i="27"/>
  <c r="BG190" i="27" s="1"/>
  <c r="AQ202" i="27" l="1"/>
  <c r="AR202" i="27" s="1"/>
  <c r="AP203" i="27"/>
  <c r="AO203" i="27"/>
  <c r="AQ203" i="27" s="1"/>
  <c r="AR203" i="27" s="1"/>
  <c r="AN204" i="27"/>
  <c r="AD203" i="27"/>
  <c r="AB204" i="27"/>
  <c r="AC203" i="27"/>
  <c r="AE203" i="27" s="1"/>
  <c r="AF203" i="27" s="1"/>
  <c r="O204" i="27"/>
  <c r="U203" i="27"/>
  <c r="B204" i="27"/>
  <c r="AU203" i="27"/>
  <c r="AT188" i="27"/>
  <c r="H185" i="30" s="1"/>
  <c r="AS204" i="27"/>
  <c r="AM205" i="27"/>
  <c r="R204" i="27"/>
  <c r="P205" i="27"/>
  <c r="Q204" i="27"/>
  <c r="S204" i="27" s="1"/>
  <c r="T204" i="27" s="1"/>
  <c r="AG205" i="27"/>
  <c r="AA206" i="27"/>
  <c r="BF203" i="27"/>
  <c r="G200" i="30"/>
  <c r="I204" i="27"/>
  <c r="BJ189" i="27"/>
  <c r="BK189" i="27" s="1"/>
  <c r="BE192" i="27"/>
  <c r="F189" i="30"/>
  <c r="BC191" i="27"/>
  <c r="BB191" i="27"/>
  <c r="E188" i="30"/>
  <c r="B198" i="30"/>
  <c r="AZ192" i="27"/>
  <c r="D190" i="30"/>
  <c r="I190" i="30" s="1"/>
  <c r="BI190" i="27"/>
  <c r="BH190" i="27"/>
  <c r="BA191" i="27"/>
  <c r="AX191" i="27" s="1"/>
  <c r="BD191" i="27"/>
  <c r="BG191" i="27" s="1"/>
  <c r="AN205" i="27" l="1"/>
  <c r="AP204" i="27"/>
  <c r="AO204" i="27"/>
  <c r="AQ204" i="27" s="1"/>
  <c r="AR204" i="27" s="1"/>
  <c r="AC204" i="27"/>
  <c r="AE204" i="27" s="1"/>
  <c r="AF204" i="27" s="1"/>
  <c r="AD204" i="27"/>
  <c r="AB205" i="27"/>
  <c r="B205" i="27"/>
  <c r="AU204" i="27"/>
  <c r="O205" i="27"/>
  <c r="U204" i="27"/>
  <c r="AT189" i="27"/>
  <c r="H186" i="30" s="1"/>
  <c r="AA207" i="27"/>
  <c r="AG206" i="27"/>
  <c r="I205" i="27"/>
  <c r="Q205" i="27"/>
  <c r="R205" i="27"/>
  <c r="P206" i="27"/>
  <c r="AM206" i="27"/>
  <c r="AS205" i="27"/>
  <c r="BF204" i="27"/>
  <c r="G201" i="30"/>
  <c r="BL191" i="27"/>
  <c r="BE193" i="27"/>
  <c r="F190" i="30"/>
  <c r="BB192" i="27"/>
  <c r="BC192" i="27"/>
  <c r="BL192" i="27" s="1"/>
  <c r="E189" i="30"/>
  <c r="B199" i="30"/>
  <c r="AY192" i="27"/>
  <c r="BA192" i="27"/>
  <c r="AZ193" i="27"/>
  <c r="D191" i="30"/>
  <c r="I191" i="30" s="1"/>
  <c r="BD192" i="27"/>
  <c r="BG192" i="27" s="1"/>
  <c r="BJ190" i="27"/>
  <c r="BK190" i="27" s="1"/>
  <c r="BI191" i="27"/>
  <c r="BH191" i="27"/>
  <c r="AP205" i="27" l="1"/>
  <c r="AO205" i="27"/>
  <c r="AQ205" i="27" s="1"/>
  <c r="AR205" i="27" s="1"/>
  <c r="AN206" i="27"/>
  <c r="AB206" i="27"/>
  <c r="AD205" i="27"/>
  <c r="AC205" i="27"/>
  <c r="AE205" i="27" s="1"/>
  <c r="AF205" i="27" s="1"/>
  <c r="S205" i="27"/>
  <c r="T205" i="27" s="1"/>
  <c r="O206" i="27"/>
  <c r="U205" i="27"/>
  <c r="B206" i="27"/>
  <c r="AU205" i="27"/>
  <c r="R206" i="27"/>
  <c r="P207" i="27"/>
  <c r="Q206" i="27"/>
  <c r="I206" i="27"/>
  <c r="AM207" i="27"/>
  <c r="AS206" i="27"/>
  <c r="BF205" i="27"/>
  <c r="G202" i="30"/>
  <c r="AG207" i="27"/>
  <c r="AA208" i="27"/>
  <c r="AT190" i="27"/>
  <c r="H187" i="30" s="1"/>
  <c r="AX192" i="27"/>
  <c r="BE194" i="27"/>
  <c r="F191" i="30"/>
  <c r="BB193" i="27"/>
  <c r="BC193" i="27"/>
  <c r="E190" i="30"/>
  <c r="BA193" i="27"/>
  <c r="BJ191" i="27"/>
  <c r="BK191" i="27" s="1"/>
  <c r="B200" i="30"/>
  <c r="AZ194" i="27"/>
  <c r="AY193" i="27"/>
  <c r="AX193" i="27" s="1"/>
  <c r="BI192" i="27"/>
  <c r="BH192" i="27"/>
  <c r="D192" i="30"/>
  <c r="I192" i="30" s="1"/>
  <c r="BD193" i="27"/>
  <c r="BG193" i="27" s="1"/>
  <c r="AP206" i="27" l="1"/>
  <c r="AO206" i="27"/>
  <c r="AQ206" i="27" s="1"/>
  <c r="AR206" i="27" s="1"/>
  <c r="AN207" i="27"/>
  <c r="AB207" i="27"/>
  <c r="AD206" i="27"/>
  <c r="AC206" i="27"/>
  <c r="AE206" i="27" s="1"/>
  <c r="AF206" i="27" s="1"/>
  <c r="B207" i="27"/>
  <c r="AU206" i="27"/>
  <c r="O207" i="27"/>
  <c r="U206" i="27"/>
  <c r="S206" i="27"/>
  <c r="T206" i="27" s="1"/>
  <c r="AT191" i="27"/>
  <c r="H188" i="30" s="1"/>
  <c r="Q207" i="27"/>
  <c r="R207" i="27"/>
  <c r="P208" i="27"/>
  <c r="AG208" i="27"/>
  <c r="AA209" i="27"/>
  <c r="AM208" i="27"/>
  <c r="AS207" i="27"/>
  <c r="BF206" i="27"/>
  <c r="G203" i="30"/>
  <c r="I207" i="27"/>
  <c r="BL193" i="27"/>
  <c r="AZ195" i="27"/>
  <c r="BE195" i="27"/>
  <c r="F192" i="30"/>
  <c r="BJ192" i="27"/>
  <c r="BK192" i="27" s="1"/>
  <c r="B201" i="30"/>
  <c r="BC194" i="27"/>
  <c r="BB194" i="27"/>
  <c r="E191" i="30"/>
  <c r="BI193" i="27"/>
  <c r="BH193" i="27"/>
  <c r="BD194" i="27"/>
  <c r="BG194" i="27" s="1"/>
  <c r="D193" i="30"/>
  <c r="I193" i="30" s="1"/>
  <c r="AY194" i="27"/>
  <c r="BA194" i="27"/>
  <c r="AP207" i="27" l="1"/>
  <c r="AN208" i="27"/>
  <c r="AO207" i="27"/>
  <c r="AQ207" i="27" s="1"/>
  <c r="AR207" i="27" s="1"/>
  <c r="AD207" i="27"/>
  <c r="AC207" i="27"/>
  <c r="AE207" i="27" s="1"/>
  <c r="AF207" i="27" s="1"/>
  <c r="AB208" i="27"/>
  <c r="O208" i="27"/>
  <c r="U207" i="27"/>
  <c r="B208" i="27"/>
  <c r="AU207" i="27"/>
  <c r="AM209" i="27"/>
  <c r="AS208" i="27"/>
  <c r="P209" i="27"/>
  <c r="Q208" i="27"/>
  <c r="R208" i="27"/>
  <c r="G204" i="30"/>
  <c r="BF207" i="27"/>
  <c r="I208" i="27"/>
  <c r="AT192" i="27"/>
  <c r="H189" i="30" s="1"/>
  <c r="S207" i="27"/>
  <c r="T207" i="27" s="1"/>
  <c r="AG209" i="27"/>
  <c r="AA210" i="27"/>
  <c r="BL194" i="27"/>
  <c r="BE196" i="27"/>
  <c r="F193" i="30"/>
  <c r="BB195" i="27"/>
  <c r="BC195" i="27"/>
  <c r="BL195" i="27" s="1"/>
  <c r="E192" i="30"/>
  <c r="B202" i="30"/>
  <c r="AX194" i="27"/>
  <c r="BJ193" i="27"/>
  <c r="BK193" i="27" s="1"/>
  <c r="BA195" i="27"/>
  <c r="AZ196" i="27"/>
  <c r="BD195" i="27"/>
  <c r="BG195" i="27" s="1"/>
  <c r="AY195" i="27"/>
  <c r="BI194" i="27"/>
  <c r="BH194" i="27"/>
  <c r="D194" i="30"/>
  <c r="I194" i="30" s="1"/>
  <c r="AP208" i="27" l="1"/>
  <c r="AN209" i="27"/>
  <c r="AO208" i="27"/>
  <c r="AQ208" i="27" s="1"/>
  <c r="AR208" i="27" s="1"/>
  <c r="AC208" i="27"/>
  <c r="AB209" i="27"/>
  <c r="AD208" i="27"/>
  <c r="B209" i="27"/>
  <c r="AU208" i="27"/>
  <c r="O209" i="27"/>
  <c r="U208" i="27"/>
  <c r="BF208" i="27"/>
  <c r="G205" i="30"/>
  <c r="AT193" i="27"/>
  <c r="H190" i="30" s="1"/>
  <c r="I209" i="27"/>
  <c r="S208" i="27"/>
  <c r="T208" i="27" s="1"/>
  <c r="P210" i="27"/>
  <c r="R209" i="27"/>
  <c r="Q209" i="27"/>
  <c r="S209" i="27" s="1"/>
  <c r="T209" i="27" s="1"/>
  <c r="AG210" i="27"/>
  <c r="AA211" i="27"/>
  <c r="AM210" i="27"/>
  <c r="AS209" i="27"/>
  <c r="AZ197" i="27"/>
  <c r="BA196" i="27"/>
  <c r="AX195" i="27"/>
  <c r="BE197" i="27"/>
  <c r="F194" i="30"/>
  <c r="BC196" i="27"/>
  <c r="BB196" i="27"/>
  <c r="E193" i="30"/>
  <c r="B203" i="30"/>
  <c r="AY196" i="27"/>
  <c r="AX196" i="27" s="1"/>
  <c r="BD196" i="27"/>
  <c r="BG196" i="27" s="1"/>
  <c r="BJ194" i="27"/>
  <c r="BK194" i="27" s="1"/>
  <c r="D195" i="30"/>
  <c r="I195" i="30" s="1"/>
  <c r="BI195" i="27"/>
  <c r="BH195" i="27"/>
  <c r="AP209" i="27" l="1"/>
  <c r="AO209" i="27"/>
  <c r="AQ209" i="27" s="1"/>
  <c r="AR209" i="27" s="1"/>
  <c r="AN210" i="27"/>
  <c r="AB210" i="27"/>
  <c r="AD209" i="27"/>
  <c r="AC209" i="27"/>
  <c r="AE209" i="27" s="1"/>
  <c r="AF209" i="27" s="1"/>
  <c r="AE208" i="27"/>
  <c r="AF208" i="27" s="1"/>
  <c r="O210" i="27"/>
  <c r="U209" i="27"/>
  <c r="B210" i="27"/>
  <c r="AU209" i="27"/>
  <c r="AT194" i="27"/>
  <c r="H191" i="30" s="1"/>
  <c r="I210" i="27"/>
  <c r="AM211" i="27"/>
  <c r="AS210" i="27"/>
  <c r="AA212" i="27"/>
  <c r="AG211" i="27"/>
  <c r="Q210" i="27"/>
  <c r="R210" i="27"/>
  <c r="P211" i="27"/>
  <c r="BF209" i="27"/>
  <c r="G206" i="30"/>
  <c r="BL196" i="27"/>
  <c r="BE198" i="27"/>
  <c r="F195" i="30"/>
  <c r="B204" i="30"/>
  <c r="BB197" i="27"/>
  <c r="BC197" i="27"/>
  <c r="BL197" i="27" s="1"/>
  <c r="E194" i="30"/>
  <c r="BA197" i="27"/>
  <c r="AY197" i="27"/>
  <c r="AZ198" i="27"/>
  <c r="BJ195" i="27"/>
  <c r="BK195" i="27" s="1"/>
  <c r="BI196" i="27"/>
  <c r="BH196" i="27"/>
  <c r="D196" i="30"/>
  <c r="I196" i="30" s="1"/>
  <c r="BD197" i="27"/>
  <c r="BG197" i="27" s="1"/>
  <c r="AN211" i="27" l="1"/>
  <c r="AO210" i="27"/>
  <c r="AP210" i="27"/>
  <c r="AD210" i="27"/>
  <c r="AB211" i="27"/>
  <c r="AC210" i="27"/>
  <c r="AE210" i="27" s="1"/>
  <c r="AF210" i="27" s="1"/>
  <c r="B211" i="27"/>
  <c r="AU210" i="27"/>
  <c r="O211" i="27"/>
  <c r="U210" i="27"/>
  <c r="S210" i="27"/>
  <c r="T210" i="27" s="1"/>
  <c r="AG212" i="27"/>
  <c r="AA213" i="27"/>
  <c r="AM212" i="27"/>
  <c r="AS211" i="27"/>
  <c r="AT195" i="27"/>
  <c r="H192" i="30" s="1"/>
  <c r="P212" i="27"/>
  <c r="Q211" i="27"/>
  <c r="R211" i="27"/>
  <c r="BF210" i="27"/>
  <c r="G207" i="30"/>
  <c r="I211" i="27"/>
  <c r="AX197" i="27"/>
  <c r="BJ196" i="27"/>
  <c r="BK196" i="27" s="1"/>
  <c r="BE199" i="27"/>
  <c r="F196" i="30"/>
  <c r="BB198" i="27"/>
  <c r="BC198" i="27"/>
  <c r="E195" i="30"/>
  <c r="B205" i="30"/>
  <c r="BA198" i="27"/>
  <c r="AZ199" i="27"/>
  <c r="AY198" i="27"/>
  <c r="BI197" i="27"/>
  <c r="BH197" i="27"/>
  <c r="BD198" i="27"/>
  <c r="BG198" i="27" s="1"/>
  <c r="D197" i="30"/>
  <c r="I197" i="30" s="1"/>
  <c r="AQ210" i="27" l="1"/>
  <c r="AR210" i="27" s="1"/>
  <c r="AO211" i="27"/>
  <c r="AN212" i="27"/>
  <c r="AP211" i="27"/>
  <c r="AB212" i="27"/>
  <c r="AC211" i="27"/>
  <c r="AD211" i="27"/>
  <c r="U211" i="27"/>
  <c r="O212" i="27"/>
  <c r="B212" i="27"/>
  <c r="AU211" i="27"/>
  <c r="AG213" i="27"/>
  <c r="AA214" i="27"/>
  <c r="AT196" i="27"/>
  <c r="H193" i="30" s="1"/>
  <c r="P213" i="27"/>
  <c r="Q212" i="27"/>
  <c r="R212" i="27"/>
  <c r="BF211" i="27"/>
  <c r="G208" i="30"/>
  <c r="I212" i="27"/>
  <c r="AM213" i="27"/>
  <c r="AS212" i="27"/>
  <c r="S211" i="27"/>
  <c r="T211" i="27" s="1"/>
  <c r="BL198" i="27"/>
  <c r="AY199" i="27"/>
  <c r="AX198" i="27"/>
  <c r="BE200" i="27"/>
  <c r="F197" i="30"/>
  <c r="BB199" i="27"/>
  <c r="BC199" i="27"/>
  <c r="BL199" i="27" s="1"/>
  <c r="E196" i="30"/>
  <c r="B206" i="30"/>
  <c r="BA199" i="27"/>
  <c r="AZ200" i="27"/>
  <c r="BJ197" i="27"/>
  <c r="BK197" i="27" s="1"/>
  <c r="D198" i="30"/>
  <c r="I198" i="30" s="1"/>
  <c r="BD199" i="27"/>
  <c r="BG199" i="27" s="1"/>
  <c r="BH198" i="27"/>
  <c r="BI198" i="27"/>
  <c r="AN213" i="27" l="1"/>
  <c r="AP212" i="27"/>
  <c r="AO212" i="27"/>
  <c r="AQ212" i="27" s="1"/>
  <c r="AR212" i="27" s="1"/>
  <c r="AQ211" i="27"/>
  <c r="AR211" i="27" s="1"/>
  <c r="AX199" i="27"/>
  <c r="AE211" i="27"/>
  <c r="AF211" i="27" s="1"/>
  <c r="AC212" i="27"/>
  <c r="AD212" i="27"/>
  <c r="AB213" i="27"/>
  <c r="B213" i="27"/>
  <c r="AU212" i="27"/>
  <c r="O213" i="27"/>
  <c r="U212" i="27"/>
  <c r="Q213" i="27"/>
  <c r="S213" i="27" s="1"/>
  <c r="T213" i="27" s="1"/>
  <c r="R213" i="27"/>
  <c r="P214" i="27"/>
  <c r="G209" i="30"/>
  <c r="BF212" i="27"/>
  <c r="AT197" i="27"/>
  <c r="H194" i="30" s="1"/>
  <c r="S212" i="27"/>
  <c r="T212" i="27" s="1"/>
  <c r="AG214" i="27"/>
  <c r="AA215" i="27"/>
  <c r="I213" i="27"/>
  <c r="AS213" i="27"/>
  <c r="AM214" i="27"/>
  <c r="BE201" i="27"/>
  <c r="F198" i="30"/>
  <c r="BB200" i="27"/>
  <c r="BC200" i="27"/>
  <c r="BL200" i="27" s="1"/>
  <c r="E197" i="30"/>
  <c r="B207" i="30"/>
  <c r="BA200" i="27"/>
  <c r="AY200" i="27"/>
  <c r="BJ198" i="27"/>
  <c r="BK198" i="27" s="1"/>
  <c r="AZ201" i="27"/>
  <c r="BI199" i="27"/>
  <c r="BH199" i="27"/>
  <c r="BD200" i="27"/>
  <c r="BG200" i="27" s="1"/>
  <c r="D199" i="30"/>
  <c r="I199" i="30" s="1"/>
  <c r="AP213" i="27" l="1"/>
  <c r="AO213" i="27"/>
  <c r="AQ213" i="27" s="1"/>
  <c r="AR213" i="27" s="1"/>
  <c r="AN214" i="27"/>
  <c r="AD213" i="27"/>
  <c r="AB214" i="27"/>
  <c r="AC213" i="27"/>
  <c r="AE213" i="27" s="1"/>
  <c r="AF213" i="27" s="1"/>
  <c r="AE212" i="27"/>
  <c r="AF212" i="27" s="1"/>
  <c r="O214" i="27"/>
  <c r="U213" i="27"/>
  <c r="B214" i="27"/>
  <c r="AU213" i="27"/>
  <c r="I214" i="27"/>
  <c r="AG215" i="27"/>
  <c r="AA216" i="27"/>
  <c r="AT198" i="27"/>
  <c r="H195" i="30" s="1"/>
  <c r="AM215" i="27"/>
  <c r="AS214" i="27"/>
  <c r="G210" i="30"/>
  <c r="BF213" i="27"/>
  <c r="R214" i="27"/>
  <c r="P215" i="27"/>
  <c r="Q214" i="27"/>
  <c r="S214" i="27" s="1"/>
  <c r="T214" i="27" s="1"/>
  <c r="AX200" i="27"/>
  <c r="BE202" i="27"/>
  <c r="F199" i="30"/>
  <c r="BJ199" i="27"/>
  <c r="BK199" i="27" s="1"/>
  <c r="BC201" i="27"/>
  <c r="BB201" i="27"/>
  <c r="E198" i="30"/>
  <c r="B208" i="30"/>
  <c r="AZ202" i="27"/>
  <c r="BA201" i="27"/>
  <c r="D200" i="30"/>
  <c r="I200" i="30" s="1"/>
  <c r="BD201" i="27"/>
  <c r="BG201" i="27" s="1"/>
  <c r="BI200" i="27"/>
  <c r="BH200" i="27"/>
  <c r="AY201" i="27"/>
  <c r="AP214" i="27" l="1"/>
  <c r="AO214" i="27"/>
  <c r="AQ214" i="27" s="1"/>
  <c r="AR214" i="27" s="1"/>
  <c r="AN215" i="27"/>
  <c r="AD214" i="27"/>
  <c r="AB215" i="27"/>
  <c r="AC214" i="27"/>
  <c r="AE214" i="27" s="1"/>
  <c r="AF214" i="27" s="1"/>
  <c r="B215" i="27"/>
  <c r="AU214" i="27"/>
  <c r="O215" i="27"/>
  <c r="U214" i="27"/>
  <c r="I215" i="27"/>
  <c r="AM216" i="27"/>
  <c r="AS215" i="27"/>
  <c r="AT199" i="27"/>
  <c r="H196" i="30" s="1"/>
  <c r="BF214" i="27"/>
  <c r="G211" i="30"/>
  <c r="AA217" i="27"/>
  <c r="AG216" i="27"/>
  <c r="Q215" i="27"/>
  <c r="R215" i="27"/>
  <c r="P216" i="27"/>
  <c r="BL201" i="27"/>
  <c r="BE203" i="27"/>
  <c r="F200" i="30"/>
  <c r="AX201" i="27"/>
  <c r="B209" i="30"/>
  <c r="BB202" i="27"/>
  <c r="BC202" i="27"/>
  <c r="BL202" i="27" s="1"/>
  <c r="E199" i="30"/>
  <c r="AY202" i="27"/>
  <c r="BA202" i="27"/>
  <c r="BJ200" i="27"/>
  <c r="BK200" i="27" s="1"/>
  <c r="AZ203" i="27"/>
  <c r="BD202" i="27"/>
  <c r="BG202" i="27" s="1"/>
  <c r="D201" i="30"/>
  <c r="I201" i="30" s="1"/>
  <c r="BH201" i="27"/>
  <c r="BI201" i="27"/>
  <c r="AN216" i="27" l="1"/>
  <c r="AO215" i="27"/>
  <c r="AP215" i="27"/>
  <c r="AD215" i="27"/>
  <c r="AC215" i="27"/>
  <c r="AE215" i="27" s="1"/>
  <c r="AF215" i="27" s="1"/>
  <c r="AB216" i="27"/>
  <c r="U215" i="27"/>
  <c r="O216" i="27"/>
  <c r="B216" i="27"/>
  <c r="AU215" i="27"/>
  <c r="AA218" i="27"/>
  <c r="AG217" i="27"/>
  <c r="I216" i="27"/>
  <c r="S215" i="27"/>
  <c r="T215" i="27" s="1"/>
  <c r="AM217" i="27"/>
  <c r="AS216" i="27"/>
  <c r="P217" i="27"/>
  <c r="Q216" i="27"/>
  <c r="R216" i="27"/>
  <c r="AT200" i="27"/>
  <c r="H197" i="30" s="1"/>
  <c r="G212" i="30"/>
  <c r="BF215" i="27"/>
  <c r="AZ204" i="27"/>
  <c r="BE204" i="27"/>
  <c r="F201" i="30"/>
  <c r="BB203" i="27"/>
  <c r="BC203" i="27"/>
  <c r="BL203" i="27" s="1"/>
  <c r="E200" i="30"/>
  <c r="B210" i="30"/>
  <c r="BA203" i="27"/>
  <c r="AX202" i="27"/>
  <c r="BJ201" i="27"/>
  <c r="BK201" i="27" s="1"/>
  <c r="BD203" i="27"/>
  <c r="BG203" i="27" s="1"/>
  <c r="AZ205" i="27"/>
  <c r="BI202" i="27"/>
  <c r="BH202" i="27"/>
  <c r="D202" i="30"/>
  <c r="I202" i="30" s="1"/>
  <c r="AY203" i="27"/>
  <c r="AQ215" i="27" l="1"/>
  <c r="AR215" i="27" s="1"/>
  <c r="AN217" i="27"/>
  <c r="AO216" i="27"/>
  <c r="AQ216" i="27" s="1"/>
  <c r="AR216" i="27" s="1"/>
  <c r="AP216" i="27"/>
  <c r="AC216" i="27"/>
  <c r="AD216" i="27"/>
  <c r="AB217" i="27"/>
  <c r="B217" i="27"/>
  <c r="AU216" i="27"/>
  <c r="O217" i="27"/>
  <c r="U216" i="27"/>
  <c r="I217" i="27"/>
  <c r="BF216" i="27"/>
  <c r="G213" i="30"/>
  <c r="AM218" i="27"/>
  <c r="AS217" i="27"/>
  <c r="AT201" i="27"/>
  <c r="H198" i="30" s="1"/>
  <c r="Q217" i="27"/>
  <c r="R217" i="27"/>
  <c r="P218" i="27"/>
  <c r="S216" i="27"/>
  <c r="T216" i="27" s="1"/>
  <c r="AG218" i="27"/>
  <c r="AA219" i="27"/>
  <c r="BE205" i="27"/>
  <c r="F202" i="30"/>
  <c r="BJ202" i="27"/>
  <c r="BK202" i="27" s="1"/>
  <c r="AX203" i="27"/>
  <c r="B211" i="30"/>
  <c r="BC204" i="27"/>
  <c r="BB204" i="27"/>
  <c r="E201" i="30"/>
  <c r="AY204" i="27"/>
  <c r="BA204" i="27"/>
  <c r="BI203" i="27"/>
  <c r="BH203" i="27"/>
  <c r="D203" i="30"/>
  <c r="I203" i="30" s="1"/>
  <c r="BD204" i="27"/>
  <c r="BG204" i="27" s="1"/>
  <c r="AN218" i="27" l="1"/>
  <c r="AO217" i="27"/>
  <c r="AP217" i="27"/>
  <c r="AD217" i="27"/>
  <c r="AB218" i="27"/>
  <c r="AC217" i="27"/>
  <c r="AE217" i="27" s="1"/>
  <c r="AF217" i="27" s="1"/>
  <c r="AE216" i="27"/>
  <c r="AF216" i="27" s="1"/>
  <c r="U217" i="27"/>
  <c r="O218" i="27"/>
  <c r="B218" i="27"/>
  <c r="AU217" i="27"/>
  <c r="G214" i="30"/>
  <c r="BF217" i="27"/>
  <c r="AT202" i="27"/>
  <c r="H199" i="30" s="1"/>
  <c r="Q218" i="27"/>
  <c r="R218" i="27"/>
  <c r="P219" i="27"/>
  <c r="S217" i="27"/>
  <c r="T217" i="27" s="1"/>
  <c r="AG219" i="27"/>
  <c r="AA220" i="27"/>
  <c r="AM219" i="27"/>
  <c r="AS218" i="27"/>
  <c r="I218" i="27"/>
  <c r="BL204" i="27"/>
  <c r="BJ203" i="27"/>
  <c r="BK203" i="27" s="1"/>
  <c r="AX204" i="27"/>
  <c r="BE206" i="27"/>
  <c r="F203" i="30"/>
  <c r="BC205" i="27"/>
  <c r="BB205" i="27"/>
  <c r="E202" i="30"/>
  <c r="B212" i="30"/>
  <c r="BA205" i="27"/>
  <c r="AZ206" i="27"/>
  <c r="AY205" i="27"/>
  <c r="D204" i="30"/>
  <c r="I204" i="30" s="1"/>
  <c r="BD205" i="27"/>
  <c r="BG205" i="27" s="1"/>
  <c r="BH204" i="27"/>
  <c r="BI204" i="27"/>
  <c r="AQ217" i="27" l="1"/>
  <c r="AR217" i="27" s="1"/>
  <c r="AP218" i="27"/>
  <c r="AO218" i="27"/>
  <c r="AQ218" i="27" s="1"/>
  <c r="AR218" i="27" s="1"/>
  <c r="AN219" i="27"/>
  <c r="AC218" i="27"/>
  <c r="AB219" i="27"/>
  <c r="AD218" i="27"/>
  <c r="B219" i="27"/>
  <c r="AU218" i="27"/>
  <c r="U218" i="27"/>
  <c r="O219" i="27"/>
  <c r="AM220" i="27"/>
  <c r="AS219" i="27"/>
  <c r="AG220" i="27"/>
  <c r="AA221" i="27"/>
  <c r="S218" i="27"/>
  <c r="T218" i="27" s="1"/>
  <c r="AT203" i="27"/>
  <c r="H200" i="30" s="1"/>
  <c r="P220" i="27"/>
  <c r="Q219" i="27"/>
  <c r="R219" i="27"/>
  <c r="I219" i="27"/>
  <c r="BF218" i="27"/>
  <c r="G215" i="30"/>
  <c r="AZ207" i="27"/>
  <c r="BL205" i="27"/>
  <c r="AX205" i="27"/>
  <c r="BE207" i="27"/>
  <c r="F204" i="30"/>
  <c r="BB206" i="27"/>
  <c r="BC206" i="27"/>
  <c r="BL206" i="27" s="1"/>
  <c r="E203" i="30"/>
  <c r="B213" i="30"/>
  <c r="BA206" i="27"/>
  <c r="AY206" i="27"/>
  <c r="BD206" i="27"/>
  <c r="BG206" i="27" s="1"/>
  <c r="BJ204" i="27"/>
  <c r="BK204" i="27" s="1"/>
  <c r="BI205" i="27"/>
  <c r="BH205" i="27"/>
  <c r="D205" i="30"/>
  <c r="I205" i="30" s="1"/>
  <c r="AO219" i="27" l="1"/>
  <c r="AP219" i="27"/>
  <c r="AN220" i="27"/>
  <c r="AD219" i="27"/>
  <c r="AB220" i="27"/>
  <c r="AC219" i="27"/>
  <c r="AE219" i="27" s="1"/>
  <c r="AF219" i="27" s="1"/>
  <c r="AE218" i="27"/>
  <c r="AF218" i="27" s="1"/>
  <c r="U219" i="27"/>
  <c r="O220" i="27"/>
  <c r="B220" i="27"/>
  <c r="AU219" i="27"/>
  <c r="I220" i="27"/>
  <c r="S219" i="27"/>
  <c r="T219" i="27" s="1"/>
  <c r="BF219" i="27"/>
  <c r="G216" i="30"/>
  <c r="Q220" i="27"/>
  <c r="R220" i="27"/>
  <c r="P221" i="27"/>
  <c r="AG221" i="27"/>
  <c r="AA222" i="27"/>
  <c r="AT204" i="27"/>
  <c r="H201" i="30" s="1"/>
  <c r="AS220" i="27"/>
  <c r="AM221" i="27"/>
  <c r="BA207" i="27"/>
  <c r="BE208" i="27"/>
  <c r="F205" i="30"/>
  <c r="AX206" i="27"/>
  <c r="B214" i="30"/>
  <c r="BC207" i="27"/>
  <c r="BB207" i="27"/>
  <c r="E204" i="30"/>
  <c r="AY207" i="27"/>
  <c r="AX207" i="27" s="1"/>
  <c r="AZ208" i="27"/>
  <c r="BJ205" i="27"/>
  <c r="BK205" i="27" s="1"/>
  <c r="BD207" i="27"/>
  <c r="BG207" i="27" s="1"/>
  <c r="BI206" i="27"/>
  <c r="BH206" i="27"/>
  <c r="D206" i="30"/>
  <c r="I206" i="30" s="1"/>
  <c r="AN221" i="27" l="1"/>
  <c r="AO220" i="27"/>
  <c r="AP220" i="27"/>
  <c r="AQ219" i="27"/>
  <c r="AR219" i="27" s="1"/>
  <c r="AD220" i="27"/>
  <c r="AB221" i="27"/>
  <c r="AC220" i="27"/>
  <c r="AE220" i="27" s="1"/>
  <c r="AF220" i="27" s="1"/>
  <c r="B221" i="27"/>
  <c r="AU220" i="27"/>
  <c r="U220" i="27"/>
  <c r="O221" i="27"/>
  <c r="AT205" i="27"/>
  <c r="H202" i="30" s="1"/>
  <c r="BF220" i="27"/>
  <c r="G217" i="30"/>
  <c r="I221" i="27"/>
  <c r="S220" i="27"/>
  <c r="T220" i="27" s="1"/>
  <c r="AM222" i="27"/>
  <c r="AS221" i="27"/>
  <c r="Q221" i="27"/>
  <c r="P222" i="27"/>
  <c r="R221" i="27"/>
  <c r="AA223" i="27"/>
  <c r="AG222" i="27"/>
  <c r="BL207" i="27"/>
  <c r="BE209" i="27"/>
  <c r="F206" i="30"/>
  <c r="BB208" i="27"/>
  <c r="BC208" i="27"/>
  <c r="E205" i="30"/>
  <c r="B215" i="30"/>
  <c r="BA208" i="27"/>
  <c r="AZ209" i="27"/>
  <c r="AY208" i="27"/>
  <c r="BI207" i="27"/>
  <c r="BH207" i="27"/>
  <c r="BD208" i="27"/>
  <c r="BG208" i="27" s="1"/>
  <c r="D207" i="30"/>
  <c r="I207" i="30" s="1"/>
  <c r="BJ206" i="27"/>
  <c r="BK206" i="27" s="1"/>
  <c r="AQ220" i="27" l="1"/>
  <c r="AR220" i="27" s="1"/>
  <c r="AO221" i="27"/>
  <c r="AN222" i="27"/>
  <c r="AP221" i="27"/>
  <c r="AB222" i="27"/>
  <c r="AC221" i="27"/>
  <c r="AD221" i="27"/>
  <c r="O222" i="27"/>
  <c r="U221" i="27"/>
  <c r="B222" i="27"/>
  <c r="AU221" i="27"/>
  <c r="P223" i="27"/>
  <c r="Q222" i="27"/>
  <c r="S222" i="27" s="1"/>
  <c r="T222" i="27" s="1"/>
  <c r="R222" i="27"/>
  <c r="S221" i="27"/>
  <c r="T221" i="27" s="1"/>
  <c r="BF221" i="27"/>
  <c r="G218" i="30"/>
  <c r="AM223" i="27"/>
  <c r="AS222" i="27"/>
  <c r="AG223" i="27"/>
  <c r="AA224" i="27"/>
  <c r="I222" i="27"/>
  <c r="AT206" i="27"/>
  <c r="H203" i="30" s="1"/>
  <c r="BL208" i="27"/>
  <c r="BE210" i="27"/>
  <c r="F207" i="30"/>
  <c r="AX208" i="27"/>
  <c r="BB209" i="27"/>
  <c r="BC209" i="27"/>
  <c r="BL209" i="27" s="1"/>
  <c r="E206" i="30"/>
  <c r="B216" i="30"/>
  <c r="AZ210" i="27"/>
  <c r="BJ207" i="27"/>
  <c r="BK207" i="27" s="1"/>
  <c r="BA209" i="27"/>
  <c r="D208" i="30"/>
  <c r="I208" i="30" s="1"/>
  <c r="BI208" i="27"/>
  <c r="BH208" i="27"/>
  <c r="AY209" i="27"/>
  <c r="BD209" i="27"/>
  <c r="BG209" i="27" s="1"/>
  <c r="AP222" i="27" l="1"/>
  <c r="AO222" i="27"/>
  <c r="AQ222" i="27" s="1"/>
  <c r="AR222" i="27" s="1"/>
  <c r="AN223" i="27"/>
  <c r="AQ221" i="27"/>
  <c r="AR221" i="27" s="1"/>
  <c r="AE221" i="27"/>
  <c r="AF221" i="27" s="1"/>
  <c r="AC222" i="27"/>
  <c r="AD222" i="27"/>
  <c r="AB223" i="27"/>
  <c r="B223" i="27"/>
  <c r="AU222" i="27"/>
  <c r="O223" i="27"/>
  <c r="U222" i="27"/>
  <c r="I223" i="27"/>
  <c r="AT207" i="27"/>
  <c r="H204" i="30" s="1"/>
  <c r="AG224" i="27"/>
  <c r="AA225" i="27"/>
  <c r="BF222" i="27"/>
  <c r="G219" i="30"/>
  <c r="P224" i="27"/>
  <c r="Q223" i="27"/>
  <c r="R223" i="27"/>
  <c r="AM224" i="27"/>
  <c r="AS223" i="27"/>
  <c r="BJ208" i="27"/>
  <c r="BK208" i="27" s="1"/>
  <c r="BA210" i="27"/>
  <c r="BE211" i="27"/>
  <c r="F208" i="30"/>
  <c r="BB210" i="27"/>
  <c r="BC210" i="27"/>
  <c r="BL210" i="27" s="1"/>
  <c r="E207" i="30"/>
  <c r="B217" i="30"/>
  <c r="AX209" i="27"/>
  <c r="AZ211" i="27"/>
  <c r="AY210" i="27"/>
  <c r="BI209" i="27"/>
  <c r="BH209" i="27"/>
  <c r="BD210" i="27"/>
  <c r="BG210" i="27" s="1"/>
  <c r="D209" i="30"/>
  <c r="I209" i="30" s="1"/>
  <c r="AN224" i="27" l="1"/>
  <c r="AO223" i="27"/>
  <c r="AP223" i="27"/>
  <c r="AB224" i="27"/>
  <c r="AC223" i="27"/>
  <c r="AE223" i="27" s="1"/>
  <c r="AF223" i="27" s="1"/>
  <c r="AD223" i="27"/>
  <c r="AE222" i="27"/>
  <c r="AF222" i="27" s="1"/>
  <c r="O224" i="27"/>
  <c r="U223" i="27"/>
  <c r="AX210" i="27"/>
  <c r="B224" i="27"/>
  <c r="AU223" i="27"/>
  <c r="AA226" i="27"/>
  <c r="AG225" i="27"/>
  <c r="AT208" i="27"/>
  <c r="H205" i="30" s="1"/>
  <c r="Q224" i="27"/>
  <c r="R224" i="27"/>
  <c r="P225" i="27"/>
  <c r="AM225" i="27"/>
  <c r="AS224" i="27"/>
  <c r="G220" i="30"/>
  <c r="BF223" i="27"/>
  <c r="I224" i="27"/>
  <c r="S223" i="27"/>
  <c r="T223" i="27" s="1"/>
  <c r="BE212" i="27"/>
  <c r="F209" i="30"/>
  <c r="BC211" i="27"/>
  <c r="BL211" i="27" s="1"/>
  <c r="BB211" i="27"/>
  <c r="E208" i="30"/>
  <c r="B218" i="30"/>
  <c r="BJ209" i="27"/>
  <c r="BK209" i="27" s="1"/>
  <c r="AZ212" i="27"/>
  <c r="BA211" i="27"/>
  <c r="AY211" i="27"/>
  <c r="BI210" i="27"/>
  <c r="BH210" i="27"/>
  <c r="BD211" i="27"/>
  <c r="BG211" i="27" s="1"/>
  <c r="D210" i="30"/>
  <c r="I210" i="30" s="1"/>
  <c r="AQ223" i="27" l="1"/>
  <c r="AR223" i="27" s="1"/>
  <c r="AP224" i="27"/>
  <c r="AO224" i="27"/>
  <c r="AQ224" i="27" s="1"/>
  <c r="AR224" i="27" s="1"/>
  <c r="AN225" i="27"/>
  <c r="AD224" i="27"/>
  <c r="AC224" i="27"/>
  <c r="AE224" i="27" s="1"/>
  <c r="AF224" i="27" s="1"/>
  <c r="AB225" i="27"/>
  <c r="B225" i="27"/>
  <c r="AU224" i="27"/>
  <c r="O225" i="27"/>
  <c r="U224" i="27"/>
  <c r="I225" i="27"/>
  <c r="AT209" i="27"/>
  <c r="H206" i="30" s="1"/>
  <c r="R225" i="27"/>
  <c r="P226" i="27"/>
  <c r="Q225" i="27"/>
  <c r="S225" i="27" s="1"/>
  <c r="T225" i="27" s="1"/>
  <c r="S224" i="27"/>
  <c r="T224" i="27" s="1"/>
  <c r="G221" i="30"/>
  <c r="BF224" i="27"/>
  <c r="AA227" i="27"/>
  <c r="AG226" i="27"/>
  <c r="AM226" i="27"/>
  <c r="AS225" i="27"/>
  <c r="AX211" i="27"/>
  <c r="BE213" i="27"/>
  <c r="F210" i="30"/>
  <c r="BB212" i="27"/>
  <c r="BC212" i="27"/>
  <c r="BL212" i="27" s="1"/>
  <c r="E209" i="30"/>
  <c r="B219" i="30"/>
  <c r="AZ213" i="27"/>
  <c r="AY212" i="27"/>
  <c r="BA212" i="27"/>
  <c r="BJ210" i="27"/>
  <c r="BK210" i="27" s="1"/>
  <c r="BI211" i="27"/>
  <c r="BH211" i="27"/>
  <c r="BD212" i="27"/>
  <c r="BG212" i="27" s="1"/>
  <c r="D211" i="30"/>
  <c r="I211" i="30" s="1"/>
  <c r="AP225" i="27" l="1"/>
  <c r="AN226" i="27"/>
  <c r="AO225" i="27"/>
  <c r="AQ225" i="27" s="1"/>
  <c r="AR225" i="27" s="1"/>
  <c r="AB226" i="27"/>
  <c r="AD225" i="27"/>
  <c r="AC225" i="27"/>
  <c r="AE225" i="27" s="1"/>
  <c r="AF225" i="27" s="1"/>
  <c r="U225" i="27"/>
  <c r="O226" i="27"/>
  <c r="B226" i="27"/>
  <c r="AU225" i="27"/>
  <c r="R226" i="27"/>
  <c r="Q226" i="27"/>
  <c r="S226" i="27" s="1"/>
  <c r="T226" i="27" s="1"/>
  <c r="P227" i="27"/>
  <c r="AT210" i="27"/>
  <c r="H207" i="30" s="1"/>
  <c r="AM227" i="27"/>
  <c r="AS226" i="27"/>
  <c r="I226" i="27"/>
  <c r="AA228" i="27"/>
  <c r="AG227" i="27"/>
  <c r="BF225" i="27"/>
  <c r="G222" i="30"/>
  <c r="BJ211" i="27"/>
  <c r="BK211" i="27" s="1"/>
  <c r="AX212" i="27"/>
  <c r="BE214" i="27"/>
  <c r="F211" i="30"/>
  <c r="BB213" i="27"/>
  <c r="BC213" i="27"/>
  <c r="BL213" i="27" s="1"/>
  <c r="E210" i="30"/>
  <c r="B220" i="30"/>
  <c r="AZ214" i="27"/>
  <c r="AY213" i="27"/>
  <c r="BD213" i="27"/>
  <c r="BG213" i="27" s="1"/>
  <c r="BI212" i="27"/>
  <c r="BH212" i="27"/>
  <c r="D212" i="30"/>
  <c r="I212" i="30" s="1"/>
  <c r="BA213" i="27"/>
  <c r="AP226" i="27" l="1"/>
  <c r="AO226" i="27"/>
  <c r="AQ226" i="27" s="1"/>
  <c r="AR226" i="27" s="1"/>
  <c r="AN227" i="27"/>
  <c r="AB227" i="27"/>
  <c r="AC226" i="27"/>
  <c r="AE226" i="27" s="1"/>
  <c r="AF226" i="27" s="1"/>
  <c r="AD226" i="27"/>
  <c r="B227" i="27"/>
  <c r="AU226" i="27"/>
  <c r="O227" i="27"/>
  <c r="U226" i="27"/>
  <c r="AA229" i="27"/>
  <c r="AG228" i="27"/>
  <c r="P228" i="27"/>
  <c r="R227" i="27"/>
  <c r="Q227" i="27"/>
  <c r="S227" i="27" s="1"/>
  <c r="T227" i="27" s="1"/>
  <c r="I227" i="27"/>
  <c r="BF226" i="27"/>
  <c r="G223" i="30"/>
  <c r="AT211" i="27"/>
  <c r="H208" i="30" s="1"/>
  <c r="AM228" i="27"/>
  <c r="AS227" i="27"/>
  <c r="BJ212" i="27"/>
  <c r="BK212" i="27" s="1"/>
  <c r="BA214" i="27"/>
  <c r="BE215" i="27"/>
  <c r="F212" i="30"/>
  <c r="BB214" i="27"/>
  <c r="BC214" i="27"/>
  <c r="BL214" i="27" s="1"/>
  <c r="E211" i="30"/>
  <c r="B221" i="30"/>
  <c r="AY214" i="27"/>
  <c r="AZ215" i="27"/>
  <c r="BD214" i="27"/>
  <c r="BG214" i="27" s="1"/>
  <c r="D213" i="30"/>
  <c r="I213" i="30" s="1"/>
  <c r="BI213" i="27"/>
  <c r="BH213" i="27"/>
  <c r="AX213" i="27"/>
  <c r="AO227" i="27" l="1"/>
  <c r="AN228" i="27"/>
  <c r="AP227" i="27"/>
  <c r="AB228" i="27"/>
  <c r="AC227" i="27"/>
  <c r="AD227" i="27"/>
  <c r="O228" i="27"/>
  <c r="U227" i="27"/>
  <c r="B228" i="27"/>
  <c r="AU227" i="27"/>
  <c r="AG229" i="27"/>
  <c r="AA230" i="27"/>
  <c r="R228" i="27"/>
  <c r="P229" i="27"/>
  <c r="Q228" i="27"/>
  <c r="S228" i="27" s="1"/>
  <c r="T228" i="27" s="1"/>
  <c r="I228" i="27"/>
  <c r="AT212" i="27"/>
  <c r="H209" i="30" s="1"/>
  <c r="BF227" i="27"/>
  <c r="G224" i="30"/>
  <c r="AM229" i="27"/>
  <c r="AS228" i="27"/>
  <c r="AX214" i="27"/>
  <c r="BE216" i="27"/>
  <c r="F213" i="30"/>
  <c r="BB215" i="27"/>
  <c r="BC215" i="27"/>
  <c r="E212" i="30"/>
  <c r="B222" i="30"/>
  <c r="AZ216" i="27"/>
  <c r="BA215" i="27"/>
  <c r="BJ213" i="27"/>
  <c r="BK213" i="27" s="1"/>
  <c r="BD215" i="27"/>
  <c r="BG215" i="27" s="1"/>
  <c r="D214" i="30"/>
  <c r="I214" i="30" s="1"/>
  <c r="BI214" i="27"/>
  <c r="BH214" i="27"/>
  <c r="AY215" i="27"/>
  <c r="AN229" i="27" l="1"/>
  <c r="AP228" i="27"/>
  <c r="AO228" i="27"/>
  <c r="AQ228" i="27" s="1"/>
  <c r="AR228" i="27" s="1"/>
  <c r="AQ227" i="27"/>
  <c r="AR227" i="27" s="1"/>
  <c r="AE227" i="27"/>
  <c r="AF227" i="27" s="1"/>
  <c r="AC228" i="27"/>
  <c r="AB229" i="27"/>
  <c r="AD228" i="27"/>
  <c r="B229" i="27"/>
  <c r="AU228" i="27"/>
  <c r="U228" i="27"/>
  <c r="O229" i="27"/>
  <c r="AM230" i="27"/>
  <c r="AS229" i="27"/>
  <c r="P230" i="27"/>
  <c r="Q229" i="27"/>
  <c r="R229" i="27"/>
  <c r="G225" i="30"/>
  <c r="BF228" i="27"/>
  <c r="AT213" i="27"/>
  <c r="H210" i="30" s="1"/>
  <c r="I229" i="27"/>
  <c r="AG230" i="27"/>
  <c r="AA231" i="27"/>
  <c r="BL215" i="27"/>
  <c r="AY216" i="27"/>
  <c r="BE217" i="27"/>
  <c r="F214" i="30"/>
  <c r="B223" i="30"/>
  <c r="AX215" i="27"/>
  <c r="BB216" i="27"/>
  <c r="BC216" i="27"/>
  <c r="BL216" i="27" s="1"/>
  <c r="E213" i="30"/>
  <c r="BJ214" i="27"/>
  <c r="BK214" i="27" s="1"/>
  <c r="BI215" i="27"/>
  <c r="BH215" i="27"/>
  <c r="D215" i="30"/>
  <c r="I215" i="30" s="1"/>
  <c r="BD216" i="27"/>
  <c r="BG216" i="27" s="1"/>
  <c r="AZ217" i="27"/>
  <c r="BA216" i="27"/>
  <c r="AP229" i="27" l="1"/>
  <c r="AN230" i="27"/>
  <c r="AO229" i="27"/>
  <c r="AQ229" i="27" s="1"/>
  <c r="AR229" i="27" s="1"/>
  <c r="AC229" i="27"/>
  <c r="AD229" i="27"/>
  <c r="AB230" i="27"/>
  <c r="AE228" i="27"/>
  <c r="AF228" i="27" s="1"/>
  <c r="O230" i="27"/>
  <c r="U229" i="27"/>
  <c r="B230" i="27"/>
  <c r="AU229" i="27"/>
  <c r="AT214" i="27"/>
  <c r="H211" i="30" s="1"/>
  <c r="P231" i="27"/>
  <c r="Q230" i="27"/>
  <c r="R230" i="27"/>
  <c r="AG231" i="27"/>
  <c r="AA232" i="27"/>
  <c r="I230" i="27"/>
  <c r="S229" i="27"/>
  <c r="T229" i="27" s="1"/>
  <c r="G226" i="30"/>
  <c r="BF229" i="27"/>
  <c r="AM231" i="27"/>
  <c r="AS230" i="27"/>
  <c r="AX216" i="27"/>
  <c r="BA217" i="27"/>
  <c r="BE218" i="27"/>
  <c r="F215" i="30"/>
  <c r="BC217" i="27"/>
  <c r="BB217" i="27"/>
  <c r="E214" i="30"/>
  <c r="B224" i="30"/>
  <c r="BJ215" i="27"/>
  <c r="BK215" i="27" s="1"/>
  <c r="AZ218" i="27"/>
  <c r="D216" i="30"/>
  <c r="I216" i="30" s="1"/>
  <c r="AY217" i="27"/>
  <c r="BH216" i="27"/>
  <c r="BI216" i="27"/>
  <c r="BD217" i="27"/>
  <c r="BG217" i="27" s="1"/>
  <c r="AO230" i="27" l="1"/>
  <c r="AN231" i="27"/>
  <c r="AP230" i="27"/>
  <c r="AC230" i="27"/>
  <c r="AD230" i="27"/>
  <c r="AB231" i="27"/>
  <c r="AE229" i="27"/>
  <c r="AF229" i="27" s="1"/>
  <c r="S230" i="27"/>
  <c r="T230" i="27" s="1"/>
  <c r="AX217" i="27"/>
  <c r="B231" i="27"/>
  <c r="AU230" i="27"/>
  <c r="U230" i="27"/>
  <c r="O231" i="27"/>
  <c r="AG232" i="27"/>
  <c r="AA233" i="27"/>
  <c r="BF230" i="27"/>
  <c r="G227" i="30"/>
  <c r="Q231" i="27"/>
  <c r="R231" i="27"/>
  <c r="P232" i="27"/>
  <c r="AM232" i="27"/>
  <c r="AS231" i="27"/>
  <c r="AT215" i="27"/>
  <c r="H212" i="30" s="1"/>
  <c r="I231" i="27"/>
  <c r="BL217" i="27"/>
  <c r="BE219" i="27"/>
  <c r="F216" i="30"/>
  <c r="BB218" i="27"/>
  <c r="BC218" i="27"/>
  <c r="BL218" i="27" s="1"/>
  <c r="E215" i="30"/>
  <c r="B225" i="30"/>
  <c r="BA218" i="27"/>
  <c r="BD218" i="27"/>
  <c r="BG218" i="27" s="1"/>
  <c r="BJ216" i="27"/>
  <c r="BK216" i="27" s="1"/>
  <c r="D217" i="30"/>
  <c r="I217" i="30" s="1"/>
  <c r="AZ219" i="27"/>
  <c r="BI217" i="27"/>
  <c r="BH217" i="27"/>
  <c r="AZ220" i="27"/>
  <c r="AY218" i="27"/>
  <c r="AO231" i="27" l="1"/>
  <c r="AP231" i="27"/>
  <c r="AN232" i="27"/>
  <c r="AQ230" i="27"/>
  <c r="AR230" i="27" s="1"/>
  <c r="AB232" i="27"/>
  <c r="AC231" i="27"/>
  <c r="AD231" i="27"/>
  <c r="AE230" i="27"/>
  <c r="AF230" i="27" s="1"/>
  <c r="O232" i="27"/>
  <c r="U231" i="27"/>
  <c r="B232" i="27"/>
  <c r="AU231" i="27"/>
  <c r="P233" i="27"/>
  <c r="Q232" i="27"/>
  <c r="R232" i="27"/>
  <c r="I232" i="27"/>
  <c r="AT216" i="27"/>
  <c r="H213" i="30" s="1"/>
  <c r="S231" i="27"/>
  <c r="T231" i="27" s="1"/>
  <c r="AM233" i="27"/>
  <c r="AS232" i="27"/>
  <c r="AG233" i="27"/>
  <c r="AA234" i="27"/>
  <c r="G228" i="30"/>
  <c r="BF231" i="27"/>
  <c r="AX218" i="27"/>
  <c r="BE220" i="27"/>
  <c r="F217" i="30"/>
  <c r="B226" i="30"/>
  <c r="BC219" i="27"/>
  <c r="BL219" i="27" s="1"/>
  <c r="BB219" i="27"/>
  <c r="E216" i="30"/>
  <c r="AY219" i="27"/>
  <c r="BJ217" i="27"/>
  <c r="BK217" i="27" s="1"/>
  <c r="D218" i="30"/>
  <c r="I218" i="30" s="1"/>
  <c r="BD219" i="27"/>
  <c r="BG219" i="27" s="1"/>
  <c r="BA219" i="27"/>
  <c r="BH218" i="27"/>
  <c r="BI218" i="27"/>
  <c r="AN233" i="27" l="1"/>
  <c r="AO232" i="27"/>
  <c r="AP232" i="27"/>
  <c r="AQ231" i="27"/>
  <c r="AR231" i="27" s="1"/>
  <c r="AE231" i="27"/>
  <c r="AF231" i="27" s="1"/>
  <c r="AC232" i="27"/>
  <c r="AB233" i="27"/>
  <c r="AD232" i="27"/>
  <c r="B233" i="27"/>
  <c r="AU232" i="27"/>
  <c r="U232" i="27"/>
  <c r="O233" i="27"/>
  <c r="G229" i="30"/>
  <c r="BF232" i="27"/>
  <c r="I233" i="27"/>
  <c r="AM234" i="27"/>
  <c r="AS233" i="27"/>
  <c r="AT217" i="27"/>
  <c r="H214" i="30" s="1"/>
  <c r="S232" i="27"/>
  <c r="T232" i="27" s="1"/>
  <c r="AG234" i="27"/>
  <c r="AA235" i="27"/>
  <c r="Q233" i="27"/>
  <c r="P234" i="27"/>
  <c r="R233" i="27"/>
  <c r="BE221" i="27"/>
  <c r="F218" i="30"/>
  <c r="BB220" i="27"/>
  <c r="BC220" i="27"/>
  <c r="BL220" i="27" s="1"/>
  <c r="E217" i="30"/>
  <c r="B227" i="30"/>
  <c r="BA220" i="27"/>
  <c r="AZ221" i="27"/>
  <c r="AX219" i="27"/>
  <c r="BD220" i="27"/>
  <c r="BG220" i="27" s="1"/>
  <c r="BI219" i="27"/>
  <c r="BH219" i="27"/>
  <c r="D219" i="30"/>
  <c r="I219" i="30" s="1"/>
  <c r="BJ218" i="27"/>
  <c r="BK218" i="27" s="1"/>
  <c r="AY220" i="27"/>
  <c r="AQ232" i="27" l="1"/>
  <c r="AR232" i="27" s="1"/>
  <c r="AN234" i="27"/>
  <c r="AP233" i="27"/>
  <c r="AO233" i="27"/>
  <c r="AQ233" i="27" s="1"/>
  <c r="AR233" i="27" s="1"/>
  <c r="AB234" i="27"/>
  <c r="AC233" i="27"/>
  <c r="AD233" i="27"/>
  <c r="AE232" i="27"/>
  <c r="AF232" i="27" s="1"/>
  <c r="O234" i="27"/>
  <c r="U233" i="27"/>
  <c r="B234" i="27"/>
  <c r="AU233" i="27"/>
  <c r="AM235" i="27"/>
  <c r="AS234" i="27"/>
  <c r="BF233" i="27"/>
  <c r="G230" i="30"/>
  <c r="I234" i="27"/>
  <c r="R234" i="27"/>
  <c r="Q234" i="27"/>
  <c r="S234" i="27" s="1"/>
  <c r="T234" i="27" s="1"/>
  <c r="P235" i="27"/>
  <c r="AA236" i="27"/>
  <c r="AG235" i="27"/>
  <c r="S233" i="27"/>
  <c r="T233" i="27" s="1"/>
  <c r="AT218" i="27"/>
  <c r="H215" i="30" s="1"/>
  <c r="AX220" i="27"/>
  <c r="BE222" i="27"/>
  <c r="F219" i="30"/>
  <c r="AZ222" i="27"/>
  <c r="BC221" i="27"/>
  <c r="BL221" i="27" s="1"/>
  <c r="BB221" i="27"/>
  <c r="E218" i="30"/>
  <c r="B228" i="30"/>
  <c r="BJ219" i="27"/>
  <c r="BK219" i="27" s="1"/>
  <c r="BA221" i="27"/>
  <c r="D220" i="30"/>
  <c r="I220" i="30" s="1"/>
  <c r="BD221" i="27"/>
  <c r="BG221" i="27" s="1"/>
  <c r="BI220" i="27"/>
  <c r="BH220" i="27"/>
  <c r="AY221" i="27"/>
  <c r="AP234" i="27" l="1"/>
  <c r="AN235" i="27"/>
  <c r="AO234" i="27"/>
  <c r="AQ234" i="27" s="1"/>
  <c r="AR234" i="27" s="1"/>
  <c r="AE233" i="27"/>
  <c r="AF233" i="27" s="1"/>
  <c r="AD234" i="27"/>
  <c r="AC234" i="27"/>
  <c r="AE234" i="27" s="1"/>
  <c r="AF234" i="27" s="1"/>
  <c r="AB235" i="27"/>
  <c r="B235" i="27"/>
  <c r="AU234" i="27"/>
  <c r="U234" i="27"/>
  <c r="O235" i="27"/>
  <c r="R235" i="27"/>
  <c r="Q235" i="27"/>
  <c r="S235" i="27" s="1"/>
  <c r="T235" i="27" s="1"/>
  <c r="P236" i="27"/>
  <c r="I235" i="27"/>
  <c r="AM236" i="27"/>
  <c r="AS235" i="27"/>
  <c r="BF234" i="27"/>
  <c r="G231" i="30"/>
  <c r="AT219" i="27"/>
  <c r="H216" i="30" s="1"/>
  <c r="AA237" i="27"/>
  <c r="AG236" i="27"/>
  <c r="BJ220" i="27"/>
  <c r="BK220" i="27" s="1"/>
  <c r="BA222" i="27"/>
  <c r="AX221" i="27"/>
  <c r="BE223" i="27"/>
  <c r="F220" i="30"/>
  <c r="B229" i="30"/>
  <c r="BB222" i="27"/>
  <c r="BC222" i="27"/>
  <c r="BL222" i="27" s="1"/>
  <c r="E219" i="30"/>
  <c r="AZ223" i="27"/>
  <c r="AY222" i="27"/>
  <c r="AX222" i="27" s="1"/>
  <c r="BD222" i="27"/>
  <c r="BG222" i="27" s="1"/>
  <c r="BH221" i="27"/>
  <c r="BI221" i="27"/>
  <c r="D221" i="30"/>
  <c r="I221" i="30" s="1"/>
  <c r="AN236" i="27" l="1"/>
  <c r="AP235" i="27"/>
  <c r="AO235" i="27"/>
  <c r="AQ235" i="27" s="1"/>
  <c r="AR235" i="27" s="1"/>
  <c r="AB236" i="27"/>
  <c r="AC235" i="27"/>
  <c r="AD235" i="27"/>
  <c r="U235" i="27"/>
  <c r="O236" i="27"/>
  <c r="B236" i="27"/>
  <c r="AU235" i="27"/>
  <c r="AT220" i="27"/>
  <c r="H217" i="30" s="1"/>
  <c r="BF235" i="27"/>
  <c r="G232" i="30"/>
  <c r="P237" i="27"/>
  <c r="Q236" i="27"/>
  <c r="R236" i="27"/>
  <c r="AG237" i="27"/>
  <c r="AA238" i="27"/>
  <c r="AM237" i="27"/>
  <c r="AS236" i="27"/>
  <c r="I236" i="27"/>
  <c r="BE224" i="27"/>
  <c r="F221" i="30"/>
  <c r="BC223" i="27"/>
  <c r="BB223" i="27"/>
  <c r="E220" i="30"/>
  <c r="B230" i="30"/>
  <c r="BA223" i="27"/>
  <c r="BJ221" i="27"/>
  <c r="BK221" i="27" s="1"/>
  <c r="AY223" i="27"/>
  <c r="D222" i="30"/>
  <c r="I222" i="30" s="1"/>
  <c r="BI222" i="27"/>
  <c r="BH222" i="27"/>
  <c r="BD223" i="27"/>
  <c r="BG223" i="27" s="1"/>
  <c r="AZ224" i="27"/>
  <c r="AO236" i="27" l="1"/>
  <c r="AP236" i="27"/>
  <c r="AN237" i="27"/>
  <c r="AE235" i="27"/>
  <c r="AF235" i="27" s="1"/>
  <c r="AD236" i="27"/>
  <c r="AC236" i="27"/>
  <c r="AE236" i="27" s="1"/>
  <c r="AF236" i="27" s="1"/>
  <c r="AB237" i="27"/>
  <c r="B237" i="27"/>
  <c r="AU236" i="27"/>
  <c r="O237" i="27"/>
  <c r="U236" i="27"/>
  <c r="BF236" i="27"/>
  <c r="G233" i="30"/>
  <c r="AT221" i="27"/>
  <c r="H218" i="30" s="1"/>
  <c r="S236" i="27"/>
  <c r="T236" i="27" s="1"/>
  <c r="AM238" i="27"/>
  <c r="AS237" i="27"/>
  <c r="Q237" i="27"/>
  <c r="P238" i="27"/>
  <c r="R237" i="27"/>
  <c r="I237" i="27"/>
  <c r="AA239" i="27"/>
  <c r="AG238" i="27"/>
  <c r="BL223" i="27"/>
  <c r="AX223" i="27"/>
  <c r="BA224" i="27"/>
  <c r="BE225" i="27"/>
  <c r="F222" i="30"/>
  <c r="B231" i="30"/>
  <c r="BC224" i="27"/>
  <c r="BB224" i="27"/>
  <c r="E221" i="30"/>
  <c r="BJ222" i="27"/>
  <c r="BK222" i="27" s="1"/>
  <c r="D223" i="30"/>
  <c r="I223" i="30" s="1"/>
  <c r="AY224" i="27"/>
  <c r="BI223" i="27"/>
  <c r="BH223" i="27"/>
  <c r="BD224" i="27"/>
  <c r="BG224" i="27" s="1"/>
  <c r="AZ225" i="27"/>
  <c r="AO237" i="27" l="1"/>
  <c r="AN238" i="27"/>
  <c r="AP237" i="27"/>
  <c r="AQ236" i="27"/>
  <c r="AR236" i="27" s="1"/>
  <c r="AD237" i="27"/>
  <c r="AB238" i="27"/>
  <c r="AC237" i="27"/>
  <c r="AE237" i="27" s="1"/>
  <c r="AF237" i="27" s="1"/>
  <c r="S237" i="27"/>
  <c r="T237" i="27" s="1"/>
  <c r="AX224" i="27"/>
  <c r="O238" i="27"/>
  <c r="U237" i="27"/>
  <c r="B238" i="27"/>
  <c r="AU237" i="27"/>
  <c r="AT222" i="27"/>
  <c r="H219" i="30" s="1"/>
  <c r="G234" i="30"/>
  <c r="BF237" i="27"/>
  <c r="AM239" i="27"/>
  <c r="AS238" i="27"/>
  <c r="I238" i="27"/>
  <c r="AA240" i="27"/>
  <c r="AG239" i="27"/>
  <c r="R238" i="27"/>
  <c r="P239" i="27"/>
  <c r="Q238" i="27"/>
  <c r="S238" i="27" s="1"/>
  <c r="T238" i="27" s="1"/>
  <c r="BL224" i="27"/>
  <c r="BE226" i="27"/>
  <c r="F223" i="30"/>
  <c r="BC225" i="27"/>
  <c r="BB225" i="27"/>
  <c r="E222" i="30"/>
  <c r="B232" i="30"/>
  <c r="AZ226" i="27"/>
  <c r="BJ223" i="27"/>
  <c r="BK223" i="27" s="1"/>
  <c r="AY226" i="27"/>
  <c r="BA225" i="27"/>
  <c r="D224" i="30"/>
  <c r="I224" i="30" s="1"/>
  <c r="BI224" i="27"/>
  <c r="BH224" i="27"/>
  <c r="AY225" i="27"/>
  <c r="BD225" i="27"/>
  <c r="BG225" i="27" s="1"/>
  <c r="AN239" i="27" l="1"/>
  <c r="AO238" i="27"/>
  <c r="AP238" i="27"/>
  <c r="AQ237" i="27"/>
  <c r="AR237" i="27" s="1"/>
  <c r="AC238" i="27"/>
  <c r="AD238" i="27"/>
  <c r="AB239" i="27"/>
  <c r="B239" i="27"/>
  <c r="AU238" i="27"/>
  <c r="U238" i="27"/>
  <c r="O239" i="27"/>
  <c r="I239" i="27"/>
  <c r="AT223" i="27"/>
  <c r="H220" i="30" s="1"/>
  <c r="BF238" i="27"/>
  <c r="G235" i="30"/>
  <c r="AM240" i="27"/>
  <c r="AS239" i="27"/>
  <c r="Q239" i="27"/>
  <c r="R239" i="27"/>
  <c r="P240" i="27"/>
  <c r="AG240" i="27"/>
  <c r="AA241" i="27"/>
  <c r="BL225" i="27"/>
  <c r="AX225" i="27"/>
  <c r="BE227" i="27"/>
  <c r="F224" i="30"/>
  <c r="BB226" i="27"/>
  <c r="BC226" i="27"/>
  <c r="E223" i="30"/>
  <c r="B233" i="30"/>
  <c r="AZ227" i="27"/>
  <c r="BA226" i="27"/>
  <c r="AX226" i="27" s="1"/>
  <c r="BJ224" i="27"/>
  <c r="BK224" i="27" s="1"/>
  <c r="D225" i="30"/>
  <c r="I225" i="30" s="1"/>
  <c r="BI225" i="27"/>
  <c r="BH225" i="27"/>
  <c r="BD226" i="27"/>
  <c r="BG226" i="27" s="1"/>
  <c r="AQ238" i="27" l="1"/>
  <c r="AR238" i="27" s="1"/>
  <c r="AO239" i="27"/>
  <c r="AN240" i="27"/>
  <c r="AP239" i="27"/>
  <c r="AB240" i="27"/>
  <c r="AD239" i="27"/>
  <c r="AC239" i="27"/>
  <c r="AE239" i="27" s="1"/>
  <c r="AF239" i="27" s="1"/>
  <c r="AE238" i="27"/>
  <c r="AF238" i="27" s="1"/>
  <c r="O240" i="27"/>
  <c r="U239" i="27"/>
  <c r="B240" i="27"/>
  <c r="AU239" i="27"/>
  <c r="AT224" i="27"/>
  <c r="H221" i="30" s="1"/>
  <c r="S239" i="27"/>
  <c r="T239" i="27" s="1"/>
  <c r="AG241" i="27"/>
  <c r="AA242" i="27"/>
  <c r="BF239" i="27"/>
  <c r="G236" i="30"/>
  <c r="R240" i="27"/>
  <c r="Q240" i="27"/>
  <c r="S240" i="27" s="1"/>
  <c r="T240" i="27" s="1"/>
  <c r="P241" i="27"/>
  <c r="AM241" i="27"/>
  <c r="AS240" i="27"/>
  <c r="I240" i="27"/>
  <c r="BL226" i="27"/>
  <c r="BE228" i="27"/>
  <c r="F225" i="30"/>
  <c r="BB227" i="27"/>
  <c r="BC227" i="27"/>
  <c r="E224" i="30"/>
  <c r="B234" i="30"/>
  <c r="AY227" i="27"/>
  <c r="BJ225" i="27"/>
  <c r="BK225" i="27" s="1"/>
  <c r="BA227" i="27"/>
  <c r="D226" i="30"/>
  <c r="I226" i="30" s="1"/>
  <c r="BH226" i="27"/>
  <c r="BI226" i="27"/>
  <c r="AZ228" i="27"/>
  <c r="BD227" i="27"/>
  <c r="BG227" i="27" s="1"/>
  <c r="AO240" i="27" l="1"/>
  <c r="AN241" i="27"/>
  <c r="AP240" i="27"/>
  <c r="AQ239" i="27"/>
  <c r="AR239" i="27" s="1"/>
  <c r="AC240" i="27"/>
  <c r="AB241" i="27"/>
  <c r="AD240" i="27"/>
  <c r="B241" i="27"/>
  <c r="AU240" i="27"/>
  <c r="U240" i="27"/>
  <c r="O241" i="27"/>
  <c r="BF240" i="27"/>
  <c r="G237" i="30"/>
  <c r="Q241" i="27"/>
  <c r="R241" i="27"/>
  <c r="P242" i="27"/>
  <c r="AT225" i="27"/>
  <c r="H222" i="30" s="1"/>
  <c r="AG242" i="27"/>
  <c r="AA243" i="27"/>
  <c r="I241" i="27"/>
  <c r="AM242" i="27"/>
  <c r="AS241" i="27"/>
  <c r="BL227" i="27"/>
  <c r="AX227" i="27"/>
  <c r="BE229" i="27"/>
  <c r="F226" i="30"/>
  <c r="B235" i="30"/>
  <c r="BB228" i="27"/>
  <c r="BC228" i="27"/>
  <c r="E225" i="30"/>
  <c r="BA228" i="27"/>
  <c r="AZ229" i="27"/>
  <c r="BD228" i="27"/>
  <c r="BG228" i="27" s="1"/>
  <c r="BJ226" i="27"/>
  <c r="BK226" i="27" s="1"/>
  <c r="AY228" i="27"/>
  <c r="BI227" i="27"/>
  <c r="BH227" i="27"/>
  <c r="D227" i="30"/>
  <c r="I227" i="30" s="1"/>
  <c r="BA229" i="27"/>
  <c r="AP241" i="27" l="1"/>
  <c r="AO241" i="27"/>
  <c r="AQ241" i="27" s="1"/>
  <c r="AR241" i="27" s="1"/>
  <c r="AN242" i="27"/>
  <c r="AQ240" i="27"/>
  <c r="AR240" i="27" s="1"/>
  <c r="AC241" i="27"/>
  <c r="AB242" i="27"/>
  <c r="AD241" i="27"/>
  <c r="AE240" i="27"/>
  <c r="AF240" i="27" s="1"/>
  <c r="O242" i="27"/>
  <c r="U241" i="27"/>
  <c r="B242" i="27"/>
  <c r="AU241" i="27"/>
  <c r="AA244" i="27"/>
  <c r="AG243" i="27"/>
  <c r="AT226" i="27"/>
  <c r="H223" i="30" s="1"/>
  <c r="P243" i="27"/>
  <c r="Q242" i="27"/>
  <c r="R242" i="27"/>
  <c r="S241" i="27"/>
  <c r="T241" i="27" s="1"/>
  <c r="BF241" i="27"/>
  <c r="G238" i="30"/>
  <c r="AS242" i="27"/>
  <c r="AM243" i="27"/>
  <c r="I242" i="27"/>
  <c r="BL228" i="27"/>
  <c r="AX228" i="27"/>
  <c r="BE230" i="27"/>
  <c r="F227" i="30"/>
  <c r="BB229" i="27"/>
  <c r="BC229" i="27"/>
  <c r="BL229" i="27" s="1"/>
  <c r="E226" i="30"/>
  <c r="B236" i="30"/>
  <c r="BJ227" i="27"/>
  <c r="BK227" i="27" s="1"/>
  <c r="AY229" i="27"/>
  <c r="AX229" i="27" s="1"/>
  <c r="D228" i="30"/>
  <c r="I228" i="30" s="1"/>
  <c r="AZ230" i="27"/>
  <c r="BD229" i="27"/>
  <c r="BG229" i="27" s="1"/>
  <c r="BI228" i="27"/>
  <c r="BH228" i="27"/>
  <c r="AN243" i="27" l="1"/>
  <c r="AO242" i="27"/>
  <c r="AP242" i="27"/>
  <c r="AB243" i="27"/>
  <c r="AC242" i="27"/>
  <c r="AD242" i="27"/>
  <c r="AE241" i="27"/>
  <c r="AF241" i="27" s="1"/>
  <c r="B243" i="27"/>
  <c r="AU242" i="27"/>
  <c r="U242" i="27"/>
  <c r="O243" i="27"/>
  <c r="S242" i="27"/>
  <c r="T242" i="27" s="1"/>
  <c r="BF242" i="27"/>
  <c r="G239" i="30"/>
  <c r="AT227" i="27"/>
  <c r="H224" i="30" s="1"/>
  <c r="I243" i="27"/>
  <c r="AA245" i="27"/>
  <c r="AG244" i="27"/>
  <c r="Q243" i="27"/>
  <c r="P244" i="27"/>
  <c r="R243" i="27"/>
  <c r="AM244" i="27"/>
  <c r="AS243" i="27"/>
  <c r="BE231" i="27"/>
  <c r="F228" i="30"/>
  <c r="BB230" i="27"/>
  <c r="BC230" i="27"/>
  <c r="E227" i="30"/>
  <c r="B237" i="30"/>
  <c r="BA230" i="27"/>
  <c r="AZ231" i="27"/>
  <c r="BJ228" i="27"/>
  <c r="BK228" i="27" s="1"/>
  <c r="AY230" i="27"/>
  <c r="BD230" i="27"/>
  <c r="BG230" i="27" s="1"/>
  <c r="BI229" i="27"/>
  <c r="BH229" i="27"/>
  <c r="D229" i="30"/>
  <c r="I229" i="30" s="1"/>
  <c r="AQ242" i="27" l="1"/>
  <c r="AR242" i="27" s="1"/>
  <c r="AP243" i="27"/>
  <c r="AN244" i="27"/>
  <c r="AO243" i="27"/>
  <c r="AQ243" i="27" s="1"/>
  <c r="AR243" i="27" s="1"/>
  <c r="AE242" i="27"/>
  <c r="AF242" i="27" s="1"/>
  <c r="AC243" i="27"/>
  <c r="AB244" i="27"/>
  <c r="AD243" i="27"/>
  <c r="S243" i="27"/>
  <c r="T243" i="27" s="1"/>
  <c r="O244" i="27"/>
  <c r="U243" i="27"/>
  <c r="B244" i="27"/>
  <c r="AU243" i="27"/>
  <c r="I244" i="27"/>
  <c r="AA246" i="27"/>
  <c r="AG245" i="27"/>
  <c r="AT228" i="27"/>
  <c r="H225" i="30" s="1"/>
  <c r="BF243" i="27"/>
  <c r="G240" i="30"/>
  <c r="AM245" i="27"/>
  <c r="AS244" i="27"/>
  <c r="Q244" i="27"/>
  <c r="P245" i="27"/>
  <c r="R244" i="27"/>
  <c r="BL230" i="27"/>
  <c r="AX230" i="27"/>
  <c r="AZ232" i="27"/>
  <c r="BE232" i="27"/>
  <c r="F229" i="30"/>
  <c r="BC231" i="27"/>
  <c r="BB231" i="27"/>
  <c r="E228" i="30"/>
  <c r="B238" i="30"/>
  <c r="BA231" i="27"/>
  <c r="BI230" i="27"/>
  <c r="BH230" i="27"/>
  <c r="BJ229" i="27"/>
  <c r="BK229" i="27" s="1"/>
  <c r="D230" i="30"/>
  <c r="I230" i="30" s="1"/>
  <c r="AY231" i="27"/>
  <c r="BD231" i="27"/>
  <c r="BG231" i="27" s="1"/>
  <c r="AP244" i="27" l="1"/>
  <c r="AO244" i="27"/>
  <c r="AQ244" i="27" s="1"/>
  <c r="AR244" i="27" s="1"/>
  <c r="AN245" i="27"/>
  <c r="AB245" i="27"/>
  <c r="AC244" i="27"/>
  <c r="AD244" i="27"/>
  <c r="AE243" i="27"/>
  <c r="AF243" i="27" s="1"/>
  <c r="B245" i="27"/>
  <c r="AU244" i="27"/>
  <c r="O245" i="27"/>
  <c r="U244" i="27"/>
  <c r="I245" i="27"/>
  <c r="AT229" i="27"/>
  <c r="H226" i="30" s="1"/>
  <c r="AA247" i="27"/>
  <c r="AG246" i="27"/>
  <c r="AM246" i="27"/>
  <c r="AS245" i="27"/>
  <c r="Q245" i="27"/>
  <c r="P246" i="27"/>
  <c r="R245" i="27"/>
  <c r="S244" i="27"/>
  <c r="T244" i="27" s="1"/>
  <c r="BF244" i="27"/>
  <c r="G241" i="30"/>
  <c r="BL231" i="27"/>
  <c r="AZ233" i="27"/>
  <c r="BE233" i="27"/>
  <c r="F230" i="30"/>
  <c r="BB232" i="27"/>
  <c r="BC232" i="27"/>
  <c r="BL232" i="27" s="1"/>
  <c r="E229" i="30"/>
  <c r="B239" i="30"/>
  <c r="AX231" i="27"/>
  <c r="AY232" i="27"/>
  <c r="BA232" i="27"/>
  <c r="BJ230" i="27"/>
  <c r="BK230" i="27" s="1"/>
  <c r="D231" i="30"/>
  <c r="I231" i="30" s="1"/>
  <c r="BD232" i="27"/>
  <c r="BG232" i="27" s="1"/>
  <c r="BH231" i="27"/>
  <c r="BI231" i="27"/>
  <c r="AO245" i="27" l="1"/>
  <c r="AN246" i="27"/>
  <c r="AP245" i="27"/>
  <c r="AE244" i="27"/>
  <c r="AF244" i="27" s="1"/>
  <c r="AB246" i="27"/>
  <c r="AD245" i="27"/>
  <c r="AC245" i="27"/>
  <c r="AE245" i="27" s="1"/>
  <c r="AF245" i="27" s="1"/>
  <c r="U245" i="27"/>
  <c r="O246" i="27"/>
  <c r="B246" i="27"/>
  <c r="AU245" i="27"/>
  <c r="AA248" i="27"/>
  <c r="AG247" i="27"/>
  <c r="S245" i="27"/>
  <c r="T245" i="27" s="1"/>
  <c r="AM247" i="27"/>
  <c r="AS246" i="27"/>
  <c r="I246" i="27"/>
  <c r="AT230" i="27"/>
  <c r="H227" i="30" s="1"/>
  <c r="Q246" i="27"/>
  <c r="S246" i="27" s="1"/>
  <c r="T246" i="27" s="1"/>
  <c r="R246" i="27"/>
  <c r="P247" i="27"/>
  <c r="G242" i="30"/>
  <c r="BF245" i="27"/>
  <c r="BA233" i="27"/>
  <c r="AX232" i="27"/>
  <c r="BE234" i="27"/>
  <c r="F231" i="30"/>
  <c r="B240" i="30"/>
  <c r="BC233" i="27"/>
  <c r="BB233" i="27"/>
  <c r="E230" i="30"/>
  <c r="AY233" i="27"/>
  <c r="AZ234" i="27"/>
  <c r="AZ235" i="27"/>
  <c r="BD233" i="27"/>
  <c r="BG233" i="27" s="1"/>
  <c r="BJ231" i="27"/>
  <c r="BK231" i="27" s="1"/>
  <c r="BI232" i="27"/>
  <c r="BH232" i="27"/>
  <c r="D232" i="30"/>
  <c r="I232" i="30" s="1"/>
  <c r="AO246" i="27" l="1"/>
  <c r="AP246" i="27"/>
  <c r="AN247" i="27"/>
  <c r="AQ245" i="27"/>
  <c r="AR245" i="27" s="1"/>
  <c r="AB247" i="27"/>
  <c r="AC246" i="27"/>
  <c r="AE246" i="27" s="1"/>
  <c r="AF246" i="27" s="1"/>
  <c r="AD246" i="27"/>
  <c r="B247" i="27"/>
  <c r="AU246" i="27"/>
  <c r="U246" i="27"/>
  <c r="O247" i="27"/>
  <c r="I247" i="27"/>
  <c r="AT231" i="27"/>
  <c r="H228" i="30" s="1"/>
  <c r="P248" i="27"/>
  <c r="Q247" i="27"/>
  <c r="S247" i="27" s="1"/>
  <c r="T247" i="27" s="1"/>
  <c r="R247" i="27"/>
  <c r="BF246" i="27"/>
  <c r="G243" i="30"/>
  <c r="AM248" i="27"/>
  <c r="AS247" i="27"/>
  <c r="AG248" i="27"/>
  <c r="AA249" i="27"/>
  <c r="BL233" i="27"/>
  <c r="AX233" i="27"/>
  <c r="BE235" i="27"/>
  <c r="F232" i="30"/>
  <c r="BC234" i="27"/>
  <c r="BL234" i="27" s="1"/>
  <c r="BB234" i="27"/>
  <c r="E231" i="30"/>
  <c r="B241" i="30"/>
  <c r="BJ232" i="27"/>
  <c r="BK232" i="27" s="1"/>
  <c r="BA234" i="27"/>
  <c r="BI233" i="27"/>
  <c r="BH233" i="27"/>
  <c r="BD234" i="27"/>
  <c r="BG234" i="27" s="1"/>
  <c r="D233" i="30"/>
  <c r="I233" i="30" s="1"/>
  <c r="AY234" i="27"/>
  <c r="AP247" i="27" l="1"/>
  <c r="AN248" i="27"/>
  <c r="AO247" i="27"/>
  <c r="AQ247" i="27" s="1"/>
  <c r="AR247" i="27" s="1"/>
  <c r="AQ246" i="27"/>
  <c r="AR246" i="27" s="1"/>
  <c r="AD247" i="27"/>
  <c r="AC247" i="27"/>
  <c r="AE247" i="27" s="1"/>
  <c r="AF247" i="27" s="1"/>
  <c r="AB248" i="27"/>
  <c r="U247" i="27"/>
  <c r="O248" i="27"/>
  <c r="B248" i="27"/>
  <c r="AU247" i="27"/>
  <c r="BF247" i="27"/>
  <c r="G244" i="30"/>
  <c r="AG249" i="27"/>
  <c r="AA250" i="27"/>
  <c r="P249" i="27"/>
  <c r="Q248" i="27"/>
  <c r="R248" i="27"/>
  <c r="AM249" i="27"/>
  <c r="AS248" i="27"/>
  <c r="I248" i="27"/>
  <c r="AT232" i="27"/>
  <c r="H229" i="30" s="1"/>
  <c r="BE236" i="27"/>
  <c r="F233" i="30"/>
  <c r="B242" i="30"/>
  <c r="AX234" i="27"/>
  <c r="BB235" i="27"/>
  <c r="BC235" i="27"/>
  <c r="BL235" i="27" s="1"/>
  <c r="E232" i="30"/>
  <c r="BA235" i="27"/>
  <c r="D234" i="30"/>
  <c r="I234" i="30" s="1"/>
  <c r="AY235" i="27"/>
  <c r="AZ237" i="27"/>
  <c r="BH234" i="27"/>
  <c r="BI234" i="27"/>
  <c r="AZ236" i="27"/>
  <c r="BJ233" i="27"/>
  <c r="BK233" i="27" s="1"/>
  <c r="BD235" i="27"/>
  <c r="BG235" i="27" s="1"/>
  <c r="AN249" i="27" l="1"/>
  <c r="AP248" i="27"/>
  <c r="AO248" i="27"/>
  <c r="AQ248" i="27" s="1"/>
  <c r="AR248" i="27" s="1"/>
  <c r="AD248" i="27"/>
  <c r="AB249" i="27"/>
  <c r="AC248" i="27"/>
  <c r="AE248" i="27" s="1"/>
  <c r="AF248" i="27" s="1"/>
  <c r="B249" i="27"/>
  <c r="AU248" i="27"/>
  <c r="O249" i="27"/>
  <c r="U248" i="27"/>
  <c r="I249" i="27"/>
  <c r="BF248" i="27"/>
  <c r="G245" i="30"/>
  <c r="AM250" i="27"/>
  <c r="AS249" i="27"/>
  <c r="Q249" i="27"/>
  <c r="P250" i="27"/>
  <c r="R249" i="27"/>
  <c r="S248" i="27"/>
  <c r="T248" i="27" s="1"/>
  <c r="AG250" i="27"/>
  <c r="AA251" i="27"/>
  <c r="AT233" i="27"/>
  <c r="H230" i="30" s="1"/>
  <c r="AX235" i="27"/>
  <c r="BE237" i="27"/>
  <c r="F234" i="30"/>
  <c r="BC236" i="27"/>
  <c r="BB236" i="27"/>
  <c r="E233" i="30"/>
  <c r="B243" i="30"/>
  <c r="BA236" i="27"/>
  <c r="AY236" i="27"/>
  <c r="BJ234" i="27"/>
  <c r="BK234" i="27" s="1"/>
  <c r="BI235" i="27"/>
  <c r="BH235" i="27"/>
  <c r="BD236" i="27"/>
  <c r="BG236" i="27" s="1"/>
  <c r="D235" i="30"/>
  <c r="I235" i="30" s="1"/>
  <c r="AP249" i="27" l="1"/>
  <c r="AN250" i="27"/>
  <c r="AO249" i="27"/>
  <c r="AQ249" i="27" s="1"/>
  <c r="AR249" i="27" s="1"/>
  <c r="AB250" i="27"/>
  <c r="AC249" i="27"/>
  <c r="AD249" i="27"/>
  <c r="U249" i="27"/>
  <c r="O250" i="27"/>
  <c r="B250" i="27"/>
  <c r="AU249" i="27"/>
  <c r="S249" i="27"/>
  <c r="T249" i="27" s="1"/>
  <c r="I250" i="27"/>
  <c r="AT234" i="27"/>
  <c r="H231" i="30" s="1"/>
  <c r="BF249" i="27"/>
  <c r="G246" i="30"/>
  <c r="AM251" i="27"/>
  <c r="AS250" i="27"/>
  <c r="AA252" i="27"/>
  <c r="AG251" i="27"/>
  <c r="Q250" i="27"/>
  <c r="P251" i="27"/>
  <c r="R250" i="27"/>
  <c r="BL236" i="27"/>
  <c r="AX236" i="27"/>
  <c r="BE238" i="27"/>
  <c r="F235" i="30"/>
  <c r="BC237" i="27"/>
  <c r="BB237" i="27"/>
  <c r="E234" i="30"/>
  <c r="B244" i="30"/>
  <c r="BA237" i="27"/>
  <c r="AZ238" i="27"/>
  <c r="AY237" i="27"/>
  <c r="BD237" i="27"/>
  <c r="BG237" i="27" s="1"/>
  <c r="BI236" i="27"/>
  <c r="BH236" i="27"/>
  <c r="D236" i="30"/>
  <c r="I236" i="30" s="1"/>
  <c r="BJ235" i="27"/>
  <c r="BK235" i="27" s="1"/>
  <c r="AO250" i="27" l="1"/>
  <c r="AN251" i="27"/>
  <c r="AP250" i="27"/>
  <c r="AE249" i="27"/>
  <c r="AF249" i="27" s="1"/>
  <c r="AB251" i="27"/>
  <c r="AD250" i="27"/>
  <c r="AC250" i="27"/>
  <c r="AE250" i="27" s="1"/>
  <c r="AF250" i="27" s="1"/>
  <c r="B251" i="27"/>
  <c r="AU250" i="27"/>
  <c r="U250" i="27"/>
  <c r="O251" i="27"/>
  <c r="AG252" i="27"/>
  <c r="AA253" i="27"/>
  <c r="BF250" i="27"/>
  <c r="G247" i="30"/>
  <c r="AM252" i="27"/>
  <c r="AS251" i="27"/>
  <c r="I251" i="27"/>
  <c r="AT235" i="27"/>
  <c r="H232" i="30" s="1"/>
  <c r="Q251" i="27"/>
  <c r="S251" i="27" s="1"/>
  <c r="T251" i="27" s="1"/>
  <c r="P252" i="27"/>
  <c r="R251" i="27"/>
  <c r="S250" i="27"/>
  <c r="T250" i="27" s="1"/>
  <c r="BA238" i="27"/>
  <c r="BL237" i="27"/>
  <c r="AX237" i="27"/>
  <c r="BE239" i="27"/>
  <c r="F236" i="30"/>
  <c r="BB238" i="27"/>
  <c r="BC238" i="27"/>
  <c r="BL238" i="27" s="1"/>
  <c r="E235" i="30"/>
  <c r="B245" i="30"/>
  <c r="BJ236" i="27"/>
  <c r="BK236" i="27" s="1"/>
  <c r="AY238" i="27"/>
  <c r="BD238" i="27"/>
  <c r="BG238" i="27" s="1"/>
  <c r="BH237" i="27"/>
  <c r="BI237" i="27"/>
  <c r="BA239" i="27"/>
  <c r="AZ239" i="27"/>
  <c r="D237" i="30"/>
  <c r="I237" i="30" s="1"/>
  <c r="AO251" i="27" l="1"/>
  <c r="AN252" i="27"/>
  <c r="AP251" i="27"/>
  <c r="AQ250" i="27"/>
  <c r="AR250" i="27" s="1"/>
  <c r="AB252" i="27"/>
  <c r="AD251" i="27"/>
  <c r="AC251" i="27"/>
  <c r="AE251" i="27" s="1"/>
  <c r="AF251" i="27" s="1"/>
  <c r="O252" i="27"/>
  <c r="U251" i="27"/>
  <c r="AX238" i="27"/>
  <c r="B252" i="27"/>
  <c r="AU251" i="27"/>
  <c r="AM253" i="27"/>
  <c r="AS252" i="27"/>
  <c r="I252" i="27"/>
  <c r="AG253" i="27"/>
  <c r="AA254" i="27"/>
  <c r="AT236" i="27"/>
  <c r="H233" i="30" s="1"/>
  <c r="BF251" i="27"/>
  <c r="G248" i="30"/>
  <c r="P253" i="27"/>
  <c r="R252" i="27"/>
  <c r="Q252" i="27"/>
  <c r="BE240" i="27"/>
  <c r="F237" i="30"/>
  <c r="BC239" i="27"/>
  <c r="BB239" i="27"/>
  <c r="E236" i="30"/>
  <c r="B246" i="30"/>
  <c r="AY239" i="27"/>
  <c r="AX239" i="27" s="1"/>
  <c r="BJ237" i="27"/>
  <c r="BK237" i="27" s="1"/>
  <c r="AZ240" i="27"/>
  <c r="BH238" i="27"/>
  <c r="BI238" i="27"/>
  <c r="BD239" i="27"/>
  <c r="BG239" i="27" s="1"/>
  <c r="D238" i="30"/>
  <c r="I238" i="30" s="1"/>
  <c r="AN253" i="27" l="1"/>
  <c r="AP252" i="27"/>
  <c r="AO252" i="27"/>
  <c r="AQ252" i="27" s="1"/>
  <c r="AR252" i="27" s="1"/>
  <c r="AQ251" i="27"/>
  <c r="AR251" i="27" s="1"/>
  <c r="AC252" i="27"/>
  <c r="AD252" i="27"/>
  <c r="AB253" i="27"/>
  <c r="B253" i="27"/>
  <c r="AU252" i="27"/>
  <c r="S252" i="27"/>
  <c r="T252" i="27" s="1"/>
  <c r="U252" i="27"/>
  <c r="O253" i="27"/>
  <c r="I253" i="27"/>
  <c r="AT237" i="27"/>
  <c r="H234" i="30" s="1"/>
  <c r="G249" i="30"/>
  <c r="BF252" i="27"/>
  <c r="AA255" i="27"/>
  <c r="AG254" i="27"/>
  <c r="P254" i="27"/>
  <c r="Q253" i="27"/>
  <c r="R253" i="27"/>
  <c r="AM254" i="27"/>
  <c r="AS253" i="27"/>
  <c r="BL239" i="27"/>
  <c r="BE241" i="27"/>
  <c r="F238" i="30"/>
  <c r="BB240" i="27"/>
  <c r="BC240" i="27"/>
  <c r="E237" i="30"/>
  <c r="B247" i="30"/>
  <c r="BA240" i="27"/>
  <c r="AY240" i="27"/>
  <c r="AZ241" i="27"/>
  <c r="BI239" i="27"/>
  <c r="BH239" i="27"/>
  <c r="BJ239" i="27" s="1"/>
  <c r="BK239" i="27" s="1"/>
  <c r="BJ238" i="27"/>
  <c r="BK238" i="27" s="1"/>
  <c r="D239" i="30"/>
  <c r="I239" i="30" s="1"/>
  <c r="BD240" i="27"/>
  <c r="BG240" i="27" s="1"/>
  <c r="AP253" i="27" l="1"/>
  <c r="AN254" i="27"/>
  <c r="AO253" i="27"/>
  <c r="AQ253" i="27" s="1"/>
  <c r="AR253" i="27" s="1"/>
  <c r="AC253" i="27"/>
  <c r="AD253" i="27"/>
  <c r="AB254" i="27"/>
  <c r="AE252" i="27"/>
  <c r="AF252" i="27" s="1"/>
  <c r="O254" i="27"/>
  <c r="U253" i="27"/>
  <c r="B254" i="27"/>
  <c r="AU253" i="27"/>
  <c r="AT239" i="27"/>
  <c r="H236" i="30" s="1"/>
  <c r="AT238" i="27"/>
  <c r="H235" i="30" s="1"/>
  <c r="AG255" i="27"/>
  <c r="AA256" i="27"/>
  <c r="G250" i="30"/>
  <c r="BF253" i="27"/>
  <c r="AS254" i="27"/>
  <c r="AM255" i="27"/>
  <c r="S253" i="27"/>
  <c r="T253" i="27" s="1"/>
  <c r="Q254" i="27"/>
  <c r="R254" i="27"/>
  <c r="P255" i="27"/>
  <c r="I254" i="27"/>
  <c r="BL240" i="27"/>
  <c r="AX240" i="27"/>
  <c r="BE242" i="27"/>
  <c r="F239" i="30"/>
  <c r="BC241" i="27"/>
  <c r="BL241" i="27" s="1"/>
  <c r="BB241" i="27"/>
  <c r="E238" i="30"/>
  <c r="B248" i="30"/>
  <c r="AZ242" i="27"/>
  <c r="D240" i="30"/>
  <c r="I240" i="30" s="1"/>
  <c r="BA241" i="27"/>
  <c r="AY241" i="27"/>
  <c r="BI240" i="27"/>
  <c r="BH240" i="27"/>
  <c r="BD241" i="27"/>
  <c r="BG241" i="27" s="1"/>
  <c r="AP254" i="27" l="1"/>
  <c r="AO254" i="27"/>
  <c r="AQ254" i="27" s="1"/>
  <c r="AR254" i="27" s="1"/>
  <c r="AN255" i="27"/>
  <c r="AD254" i="27"/>
  <c r="AB255" i="27"/>
  <c r="AC254" i="27"/>
  <c r="AE254" i="27" s="1"/>
  <c r="AF254" i="27" s="1"/>
  <c r="AE253" i="27"/>
  <c r="AF253" i="27" s="1"/>
  <c r="B255" i="27"/>
  <c r="AU254" i="27"/>
  <c r="O255" i="27"/>
  <c r="U254" i="27"/>
  <c r="G251" i="30"/>
  <c r="BF254" i="27"/>
  <c r="AA257" i="27"/>
  <c r="AG256" i="27"/>
  <c r="AM256" i="27"/>
  <c r="AS255" i="27"/>
  <c r="I255" i="27"/>
  <c r="R255" i="27"/>
  <c r="P256" i="27"/>
  <c r="Q255" i="27"/>
  <c r="S255" i="27" s="1"/>
  <c r="T255" i="27" s="1"/>
  <c r="S254" i="27"/>
  <c r="T254" i="27" s="1"/>
  <c r="BE243" i="27"/>
  <c r="F240" i="30"/>
  <c r="B249" i="30"/>
  <c r="AX241" i="27"/>
  <c r="BB242" i="27"/>
  <c r="BC242" i="27"/>
  <c r="E239" i="30"/>
  <c r="AY242" i="27"/>
  <c r="AZ243" i="27"/>
  <c r="BA242" i="27"/>
  <c r="BD242" i="27"/>
  <c r="BG242" i="27" s="1"/>
  <c r="BI241" i="27"/>
  <c r="BH241" i="27"/>
  <c r="BJ240" i="27"/>
  <c r="BK240" i="27" s="1"/>
  <c r="D241" i="30"/>
  <c r="I241" i="30" s="1"/>
  <c r="AO255" i="27" l="1"/>
  <c r="AP255" i="27"/>
  <c r="AN256" i="27"/>
  <c r="AD255" i="27"/>
  <c r="AC255" i="27"/>
  <c r="AE255" i="27" s="1"/>
  <c r="AF255" i="27" s="1"/>
  <c r="AB256" i="27"/>
  <c r="O256" i="27"/>
  <c r="U255" i="27"/>
  <c r="B256" i="27"/>
  <c r="AU255" i="27"/>
  <c r="AT240" i="27"/>
  <c r="H237" i="30" s="1"/>
  <c r="G252" i="30"/>
  <c r="BF255" i="27"/>
  <c r="I256" i="27"/>
  <c r="BL242" i="27"/>
  <c r="P257" i="27"/>
  <c r="Q256" i="27"/>
  <c r="R256" i="27"/>
  <c r="AM257" i="27"/>
  <c r="AS256" i="27"/>
  <c r="AG257" i="27"/>
  <c r="AA258" i="27"/>
  <c r="AY243" i="27"/>
  <c r="AZ244" i="27"/>
  <c r="AX242" i="27"/>
  <c r="BE244" i="27"/>
  <c r="F241" i="30"/>
  <c r="BB243" i="27"/>
  <c r="BC243" i="27"/>
  <c r="BL243" i="27" s="1"/>
  <c r="E240" i="30"/>
  <c r="B250" i="30"/>
  <c r="BJ241" i="27"/>
  <c r="BK241" i="27" s="1"/>
  <c r="BI242" i="27"/>
  <c r="BH242" i="27"/>
  <c r="D242" i="30"/>
  <c r="I242" i="30" s="1"/>
  <c r="BD243" i="27"/>
  <c r="BG243" i="27" s="1"/>
  <c r="BA243" i="27"/>
  <c r="AO256" i="27" l="1"/>
  <c r="AP256" i="27"/>
  <c r="AN257" i="27"/>
  <c r="AQ255" i="27"/>
  <c r="AR255" i="27" s="1"/>
  <c r="AB257" i="27"/>
  <c r="AD256" i="27"/>
  <c r="AC256" i="27"/>
  <c r="AE256" i="27" s="1"/>
  <c r="AF256" i="27" s="1"/>
  <c r="S256" i="27"/>
  <c r="T256" i="27" s="1"/>
  <c r="B257" i="27"/>
  <c r="AU256" i="27"/>
  <c r="O257" i="27"/>
  <c r="U256" i="27"/>
  <c r="AT241" i="27"/>
  <c r="H238" i="30" s="1"/>
  <c r="I257" i="27"/>
  <c r="AA259" i="27"/>
  <c r="AG258" i="27"/>
  <c r="AX243" i="27"/>
  <c r="G253" i="30"/>
  <c r="BF256" i="27"/>
  <c r="P258" i="27"/>
  <c r="Q257" i="27"/>
  <c r="R257" i="27"/>
  <c r="AM258" i="27"/>
  <c r="AS257" i="27"/>
  <c r="AZ245" i="27"/>
  <c r="BE245" i="27"/>
  <c r="F242" i="30"/>
  <c r="B251" i="30"/>
  <c r="BB244" i="27"/>
  <c r="BC244" i="27"/>
  <c r="BL244" i="27" s="1"/>
  <c r="E241" i="30"/>
  <c r="BA244" i="27"/>
  <c r="BJ242" i="27"/>
  <c r="BK242" i="27" s="1"/>
  <c r="BI243" i="27"/>
  <c r="BH243" i="27"/>
  <c r="D243" i="30"/>
  <c r="I243" i="30" s="1"/>
  <c r="AY244" i="27"/>
  <c r="BD244" i="27"/>
  <c r="BG244" i="27" s="1"/>
  <c r="AP257" i="27" l="1"/>
  <c r="AO257" i="27"/>
  <c r="AQ257" i="27" s="1"/>
  <c r="AR257" i="27" s="1"/>
  <c r="AN258" i="27"/>
  <c r="AQ256" i="27"/>
  <c r="AR256" i="27" s="1"/>
  <c r="AB258" i="27"/>
  <c r="AC257" i="27"/>
  <c r="AD257" i="27"/>
  <c r="O258" i="27"/>
  <c r="U257" i="27"/>
  <c r="B258" i="27"/>
  <c r="AU257" i="27"/>
  <c r="AT242" i="27"/>
  <c r="H239" i="30" s="1"/>
  <c r="AA260" i="27"/>
  <c r="AG259" i="27"/>
  <c r="I258" i="27"/>
  <c r="BF257" i="27"/>
  <c r="G254" i="30"/>
  <c r="AM259" i="27"/>
  <c r="AS258" i="27"/>
  <c r="P259" i="27"/>
  <c r="Q258" i="27"/>
  <c r="R258" i="27"/>
  <c r="S257" i="27"/>
  <c r="T257" i="27" s="1"/>
  <c r="BE246" i="27"/>
  <c r="F243" i="30"/>
  <c r="AX244" i="27"/>
  <c r="BA245" i="27"/>
  <c r="BB245" i="27"/>
  <c r="BC245" i="27"/>
  <c r="BL245" i="27" s="1"/>
  <c r="E242" i="30"/>
  <c r="B252" i="30"/>
  <c r="AZ246" i="27"/>
  <c r="BD245" i="27"/>
  <c r="BG245" i="27" s="1"/>
  <c r="BJ243" i="27"/>
  <c r="BK243" i="27" s="1"/>
  <c r="AY245" i="27"/>
  <c r="D244" i="30"/>
  <c r="I244" i="30" s="1"/>
  <c r="BI244" i="27"/>
  <c r="BH244" i="27"/>
  <c r="BJ244" i="27" s="1"/>
  <c r="BK244" i="27" s="1"/>
  <c r="AO258" i="27" l="1"/>
  <c r="AP258" i="27"/>
  <c r="AN259" i="27"/>
  <c r="AE257" i="27"/>
  <c r="AF257" i="27" s="1"/>
  <c r="AD258" i="27"/>
  <c r="AC258" i="27"/>
  <c r="AE258" i="27" s="1"/>
  <c r="AF258" i="27" s="1"/>
  <c r="AB259" i="27"/>
  <c r="B259" i="27"/>
  <c r="AU258" i="27"/>
  <c r="AX245" i="27"/>
  <c r="O259" i="27"/>
  <c r="U258" i="27"/>
  <c r="I259" i="27"/>
  <c r="AT243" i="27"/>
  <c r="H240" i="30" s="1"/>
  <c r="AT244" i="27"/>
  <c r="H241" i="30" s="1"/>
  <c r="G255" i="30"/>
  <c r="BF258" i="27"/>
  <c r="S258" i="27"/>
  <c r="T258" i="27" s="1"/>
  <c r="AA261" i="27"/>
  <c r="AG260" i="27"/>
  <c r="R259" i="27"/>
  <c r="Q259" i="27"/>
  <c r="S259" i="27" s="1"/>
  <c r="T259" i="27" s="1"/>
  <c r="P260" i="27"/>
  <c r="AS259" i="27"/>
  <c r="AM260" i="27"/>
  <c r="BE247" i="27"/>
  <c r="F244" i="30"/>
  <c r="B253" i="30"/>
  <c r="BB246" i="27"/>
  <c r="BC246" i="27"/>
  <c r="BL246" i="27" s="1"/>
  <c r="E243" i="30"/>
  <c r="AY246" i="27"/>
  <c r="BA246" i="27"/>
  <c r="AZ247" i="27"/>
  <c r="BH245" i="27"/>
  <c r="BI245" i="27"/>
  <c r="D245" i="30"/>
  <c r="I245" i="30" s="1"/>
  <c r="BD246" i="27"/>
  <c r="BG246" i="27" s="1"/>
  <c r="AO259" i="27" l="1"/>
  <c r="AP259" i="27"/>
  <c r="AN260" i="27"/>
  <c r="AQ258" i="27"/>
  <c r="AR258" i="27" s="1"/>
  <c r="AD259" i="27"/>
  <c r="AB260" i="27"/>
  <c r="AC259" i="27"/>
  <c r="AE259" i="27" s="1"/>
  <c r="AF259" i="27" s="1"/>
  <c r="O260" i="27"/>
  <c r="U259" i="27"/>
  <c r="B260" i="27"/>
  <c r="AU259" i="27"/>
  <c r="R260" i="27"/>
  <c r="Q260" i="27"/>
  <c r="S260" i="27" s="1"/>
  <c r="T260" i="27" s="1"/>
  <c r="P261" i="27"/>
  <c r="AM261" i="27"/>
  <c r="AS260" i="27"/>
  <c r="BF259" i="27"/>
  <c r="G256" i="30"/>
  <c r="AA262" i="27"/>
  <c r="AG261" i="27"/>
  <c r="I260" i="27"/>
  <c r="BE248" i="27"/>
  <c r="F245" i="30"/>
  <c r="BB247" i="27"/>
  <c r="BC247" i="27"/>
  <c r="BL247" i="27" s="1"/>
  <c r="E244" i="30"/>
  <c r="B254" i="30"/>
  <c r="AY247" i="27"/>
  <c r="BA247" i="27"/>
  <c r="AZ248" i="27"/>
  <c r="D246" i="30"/>
  <c r="I246" i="30" s="1"/>
  <c r="BD247" i="27"/>
  <c r="BG247" i="27" s="1"/>
  <c r="AX246" i="27"/>
  <c r="BI246" i="27"/>
  <c r="BH246" i="27"/>
  <c r="BJ245" i="27"/>
  <c r="BK245" i="27" s="1"/>
  <c r="AO260" i="27" l="1"/>
  <c r="AP260" i="27"/>
  <c r="AN261" i="27"/>
  <c r="AQ259" i="27"/>
  <c r="AR259" i="27" s="1"/>
  <c r="AC260" i="27"/>
  <c r="AD260" i="27"/>
  <c r="AB261" i="27"/>
  <c r="B261" i="27"/>
  <c r="AU260" i="27"/>
  <c r="U260" i="27"/>
  <c r="O261" i="27"/>
  <c r="I261" i="27"/>
  <c r="Q261" i="27"/>
  <c r="R261" i="27"/>
  <c r="P262" i="27"/>
  <c r="AM262" i="27"/>
  <c r="AS261" i="27"/>
  <c r="AG262" i="27"/>
  <c r="AA263" i="27"/>
  <c r="BF260" i="27"/>
  <c r="G257" i="30"/>
  <c r="AT245" i="27"/>
  <c r="H242" i="30" s="1"/>
  <c r="AX247" i="27"/>
  <c r="BE249" i="27"/>
  <c r="F246" i="30"/>
  <c r="B255" i="30"/>
  <c r="BB248" i="27"/>
  <c r="BC248" i="27"/>
  <c r="BL248" i="27" s="1"/>
  <c r="E245" i="30"/>
  <c r="BJ246" i="27"/>
  <c r="BK246" i="27" s="1"/>
  <c r="BD248" i="27"/>
  <c r="BG248" i="27" s="1"/>
  <c r="BA248" i="27"/>
  <c r="AY248" i="27"/>
  <c r="AZ249" i="27"/>
  <c r="BI247" i="27"/>
  <c r="BH247" i="27"/>
  <c r="D247" i="30"/>
  <c r="I247" i="30" s="1"/>
  <c r="AN262" i="27" l="1"/>
  <c r="AP261" i="27"/>
  <c r="AO261" i="27"/>
  <c r="AQ261" i="27" s="1"/>
  <c r="AR261" i="27" s="1"/>
  <c r="AQ260" i="27"/>
  <c r="AR260" i="27" s="1"/>
  <c r="AD261" i="27"/>
  <c r="AB262" i="27"/>
  <c r="AC261" i="27"/>
  <c r="AE261" i="27" s="1"/>
  <c r="AF261" i="27" s="1"/>
  <c r="AE260" i="27"/>
  <c r="AF260" i="27" s="1"/>
  <c r="U261" i="27"/>
  <c r="O262" i="27"/>
  <c r="S261" i="27"/>
  <c r="T261" i="27" s="1"/>
  <c r="B262" i="27"/>
  <c r="AU261" i="27"/>
  <c r="AM263" i="27"/>
  <c r="AS262" i="27"/>
  <c r="Q262" i="27"/>
  <c r="R262" i="27"/>
  <c r="P263" i="27"/>
  <c r="AG263" i="27"/>
  <c r="AA264" i="27"/>
  <c r="G258" i="30"/>
  <c r="BF261" i="27"/>
  <c r="AT246" i="27"/>
  <c r="H243" i="30" s="1"/>
  <c r="I262" i="27"/>
  <c r="AY249" i="27"/>
  <c r="BE250" i="27"/>
  <c r="F247" i="30"/>
  <c r="AX248" i="27"/>
  <c r="BC249" i="27"/>
  <c r="BB249" i="27"/>
  <c r="E246" i="30"/>
  <c r="B256" i="30"/>
  <c r="BA249" i="27"/>
  <c r="BJ247" i="27"/>
  <c r="BK247" i="27" s="1"/>
  <c r="AZ250" i="27"/>
  <c r="D248" i="30"/>
  <c r="I248" i="30" s="1"/>
  <c r="BI248" i="27"/>
  <c r="BH248" i="27"/>
  <c r="BD249" i="27"/>
  <c r="BG249" i="27" s="1"/>
  <c r="AN263" i="27" l="1"/>
  <c r="AP262" i="27"/>
  <c r="AO262" i="27"/>
  <c r="AQ262" i="27" s="1"/>
  <c r="AR262" i="27" s="1"/>
  <c r="AC262" i="27"/>
  <c r="AB263" i="27"/>
  <c r="AD262" i="27"/>
  <c r="B263" i="27"/>
  <c r="AU262" i="27"/>
  <c r="O263" i="27"/>
  <c r="U262" i="27"/>
  <c r="I263" i="27"/>
  <c r="AT247" i="27"/>
  <c r="H244" i="30" s="1"/>
  <c r="S262" i="27"/>
  <c r="T262" i="27" s="1"/>
  <c r="AG264" i="27"/>
  <c r="AA265" i="27"/>
  <c r="R263" i="27"/>
  <c r="P264" i="27"/>
  <c r="Q263" i="27"/>
  <c r="S263" i="27" s="1"/>
  <c r="T263" i="27" s="1"/>
  <c r="BF262" i="27"/>
  <c r="G259" i="30"/>
  <c r="AM264" i="27"/>
  <c r="AS263" i="27"/>
  <c r="BL249" i="27"/>
  <c r="AX249" i="27"/>
  <c r="BA250" i="27"/>
  <c r="AY250" i="27"/>
  <c r="BE251" i="27"/>
  <c r="F248" i="30"/>
  <c r="B257" i="30"/>
  <c r="BB250" i="27"/>
  <c r="BC250" i="27"/>
  <c r="BL250" i="27" s="1"/>
  <c r="E247" i="30"/>
  <c r="D249" i="30"/>
  <c r="I249" i="30" s="1"/>
  <c r="BD250" i="27"/>
  <c r="BG250" i="27" s="1"/>
  <c r="BJ248" i="27"/>
  <c r="BK248" i="27" s="1"/>
  <c r="BH249" i="27"/>
  <c r="BI249" i="27"/>
  <c r="AZ251" i="27"/>
  <c r="AP263" i="27" l="1"/>
  <c r="AN264" i="27"/>
  <c r="AO263" i="27"/>
  <c r="AQ263" i="27" s="1"/>
  <c r="AR263" i="27" s="1"/>
  <c r="AB264" i="27"/>
  <c r="AD263" i="27"/>
  <c r="AC263" i="27"/>
  <c r="AE262" i="27"/>
  <c r="AF262" i="27" s="1"/>
  <c r="O264" i="27"/>
  <c r="U263" i="27"/>
  <c r="B264" i="27"/>
  <c r="AU263" i="27"/>
  <c r="AM265" i="27"/>
  <c r="AS264" i="27"/>
  <c r="Q264" i="27"/>
  <c r="P265" i="27"/>
  <c r="R264" i="27"/>
  <c r="AX250" i="27"/>
  <c r="AT248" i="27"/>
  <c r="H245" i="30" s="1"/>
  <c r="AG265" i="27"/>
  <c r="AA266" i="27"/>
  <c r="BF263" i="27"/>
  <c r="G260" i="30"/>
  <c r="I264" i="27"/>
  <c r="AY251" i="27"/>
  <c r="AZ252" i="27"/>
  <c r="BE252" i="27"/>
  <c r="F249" i="30"/>
  <c r="BC251" i="27"/>
  <c r="BL251" i="27" s="1"/>
  <c r="BB251" i="27"/>
  <c r="E248" i="30"/>
  <c r="B258" i="30"/>
  <c r="BJ249" i="27"/>
  <c r="BK249" i="27" s="1"/>
  <c r="BA251" i="27"/>
  <c r="BI250" i="27"/>
  <c r="BH250" i="27"/>
  <c r="BD251" i="27"/>
  <c r="BG251" i="27" s="1"/>
  <c r="D250" i="30"/>
  <c r="I250" i="30" s="1"/>
  <c r="AZ253" i="27"/>
  <c r="AO264" i="27" l="1"/>
  <c r="AP264" i="27"/>
  <c r="AN265" i="27"/>
  <c r="AE263" i="27"/>
  <c r="AF263" i="27" s="1"/>
  <c r="AD264" i="27"/>
  <c r="AC264" i="27"/>
  <c r="AE264" i="27" s="1"/>
  <c r="AF264" i="27" s="1"/>
  <c r="AB265" i="27"/>
  <c r="B265" i="27"/>
  <c r="AU264" i="27"/>
  <c r="O265" i="27"/>
  <c r="U264" i="27"/>
  <c r="AX251" i="27"/>
  <c r="AT249" i="27"/>
  <c r="H246" i="30" s="1"/>
  <c r="S264" i="27"/>
  <c r="T264" i="27" s="1"/>
  <c r="Q265" i="27"/>
  <c r="P266" i="27"/>
  <c r="R265" i="27"/>
  <c r="BF264" i="27"/>
  <c r="G261" i="30"/>
  <c r="AS265" i="27"/>
  <c r="AM266" i="27"/>
  <c r="I265" i="27"/>
  <c r="AA267" i="27"/>
  <c r="AG266" i="27"/>
  <c r="BJ250" i="27"/>
  <c r="BK250" i="27" s="1"/>
  <c r="BE253" i="27"/>
  <c r="F250" i="30"/>
  <c r="B259" i="30"/>
  <c r="BB252" i="27"/>
  <c r="BC252" i="27"/>
  <c r="E249" i="30"/>
  <c r="BD252" i="27"/>
  <c r="BG252" i="27" s="1"/>
  <c r="AY252" i="27"/>
  <c r="BA252" i="27"/>
  <c r="BI251" i="27"/>
  <c r="BH251" i="27"/>
  <c r="D251" i="30"/>
  <c r="I251" i="30" s="1"/>
  <c r="AP265" i="27" l="1"/>
  <c r="AO265" i="27"/>
  <c r="AQ265" i="27" s="1"/>
  <c r="AR265" i="27" s="1"/>
  <c r="AN266" i="27"/>
  <c r="AQ264" i="27"/>
  <c r="AR264" i="27" s="1"/>
  <c r="AB266" i="27"/>
  <c r="AD265" i="27"/>
  <c r="AC265" i="27"/>
  <c r="AE265" i="27" s="1"/>
  <c r="AF265" i="27" s="1"/>
  <c r="S265" i="27"/>
  <c r="T265" i="27" s="1"/>
  <c r="O266" i="27"/>
  <c r="U265" i="27"/>
  <c r="B266" i="27"/>
  <c r="AU265" i="27"/>
  <c r="P267" i="27"/>
  <c r="Q266" i="27"/>
  <c r="R266" i="27"/>
  <c r="I266" i="27"/>
  <c r="AT250" i="27"/>
  <c r="H247" i="30" s="1"/>
  <c r="AG267" i="27"/>
  <c r="AA268" i="27"/>
  <c r="BF265" i="27"/>
  <c r="G262" i="30"/>
  <c r="AM267" i="27"/>
  <c r="AS266" i="27"/>
  <c r="BL252" i="27"/>
  <c r="AZ254" i="27"/>
  <c r="BJ251" i="27"/>
  <c r="BK251" i="27" s="1"/>
  <c r="BE254" i="27"/>
  <c r="F251" i="30"/>
  <c r="BB253" i="27"/>
  <c r="BC253" i="27"/>
  <c r="E250" i="30"/>
  <c r="BA253" i="27"/>
  <c r="B260" i="30"/>
  <c r="AX252" i="27"/>
  <c r="BD253" i="27"/>
  <c r="BG253" i="27" s="1"/>
  <c r="AY253" i="27"/>
  <c r="D252" i="30"/>
  <c r="I252" i="30" s="1"/>
  <c r="BI252" i="27"/>
  <c r="BH252" i="27"/>
  <c r="AO266" i="27" l="1"/>
  <c r="AN267" i="27"/>
  <c r="AP266" i="27"/>
  <c r="AB267" i="27"/>
  <c r="AC266" i="27"/>
  <c r="AD266" i="27"/>
  <c r="B267" i="27"/>
  <c r="AU266" i="27"/>
  <c r="O267" i="27"/>
  <c r="U266" i="27"/>
  <c r="AG268" i="27"/>
  <c r="AA269" i="27"/>
  <c r="AT251" i="27"/>
  <c r="H248" i="30" s="1"/>
  <c r="S266" i="27"/>
  <c r="T266" i="27" s="1"/>
  <c r="AM268" i="27"/>
  <c r="AS267" i="27"/>
  <c r="I267" i="27"/>
  <c r="P268" i="27"/>
  <c r="Q267" i="27"/>
  <c r="R267" i="27"/>
  <c r="BF266" i="27"/>
  <c r="G263" i="30"/>
  <c r="BL253" i="27"/>
  <c r="BA254" i="27"/>
  <c r="BE255" i="27"/>
  <c r="F252" i="30"/>
  <c r="BC254" i="27"/>
  <c r="BL254" i="27" s="1"/>
  <c r="BB254" i="27"/>
  <c r="E251" i="30"/>
  <c r="B261" i="30"/>
  <c r="AX253" i="27"/>
  <c r="BJ252" i="27"/>
  <c r="BK252" i="27" s="1"/>
  <c r="AY254" i="27"/>
  <c r="D253" i="30"/>
  <c r="I253" i="30" s="1"/>
  <c r="BD254" i="27"/>
  <c r="BG254" i="27" s="1"/>
  <c r="BI253" i="27"/>
  <c r="BH253" i="27"/>
  <c r="AZ255" i="27"/>
  <c r="AN268" i="27" l="1"/>
  <c r="AP267" i="27"/>
  <c r="AO267" i="27"/>
  <c r="AQ267" i="27" s="1"/>
  <c r="AR267" i="27" s="1"/>
  <c r="AQ266" i="27"/>
  <c r="AR266" i="27" s="1"/>
  <c r="AE266" i="27"/>
  <c r="AF266" i="27" s="1"/>
  <c r="AC267" i="27"/>
  <c r="AB268" i="27"/>
  <c r="AD267" i="27"/>
  <c r="O268" i="27"/>
  <c r="U267" i="27"/>
  <c r="B268" i="27"/>
  <c r="AU267" i="27"/>
  <c r="AM269" i="27"/>
  <c r="AS268" i="27"/>
  <c r="AT252" i="27"/>
  <c r="H249" i="30" s="1"/>
  <c r="G264" i="30"/>
  <c r="BF267" i="27"/>
  <c r="AA270" i="27"/>
  <c r="AG269" i="27"/>
  <c r="S267" i="27"/>
  <c r="T267" i="27" s="1"/>
  <c r="I268" i="27"/>
  <c r="P269" i="27"/>
  <c r="Q268" i="27"/>
  <c r="R268" i="27"/>
  <c r="AX254" i="27"/>
  <c r="AY255" i="27"/>
  <c r="BE256" i="27"/>
  <c r="F253" i="30"/>
  <c r="BB255" i="27"/>
  <c r="BC255" i="27"/>
  <c r="E252" i="30"/>
  <c r="B262" i="30"/>
  <c r="AZ256" i="27"/>
  <c r="BJ253" i="27"/>
  <c r="BK253" i="27" s="1"/>
  <c r="BI254" i="27"/>
  <c r="BH254" i="27"/>
  <c r="BD255" i="27"/>
  <c r="BG255" i="27" s="1"/>
  <c r="D254" i="30"/>
  <c r="I254" i="30" s="1"/>
  <c r="BA255" i="27"/>
  <c r="AO268" i="27" l="1"/>
  <c r="AP268" i="27"/>
  <c r="AN269" i="27"/>
  <c r="AD268" i="27"/>
  <c r="AB269" i="27"/>
  <c r="AC268" i="27"/>
  <c r="AE268" i="27" s="1"/>
  <c r="AF268" i="27" s="1"/>
  <c r="AE267" i="27"/>
  <c r="AF267" i="27" s="1"/>
  <c r="B269" i="27"/>
  <c r="AU268" i="27"/>
  <c r="U268" i="27"/>
  <c r="O269" i="27"/>
  <c r="I269" i="27"/>
  <c r="AT253" i="27"/>
  <c r="H250" i="30" s="1"/>
  <c r="S268" i="27"/>
  <c r="T268" i="27" s="1"/>
  <c r="R269" i="27"/>
  <c r="Q269" i="27"/>
  <c r="P270" i="27"/>
  <c r="AG270" i="27"/>
  <c r="AA271" i="27"/>
  <c r="BF268" i="27"/>
  <c r="G265" i="30"/>
  <c r="AX255" i="27"/>
  <c r="AM270" i="27"/>
  <c r="AS269" i="27"/>
  <c r="BL255" i="27"/>
  <c r="BJ254" i="27"/>
  <c r="BK254" i="27" s="1"/>
  <c r="BE257" i="27"/>
  <c r="F254" i="30"/>
  <c r="B263" i="30"/>
  <c r="BB256" i="27"/>
  <c r="BC256" i="27"/>
  <c r="E253" i="30"/>
  <c r="AZ257" i="27"/>
  <c r="BA256" i="27"/>
  <c r="AY256" i="27"/>
  <c r="BI255" i="27"/>
  <c r="BH255" i="27"/>
  <c r="D255" i="30"/>
  <c r="I255" i="30" s="1"/>
  <c r="BD256" i="27"/>
  <c r="BG256" i="27" s="1"/>
  <c r="AN270" i="27" l="1"/>
  <c r="AO269" i="27"/>
  <c r="AP269" i="27"/>
  <c r="AQ268" i="27"/>
  <c r="AR268" i="27" s="1"/>
  <c r="AC269" i="27"/>
  <c r="AD269" i="27"/>
  <c r="AB270" i="27"/>
  <c r="U269" i="27"/>
  <c r="O270" i="27"/>
  <c r="B270" i="27"/>
  <c r="AU269" i="27"/>
  <c r="AT254" i="27"/>
  <c r="H251" i="30" s="1"/>
  <c r="R270" i="27"/>
  <c r="P271" i="27"/>
  <c r="Q270" i="27"/>
  <c r="S270" i="27" s="1"/>
  <c r="T270" i="27" s="1"/>
  <c r="BF269" i="27"/>
  <c r="G266" i="30"/>
  <c r="I270" i="27"/>
  <c r="S269" i="27"/>
  <c r="T269" i="27" s="1"/>
  <c r="AS270" i="27"/>
  <c r="AM271" i="27"/>
  <c r="AA272" i="27"/>
  <c r="AG271" i="27"/>
  <c r="BL256" i="27"/>
  <c r="AX256" i="27"/>
  <c r="BE258" i="27"/>
  <c r="F255" i="30"/>
  <c r="BB257" i="27"/>
  <c r="BC257" i="27"/>
  <c r="BL257" i="27" s="1"/>
  <c r="E254" i="30"/>
  <c r="B264" i="30"/>
  <c r="BA257" i="27"/>
  <c r="BJ255" i="27"/>
  <c r="BK255" i="27" s="1"/>
  <c r="AZ258" i="27"/>
  <c r="AY257" i="27"/>
  <c r="BD257" i="27"/>
  <c r="BG257" i="27" s="1"/>
  <c r="BI256" i="27"/>
  <c r="BH256" i="27"/>
  <c r="D256" i="30"/>
  <c r="I256" i="30" s="1"/>
  <c r="AQ269" i="27" l="1"/>
  <c r="AR269" i="27" s="1"/>
  <c r="AN271" i="27"/>
  <c r="AO270" i="27"/>
  <c r="AP270" i="27"/>
  <c r="AC270" i="27"/>
  <c r="AB271" i="27"/>
  <c r="AD270" i="27"/>
  <c r="AE269" i="27"/>
  <c r="AF269" i="27" s="1"/>
  <c r="B271" i="27"/>
  <c r="AU270" i="27"/>
  <c r="O271" i="27"/>
  <c r="U270" i="27"/>
  <c r="Q271" i="27"/>
  <c r="P272" i="27"/>
  <c r="R271" i="27"/>
  <c r="AM272" i="27"/>
  <c r="AS271" i="27"/>
  <c r="AT255" i="27"/>
  <c r="H252" i="30" s="1"/>
  <c r="BF270" i="27"/>
  <c r="G267" i="30"/>
  <c r="I271" i="27"/>
  <c r="AA273" i="27"/>
  <c r="AG272" i="27"/>
  <c r="BE259" i="27"/>
  <c r="F256" i="30"/>
  <c r="AX257" i="27"/>
  <c r="B265" i="30"/>
  <c r="BB258" i="27"/>
  <c r="BC258" i="27"/>
  <c r="BL258" i="27" s="1"/>
  <c r="E255" i="30"/>
  <c r="BJ256" i="27"/>
  <c r="BK256" i="27" s="1"/>
  <c r="AY258" i="27"/>
  <c r="AZ259" i="27"/>
  <c r="BA258" i="27"/>
  <c r="BD258" i="27"/>
  <c r="BG258" i="27" s="1"/>
  <c r="D257" i="30"/>
  <c r="I257" i="30" s="1"/>
  <c r="BI257" i="27"/>
  <c r="BH257" i="27"/>
  <c r="AZ260" i="27"/>
  <c r="AQ270" i="27" l="1"/>
  <c r="AR270" i="27" s="1"/>
  <c r="AP271" i="27"/>
  <c r="AN272" i="27"/>
  <c r="AO271" i="27"/>
  <c r="AQ271" i="27" s="1"/>
  <c r="AR271" i="27" s="1"/>
  <c r="AD271" i="27"/>
  <c r="AC271" i="27"/>
  <c r="AE271" i="27" s="1"/>
  <c r="AF271" i="27" s="1"/>
  <c r="AB272" i="27"/>
  <c r="AE270" i="27"/>
  <c r="AF270" i="27" s="1"/>
  <c r="O272" i="27"/>
  <c r="U271" i="27"/>
  <c r="B272" i="27"/>
  <c r="AU271" i="27"/>
  <c r="AT256" i="27"/>
  <c r="H253" i="30" s="1"/>
  <c r="BF271" i="27"/>
  <c r="G268" i="30"/>
  <c r="S271" i="27"/>
  <c r="T271" i="27" s="1"/>
  <c r="AM273" i="27"/>
  <c r="AS272" i="27"/>
  <c r="AA274" i="27"/>
  <c r="AG273" i="27"/>
  <c r="I272" i="27"/>
  <c r="Q272" i="27"/>
  <c r="R272" i="27"/>
  <c r="P273" i="27"/>
  <c r="BA259" i="27"/>
  <c r="AX258" i="27"/>
  <c r="BE260" i="27"/>
  <c r="F257" i="30"/>
  <c r="BB259" i="27"/>
  <c r="BC259" i="27"/>
  <c r="BL259" i="27" s="1"/>
  <c r="E256" i="30"/>
  <c r="B266" i="30"/>
  <c r="AY259" i="27"/>
  <c r="AX259" i="27" s="1"/>
  <c r="BD259" i="27"/>
  <c r="BG259" i="27" s="1"/>
  <c r="D258" i="30"/>
  <c r="I258" i="30" s="1"/>
  <c r="BI258" i="27"/>
  <c r="BH258" i="27"/>
  <c r="BJ257" i="27"/>
  <c r="BK257" i="27" s="1"/>
  <c r="AP272" i="27" l="1"/>
  <c r="AN273" i="27"/>
  <c r="AO272" i="27"/>
  <c r="AQ272" i="27" s="1"/>
  <c r="AR272" i="27" s="1"/>
  <c r="AC272" i="27"/>
  <c r="AD272" i="27"/>
  <c r="AB273" i="27"/>
  <c r="S272" i="27"/>
  <c r="T272" i="27" s="1"/>
  <c r="B273" i="27"/>
  <c r="AU272" i="27"/>
  <c r="U272" i="27"/>
  <c r="O273" i="27"/>
  <c r="AT257" i="27"/>
  <c r="H254" i="30" s="1"/>
  <c r="AG274" i="27"/>
  <c r="AA275" i="27"/>
  <c r="Q273" i="27"/>
  <c r="R273" i="27"/>
  <c r="P274" i="27"/>
  <c r="I273" i="27"/>
  <c r="AM274" i="27"/>
  <c r="AS273" i="27"/>
  <c r="BF272" i="27"/>
  <c r="G269" i="30"/>
  <c r="BJ258" i="27"/>
  <c r="BK258" i="27" s="1"/>
  <c r="BE261" i="27"/>
  <c r="F258" i="30"/>
  <c r="BB260" i="27"/>
  <c r="BC260" i="27"/>
  <c r="BL260" i="27" s="1"/>
  <c r="E257" i="30"/>
  <c r="B267" i="30"/>
  <c r="AZ262" i="27"/>
  <c r="D259" i="30"/>
  <c r="I259" i="30" s="1"/>
  <c r="AY260" i="27"/>
  <c r="BA260" i="27"/>
  <c r="AZ261" i="27"/>
  <c r="BD260" i="27"/>
  <c r="BG260" i="27" s="1"/>
  <c r="BH259" i="27"/>
  <c r="BI259" i="27"/>
  <c r="AN274" i="27" l="1"/>
  <c r="AO273" i="27"/>
  <c r="AP273" i="27"/>
  <c r="AB274" i="27"/>
  <c r="AC273" i="27"/>
  <c r="AD273" i="27"/>
  <c r="AE272" i="27"/>
  <c r="AF272" i="27" s="1"/>
  <c r="B274" i="27"/>
  <c r="AU273" i="27"/>
  <c r="U273" i="27"/>
  <c r="O274" i="27"/>
  <c r="S273" i="27"/>
  <c r="T273" i="27" s="1"/>
  <c r="I274" i="27"/>
  <c r="AT258" i="27"/>
  <c r="H255" i="30" s="1"/>
  <c r="BF273" i="27"/>
  <c r="G270" i="30"/>
  <c r="AM275" i="27"/>
  <c r="AS274" i="27"/>
  <c r="Q274" i="27"/>
  <c r="P275" i="27"/>
  <c r="R274" i="27"/>
  <c r="AA276" i="27"/>
  <c r="AG275" i="27"/>
  <c r="BE262" i="27"/>
  <c r="F259" i="30"/>
  <c r="B268" i="30"/>
  <c r="BC261" i="27"/>
  <c r="BL261" i="27" s="1"/>
  <c r="BB261" i="27"/>
  <c r="E258" i="30"/>
  <c r="AY261" i="27"/>
  <c r="AX260" i="27"/>
  <c r="BD261" i="27"/>
  <c r="BG261" i="27" s="1"/>
  <c r="BI260" i="27"/>
  <c r="BH260" i="27"/>
  <c r="BJ259" i="27"/>
  <c r="BK259" i="27" s="1"/>
  <c r="D260" i="30"/>
  <c r="I260" i="30" s="1"/>
  <c r="BA261" i="27"/>
  <c r="AQ273" i="27" l="1"/>
  <c r="AR273" i="27" s="1"/>
  <c r="AN275" i="27"/>
  <c r="AP274" i="27"/>
  <c r="AO274" i="27"/>
  <c r="AQ274" i="27" s="1"/>
  <c r="AR274" i="27" s="1"/>
  <c r="AE273" i="27"/>
  <c r="AF273" i="27" s="1"/>
  <c r="AD274" i="27"/>
  <c r="AC274" i="27"/>
  <c r="AE274" i="27" s="1"/>
  <c r="AF274" i="27" s="1"/>
  <c r="AB275" i="27"/>
  <c r="U274" i="27"/>
  <c r="O275" i="27"/>
  <c r="B275" i="27"/>
  <c r="AU274" i="27"/>
  <c r="P276" i="27"/>
  <c r="Q275" i="27"/>
  <c r="R275" i="27"/>
  <c r="AT259" i="27"/>
  <c r="H256" i="30" s="1"/>
  <c r="S274" i="27"/>
  <c r="T274" i="27" s="1"/>
  <c r="I275" i="27"/>
  <c r="G271" i="30"/>
  <c r="BF274" i="27"/>
  <c r="AS275" i="27"/>
  <c r="AM276" i="27"/>
  <c r="AA277" i="27"/>
  <c r="AG276" i="27"/>
  <c r="AZ263" i="27"/>
  <c r="AY262" i="27"/>
  <c r="AX261" i="27"/>
  <c r="BE263" i="27"/>
  <c r="F260" i="30"/>
  <c r="BB262" i="27"/>
  <c r="BC262" i="27"/>
  <c r="BL262" i="27" s="1"/>
  <c r="E259" i="30"/>
  <c r="B269" i="30"/>
  <c r="BA262" i="27"/>
  <c r="BJ260" i="27"/>
  <c r="BK260" i="27" s="1"/>
  <c r="D261" i="30"/>
  <c r="I261" i="30" s="1"/>
  <c r="BI261" i="27"/>
  <c r="BH261" i="27"/>
  <c r="BD262" i="27"/>
  <c r="BG262" i="27" s="1"/>
  <c r="AX262" i="27" l="1"/>
  <c r="AO275" i="27"/>
  <c r="AQ275" i="27" s="1"/>
  <c r="AR275" i="27" s="1"/>
  <c r="AP275" i="27"/>
  <c r="AN276" i="27"/>
  <c r="AD275" i="27"/>
  <c r="AB276" i="27"/>
  <c r="AC275" i="27"/>
  <c r="AE275" i="27" s="1"/>
  <c r="AF275" i="27" s="1"/>
  <c r="B276" i="27"/>
  <c r="AU275" i="27"/>
  <c r="O276" i="27"/>
  <c r="U275" i="27"/>
  <c r="AG277" i="27"/>
  <c r="AA278" i="27"/>
  <c r="R276" i="27"/>
  <c r="P277" i="27"/>
  <c r="Q276" i="27"/>
  <c r="S276" i="27" s="1"/>
  <c r="T276" i="27" s="1"/>
  <c r="I276" i="27"/>
  <c r="AM277" i="27"/>
  <c r="AS276" i="27"/>
  <c r="S275" i="27"/>
  <c r="T275" i="27" s="1"/>
  <c r="BF275" i="27"/>
  <c r="G272" i="30"/>
  <c r="AT260" i="27"/>
  <c r="H257" i="30" s="1"/>
  <c r="AZ264" i="27"/>
  <c r="AY263" i="27"/>
  <c r="BE264" i="27"/>
  <c r="F261" i="30"/>
  <c r="BB263" i="27"/>
  <c r="BC263" i="27"/>
  <c r="BL263" i="27" s="1"/>
  <c r="E260" i="30"/>
  <c r="B270" i="30"/>
  <c r="BA263" i="27"/>
  <c r="BJ261" i="27"/>
  <c r="BK261" i="27" s="1"/>
  <c r="BI262" i="27"/>
  <c r="BH262" i="27"/>
  <c r="BD263" i="27"/>
  <c r="BG263" i="27" s="1"/>
  <c r="D262" i="30"/>
  <c r="I262" i="30" s="1"/>
  <c r="AO276" i="27" l="1"/>
  <c r="AP276" i="27"/>
  <c r="AN277" i="27"/>
  <c r="AB277" i="27"/>
  <c r="AC276" i="27"/>
  <c r="AD276" i="27"/>
  <c r="U276" i="27"/>
  <c r="O277" i="27"/>
  <c r="B277" i="27"/>
  <c r="AU276" i="27"/>
  <c r="AX263" i="27"/>
  <c r="AT261" i="27"/>
  <c r="H258" i="30" s="1"/>
  <c r="I277" i="27"/>
  <c r="P278" i="27"/>
  <c r="Q277" i="27"/>
  <c r="R277" i="27"/>
  <c r="G273" i="30"/>
  <c r="BF276" i="27"/>
  <c r="AG278" i="27"/>
  <c r="AA279" i="27"/>
  <c r="AM278" i="27"/>
  <c r="AS277" i="27"/>
  <c r="BE265" i="27"/>
  <c r="F262" i="30"/>
  <c r="B271" i="30"/>
  <c r="BB264" i="27"/>
  <c r="BC264" i="27"/>
  <c r="BL264" i="27" s="1"/>
  <c r="E261" i="30"/>
  <c r="BJ262" i="27"/>
  <c r="BK262" i="27" s="1"/>
  <c r="BA264" i="27"/>
  <c r="BI263" i="27"/>
  <c r="BH263" i="27"/>
  <c r="AY264" i="27"/>
  <c r="BD264" i="27"/>
  <c r="BG264" i="27" s="1"/>
  <c r="D263" i="30"/>
  <c r="I263" i="30" s="1"/>
  <c r="AZ265" i="27"/>
  <c r="AO277" i="27" l="1"/>
  <c r="AP277" i="27"/>
  <c r="AN278" i="27"/>
  <c r="AQ276" i="27"/>
  <c r="AR276" i="27" s="1"/>
  <c r="AE276" i="27"/>
  <c r="AF276" i="27" s="1"/>
  <c r="AB278" i="27"/>
  <c r="AC277" i="27"/>
  <c r="AD277" i="27"/>
  <c r="AX264" i="27"/>
  <c r="U277" i="27"/>
  <c r="O278" i="27"/>
  <c r="B278" i="27"/>
  <c r="AU277" i="27"/>
  <c r="AM279" i="27"/>
  <c r="AS278" i="27"/>
  <c r="I278" i="27"/>
  <c r="AA280" i="27"/>
  <c r="AG279" i="27"/>
  <c r="S277" i="27"/>
  <c r="T277" i="27" s="1"/>
  <c r="AT262" i="27"/>
  <c r="H259" i="30" s="1"/>
  <c r="P279" i="27"/>
  <c r="Q278" i="27"/>
  <c r="R278" i="27"/>
  <c r="G274" i="30"/>
  <c r="BF277" i="27"/>
  <c r="BE266" i="27"/>
  <c r="F263" i="30"/>
  <c r="BC265" i="27"/>
  <c r="BB265" i="27"/>
  <c r="E262" i="30"/>
  <c r="B272" i="30"/>
  <c r="AY265" i="27"/>
  <c r="BJ263" i="27"/>
  <c r="BK263" i="27" s="1"/>
  <c r="AZ266" i="27"/>
  <c r="BA265" i="27"/>
  <c r="D264" i="30"/>
  <c r="I264" i="30" s="1"/>
  <c r="BI264" i="27"/>
  <c r="BH264" i="27"/>
  <c r="BD265" i="27"/>
  <c r="BG265" i="27" s="1"/>
  <c r="AP278" i="27" l="1"/>
  <c r="AN279" i="27"/>
  <c r="AO278" i="27"/>
  <c r="AQ278" i="27" s="1"/>
  <c r="AR278" i="27" s="1"/>
  <c r="AQ277" i="27"/>
  <c r="AR277" i="27" s="1"/>
  <c r="AE277" i="27"/>
  <c r="AF277" i="27" s="1"/>
  <c r="AD278" i="27"/>
  <c r="AB279" i="27"/>
  <c r="AC278" i="27"/>
  <c r="AE278" i="27" s="1"/>
  <c r="AF278" i="27" s="1"/>
  <c r="B279" i="27"/>
  <c r="AU278" i="27"/>
  <c r="O279" i="27"/>
  <c r="U278" i="27"/>
  <c r="R279" i="27"/>
  <c r="Q279" i="27"/>
  <c r="S279" i="27" s="1"/>
  <c r="T279" i="27" s="1"/>
  <c r="P280" i="27"/>
  <c r="AT263" i="27"/>
  <c r="H260" i="30" s="1"/>
  <c r="I279" i="27"/>
  <c r="S278" i="27"/>
  <c r="T278" i="27" s="1"/>
  <c r="AA281" i="27"/>
  <c r="AG280" i="27"/>
  <c r="G275" i="30"/>
  <c r="BF278" i="27"/>
  <c r="AM280" i="27"/>
  <c r="AS279" i="27"/>
  <c r="BL265" i="27"/>
  <c r="AX265" i="27"/>
  <c r="BE267" i="27"/>
  <c r="F264" i="30"/>
  <c r="B273" i="30"/>
  <c r="BB266" i="27"/>
  <c r="BC266" i="27"/>
  <c r="BL266" i="27" s="1"/>
  <c r="E263" i="30"/>
  <c r="BA266" i="27"/>
  <c r="BJ264" i="27"/>
  <c r="BK264" i="27" s="1"/>
  <c r="AY266" i="27"/>
  <c r="BD266" i="27"/>
  <c r="BG266" i="27" s="1"/>
  <c r="D265" i="30"/>
  <c r="I265" i="30" s="1"/>
  <c r="BI265" i="27"/>
  <c r="BH265" i="27"/>
  <c r="AZ267" i="27"/>
  <c r="AO279" i="27" l="1"/>
  <c r="AP279" i="27"/>
  <c r="AN280" i="27"/>
  <c r="AD279" i="27"/>
  <c r="AB280" i="27"/>
  <c r="AC279" i="27"/>
  <c r="AE279" i="27" s="1"/>
  <c r="AF279" i="27" s="1"/>
  <c r="U279" i="27"/>
  <c r="O280" i="27"/>
  <c r="B280" i="27"/>
  <c r="AU279" i="27"/>
  <c r="AG281" i="27"/>
  <c r="AA282" i="27"/>
  <c r="AM281" i="27"/>
  <c r="AS280" i="27"/>
  <c r="AT264" i="27"/>
  <c r="H261" i="30" s="1"/>
  <c r="R280" i="27"/>
  <c r="Q280" i="27"/>
  <c r="P281" i="27"/>
  <c r="I280" i="27"/>
  <c r="G276" i="30"/>
  <c r="BF279" i="27"/>
  <c r="BJ265" i="27"/>
  <c r="BK265" i="27" s="1"/>
  <c r="AX266" i="27"/>
  <c r="BE268" i="27"/>
  <c r="F265" i="30"/>
  <c r="AZ268" i="27"/>
  <c r="BC267" i="27"/>
  <c r="BB267" i="27"/>
  <c r="E264" i="30"/>
  <c r="B274" i="30"/>
  <c r="AY267" i="27"/>
  <c r="BA267" i="27"/>
  <c r="BD267" i="27"/>
  <c r="BG267" i="27" s="1"/>
  <c r="BI266" i="27"/>
  <c r="BH266" i="27"/>
  <c r="D266" i="30"/>
  <c r="I266" i="30" s="1"/>
  <c r="AP280" i="27" l="1"/>
  <c r="AO280" i="27"/>
  <c r="AQ280" i="27" s="1"/>
  <c r="AR280" i="27" s="1"/>
  <c r="AN281" i="27"/>
  <c r="AQ279" i="27"/>
  <c r="AR279" i="27" s="1"/>
  <c r="AB281" i="27"/>
  <c r="AC280" i="27"/>
  <c r="AD280" i="27"/>
  <c r="B281" i="27"/>
  <c r="AU280" i="27"/>
  <c r="U280" i="27"/>
  <c r="O281" i="27"/>
  <c r="AG282" i="27"/>
  <c r="AA283" i="27"/>
  <c r="I281" i="27"/>
  <c r="BF280" i="27"/>
  <c r="G277" i="30"/>
  <c r="AM282" i="27"/>
  <c r="AS281" i="27"/>
  <c r="R281" i="27"/>
  <c r="Q281" i="27"/>
  <c r="S281" i="27" s="1"/>
  <c r="T281" i="27" s="1"/>
  <c r="P282" i="27"/>
  <c r="S280" i="27"/>
  <c r="T280" i="27" s="1"/>
  <c r="AT265" i="27"/>
  <c r="H262" i="30" s="1"/>
  <c r="BL267" i="27"/>
  <c r="AX267" i="27"/>
  <c r="BE269" i="27"/>
  <c r="F266" i="30"/>
  <c r="B275" i="30"/>
  <c r="BB268" i="27"/>
  <c r="BC268" i="27"/>
  <c r="BL268" i="27" s="1"/>
  <c r="E265" i="30"/>
  <c r="BJ266" i="27"/>
  <c r="BK266" i="27" s="1"/>
  <c r="AZ269" i="27"/>
  <c r="AY268" i="27"/>
  <c r="BD268" i="27"/>
  <c r="BG268" i="27" s="1"/>
  <c r="BA268" i="27"/>
  <c r="BI267" i="27"/>
  <c r="BH267" i="27"/>
  <c r="D267" i="30"/>
  <c r="I267" i="30" s="1"/>
  <c r="AO281" i="27" l="1"/>
  <c r="AP281" i="27"/>
  <c r="AN282" i="27"/>
  <c r="AE280" i="27"/>
  <c r="AF280" i="27" s="1"/>
  <c r="AC281" i="27"/>
  <c r="AD281" i="27"/>
  <c r="AB282" i="27"/>
  <c r="U281" i="27"/>
  <c r="O282" i="27"/>
  <c r="B282" i="27"/>
  <c r="AU281" i="27"/>
  <c r="AM283" i="27"/>
  <c r="AS282" i="27"/>
  <c r="BF281" i="27"/>
  <c r="G278" i="30"/>
  <c r="AA284" i="27"/>
  <c r="AG283" i="27"/>
  <c r="P283" i="27"/>
  <c r="Q282" i="27"/>
  <c r="R282" i="27"/>
  <c r="I282" i="27"/>
  <c r="AT266" i="27"/>
  <c r="H263" i="30" s="1"/>
  <c r="AZ270" i="27"/>
  <c r="AX268" i="27"/>
  <c r="BE270" i="27"/>
  <c r="F267" i="30"/>
  <c r="BB269" i="27"/>
  <c r="BC269" i="27"/>
  <c r="BL269" i="27" s="1"/>
  <c r="E266" i="30"/>
  <c r="BA269" i="27"/>
  <c r="B276" i="30"/>
  <c r="AY269" i="27"/>
  <c r="D268" i="30"/>
  <c r="I268" i="30" s="1"/>
  <c r="BJ267" i="27"/>
  <c r="BK267" i="27" s="1"/>
  <c r="BD269" i="27"/>
  <c r="BG269" i="27" s="1"/>
  <c r="BI268" i="27"/>
  <c r="BH268" i="27"/>
  <c r="AP282" i="27" l="1"/>
  <c r="AN283" i="27"/>
  <c r="AO282" i="27"/>
  <c r="AQ281" i="27"/>
  <c r="AR281" i="27" s="1"/>
  <c r="AB283" i="27"/>
  <c r="AD282" i="27"/>
  <c r="AC282" i="27"/>
  <c r="AE282" i="27" s="1"/>
  <c r="AF282" i="27" s="1"/>
  <c r="AE281" i="27"/>
  <c r="AF281" i="27" s="1"/>
  <c r="B283" i="27"/>
  <c r="AU282" i="27"/>
  <c r="S282" i="27"/>
  <c r="T282" i="27" s="1"/>
  <c r="U282" i="27"/>
  <c r="O283" i="27"/>
  <c r="R283" i="27"/>
  <c r="P284" i="27"/>
  <c r="Q283" i="27"/>
  <c r="S283" i="27" s="1"/>
  <c r="T283" i="27" s="1"/>
  <c r="BF282" i="27"/>
  <c r="G279" i="30"/>
  <c r="AT267" i="27"/>
  <c r="H264" i="30" s="1"/>
  <c r="AM284" i="27"/>
  <c r="AS283" i="27"/>
  <c r="I283" i="27"/>
  <c r="AG284" i="27"/>
  <c r="AA285" i="27"/>
  <c r="AZ271" i="27"/>
  <c r="BE271" i="27"/>
  <c r="F268" i="30"/>
  <c r="AX269" i="27"/>
  <c r="BB270" i="27"/>
  <c r="BC270" i="27"/>
  <c r="E267" i="30"/>
  <c r="B277" i="30"/>
  <c r="BJ268" i="27"/>
  <c r="BK268" i="27" s="1"/>
  <c r="BI269" i="27"/>
  <c r="BH269" i="27"/>
  <c r="BA270" i="27"/>
  <c r="AY270" i="27"/>
  <c r="D269" i="30"/>
  <c r="I269" i="30" s="1"/>
  <c r="BD270" i="27"/>
  <c r="BG270" i="27" s="1"/>
  <c r="AQ282" i="27" l="1"/>
  <c r="AR282" i="27" s="1"/>
  <c r="AN284" i="27"/>
  <c r="AP283" i="27"/>
  <c r="AO283" i="27"/>
  <c r="AQ283" i="27" s="1"/>
  <c r="AR283" i="27" s="1"/>
  <c r="AB284" i="27"/>
  <c r="AC283" i="27"/>
  <c r="AD283" i="27"/>
  <c r="U283" i="27"/>
  <c r="O284" i="27"/>
  <c r="B284" i="27"/>
  <c r="AU283" i="27"/>
  <c r="AG285" i="27"/>
  <c r="AA286" i="27"/>
  <c r="AT268" i="27"/>
  <c r="H265" i="30" s="1"/>
  <c r="P285" i="27"/>
  <c r="Q284" i="27"/>
  <c r="R284" i="27"/>
  <c r="I284" i="27"/>
  <c r="BF283" i="27"/>
  <c r="G280" i="30"/>
  <c r="AM285" i="27"/>
  <c r="AS284" i="27"/>
  <c r="BL270" i="27"/>
  <c r="BE272" i="27"/>
  <c r="F269" i="30"/>
  <c r="BC271" i="27"/>
  <c r="BB271" i="27"/>
  <c r="E268" i="30"/>
  <c r="B278" i="30"/>
  <c r="AX270" i="27"/>
  <c r="AZ272" i="27"/>
  <c r="D270" i="30"/>
  <c r="I270" i="30" s="1"/>
  <c r="AY271" i="27"/>
  <c r="BA271" i="27"/>
  <c r="BD271" i="27"/>
  <c r="BG271" i="27" s="1"/>
  <c r="BI270" i="27"/>
  <c r="BH270" i="27"/>
  <c r="BJ269" i="27"/>
  <c r="BK269" i="27" s="1"/>
  <c r="AP284" i="27" l="1"/>
  <c r="AN285" i="27"/>
  <c r="AO284" i="27"/>
  <c r="AQ284" i="27" s="1"/>
  <c r="AR284" i="27" s="1"/>
  <c r="AE283" i="27"/>
  <c r="AF283" i="27" s="1"/>
  <c r="AB285" i="27"/>
  <c r="AC284" i="27"/>
  <c r="AD284" i="27"/>
  <c r="B285" i="27"/>
  <c r="AU284" i="27"/>
  <c r="U284" i="27"/>
  <c r="O285" i="27"/>
  <c r="S284" i="27"/>
  <c r="T284" i="27" s="1"/>
  <c r="BF284" i="27"/>
  <c r="G281" i="30"/>
  <c r="AG286" i="27"/>
  <c r="AA287" i="27"/>
  <c r="I285" i="27"/>
  <c r="P286" i="27"/>
  <c r="Q285" i="27"/>
  <c r="R285" i="27"/>
  <c r="AT269" i="27"/>
  <c r="H266" i="30" s="1"/>
  <c r="AM286" i="27"/>
  <c r="AS285" i="27"/>
  <c r="BJ270" i="27"/>
  <c r="BK270" i="27" s="1"/>
  <c r="BL271" i="27"/>
  <c r="BE273" i="27"/>
  <c r="F270" i="30"/>
  <c r="B279" i="30"/>
  <c r="BB272" i="27"/>
  <c r="BC272" i="27"/>
  <c r="BL272" i="27" s="1"/>
  <c r="E269" i="30"/>
  <c r="AZ273" i="27"/>
  <c r="AY272" i="27"/>
  <c r="AX271" i="27"/>
  <c r="BD272" i="27"/>
  <c r="BG272" i="27" s="1"/>
  <c r="BH271" i="27"/>
  <c r="BI271" i="27"/>
  <c r="BA272" i="27"/>
  <c r="AY273" i="27"/>
  <c r="D271" i="30"/>
  <c r="I271" i="30" s="1"/>
  <c r="AP285" i="27" l="1"/>
  <c r="AN286" i="27"/>
  <c r="AO285" i="27"/>
  <c r="AQ285" i="27" s="1"/>
  <c r="AR285" i="27" s="1"/>
  <c r="AE284" i="27"/>
  <c r="AF284" i="27" s="1"/>
  <c r="AD285" i="27"/>
  <c r="AC285" i="27"/>
  <c r="AE285" i="27" s="1"/>
  <c r="AF285" i="27" s="1"/>
  <c r="AB286" i="27"/>
  <c r="U285" i="27"/>
  <c r="O286" i="27"/>
  <c r="S285" i="27"/>
  <c r="T285" i="27" s="1"/>
  <c r="B286" i="27"/>
  <c r="AU285" i="27"/>
  <c r="AG287" i="27"/>
  <c r="AA288" i="27"/>
  <c r="BF285" i="27"/>
  <c r="G282" i="30"/>
  <c r="AM287" i="27"/>
  <c r="AS286" i="27"/>
  <c r="P287" i="27"/>
  <c r="R286" i="27"/>
  <c r="Q286" i="27"/>
  <c r="AT270" i="27"/>
  <c r="H267" i="30" s="1"/>
  <c r="I286" i="27"/>
  <c r="AX272" i="27"/>
  <c r="BE274" i="27"/>
  <c r="F271" i="30"/>
  <c r="BB273" i="27"/>
  <c r="BC273" i="27"/>
  <c r="E270" i="30"/>
  <c r="B280" i="30"/>
  <c r="BA273" i="27"/>
  <c r="AX273" i="27" s="1"/>
  <c r="BJ271" i="27"/>
  <c r="BK271" i="27" s="1"/>
  <c r="D272" i="30"/>
  <c r="I272" i="30" s="1"/>
  <c r="BD273" i="27"/>
  <c r="BG273" i="27" s="1"/>
  <c r="BI272" i="27"/>
  <c r="BH272" i="27"/>
  <c r="AZ274" i="27"/>
  <c r="AO286" i="27" l="1"/>
  <c r="AQ286" i="27" s="1"/>
  <c r="AR286" i="27" s="1"/>
  <c r="AN287" i="27"/>
  <c r="AP286" i="27"/>
  <c r="AB287" i="27"/>
  <c r="AD286" i="27"/>
  <c r="AC286" i="27"/>
  <c r="AE286" i="27" s="1"/>
  <c r="AF286" i="27" s="1"/>
  <c r="B287" i="27"/>
  <c r="AU286" i="27"/>
  <c r="U286" i="27"/>
  <c r="O287" i="27"/>
  <c r="AM288" i="27"/>
  <c r="AS287" i="27"/>
  <c r="AA289" i="27"/>
  <c r="AG288" i="27"/>
  <c r="P288" i="27"/>
  <c r="R287" i="27"/>
  <c r="Q287" i="27"/>
  <c r="S287" i="27" s="1"/>
  <c r="T287" i="27" s="1"/>
  <c r="BF286" i="27"/>
  <c r="G283" i="30"/>
  <c r="I287" i="27"/>
  <c r="AT271" i="27"/>
  <c r="H268" i="30" s="1"/>
  <c r="S286" i="27"/>
  <c r="T286" i="27" s="1"/>
  <c r="BL273" i="27"/>
  <c r="AZ275" i="27"/>
  <c r="BE275" i="27"/>
  <c r="F272" i="30"/>
  <c r="BB274" i="27"/>
  <c r="BC274" i="27"/>
  <c r="BL274" i="27" s="1"/>
  <c r="E271" i="30"/>
  <c r="B281" i="30"/>
  <c r="BA274" i="27"/>
  <c r="AY274" i="27"/>
  <c r="BJ272" i="27"/>
  <c r="BK272" i="27" s="1"/>
  <c r="D273" i="30"/>
  <c r="I273" i="30" s="1"/>
  <c r="BD274" i="27"/>
  <c r="BG274" i="27" s="1"/>
  <c r="BI273" i="27"/>
  <c r="BH273" i="27"/>
  <c r="AN288" i="27" l="1"/>
  <c r="AO287" i="27"/>
  <c r="AP287" i="27"/>
  <c r="AC287" i="27"/>
  <c r="AB288" i="27"/>
  <c r="AD287" i="27"/>
  <c r="O288" i="27"/>
  <c r="U287" i="27"/>
  <c r="B288" i="27"/>
  <c r="AU287" i="27"/>
  <c r="Q288" i="27"/>
  <c r="R288" i="27"/>
  <c r="P289" i="27"/>
  <c r="G284" i="30"/>
  <c r="BF287" i="27"/>
  <c r="I288" i="27"/>
  <c r="AA290" i="27"/>
  <c r="AG289" i="27"/>
  <c r="AT272" i="27"/>
  <c r="H269" i="30" s="1"/>
  <c r="AS288" i="27"/>
  <c r="AM289" i="27"/>
  <c r="BE276" i="27"/>
  <c r="F273" i="30"/>
  <c r="B282" i="30"/>
  <c r="BC275" i="27"/>
  <c r="BB275" i="27"/>
  <c r="E272" i="30"/>
  <c r="AX274" i="27"/>
  <c r="AY275" i="27"/>
  <c r="BA275" i="27"/>
  <c r="AZ276" i="27"/>
  <c r="BJ273" i="27"/>
  <c r="BK273" i="27" s="1"/>
  <c r="BI274" i="27"/>
  <c r="BH274" i="27"/>
  <c r="D274" i="30"/>
  <c r="I274" i="30" s="1"/>
  <c r="BD275" i="27"/>
  <c r="BG275" i="27" s="1"/>
  <c r="AQ287" i="27" l="1"/>
  <c r="AR287" i="27" s="1"/>
  <c r="AP288" i="27"/>
  <c r="AN289" i="27"/>
  <c r="AO288" i="27"/>
  <c r="AQ288" i="27" s="1"/>
  <c r="AR288" i="27" s="1"/>
  <c r="AC288" i="27"/>
  <c r="AE288" i="27" s="1"/>
  <c r="AF288" i="27" s="1"/>
  <c r="AD288" i="27"/>
  <c r="AB289" i="27"/>
  <c r="AE287" i="27"/>
  <c r="AF287" i="27" s="1"/>
  <c r="B289" i="27"/>
  <c r="AU288" i="27"/>
  <c r="O289" i="27"/>
  <c r="U288" i="27"/>
  <c r="AT273" i="27"/>
  <c r="H270" i="30" s="1"/>
  <c r="G285" i="30"/>
  <c r="BF288" i="27"/>
  <c r="S288" i="27"/>
  <c r="T288" i="27" s="1"/>
  <c r="AG290" i="27"/>
  <c r="AA291" i="27"/>
  <c r="Q289" i="27"/>
  <c r="R289" i="27"/>
  <c r="P290" i="27"/>
  <c r="AS289" i="27"/>
  <c r="AM290" i="27"/>
  <c r="I289" i="27"/>
  <c r="BL275" i="27"/>
  <c r="AX275" i="27"/>
  <c r="BE277" i="27"/>
  <c r="F274" i="30"/>
  <c r="BB276" i="27"/>
  <c r="BC276" i="27"/>
  <c r="BL276" i="27" s="1"/>
  <c r="E273" i="30"/>
  <c r="B283" i="30"/>
  <c r="BJ274" i="27"/>
  <c r="BK274" i="27" s="1"/>
  <c r="AY276" i="27"/>
  <c r="AZ277" i="27"/>
  <c r="BA276" i="27"/>
  <c r="BD276" i="27"/>
  <c r="BG276" i="27" s="1"/>
  <c r="BH275" i="27"/>
  <c r="BI275" i="27"/>
  <c r="D275" i="30"/>
  <c r="I275" i="30" s="1"/>
  <c r="AP289" i="27" l="1"/>
  <c r="AN290" i="27"/>
  <c r="AO289" i="27"/>
  <c r="AQ289" i="27" s="1"/>
  <c r="AR289" i="27" s="1"/>
  <c r="AC289" i="27"/>
  <c r="AB290" i="27"/>
  <c r="AD289" i="27"/>
  <c r="O290" i="27"/>
  <c r="U289" i="27"/>
  <c r="B290" i="27"/>
  <c r="AU289" i="27"/>
  <c r="AM291" i="27"/>
  <c r="AS290" i="27"/>
  <c r="BF289" i="27"/>
  <c r="G286" i="30"/>
  <c r="AT274" i="27"/>
  <c r="H271" i="30" s="1"/>
  <c r="AA292" i="27"/>
  <c r="AG291" i="27"/>
  <c r="Q290" i="27"/>
  <c r="P291" i="27"/>
  <c r="R290" i="27"/>
  <c r="I290" i="27"/>
  <c r="S289" i="27"/>
  <c r="T289" i="27" s="1"/>
  <c r="AX276" i="27"/>
  <c r="BE278" i="27"/>
  <c r="F275" i="30"/>
  <c r="BB277" i="27"/>
  <c r="BC277" i="27"/>
  <c r="E274" i="30"/>
  <c r="B284" i="30"/>
  <c r="AY277" i="27"/>
  <c r="BA277" i="27"/>
  <c r="AZ278" i="27"/>
  <c r="BI276" i="27"/>
  <c r="BH276" i="27"/>
  <c r="D276" i="30"/>
  <c r="I276" i="30" s="1"/>
  <c r="BJ275" i="27"/>
  <c r="BK275" i="27" s="1"/>
  <c r="BD277" i="27"/>
  <c r="BG277" i="27" s="1"/>
  <c r="AO290" i="27" l="1"/>
  <c r="AP290" i="27"/>
  <c r="AN291" i="27"/>
  <c r="AB291" i="27"/>
  <c r="AC290" i="27"/>
  <c r="AD290" i="27"/>
  <c r="AE289" i="27"/>
  <c r="AF289" i="27" s="1"/>
  <c r="B291" i="27"/>
  <c r="AU290" i="27"/>
  <c r="O291" i="27"/>
  <c r="U290" i="27"/>
  <c r="P292" i="27"/>
  <c r="Q291" i="27"/>
  <c r="R291" i="27"/>
  <c r="AT275" i="27"/>
  <c r="H272" i="30" s="1"/>
  <c r="BF290" i="27"/>
  <c r="G287" i="30"/>
  <c r="AM292" i="27"/>
  <c r="AS291" i="27"/>
  <c r="S290" i="27"/>
  <c r="T290" i="27" s="1"/>
  <c r="AA293" i="27"/>
  <c r="AG292" i="27"/>
  <c r="I291" i="27"/>
  <c r="BL277" i="27"/>
  <c r="AX277" i="27"/>
  <c r="BE279" i="27"/>
  <c r="F276" i="30"/>
  <c r="BB278" i="27"/>
  <c r="BC278" i="27"/>
  <c r="BL278" i="27" s="1"/>
  <c r="E275" i="30"/>
  <c r="B285" i="30"/>
  <c r="BJ276" i="27"/>
  <c r="BK276" i="27" s="1"/>
  <c r="AZ279" i="27"/>
  <c r="AY278" i="27"/>
  <c r="BD278" i="27"/>
  <c r="BG278" i="27" s="1"/>
  <c r="BA278" i="27"/>
  <c r="D277" i="30"/>
  <c r="I277" i="30" s="1"/>
  <c r="BH277" i="27"/>
  <c r="BI277" i="27"/>
  <c r="AP291" i="27" l="1"/>
  <c r="AN292" i="27"/>
  <c r="AO291" i="27"/>
  <c r="AQ291" i="27" s="1"/>
  <c r="AR291" i="27" s="1"/>
  <c r="AQ290" i="27"/>
  <c r="AR290" i="27" s="1"/>
  <c r="AE290" i="27"/>
  <c r="AF290" i="27" s="1"/>
  <c r="AB292" i="27"/>
  <c r="AC291" i="27"/>
  <c r="AE291" i="27" s="1"/>
  <c r="AF291" i="27" s="1"/>
  <c r="AD291" i="27"/>
  <c r="O292" i="27"/>
  <c r="U291" i="27"/>
  <c r="B292" i="27"/>
  <c r="AU291" i="27"/>
  <c r="AT276" i="27"/>
  <c r="H273" i="30" s="1"/>
  <c r="G288" i="30"/>
  <c r="BF291" i="27"/>
  <c r="AA294" i="27"/>
  <c r="AG293" i="27"/>
  <c r="S291" i="27"/>
  <c r="T291" i="27" s="1"/>
  <c r="AM293" i="27"/>
  <c r="AS292" i="27"/>
  <c r="I292" i="27"/>
  <c r="Q292" i="27"/>
  <c r="R292" i="27"/>
  <c r="P293" i="27"/>
  <c r="AX278" i="27"/>
  <c r="BE280" i="27"/>
  <c r="F277" i="30"/>
  <c r="AZ280" i="27"/>
  <c r="B286" i="30"/>
  <c r="BC279" i="27"/>
  <c r="BB279" i="27"/>
  <c r="E276" i="30"/>
  <c r="AY279" i="27"/>
  <c r="BA279" i="27"/>
  <c r="D278" i="30"/>
  <c r="I278" i="30" s="1"/>
  <c r="BD279" i="27"/>
  <c r="BG279" i="27" s="1"/>
  <c r="BJ277" i="27"/>
  <c r="BK277" i="27" s="1"/>
  <c r="BI278" i="27"/>
  <c r="BH278" i="27"/>
  <c r="AN293" i="27" l="1"/>
  <c r="AP292" i="27"/>
  <c r="AO292" i="27"/>
  <c r="AQ292" i="27" s="1"/>
  <c r="AR292" i="27" s="1"/>
  <c r="AD292" i="27"/>
  <c r="AB293" i="27"/>
  <c r="AC292" i="27"/>
  <c r="AE292" i="27" s="1"/>
  <c r="AF292" i="27" s="1"/>
  <c r="B293" i="27"/>
  <c r="AU292" i="27"/>
  <c r="S292" i="27"/>
  <c r="T292" i="27" s="1"/>
  <c r="O293" i="27"/>
  <c r="U292" i="27"/>
  <c r="P294" i="27"/>
  <c r="Q293" i="27"/>
  <c r="R293" i="27"/>
  <c r="AT277" i="27"/>
  <c r="H274" i="30" s="1"/>
  <c r="BF292" i="27"/>
  <c r="G289" i="30"/>
  <c r="AG294" i="27"/>
  <c r="AA295" i="27"/>
  <c r="AM294" i="27"/>
  <c r="AS293" i="27"/>
  <c r="I293" i="27"/>
  <c r="BL279" i="27"/>
  <c r="BE281" i="27"/>
  <c r="F278" i="30"/>
  <c r="BB280" i="27"/>
  <c r="BC280" i="27"/>
  <c r="BL280" i="27" s="1"/>
  <c r="E277" i="30"/>
  <c r="B287" i="30"/>
  <c r="AZ281" i="27"/>
  <c r="AY280" i="27"/>
  <c r="AX279" i="27"/>
  <c r="BI279" i="27"/>
  <c r="BH279" i="27"/>
  <c r="BA280" i="27"/>
  <c r="BJ278" i="27"/>
  <c r="BK278" i="27" s="1"/>
  <c r="D279" i="30"/>
  <c r="I279" i="30" s="1"/>
  <c r="BD280" i="27"/>
  <c r="BG280" i="27" s="1"/>
  <c r="AP293" i="27" l="1"/>
  <c r="AO293" i="27"/>
  <c r="AQ293" i="27" s="1"/>
  <c r="AR293" i="27" s="1"/>
  <c r="AN294" i="27"/>
  <c r="AC293" i="27"/>
  <c r="AD293" i="27"/>
  <c r="AB294" i="27"/>
  <c r="O294" i="27"/>
  <c r="U293" i="27"/>
  <c r="B294" i="27"/>
  <c r="AU293" i="27"/>
  <c r="AT278" i="27"/>
  <c r="H275" i="30" s="1"/>
  <c r="AG295" i="27"/>
  <c r="AA296" i="27"/>
  <c r="I294" i="27"/>
  <c r="R294" i="27"/>
  <c r="P295" i="27"/>
  <c r="Q294" i="27"/>
  <c r="S294" i="27" s="1"/>
  <c r="T294" i="27" s="1"/>
  <c r="S293" i="27"/>
  <c r="T293" i="27" s="1"/>
  <c r="BF293" i="27"/>
  <c r="G290" i="30"/>
  <c r="AM295" i="27"/>
  <c r="AS294" i="27"/>
  <c r="AX280" i="27"/>
  <c r="BE282" i="27"/>
  <c r="F279" i="30"/>
  <c r="BC281" i="27"/>
  <c r="BL281" i="27" s="1"/>
  <c r="BB281" i="27"/>
  <c r="E278" i="30"/>
  <c r="B288" i="30"/>
  <c r="AY281" i="27"/>
  <c r="BA281" i="27"/>
  <c r="BJ279" i="27"/>
  <c r="BK279" i="27" s="1"/>
  <c r="BD281" i="27"/>
  <c r="BG281" i="27" s="1"/>
  <c r="AZ282" i="27"/>
  <c r="D280" i="30"/>
  <c r="I280" i="30" s="1"/>
  <c r="BI280" i="27"/>
  <c r="BH280" i="27"/>
  <c r="AP294" i="27" l="1"/>
  <c r="AN295" i="27"/>
  <c r="AO294" i="27"/>
  <c r="AQ294" i="27" s="1"/>
  <c r="AR294" i="27" s="1"/>
  <c r="AB295" i="27"/>
  <c r="AD294" i="27"/>
  <c r="AC294" i="27"/>
  <c r="AE294" i="27" s="1"/>
  <c r="AF294" i="27" s="1"/>
  <c r="AE293" i="27"/>
  <c r="AF293" i="27" s="1"/>
  <c r="B295" i="27"/>
  <c r="AU294" i="27"/>
  <c r="U294" i="27"/>
  <c r="O295" i="27"/>
  <c r="AT279" i="27"/>
  <c r="H276" i="30" s="1"/>
  <c r="P296" i="27"/>
  <c r="R295" i="27"/>
  <c r="Q295" i="27"/>
  <c r="S295" i="27" s="1"/>
  <c r="T295" i="27" s="1"/>
  <c r="AM296" i="27"/>
  <c r="AS295" i="27"/>
  <c r="AG296" i="27"/>
  <c r="AA297" i="27"/>
  <c r="I295" i="27"/>
  <c r="G291" i="30"/>
  <c r="BF294" i="27"/>
  <c r="AX281" i="27"/>
  <c r="BE283" i="27"/>
  <c r="F280" i="30"/>
  <c r="BB282" i="27"/>
  <c r="BC282" i="27"/>
  <c r="BL282" i="27" s="1"/>
  <c r="E279" i="30"/>
  <c r="B289" i="30"/>
  <c r="AZ283" i="27"/>
  <c r="AY282" i="27"/>
  <c r="BA282" i="27"/>
  <c r="BD282" i="27"/>
  <c r="BG282" i="27" s="1"/>
  <c r="BJ280" i="27"/>
  <c r="BK280" i="27" s="1"/>
  <c r="D281" i="30"/>
  <c r="I281" i="30" s="1"/>
  <c r="BI281" i="27"/>
  <c r="BH281" i="27"/>
  <c r="AN296" i="27" l="1"/>
  <c r="AP295" i="27"/>
  <c r="AO295" i="27"/>
  <c r="AB296" i="27"/>
  <c r="AC295" i="27"/>
  <c r="AD295" i="27"/>
  <c r="U295" i="27"/>
  <c r="O296" i="27"/>
  <c r="B296" i="27"/>
  <c r="AU295" i="27"/>
  <c r="AM297" i="27"/>
  <c r="AS296" i="27"/>
  <c r="P297" i="27"/>
  <c r="Q296" i="27"/>
  <c r="R296" i="27"/>
  <c r="AT280" i="27"/>
  <c r="H277" i="30" s="1"/>
  <c r="BF295" i="27"/>
  <c r="G292" i="30"/>
  <c r="AG297" i="27"/>
  <c r="AA298" i="27"/>
  <c r="I296" i="27"/>
  <c r="BJ281" i="27"/>
  <c r="BK281" i="27" s="1"/>
  <c r="AX282" i="27"/>
  <c r="AY283" i="27"/>
  <c r="BE284" i="27"/>
  <c r="F281" i="30"/>
  <c r="AZ284" i="27"/>
  <c r="BC283" i="27"/>
  <c r="BB283" i="27"/>
  <c r="E280" i="30"/>
  <c r="B290" i="30"/>
  <c r="BA283" i="27"/>
  <c r="D282" i="30"/>
  <c r="I282" i="30" s="1"/>
  <c r="BI282" i="27"/>
  <c r="BH282" i="27"/>
  <c r="BD283" i="27"/>
  <c r="BG283" i="27" s="1"/>
  <c r="AQ295" i="27" l="1"/>
  <c r="AR295" i="27" s="1"/>
  <c r="AN297" i="27"/>
  <c r="AP296" i="27"/>
  <c r="AO296" i="27"/>
  <c r="AQ296" i="27" s="1"/>
  <c r="AR296" i="27" s="1"/>
  <c r="AE295" i="27"/>
  <c r="AF295" i="27" s="1"/>
  <c r="AB297" i="27"/>
  <c r="AD296" i="27"/>
  <c r="AC296" i="27"/>
  <c r="B297" i="27"/>
  <c r="AU296" i="27"/>
  <c r="O297" i="27"/>
  <c r="U296" i="27"/>
  <c r="AX283" i="27"/>
  <c r="I297" i="27"/>
  <c r="AT281" i="27"/>
  <c r="H278" i="30" s="1"/>
  <c r="Q297" i="27"/>
  <c r="P298" i="27"/>
  <c r="R297" i="27"/>
  <c r="BF296" i="27"/>
  <c r="G293" i="30"/>
  <c r="AA299" i="27"/>
  <c r="AG298" i="27"/>
  <c r="S296" i="27"/>
  <c r="T296" i="27" s="1"/>
  <c r="AS297" i="27"/>
  <c r="AM298" i="27"/>
  <c r="BL283" i="27"/>
  <c r="BE285" i="27"/>
  <c r="F282" i="30"/>
  <c r="BB284" i="27"/>
  <c r="BC284" i="27"/>
  <c r="BL284" i="27" s="1"/>
  <c r="E281" i="30"/>
  <c r="B291" i="30"/>
  <c r="AZ285" i="27"/>
  <c r="BA284" i="27"/>
  <c r="D283" i="30"/>
  <c r="I283" i="30" s="1"/>
  <c r="AY284" i="27"/>
  <c r="BD284" i="27"/>
  <c r="BG284" i="27" s="1"/>
  <c r="BI283" i="27"/>
  <c r="BH283" i="27"/>
  <c r="BJ282" i="27"/>
  <c r="BK282" i="27" s="1"/>
  <c r="AN298" i="27" l="1"/>
  <c r="AO297" i="27"/>
  <c r="AP297" i="27"/>
  <c r="AC297" i="27"/>
  <c r="AB298" i="27"/>
  <c r="AD297" i="27"/>
  <c r="AE296" i="27"/>
  <c r="AF296" i="27" s="1"/>
  <c r="O298" i="27"/>
  <c r="U297" i="27"/>
  <c r="B298" i="27"/>
  <c r="AU297" i="27"/>
  <c r="R298" i="27"/>
  <c r="Q298" i="27"/>
  <c r="S298" i="27" s="1"/>
  <c r="T298" i="27" s="1"/>
  <c r="P299" i="27"/>
  <c r="AM299" i="27"/>
  <c r="AS298" i="27"/>
  <c r="G294" i="30"/>
  <c r="BF297" i="27"/>
  <c r="I298" i="27"/>
  <c r="S297" i="27"/>
  <c r="T297" i="27" s="1"/>
  <c r="AA300" i="27"/>
  <c r="AG299" i="27"/>
  <c r="AT282" i="27"/>
  <c r="H279" i="30" s="1"/>
  <c r="AZ286" i="27"/>
  <c r="BE286" i="27"/>
  <c r="F283" i="30"/>
  <c r="AX284" i="27"/>
  <c r="BB285" i="27"/>
  <c r="BC285" i="27"/>
  <c r="E282" i="30"/>
  <c r="B292" i="30"/>
  <c r="AY285" i="27"/>
  <c r="BA285" i="27"/>
  <c r="BJ283" i="27"/>
  <c r="BK283" i="27" s="1"/>
  <c r="BI284" i="27"/>
  <c r="BH284" i="27"/>
  <c r="BD285" i="27"/>
  <c r="BG285" i="27" s="1"/>
  <c r="D284" i="30"/>
  <c r="I284" i="30" s="1"/>
  <c r="AQ297" i="27" l="1"/>
  <c r="AR297" i="27" s="1"/>
  <c r="AN299" i="27"/>
  <c r="AP298" i="27"/>
  <c r="AO298" i="27"/>
  <c r="AQ298" i="27" s="1"/>
  <c r="AR298" i="27" s="1"/>
  <c r="AB299" i="27"/>
  <c r="AD298" i="27"/>
  <c r="AC298" i="27"/>
  <c r="AE298" i="27" s="1"/>
  <c r="AF298" i="27" s="1"/>
  <c r="AE297" i="27"/>
  <c r="AF297" i="27" s="1"/>
  <c r="B299" i="27"/>
  <c r="AU298" i="27"/>
  <c r="O299" i="27"/>
  <c r="U298" i="27"/>
  <c r="AS299" i="27"/>
  <c r="AM300" i="27"/>
  <c r="AT283" i="27"/>
  <c r="H280" i="30" s="1"/>
  <c r="BF298" i="27"/>
  <c r="G295" i="30"/>
  <c r="AG300" i="27"/>
  <c r="AA301" i="27"/>
  <c r="R299" i="27"/>
  <c r="P300" i="27"/>
  <c r="Q299" i="27"/>
  <c r="S299" i="27" s="1"/>
  <c r="T299" i="27" s="1"/>
  <c r="I299" i="27"/>
  <c r="BL285" i="27"/>
  <c r="AX285" i="27"/>
  <c r="BE287" i="27"/>
  <c r="F284" i="30"/>
  <c r="B293" i="30"/>
  <c r="BB286" i="27"/>
  <c r="BC286" i="27"/>
  <c r="BL286" i="27" s="1"/>
  <c r="E283" i="30"/>
  <c r="BD286" i="27"/>
  <c r="BG286" i="27" s="1"/>
  <c r="BJ284" i="27"/>
  <c r="BK284" i="27" s="1"/>
  <c r="BA286" i="27"/>
  <c r="AZ287" i="27"/>
  <c r="D285" i="30"/>
  <c r="I285" i="30" s="1"/>
  <c r="BI285" i="27"/>
  <c r="BH285" i="27"/>
  <c r="AY286" i="27"/>
  <c r="AO299" i="27" l="1"/>
  <c r="AP299" i="27"/>
  <c r="AN300" i="27"/>
  <c r="AB300" i="27"/>
  <c r="AD299" i="27"/>
  <c r="AC299" i="27"/>
  <c r="AE299" i="27" s="1"/>
  <c r="AF299" i="27" s="1"/>
  <c r="U299" i="27"/>
  <c r="O300" i="27"/>
  <c r="B300" i="27"/>
  <c r="AU299" i="27"/>
  <c r="Q300" i="27"/>
  <c r="P301" i="27"/>
  <c r="R300" i="27"/>
  <c r="AM301" i="27"/>
  <c r="AS300" i="27"/>
  <c r="AT284" i="27"/>
  <c r="H281" i="30" s="1"/>
  <c r="AG301" i="27"/>
  <c r="AA302" i="27"/>
  <c r="I300" i="27"/>
  <c r="BF299" i="27"/>
  <c r="G296" i="30"/>
  <c r="BJ285" i="27"/>
  <c r="BK285" i="27" s="1"/>
  <c r="AZ288" i="27"/>
  <c r="BE288" i="27"/>
  <c r="F285" i="30"/>
  <c r="BB287" i="27"/>
  <c r="BC287" i="27"/>
  <c r="BL287" i="27" s="1"/>
  <c r="E284" i="30"/>
  <c r="B294" i="30"/>
  <c r="BA287" i="27"/>
  <c r="AY287" i="27"/>
  <c r="AX286" i="27"/>
  <c r="BD287" i="27"/>
  <c r="BG287" i="27" s="1"/>
  <c r="D286" i="30"/>
  <c r="I286" i="30" s="1"/>
  <c r="BI286" i="27"/>
  <c r="BH286" i="27"/>
  <c r="AP300" i="27" l="1"/>
  <c r="AO300" i="27"/>
  <c r="AQ300" i="27" s="1"/>
  <c r="AR300" i="27" s="1"/>
  <c r="AN301" i="27"/>
  <c r="AQ299" i="27"/>
  <c r="AR299" i="27" s="1"/>
  <c r="AB301" i="27"/>
  <c r="AC300" i="27"/>
  <c r="AD300" i="27"/>
  <c r="B301" i="27"/>
  <c r="AU300" i="27"/>
  <c r="U300" i="27"/>
  <c r="O301" i="27"/>
  <c r="AA303" i="27"/>
  <c r="AG302" i="27"/>
  <c r="AT285" i="27"/>
  <c r="H282" i="30" s="1"/>
  <c r="AM302" i="27"/>
  <c r="AS301" i="27"/>
  <c r="I301" i="27"/>
  <c r="P302" i="27"/>
  <c r="R301" i="27"/>
  <c r="Q301" i="27"/>
  <c r="S300" i="27"/>
  <c r="T300" i="27" s="1"/>
  <c r="BF300" i="27"/>
  <c r="G297" i="30"/>
  <c r="BJ286" i="27"/>
  <c r="BK286" i="27" s="1"/>
  <c r="AX287" i="27"/>
  <c r="BE289" i="27"/>
  <c r="F286" i="30"/>
  <c r="B295" i="30"/>
  <c r="BB288" i="27"/>
  <c r="BC288" i="27"/>
  <c r="BL288" i="27" s="1"/>
  <c r="E285" i="30"/>
  <c r="BA288" i="27"/>
  <c r="AZ289" i="27"/>
  <c r="BI287" i="27"/>
  <c r="BH287" i="27"/>
  <c r="BD288" i="27"/>
  <c r="BG288" i="27" s="1"/>
  <c r="D287" i="30"/>
  <c r="I287" i="30" s="1"/>
  <c r="AY288" i="27"/>
  <c r="AN302" i="27" l="1"/>
  <c r="AO301" i="27"/>
  <c r="AP301" i="27"/>
  <c r="AE300" i="27"/>
  <c r="AF300" i="27" s="1"/>
  <c r="AC301" i="27"/>
  <c r="AD301" i="27"/>
  <c r="AB302" i="27"/>
  <c r="U301" i="27"/>
  <c r="O302" i="27"/>
  <c r="B302" i="27"/>
  <c r="AU301" i="27"/>
  <c r="I302" i="27"/>
  <c r="S301" i="27"/>
  <c r="T301" i="27" s="1"/>
  <c r="P303" i="27"/>
  <c r="R302" i="27"/>
  <c r="Q302" i="27"/>
  <c r="S302" i="27" s="1"/>
  <c r="T302" i="27" s="1"/>
  <c r="AT286" i="27"/>
  <c r="H283" i="30" s="1"/>
  <c r="AS302" i="27"/>
  <c r="AM303" i="27"/>
  <c r="BF301" i="27"/>
  <c r="G298" i="30"/>
  <c r="AA304" i="27"/>
  <c r="AG303" i="27"/>
  <c r="BJ287" i="27"/>
  <c r="BK287" i="27" s="1"/>
  <c r="AX288" i="27"/>
  <c r="BE290" i="27"/>
  <c r="F287" i="30"/>
  <c r="BC289" i="27"/>
  <c r="BB289" i="27"/>
  <c r="E286" i="30"/>
  <c r="B296" i="30"/>
  <c r="AZ290" i="27"/>
  <c r="BA289" i="27"/>
  <c r="AY289" i="27"/>
  <c r="D288" i="30"/>
  <c r="I288" i="30" s="1"/>
  <c r="BD289" i="27"/>
  <c r="BG289" i="27" s="1"/>
  <c r="BH288" i="27"/>
  <c r="BI288" i="27"/>
  <c r="AQ301" i="27" l="1"/>
  <c r="AR301" i="27" s="1"/>
  <c r="AN303" i="27"/>
  <c r="AO302" i="27"/>
  <c r="AP302" i="27"/>
  <c r="AC302" i="27"/>
  <c r="AB303" i="27"/>
  <c r="AD302" i="27"/>
  <c r="AE301" i="27"/>
  <c r="AF301" i="27" s="1"/>
  <c r="B303" i="27"/>
  <c r="AU302" i="27"/>
  <c r="O303" i="27"/>
  <c r="U302" i="27"/>
  <c r="G299" i="30"/>
  <c r="BF302" i="27"/>
  <c r="AS303" i="27"/>
  <c r="AM304" i="27"/>
  <c r="Q303" i="27"/>
  <c r="R303" i="27"/>
  <c r="P304" i="27"/>
  <c r="AT287" i="27"/>
  <c r="H284" i="30" s="1"/>
  <c r="AA305" i="27"/>
  <c r="AG304" i="27"/>
  <c r="I303" i="27"/>
  <c r="BL289" i="27"/>
  <c r="AX289" i="27"/>
  <c r="BE291" i="27"/>
  <c r="F288" i="30"/>
  <c r="BB290" i="27"/>
  <c r="BC290" i="27"/>
  <c r="E287" i="30"/>
  <c r="B297" i="30"/>
  <c r="BJ288" i="27"/>
  <c r="BK288" i="27" s="1"/>
  <c r="BA290" i="27"/>
  <c r="AY290" i="27"/>
  <c r="AX290" i="27" s="1"/>
  <c r="BI289" i="27"/>
  <c r="BH289" i="27"/>
  <c r="D289" i="30"/>
  <c r="I289" i="30" s="1"/>
  <c r="AZ291" i="27"/>
  <c r="BD290" i="27"/>
  <c r="BG290" i="27" s="1"/>
  <c r="AQ302" i="27" l="1"/>
  <c r="AR302" i="27" s="1"/>
  <c r="AO303" i="27"/>
  <c r="AP303" i="27"/>
  <c r="AN304" i="27"/>
  <c r="AD303" i="27"/>
  <c r="AB304" i="27"/>
  <c r="AC303" i="27"/>
  <c r="AE303" i="27" s="1"/>
  <c r="AF303" i="27" s="1"/>
  <c r="AE302" i="27"/>
  <c r="AF302" i="27" s="1"/>
  <c r="O304" i="27"/>
  <c r="U303" i="27"/>
  <c r="B304" i="27"/>
  <c r="AU303" i="27"/>
  <c r="Q304" i="27"/>
  <c r="S304" i="27" s="1"/>
  <c r="T304" i="27" s="1"/>
  <c r="R304" i="27"/>
  <c r="P305" i="27"/>
  <c r="AM305" i="27"/>
  <c r="AS304" i="27"/>
  <c r="G300" i="30"/>
  <c r="BF303" i="27"/>
  <c r="S303" i="27"/>
  <c r="T303" i="27" s="1"/>
  <c r="AG305" i="27"/>
  <c r="AA306" i="27"/>
  <c r="I304" i="27"/>
  <c r="AT288" i="27"/>
  <c r="H285" i="30" s="1"/>
  <c r="BL290" i="27"/>
  <c r="BE292" i="27"/>
  <c r="F289" i="30"/>
  <c r="BC291" i="27"/>
  <c r="BB291" i="27"/>
  <c r="E288" i="30"/>
  <c r="B298" i="30"/>
  <c r="BA291" i="27"/>
  <c r="AY291" i="27"/>
  <c r="BJ289" i="27"/>
  <c r="BK289" i="27" s="1"/>
  <c r="AZ292" i="27"/>
  <c r="BI290" i="27"/>
  <c r="BH290" i="27"/>
  <c r="BD291" i="27"/>
  <c r="BG291" i="27" s="1"/>
  <c r="D290" i="30"/>
  <c r="I290" i="30" s="1"/>
  <c r="AN305" i="27" l="1"/>
  <c r="AO304" i="27"/>
  <c r="AP304" i="27"/>
  <c r="AQ303" i="27"/>
  <c r="AR303" i="27" s="1"/>
  <c r="AB305" i="27"/>
  <c r="AC304" i="27"/>
  <c r="AD304" i="27"/>
  <c r="B305" i="27"/>
  <c r="AU304" i="27"/>
  <c r="U304" i="27"/>
  <c r="O305" i="27"/>
  <c r="I305" i="27"/>
  <c r="AM306" i="27"/>
  <c r="AS305" i="27"/>
  <c r="AT289" i="27"/>
  <c r="H286" i="30" s="1"/>
  <c r="BF304" i="27"/>
  <c r="G301" i="30"/>
  <c r="AG306" i="27"/>
  <c r="AA307" i="27"/>
  <c r="P306" i="27"/>
  <c r="Q305" i="27"/>
  <c r="R305" i="27"/>
  <c r="BL291" i="27"/>
  <c r="BA292" i="27"/>
  <c r="BE293" i="27"/>
  <c r="F290" i="30"/>
  <c r="AX291" i="27"/>
  <c r="BB292" i="27"/>
  <c r="BC292" i="27"/>
  <c r="BL292" i="27" s="1"/>
  <c r="E289" i="30"/>
  <c r="B299" i="30"/>
  <c r="BJ290" i="27"/>
  <c r="BK290" i="27" s="1"/>
  <c r="AZ293" i="27"/>
  <c r="AY292" i="27"/>
  <c r="D291" i="30"/>
  <c r="I291" i="30" s="1"/>
  <c r="BD292" i="27"/>
  <c r="BG292" i="27" s="1"/>
  <c r="BI291" i="27"/>
  <c r="BH291" i="27"/>
  <c r="AQ304" i="27" l="1"/>
  <c r="AR304" i="27" s="1"/>
  <c r="AO305" i="27"/>
  <c r="AN306" i="27"/>
  <c r="AP305" i="27"/>
  <c r="AE304" i="27"/>
  <c r="AF304" i="27" s="1"/>
  <c r="AD305" i="27"/>
  <c r="AB306" i="27"/>
  <c r="AC305" i="27"/>
  <c r="AE305" i="27" s="1"/>
  <c r="AF305" i="27" s="1"/>
  <c r="O306" i="27"/>
  <c r="U305" i="27"/>
  <c r="AX292" i="27"/>
  <c r="B306" i="27"/>
  <c r="AU305" i="27"/>
  <c r="BF305" i="27"/>
  <c r="G302" i="30"/>
  <c r="AM307" i="27"/>
  <c r="AS306" i="27"/>
  <c r="AT290" i="27"/>
  <c r="H287" i="30" s="1"/>
  <c r="I306" i="27"/>
  <c r="P307" i="27"/>
  <c r="Q306" i="27"/>
  <c r="R306" i="27"/>
  <c r="AG307" i="27"/>
  <c r="AA308" i="27"/>
  <c r="S305" i="27"/>
  <c r="T305" i="27" s="1"/>
  <c r="BE294" i="27"/>
  <c r="F291" i="30"/>
  <c r="BC293" i="27"/>
  <c r="BB293" i="27"/>
  <c r="E290" i="30"/>
  <c r="B300" i="30"/>
  <c r="AY293" i="27"/>
  <c r="BJ291" i="27"/>
  <c r="BK291" i="27" s="1"/>
  <c r="AZ294" i="27"/>
  <c r="BI292" i="27"/>
  <c r="BH292" i="27"/>
  <c r="BA293" i="27"/>
  <c r="BD293" i="27"/>
  <c r="BG293" i="27" s="1"/>
  <c r="D292" i="30"/>
  <c r="I292" i="30" s="1"/>
  <c r="AP306" i="27" l="1"/>
  <c r="AO306" i="27"/>
  <c r="AQ306" i="27" s="1"/>
  <c r="AR306" i="27" s="1"/>
  <c r="AN307" i="27"/>
  <c r="AQ305" i="27"/>
  <c r="AR305" i="27" s="1"/>
  <c r="AB307" i="27"/>
  <c r="AC306" i="27"/>
  <c r="AD306" i="27"/>
  <c r="S306" i="27"/>
  <c r="T306" i="27" s="1"/>
  <c r="B307" i="27"/>
  <c r="AU306" i="27"/>
  <c r="O307" i="27"/>
  <c r="U306" i="27"/>
  <c r="AT291" i="27"/>
  <c r="H288" i="30" s="1"/>
  <c r="BF306" i="27"/>
  <c r="G303" i="30"/>
  <c r="AM308" i="27"/>
  <c r="AS307" i="27"/>
  <c r="P308" i="27"/>
  <c r="R307" i="27"/>
  <c r="Q307" i="27"/>
  <c r="S307" i="27" s="1"/>
  <c r="T307" i="27" s="1"/>
  <c r="I307" i="27"/>
  <c r="AA309" i="27"/>
  <c r="AG308" i="27"/>
  <c r="BL293" i="27"/>
  <c r="AX293" i="27"/>
  <c r="BE295" i="27"/>
  <c r="F292" i="30"/>
  <c r="B301" i="30"/>
  <c r="BC294" i="27"/>
  <c r="BL294" i="27" s="1"/>
  <c r="BB294" i="27"/>
  <c r="E291" i="30"/>
  <c r="AZ295" i="27"/>
  <c r="BA294" i="27"/>
  <c r="BJ292" i="27"/>
  <c r="BK292" i="27" s="1"/>
  <c r="AY294" i="27"/>
  <c r="D293" i="30"/>
  <c r="I293" i="30" s="1"/>
  <c r="BD294" i="27"/>
  <c r="BG294" i="27" s="1"/>
  <c r="BI293" i="27"/>
  <c r="BH293" i="27"/>
  <c r="AP307" i="27" l="1"/>
  <c r="AO307" i="27"/>
  <c r="AQ307" i="27" s="1"/>
  <c r="AR307" i="27" s="1"/>
  <c r="AN308" i="27"/>
  <c r="AE306" i="27"/>
  <c r="AF306" i="27" s="1"/>
  <c r="AC307" i="27"/>
  <c r="AB308" i="27"/>
  <c r="AD307" i="27"/>
  <c r="U307" i="27"/>
  <c r="O308" i="27"/>
  <c r="B308" i="27"/>
  <c r="AU307" i="27"/>
  <c r="AT292" i="27"/>
  <c r="H289" i="30" s="1"/>
  <c r="Q308" i="27"/>
  <c r="R308" i="27"/>
  <c r="P309" i="27"/>
  <c r="AM309" i="27"/>
  <c r="AS308" i="27"/>
  <c r="AA310" i="27"/>
  <c r="AG309" i="27"/>
  <c r="I308" i="27"/>
  <c r="BF307" i="27"/>
  <c r="G304" i="30"/>
  <c r="AX294" i="27"/>
  <c r="BE296" i="27"/>
  <c r="F293" i="30"/>
  <c r="BB295" i="27"/>
  <c r="BC295" i="27"/>
  <c r="BL295" i="27" s="1"/>
  <c r="E292" i="30"/>
  <c r="B302" i="30"/>
  <c r="BA295" i="27"/>
  <c r="AZ296" i="27"/>
  <c r="BI294" i="27"/>
  <c r="BH294" i="27"/>
  <c r="BD295" i="27"/>
  <c r="BG295" i="27" s="1"/>
  <c r="BJ293" i="27"/>
  <c r="BK293" i="27" s="1"/>
  <c r="D294" i="30"/>
  <c r="I294" i="30" s="1"/>
  <c r="AY295" i="27"/>
  <c r="AN309" i="27" l="1"/>
  <c r="AP308" i="27"/>
  <c r="AO308" i="27"/>
  <c r="AQ308" i="27" s="1"/>
  <c r="AR308" i="27" s="1"/>
  <c r="AB309" i="27"/>
  <c r="AD308" i="27"/>
  <c r="AC308" i="27"/>
  <c r="AE308" i="27" s="1"/>
  <c r="AF308" i="27" s="1"/>
  <c r="AE307" i="27"/>
  <c r="AF307" i="27" s="1"/>
  <c r="S308" i="27"/>
  <c r="T308" i="27" s="1"/>
  <c r="B309" i="27"/>
  <c r="AU308" i="27"/>
  <c r="O309" i="27"/>
  <c r="U308" i="27"/>
  <c r="AT293" i="27"/>
  <c r="H290" i="30" s="1"/>
  <c r="AG310" i="27"/>
  <c r="AA311" i="27"/>
  <c r="BF308" i="27"/>
  <c r="G305" i="30"/>
  <c r="AS309" i="27"/>
  <c r="AM310" i="27"/>
  <c r="R309" i="27"/>
  <c r="P310" i="27"/>
  <c r="Q309" i="27"/>
  <c r="S309" i="27" s="1"/>
  <c r="T309" i="27" s="1"/>
  <c r="I309" i="27"/>
  <c r="BJ294" i="27"/>
  <c r="BK294" i="27" s="1"/>
  <c r="AX295" i="27"/>
  <c r="BE297" i="27"/>
  <c r="F294" i="30"/>
  <c r="BC296" i="27"/>
  <c r="BB296" i="27"/>
  <c r="E293" i="30"/>
  <c r="B303" i="30"/>
  <c r="AY296" i="27"/>
  <c r="AZ297" i="27"/>
  <c r="BA296" i="27"/>
  <c r="BI295" i="27"/>
  <c r="BH295" i="27"/>
  <c r="D295" i="30"/>
  <c r="I295" i="30" s="1"/>
  <c r="BD296" i="27"/>
  <c r="BG296" i="27" s="1"/>
  <c r="AP309" i="27" l="1"/>
  <c r="AO309" i="27"/>
  <c r="AQ309" i="27" s="1"/>
  <c r="AR309" i="27" s="1"/>
  <c r="AN310" i="27"/>
  <c r="AB310" i="27"/>
  <c r="AD309" i="27"/>
  <c r="AC309" i="27"/>
  <c r="AE309" i="27" s="1"/>
  <c r="AF309" i="27" s="1"/>
  <c r="U309" i="27"/>
  <c r="O310" i="27"/>
  <c r="B310" i="27"/>
  <c r="AU309" i="27"/>
  <c r="AT294" i="27"/>
  <c r="H291" i="30" s="1"/>
  <c r="BF309" i="27"/>
  <c r="G306" i="30"/>
  <c r="Q310" i="27"/>
  <c r="R310" i="27"/>
  <c r="P311" i="27"/>
  <c r="AG311" i="27"/>
  <c r="AA312" i="27"/>
  <c r="AM311" i="27"/>
  <c r="AS310" i="27"/>
  <c r="I310" i="27"/>
  <c r="BL296" i="27"/>
  <c r="AX296" i="27"/>
  <c r="BE298" i="27"/>
  <c r="F295" i="30"/>
  <c r="BB297" i="27"/>
  <c r="BC297" i="27"/>
  <c r="BL297" i="27" s="1"/>
  <c r="E294" i="30"/>
  <c r="B304" i="30"/>
  <c r="AZ298" i="27"/>
  <c r="AY297" i="27"/>
  <c r="BA297" i="27"/>
  <c r="BJ295" i="27"/>
  <c r="BK295" i="27" s="1"/>
  <c r="BD297" i="27"/>
  <c r="BG297" i="27" s="1"/>
  <c r="BI296" i="27"/>
  <c r="BH296" i="27"/>
  <c r="D296" i="30"/>
  <c r="I296" i="30" s="1"/>
  <c r="AO310" i="27" l="1"/>
  <c r="AP310" i="27"/>
  <c r="AN311" i="27"/>
  <c r="AD310" i="27"/>
  <c r="AC310" i="27"/>
  <c r="AE310" i="27" s="1"/>
  <c r="AF310" i="27" s="1"/>
  <c r="AB311" i="27"/>
  <c r="B311" i="27"/>
  <c r="AU310" i="27"/>
  <c r="O311" i="27"/>
  <c r="U310" i="27"/>
  <c r="P312" i="27"/>
  <c r="R311" i="27"/>
  <c r="Q311" i="27"/>
  <c r="S311" i="27" s="1"/>
  <c r="T311" i="27" s="1"/>
  <c r="I311" i="27"/>
  <c r="AT295" i="27"/>
  <c r="H292" i="30" s="1"/>
  <c r="AG312" i="27"/>
  <c r="AA313" i="27"/>
  <c r="BF310" i="27"/>
  <c r="G307" i="30"/>
  <c r="AS311" i="27"/>
  <c r="AM312" i="27"/>
  <c r="S310" i="27"/>
  <c r="T310" i="27" s="1"/>
  <c r="AX297" i="27"/>
  <c r="BE299" i="27"/>
  <c r="F296" i="30"/>
  <c r="BB298" i="27"/>
  <c r="BC298" i="27"/>
  <c r="BL298" i="27" s="1"/>
  <c r="E295" i="30"/>
  <c r="B305" i="30"/>
  <c r="AZ299" i="27"/>
  <c r="D297" i="30"/>
  <c r="I297" i="30" s="1"/>
  <c r="BI297" i="27"/>
  <c r="BH297" i="27"/>
  <c r="BD298" i="27"/>
  <c r="BG298" i="27" s="1"/>
  <c r="BA298" i="27"/>
  <c r="AY298" i="27"/>
  <c r="BJ296" i="27"/>
  <c r="BK296" i="27" s="1"/>
  <c r="AN312" i="27" l="1"/>
  <c r="AO311" i="27"/>
  <c r="AP311" i="27"/>
  <c r="AQ310" i="27"/>
  <c r="AR310" i="27" s="1"/>
  <c r="AC311" i="27"/>
  <c r="AD311" i="27"/>
  <c r="AB312" i="27"/>
  <c r="U311" i="27"/>
  <c r="O312" i="27"/>
  <c r="B312" i="27"/>
  <c r="AU311" i="27"/>
  <c r="I312" i="27"/>
  <c r="AM313" i="27"/>
  <c r="AS312" i="27"/>
  <c r="BF311" i="27"/>
  <c r="G308" i="30"/>
  <c r="P313" i="27"/>
  <c r="R312" i="27"/>
  <c r="Q312" i="27"/>
  <c r="AA314" i="27"/>
  <c r="AG313" i="27"/>
  <c r="AT296" i="27"/>
  <c r="H293" i="30" s="1"/>
  <c r="BE300" i="27"/>
  <c r="F297" i="30"/>
  <c r="B306" i="30"/>
  <c r="BB299" i="27"/>
  <c r="BC299" i="27"/>
  <c r="BL299" i="27" s="1"/>
  <c r="E296" i="30"/>
  <c r="BJ297" i="27"/>
  <c r="BK297" i="27" s="1"/>
  <c r="AZ300" i="27"/>
  <c r="BA299" i="27"/>
  <c r="AY299" i="27"/>
  <c r="BD299" i="27"/>
  <c r="BG299" i="27" s="1"/>
  <c r="BI298" i="27"/>
  <c r="BH298" i="27"/>
  <c r="D298" i="30"/>
  <c r="I298" i="30" s="1"/>
  <c r="AX298" i="27"/>
  <c r="AQ311" i="27" l="1"/>
  <c r="AR311" i="27" s="1"/>
  <c r="AN313" i="27"/>
  <c r="AO312" i="27"/>
  <c r="AP312" i="27"/>
  <c r="AD312" i="27"/>
  <c r="AB313" i="27"/>
  <c r="AC312" i="27"/>
  <c r="AE312" i="27" s="1"/>
  <c r="AF312" i="27" s="1"/>
  <c r="AE311" i="27"/>
  <c r="AF311" i="27" s="1"/>
  <c r="B313" i="27"/>
  <c r="AU312" i="27"/>
  <c r="U312" i="27"/>
  <c r="O313" i="27"/>
  <c r="S312" i="27"/>
  <c r="T312" i="27" s="1"/>
  <c r="Q313" i="27"/>
  <c r="R313" i="27"/>
  <c r="P314" i="27"/>
  <c r="AS313" i="27"/>
  <c r="AM314" i="27"/>
  <c r="AA315" i="27"/>
  <c r="AG314" i="27"/>
  <c r="AT297" i="27"/>
  <c r="H294" i="30" s="1"/>
  <c r="BF312" i="27"/>
  <c r="G309" i="30"/>
  <c r="I313" i="27"/>
  <c r="BA300" i="27"/>
  <c r="BE301" i="27"/>
  <c r="F298" i="30"/>
  <c r="BB300" i="27"/>
  <c r="BC300" i="27"/>
  <c r="BL300" i="27" s="1"/>
  <c r="E297" i="30"/>
  <c r="B307" i="30"/>
  <c r="AX299" i="27"/>
  <c r="AZ301" i="27"/>
  <c r="BJ298" i="27"/>
  <c r="BK298" i="27" s="1"/>
  <c r="D299" i="30"/>
  <c r="I299" i="30" s="1"/>
  <c r="BD300" i="27"/>
  <c r="BG300" i="27" s="1"/>
  <c r="BI299" i="27"/>
  <c r="BH299" i="27"/>
  <c r="AY300" i="27"/>
  <c r="AQ312" i="27" l="1"/>
  <c r="AR312" i="27" s="1"/>
  <c r="AP313" i="27"/>
  <c r="AN314" i="27"/>
  <c r="AO313" i="27"/>
  <c r="AQ313" i="27" s="1"/>
  <c r="AR313" i="27" s="1"/>
  <c r="AC313" i="27"/>
  <c r="AB314" i="27"/>
  <c r="AD313" i="27"/>
  <c r="O314" i="27"/>
  <c r="U313" i="27"/>
  <c r="S313" i="27"/>
  <c r="T313" i="27" s="1"/>
  <c r="B314" i="27"/>
  <c r="AU313" i="27"/>
  <c r="I314" i="27"/>
  <c r="AT298" i="27"/>
  <c r="H295" i="30" s="1"/>
  <c r="AM315" i="27"/>
  <c r="AS314" i="27"/>
  <c r="AX300" i="27"/>
  <c r="R314" i="27"/>
  <c r="Q314" i="27"/>
  <c r="S314" i="27" s="1"/>
  <c r="T314" i="27" s="1"/>
  <c r="P315" i="27"/>
  <c r="AG315" i="27"/>
  <c r="AA316" i="27"/>
  <c r="BF313" i="27"/>
  <c r="G310" i="30"/>
  <c r="BE302" i="27"/>
  <c r="F299" i="30"/>
  <c r="BC301" i="27"/>
  <c r="BB301" i="27"/>
  <c r="E298" i="30"/>
  <c r="B308" i="30"/>
  <c r="AZ302" i="27"/>
  <c r="BJ299" i="27"/>
  <c r="BK299" i="27" s="1"/>
  <c r="BA301" i="27"/>
  <c r="BI300" i="27"/>
  <c r="BH300" i="27"/>
  <c r="BD301" i="27"/>
  <c r="BG301" i="27" s="1"/>
  <c r="AY301" i="27"/>
  <c r="D300" i="30"/>
  <c r="I300" i="30" s="1"/>
  <c r="AP314" i="27" l="1"/>
  <c r="AN315" i="27"/>
  <c r="AO314" i="27"/>
  <c r="AQ314" i="27" s="1"/>
  <c r="AR314" i="27" s="1"/>
  <c r="AB315" i="27"/>
  <c r="AC314" i="27"/>
  <c r="AD314" i="27"/>
  <c r="AE313" i="27"/>
  <c r="AF313" i="27" s="1"/>
  <c r="B315" i="27"/>
  <c r="AU314" i="27"/>
  <c r="O315" i="27"/>
  <c r="U314" i="27"/>
  <c r="AT299" i="27"/>
  <c r="H296" i="30" s="1"/>
  <c r="BF314" i="27"/>
  <c r="G311" i="30"/>
  <c r="AG316" i="27"/>
  <c r="AA317" i="27"/>
  <c r="AM316" i="27"/>
  <c r="AS315" i="27"/>
  <c r="I315" i="27"/>
  <c r="Q315" i="27"/>
  <c r="S315" i="27" s="1"/>
  <c r="T315" i="27" s="1"/>
  <c r="R315" i="27"/>
  <c r="P316" i="27"/>
  <c r="BL301" i="27"/>
  <c r="BE303" i="27"/>
  <c r="F300" i="30"/>
  <c r="BB302" i="27"/>
  <c r="BC302" i="27"/>
  <c r="BL302" i="27" s="1"/>
  <c r="E299" i="30"/>
  <c r="B309" i="30"/>
  <c r="AX301" i="27"/>
  <c r="BJ300" i="27"/>
  <c r="BK300" i="27" s="1"/>
  <c r="BA302" i="27"/>
  <c r="AZ303" i="27"/>
  <c r="BI301" i="27"/>
  <c r="BH301" i="27"/>
  <c r="D301" i="30"/>
  <c r="I301" i="30" s="1"/>
  <c r="BD302" i="27"/>
  <c r="BG302" i="27" s="1"/>
  <c r="AY302" i="27"/>
  <c r="AN316" i="27" l="1"/>
  <c r="AP315" i="27"/>
  <c r="AO315" i="27"/>
  <c r="AQ315" i="27" s="1"/>
  <c r="AR315" i="27" s="1"/>
  <c r="AE314" i="27"/>
  <c r="AF314" i="27" s="1"/>
  <c r="AC315" i="27"/>
  <c r="AB316" i="27"/>
  <c r="AD315" i="27"/>
  <c r="O316" i="27"/>
  <c r="U315" i="27"/>
  <c r="B316" i="27"/>
  <c r="AU315" i="27"/>
  <c r="AM317" i="27"/>
  <c r="AS316" i="27"/>
  <c r="I316" i="27"/>
  <c r="BF315" i="27"/>
  <c r="G312" i="30"/>
  <c r="AG317" i="27"/>
  <c r="AA318" i="27"/>
  <c r="AT300" i="27"/>
  <c r="H297" i="30" s="1"/>
  <c r="P317" i="27"/>
  <c r="R316" i="27"/>
  <c r="Q316" i="27"/>
  <c r="BE304" i="27"/>
  <c r="F301" i="30"/>
  <c r="BB303" i="27"/>
  <c r="BC303" i="27"/>
  <c r="BL303" i="27" s="1"/>
  <c r="E300" i="30"/>
  <c r="B310" i="30"/>
  <c r="AX302" i="27"/>
  <c r="AY303" i="27"/>
  <c r="BJ301" i="27"/>
  <c r="BK301" i="27" s="1"/>
  <c r="AZ304" i="27"/>
  <c r="D302" i="30"/>
  <c r="I302" i="30" s="1"/>
  <c r="AZ305" i="27"/>
  <c r="BI302" i="27"/>
  <c r="BH302" i="27"/>
  <c r="BA303" i="27"/>
  <c r="BD303" i="27"/>
  <c r="BG303" i="27" s="1"/>
  <c r="AN317" i="27" l="1"/>
  <c r="AO316" i="27"/>
  <c r="AP316" i="27"/>
  <c r="AC316" i="27"/>
  <c r="AD316" i="27"/>
  <c r="AB317" i="27"/>
  <c r="AE315" i="27"/>
  <c r="AF315" i="27" s="1"/>
  <c r="B317" i="27"/>
  <c r="AU316" i="27"/>
  <c r="S316" i="27"/>
  <c r="T316" i="27" s="1"/>
  <c r="U316" i="27"/>
  <c r="O317" i="27"/>
  <c r="AG318" i="27"/>
  <c r="AA319" i="27"/>
  <c r="AM318" i="27"/>
  <c r="AS317" i="27"/>
  <c r="I317" i="27"/>
  <c r="BF316" i="27"/>
  <c r="G313" i="30"/>
  <c r="P318" i="27"/>
  <c r="R317" i="27"/>
  <c r="Q317" i="27"/>
  <c r="AT301" i="27"/>
  <c r="H298" i="30" s="1"/>
  <c r="AX303" i="27"/>
  <c r="BE305" i="27"/>
  <c r="F302" i="30"/>
  <c r="BB304" i="27"/>
  <c r="BC304" i="27"/>
  <c r="E301" i="30"/>
  <c r="B311" i="30"/>
  <c r="BA304" i="27"/>
  <c r="BD304" i="27"/>
  <c r="BG304" i="27" s="1"/>
  <c r="D303" i="30"/>
  <c r="I303" i="30" s="1"/>
  <c r="BI303" i="27"/>
  <c r="BH303" i="27"/>
  <c r="BJ302" i="27"/>
  <c r="BK302" i="27" s="1"/>
  <c r="AY304" i="27"/>
  <c r="AQ316" i="27" l="1"/>
  <c r="AR316" i="27" s="1"/>
  <c r="AP317" i="27"/>
  <c r="AO317" i="27"/>
  <c r="AQ317" i="27" s="1"/>
  <c r="AR317" i="27" s="1"/>
  <c r="AN318" i="27"/>
  <c r="AB318" i="27"/>
  <c r="AC317" i="27"/>
  <c r="AD317" i="27"/>
  <c r="AE316" i="27"/>
  <c r="AF316" i="27" s="1"/>
  <c r="U317" i="27"/>
  <c r="O318" i="27"/>
  <c r="B318" i="27"/>
  <c r="AU317" i="27"/>
  <c r="I318" i="27"/>
  <c r="AM319" i="27"/>
  <c r="AS318" i="27"/>
  <c r="AT302" i="27"/>
  <c r="H299" i="30" s="1"/>
  <c r="BF317" i="27"/>
  <c r="G314" i="30"/>
  <c r="AG319" i="27"/>
  <c r="AA320" i="27"/>
  <c r="S317" i="27"/>
  <c r="T317" i="27" s="1"/>
  <c r="Q318" i="27"/>
  <c r="P319" i="27"/>
  <c r="R318" i="27"/>
  <c r="BL304" i="27"/>
  <c r="AX304" i="27"/>
  <c r="BE306" i="27"/>
  <c r="F303" i="30"/>
  <c r="BC305" i="27"/>
  <c r="BB305" i="27"/>
  <c r="E302" i="30"/>
  <c r="B312" i="30"/>
  <c r="AZ306" i="27"/>
  <c r="D304" i="30"/>
  <c r="I304" i="30" s="1"/>
  <c r="BJ303" i="27"/>
  <c r="BK303" i="27" s="1"/>
  <c r="BD305" i="27"/>
  <c r="BG305" i="27" s="1"/>
  <c r="AY305" i="27"/>
  <c r="BA305" i="27"/>
  <c r="BI304" i="27"/>
  <c r="BH304" i="27"/>
  <c r="AO318" i="27" l="1"/>
  <c r="AQ318" i="27" s="1"/>
  <c r="AR318" i="27" s="1"/>
  <c r="AP318" i="27"/>
  <c r="AN319" i="27"/>
  <c r="AE317" i="27"/>
  <c r="AF317" i="27" s="1"/>
  <c r="AC318" i="27"/>
  <c r="AB319" i="27"/>
  <c r="AD318" i="27"/>
  <c r="B319" i="27"/>
  <c r="AU318" i="27"/>
  <c r="O319" i="27"/>
  <c r="U318" i="27"/>
  <c r="AT303" i="27"/>
  <c r="H300" i="30" s="1"/>
  <c r="BF318" i="27"/>
  <c r="G315" i="30"/>
  <c r="AM320" i="27"/>
  <c r="AS319" i="27"/>
  <c r="R319" i="27"/>
  <c r="Q319" i="27"/>
  <c r="P320" i="27"/>
  <c r="I319" i="27"/>
  <c r="S318" i="27"/>
  <c r="T318" i="27" s="1"/>
  <c r="AA321" i="27"/>
  <c r="AG320" i="27"/>
  <c r="BL305" i="27"/>
  <c r="BA306" i="27"/>
  <c r="BE307" i="27"/>
  <c r="F304" i="30"/>
  <c r="BC306" i="27"/>
  <c r="BL306" i="27" s="1"/>
  <c r="BB306" i="27"/>
  <c r="E303" i="30"/>
  <c r="B313" i="30"/>
  <c r="BJ304" i="27"/>
  <c r="BK304" i="27" s="1"/>
  <c r="AX305" i="27"/>
  <c r="AY306" i="27"/>
  <c r="AX306" i="27" s="1"/>
  <c r="BD306" i="27"/>
  <c r="BG306" i="27" s="1"/>
  <c r="AZ307" i="27"/>
  <c r="D305" i="30"/>
  <c r="I305" i="30" s="1"/>
  <c r="BI305" i="27"/>
  <c r="BH305" i="27"/>
  <c r="AN320" i="27" l="1"/>
  <c r="AO319" i="27"/>
  <c r="AP319" i="27"/>
  <c r="AD319" i="27"/>
  <c r="AB320" i="27"/>
  <c r="AC319" i="27"/>
  <c r="AE319" i="27" s="1"/>
  <c r="AF319" i="27" s="1"/>
  <c r="AE318" i="27"/>
  <c r="AF318" i="27" s="1"/>
  <c r="O320" i="27"/>
  <c r="U319" i="27"/>
  <c r="S319" i="27"/>
  <c r="T319" i="27" s="1"/>
  <c r="B320" i="27"/>
  <c r="AU319" i="27"/>
  <c r="AM321" i="27"/>
  <c r="AS320" i="27"/>
  <c r="AT304" i="27"/>
  <c r="H301" i="30" s="1"/>
  <c r="I320" i="27"/>
  <c r="Q320" i="27"/>
  <c r="R320" i="27"/>
  <c r="P321" i="27"/>
  <c r="BF319" i="27"/>
  <c r="G316" i="30"/>
  <c r="AG321" i="27"/>
  <c r="AA322" i="27"/>
  <c r="AY307" i="27"/>
  <c r="AZ308" i="27"/>
  <c r="BE308" i="27"/>
  <c r="F305" i="30"/>
  <c r="B314" i="30"/>
  <c r="BC307" i="27"/>
  <c r="BL307" i="27" s="1"/>
  <c r="BB307" i="27"/>
  <c r="E304" i="30"/>
  <c r="BA307" i="27"/>
  <c r="BJ305" i="27"/>
  <c r="BK305" i="27" s="1"/>
  <c r="BD307" i="27"/>
  <c r="BG307" i="27" s="1"/>
  <c r="BI306" i="27"/>
  <c r="BH306" i="27"/>
  <c r="D306" i="30"/>
  <c r="I306" i="30" s="1"/>
  <c r="AQ319" i="27" l="1"/>
  <c r="AR319" i="27" s="1"/>
  <c r="AO320" i="27"/>
  <c r="AP320" i="27"/>
  <c r="AN321" i="27"/>
  <c r="AC320" i="27"/>
  <c r="AB321" i="27"/>
  <c r="AD320" i="27"/>
  <c r="B321" i="27"/>
  <c r="AU320" i="27"/>
  <c r="U320" i="27"/>
  <c r="O321" i="27"/>
  <c r="AX307" i="27"/>
  <c r="S320" i="27"/>
  <c r="T320" i="27" s="1"/>
  <c r="I321" i="27"/>
  <c r="G317" i="30"/>
  <c r="BF320" i="27"/>
  <c r="AT305" i="27"/>
  <c r="H302" i="30" s="1"/>
  <c r="AG322" i="27"/>
  <c r="AA323" i="27"/>
  <c r="AM322" i="27"/>
  <c r="AS321" i="27"/>
  <c r="P322" i="27"/>
  <c r="R321" i="27"/>
  <c r="Q321" i="27"/>
  <c r="S321" i="27" s="1"/>
  <c r="T321" i="27" s="1"/>
  <c r="BE309" i="27"/>
  <c r="F306" i="30"/>
  <c r="BB308" i="27"/>
  <c r="BC308" i="27"/>
  <c r="BL308" i="27" s="1"/>
  <c r="E305" i="30"/>
  <c r="B315" i="30"/>
  <c r="BJ306" i="27"/>
  <c r="BK306" i="27" s="1"/>
  <c r="AY308" i="27"/>
  <c r="AZ309" i="27"/>
  <c r="BD308" i="27"/>
  <c r="BG308" i="27" s="1"/>
  <c r="D307" i="30"/>
  <c r="I307" i="30" s="1"/>
  <c r="BI307" i="27"/>
  <c r="BH307" i="27"/>
  <c r="BA308" i="27"/>
  <c r="AP321" i="27" l="1"/>
  <c r="AO321" i="27"/>
  <c r="AQ321" i="27" s="1"/>
  <c r="AR321" i="27" s="1"/>
  <c r="AN322" i="27"/>
  <c r="AQ320" i="27"/>
  <c r="AR320" i="27" s="1"/>
  <c r="AB322" i="27"/>
  <c r="AD321" i="27"/>
  <c r="AC321" i="27"/>
  <c r="AE321" i="27" s="1"/>
  <c r="AF321" i="27" s="1"/>
  <c r="AE320" i="27"/>
  <c r="AF320" i="27" s="1"/>
  <c r="O322" i="27"/>
  <c r="U321" i="27"/>
  <c r="B322" i="27"/>
  <c r="AU321" i="27"/>
  <c r="AT306" i="27"/>
  <c r="H303" i="30" s="1"/>
  <c r="I322" i="27"/>
  <c r="G318" i="30"/>
  <c r="BF321" i="27"/>
  <c r="AM323" i="27"/>
  <c r="AS322" i="27"/>
  <c r="AG323" i="27"/>
  <c r="AA324" i="27"/>
  <c r="P323" i="27"/>
  <c r="Q322" i="27"/>
  <c r="R322" i="27"/>
  <c r="AY309" i="27"/>
  <c r="AX308" i="27"/>
  <c r="BE310" i="27"/>
  <c r="F307" i="30"/>
  <c r="BC309" i="27"/>
  <c r="BB309" i="27"/>
  <c r="E306" i="30"/>
  <c r="B316" i="30"/>
  <c r="D308" i="30"/>
  <c r="I308" i="30" s="1"/>
  <c r="BI308" i="27"/>
  <c r="BH308" i="27"/>
  <c r="BD309" i="27"/>
  <c r="BG309" i="27" s="1"/>
  <c r="BA309" i="27"/>
  <c r="AZ310" i="27"/>
  <c r="BJ307" i="27"/>
  <c r="BK307" i="27" s="1"/>
  <c r="AO322" i="27" l="1"/>
  <c r="AN323" i="27"/>
  <c r="AP322" i="27"/>
  <c r="AC322" i="27"/>
  <c r="AD322" i="27"/>
  <c r="AB323" i="27"/>
  <c r="B323" i="27"/>
  <c r="AU322" i="27"/>
  <c r="U322" i="27"/>
  <c r="O323" i="27"/>
  <c r="AX309" i="27"/>
  <c r="P324" i="27"/>
  <c r="R323" i="27"/>
  <c r="Q323" i="27"/>
  <c r="S323" i="27" s="1"/>
  <c r="T323" i="27" s="1"/>
  <c r="G319" i="30"/>
  <c r="BF322" i="27"/>
  <c r="AM324" i="27"/>
  <c r="AS323" i="27"/>
  <c r="I323" i="27"/>
  <c r="AA325" i="27"/>
  <c r="AG324" i="27"/>
  <c r="AT307" i="27"/>
  <c r="H304" i="30" s="1"/>
  <c r="S322" i="27"/>
  <c r="T322" i="27" s="1"/>
  <c r="BL309" i="27"/>
  <c r="BE311" i="27"/>
  <c r="F308" i="30"/>
  <c r="B317" i="30"/>
  <c r="BB310" i="27"/>
  <c r="BC310" i="27"/>
  <c r="BL310" i="27" s="1"/>
  <c r="E307" i="30"/>
  <c r="AY310" i="27"/>
  <c r="BJ308" i="27"/>
  <c r="BK308" i="27" s="1"/>
  <c r="BI309" i="27"/>
  <c r="BH309" i="27"/>
  <c r="D309" i="30"/>
  <c r="I309" i="30" s="1"/>
  <c r="BA310" i="27"/>
  <c r="AZ311" i="27"/>
  <c r="BD310" i="27"/>
  <c r="BG310" i="27" s="1"/>
  <c r="AN324" i="27" l="1"/>
  <c r="AP323" i="27"/>
  <c r="AO323" i="27"/>
  <c r="AQ323" i="27" s="1"/>
  <c r="AR323" i="27" s="1"/>
  <c r="AQ322" i="27"/>
  <c r="AR322" i="27" s="1"/>
  <c r="AD323" i="27"/>
  <c r="AC323" i="27"/>
  <c r="AE323" i="27" s="1"/>
  <c r="AF323" i="27" s="1"/>
  <c r="AB324" i="27"/>
  <c r="AE322" i="27"/>
  <c r="AF322" i="27" s="1"/>
  <c r="U323" i="27"/>
  <c r="O324" i="27"/>
  <c r="B324" i="27"/>
  <c r="AU323" i="27"/>
  <c r="BF323" i="27"/>
  <c r="G320" i="30"/>
  <c r="AS324" i="27"/>
  <c r="AM325" i="27"/>
  <c r="AA326" i="27"/>
  <c r="AG325" i="27"/>
  <c r="I324" i="27"/>
  <c r="H305" i="30"/>
  <c r="AT308" i="27"/>
  <c r="Q324" i="27"/>
  <c r="S324" i="27" s="1"/>
  <c r="T324" i="27" s="1"/>
  <c r="R324" i="27"/>
  <c r="P325" i="27"/>
  <c r="AX310" i="27"/>
  <c r="AZ312" i="27"/>
  <c r="BE312" i="27"/>
  <c r="F309" i="30"/>
  <c r="BC311" i="27"/>
  <c r="BL311" i="27" s="1"/>
  <c r="BB311" i="27"/>
  <c r="E308" i="30"/>
  <c r="B318" i="30"/>
  <c r="BA311" i="27"/>
  <c r="BJ309" i="27"/>
  <c r="BK309" i="27" s="1"/>
  <c r="BD311" i="27"/>
  <c r="BG311" i="27" s="1"/>
  <c r="D310" i="30"/>
  <c r="I310" i="30" s="1"/>
  <c r="AY311" i="27"/>
  <c r="BI310" i="27"/>
  <c r="BH310" i="27"/>
  <c r="AO324" i="27" l="1"/>
  <c r="AP324" i="27"/>
  <c r="AN325" i="27"/>
  <c r="AB325" i="27"/>
  <c r="AC324" i="27"/>
  <c r="AD324" i="27"/>
  <c r="B325" i="27"/>
  <c r="AU324" i="27"/>
  <c r="U324" i="27"/>
  <c r="O325" i="27"/>
  <c r="AT309" i="27"/>
  <c r="H306" i="30" s="1"/>
  <c r="AM326" i="27"/>
  <c r="AS325" i="27"/>
  <c r="I325" i="27"/>
  <c r="AG326" i="27"/>
  <c r="AA327" i="27"/>
  <c r="G321" i="30"/>
  <c r="BF324" i="27"/>
  <c r="Q325" i="27"/>
  <c r="R325" i="27"/>
  <c r="P326" i="27"/>
  <c r="AX311" i="27"/>
  <c r="BE313" i="27"/>
  <c r="F310" i="30"/>
  <c r="BB312" i="27"/>
  <c r="BC312" i="27"/>
  <c r="BL312" i="27" s="1"/>
  <c r="E309" i="30"/>
  <c r="B319" i="30"/>
  <c r="AZ313" i="27"/>
  <c r="BJ310" i="27"/>
  <c r="BK310" i="27" s="1"/>
  <c r="BA312" i="27"/>
  <c r="BI311" i="27"/>
  <c r="BH311" i="27"/>
  <c r="AY312" i="27"/>
  <c r="D311" i="30"/>
  <c r="I311" i="30" s="1"/>
  <c r="BD312" i="27"/>
  <c r="BG312" i="27" s="1"/>
  <c r="AO325" i="27" l="1"/>
  <c r="AN326" i="27"/>
  <c r="AP325" i="27"/>
  <c r="AQ324" i="27"/>
  <c r="AR324" i="27" s="1"/>
  <c r="AE324" i="27"/>
  <c r="AF324" i="27" s="1"/>
  <c r="AB326" i="27"/>
  <c r="AC325" i="27"/>
  <c r="AD325" i="27"/>
  <c r="O326" i="27"/>
  <c r="U325" i="27"/>
  <c r="B326" i="27"/>
  <c r="AU325" i="27"/>
  <c r="I326" i="27"/>
  <c r="Q326" i="27"/>
  <c r="R326" i="27"/>
  <c r="P327" i="27"/>
  <c r="BF325" i="27"/>
  <c r="G322" i="30"/>
  <c r="AT310" i="27"/>
  <c r="H307" i="30" s="1"/>
  <c r="AM327" i="27"/>
  <c r="AS326" i="27"/>
  <c r="S325" i="27"/>
  <c r="T325" i="27" s="1"/>
  <c r="AA328" i="27"/>
  <c r="AG327" i="27"/>
  <c r="BE314" i="27"/>
  <c r="F311" i="30"/>
  <c r="BB313" i="27"/>
  <c r="BC313" i="27"/>
  <c r="E310" i="30"/>
  <c r="B320" i="30"/>
  <c r="AX312" i="27"/>
  <c r="AZ314" i="27"/>
  <c r="BA313" i="27"/>
  <c r="BJ311" i="27"/>
  <c r="BK311" i="27" s="1"/>
  <c r="D312" i="30"/>
  <c r="I312" i="30" s="1"/>
  <c r="AY313" i="27"/>
  <c r="BD313" i="27"/>
  <c r="BG313" i="27" s="1"/>
  <c r="BI312" i="27"/>
  <c r="BH312" i="27"/>
  <c r="AN327" i="27" l="1"/>
  <c r="AO326" i="27"/>
  <c r="AP326" i="27"/>
  <c r="AQ325" i="27"/>
  <c r="AR325" i="27" s="1"/>
  <c r="AE325" i="27"/>
  <c r="AF325" i="27" s="1"/>
  <c r="AD326" i="27"/>
  <c r="AC326" i="27"/>
  <c r="AE326" i="27" s="1"/>
  <c r="AF326" i="27" s="1"/>
  <c r="AB327" i="27"/>
  <c r="B327" i="27"/>
  <c r="AU326" i="27"/>
  <c r="U326" i="27"/>
  <c r="O327" i="27"/>
  <c r="AT311" i="27"/>
  <c r="H308" i="30" s="1"/>
  <c r="AA329" i="27"/>
  <c r="AG328" i="27"/>
  <c r="S326" i="27"/>
  <c r="T326" i="27" s="1"/>
  <c r="BF326" i="27"/>
  <c r="G323" i="30"/>
  <c r="P328" i="27"/>
  <c r="Q327" i="27"/>
  <c r="R327" i="27"/>
  <c r="I327" i="27"/>
  <c r="AM328" i="27"/>
  <c r="AS327" i="27"/>
  <c r="BL313" i="27"/>
  <c r="AX313" i="27"/>
  <c r="BE315" i="27"/>
  <c r="F312" i="30"/>
  <c r="B321" i="30"/>
  <c r="BB314" i="27"/>
  <c r="BC314" i="27"/>
  <c r="BL314" i="27" s="1"/>
  <c r="E311" i="30"/>
  <c r="BJ312" i="27"/>
  <c r="BK312" i="27" s="1"/>
  <c r="AZ315" i="27"/>
  <c r="BD314" i="27"/>
  <c r="BG314" i="27" s="1"/>
  <c r="BI313" i="27"/>
  <c r="BH313" i="27"/>
  <c r="D313" i="30"/>
  <c r="I313" i="30" s="1"/>
  <c r="BA314" i="27"/>
  <c r="AY314" i="27"/>
  <c r="AQ326" i="27" l="1"/>
  <c r="AR326" i="27" s="1"/>
  <c r="AP327" i="27"/>
  <c r="AO327" i="27"/>
  <c r="AQ327" i="27" s="1"/>
  <c r="AR327" i="27" s="1"/>
  <c r="AN328" i="27"/>
  <c r="AB328" i="27"/>
  <c r="AC327" i="27"/>
  <c r="AD327" i="27"/>
  <c r="U327" i="27"/>
  <c r="O328" i="27"/>
  <c r="S327" i="27"/>
  <c r="T327" i="27" s="1"/>
  <c r="B328" i="27"/>
  <c r="AU327" i="27"/>
  <c r="AG329" i="27"/>
  <c r="AA330" i="27"/>
  <c r="AT312" i="27"/>
  <c r="H309" i="30" s="1"/>
  <c r="BF327" i="27"/>
  <c r="G324" i="30"/>
  <c r="AM329" i="27"/>
  <c r="AS328" i="27"/>
  <c r="I328" i="27"/>
  <c r="Q328" i="27"/>
  <c r="R328" i="27"/>
  <c r="P329" i="27"/>
  <c r="BE316" i="27"/>
  <c r="F313" i="30"/>
  <c r="BB315" i="27"/>
  <c r="BC315" i="27"/>
  <c r="BL315" i="27" s="1"/>
  <c r="E312" i="30"/>
  <c r="AX314" i="27"/>
  <c r="B322" i="30"/>
  <c r="BJ313" i="27"/>
  <c r="BK313" i="27" s="1"/>
  <c r="AZ316" i="27"/>
  <c r="AY315" i="27"/>
  <c r="BA315" i="27"/>
  <c r="BD315" i="27"/>
  <c r="BG315" i="27" s="1"/>
  <c r="D314" i="30"/>
  <c r="I314" i="30" s="1"/>
  <c r="BI314" i="27"/>
  <c r="BH314" i="27"/>
  <c r="AN329" i="27" l="1"/>
  <c r="AP328" i="27"/>
  <c r="AO328" i="27"/>
  <c r="AQ328" i="27" s="1"/>
  <c r="AR328" i="27" s="1"/>
  <c r="AE327" i="27"/>
  <c r="AF327" i="27" s="1"/>
  <c r="AB329" i="27"/>
  <c r="AC328" i="27"/>
  <c r="AE328" i="27" s="1"/>
  <c r="AF328" i="27" s="1"/>
  <c r="AD328" i="27"/>
  <c r="B329" i="27"/>
  <c r="AU328" i="27"/>
  <c r="U328" i="27"/>
  <c r="O329" i="27"/>
  <c r="Q329" i="27"/>
  <c r="R329" i="27"/>
  <c r="P330" i="27"/>
  <c r="BF328" i="27"/>
  <c r="G325" i="30"/>
  <c r="AS329" i="27"/>
  <c r="AM330" i="27"/>
  <c r="AG330" i="27"/>
  <c r="AA331" i="27"/>
  <c r="I329" i="27"/>
  <c r="S328" i="27"/>
  <c r="T328" i="27" s="1"/>
  <c r="AT313" i="27"/>
  <c r="H310" i="30" s="1"/>
  <c r="AX315" i="27"/>
  <c r="BE317" i="27"/>
  <c r="F314" i="30"/>
  <c r="B323" i="30"/>
  <c r="BB316" i="27"/>
  <c r="BC316" i="27"/>
  <c r="BL316" i="27" s="1"/>
  <c r="E313" i="30"/>
  <c r="BA316" i="27"/>
  <c r="BI315" i="27"/>
  <c r="BH315" i="27"/>
  <c r="BD316" i="27"/>
  <c r="BG316" i="27" s="1"/>
  <c r="AY316" i="27"/>
  <c r="AZ317" i="27"/>
  <c r="BJ314" i="27"/>
  <c r="BK314" i="27" s="1"/>
  <c r="D315" i="30"/>
  <c r="I315" i="30" s="1"/>
  <c r="AN330" i="27" l="1"/>
  <c r="AP329" i="27"/>
  <c r="AO329" i="27"/>
  <c r="AQ329" i="27" s="1"/>
  <c r="AR329" i="27" s="1"/>
  <c r="AC329" i="27"/>
  <c r="AD329" i="27"/>
  <c r="AB330" i="27"/>
  <c r="U329" i="27"/>
  <c r="O330" i="27"/>
  <c r="B330" i="27"/>
  <c r="AU329" i="27"/>
  <c r="AG331" i="27"/>
  <c r="AA332" i="27"/>
  <c r="P331" i="27"/>
  <c r="Q330" i="27"/>
  <c r="R330" i="27"/>
  <c r="AM331" i="27"/>
  <c r="AS330" i="27"/>
  <c r="BF329" i="27"/>
  <c r="G326" i="30"/>
  <c r="I330" i="27"/>
  <c r="AT314" i="27"/>
  <c r="H311" i="30" s="1"/>
  <c r="S329" i="27"/>
  <c r="T329" i="27" s="1"/>
  <c r="AX316" i="27"/>
  <c r="BE318" i="27"/>
  <c r="F315" i="30"/>
  <c r="BB317" i="27"/>
  <c r="BC317" i="27"/>
  <c r="BL317" i="27" s="1"/>
  <c r="E314" i="30"/>
  <c r="B324" i="30"/>
  <c r="BJ315" i="27"/>
  <c r="BK315" i="27" s="1"/>
  <c r="AY317" i="27"/>
  <c r="BA317" i="27"/>
  <c r="BI316" i="27"/>
  <c r="BH316" i="27"/>
  <c r="AZ318" i="27"/>
  <c r="BD317" i="27"/>
  <c r="BG317" i="27" s="1"/>
  <c r="D316" i="30"/>
  <c r="I316" i="30" s="1"/>
  <c r="AN331" i="27" l="1"/>
  <c r="AO330" i="27"/>
  <c r="AQ330" i="27" s="1"/>
  <c r="AR330" i="27" s="1"/>
  <c r="AP330" i="27"/>
  <c r="AC330" i="27"/>
  <c r="AB331" i="27"/>
  <c r="AD330" i="27"/>
  <c r="AE329" i="27"/>
  <c r="AF329" i="27" s="1"/>
  <c r="B331" i="27"/>
  <c r="AU330" i="27"/>
  <c r="O331" i="27"/>
  <c r="U330" i="27"/>
  <c r="BF330" i="27"/>
  <c r="G327" i="30"/>
  <c r="AA333" i="27"/>
  <c r="AG332" i="27"/>
  <c r="AM332" i="27"/>
  <c r="AS331" i="27"/>
  <c r="S330" i="27"/>
  <c r="T330" i="27" s="1"/>
  <c r="I331" i="27"/>
  <c r="AT315" i="27"/>
  <c r="H312" i="30" s="1"/>
  <c r="P332" i="27"/>
  <c r="Q331" i="27"/>
  <c r="R331" i="27"/>
  <c r="AX317" i="27"/>
  <c r="BE319" i="27"/>
  <c r="F316" i="30"/>
  <c r="BB318" i="27"/>
  <c r="BC318" i="27"/>
  <c r="BL318" i="27" s="1"/>
  <c r="E315" i="30"/>
  <c r="B325" i="30"/>
  <c r="BA318" i="27"/>
  <c r="AY318" i="27"/>
  <c r="BJ316" i="27"/>
  <c r="BK316" i="27" s="1"/>
  <c r="D317" i="30"/>
  <c r="I317" i="30" s="1"/>
  <c r="BD318" i="27"/>
  <c r="BG318" i="27" s="1"/>
  <c r="BI317" i="27"/>
  <c r="BH317" i="27"/>
  <c r="AZ319" i="27"/>
  <c r="AP331" i="27" l="1"/>
  <c r="AO331" i="27"/>
  <c r="AQ331" i="27" s="1"/>
  <c r="AR331" i="27" s="1"/>
  <c r="AN332" i="27"/>
  <c r="AD331" i="27"/>
  <c r="AC331" i="27"/>
  <c r="AE331" i="27" s="1"/>
  <c r="AF331" i="27" s="1"/>
  <c r="AB332" i="27"/>
  <c r="AE330" i="27"/>
  <c r="AF330" i="27" s="1"/>
  <c r="O332" i="27"/>
  <c r="U331" i="27"/>
  <c r="B332" i="27"/>
  <c r="AU331" i="27"/>
  <c r="I332" i="27"/>
  <c r="BF331" i="27"/>
  <c r="G328" i="30"/>
  <c r="AA334" i="27"/>
  <c r="AG333" i="27"/>
  <c r="AT316" i="27"/>
  <c r="H313" i="30" s="1"/>
  <c r="AM333" i="27"/>
  <c r="AS332" i="27"/>
  <c r="S331" i="27"/>
  <c r="T331" i="27" s="1"/>
  <c r="Q332" i="27"/>
  <c r="R332" i="27"/>
  <c r="P333" i="27"/>
  <c r="AX318" i="27"/>
  <c r="BE320" i="27"/>
  <c r="F317" i="30"/>
  <c r="BB319" i="27"/>
  <c r="BC319" i="27"/>
  <c r="BL319" i="27" s="1"/>
  <c r="E316" i="30"/>
  <c r="B326" i="30"/>
  <c r="AZ320" i="27"/>
  <c r="BJ317" i="27"/>
  <c r="BK317" i="27" s="1"/>
  <c r="BA319" i="27"/>
  <c r="BI318" i="27"/>
  <c r="BH318" i="27"/>
  <c r="AY319" i="27"/>
  <c r="BD319" i="27"/>
  <c r="BG319" i="27" s="1"/>
  <c r="D318" i="30"/>
  <c r="I318" i="30" s="1"/>
  <c r="AO332" i="27" l="1"/>
  <c r="AP332" i="27"/>
  <c r="AN333" i="27"/>
  <c r="AB333" i="27"/>
  <c r="AD332" i="27"/>
  <c r="AC332" i="27"/>
  <c r="AE332" i="27" s="1"/>
  <c r="AF332" i="27" s="1"/>
  <c r="B333" i="27"/>
  <c r="AU332" i="27"/>
  <c r="U332" i="27"/>
  <c r="O333" i="27"/>
  <c r="BF332" i="27"/>
  <c r="G329" i="30"/>
  <c r="AM334" i="27"/>
  <c r="AS333" i="27"/>
  <c r="AG334" i="27"/>
  <c r="AA335" i="27"/>
  <c r="S332" i="27"/>
  <c r="T332" i="27" s="1"/>
  <c r="AT317" i="27"/>
  <c r="H314" i="30" s="1"/>
  <c r="I333" i="27"/>
  <c r="P334" i="27"/>
  <c r="R333" i="27"/>
  <c r="Q333" i="27"/>
  <c r="AY320" i="27"/>
  <c r="BE321" i="27"/>
  <c r="F318" i="30"/>
  <c r="AX319" i="27"/>
  <c r="BB320" i="27"/>
  <c r="BC320" i="27"/>
  <c r="E317" i="30"/>
  <c r="B327" i="30"/>
  <c r="AZ321" i="27"/>
  <c r="BJ318" i="27"/>
  <c r="BK318" i="27" s="1"/>
  <c r="BA320" i="27"/>
  <c r="BI319" i="27"/>
  <c r="BH319" i="27"/>
  <c r="D319" i="30"/>
  <c r="I319" i="30" s="1"/>
  <c r="BD320" i="27"/>
  <c r="BG320" i="27" s="1"/>
  <c r="AN334" i="27" l="1"/>
  <c r="AO333" i="27"/>
  <c r="AQ333" i="27" s="1"/>
  <c r="AR333" i="27" s="1"/>
  <c r="AP333" i="27"/>
  <c r="AX320" i="27"/>
  <c r="AQ332" i="27"/>
  <c r="AR332" i="27" s="1"/>
  <c r="AB334" i="27"/>
  <c r="AC333" i="27"/>
  <c r="AD333" i="27"/>
  <c r="O334" i="27"/>
  <c r="U333" i="27"/>
  <c r="S333" i="27"/>
  <c r="T333" i="27" s="1"/>
  <c r="B334" i="27"/>
  <c r="AU333" i="27"/>
  <c r="AG335" i="27"/>
  <c r="AA336" i="27"/>
  <c r="AM335" i="27"/>
  <c r="AS334" i="27"/>
  <c r="AT318" i="27"/>
  <c r="H315" i="30" s="1"/>
  <c r="P335" i="27"/>
  <c r="Q334" i="27"/>
  <c r="R334" i="27"/>
  <c r="BF333" i="27"/>
  <c r="G330" i="30"/>
  <c r="I334" i="27"/>
  <c r="BL320" i="27"/>
  <c r="BE322" i="27"/>
  <c r="F319" i="30"/>
  <c r="BC321" i="27"/>
  <c r="BB321" i="27"/>
  <c r="E318" i="30"/>
  <c r="B328" i="30"/>
  <c r="AY321" i="27"/>
  <c r="AZ322" i="27"/>
  <c r="D320" i="30"/>
  <c r="I320" i="30" s="1"/>
  <c r="BJ319" i="27"/>
  <c r="BK319" i="27" s="1"/>
  <c r="BA321" i="27"/>
  <c r="BI320" i="27"/>
  <c r="BH320" i="27"/>
  <c r="BD321" i="27"/>
  <c r="BG321" i="27" s="1"/>
  <c r="AP334" i="27" l="1"/>
  <c r="AO334" i="27"/>
  <c r="AQ334" i="27" s="1"/>
  <c r="AR334" i="27" s="1"/>
  <c r="AN335" i="27"/>
  <c r="AE333" i="27"/>
  <c r="AF333" i="27" s="1"/>
  <c r="AC334" i="27"/>
  <c r="AD334" i="27"/>
  <c r="AB335" i="27"/>
  <c r="B335" i="27"/>
  <c r="AU334" i="27"/>
  <c r="O335" i="27"/>
  <c r="U334" i="27"/>
  <c r="AT319" i="27"/>
  <c r="H316" i="30" s="1"/>
  <c r="G331" i="30"/>
  <c r="BF334" i="27"/>
  <c r="I335" i="27"/>
  <c r="AG336" i="27"/>
  <c r="AA337" i="27"/>
  <c r="S334" i="27"/>
  <c r="T334" i="27" s="1"/>
  <c r="R335" i="27"/>
  <c r="P336" i="27"/>
  <c r="Q335" i="27"/>
  <c r="S335" i="27" s="1"/>
  <c r="T335" i="27" s="1"/>
  <c r="AM336" i="27"/>
  <c r="AS335" i="27"/>
  <c r="BL321" i="27"/>
  <c r="AY322" i="27"/>
  <c r="AX321" i="27"/>
  <c r="BE323" i="27"/>
  <c r="F320" i="30"/>
  <c r="BB322" i="27"/>
  <c r="BC322" i="27"/>
  <c r="BL322" i="27" s="1"/>
  <c r="E319" i="30"/>
  <c r="B329" i="30"/>
  <c r="AZ323" i="27"/>
  <c r="BA322" i="27"/>
  <c r="BD322" i="27"/>
  <c r="BG322" i="27" s="1"/>
  <c r="BJ320" i="27"/>
  <c r="BK320" i="27" s="1"/>
  <c r="BH321" i="27"/>
  <c r="BI321" i="27"/>
  <c r="D321" i="30"/>
  <c r="I321" i="30" s="1"/>
  <c r="AN336" i="27" l="1"/>
  <c r="AP335" i="27"/>
  <c r="AO335" i="27"/>
  <c r="AQ335" i="27" s="1"/>
  <c r="AR335" i="27" s="1"/>
  <c r="AX322" i="27"/>
  <c r="AC335" i="27"/>
  <c r="AB336" i="27"/>
  <c r="AD335" i="27"/>
  <c r="AE334" i="27"/>
  <c r="AF334" i="27" s="1"/>
  <c r="U335" i="27"/>
  <c r="O336" i="27"/>
  <c r="B336" i="27"/>
  <c r="AU335" i="27"/>
  <c r="AT320" i="27"/>
  <c r="H317" i="30" s="1"/>
  <c r="I336" i="27"/>
  <c r="P337" i="27"/>
  <c r="Q336" i="27"/>
  <c r="R336" i="27"/>
  <c r="AA338" i="27"/>
  <c r="AG337" i="27"/>
  <c r="BF335" i="27"/>
  <c r="G332" i="30"/>
  <c r="AM337" i="27"/>
  <c r="AS336" i="27"/>
  <c r="BE324" i="27"/>
  <c r="F321" i="30"/>
  <c r="BC323" i="27"/>
  <c r="BL323" i="27" s="1"/>
  <c r="BB323" i="27"/>
  <c r="E320" i="30"/>
  <c r="B330" i="30"/>
  <c r="AZ324" i="27"/>
  <c r="BJ321" i="27"/>
  <c r="BK321" i="27" s="1"/>
  <c r="BD323" i="27"/>
  <c r="BG323" i="27" s="1"/>
  <c r="BA323" i="27"/>
  <c r="BI322" i="27"/>
  <c r="BH322" i="27"/>
  <c r="AY323" i="27"/>
  <c r="AZ325" i="27"/>
  <c r="D322" i="30"/>
  <c r="I322" i="30" s="1"/>
  <c r="AN337" i="27" l="1"/>
  <c r="AO336" i="27"/>
  <c r="AP336" i="27"/>
  <c r="AD336" i="27"/>
  <c r="AC336" i="27"/>
  <c r="AE336" i="27" s="1"/>
  <c r="AF336" i="27" s="1"/>
  <c r="AB337" i="27"/>
  <c r="AE335" i="27"/>
  <c r="AF335" i="27" s="1"/>
  <c r="B337" i="27"/>
  <c r="AU336" i="27"/>
  <c r="O337" i="27"/>
  <c r="U336" i="27"/>
  <c r="AA339" i="27"/>
  <c r="AG338" i="27"/>
  <c r="G333" i="30"/>
  <c r="BF336" i="27"/>
  <c r="I337" i="27"/>
  <c r="AM338" i="27"/>
  <c r="AS337" i="27"/>
  <c r="Q337" i="27"/>
  <c r="R337" i="27"/>
  <c r="P338" i="27"/>
  <c r="AT321" i="27"/>
  <c r="H318" i="30" s="1"/>
  <c r="S336" i="27"/>
  <c r="T336" i="27" s="1"/>
  <c r="BA324" i="27"/>
  <c r="BE325" i="27"/>
  <c r="F322" i="30"/>
  <c r="BB324" i="27"/>
  <c r="BC324" i="27"/>
  <c r="E321" i="30"/>
  <c r="B331" i="30"/>
  <c r="BJ322" i="27"/>
  <c r="BK322" i="27" s="1"/>
  <c r="AX323" i="27"/>
  <c r="D323" i="30"/>
  <c r="I323" i="30" s="1"/>
  <c r="BI323" i="27"/>
  <c r="BH323" i="27"/>
  <c r="BD324" i="27"/>
  <c r="BG324" i="27" s="1"/>
  <c r="AY324" i="27"/>
  <c r="AZ326" i="27"/>
  <c r="AQ336" i="27" l="1"/>
  <c r="AR336" i="27" s="1"/>
  <c r="AO337" i="27"/>
  <c r="AN338" i="27"/>
  <c r="AP337" i="27"/>
  <c r="AD337" i="27"/>
  <c r="AC337" i="27"/>
  <c r="AE337" i="27" s="1"/>
  <c r="AF337" i="27" s="1"/>
  <c r="AB338" i="27"/>
  <c r="O338" i="27"/>
  <c r="U337" i="27"/>
  <c r="B338" i="27"/>
  <c r="AU337" i="27"/>
  <c r="BF337" i="27"/>
  <c r="G334" i="30"/>
  <c r="I338" i="27"/>
  <c r="S337" i="27"/>
  <c r="T337" i="27" s="1"/>
  <c r="R338" i="27"/>
  <c r="Q338" i="27"/>
  <c r="S338" i="27" s="1"/>
  <c r="T338" i="27" s="1"/>
  <c r="P339" i="27"/>
  <c r="AM339" i="27"/>
  <c r="AS338" i="27"/>
  <c r="AX324" i="27"/>
  <c r="AT322" i="27"/>
  <c r="H319" i="30" s="1"/>
  <c r="AG339" i="27"/>
  <c r="AA340" i="27"/>
  <c r="BL324" i="27"/>
  <c r="BE326" i="27"/>
  <c r="F323" i="30"/>
  <c r="B332" i="30"/>
  <c r="BC325" i="27"/>
  <c r="BB325" i="27"/>
  <c r="E322" i="30"/>
  <c r="BA325" i="27"/>
  <c r="BJ323" i="27"/>
  <c r="BK323" i="27" s="1"/>
  <c r="AY325" i="27"/>
  <c r="BI324" i="27"/>
  <c r="BH324" i="27"/>
  <c r="BD325" i="27"/>
  <c r="BG325" i="27" s="1"/>
  <c r="D324" i="30"/>
  <c r="I324" i="30" s="1"/>
  <c r="AP338" i="27" l="1"/>
  <c r="AN339" i="27"/>
  <c r="AO338" i="27"/>
  <c r="AQ338" i="27" s="1"/>
  <c r="AR338" i="27" s="1"/>
  <c r="AQ337" i="27"/>
  <c r="AR337" i="27" s="1"/>
  <c r="AD338" i="27"/>
  <c r="AB339" i="27"/>
  <c r="AC338" i="27"/>
  <c r="AE338" i="27" s="1"/>
  <c r="AF338" i="27" s="1"/>
  <c r="B339" i="27"/>
  <c r="AU338" i="27"/>
  <c r="O339" i="27"/>
  <c r="U338" i="27"/>
  <c r="AT323" i="27"/>
  <c r="H320" i="30" s="1"/>
  <c r="I339" i="27"/>
  <c r="G335" i="30"/>
  <c r="BF338" i="27"/>
  <c r="Q339" i="27"/>
  <c r="P340" i="27"/>
  <c r="R339" i="27"/>
  <c r="AG340" i="27"/>
  <c r="AA341" i="27"/>
  <c r="AM340" i="27"/>
  <c r="AS339" i="27"/>
  <c r="BL325" i="27"/>
  <c r="AX325" i="27"/>
  <c r="BE327" i="27"/>
  <c r="F324" i="30"/>
  <c r="BB326" i="27"/>
  <c r="BC326" i="27"/>
  <c r="E323" i="30"/>
  <c r="B333" i="30"/>
  <c r="BJ324" i="27"/>
  <c r="BK324" i="27" s="1"/>
  <c r="AY326" i="27"/>
  <c r="BA326" i="27"/>
  <c r="BD326" i="27"/>
  <c r="BG326" i="27" s="1"/>
  <c r="AZ327" i="27"/>
  <c r="BI325" i="27"/>
  <c r="BH325" i="27"/>
  <c r="D325" i="30"/>
  <c r="I325" i="30" s="1"/>
  <c r="AO339" i="27" l="1"/>
  <c r="AN340" i="27"/>
  <c r="AP339" i="27"/>
  <c r="AB340" i="27"/>
  <c r="AC339" i="27"/>
  <c r="AD339" i="27"/>
  <c r="U339" i="27"/>
  <c r="O340" i="27"/>
  <c r="B340" i="27"/>
  <c r="AU339" i="27"/>
  <c r="P341" i="27"/>
  <c r="Q340" i="27"/>
  <c r="R340" i="27"/>
  <c r="I340" i="27"/>
  <c r="AG341" i="27"/>
  <c r="AA342" i="27"/>
  <c r="AT324" i="27"/>
  <c r="H321" i="30" s="1"/>
  <c r="AS340" i="27"/>
  <c r="AM341" i="27"/>
  <c r="S339" i="27"/>
  <c r="T339" i="27" s="1"/>
  <c r="G336" i="30"/>
  <c r="BF339" i="27"/>
  <c r="BL326" i="27"/>
  <c r="AX326" i="27"/>
  <c r="BE328" i="27"/>
  <c r="F325" i="30"/>
  <c r="B334" i="30"/>
  <c r="BB327" i="27"/>
  <c r="BC327" i="27"/>
  <c r="E324" i="30"/>
  <c r="BA327" i="27"/>
  <c r="AZ328" i="27"/>
  <c r="BD327" i="27"/>
  <c r="BG327" i="27" s="1"/>
  <c r="AY327" i="27"/>
  <c r="BI326" i="27"/>
  <c r="BH326" i="27"/>
  <c r="D326" i="30"/>
  <c r="I326" i="30" s="1"/>
  <c r="BJ325" i="27"/>
  <c r="BK325" i="27" s="1"/>
  <c r="AO340" i="27" l="1"/>
  <c r="AN341" i="27"/>
  <c r="AP340" i="27"/>
  <c r="AQ339" i="27"/>
  <c r="AR339" i="27" s="1"/>
  <c r="AE339" i="27"/>
  <c r="AF339" i="27" s="1"/>
  <c r="AD340" i="27"/>
  <c r="AC340" i="27"/>
  <c r="AE340" i="27" s="1"/>
  <c r="AF340" i="27" s="1"/>
  <c r="AB341" i="27"/>
  <c r="B341" i="27"/>
  <c r="AU340" i="27"/>
  <c r="U340" i="27"/>
  <c r="O341" i="27"/>
  <c r="AG342" i="27"/>
  <c r="AA343" i="27"/>
  <c r="I341" i="27"/>
  <c r="AM342" i="27"/>
  <c r="AS341" i="27"/>
  <c r="S340" i="27"/>
  <c r="T340" i="27" s="1"/>
  <c r="AT325" i="27"/>
  <c r="H322" i="30" s="1"/>
  <c r="BF340" i="27"/>
  <c r="G337" i="30"/>
  <c r="P342" i="27"/>
  <c r="R341" i="27"/>
  <c r="Q341" i="27"/>
  <c r="S341" i="27" s="1"/>
  <c r="T341" i="27" s="1"/>
  <c r="BL327" i="27"/>
  <c r="BE329" i="27"/>
  <c r="F326" i="30"/>
  <c r="BB328" i="27"/>
  <c r="BC328" i="27"/>
  <c r="BL328" i="27" s="1"/>
  <c r="E325" i="30"/>
  <c r="AX327" i="27"/>
  <c r="B335" i="30"/>
  <c r="AZ329" i="27"/>
  <c r="BJ326" i="27"/>
  <c r="BK326" i="27" s="1"/>
  <c r="BI327" i="27"/>
  <c r="BH327" i="27"/>
  <c r="BD328" i="27"/>
  <c r="BG328" i="27" s="1"/>
  <c r="D327" i="30"/>
  <c r="I327" i="30" s="1"/>
  <c r="AY328" i="27"/>
  <c r="BA328" i="27"/>
  <c r="AN342" i="27" l="1"/>
  <c r="AP341" i="27"/>
  <c r="AO341" i="27"/>
  <c r="AQ341" i="27" s="1"/>
  <c r="AR341" i="27" s="1"/>
  <c r="AQ340" i="27"/>
  <c r="AR340" i="27" s="1"/>
  <c r="AC341" i="27"/>
  <c r="AB342" i="27"/>
  <c r="AD341" i="27"/>
  <c r="O342" i="27"/>
  <c r="U341" i="27"/>
  <c r="B342" i="27"/>
  <c r="AU341" i="27"/>
  <c r="I342" i="27"/>
  <c r="BF341" i="27"/>
  <c r="G338" i="30"/>
  <c r="AA344" i="27"/>
  <c r="AG343" i="27"/>
  <c r="Q342" i="27"/>
  <c r="R342" i="27"/>
  <c r="P343" i="27"/>
  <c r="H323" i="30"/>
  <c r="AT326" i="27"/>
  <c r="AM343" i="27"/>
  <c r="AS342" i="27"/>
  <c r="BJ327" i="27"/>
  <c r="BK327" i="27" s="1"/>
  <c r="BE330" i="27"/>
  <c r="F327" i="30"/>
  <c r="B336" i="30"/>
  <c r="BB329" i="27"/>
  <c r="BC329" i="27"/>
  <c r="BL329" i="27" s="1"/>
  <c r="E326" i="30"/>
  <c r="BA329" i="27"/>
  <c r="AY329" i="27"/>
  <c r="AZ330" i="27"/>
  <c r="BH328" i="27"/>
  <c r="BI328" i="27"/>
  <c r="BD329" i="27"/>
  <c r="BG329" i="27" s="1"/>
  <c r="D328" i="30"/>
  <c r="I328" i="30" s="1"/>
  <c r="AX328" i="27"/>
  <c r="AP342" i="27" l="1"/>
  <c r="AO342" i="27"/>
  <c r="AQ342" i="27" s="1"/>
  <c r="AR342" i="27" s="1"/>
  <c r="AN343" i="27"/>
  <c r="AC342" i="27"/>
  <c r="AD342" i="27"/>
  <c r="AB343" i="27"/>
  <c r="AE341" i="27"/>
  <c r="AF341" i="27" s="1"/>
  <c r="S342" i="27"/>
  <c r="T342" i="27" s="1"/>
  <c r="B343" i="27"/>
  <c r="AU342" i="27"/>
  <c r="U342" i="27"/>
  <c r="O343" i="27"/>
  <c r="I343" i="27"/>
  <c r="AG344" i="27"/>
  <c r="AA345" i="27"/>
  <c r="AT327" i="27"/>
  <c r="H324" i="30" s="1"/>
  <c r="G339" i="30"/>
  <c r="BF342" i="27"/>
  <c r="AM344" i="27"/>
  <c r="AS343" i="27"/>
  <c r="P344" i="27"/>
  <c r="R343" i="27"/>
  <c r="Q343" i="27"/>
  <c r="AZ331" i="27"/>
  <c r="AX329" i="27"/>
  <c r="BE331" i="27"/>
  <c r="F328" i="30"/>
  <c r="BB330" i="27"/>
  <c r="BC330" i="27"/>
  <c r="E327" i="30"/>
  <c r="B337" i="30"/>
  <c r="BA330" i="27"/>
  <c r="AY330" i="27"/>
  <c r="BI329" i="27"/>
  <c r="BH329" i="27"/>
  <c r="BJ328" i="27"/>
  <c r="BK328" i="27" s="1"/>
  <c r="BD330" i="27"/>
  <c r="BG330" i="27" s="1"/>
  <c r="D329" i="30"/>
  <c r="I329" i="30" s="1"/>
  <c r="AO343" i="27" l="1"/>
  <c r="AN344" i="27"/>
  <c r="AP343" i="27"/>
  <c r="AB344" i="27"/>
  <c r="AC343" i="27"/>
  <c r="AD343" i="27"/>
  <c r="AE342" i="27"/>
  <c r="AF342" i="27" s="1"/>
  <c r="U343" i="27"/>
  <c r="O344" i="27"/>
  <c r="S343" i="27"/>
  <c r="T343" i="27" s="1"/>
  <c r="B344" i="27"/>
  <c r="AU343" i="27"/>
  <c r="AG345" i="27"/>
  <c r="AA346" i="27"/>
  <c r="AT328" i="27"/>
  <c r="H325" i="30" s="1"/>
  <c r="AM345" i="27"/>
  <c r="AS344" i="27"/>
  <c r="Q344" i="27"/>
  <c r="P345" i="27"/>
  <c r="R344" i="27"/>
  <c r="I344" i="27"/>
  <c r="BF343" i="27"/>
  <c r="G340" i="30"/>
  <c r="BL330" i="27"/>
  <c r="BE332" i="27"/>
  <c r="F329" i="30"/>
  <c r="BC331" i="27"/>
  <c r="BL331" i="27" s="1"/>
  <c r="BB331" i="27"/>
  <c r="E328" i="30"/>
  <c r="B338" i="30"/>
  <c r="AX330" i="27"/>
  <c r="BJ329" i="27"/>
  <c r="BK329" i="27" s="1"/>
  <c r="BA331" i="27"/>
  <c r="AZ332" i="27"/>
  <c r="BD331" i="27"/>
  <c r="BG331" i="27" s="1"/>
  <c r="BI330" i="27"/>
  <c r="BH330" i="27"/>
  <c r="D330" i="30"/>
  <c r="I330" i="30" s="1"/>
  <c r="AY331" i="27"/>
  <c r="AN345" i="27" l="1"/>
  <c r="AP344" i="27"/>
  <c r="AO344" i="27"/>
  <c r="AQ344" i="27" s="1"/>
  <c r="AR344" i="27" s="1"/>
  <c r="AQ343" i="27"/>
  <c r="AR343" i="27" s="1"/>
  <c r="AE343" i="27"/>
  <c r="AF343" i="27" s="1"/>
  <c r="AB345" i="27"/>
  <c r="AC344" i="27"/>
  <c r="AD344" i="27"/>
  <c r="B345" i="27"/>
  <c r="AU344" i="27"/>
  <c r="O345" i="27"/>
  <c r="U344" i="27"/>
  <c r="I345" i="27"/>
  <c r="R345" i="27"/>
  <c r="Q345" i="27"/>
  <c r="S345" i="27" s="1"/>
  <c r="T345" i="27" s="1"/>
  <c r="P346" i="27"/>
  <c r="AG346" i="27"/>
  <c r="AA347" i="27"/>
  <c r="S344" i="27"/>
  <c r="T344" i="27" s="1"/>
  <c r="AM346" i="27"/>
  <c r="AS345" i="27"/>
  <c r="AT329" i="27"/>
  <c r="H326" i="30" s="1"/>
  <c r="G341" i="30"/>
  <c r="BF344" i="27"/>
  <c r="AX331" i="27"/>
  <c r="BE333" i="27"/>
  <c r="F330" i="30"/>
  <c r="BA332" i="27"/>
  <c r="BB332" i="27"/>
  <c r="BC332" i="27"/>
  <c r="BL332" i="27" s="1"/>
  <c r="E329" i="30"/>
  <c r="B339" i="30"/>
  <c r="AZ333" i="27"/>
  <c r="BJ330" i="27"/>
  <c r="BK330" i="27" s="1"/>
  <c r="BD332" i="27"/>
  <c r="BG332" i="27" s="1"/>
  <c r="D331" i="30"/>
  <c r="I331" i="30" s="1"/>
  <c r="BI331" i="27"/>
  <c r="BH331" i="27"/>
  <c r="AY332" i="27"/>
  <c r="AO345" i="27" l="1"/>
  <c r="AN346" i="27"/>
  <c r="AP345" i="27"/>
  <c r="AE344" i="27"/>
  <c r="AF344" i="27" s="1"/>
  <c r="AC345" i="27"/>
  <c r="AD345" i="27"/>
  <c r="AB346" i="27"/>
  <c r="O346" i="27"/>
  <c r="U345" i="27"/>
  <c r="B346" i="27"/>
  <c r="AU345" i="27"/>
  <c r="AT330" i="27"/>
  <c r="H327" i="30" s="1"/>
  <c r="P347" i="27"/>
  <c r="Q346" i="27"/>
  <c r="R346" i="27"/>
  <c r="BF345" i="27"/>
  <c r="G342" i="30"/>
  <c r="AM347" i="27"/>
  <c r="AS346" i="27"/>
  <c r="AG347" i="27"/>
  <c r="AA348" i="27"/>
  <c r="I346" i="27"/>
  <c r="AX332" i="27"/>
  <c r="BE334" i="27"/>
  <c r="F331" i="30"/>
  <c r="B340" i="30"/>
  <c r="BC333" i="27"/>
  <c r="BB333" i="27"/>
  <c r="E330" i="30"/>
  <c r="BA333" i="27"/>
  <c r="D332" i="30"/>
  <c r="I332" i="30" s="1"/>
  <c r="BI332" i="27"/>
  <c r="BH332" i="27"/>
  <c r="AY333" i="27"/>
  <c r="AZ334" i="27"/>
  <c r="BJ331" i="27"/>
  <c r="BK331" i="27" s="1"/>
  <c r="BD333" i="27"/>
  <c r="BG333" i="27" s="1"/>
  <c r="AO346" i="27" l="1"/>
  <c r="AN347" i="27"/>
  <c r="AP346" i="27"/>
  <c r="AQ345" i="27"/>
  <c r="AR345" i="27" s="1"/>
  <c r="AD346" i="27"/>
  <c r="AC346" i="27"/>
  <c r="AE346" i="27" s="1"/>
  <c r="AF346" i="27" s="1"/>
  <c r="AB347" i="27"/>
  <c r="AE345" i="27"/>
  <c r="AF345" i="27" s="1"/>
  <c r="B347" i="27"/>
  <c r="AU346" i="27"/>
  <c r="O347" i="27"/>
  <c r="U346" i="27"/>
  <c r="I347" i="27"/>
  <c r="S346" i="27"/>
  <c r="T346" i="27" s="1"/>
  <c r="AA349" i="27"/>
  <c r="AG348" i="27"/>
  <c r="Q347" i="27"/>
  <c r="R347" i="27"/>
  <c r="P348" i="27"/>
  <c r="BF346" i="27"/>
  <c r="G343" i="30"/>
  <c r="AM348" i="27"/>
  <c r="AS347" i="27"/>
  <c r="AT331" i="27"/>
  <c r="H328" i="30" s="1"/>
  <c r="BL333" i="27"/>
  <c r="AX333" i="27"/>
  <c r="BE335" i="27"/>
  <c r="F332" i="30"/>
  <c r="BB334" i="27"/>
  <c r="BC334" i="27"/>
  <c r="BL334" i="27" s="1"/>
  <c r="E331" i="30"/>
  <c r="B341" i="30"/>
  <c r="AZ335" i="27"/>
  <c r="BD334" i="27"/>
  <c r="BG334" i="27" s="1"/>
  <c r="BA334" i="27"/>
  <c r="BJ332" i="27"/>
  <c r="BK332" i="27" s="1"/>
  <c r="BI333" i="27"/>
  <c r="BH333" i="27"/>
  <c r="D333" i="30"/>
  <c r="I333" i="30" s="1"/>
  <c r="AY334" i="27"/>
  <c r="AP347" i="27" l="1"/>
  <c r="AN348" i="27"/>
  <c r="AO347" i="27"/>
  <c r="AQ347" i="27" s="1"/>
  <c r="AR347" i="27" s="1"/>
  <c r="AQ346" i="27"/>
  <c r="AR346" i="27" s="1"/>
  <c r="AB348" i="27"/>
  <c r="AD347" i="27"/>
  <c r="AC347" i="27"/>
  <c r="AE347" i="27" s="1"/>
  <c r="AF347" i="27" s="1"/>
  <c r="O348" i="27"/>
  <c r="U347" i="27"/>
  <c r="B348" i="27"/>
  <c r="AU347" i="27"/>
  <c r="Q348" i="27"/>
  <c r="R348" i="27"/>
  <c r="P349" i="27"/>
  <c r="AM349" i="27"/>
  <c r="AS348" i="27"/>
  <c r="I348" i="27"/>
  <c r="AT332" i="27"/>
  <c r="H329" i="30" s="1"/>
  <c r="S347" i="27"/>
  <c r="T347" i="27" s="1"/>
  <c r="AA350" i="27"/>
  <c r="AG349" i="27"/>
  <c r="BF347" i="27"/>
  <c r="G344" i="30"/>
  <c r="AY335" i="27"/>
  <c r="BE336" i="27"/>
  <c r="F333" i="30"/>
  <c r="AZ336" i="27"/>
  <c r="BB335" i="27"/>
  <c r="BC335" i="27"/>
  <c r="BL335" i="27" s="1"/>
  <c r="E332" i="30"/>
  <c r="B342" i="30"/>
  <c r="BJ333" i="27"/>
  <c r="BK333" i="27" s="1"/>
  <c r="BD335" i="27"/>
  <c r="BG335" i="27" s="1"/>
  <c r="D334" i="30"/>
  <c r="I334" i="30" s="1"/>
  <c r="AX334" i="27"/>
  <c r="BA335" i="27"/>
  <c r="BI334" i="27"/>
  <c r="BH334" i="27"/>
  <c r="AP348" i="27" l="1"/>
  <c r="AN349" i="27"/>
  <c r="AO348" i="27"/>
  <c r="AQ348" i="27" s="1"/>
  <c r="AR348" i="27" s="1"/>
  <c r="AC348" i="27"/>
  <c r="AD348" i="27"/>
  <c r="AB349" i="27"/>
  <c r="B349" i="27"/>
  <c r="AU348" i="27"/>
  <c r="U348" i="27"/>
  <c r="O349" i="27"/>
  <c r="I349" i="27"/>
  <c r="AG350" i="27"/>
  <c r="AA351" i="27"/>
  <c r="AM350" i="27"/>
  <c r="AS349" i="27"/>
  <c r="Q349" i="27"/>
  <c r="S349" i="27" s="1"/>
  <c r="T349" i="27" s="1"/>
  <c r="R349" i="27"/>
  <c r="P350" i="27"/>
  <c r="AT333" i="27"/>
  <c r="H330" i="30" s="1"/>
  <c r="BF348" i="27"/>
  <c r="G345" i="30"/>
  <c r="AX335" i="27"/>
  <c r="S348" i="27"/>
  <c r="T348" i="27" s="1"/>
  <c r="AY336" i="27"/>
  <c r="BE337" i="27"/>
  <c r="F334" i="30"/>
  <c r="B343" i="30"/>
  <c r="BC336" i="27"/>
  <c r="BB336" i="27"/>
  <c r="E333" i="30"/>
  <c r="BA336" i="27"/>
  <c r="BA337" i="27"/>
  <c r="D335" i="30"/>
  <c r="I335" i="30" s="1"/>
  <c r="AZ337" i="27"/>
  <c r="BH335" i="27"/>
  <c r="BI335" i="27"/>
  <c r="BJ334" i="27"/>
  <c r="BK334" i="27" s="1"/>
  <c r="BD336" i="27"/>
  <c r="BG336" i="27" s="1"/>
  <c r="AN350" i="27" l="1"/>
  <c r="AP349" i="27"/>
  <c r="AO349" i="27"/>
  <c r="AQ349" i="27" s="1"/>
  <c r="AR349" i="27" s="1"/>
  <c r="AB350" i="27"/>
  <c r="AD349" i="27"/>
  <c r="AC349" i="27"/>
  <c r="AE349" i="27" s="1"/>
  <c r="AF349" i="27" s="1"/>
  <c r="AE348" i="27"/>
  <c r="AF348" i="27" s="1"/>
  <c r="O350" i="27"/>
  <c r="U349" i="27"/>
  <c r="B350" i="27"/>
  <c r="AU349" i="27"/>
  <c r="AX336" i="27"/>
  <c r="BF349" i="27"/>
  <c r="G346" i="30"/>
  <c r="AM351" i="27"/>
  <c r="AS350" i="27"/>
  <c r="AG351" i="27"/>
  <c r="AA352" i="27"/>
  <c r="P351" i="27"/>
  <c r="Q350" i="27"/>
  <c r="R350" i="27"/>
  <c r="AT334" i="27"/>
  <c r="H331" i="30" s="1"/>
  <c r="I350" i="27"/>
  <c r="BL336" i="27"/>
  <c r="BE338" i="27"/>
  <c r="F335" i="30"/>
  <c r="BC337" i="27"/>
  <c r="BB337" i="27"/>
  <c r="E334" i="30"/>
  <c r="B344" i="30"/>
  <c r="BJ335" i="27"/>
  <c r="BK335" i="27" s="1"/>
  <c r="AZ338" i="27"/>
  <c r="AY337" i="27"/>
  <c r="AX337" i="27" s="1"/>
  <c r="D336" i="30"/>
  <c r="I336" i="30" s="1"/>
  <c r="BI336" i="27"/>
  <c r="BH336" i="27"/>
  <c r="BD337" i="27"/>
  <c r="BG337" i="27" s="1"/>
  <c r="AO350" i="27" l="1"/>
  <c r="AN351" i="27"/>
  <c r="AP350" i="27"/>
  <c r="AD350" i="27"/>
  <c r="AB351" i="27"/>
  <c r="AC350" i="27"/>
  <c r="AE350" i="27" s="1"/>
  <c r="AF350" i="27" s="1"/>
  <c r="B351" i="27"/>
  <c r="AU350" i="27"/>
  <c r="O351" i="27"/>
  <c r="U350" i="27"/>
  <c r="AT335" i="27"/>
  <c r="H332" i="30" s="1"/>
  <c r="AA353" i="27"/>
  <c r="AG352" i="27"/>
  <c r="I351" i="27"/>
  <c r="P352" i="27"/>
  <c r="Q351" i="27"/>
  <c r="R351" i="27"/>
  <c r="S350" i="27"/>
  <c r="T350" i="27" s="1"/>
  <c r="BF350" i="27"/>
  <c r="G347" i="30"/>
  <c r="AM352" i="27"/>
  <c r="AS351" i="27"/>
  <c r="BL337" i="27"/>
  <c r="BE339" i="27"/>
  <c r="F336" i="30"/>
  <c r="BB338" i="27"/>
  <c r="BC338" i="27"/>
  <c r="BL338" i="27" s="1"/>
  <c r="E335" i="30"/>
  <c r="B345" i="30"/>
  <c r="BJ336" i="27"/>
  <c r="BK336" i="27" s="1"/>
  <c r="BA338" i="27"/>
  <c r="D337" i="30"/>
  <c r="I337" i="30" s="1"/>
  <c r="BI337" i="27"/>
  <c r="BH337" i="27"/>
  <c r="BD338" i="27"/>
  <c r="BG338" i="27" s="1"/>
  <c r="AZ339" i="27"/>
  <c r="AY338" i="27"/>
  <c r="AN352" i="27" l="1"/>
  <c r="AO351" i="27"/>
  <c r="AP351" i="27"/>
  <c r="AQ350" i="27"/>
  <c r="AR350" i="27" s="1"/>
  <c r="AD351" i="27"/>
  <c r="AC351" i="27"/>
  <c r="AE351" i="27" s="1"/>
  <c r="AF351" i="27" s="1"/>
  <c r="AB352" i="27"/>
  <c r="U351" i="27"/>
  <c r="O352" i="27"/>
  <c r="B352" i="27"/>
  <c r="AU351" i="27"/>
  <c r="S351" i="27"/>
  <c r="T351" i="27" s="1"/>
  <c r="Q352" i="27"/>
  <c r="R352" i="27"/>
  <c r="P353" i="27"/>
  <c r="I352" i="27"/>
  <c r="AA354" i="27"/>
  <c r="AG353" i="27"/>
  <c r="AT336" i="27"/>
  <c r="H333" i="30" s="1"/>
  <c r="BF351" i="27"/>
  <c r="G348" i="30"/>
  <c r="AS352" i="27"/>
  <c r="AM353" i="27"/>
  <c r="BJ337" i="27"/>
  <c r="BK337" i="27" s="1"/>
  <c r="BE340" i="27"/>
  <c r="F337" i="30"/>
  <c r="BC339" i="27"/>
  <c r="BL339" i="27" s="1"/>
  <c r="BB339" i="27"/>
  <c r="E336" i="30"/>
  <c r="B346" i="30"/>
  <c r="AX338" i="27"/>
  <c r="AY339" i="27"/>
  <c r="AZ340" i="27"/>
  <c r="BA339" i="27"/>
  <c r="BD339" i="27"/>
  <c r="BG339" i="27" s="1"/>
  <c r="BI338" i="27"/>
  <c r="BH338" i="27"/>
  <c r="D338" i="30"/>
  <c r="I338" i="30" s="1"/>
  <c r="AQ351" i="27" l="1"/>
  <c r="AR351" i="27" s="1"/>
  <c r="AP352" i="27"/>
  <c r="AO352" i="27"/>
  <c r="AN353" i="27"/>
  <c r="AB353" i="27"/>
  <c r="AC352" i="27"/>
  <c r="AD352" i="27"/>
  <c r="B353" i="27"/>
  <c r="AU352" i="27"/>
  <c r="U352" i="27"/>
  <c r="O353" i="27"/>
  <c r="AA355" i="27"/>
  <c r="AG354" i="27"/>
  <c r="AM354" i="27"/>
  <c r="AS353" i="27"/>
  <c r="P354" i="27"/>
  <c r="Q353" i="27"/>
  <c r="R353" i="27"/>
  <c r="I353" i="27"/>
  <c r="BF352" i="27"/>
  <c r="G349" i="30"/>
  <c r="S352" i="27"/>
  <c r="T352" i="27" s="1"/>
  <c r="AT337" i="27"/>
  <c r="H334" i="30" s="1"/>
  <c r="BA340" i="27"/>
  <c r="BE341" i="27"/>
  <c r="F338" i="30"/>
  <c r="BB340" i="27"/>
  <c r="BC340" i="27"/>
  <c r="BL340" i="27" s="1"/>
  <c r="E337" i="30"/>
  <c r="B347" i="30"/>
  <c r="BJ338" i="27"/>
  <c r="BK338" i="27" s="1"/>
  <c r="AY340" i="27"/>
  <c r="AX340" i="27" s="1"/>
  <c r="AZ341" i="27"/>
  <c r="BD340" i="27"/>
  <c r="BG340" i="27" s="1"/>
  <c r="BI339" i="27"/>
  <c r="BH339" i="27"/>
  <c r="D339" i="30"/>
  <c r="I339" i="30" s="1"/>
  <c r="AX339" i="27"/>
  <c r="AN354" i="27" l="1"/>
  <c r="AO353" i="27"/>
  <c r="AP353" i="27"/>
  <c r="AQ352" i="27"/>
  <c r="AR352" i="27" s="1"/>
  <c r="AE352" i="27"/>
  <c r="AF352" i="27" s="1"/>
  <c r="AB354" i="27"/>
  <c r="AC353" i="27"/>
  <c r="AD353" i="27"/>
  <c r="O354" i="27"/>
  <c r="U353" i="27"/>
  <c r="B354" i="27"/>
  <c r="AU353" i="27"/>
  <c r="Q354" i="27"/>
  <c r="P355" i="27"/>
  <c r="R354" i="27"/>
  <c r="AT338" i="27"/>
  <c r="H335" i="30" s="1"/>
  <c r="G350" i="30"/>
  <c r="BF353" i="27"/>
  <c r="I354" i="27"/>
  <c r="AM355" i="27"/>
  <c r="AS354" i="27"/>
  <c r="S353" i="27"/>
  <c r="T353" i="27" s="1"/>
  <c r="AG355" i="27"/>
  <c r="AA356" i="27"/>
  <c r="AZ342" i="27"/>
  <c r="BA341" i="27"/>
  <c r="BE342" i="27"/>
  <c r="F339" i="30"/>
  <c r="B348" i="30"/>
  <c r="BC341" i="27"/>
  <c r="BB341" i="27"/>
  <c r="E338" i="30"/>
  <c r="BJ339" i="27"/>
  <c r="BK339" i="27" s="1"/>
  <c r="BI340" i="27"/>
  <c r="BH340" i="27"/>
  <c r="D340" i="30"/>
  <c r="I340" i="30" s="1"/>
  <c r="AY341" i="27"/>
  <c r="BD341" i="27"/>
  <c r="BG341" i="27" s="1"/>
  <c r="AQ353" i="27" l="1"/>
  <c r="AR353" i="27" s="1"/>
  <c r="AN355" i="27"/>
  <c r="AP354" i="27"/>
  <c r="AO354" i="27"/>
  <c r="AQ354" i="27" s="1"/>
  <c r="AR354" i="27" s="1"/>
  <c r="AE353" i="27"/>
  <c r="AF353" i="27" s="1"/>
  <c r="AD354" i="27"/>
  <c r="AB355" i="27"/>
  <c r="AC354" i="27"/>
  <c r="AE354" i="27" s="1"/>
  <c r="AF354" i="27" s="1"/>
  <c r="B355" i="27"/>
  <c r="AU354" i="27"/>
  <c r="AX341" i="27"/>
  <c r="O355" i="27"/>
  <c r="U354" i="27"/>
  <c r="BF354" i="27"/>
  <c r="G351" i="30"/>
  <c r="AM356" i="27"/>
  <c r="AS355" i="27"/>
  <c r="AT339" i="27"/>
  <c r="H336" i="30" s="1"/>
  <c r="I355" i="27"/>
  <c r="AG356" i="27"/>
  <c r="AA357" i="27"/>
  <c r="R355" i="27"/>
  <c r="P356" i="27"/>
  <c r="Q355" i="27"/>
  <c r="S354" i="27"/>
  <c r="T354" i="27" s="1"/>
  <c r="BJ340" i="27"/>
  <c r="BK340" i="27" s="1"/>
  <c r="BL341" i="27"/>
  <c r="BE343" i="27"/>
  <c r="F340" i="30"/>
  <c r="BB342" i="27"/>
  <c r="BC342" i="27"/>
  <c r="E339" i="30"/>
  <c r="B349" i="30"/>
  <c r="BA342" i="27"/>
  <c r="AZ343" i="27"/>
  <c r="D341" i="30"/>
  <c r="I341" i="30" s="1"/>
  <c r="BD342" i="27"/>
  <c r="BG342" i="27" s="1"/>
  <c r="AY342" i="27"/>
  <c r="BI341" i="27"/>
  <c r="BH341" i="27"/>
  <c r="AN356" i="27" l="1"/>
  <c r="AO355" i="27"/>
  <c r="AP355" i="27"/>
  <c r="AD355" i="27"/>
  <c r="AB356" i="27"/>
  <c r="AC355" i="27"/>
  <c r="AE355" i="27" s="1"/>
  <c r="AF355" i="27" s="1"/>
  <c r="U355" i="27"/>
  <c r="O356" i="27"/>
  <c r="S355" i="27"/>
  <c r="T355" i="27" s="1"/>
  <c r="B356" i="27"/>
  <c r="AU355" i="27"/>
  <c r="AT340" i="27"/>
  <c r="H337" i="30" s="1"/>
  <c r="AA358" i="27"/>
  <c r="AG357" i="27"/>
  <c r="AM357" i="27"/>
  <c r="AS356" i="27"/>
  <c r="I356" i="27"/>
  <c r="G352" i="30"/>
  <c r="BF355" i="27"/>
  <c r="P357" i="27"/>
  <c r="Q356" i="27"/>
  <c r="R356" i="27"/>
  <c r="BL342" i="27"/>
  <c r="BE344" i="27"/>
  <c r="F341" i="30"/>
  <c r="AZ344" i="27"/>
  <c r="B350" i="30"/>
  <c r="BB343" i="27"/>
  <c r="BC343" i="27"/>
  <c r="E340" i="30"/>
  <c r="AX342" i="27"/>
  <c r="BJ341" i="27"/>
  <c r="BK341" i="27" s="1"/>
  <c r="D342" i="30"/>
  <c r="I342" i="30" s="1"/>
  <c r="BH342" i="27"/>
  <c r="BI342" i="27"/>
  <c r="AY343" i="27"/>
  <c r="BD343" i="27"/>
  <c r="BG343" i="27" s="1"/>
  <c r="BA343" i="27"/>
  <c r="AQ355" i="27" l="1"/>
  <c r="AR355" i="27" s="1"/>
  <c r="AO356" i="27"/>
  <c r="AN357" i="27"/>
  <c r="AP356" i="27"/>
  <c r="AD356" i="27"/>
  <c r="AC356" i="27"/>
  <c r="AE356" i="27" s="1"/>
  <c r="AF356" i="27" s="1"/>
  <c r="AB357" i="27"/>
  <c r="B357" i="27"/>
  <c r="AU356" i="27"/>
  <c r="U356" i="27"/>
  <c r="O357" i="27"/>
  <c r="I357" i="27"/>
  <c r="AM358" i="27"/>
  <c r="AS357" i="27"/>
  <c r="S356" i="27"/>
  <c r="T356" i="27" s="1"/>
  <c r="P358" i="27"/>
  <c r="R357" i="27"/>
  <c r="Q357" i="27"/>
  <c r="BF356" i="27"/>
  <c r="G353" i="30"/>
  <c r="AA359" i="27"/>
  <c r="AG358" i="27"/>
  <c r="AT341" i="27"/>
  <c r="H338" i="30" s="1"/>
  <c r="BL343" i="27"/>
  <c r="BE345" i="27"/>
  <c r="F342" i="30"/>
  <c r="BB344" i="27"/>
  <c r="BC344" i="27"/>
  <c r="E341" i="30"/>
  <c r="AX343" i="27"/>
  <c r="B351" i="30"/>
  <c r="AZ345" i="27"/>
  <c r="AY344" i="27"/>
  <c r="BD344" i="27"/>
  <c r="BG344" i="27" s="1"/>
  <c r="BA344" i="27"/>
  <c r="BJ342" i="27"/>
  <c r="BK342" i="27" s="1"/>
  <c r="D343" i="30"/>
  <c r="I343" i="30" s="1"/>
  <c r="BI343" i="27"/>
  <c r="BH343" i="27"/>
  <c r="AN358" i="27" l="1"/>
  <c r="AP357" i="27"/>
  <c r="AO357" i="27"/>
  <c r="AQ357" i="27" s="1"/>
  <c r="AR357" i="27" s="1"/>
  <c r="AQ356" i="27"/>
  <c r="AR356" i="27" s="1"/>
  <c r="AD357" i="27"/>
  <c r="AB358" i="27"/>
  <c r="AC357" i="27"/>
  <c r="AE357" i="27" s="1"/>
  <c r="AF357" i="27" s="1"/>
  <c r="O358" i="27"/>
  <c r="U357" i="27"/>
  <c r="B358" i="27"/>
  <c r="AU357" i="27"/>
  <c r="I358" i="27"/>
  <c r="AA360" i="27"/>
  <c r="AG359" i="27"/>
  <c r="Q358" i="27"/>
  <c r="R358" i="27"/>
  <c r="P359" i="27"/>
  <c r="BF357" i="27"/>
  <c r="G354" i="30"/>
  <c r="S357" i="27"/>
  <c r="T357" i="27" s="1"/>
  <c r="AS358" i="27"/>
  <c r="AM359" i="27"/>
  <c r="AT342" i="27"/>
  <c r="H339" i="30" s="1"/>
  <c r="BL344" i="27"/>
  <c r="AX344" i="27"/>
  <c r="BE346" i="27"/>
  <c r="F343" i="30"/>
  <c r="BB345" i="27"/>
  <c r="BC345" i="27"/>
  <c r="BL345" i="27" s="1"/>
  <c r="E342" i="30"/>
  <c r="B352" i="30"/>
  <c r="BA345" i="27"/>
  <c r="AY345" i="27"/>
  <c r="BJ343" i="27"/>
  <c r="BK343" i="27" s="1"/>
  <c r="BD345" i="27"/>
  <c r="BG345" i="27" s="1"/>
  <c r="BH344" i="27"/>
  <c r="BI344" i="27"/>
  <c r="AZ346" i="27"/>
  <c r="D344" i="30"/>
  <c r="I344" i="30" s="1"/>
  <c r="AN359" i="27" l="1"/>
  <c r="AP358" i="27"/>
  <c r="AO358" i="27"/>
  <c r="AQ358" i="27" s="1"/>
  <c r="AR358" i="27" s="1"/>
  <c r="AB359" i="27"/>
  <c r="AC358" i="27"/>
  <c r="AD358" i="27"/>
  <c r="B359" i="27"/>
  <c r="AU358" i="27"/>
  <c r="O359" i="27"/>
  <c r="U358" i="27"/>
  <c r="BF358" i="27"/>
  <c r="G355" i="30"/>
  <c r="Q359" i="27"/>
  <c r="R359" i="27"/>
  <c r="P360" i="27"/>
  <c r="AA361" i="27"/>
  <c r="AG360" i="27"/>
  <c r="AT343" i="27"/>
  <c r="H340" i="30" s="1"/>
  <c r="I359" i="27"/>
  <c r="AM360" i="27"/>
  <c r="AS359" i="27"/>
  <c r="S358" i="27"/>
  <c r="T358" i="27" s="1"/>
  <c r="AX345" i="27"/>
  <c r="BE347" i="27"/>
  <c r="F344" i="30"/>
  <c r="B353" i="30"/>
  <c r="BB346" i="27"/>
  <c r="BC346" i="27"/>
  <c r="E343" i="30"/>
  <c r="BA346" i="27"/>
  <c r="AY346" i="27"/>
  <c r="BJ344" i="27"/>
  <c r="BK344" i="27" s="1"/>
  <c r="AZ347" i="27"/>
  <c r="BD346" i="27"/>
  <c r="BG346" i="27" s="1"/>
  <c r="BI345" i="27"/>
  <c r="BH345" i="27"/>
  <c r="D345" i="30"/>
  <c r="I345" i="30" s="1"/>
  <c r="AO359" i="27" l="1"/>
  <c r="AP359" i="27"/>
  <c r="AN360" i="27"/>
  <c r="AE358" i="27"/>
  <c r="AF358" i="27" s="1"/>
  <c r="AB360" i="27"/>
  <c r="AC359" i="27"/>
  <c r="AD359" i="27"/>
  <c r="O360" i="27"/>
  <c r="U359" i="27"/>
  <c r="B360" i="27"/>
  <c r="AU359" i="27"/>
  <c r="Q360" i="27"/>
  <c r="R360" i="27"/>
  <c r="P361" i="27"/>
  <c r="I360" i="27"/>
  <c r="AT344" i="27"/>
  <c r="H341" i="30" s="1"/>
  <c r="G356" i="30"/>
  <c r="BF359" i="27"/>
  <c r="S359" i="27"/>
  <c r="T359" i="27" s="1"/>
  <c r="AM361" i="27"/>
  <c r="AS360" i="27"/>
  <c r="AA362" i="27"/>
  <c r="AG361" i="27"/>
  <c r="BL346" i="27"/>
  <c r="AY347" i="27"/>
  <c r="BE348" i="27"/>
  <c r="F345" i="30"/>
  <c r="BC347" i="27"/>
  <c r="BB347" i="27"/>
  <c r="E344" i="30"/>
  <c r="AX346" i="27"/>
  <c r="B354" i="30"/>
  <c r="AZ348" i="27"/>
  <c r="BJ345" i="27"/>
  <c r="BK345" i="27" s="1"/>
  <c r="BD347" i="27"/>
  <c r="BG347" i="27" s="1"/>
  <c r="D346" i="30"/>
  <c r="I346" i="30" s="1"/>
  <c r="BA347" i="27"/>
  <c r="BI346" i="27"/>
  <c r="BH346" i="27"/>
  <c r="AP360" i="27" l="1"/>
  <c r="AO360" i="27"/>
  <c r="AQ360" i="27" s="1"/>
  <c r="AR360" i="27" s="1"/>
  <c r="AN361" i="27"/>
  <c r="AQ359" i="27"/>
  <c r="AR359" i="27" s="1"/>
  <c r="AE359" i="27"/>
  <c r="AF359" i="27" s="1"/>
  <c r="AC360" i="27"/>
  <c r="AD360" i="27"/>
  <c r="AB361" i="27"/>
  <c r="B361" i="27"/>
  <c r="AU360" i="27"/>
  <c r="U360" i="27"/>
  <c r="O361" i="27"/>
  <c r="AT345" i="27"/>
  <c r="H342" i="30" s="1"/>
  <c r="BF360" i="27"/>
  <c r="G357" i="30"/>
  <c r="AM362" i="27"/>
  <c r="AS361" i="27"/>
  <c r="I361" i="27"/>
  <c r="AA363" i="27"/>
  <c r="AG362" i="27"/>
  <c r="Q361" i="27"/>
  <c r="R361" i="27"/>
  <c r="P362" i="27"/>
  <c r="AX347" i="27"/>
  <c r="S360" i="27"/>
  <c r="T360" i="27" s="1"/>
  <c r="BL347" i="27"/>
  <c r="AY348" i="27"/>
  <c r="BE349" i="27"/>
  <c r="F346" i="30"/>
  <c r="BB348" i="27"/>
  <c r="BC348" i="27"/>
  <c r="BL348" i="27" s="1"/>
  <c r="E345" i="30"/>
  <c r="BA348" i="27"/>
  <c r="B355" i="30"/>
  <c r="BJ346" i="27"/>
  <c r="BK346" i="27" s="1"/>
  <c r="AZ349" i="27"/>
  <c r="D347" i="30"/>
  <c r="I347" i="30" s="1"/>
  <c r="BI347" i="27"/>
  <c r="BH347" i="27"/>
  <c r="BD348" i="27"/>
  <c r="BG348" i="27" s="1"/>
  <c r="AO361" i="27" l="1"/>
  <c r="AP361" i="27"/>
  <c r="AN362" i="27"/>
  <c r="AC361" i="27"/>
  <c r="AD361" i="27"/>
  <c r="AB362" i="27"/>
  <c r="AE360" i="27"/>
  <c r="AF360" i="27" s="1"/>
  <c r="U361" i="27"/>
  <c r="O362" i="27"/>
  <c r="S361" i="27"/>
  <c r="T361" i="27" s="1"/>
  <c r="B362" i="27"/>
  <c r="AU361" i="27"/>
  <c r="AX348" i="27"/>
  <c r="AM363" i="27"/>
  <c r="AS362" i="27"/>
  <c r="AT346" i="27"/>
  <c r="H343" i="30" s="1"/>
  <c r="G358" i="30"/>
  <c r="BF361" i="27"/>
  <c r="I362" i="27"/>
  <c r="Q362" i="27"/>
  <c r="R362" i="27"/>
  <c r="P363" i="27"/>
  <c r="AG363" i="27"/>
  <c r="AA364" i="27"/>
  <c r="BE350" i="27"/>
  <c r="F347" i="30"/>
  <c r="BB349" i="27"/>
  <c r="BC349" i="27"/>
  <c r="BL349" i="27" s="1"/>
  <c r="E346" i="30"/>
  <c r="B356" i="30"/>
  <c r="BJ347" i="27"/>
  <c r="BK347" i="27" s="1"/>
  <c r="BA349" i="27"/>
  <c r="BD349" i="27"/>
  <c r="BG349" i="27" s="1"/>
  <c r="BH348" i="27"/>
  <c r="BI348" i="27"/>
  <c r="D348" i="30"/>
  <c r="I348" i="30" s="1"/>
  <c r="AY349" i="27"/>
  <c r="AZ350" i="27"/>
  <c r="AP362" i="27" l="1"/>
  <c r="AO362" i="27"/>
  <c r="AQ362" i="27" s="1"/>
  <c r="AR362" i="27" s="1"/>
  <c r="AN363" i="27"/>
  <c r="AQ361" i="27"/>
  <c r="AR361" i="27" s="1"/>
  <c r="AB363" i="27"/>
  <c r="AC362" i="27"/>
  <c r="AD362" i="27"/>
  <c r="AE361" i="27"/>
  <c r="AF361" i="27" s="1"/>
  <c r="B363" i="27"/>
  <c r="AU362" i="27"/>
  <c r="U362" i="27"/>
  <c r="O363" i="27"/>
  <c r="I363" i="27"/>
  <c r="S362" i="27"/>
  <c r="T362" i="27" s="1"/>
  <c r="P364" i="27"/>
  <c r="R363" i="27"/>
  <c r="Q363" i="27"/>
  <c r="S363" i="27" s="1"/>
  <c r="T363" i="27" s="1"/>
  <c r="BF362" i="27"/>
  <c r="G359" i="30"/>
  <c r="AT347" i="27"/>
  <c r="H344" i="30" s="1"/>
  <c r="AG364" i="27"/>
  <c r="AA365" i="27"/>
  <c r="AM364" i="27"/>
  <c r="AS363" i="27"/>
  <c r="BE351" i="27"/>
  <c r="F348" i="30"/>
  <c r="AZ351" i="27"/>
  <c r="BB350" i="27"/>
  <c r="BC350" i="27"/>
  <c r="BL350" i="27" s="1"/>
  <c r="E347" i="30"/>
  <c r="B357" i="30"/>
  <c r="AX349" i="27"/>
  <c r="BA350" i="27"/>
  <c r="BJ348" i="27"/>
  <c r="BK348" i="27" s="1"/>
  <c r="BI349" i="27"/>
  <c r="BH349" i="27"/>
  <c r="BD350" i="27"/>
  <c r="BG350" i="27" s="1"/>
  <c r="AY350" i="27"/>
  <c r="D349" i="30"/>
  <c r="I349" i="30" s="1"/>
  <c r="AP363" i="27" l="1"/>
  <c r="AO363" i="27"/>
  <c r="AQ363" i="27" s="1"/>
  <c r="AR363" i="27" s="1"/>
  <c r="AN364" i="27"/>
  <c r="AE362" i="27"/>
  <c r="AF362" i="27" s="1"/>
  <c r="AC363" i="27"/>
  <c r="AD363" i="27"/>
  <c r="AB364" i="27"/>
  <c r="O364" i="27"/>
  <c r="U363" i="27"/>
  <c r="B364" i="27"/>
  <c r="AU363" i="27"/>
  <c r="AM365" i="27"/>
  <c r="AS364" i="27"/>
  <c r="BF363" i="27"/>
  <c r="G360" i="30"/>
  <c r="AT348" i="27"/>
  <c r="H345" i="30" s="1"/>
  <c r="I364" i="27"/>
  <c r="Q364" i="27"/>
  <c r="R364" i="27"/>
  <c r="P365" i="27"/>
  <c r="AG365" i="27"/>
  <c r="AA366" i="27"/>
  <c r="AX350" i="27"/>
  <c r="BE352" i="27"/>
  <c r="F349" i="30"/>
  <c r="B358" i="30"/>
  <c r="BC351" i="27"/>
  <c r="BL351" i="27" s="1"/>
  <c r="BB351" i="27"/>
  <c r="E348" i="30"/>
  <c r="BJ349" i="27"/>
  <c r="BK349" i="27" s="1"/>
  <c r="D350" i="30"/>
  <c r="I350" i="30" s="1"/>
  <c r="AZ352" i="27"/>
  <c r="BI350" i="27"/>
  <c r="BH350" i="27"/>
  <c r="BA351" i="27"/>
  <c r="AY351" i="27"/>
  <c r="BD351" i="27"/>
  <c r="BG351" i="27" s="1"/>
  <c r="AN365" i="27" l="1"/>
  <c r="AO364" i="27"/>
  <c r="AP364" i="27"/>
  <c r="AB365" i="27"/>
  <c r="AD364" i="27"/>
  <c r="AC364" i="27"/>
  <c r="AE364" i="27" s="1"/>
  <c r="AF364" i="27" s="1"/>
  <c r="AE363" i="27"/>
  <c r="AF363" i="27" s="1"/>
  <c r="B365" i="27"/>
  <c r="AU364" i="27"/>
  <c r="U364" i="27"/>
  <c r="O365" i="27"/>
  <c r="AT349" i="27"/>
  <c r="H346" i="30" s="1"/>
  <c r="AG366" i="27"/>
  <c r="AA367" i="27"/>
  <c r="I365" i="27"/>
  <c r="Q365" i="27"/>
  <c r="R365" i="27"/>
  <c r="P366" i="27"/>
  <c r="BF364" i="27"/>
  <c r="G361" i="30"/>
  <c r="AS365" i="27"/>
  <c r="AM366" i="27"/>
  <c r="S364" i="27"/>
  <c r="T364" i="27" s="1"/>
  <c r="BE353" i="27"/>
  <c r="F350" i="30"/>
  <c r="BB352" i="27"/>
  <c r="BC352" i="27"/>
  <c r="BL352" i="27" s="1"/>
  <c r="E349" i="30"/>
  <c r="B359" i="30"/>
  <c r="AZ353" i="27"/>
  <c r="BA352" i="27"/>
  <c r="BJ350" i="27"/>
  <c r="BK350" i="27" s="1"/>
  <c r="D351" i="30"/>
  <c r="I351" i="30" s="1"/>
  <c r="BD352" i="27"/>
  <c r="BG352" i="27" s="1"/>
  <c r="AX351" i="27"/>
  <c r="AY352" i="27"/>
  <c r="AZ354" i="27"/>
  <c r="BI351" i="27"/>
  <c r="BH351" i="27"/>
  <c r="AQ364" i="27" l="1"/>
  <c r="AR364" i="27" s="1"/>
  <c r="AN366" i="27"/>
  <c r="AO365" i="27"/>
  <c r="AP365" i="27"/>
  <c r="AD365" i="27"/>
  <c r="AB366" i="27"/>
  <c r="AC365" i="27"/>
  <c r="AE365" i="27" s="1"/>
  <c r="AF365" i="27" s="1"/>
  <c r="O366" i="27"/>
  <c r="U365" i="27"/>
  <c r="B366" i="27"/>
  <c r="AU365" i="27"/>
  <c r="AT350" i="27"/>
  <c r="H347" i="30" s="1"/>
  <c r="AA368" i="27"/>
  <c r="AA369" i="27" s="1"/>
  <c r="AA370" i="27" s="1"/>
  <c r="AA371" i="27" s="1"/>
  <c r="AA372" i="27" s="1"/>
  <c r="AA373" i="27" s="1"/>
  <c r="AA374" i="27" s="1"/>
  <c r="AA375" i="27" s="1"/>
  <c r="AA376" i="27" s="1"/>
  <c r="AA377" i="27" s="1"/>
  <c r="AA378" i="27" s="1"/>
  <c r="AA379" i="27" s="1"/>
  <c r="AA380" i="27" s="1"/>
  <c r="AA381" i="27" s="1"/>
  <c r="AA382" i="27" s="1"/>
  <c r="AA383" i="27" s="1"/>
  <c r="AA384" i="27" s="1"/>
  <c r="AA385" i="27" s="1"/>
  <c r="AA386" i="27" s="1"/>
  <c r="AA387" i="27" s="1"/>
  <c r="AA388" i="27" s="1"/>
  <c r="AA389" i="27" s="1"/>
  <c r="AA390" i="27" s="1"/>
  <c r="AA391" i="27" s="1"/>
  <c r="AA392" i="27" s="1"/>
  <c r="AA393" i="27" s="1"/>
  <c r="AA394" i="27" s="1"/>
  <c r="AA395" i="27" s="1"/>
  <c r="AA396" i="27" s="1"/>
  <c r="AA397" i="27" s="1"/>
  <c r="AA398" i="27" s="1"/>
  <c r="AA399" i="27" s="1"/>
  <c r="AA400" i="27" s="1"/>
  <c r="AA401" i="27" s="1"/>
  <c r="AA402" i="27" s="1"/>
  <c r="AA403" i="27" s="1"/>
  <c r="AA404" i="27" s="1"/>
  <c r="AA405" i="27" s="1"/>
  <c r="AA406" i="27" s="1"/>
  <c r="AA407" i="27" s="1"/>
  <c r="AA408" i="27" s="1"/>
  <c r="AA409" i="27" s="1"/>
  <c r="AA410" i="27" s="1"/>
  <c r="AA411" i="27" s="1"/>
  <c r="AA412" i="27" s="1"/>
  <c r="AA413" i="27" s="1"/>
  <c r="AA414" i="27" s="1"/>
  <c r="AA415" i="27" s="1"/>
  <c r="AA416" i="27" s="1"/>
  <c r="AA417" i="27" s="1"/>
  <c r="AA418" i="27" s="1"/>
  <c r="AA419" i="27" s="1"/>
  <c r="AA420" i="27" s="1"/>
  <c r="AA421" i="27" s="1"/>
  <c r="AA422" i="27" s="1"/>
  <c r="AA423" i="27" s="1"/>
  <c r="AA424" i="27" s="1"/>
  <c r="AA425" i="27" s="1"/>
  <c r="AA426" i="27" s="1"/>
  <c r="AA427" i="27" s="1"/>
  <c r="AA428" i="27" s="1"/>
  <c r="AA429" i="27" s="1"/>
  <c r="AA430" i="27" s="1"/>
  <c r="AA431" i="27" s="1"/>
  <c r="AA432" i="27" s="1"/>
  <c r="AA433" i="27" s="1"/>
  <c r="AA434" i="27" s="1"/>
  <c r="AA435" i="27" s="1"/>
  <c r="AA436" i="27" s="1"/>
  <c r="AA437" i="27" s="1"/>
  <c r="AA438" i="27" s="1"/>
  <c r="AA439" i="27" s="1"/>
  <c r="AA440" i="27" s="1"/>
  <c r="AA441" i="27" s="1"/>
  <c r="AA442" i="27" s="1"/>
  <c r="AA443" i="27" s="1"/>
  <c r="AA444" i="27" s="1"/>
  <c r="AA445" i="27" s="1"/>
  <c r="AA446" i="27" s="1"/>
  <c r="AA447" i="27" s="1"/>
  <c r="AA448" i="27" s="1"/>
  <c r="AA449" i="27" s="1"/>
  <c r="AA450" i="27" s="1"/>
  <c r="AA451" i="27" s="1"/>
  <c r="AA452" i="27" s="1"/>
  <c r="AA453" i="27" s="1"/>
  <c r="AA454" i="27" s="1"/>
  <c r="AA455" i="27" s="1"/>
  <c r="AA456" i="27" s="1"/>
  <c r="AA457" i="27" s="1"/>
  <c r="AA458" i="27" s="1"/>
  <c r="AA459" i="27" s="1"/>
  <c r="AA460" i="27" s="1"/>
  <c r="AA461" i="27" s="1"/>
  <c r="AA462" i="27" s="1"/>
  <c r="AA463" i="27" s="1"/>
  <c r="AA464" i="27" s="1"/>
  <c r="AA465" i="27" s="1"/>
  <c r="AA466" i="27" s="1"/>
  <c r="AA467" i="27" s="1"/>
  <c r="AA468" i="27" s="1"/>
  <c r="AA469" i="27" s="1"/>
  <c r="AA470" i="27" s="1"/>
  <c r="AA471" i="27" s="1"/>
  <c r="AA472" i="27" s="1"/>
  <c r="AA473" i="27" s="1"/>
  <c r="AA474" i="27" s="1"/>
  <c r="AA475" i="27" s="1"/>
  <c r="AA476" i="27" s="1"/>
  <c r="AA477" i="27" s="1"/>
  <c r="AA478" i="27" s="1"/>
  <c r="AA479" i="27" s="1"/>
  <c r="AA480" i="27" s="1"/>
  <c r="AA481" i="27" s="1"/>
  <c r="AA482" i="27" s="1"/>
  <c r="AA483" i="27" s="1"/>
  <c r="AA484" i="27" s="1"/>
  <c r="AA485" i="27" s="1"/>
  <c r="AA486" i="27" s="1"/>
  <c r="AA487" i="27" s="1"/>
  <c r="AA488" i="27" s="1"/>
  <c r="AA489" i="27" s="1"/>
  <c r="AA490" i="27" s="1"/>
  <c r="AA491" i="27" s="1"/>
  <c r="AA492" i="27" s="1"/>
  <c r="AA493" i="27" s="1"/>
  <c r="AA494" i="27" s="1"/>
  <c r="AA495" i="27" s="1"/>
  <c r="AA496" i="27" s="1"/>
  <c r="AA497" i="27" s="1"/>
  <c r="AA498" i="27" s="1"/>
  <c r="AA499" i="27" s="1"/>
  <c r="AA500" i="27" s="1"/>
  <c r="AA501" i="27" s="1"/>
  <c r="AA502" i="27" s="1"/>
  <c r="AA503" i="27" s="1"/>
  <c r="AA504" i="27" s="1"/>
  <c r="AA505" i="27" s="1"/>
  <c r="AA506" i="27" s="1"/>
  <c r="AA507" i="27" s="1"/>
  <c r="AA508" i="27" s="1"/>
  <c r="AA509" i="27" s="1"/>
  <c r="AA510" i="27" s="1"/>
  <c r="AA511" i="27" s="1"/>
  <c r="AA512" i="27" s="1"/>
  <c r="AA513" i="27" s="1"/>
  <c r="AA514" i="27" s="1"/>
  <c r="AA515" i="27" s="1"/>
  <c r="AA516" i="27" s="1"/>
  <c r="AA517" i="27" s="1"/>
  <c r="AA518" i="27" s="1"/>
  <c r="AA519" i="27" s="1"/>
  <c r="AA520" i="27" s="1"/>
  <c r="AA521" i="27" s="1"/>
  <c r="AA522" i="27" s="1"/>
  <c r="AA523" i="27" s="1"/>
  <c r="AA524" i="27" s="1"/>
  <c r="AA525" i="27" s="1"/>
  <c r="AA526" i="27" s="1"/>
  <c r="AA527" i="27" s="1"/>
  <c r="AA528" i="27" s="1"/>
  <c r="AA529" i="27" s="1"/>
  <c r="AA530" i="27" s="1"/>
  <c r="AA531" i="27" s="1"/>
  <c r="AA532" i="27" s="1"/>
  <c r="AA533" i="27" s="1"/>
  <c r="AA534" i="27" s="1"/>
  <c r="AA535" i="27" s="1"/>
  <c r="AA536" i="27" s="1"/>
  <c r="AA537" i="27" s="1"/>
  <c r="AA538" i="27" s="1"/>
  <c r="AA539" i="27" s="1"/>
  <c r="AA540" i="27" s="1"/>
  <c r="AA541" i="27" s="1"/>
  <c r="AA542" i="27" s="1"/>
  <c r="AA543" i="27" s="1"/>
  <c r="AA544" i="27" s="1"/>
  <c r="AA545" i="27" s="1"/>
  <c r="AA546" i="27" s="1"/>
  <c r="AA547" i="27" s="1"/>
  <c r="AA548" i="27" s="1"/>
  <c r="AA549" i="27" s="1"/>
  <c r="AA550" i="27" s="1"/>
  <c r="AA551" i="27" s="1"/>
  <c r="AA552" i="27" s="1"/>
  <c r="AA553" i="27" s="1"/>
  <c r="AA554" i="27" s="1"/>
  <c r="AA555" i="27" s="1"/>
  <c r="AA556" i="27" s="1"/>
  <c r="AA557" i="27" s="1"/>
  <c r="AA558" i="27" s="1"/>
  <c r="AA559" i="27" s="1"/>
  <c r="AA560" i="27" s="1"/>
  <c r="AA561" i="27" s="1"/>
  <c r="AA562" i="27" s="1"/>
  <c r="AA563" i="27" s="1"/>
  <c r="AA564" i="27" s="1"/>
  <c r="AA565" i="27" s="1"/>
  <c r="AA566" i="27" s="1"/>
  <c r="AA567" i="27" s="1"/>
  <c r="AA568" i="27" s="1"/>
  <c r="AA569" i="27" s="1"/>
  <c r="AA570" i="27" s="1"/>
  <c r="AA571" i="27" s="1"/>
  <c r="AA572" i="27" s="1"/>
  <c r="AA573" i="27" s="1"/>
  <c r="AA574" i="27" s="1"/>
  <c r="AA575" i="27" s="1"/>
  <c r="AA576" i="27" s="1"/>
  <c r="AA577" i="27" s="1"/>
  <c r="AA578" i="27" s="1"/>
  <c r="AA579" i="27" s="1"/>
  <c r="AA580" i="27" s="1"/>
  <c r="AA581" i="27" s="1"/>
  <c r="AA582" i="27" s="1"/>
  <c r="AA583" i="27" s="1"/>
  <c r="AA584" i="27" s="1"/>
  <c r="AA585" i="27" s="1"/>
  <c r="AA586" i="27" s="1"/>
  <c r="AA587" i="27" s="1"/>
  <c r="AA588" i="27" s="1"/>
  <c r="AA589" i="27" s="1"/>
  <c r="AA590" i="27" s="1"/>
  <c r="AA591" i="27" s="1"/>
  <c r="AA592" i="27" s="1"/>
  <c r="AA593" i="27" s="1"/>
  <c r="AA594" i="27" s="1"/>
  <c r="AA595" i="27" s="1"/>
  <c r="AA596" i="27" s="1"/>
  <c r="AA597" i="27" s="1"/>
  <c r="AA598" i="27" s="1"/>
  <c r="AA599" i="27" s="1"/>
  <c r="AA600" i="27" s="1"/>
  <c r="AA601" i="27" s="1"/>
  <c r="AA602" i="27" s="1"/>
  <c r="AA603" i="27" s="1"/>
  <c r="AA604" i="27" s="1"/>
  <c r="AA605" i="27" s="1"/>
  <c r="AA606" i="27" s="1"/>
  <c r="AA607" i="27" s="1"/>
  <c r="AA608" i="27" s="1"/>
  <c r="AA609" i="27" s="1"/>
  <c r="AA610" i="27" s="1"/>
  <c r="AA611" i="27" s="1"/>
  <c r="AA612" i="27" s="1"/>
  <c r="AA613" i="27" s="1"/>
  <c r="AA614" i="27" s="1"/>
  <c r="AA615" i="27" s="1"/>
  <c r="AA616" i="27" s="1"/>
  <c r="AA617" i="27" s="1"/>
  <c r="AA618" i="27" s="1"/>
  <c r="AA619" i="27" s="1"/>
  <c r="AA620" i="27" s="1"/>
  <c r="AA621" i="27" s="1"/>
  <c r="AA622" i="27" s="1"/>
  <c r="AA623" i="27" s="1"/>
  <c r="AA624" i="27" s="1"/>
  <c r="AA625" i="27" s="1"/>
  <c r="AA626" i="27" s="1"/>
  <c r="AA627" i="27" s="1"/>
  <c r="AA628" i="27" s="1"/>
  <c r="AA629" i="27" s="1"/>
  <c r="AA630" i="27" s="1"/>
  <c r="AA631" i="27" s="1"/>
  <c r="AA632" i="27" s="1"/>
  <c r="AA633" i="27" s="1"/>
  <c r="AA634" i="27" s="1"/>
  <c r="AA635" i="27" s="1"/>
  <c r="AA636" i="27" s="1"/>
  <c r="AA637" i="27" s="1"/>
  <c r="AA638" i="27" s="1"/>
  <c r="AA639" i="27" s="1"/>
  <c r="AA640" i="27" s="1"/>
  <c r="AA641" i="27" s="1"/>
  <c r="AA642" i="27" s="1"/>
  <c r="AA643" i="27" s="1"/>
  <c r="AA644" i="27" s="1"/>
  <c r="AA645" i="27" s="1"/>
  <c r="AA646" i="27" s="1"/>
  <c r="AA647" i="27" s="1"/>
  <c r="AA648" i="27" s="1"/>
  <c r="AA649" i="27" s="1"/>
  <c r="AA650" i="27" s="1"/>
  <c r="AA651" i="27" s="1"/>
  <c r="AA652" i="27" s="1"/>
  <c r="AA653" i="27" s="1"/>
  <c r="AA654" i="27" s="1"/>
  <c r="AA655" i="27" s="1"/>
  <c r="AA656" i="27" s="1"/>
  <c r="AA657" i="27" s="1"/>
  <c r="AA658" i="27" s="1"/>
  <c r="AA659" i="27" s="1"/>
  <c r="AA660" i="27" s="1"/>
  <c r="AA661" i="27" s="1"/>
  <c r="AA662" i="27" s="1"/>
  <c r="AA663" i="27" s="1"/>
  <c r="AA664" i="27" s="1"/>
  <c r="AA665" i="27" s="1"/>
  <c r="AA666" i="27" s="1"/>
  <c r="AA667" i="27" s="1"/>
  <c r="AA668" i="27" s="1"/>
  <c r="AA669" i="27" s="1"/>
  <c r="AA670" i="27" s="1"/>
  <c r="AA671" i="27" s="1"/>
  <c r="AA672" i="27" s="1"/>
  <c r="AA673" i="27" s="1"/>
  <c r="AA674" i="27" s="1"/>
  <c r="AA675" i="27" s="1"/>
  <c r="AA676" i="27" s="1"/>
  <c r="AA677" i="27" s="1"/>
  <c r="AA678" i="27" s="1"/>
  <c r="AA679" i="27" s="1"/>
  <c r="AA680" i="27" s="1"/>
  <c r="AA681" i="27" s="1"/>
  <c r="AA682" i="27" s="1"/>
  <c r="AA683" i="27" s="1"/>
  <c r="AA684" i="27" s="1"/>
  <c r="AA685" i="27" s="1"/>
  <c r="AA686" i="27" s="1"/>
  <c r="AA687" i="27" s="1"/>
  <c r="AA688" i="27" s="1"/>
  <c r="AA689" i="27" s="1"/>
  <c r="AA690" i="27" s="1"/>
  <c r="AA691" i="27" s="1"/>
  <c r="AA692" i="27" s="1"/>
  <c r="AA693" i="27" s="1"/>
  <c r="AA694" i="27" s="1"/>
  <c r="AA695" i="27" s="1"/>
  <c r="AA696" i="27" s="1"/>
  <c r="AA697" i="27" s="1"/>
  <c r="AA698" i="27" s="1"/>
  <c r="AA699" i="27" s="1"/>
  <c r="AA700" i="27" s="1"/>
  <c r="AA701" i="27" s="1"/>
  <c r="AA702" i="27" s="1"/>
  <c r="AA703" i="27" s="1"/>
  <c r="AA704" i="27" s="1"/>
  <c r="AA705" i="27" s="1"/>
  <c r="AA706" i="27" s="1"/>
  <c r="AA707" i="27" s="1"/>
  <c r="AA708" i="27" s="1"/>
  <c r="AA709" i="27" s="1"/>
  <c r="AA710" i="27" s="1"/>
  <c r="AA711" i="27" s="1"/>
  <c r="AA712" i="27" s="1"/>
  <c r="AA713" i="27" s="1"/>
  <c r="AA714" i="27" s="1"/>
  <c r="AA715" i="27" s="1"/>
  <c r="AA716" i="27" s="1"/>
  <c r="AA717" i="27" s="1"/>
  <c r="AA718" i="27" s="1"/>
  <c r="AA719" i="27" s="1"/>
  <c r="AA720" i="27" s="1"/>
  <c r="AA721" i="27" s="1"/>
  <c r="AA722" i="27" s="1"/>
  <c r="AA723" i="27" s="1"/>
  <c r="AA724" i="27" s="1"/>
  <c r="AA725" i="27" s="1"/>
  <c r="AA726" i="27" s="1"/>
  <c r="AA727" i="27" s="1"/>
  <c r="AA728" i="27" s="1"/>
  <c r="AG367" i="27"/>
  <c r="I366" i="27"/>
  <c r="S365" i="27"/>
  <c r="T365" i="27" s="1"/>
  <c r="P367" i="27"/>
  <c r="Q366" i="27"/>
  <c r="R366" i="27"/>
  <c r="BF365" i="27"/>
  <c r="G362" i="30"/>
  <c r="AM367" i="27"/>
  <c r="AS366" i="27"/>
  <c r="AX352" i="27"/>
  <c r="BE354" i="27"/>
  <c r="F351" i="30"/>
  <c r="BC353" i="27"/>
  <c r="BB353" i="27"/>
  <c r="E350" i="30"/>
  <c r="B360" i="30"/>
  <c r="BJ351" i="27"/>
  <c r="BK351" i="27" s="1"/>
  <c r="BA353" i="27"/>
  <c r="D352" i="30"/>
  <c r="I352" i="30" s="1"/>
  <c r="BI352" i="27"/>
  <c r="BH352" i="27"/>
  <c r="AY353" i="27"/>
  <c r="BD353" i="27"/>
  <c r="BG353" i="27" s="1"/>
  <c r="AQ365" i="27" l="1"/>
  <c r="AR365" i="27" s="1"/>
  <c r="AN367" i="27"/>
  <c r="AP366" i="27"/>
  <c r="AO366" i="27"/>
  <c r="AQ366" i="27" s="1"/>
  <c r="AR366" i="27" s="1"/>
  <c r="AD366" i="27"/>
  <c r="AB367" i="27"/>
  <c r="AC366" i="27"/>
  <c r="AE366" i="27" s="1"/>
  <c r="AF366" i="27" s="1"/>
  <c r="B367" i="27"/>
  <c r="AU366" i="27"/>
  <c r="O367" i="27"/>
  <c r="U366" i="27"/>
  <c r="S366" i="27"/>
  <c r="T366" i="27" s="1"/>
  <c r="P368" i="27"/>
  <c r="P369" i="27" s="1"/>
  <c r="P370" i="27" s="1"/>
  <c r="P371" i="27" s="1"/>
  <c r="P372" i="27" s="1"/>
  <c r="P373" i="27" s="1"/>
  <c r="P374" i="27" s="1"/>
  <c r="P375" i="27" s="1"/>
  <c r="P376" i="27" s="1"/>
  <c r="P377" i="27" s="1"/>
  <c r="P378" i="27" s="1"/>
  <c r="P379" i="27" s="1"/>
  <c r="P380" i="27" s="1"/>
  <c r="P381" i="27" s="1"/>
  <c r="P382" i="27" s="1"/>
  <c r="P383" i="27" s="1"/>
  <c r="P384" i="27" s="1"/>
  <c r="P385" i="27" s="1"/>
  <c r="P386" i="27" s="1"/>
  <c r="P387" i="27" s="1"/>
  <c r="P388" i="27" s="1"/>
  <c r="P389" i="27" s="1"/>
  <c r="P390" i="27" s="1"/>
  <c r="P391" i="27" s="1"/>
  <c r="P392" i="27" s="1"/>
  <c r="P393" i="27" s="1"/>
  <c r="P394" i="27" s="1"/>
  <c r="P395" i="27" s="1"/>
  <c r="P396" i="27" s="1"/>
  <c r="P397" i="27" s="1"/>
  <c r="P398" i="27" s="1"/>
  <c r="P399" i="27" s="1"/>
  <c r="P400" i="27" s="1"/>
  <c r="P401" i="27" s="1"/>
  <c r="P402" i="27" s="1"/>
  <c r="P403" i="27" s="1"/>
  <c r="P404" i="27" s="1"/>
  <c r="P405" i="27" s="1"/>
  <c r="P406" i="27" s="1"/>
  <c r="P407" i="27" s="1"/>
  <c r="P408" i="27" s="1"/>
  <c r="P409" i="27" s="1"/>
  <c r="P410" i="27" s="1"/>
  <c r="P411" i="27" s="1"/>
  <c r="P412" i="27" s="1"/>
  <c r="P413" i="27" s="1"/>
  <c r="P414" i="27" s="1"/>
  <c r="P415" i="27" s="1"/>
  <c r="P416" i="27" s="1"/>
  <c r="P417" i="27" s="1"/>
  <c r="P418" i="27" s="1"/>
  <c r="P419" i="27" s="1"/>
  <c r="P420" i="27" s="1"/>
  <c r="P421" i="27" s="1"/>
  <c r="P422" i="27" s="1"/>
  <c r="P423" i="27" s="1"/>
  <c r="P424" i="27" s="1"/>
  <c r="P425" i="27" s="1"/>
  <c r="P426" i="27" s="1"/>
  <c r="P427" i="27" s="1"/>
  <c r="P428" i="27" s="1"/>
  <c r="P429" i="27" s="1"/>
  <c r="P430" i="27" s="1"/>
  <c r="P431" i="27" s="1"/>
  <c r="P432" i="27" s="1"/>
  <c r="P433" i="27" s="1"/>
  <c r="P434" i="27" s="1"/>
  <c r="P435" i="27" s="1"/>
  <c r="P436" i="27" s="1"/>
  <c r="P437" i="27" s="1"/>
  <c r="P438" i="27" s="1"/>
  <c r="P439" i="27" s="1"/>
  <c r="P440" i="27" s="1"/>
  <c r="P441" i="27" s="1"/>
  <c r="P442" i="27" s="1"/>
  <c r="P443" i="27" s="1"/>
  <c r="P444" i="27" s="1"/>
  <c r="P445" i="27" s="1"/>
  <c r="P446" i="27" s="1"/>
  <c r="P447" i="27" s="1"/>
  <c r="P448" i="27" s="1"/>
  <c r="P449" i="27" s="1"/>
  <c r="P450" i="27" s="1"/>
  <c r="P451" i="27" s="1"/>
  <c r="P452" i="27" s="1"/>
  <c r="P453" i="27" s="1"/>
  <c r="P454" i="27" s="1"/>
  <c r="P455" i="27" s="1"/>
  <c r="P456" i="27" s="1"/>
  <c r="P457" i="27" s="1"/>
  <c r="P458" i="27" s="1"/>
  <c r="P459" i="27" s="1"/>
  <c r="P460" i="27" s="1"/>
  <c r="P461" i="27" s="1"/>
  <c r="P462" i="27" s="1"/>
  <c r="P463" i="27" s="1"/>
  <c r="P464" i="27" s="1"/>
  <c r="P465" i="27" s="1"/>
  <c r="P466" i="27" s="1"/>
  <c r="P467" i="27" s="1"/>
  <c r="P468" i="27" s="1"/>
  <c r="P469" i="27" s="1"/>
  <c r="P470" i="27" s="1"/>
  <c r="P471" i="27" s="1"/>
  <c r="P472" i="27" s="1"/>
  <c r="P473" i="27" s="1"/>
  <c r="P474" i="27" s="1"/>
  <c r="P475" i="27" s="1"/>
  <c r="P476" i="27" s="1"/>
  <c r="P477" i="27" s="1"/>
  <c r="P478" i="27" s="1"/>
  <c r="P479" i="27" s="1"/>
  <c r="P480" i="27" s="1"/>
  <c r="P481" i="27" s="1"/>
  <c r="P482" i="27" s="1"/>
  <c r="P483" i="27" s="1"/>
  <c r="P484" i="27" s="1"/>
  <c r="P485" i="27" s="1"/>
  <c r="P486" i="27" s="1"/>
  <c r="P487" i="27" s="1"/>
  <c r="P488" i="27" s="1"/>
  <c r="P489" i="27" s="1"/>
  <c r="P490" i="27" s="1"/>
  <c r="P491" i="27" s="1"/>
  <c r="P492" i="27" s="1"/>
  <c r="P493" i="27" s="1"/>
  <c r="P494" i="27" s="1"/>
  <c r="P495" i="27" s="1"/>
  <c r="P496" i="27" s="1"/>
  <c r="P497" i="27" s="1"/>
  <c r="P498" i="27" s="1"/>
  <c r="P499" i="27" s="1"/>
  <c r="P500" i="27" s="1"/>
  <c r="P501" i="27" s="1"/>
  <c r="P502" i="27" s="1"/>
  <c r="P503" i="27" s="1"/>
  <c r="P504" i="27" s="1"/>
  <c r="P505" i="27" s="1"/>
  <c r="P506" i="27" s="1"/>
  <c r="P507" i="27" s="1"/>
  <c r="P508" i="27" s="1"/>
  <c r="P509" i="27" s="1"/>
  <c r="P510" i="27" s="1"/>
  <c r="P511" i="27" s="1"/>
  <c r="P512" i="27" s="1"/>
  <c r="P513" i="27" s="1"/>
  <c r="P514" i="27" s="1"/>
  <c r="P515" i="27" s="1"/>
  <c r="P516" i="27" s="1"/>
  <c r="P517" i="27" s="1"/>
  <c r="P518" i="27" s="1"/>
  <c r="P519" i="27" s="1"/>
  <c r="P520" i="27" s="1"/>
  <c r="P521" i="27" s="1"/>
  <c r="P522" i="27" s="1"/>
  <c r="P523" i="27" s="1"/>
  <c r="P524" i="27" s="1"/>
  <c r="P525" i="27" s="1"/>
  <c r="P526" i="27" s="1"/>
  <c r="P527" i="27" s="1"/>
  <c r="P528" i="27" s="1"/>
  <c r="P529" i="27" s="1"/>
  <c r="P530" i="27" s="1"/>
  <c r="P531" i="27" s="1"/>
  <c r="P532" i="27" s="1"/>
  <c r="P533" i="27" s="1"/>
  <c r="P534" i="27" s="1"/>
  <c r="P535" i="27" s="1"/>
  <c r="P536" i="27" s="1"/>
  <c r="P537" i="27" s="1"/>
  <c r="P538" i="27" s="1"/>
  <c r="P539" i="27" s="1"/>
  <c r="P540" i="27" s="1"/>
  <c r="P541" i="27" s="1"/>
  <c r="P542" i="27" s="1"/>
  <c r="P543" i="27" s="1"/>
  <c r="P544" i="27" s="1"/>
  <c r="P545" i="27" s="1"/>
  <c r="P546" i="27" s="1"/>
  <c r="P547" i="27" s="1"/>
  <c r="P548" i="27" s="1"/>
  <c r="P549" i="27" s="1"/>
  <c r="P550" i="27" s="1"/>
  <c r="P551" i="27" s="1"/>
  <c r="P552" i="27" s="1"/>
  <c r="P553" i="27" s="1"/>
  <c r="P554" i="27" s="1"/>
  <c r="P555" i="27" s="1"/>
  <c r="P556" i="27" s="1"/>
  <c r="P557" i="27" s="1"/>
  <c r="P558" i="27" s="1"/>
  <c r="P559" i="27" s="1"/>
  <c r="P560" i="27" s="1"/>
  <c r="P561" i="27" s="1"/>
  <c r="P562" i="27" s="1"/>
  <c r="P563" i="27" s="1"/>
  <c r="P564" i="27" s="1"/>
  <c r="P565" i="27" s="1"/>
  <c r="P566" i="27" s="1"/>
  <c r="P567" i="27" s="1"/>
  <c r="P568" i="27" s="1"/>
  <c r="P569" i="27" s="1"/>
  <c r="P570" i="27" s="1"/>
  <c r="P571" i="27" s="1"/>
  <c r="P572" i="27" s="1"/>
  <c r="P573" i="27" s="1"/>
  <c r="P574" i="27" s="1"/>
  <c r="P575" i="27" s="1"/>
  <c r="P576" i="27" s="1"/>
  <c r="P577" i="27" s="1"/>
  <c r="P578" i="27" s="1"/>
  <c r="P579" i="27" s="1"/>
  <c r="P580" i="27" s="1"/>
  <c r="P581" i="27" s="1"/>
  <c r="P582" i="27" s="1"/>
  <c r="P583" i="27" s="1"/>
  <c r="P584" i="27" s="1"/>
  <c r="P585" i="27" s="1"/>
  <c r="P586" i="27" s="1"/>
  <c r="P587" i="27" s="1"/>
  <c r="P588" i="27" s="1"/>
  <c r="P589" i="27" s="1"/>
  <c r="P590" i="27" s="1"/>
  <c r="P591" i="27" s="1"/>
  <c r="P592" i="27" s="1"/>
  <c r="P593" i="27" s="1"/>
  <c r="P594" i="27" s="1"/>
  <c r="P595" i="27" s="1"/>
  <c r="P596" i="27" s="1"/>
  <c r="P597" i="27" s="1"/>
  <c r="P598" i="27" s="1"/>
  <c r="P599" i="27" s="1"/>
  <c r="P600" i="27" s="1"/>
  <c r="P601" i="27" s="1"/>
  <c r="P602" i="27" s="1"/>
  <c r="P603" i="27" s="1"/>
  <c r="P604" i="27" s="1"/>
  <c r="P605" i="27" s="1"/>
  <c r="P606" i="27" s="1"/>
  <c r="P607" i="27" s="1"/>
  <c r="P608" i="27" s="1"/>
  <c r="P609" i="27" s="1"/>
  <c r="P610" i="27" s="1"/>
  <c r="P611" i="27" s="1"/>
  <c r="P612" i="27" s="1"/>
  <c r="P613" i="27" s="1"/>
  <c r="P614" i="27" s="1"/>
  <c r="P615" i="27" s="1"/>
  <c r="P616" i="27" s="1"/>
  <c r="P617" i="27" s="1"/>
  <c r="P618" i="27" s="1"/>
  <c r="P619" i="27" s="1"/>
  <c r="P620" i="27" s="1"/>
  <c r="P621" i="27" s="1"/>
  <c r="P622" i="27" s="1"/>
  <c r="P623" i="27" s="1"/>
  <c r="P624" i="27" s="1"/>
  <c r="P625" i="27" s="1"/>
  <c r="P626" i="27" s="1"/>
  <c r="P627" i="27" s="1"/>
  <c r="P628" i="27" s="1"/>
  <c r="P629" i="27" s="1"/>
  <c r="P630" i="27" s="1"/>
  <c r="P631" i="27" s="1"/>
  <c r="P632" i="27" s="1"/>
  <c r="P633" i="27" s="1"/>
  <c r="P634" i="27" s="1"/>
  <c r="P635" i="27" s="1"/>
  <c r="P636" i="27" s="1"/>
  <c r="P637" i="27" s="1"/>
  <c r="P638" i="27" s="1"/>
  <c r="P639" i="27" s="1"/>
  <c r="P640" i="27" s="1"/>
  <c r="P641" i="27" s="1"/>
  <c r="P642" i="27" s="1"/>
  <c r="P643" i="27" s="1"/>
  <c r="P644" i="27" s="1"/>
  <c r="P645" i="27" s="1"/>
  <c r="P646" i="27" s="1"/>
  <c r="P647" i="27" s="1"/>
  <c r="P648" i="27" s="1"/>
  <c r="P649" i="27" s="1"/>
  <c r="P650" i="27" s="1"/>
  <c r="P651" i="27" s="1"/>
  <c r="P652" i="27" s="1"/>
  <c r="P653" i="27" s="1"/>
  <c r="P654" i="27" s="1"/>
  <c r="P655" i="27" s="1"/>
  <c r="P656" i="27" s="1"/>
  <c r="P657" i="27" s="1"/>
  <c r="P658" i="27" s="1"/>
  <c r="P659" i="27" s="1"/>
  <c r="P660" i="27" s="1"/>
  <c r="P661" i="27" s="1"/>
  <c r="P662" i="27" s="1"/>
  <c r="P663" i="27" s="1"/>
  <c r="P664" i="27" s="1"/>
  <c r="P665" i="27" s="1"/>
  <c r="P666" i="27" s="1"/>
  <c r="P667" i="27" s="1"/>
  <c r="P668" i="27" s="1"/>
  <c r="P669" i="27" s="1"/>
  <c r="P670" i="27" s="1"/>
  <c r="P671" i="27" s="1"/>
  <c r="P672" i="27" s="1"/>
  <c r="P673" i="27" s="1"/>
  <c r="P674" i="27" s="1"/>
  <c r="P675" i="27" s="1"/>
  <c r="P676" i="27" s="1"/>
  <c r="P677" i="27" s="1"/>
  <c r="P678" i="27" s="1"/>
  <c r="P679" i="27" s="1"/>
  <c r="P680" i="27" s="1"/>
  <c r="P681" i="27" s="1"/>
  <c r="P682" i="27" s="1"/>
  <c r="P683" i="27" s="1"/>
  <c r="P684" i="27" s="1"/>
  <c r="P685" i="27" s="1"/>
  <c r="P686" i="27" s="1"/>
  <c r="P687" i="27" s="1"/>
  <c r="P688" i="27" s="1"/>
  <c r="P689" i="27" s="1"/>
  <c r="P690" i="27" s="1"/>
  <c r="P691" i="27" s="1"/>
  <c r="P692" i="27" s="1"/>
  <c r="P693" i="27" s="1"/>
  <c r="P694" i="27" s="1"/>
  <c r="P695" i="27" s="1"/>
  <c r="P696" i="27" s="1"/>
  <c r="P697" i="27" s="1"/>
  <c r="P698" i="27" s="1"/>
  <c r="P699" i="27" s="1"/>
  <c r="P700" i="27" s="1"/>
  <c r="P701" i="27" s="1"/>
  <c r="P702" i="27" s="1"/>
  <c r="P703" i="27" s="1"/>
  <c r="P704" i="27" s="1"/>
  <c r="P705" i="27" s="1"/>
  <c r="P706" i="27" s="1"/>
  <c r="P707" i="27" s="1"/>
  <c r="P708" i="27" s="1"/>
  <c r="P709" i="27" s="1"/>
  <c r="P710" i="27" s="1"/>
  <c r="P711" i="27" s="1"/>
  <c r="P712" i="27" s="1"/>
  <c r="P713" i="27" s="1"/>
  <c r="P714" i="27" s="1"/>
  <c r="P715" i="27" s="1"/>
  <c r="P716" i="27" s="1"/>
  <c r="P717" i="27" s="1"/>
  <c r="P718" i="27" s="1"/>
  <c r="P719" i="27" s="1"/>
  <c r="P720" i="27" s="1"/>
  <c r="P721" i="27" s="1"/>
  <c r="P722" i="27" s="1"/>
  <c r="P723" i="27" s="1"/>
  <c r="P724" i="27" s="1"/>
  <c r="P725" i="27" s="1"/>
  <c r="P726" i="27" s="1"/>
  <c r="P727" i="27" s="1"/>
  <c r="P728" i="27" s="1"/>
  <c r="Q367" i="27"/>
  <c r="R367" i="27"/>
  <c r="BF366" i="27"/>
  <c r="G363" i="30"/>
  <c r="AM368" i="27"/>
  <c r="AM369" i="27" s="1"/>
  <c r="AS367" i="27"/>
  <c r="AG368" i="27"/>
  <c r="AT351" i="27"/>
  <c r="H348" i="30" s="1"/>
  <c r="I367" i="27"/>
  <c r="BL353" i="27"/>
  <c r="AY354" i="27"/>
  <c r="BE355" i="27"/>
  <c r="F352" i="30"/>
  <c r="B361" i="30"/>
  <c r="BC354" i="27"/>
  <c r="BB354" i="27"/>
  <c r="E351" i="30"/>
  <c r="AX353" i="27"/>
  <c r="AZ355" i="27"/>
  <c r="BA354" i="27"/>
  <c r="BJ352" i="27"/>
  <c r="BK352" i="27" s="1"/>
  <c r="BI353" i="27"/>
  <c r="BH353" i="27"/>
  <c r="BD354" i="27"/>
  <c r="BG354" i="27" s="1"/>
  <c r="D353" i="30"/>
  <c r="I353" i="30" s="1"/>
  <c r="AM370" i="27" l="1"/>
  <c r="AS369" i="27"/>
  <c r="AO367" i="27"/>
  <c r="AN368" i="27"/>
  <c r="AP367" i="27"/>
  <c r="AB368" i="27"/>
  <c r="AC367" i="27"/>
  <c r="AD367" i="27"/>
  <c r="O368" i="27"/>
  <c r="U367" i="27"/>
  <c r="B368" i="27"/>
  <c r="AU367" i="27"/>
  <c r="AX354" i="27"/>
  <c r="BF367" i="27"/>
  <c r="G364" i="30"/>
  <c r="I368" i="27"/>
  <c r="I369" i="27" s="1"/>
  <c r="I370" i="27" s="1"/>
  <c r="I371" i="27" s="1"/>
  <c r="I372" i="27" s="1"/>
  <c r="I373" i="27" s="1"/>
  <c r="I374" i="27" s="1"/>
  <c r="I375" i="27" s="1"/>
  <c r="I376" i="27" s="1"/>
  <c r="I377" i="27" s="1"/>
  <c r="I378" i="27" s="1"/>
  <c r="I379" i="27" s="1"/>
  <c r="I380" i="27" s="1"/>
  <c r="I381" i="27" s="1"/>
  <c r="I382" i="27" s="1"/>
  <c r="I383" i="27" s="1"/>
  <c r="I384" i="27" s="1"/>
  <c r="I385" i="27" s="1"/>
  <c r="I386" i="27" s="1"/>
  <c r="I387" i="27" s="1"/>
  <c r="I388" i="27" s="1"/>
  <c r="I389" i="27" s="1"/>
  <c r="I390" i="27" s="1"/>
  <c r="I391" i="27" s="1"/>
  <c r="I392" i="27" s="1"/>
  <c r="I393" i="27" s="1"/>
  <c r="I394" i="27" s="1"/>
  <c r="I395" i="27" s="1"/>
  <c r="I396" i="27" s="1"/>
  <c r="I397" i="27" s="1"/>
  <c r="I398" i="27" s="1"/>
  <c r="I399" i="27" s="1"/>
  <c r="I400" i="27" s="1"/>
  <c r="I401" i="27" s="1"/>
  <c r="I402" i="27" s="1"/>
  <c r="I403" i="27" s="1"/>
  <c r="I404" i="27" s="1"/>
  <c r="I405" i="27" s="1"/>
  <c r="I406" i="27" s="1"/>
  <c r="I407" i="27" s="1"/>
  <c r="I408" i="27" s="1"/>
  <c r="I409" i="27" s="1"/>
  <c r="I410" i="27" s="1"/>
  <c r="I411" i="27" s="1"/>
  <c r="I412" i="27" s="1"/>
  <c r="I413" i="27" s="1"/>
  <c r="I414" i="27" s="1"/>
  <c r="I415" i="27" s="1"/>
  <c r="I416" i="27" s="1"/>
  <c r="I417" i="27" s="1"/>
  <c r="I418" i="27" s="1"/>
  <c r="I419" i="27" s="1"/>
  <c r="I420" i="27" s="1"/>
  <c r="I421" i="27" s="1"/>
  <c r="I422" i="27" s="1"/>
  <c r="I423" i="27" s="1"/>
  <c r="I424" i="27" s="1"/>
  <c r="I425" i="27" s="1"/>
  <c r="I426" i="27" s="1"/>
  <c r="I427" i="27" s="1"/>
  <c r="I428" i="27" s="1"/>
  <c r="I429" i="27" s="1"/>
  <c r="I430" i="27" s="1"/>
  <c r="I431" i="27" s="1"/>
  <c r="I432" i="27" s="1"/>
  <c r="I433" i="27" s="1"/>
  <c r="I434" i="27" s="1"/>
  <c r="I435" i="27" s="1"/>
  <c r="I436" i="27" s="1"/>
  <c r="I437" i="27" s="1"/>
  <c r="I438" i="27" s="1"/>
  <c r="I439" i="27" s="1"/>
  <c r="I440" i="27" s="1"/>
  <c r="I441" i="27" s="1"/>
  <c r="I442" i="27" s="1"/>
  <c r="I443" i="27" s="1"/>
  <c r="I444" i="27" s="1"/>
  <c r="I445" i="27" s="1"/>
  <c r="I446" i="27" s="1"/>
  <c r="I447" i="27" s="1"/>
  <c r="I448" i="27" s="1"/>
  <c r="I449" i="27" s="1"/>
  <c r="I450" i="27" s="1"/>
  <c r="I451" i="27" s="1"/>
  <c r="I452" i="27" s="1"/>
  <c r="I453" i="27" s="1"/>
  <c r="I454" i="27" s="1"/>
  <c r="I455" i="27" s="1"/>
  <c r="I456" i="27" s="1"/>
  <c r="I457" i="27" s="1"/>
  <c r="I458" i="27" s="1"/>
  <c r="I459" i="27" s="1"/>
  <c r="I460" i="27" s="1"/>
  <c r="I461" i="27" s="1"/>
  <c r="I462" i="27" s="1"/>
  <c r="I463" i="27" s="1"/>
  <c r="I464" i="27" s="1"/>
  <c r="I465" i="27" s="1"/>
  <c r="I466" i="27" s="1"/>
  <c r="I467" i="27" s="1"/>
  <c r="I468" i="27" s="1"/>
  <c r="I469" i="27" s="1"/>
  <c r="I470" i="27" s="1"/>
  <c r="I471" i="27" s="1"/>
  <c r="I472" i="27" s="1"/>
  <c r="I473" i="27" s="1"/>
  <c r="I474" i="27" s="1"/>
  <c r="I475" i="27" s="1"/>
  <c r="I476" i="27" s="1"/>
  <c r="I477" i="27" s="1"/>
  <c r="I478" i="27" s="1"/>
  <c r="I479" i="27" s="1"/>
  <c r="I480" i="27" s="1"/>
  <c r="I481" i="27" s="1"/>
  <c r="I482" i="27" s="1"/>
  <c r="I483" i="27" s="1"/>
  <c r="I484" i="27" s="1"/>
  <c r="I485" i="27" s="1"/>
  <c r="I486" i="27" s="1"/>
  <c r="I487" i="27" s="1"/>
  <c r="I488" i="27" s="1"/>
  <c r="I489" i="27" s="1"/>
  <c r="I490" i="27" s="1"/>
  <c r="I491" i="27" s="1"/>
  <c r="I492" i="27" s="1"/>
  <c r="I493" i="27" s="1"/>
  <c r="I494" i="27" s="1"/>
  <c r="I495" i="27" s="1"/>
  <c r="I496" i="27" s="1"/>
  <c r="I497" i="27" s="1"/>
  <c r="I498" i="27" s="1"/>
  <c r="I499" i="27" s="1"/>
  <c r="I500" i="27" s="1"/>
  <c r="I501" i="27" s="1"/>
  <c r="I502" i="27" s="1"/>
  <c r="I503" i="27" s="1"/>
  <c r="I504" i="27" s="1"/>
  <c r="I505" i="27" s="1"/>
  <c r="I506" i="27" s="1"/>
  <c r="I507" i="27" s="1"/>
  <c r="I508" i="27" s="1"/>
  <c r="I509" i="27" s="1"/>
  <c r="I510" i="27" s="1"/>
  <c r="I511" i="27" s="1"/>
  <c r="I512" i="27" s="1"/>
  <c r="I513" i="27" s="1"/>
  <c r="I514" i="27" s="1"/>
  <c r="I515" i="27" s="1"/>
  <c r="I516" i="27" s="1"/>
  <c r="I517" i="27" s="1"/>
  <c r="I518" i="27" s="1"/>
  <c r="I519" i="27" s="1"/>
  <c r="I520" i="27" s="1"/>
  <c r="I521" i="27" s="1"/>
  <c r="I522" i="27" s="1"/>
  <c r="I523" i="27" s="1"/>
  <c r="I524" i="27" s="1"/>
  <c r="I525" i="27" s="1"/>
  <c r="I526" i="27" s="1"/>
  <c r="I527" i="27" s="1"/>
  <c r="I528" i="27" s="1"/>
  <c r="I529" i="27" s="1"/>
  <c r="I530" i="27" s="1"/>
  <c r="I531" i="27" s="1"/>
  <c r="I532" i="27" s="1"/>
  <c r="I533" i="27" s="1"/>
  <c r="I534" i="27" s="1"/>
  <c r="I535" i="27" s="1"/>
  <c r="I536" i="27" s="1"/>
  <c r="I537" i="27" s="1"/>
  <c r="I538" i="27" s="1"/>
  <c r="I539" i="27" s="1"/>
  <c r="I540" i="27" s="1"/>
  <c r="I541" i="27" s="1"/>
  <c r="I542" i="27" s="1"/>
  <c r="I543" i="27" s="1"/>
  <c r="I544" i="27" s="1"/>
  <c r="I545" i="27" s="1"/>
  <c r="I546" i="27" s="1"/>
  <c r="I547" i="27" s="1"/>
  <c r="I548" i="27" s="1"/>
  <c r="I549" i="27" s="1"/>
  <c r="I550" i="27" s="1"/>
  <c r="I551" i="27" s="1"/>
  <c r="I552" i="27" s="1"/>
  <c r="I553" i="27" s="1"/>
  <c r="I554" i="27" s="1"/>
  <c r="I555" i="27" s="1"/>
  <c r="I556" i="27" s="1"/>
  <c r="I557" i="27" s="1"/>
  <c r="I558" i="27" s="1"/>
  <c r="I559" i="27" s="1"/>
  <c r="I560" i="27" s="1"/>
  <c r="I561" i="27" s="1"/>
  <c r="I562" i="27" s="1"/>
  <c r="I563" i="27" s="1"/>
  <c r="I564" i="27" s="1"/>
  <c r="I565" i="27" s="1"/>
  <c r="I566" i="27" s="1"/>
  <c r="I567" i="27" s="1"/>
  <c r="I568" i="27" s="1"/>
  <c r="I569" i="27" s="1"/>
  <c r="I570" i="27" s="1"/>
  <c r="I571" i="27" s="1"/>
  <c r="I572" i="27" s="1"/>
  <c r="I573" i="27" s="1"/>
  <c r="I574" i="27" s="1"/>
  <c r="I575" i="27" s="1"/>
  <c r="I576" i="27" s="1"/>
  <c r="I577" i="27" s="1"/>
  <c r="I578" i="27" s="1"/>
  <c r="I579" i="27" s="1"/>
  <c r="I580" i="27" s="1"/>
  <c r="I581" i="27" s="1"/>
  <c r="I582" i="27" s="1"/>
  <c r="I583" i="27" s="1"/>
  <c r="I584" i="27" s="1"/>
  <c r="I585" i="27" s="1"/>
  <c r="I586" i="27" s="1"/>
  <c r="I587" i="27" s="1"/>
  <c r="I588" i="27" s="1"/>
  <c r="I589" i="27" s="1"/>
  <c r="I590" i="27" s="1"/>
  <c r="I591" i="27" s="1"/>
  <c r="I592" i="27" s="1"/>
  <c r="I593" i="27" s="1"/>
  <c r="I594" i="27" s="1"/>
  <c r="I595" i="27" s="1"/>
  <c r="I596" i="27" s="1"/>
  <c r="I597" i="27" s="1"/>
  <c r="I598" i="27" s="1"/>
  <c r="I599" i="27" s="1"/>
  <c r="I600" i="27" s="1"/>
  <c r="I601" i="27" s="1"/>
  <c r="I602" i="27" s="1"/>
  <c r="I603" i="27" s="1"/>
  <c r="I604" i="27" s="1"/>
  <c r="I605" i="27" s="1"/>
  <c r="I606" i="27" s="1"/>
  <c r="I607" i="27" s="1"/>
  <c r="I608" i="27" s="1"/>
  <c r="I609" i="27" s="1"/>
  <c r="I610" i="27" s="1"/>
  <c r="I611" i="27" s="1"/>
  <c r="I612" i="27" s="1"/>
  <c r="I613" i="27" s="1"/>
  <c r="I614" i="27" s="1"/>
  <c r="I615" i="27" s="1"/>
  <c r="I616" i="27" s="1"/>
  <c r="I617" i="27" s="1"/>
  <c r="I618" i="27" s="1"/>
  <c r="I619" i="27" s="1"/>
  <c r="I620" i="27" s="1"/>
  <c r="I621" i="27" s="1"/>
  <c r="I622" i="27" s="1"/>
  <c r="I623" i="27" s="1"/>
  <c r="I624" i="27" s="1"/>
  <c r="I625" i="27" s="1"/>
  <c r="I626" i="27" s="1"/>
  <c r="I627" i="27" s="1"/>
  <c r="I628" i="27" s="1"/>
  <c r="I629" i="27" s="1"/>
  <c r="I630" i="27" s="1"/>
  <c r="I631" i="27" s="1"/>
  <c r="I632" i="27" s="1"/>
  <c r="I633" i="27" s="1"/>
  <c r="I634" i="27" s="1"/>
  <c r="I635" i="27" s="1"/>
  <c r="I636" i="27" s="1"/>
  <c r="I637" i="27" s="1"/>
  <c r="I638" i="27" s="1"/>
  <c r="I639" i="27" s="1"/>
  <c r="AT352" i="27"/>
  <c r="H349" i="30" s="1"/>
  <c r="S367" i="27"/>
  <c r="T367" i="27" s="1"/>
  <c r="Q368" i="27"/>
  <c r="R368" i="27"/>
  <c r="AS368" i="27"/>
  <c r="BL354" i="27"/>
  <c r="AZ356" i="27"/>
  <c r="BE356" i="27"/>
  <c r="F353" i="30"/>
  <c r="BB355" i="27"/>
  <c r="BC355" i="27"/>
  <c r="BL355" i="27" s="1"/>
  <c r="E352" i="30"/>
  <c r="B362" i="30"/>
  <c r="BA355" i="27"/>
  <c r="BJ353" i="27"/>
  <c r="BK353" i="27" s="1"/>
  <c r="AY355" i="27"/>
  <c r="BD355" i="27"/>
  <c r="BG355" i="27" s="1"/>
  <c r="BH354" i="27"/>
  <c r="BI354" i="27"/>
  <c r="D354" i="30"/>
  <c r="I354" i="30" s="1"/>
  <c r="AY356" i="27"/>
  <c r="AN369" i="27" l="1"/>
  <c r="AN370" i="27" s="1"/>
  <c r="AN371" i="27" s="1"/>
  <c r="AN372" i="27" s="1"/>
  <c r="AN373" i="27" s="1"/>
  <c r="AN374" i="27" s="1"/>
  <c r="AN375" i="27" s="1"/>
  <c r="AN376" i="27" s="1"/>
  <c r="AN377" i="27" s="1"/>
  <c r="AN378" i="27" s="1"/>
  <c r="AN379" i="27" s="1"/>
  <c r="AN380" i="27" s="1"/>
  <c r="AN381" i="27" s="1"/>
  <c r="AN382" i="27" s="1"/>
  <c r="AN383" i="27" s="1"/>
  <c r="AN384" i="27" s="1"/>
  <c r="AN385" i="27" s="1"/>
  <c r="AN386" i="27" s="1"/>
  <c r="AN387" i="27" s="1"/>
  <c r="AN388" i="27" s="1"/>
  <c r="AN389" i="27" s="1"/>
  <c r="AN390" i="27" s="1"/>
  <c r="AN391" i="27" s="1"/>
  <c r="AN392" i="27" s="1"/>
  <c r="AN393" i="27" s="1"/>
  <c r="AN394" i="27" s="1"/>
  <c r="AN395" i="27" s="1"/>
  <c r="AN396" i="27" s="1"/>
  <c r="AN397" i="27" s="1"/>
  <c r="AN398" i="27" s="1"/>
  <c r="AN399" i="27" s="1"/>
  <c r="AN400" i="27" s="1"/>
  <c r="AN401" i="27" s="1"/>
  <c r="AN402" i="27" s="1"/>
  <c r="AN403" i="27" s="1"/>
  <c r="AN404" i="27" s="1"/>
  <c r="AN405" i="27" s="1"/>
  <c r="AN406" i="27" s="1"/>
  <c r="AN407" i="27" s="1"/>
  <c r="AN408" i="27" s="1"/>
  <c r="AN409" i="27" s="1"/>
  <c r="AN410" i="27" s="1"/>
  <c r="AN411" i="27" s="1"/>
  <c r="AN412" i="27" s="1"/>
  <c r="AN413" i="27" s="1"/>
  <c r="AN414" i="27" s="1"/>
  <c r="AN415" i="27" s="1"/>
  <c r="AN416" i="27" s="1"/>
  <c r="AN417" i="27" s="1"/>
  <c r="AN418" i="27" s="1"/>
  <c r="AN419" i="27" s="1"/>
  <c r="AN420" i="27" s="1"/>
  <c r="AN421" i="27" s="1"/>
  <c r="AN422" i="27" s="1"/>
  <c r="AN423" i="27" s="1"/>
  <c r="AN424" i="27" s="1"/>
  <c r="AN425" i="27" s="1"/>
  <c r="AN426" i="27" s="1"/>
  <c r="AN427" i="27" s="1"/>
  <c r="AN428" i="27" s="1"/>
  <c r="AN429" i="27" s="1"/>
  <c r="AN430" i="27" s="1"/>
  <c r="AN431" i="27" s="1"/>
  <c r="AN432" i="27" s="1"/>
  <c r="AN433" i="27" s="1"/>
  <c r="AN434" i="27" s="1"/>
  <c r="AN435" i="27" s="1"/>
  <c r="AN436" i="27" s="1"/>
  <c r="AN437" i="27" s="1"/>
  <c r="AN438" i="27" s="1"/>
  <c r="AN439" i="27" s="1"/>
  <c r="AN440" i="27" s="1"/>
  <c r="AN441" i="27" s="1"/>
  <c r="AN442" i="27" s="1"/>
  <c r="AN443" i="27" s="1"/>
  <c r="AN444" i="27" s="1"/>
  <c r="AN445" i="27" s="1"/>
  <c r="AN446" i="27" s="1"/>
  <c r="AN447" i="27" s="1"/>
  <c r="AN448" i="27" s="1"/>
  <c r="AN449" i="27" s="1"/>
  <c r="AN450" i="27" s="1"/>
  <c r="AN451" i="27" s="1"/>
  <c r="AN452" i="27" s="1"/>
  <c r="AN453" i="27" s="1"/>
  <c r="AN454" i="27" s="1"/>
  <c r="AN455" i="27" s="1"/>
  <c r="AN456" i="27" s="1"/>
  <c r="AN457" i="27" s="1"/>
  <c r="AN458" i="27" s="1"/>
  <c r="AN459" i="27" s="1"/>
  <c r="AN460" i="27" s="1"/>
  <c r="AN461" i="27" s="1"/>
  <c r="AN462" i="27" s="1"/>
  <c r="AN463" i="27" s="1"/>
  <c r="AN464" i="27" s="1"/>
  <c r="AN465" i="27" s="1"/>
  <c r="AN466" i="27" s="1"/>
  <c r="AN467" i="27" s="1"/>
  <c r="AN468" i="27" s="1"/>
  <c r="AN469" i="27" s="1"/>
  <c r="AN470" i="27" s="1"/>
  <c r="AN471" i="27" s="1"/>
  <c r="AN472" i="27" s="1"/>
  <c r="AN473" i="27" s="1"/>
  <c r="AN474" i="27" s="1"/>
  <c r="AN475" i="27" s="1"/>
  <c r="AN476" i="27" s="1"/>
  <c r="AN477" i="27" s="1"/>
  <c r="AN478" i="27" s="1"/>
  <c r="AN479" i="27" s="1"/>
  <c r="AN480" i="27" s="1"/>
  <c r="AN481" i="27" s="1"/>
  <c r="AN482" i="27" s="1"/>
  <c r="AN483" i="27" s="1"/>
  <c r="AN484" i="27" s="1"/>
  <c r="AN485" i="27" s="1"/>
  <c r="AN486" i="27" s="1"/>
  <c r="AN487" i="27" s="1"/>
  <c r="AN488" i="27" s="1"/>
  <c r="AN489" i="27" s="1"/>
  <c r="AN490" i="27" s="1"/>
  <c r="AN491" i="27" s="1"/>
  <c r="AN492" i="27" s="1"/>
  <c r="AN493" i="27" s="1"/>
  <c r="AN494" i="27" s="1"/>
  <c r="AN495" i="27" s="1"/>
  <c r="AN496" i="27" s="1"/>
  <c r="AN497" i="27" s="1"/>
  <c r="AN498" i="27" s="1"/>
  <c r="AN499" i="27" s="1"/>
  <c r="AN500" i="27" s="1"/>
  <c r="AN501" i="27" s="1"/>
  <c r="AN502" i="27" s="1"/>
  <c r="AN503" i="27" s="1"/>
  <c r="AN504" i="27" s="1"/>
  <c r="AN505" i="27" s="1"/>
  <c r="AN506" i="27" s="1"/>
  <c r="AN507" i="27" s="1"/>
  <c r="AN508" i="27" s="1"/>
  <c r="AN509" i="27" s="1"/>
  <c r="AN510" i="27" s="1"/>
  <c r="AN511" i="27" s="1"/>
  <c r="AN512" i="27" s="1"/>
  <c r="AN513" i="27" s="1"/>
  <c r="AN514" i="27" s="1"/>
  <c r="AN515" i="27" s="1"/>
  <c r="AN516" i="27" s="1"/>
  <c r="AN517" i="27" s="1"/>
  <c r="AN518" i="27" s="1"/>
  <c r="AN519" i="27" s="1"/>
  <c r="AN520" i="27" s="1"/>
  <c r="AN521" i="27" s="1"/>
  <c r="AN522" i="27" s="1"/>
  <c r="AN523" i="27" s="1"/>
  <c r="AN524" i="27" s="1"/>
  <c r="AN525" i="27" s="1"/>
  <c r="AN526" i="27" s="1"/>
  <c r="AN527" i="27" s="1"/>
  <c r="AN528" i="27" s="1"/>
  <c r="AN529" i="27" s="1"/>
  <c r="AN530" i="27" s="1"/>
  <c r="AN531" i="27" s="1"/>
  <c r="AN532" i="27" s="1"/>
  <c r="AN533" i="27" s="1"/>
  <c r="AN534" i="27" s="1"/>
  <c r="AN535" i="27" s="1"/>
  <c r="AN536" i="27" s="1"/>
  <c r="AN537" i="27" s="1"/>
  <c r="AN538" i="27" s="1"/>
  <c r="AN539" i="27" s="1"/>
  <c r="AN540" i="27" s="1"/>
  <c r="AN541" i="27" s="1"/>
  <c r="AN542" i="27" s="1"/>
  <c r="AN543" i="27" s="1"/>
  <c r="AN544" i="27" s="1"/>
  <c r="AN545" i="27" s="1"/>
  <c r="AN546" i="27" s="1"/>
  <c r="AN547" i="27" s="1"/>
  <c r="AN548" i="27" s="1"/>
  <c r="AN549" i="27" s="1"/>
  <c r="AN550" i="27" s="1"/>
  <c r="AN551" i="27" s="1"/>
  <c r="AN552" i="27" s="1"/>
  <c r="AN553" i="27" s="1"/>
  <c r="AN554" i="27" s="1"/>
  <c r="AN555" i="27" s="1"/>
  <c r="AN556" i="27" s="1"/>
  <c r="AN557" i="27" s="1"/>
  <c r="AN558" i="27" s="1"/>
  <c r="AN559" i="27" s="1"/>
  <c r="AN560" i="27" s="1"/>
  <c r="AN561" i="27" s="1"/>
  <c r="AN562" i="27" s="1"/>
  <c r="AN563" i="27" s="1"/>
  <c r="AN564" i="27" s="1"/>
  <c r="AN565" i="27" s="1"/>
  <c r="AN566" i="27" s="1"/>
  <c r="AN567" i="27" s="1"/>
  <c r="AN568" i="27" s="1"/>
  <c r="AN569" i="27" s="1"/>
  <c r="AN570" i="27" s="1"/>
  <c r="AN571" i="27" s="1"/>
  <c r="AN572" i="27" s="1"/>
  <c r="AN573" i="27" s="1"/>
  <c r="AN574" i="27" s="1"/>
  <c r="AN575" i="27" s="1"/>
  <c r="AN576" i="27" s="1"/>
  <c r="AN577" i="27" s="1"/>
  <c r="AN578" i="27" s="1"/>
  <c r="AN579" i="27" s="1"/>
  <c r="AN580" i="27" s="1"/>
  <c r="AN581" i="27" s="1"/>
  <c r="AN582" i="27" s="1"/>
  <c r="AN583" i="27" s="1"/>
  <c r="AN584" i="27" s="1"/>
  <c r="AN585" i="27" s="1"/>
  <c r="AN586" i="27" s="1"/>
  <c r="AN587" i="27" s="1"/>
  <c r="AN588" i="27" s="1"/>
  <c r="AN589" i="27" s="1"/>
  <c r="AN590" i="27" s="1"/>
  <c r="AN591" i="27" s="1"/>
  <c r="AN592" i="27" s="1"/>
  <c r="AN593" i="27" s="1"/>
  <c r="AN594" i="27" s="1"/>
  <c r="AN595" i="27" s="1"/>
  <c r="AN596" i="27" s="1"/>
  <c r="AN597" i="27" s="1"/>
  <c r="AN598" i="27" s="1"/>
  <c r="AN599" i="27" s="1"/>
  <c r="AN600" i="27" s="1"/>
  <c r="AN601" i="27" s="1"/>
  <c r="AN602" i="27" s="1"/>
  <c r="AN603" i="27" s="1"/>
  <c r="AN604" i="27" s="1"/>
  <c r="AN605" i="27" s="1"/>
  <c r="AN606" i="27" s="1"/>
  <c r="AN607" i="27" s="1"/>
  <c r="AN608" i="27" s="1"/>
  <c r="AN609" i="27" s="1"/>
  <c r="AN610" i="27" s="1"/>
  <c r="AN611" i="27" s="1"/>
  <c r="AN612" i="27" s="1"/>
  <c r="AN613" i="27" s="1"/>
  <c r="AN614" i="27" s="1"/>
  <c r="AN615" i="27" s="1"/>
  <c r="AN616" i="27" s="1"/>
  <c r="AN617" i="27" s="1"/>
  <c r="AN618" i="27" s="1"/>
  <c r="AN619" i="27" s="1"/>
  <c r="AN620" i="27" s="1"/>
  <c r="AN621" i="27" s="1"/>
  <c r="AN622" i="27" s="1"/>
  <c r="AN623" i="27" s="1"/>
  <c r="AN624" i="27" s="1"/>
  <c r="AN625" i="27" s="1"/>
  <c r="AN626" i="27" s="1"/>
  <c r="AN627" i="27" s="1"/>
  <c r="AN628" i="27" s="1"/>
  <c r="AN629" i="27" s="1"/>
  <c r="AN630" i="27" s="1"/>
  <c r="AN631" i="27" s="1"/>
  <c r="AN632" i="27" s="1"/>
  <c r="AN633" i="27" s="1"/>
  <c r="AN634" i="27" s="1"/>
  <c r="AN635" i="27" s="1"/>
  <c r="AN636" i="27" s="1"/>
  <c r="AN637" i="27" s="1"/>
  <c r="AN638" i="27" s="1"/>
  <c r="AN639" i="27" s="1"/>
  <c r="AN640" i="27" s="1"/>
  <c r="AN641" i="27" s="1"/>
  <c r="AN642" i="27" s="1"/>
  <c r="AN643" i="27" s="1"/>
  <c r="AN644" i="27" s="1"/>
  <c r="AN645" i="27" s="1"/>
  <c r="AN646" i="27" s="1"/>
  <c r="AN647" i="27" s="1"/>
  <c r="AN648" i="27" s="1"/>
  <c r="AN649" i="27" s="1"/>
  <c r="AN650" i="27" s="1"/>
  <c r="AN651" i="27" s="1"/>
  <c r="AN652" i="27" s="1"/>
  <c r="AN653" i="27" s="1"/>
  <c r="AN654" i="27" s="1"/>
  <c r="AN655" i="27" s="1"/>
  <c r="AN656" i="27" s="1"/>
  <c r="AN657" i="27" s="1"/>
  <c r="AN658" i="27" s="1"/>
  <c r="AN659" i="27" s="1"/>
  <c r="AN660" i="27" s="1"/>
  <c r="AN661" i="27" s="1"/>
  <c r="AN662" i="27" s="1"/>
  <c r="AN663" i="27" s="1"/>
  <c r="AN664" i="27" s="1"/>
  <c r="AN665" i="27" s="1"/>
  <c r="AN666" i="27" s="1"/>
  <c r="AN667" i="27" s="1"/>
  <c r="AN668" i="27" s="1"/>
  <c r="AN669" i="27" s="1"/>
  <c r="AN670" i="27" s="1"/>
  <c r="AN671" i="27" s="1"/>
  <c r="AN672" i="27" s="1"/>
  <c r="AN673" i="27" s="1"/>
  <c r="AN674" i="27" s="1"/>
  <c r="AN675" i="27" s="1"/>
  <c r="AN676" i="27" s="1"/>
  <c r="AN677" i="27" s="1"/>
  <c r="AN678" i="27" s="1"/>
  <c r="AN679" i="27" s="1"/>
  <c r="AN680" i="27" s="1"/>
  <c r="AN681" i="27" s="1"/>
  <c r="AN682" i="27" s="1"/>
  <c r="AN683" i="27" s="1"/>
  <c r="AN684" i="27" s="1"/>
  <c r="AN685" i="27" s="1"/>
  <c r="AN686" i="27" s="1"/>
  <c r="AN687" i="27" s="1"/>
  <c r="AN688" i="27" s="1"/>
  <c r="AN689" i="27" s="1"/>
  <c r="AN690" i="27" s="1"/>
  <c r="AN691" i="27" s="1"/>
  <c r="AN692" i="27" s="1"/>
  <c r="AN693" i="27" s="1"/>
  <c r="AN694" i="27" s="1"/>
  <c r="AN695" i="27" s="1"/>
  <c r="AN696" i="27" s="1"/>
  <c r="AN697" i="27" s="1"/>
  <c r="AN698" i="27" s="1"/>
  <c r="AN699" i="27" s="1"/>
  <c r="AN700" i="27" s="1"/>
  <c r="AN701" i="27" s="1"/>
  <c r="AN702" i="27" s="1"/>
  <c r="AN703" i="27" s="1"/>
  <c r="AN704" i="27" s="1"/>
  <c r="AN705" i="27" s="1"/>
  <c r="AN706" i="27" s="1"/>
  <c r="AN707" i="27" s="1"/>
  <c r="AN708" i="27" s="1"/>
  <c r="AN709" i="27" s="1"/>
  <c r="AN710" i="27" s="1"/>
  <c r="AN711" i="27" s="1"/>
  <c r="AN712" i="27" s="1"/>
  <c r="AN713" i="27" s="1"/>
  <c r="AN714" i="27" s="1"/>
  <c r="AN715" i="27" s="1"/>
  <c r="AN716" i="27" s="1"/>
  <c r="AN717" i="27" s="1"/>
  <c r="AN718" i="27" s="1"/>
  <c r="AN719" i="27" s="1"/>
  <c r="AN720" i="27" s="1"/>
  <c r="AN721" i="27" s="1"/>
  <c r="AN722" i="27" s="1"/>
  <c r="AN723" i="27" s="1"/>
  <c r="AN724" i="27" s="1"/>
  <c r="AN725" i="27" s="1"/>
  <c r="AN726" i="27" s="1"/>
  <c r="AN727" i="27" s="1"/>
  <c r="AN728" i="27" s="1"/>
  <c r="AO368" i="27"/>
  <c r="AP368" i="27"/>
  <c r="AQ367" i="27"/>
  <c r="AR367" i="27" s="1"/>
  <c r="BF369" i="27"/>
  <c r="G366" i="30"/>
  <c r="AM371" i="27"/>
  <c r="AS370" i="27"/>
  <c r="AE367" i="27"/>
  <c r="AF367" i="27" s="1"/>
  <c r="AB369" i="27"/>
  <c r="AB370" i="27" s="1"/>
  <c r="AB371" i="27" s="1"/>
  <c r="AB372" i="27" s="1"/>
  <c r="AB373" i="27" s="1"/>
  <c r="AB374" i="27" s="1"/>
  <c r="AB375" i="27" s="1"/>
  <c r="AB376" i="27" s="1"/>
  <c r="AB377" i="27" s="1"/>
  <c r="AB378" i="27" s="1"/>
  <c r="AB379" i="27" s="1"/>
  <c r="AB380" i="27" s="1"/>
  <c r="AB381" i="27" s="1"/>
  <c r="AB382" i="27" s="1"/>
  <c r="AB383" i="27" s="1"/>
  <c r="AB384" i="27" s="1"/>
  <c r="AB385" i="27" s="1"/>
  <c r="AB386" i="27" s="1"/>
  <c r="AB387" i="27" s="1"/>
  <c r="AB388" i="27" s="1"/>
  <c r="AB389" i="27" s="1"/>
  <c r="AB390" i="27" s="1"/>
  <c r="AB391" i="27" s="1"/>
  <c r="AB392" i="27" s="1"/>
  <c r="AB393" i="27" s="1"/>
  <c r="AB394" i="27" s="1"/>
  <c r="AB395" i="27" s="1"/>
  <c r="AB396" i="27" s="1"/>
  <c r="AB397" i="27" s="1"/>
  <c r="AB398" i="27" s="1"/>
  <c r="AB399" i="27" s="1"/>
  <c r="AB400" i="27" s="1"/>
  <c r="AB401" i="27" s="1"/>
  <c r="AB402" i="27" s="1"/>
  <c r="AB403" i="27" s="1"/>
  <c r="AB404" i="27" s="1"/>
  <c r="AB405" i="27" s="1"/>
  <c r="AB406" i="27" s="1"/>
  <c r="AB407" i="27" s="1"/>
  <c r="AB408" i="27" s="1"/>
  <c r="AB409" i="27" s="1"/>
  <c r="AB410" i="27" s="1"/>
  <c r="AB411" i="27" s="1"/>
  <c r="AB412" i="27" s="1"/>
  <c r="AB413" i="27" s="1"/>
  <c r="AB414" i="27" s="1"/>
  <c r="AB415" i="27" s="1"/>
  <c r="AB416" i="27" s="1"/>
  <c r="AB417" i="27" s="1"/>
  <c r="AB418" i="27" s="1"/>
  <c r="AB419" i="27" s="1"/>
  <c r="AB420" i="27" s="1"/>
  <c r="AB421" i="27" s="1"/>
  <c r="AB422" i="27" s="1"/>
  <c r="AB423" i="27" s="1"/>
  <c r="AB424" i="27" s="1"/>
  <c r="AB425" i="27" s="1"/>
  <c r="AB426" i="27" s="1"/>
  <c r="AB427" i="27" s="1"/>
  <c r="AB428" i="27" s="1"/>
  <c r="AB429" i="27" s="1"/>
  <c r="AB430" i="27" s="1"/>
  <c r="AB431" i="27" s="1"/>
  <c r="AB432" i="27" s="1"/>
  <c r="AB433" i="27" s="1"/>
  <c r="AB434" i="27" s="1"/>
  <c r="AB435" i="27" s="1"/>
  <c r="AB436" i="27" s="1"/>
  <c r="AB437" i="27" s="1"/>
  <c r="AB438" i="27" s="1"/>
  <c r="AB439" i="27" s="1"/>
  <c r="AB440" i="27" s="1"/>
  <c r="AB441" i="27" s="1"/>
  <c r="AB442" i="27" s="1"/>
  <c r="AB443" i="27" s="1"/>
  <c r="AB444" i="27" s="1"/>
  <c r="AB445" i="27" s="1"/>
  <c r="AB446" i="27" s="1"/>
  <c r="AB447" i="27" s="1"/>
  <c r="AB448" i="27" s="1"/>
  <c r="AB449" i="27" s="1"/>
  <c r="AB450" i="27" s="1"/>
  <c r="AB451" i="27" s="1"/>
  <c r="AB452" i="27" s="1"/>
  <c r="AB453" i="27" s="1"/>
  <c r="AB454" i="27" s="1"/>
  <c r="AB455" i="27" s="1"/>
  <c r="AB456" i="27" s="1"/>
  <c r="AB457" i="27" s="1"/>
  <c r="AB458" i="27" s="1"/>
  <c r="AB459" i="27" s="1"/>
  <c r="AB460" i="27" s="1"/>
  <c r="AB461" i="27" s="1"/>
  <c r="AB462" i="27" s="1"/>
  <c r="AB463" i="27" s="1"/>
  <c r="AB464" i="27" s="1"/>
  <c r="AB465" i="27" s="1"/>
  <c r="AB466" i="27" s="1"/>
  <c r="AB467" i="27" s="1"/>
  <c r="AB468" i="27" s="1"/>
  <c r="AB469" i="27" s="1"/>
  <c r="AB470" i="27" s="1"/>
  <c r="AB471" i="27" s="1"/>
  <c r="AB472" i="27" s="1"/>
  <c r="AB473" i="27" s="1"/>
  <c r="AB474" i="27" s="1"/>
  <c r="AB475" i="27" s="1"/>
  <c r="AB476" i="27" s="1"/>
  <c r="AB477" i="27" s="1"/>
  <c r="AB478" i="27" s="1"/>
  <c r="AB479" i="27" s="1"/>
  <c r="AB480" i="27" s="1"/>
  <c r="AB481" i="27" s="1"/>
  <c r="AB482" i="27" s="1"/>
  <c r="AB483" i="27" s="1"/>
  <c r="AB484" i="27" s="1"/>
  <c r="AB485" i="27" s="1"/>
  <c r="AB486" i="27" s="1"/>
  <c r="AB487" i="27" s="1"/>
  <c r="AB488" i="27" s="1"/>
  <c r="AB489" i="27" s="1"/>
  <c r="AB490" i="27" s="1"/>
  <c r="AB491" i="27" s="1"/>
  <c r="AB492" i="27" s="1"/>
  <c r="AB493" i="27" s="1"/>
  <c r="AB494" i="27" s="1"/>
  <c r="AB495" i="27" s="1"/>
  <c r="AB496" i="27" s="1"/>
  <c r="AB497" i="27" s="1"/>
  <c r="AB498" i="27" s="1"/>
  <c r="AB499" i="27" s="1"/>
  <c r="AB500" i="27" s="1"/>
  <c r="AB501" i="27" s="1"/>
  <c r="AB502" i="27" s="1"/>
  <c r="AB503" i="27" s="1"/>
  <c r="AB504" i="27" s="1"/>
  <c r="AB505" i="27" s="1"/>
  <c r="AB506" i="27" s="1"/>
  <c r="AB507" i="27" s="1"/>
  <c r="AB508" i="27" s="1"/>
  <c r="AB509" i="27" s="1"/>
  <c r="AB510" i="27" s="1"/>
  <c r="AB511" i="27" s="1"/>
  <c r="AB512" i="27" s="1"/>
  <c r="AB513" i="27" s="1"/>
  <c r="AB514" i="27" s="1"/>
  <c r="AB515" i="27" s="1"/>
  <c r="AB516" i="27" s="1"/>
  <c r="AB517" i="27" s="1"/>
  <c r="AB518" i="27" s="1"/>
  <c r="AB519" i="27" s="1"/>
  <c r="AB520" i="27" s="1"/>
  <c r="AB521" i="27" s="1"/>
  <c r="AB522" i="27" s="1"/>
  <c r="AB523" i="27" s="1"/>
  <c r="AB524" i="27" s="1"/>
  <c r="AB525" i="27" s="1"/>
  <c r="AB526" i="27" s="1"/>
  <c r="AB527" i="27" s="1"/>
  <c r="AB528" i="27" s="1"/>
  <c r="AB529" i="27" s="1"/>
  <c r="AB530" i="27" s="1"/>
  <c r="AB531" i="27" s="1"/>
  <c r="AB532" i="27" s="1"/>
  <c r="AB533" i="27" s="1"/>
  <c r="AB534" i="27" s="1"/>
  <c r="AB535" i="27" s="1"/>
  <c r="AB536" i="27" s="1"/>
  <c r="AB537" i="27" s="1"/>
  <c r="AB538" i="27" s="1"/>
  <c r="AB539" i="27" s="1"/>
  <c r="AB540" i="27" s="1"/>
  <c r="AB541" i="27" s="1"/>
  <c r="AB542" i="27" s="1"/>
  <c r="AB543" i="27" s="1"/>
  <c r="AB544" i="27" s="1"/>
  <c r="AB545" i="27" s="1"/>
  <c r="AB546" i="27" s="1"/>
  <c r="AB547" i="27" s="1"/>
  <c r="AB548" i="27" s="1"/>
  <c r="AB549" i="27" s="1"/>
  <c r="AB550" i="27" s="1"/>
  <c r="AB551" i="27" s="1"/>
  <c r="AB552" i="27" s="1"/>
  <c r="AB553" i="27" s="1"/>
  <c r="AB554" i="27" s="1"/>
  <c r="AB555" i="27" s="1"/>
  <c r="AB556" i="27" s="1"/>
  <c r="AB557" i="27" s="1"/>
  <c r="AB558" i="27" s="1"/>
  <c r="AB559" i="27" s="1"/>
  <c r="AB560" i="27" s="1"/>
  <c r="AB561" i="27" s="1"/>
  <c r="AB562" i="27" s="1"/>
  <c r="AB563" i="27" s="1"/>
  <c r="AB564" i="27" s="1"/>
  <c r="AB565" i="27" s="1"/>
  <c r="AB566" i="27" s="1"/>
  <c r="AB567" i="27" s="1"/>
  <c r="AB568" i="27" s="1"/>
  <c r="AB569" i="27" s="1"/>
  <c r="AB570" i="27" s="1"/>
  <c r="AB571" i="27" s="1"/>
  <c r="AB572" i="27" s="1"/>
  <c r="AB573" i="27" s="1"/>
  <c r="AB574" i="27" s="1"/>
  <c r="AB575" i="27" s="1"/>
  <c r="AB576" i="27" s="1"/>
  <c r="AB577" i="27" s="1"/>
  <c r="AB578" i="27" s="1"/>
  <c r="AB579" i="27" s="1"/>
  <c r="AB580" i="27" s="1"/>
  <c r="AB581" i="27" s="1"/>
  <c r="AB582" i="27" s="1"/>
  <c r="AB583" i="27" s="1"/>
  <c r="AB584" i="27" s="1"/>
  <c r="AB585" i="27" s="1"/>
  <c r="AB586" i="27" s="1"/>
  <c r="AB587" i="27" s="1"/>
  <c r="AB588" i="27" s="1"/>
  <c r="AB589" i="27" s="1"/>
  <c r="AB590" i="27" s="1"/>
  <c r="AB591" i="27" s="1"/>
  <c r="AB592" i="27" s="1"/>
  <c r="AB593" i="27" s="1"/>
  <c r="AB594" i="27" s="1"/>
  <c r="AB595" i="27" s="1"/>
  <c r="AB596" i="27" s="1"/>
  <c r="AB597" i="27" s="1"/>
  <c r="AB598" i="27" s="1"/>
  <c r="AB599" i="27" s="1"/>
  <c r="AB600" i="27" s="1"/>
  <c r="AB601" i="27" s="1"/>
  <c r="AB602" i="27" s="1"/>
  <c r="AB603" i="27" s="1"/>
  <c r="AB604" i="27" s="1"/>
  <c r="AB605" i="27" s="1"/>
  <c r="AB606" i="27" s="1"/>
  <c r="AB607" i="27" s="1"/>
  <c r="AB608" i="27" s="1"/>
  <c r="AB609" i="27" s="1"/>
  <c r="AB610" i="27" s="1"/>
  <c r="AB611" i="27" s="1"/>
  <c r="AB612" i="27" s="1"/>
  <c r="AB613" i="27" s="1"/>
  <c r="AB614" i="27" s="1"/>
  <c r="AB615" i="27" s="1"/>
  <c r="AB616" i="27" s="1"/>
  <c r="AB617" i="27" s="1"/>
  <c r="AB618" i="27" s="1"/>
  <c r="AB619" i="27" s="1"/>
  <c r="AB620" i="27" s="1"/>
  <c r="AB621" i="27" s="1"/>
  <c r="AB622" i="27" s="1"/>
  <c r="AB623" i="27" s="1"/>
  <c r="AB624" i="27" s="1"/>
  <c r="AB625" i="27" s="1"/>
  <c r="AB626" i="27" s="1"/>
  <c r="AB627" i="27" s="1"/>
  <c r="AB628" i="27" s="1"/>
  <c r="AB629" i="27" s="1"/>
  <c r="AB630" i="27" s="1"/>
  <c r="AB631" i="27" s="1"/>
  <c r="AB632" i="27" s="1"/>
  <c r="AB633" i="27" s="1"/>
  <c r="AB634" i="27" s="1"/>
  <c r="AB635" i="27" s="1"/>
  <c r="AB636" i="27" s="1"/>
  <c r="AB637" i="27" s="1"/>
  <c r="AB638" i="27" s="1"/>
  <c r="AB639" i="27" s="1"/>
  <c r="AB640" i="27" s="1"/>
  <c r="AB641" i="27" s="1"/>
  <c r="AB642" i="27" s="1"/>
  <c r="AB643" i="27" s="1"/>
  <c r="AB644" i="27" s="1"/>
  <c r="AB645" i="27" s="1"/>
  <c r="AB646" i="27" s="1"/>
  <c r="AB647" i="27" s="1"/>
  <c r="AB648" i="27" s="1"/>
  <c r="AB649" i="27" s="1"/>
  <c r="AB650" i="27" s="1"/>
  <c r="AB651" i="27" s="1"/>
  <c r="AB652" i="27" s="1"/>
  <c r="AB653" i="27" s="1"/>
  <c r="AB654" i="27" s="1"/>
  <c r="AB655" i="27" s="1"/>
  <c r="AB656" i="27" s="1"/>
  <c r="AB657" i="27" s="1"/>
  <c r="AB658" i="27" s="1"/>
  <c r="AB659" i="27" s="1"/>
  <c r="AB660" i="27" s="1"/>
  <c r="AB661" i="27" s="1"/>
  <c r="AB662" i="27" s="1"/>
  <c r="AB663" i="27" s="1"/>
  <c r="AB664" i="27" s="1"/>
  <c r="AB665" i="27" s="1"/>
  <c r="AB666" i="27" s="1"/>
  <c r="AB667" i="27" s="1"/>
  <c r="AB668" i="27" s="1"/>
  <c r="AB669" i="27" s="1"/>
  <c r="AB670" i="27" s="1"/>
  <c r="AB671" i="27" s="1"/>
  <c r="AB672" i="27" s="1"/>
  <c r="AB673" i="27" s="1"/>
  <c r="AB674" i="27" s="1"/>
  <c r="AB675" i="27" s="1"/>
  <c r="AB676" i="27" s="1"/>
  <c r="AB677" i="27" s="1"/>
  <c r="AB678" i="27" s="1"/>
  <c r="AB679" i="27" s="1"/>
  <c r="AB680" i="27" s="1"/>
  <c r="AB681" i="27" s="1"/>
  <c r="AB682" i="27" s="1"/>
  <c r="AB683" i="27" s="1"/>
  <c r="AB684" i="27" s="1"/>
  <c r="AB685" i="27" s="1"/>
  <c r="AB686" i="27" s="1"/>
  <c r="AB687" i="27" s="1"/>
  <c r="AB688" i="27" s="1"/>
  <c r="AB689" i="27" s="1"/>
  <c r="AB690" i="27" s="1"/>
  <c r="AB691" i="27" s="1"/>
  <c r="AB692" i="27" s="1"/>
  <c r="AB693" i="27" s="1"/>
  <c r="AB694" i="27" s="1"/>
  <c r="AB695" i="27" s="1"/>
  <c r="AB696" i="27" s="1"/>
  <c r="AB697" i="27" s="1"/>
  <c r="AB698" i="27" s="1"/>
  <c r="AB699" i="27" s="1"/>
  <c r="AB700" i="27" s="1"/>
  <c r="AB701" i="27" s="1"/>
  <c r="AB702" i="27" s="1"/>
  <c r="AB703" i="27" s="1"/>
  <c r="AB704" i="27" s="1"/>
  <c r="AB705" i="27" s="1"/>
  <c r="AB706" i="27" s="1"/>
  <c r="AB707" i="27" s="1"/>
  <c r="AB708" i="27" s="1"/>
  <c r="AB709" i="27" s="1"/>
  <c r="AB710" i="27" s="1"/>
  <c r="AB711" i="27" s="1"/>
  <c r="AB712" i="27" s="1"/>
  <c r="AB713" i="27" s="1"/>
  <c r="AB714" i="27" s="1"/>
  <c r="AB715" i="27" s="1"/>
  <c r="AB716" i="27" s="1"/>
  <c r="AB717" i="27" s="1"/>
  <c r="AB718" i="27" s="1"/>
  <c r="AB719" i="27" s="1"/>
  <c r="AB720" i="27" s="1"/>
  <c r="AB721" i="27" s="1"/>
  <c r="AB722" i="27" s="1"/>
  <c r="AB723" i="27" s="1"/>
  <c r="AB724" i="27" s="1"/>
  <c r="AB725" i="27" s="1"/>
  <c r="AB726" i="27" s="1"/>
  <c r="AB727" i="27" s="1"/>
  <c r="AB728" i="27" s="1"/>
  <c r="AD368" i="27"/>
  <c r="AC368" i="27"/>
  <c r="AE368" i="27" s="1"/>
  <c r="AF368" i="27" s="1"/>
  <c r="D636" i="30"/>
  <c r="I636" i="30" s="1"/>
  <c r="I640" i="27"/>
  <c r="AU368" i="27"/>
  <c r="B369" i="27"/>
  <c r="O369" i="27"/>
  <c r="O370" i="27" s="1"/>
  <c r="O371" i="27" s="1"/>
  <c r="O372" i="27" s="1"/>
  <c r="O373" i="27" s="1"/>
  <c r="O374" i="27" s="1"/>
  <c r="O375" i="27" s="1"/>
  <c r="O376" i="27" s="1"/>
  <c r="O377" i="27" s="1"/>
  <c r="O378" i="27" s="1"/>
  <c r="O379" i="27" s="1"/>
  <c r="O380" i="27" s="1"/>
  <c r="O381" i="27" s="1"/>
  <c r="O382" i="27" s="1"/>
  <c r="O383" i="27" s="1"/>
  <c r="O384" i="27" s="1"/>
  <c r="O385" i="27" s="1"/>
  <c r="O386" i="27" s="1"/>
  <c r="O387" i="27" s="1"/>
  <c r="O388" i="27" s="1"/>
  <c r="O389" i="27" s="1"/>
  <c r="O390" i="27" s="1"/>
  <c r="O391" i="27" s="1"/>
  <c r="O392" i="27" s="1"/>
  <c r="O393" i="27" s="1"/>
  <c r="O394" i="27" s="1"/>
  <c r="O395" i="27" s="1"/>
  <c r="O396" i="27" s="1"/>
  <c r="O397" i="27" s="1"/>
  <c r="O398" i="27" s="1"/>
  <c r="O399" i="27" s="1"/>
  <c r="O400" i="27" s="1"/>
  <c r="O401" i="27" s="1"/>
  <c r="O402" i="27" s="1"/>
  <c r="O403" i="27" s="1"/>
  <c r="O404" i="27" s="1"/>
  <c r="O405" i="27" s="1"/>
  <c r="O406" i="27" s="1"/>
  <c r="O407" i="27" s="1"/>
  <c r="O408" i="27" s="1"/>
  <c r="O409" i="27" s="1"/>
  <c r="O410" i="27" s="1"/>
  <c r="O411" i="27" s="1"/>
  <c r="O412" i="27" s="1"/>
  <c r="O413" i="27" s="1"/>
  <c r="O414" i="27" s="1"/>
  <c r="O415" i="27" s="1"/>
  <c r="O416" i="27" s="1"/>
  <c r="O417" i="27" s="1"/>
  <c r="O418" i="27" s="1"/>
  <c r="O419" i="27" s="1"/>
  <c r="O420" i="27" s="1"/>
  <c r="O421" i="27" s="1"/>
  <c r="O422" i="27" s="1"/>
  <c r="O423" i="27" s="1"/>
  <c r="O424" i="27" s="1"/>
  <c r="O425" i="27" s="1"/>
  <c r="O426" i="27" s="1"/>
  <c r="O427" i="27" s="1"/>
  <c r="O428" i="27" s="1"/>
  <c r="O429" i="27" s="1"/>
  <c r="O430" i="27" s="1"/>
  <c r="O431" i="27" s="1"/>
  <c r="O432" i="27" s="1"/>
  <c r="O433" i="27" s="1"/>
  <c r="O434" i="27" s="1"/>
  <c r="O435" i="27" s="1"/>
  <c r="O436" i="27" s="1"/>
  <c r="O437" i="27" s="1"/>
  <c r="O438" i="27" s="1"/>
  <c r="O439" i="27" s="1"/>
  <c r="O440" i="27" s="1"/>
  <c r="O441" i="27" s="1"/>
  <c r="O442" i="27" s="1"/>
  <c r="O443" i="27" s="1"/>
  <c r="O444" i="27" s="1"/>
  <c r="O445" i="27" s="1"/>
  <c r="O446" i="27" s="1"/>
  <c r="O447" i="27" s="1"/>
  <c r="O448" i="27" s="1"/>
  <c r="O449" i="27" s="1"/>
  <c r="O450" i="27" s="1"/>
  <c r="O451" i="27" s="1"/>
  <c r="O452" i="27" s="1"/>
  <c r="O453" i="27" s="1"/>
  <c r="O454" i="27" s="1"/>
  <c r="O455" i="27" s="1"/>
  <c r="O456" i="27" s="1"/>
  <c r="O457" i="27" s="1"/>
  <c r="O458" i="27" s="1"/>
  <c r="O459" i="27" s="1"/>
  <c r="O460" i="27" s="1"/>
  <c r="O461" i="27" s="1"/>
  <c r="O462" i="27" s="1"/>
  <c r="O463" i="27" s="1"/>
  <c r="O464" i="27" s="1"/>
  <c r="O465" i="27" s="1"/>
  <c r="O466" i="27" s="1"/>
  <c r="O467" i="27" s="1"/>
  <c r="O468" i="27" s="1"/>
  <c r="O469" i="27" s="1"/>
  <c r="O470" i="27" s="1"/>
  <c r="O471" i="27" s="1"/>
  <c r="O472" i="27" s="1"/>
  <c r="O473" i="27" s="1"/>
  <c r="O474" i="27" s="1"/>
  <c r="O475" i="27" s="1"/>
  <c r="O476" i="27" s="1"/>
  <c r="O477" i="27" s="1"/>
  <c r="O478" i="27" s="1"/>
  <c r="O479" i="27" s="1"/>
  <c r="O480" i="27" s="1"/>
  <c r="O481" i="27" s="1"/>
  <c r="O482" i="27" s="1"/>
  <c r="O483" i="27" s="1"/>
  <c r="O484" i="27" s="1"/>
  <c r="O485" i="27" s="1"/>
  <c r="O486" i="27" s="1"/>
  <c r="O487" i="27" s="1"/>
  <c r="O488" i="27" s="1"/>
  <c r="O489" i="27" s="1"/>
  <c r="O490" i="27" s="1"/>
  <c r="O491" i="27" s="1"/>
  <c r="O492" i="27" s="1"/>
  <c r="O493" i="27" s="1"/>
  <c r="O494" i="27" s="1"/>
  <c r="O495" i="27" s="1"/>
  <c r="O496" i="27" s="1"/>
  <c r="O497" i="27" s="1"/>
  <c r="O498" i="27" s="1"/>
  <c r="O499" i="27" s="1"/>
  <c r="O500" i="27" s="1"/>
  <c r="O501" i="27" s="1"/>
  <c r="O502" i="27" s="1"/>
  <c r="O503" i="27" s="1"/>
  <c r="O504" i="27" s="1"/>
  <c r="O505" i="27" s="1"/>
  <c r="O506" i="27" s="1"/>
  <c r="O507" i="27" s="1"/>
  <c r="O508" i="27" s="1"/>
  <c r="O509" i="27" s="1"/>
  <c r="O510" i="27" s="1"/>
  <c r="O511" i="27" s="1"/>
  <c r="O512" i="27" s="1"/>
  <c r="O513" i="27" s="1"/>
  <c r="O514" i="27" s="1"/>
  <c r="O515" i="27" s="1"/>
  <c r="O516" i="27" s="1"/>
  <c r="O517" i="27" s="1"/>
  <c r="O518" i="27" s="1"/>
  <c r="O519" i="27" s="1"/>
  <c r="O520" i="27" s="1"/>
  <c r="O521" i="27" s="1"/>
  <c r="O522" i="27" s="1"/>
  <c r="O523" i="27" s="1"/>
  <c r="O524" i="27" s="1"/>
  <c r="O525" i="27" s="1"/>
  <c r="O526" i="27" s="1"/>
  <c r="O527" i="27" s="1"/>
  <c r="O528" i="27" s="1"/>
  <c r="O529" i="27" s="1"/>
  <c r="O530" i="27" s="1"/>
  <c r="O531" i="27" s="1"/>
  <c r="O532" i="27" s="1"/>
  <c r="O533" i="27" s="1"/>
  <c r="O534" i="27" s="1"/>
  <c r="O535" i="27" s="1"/>
  <c r="O536" i="27" s="1"/>
  <c r="O537" i="27" s="1"/>
  <c r="O538" i="27" s="1"/>
  <c r="O539" i="27" s="1"/>
  <c r="O540" i="27" s="1"/>
  <c r="O541" i="27" s="1"/>
  <c r="O542" i="27" s="1"/>
  <c r="O543" i="27" s="1"/>
  <c r="O544" i="27" s="1"/>
  <c r="O545" i="27" s="1"/>
  <c r="O546" i="27" s="1"/>
  <c r="O547" i="27" s="1"/>
  <c r="O548" i="27" s="1"/>
  <c r="O549" i="27" s="1"/>
  <c r="O550" i="27" s="1"/>
  <c r="O551" i="27" s="1"/>
  <c r="O552" i="27" s="1"/>
  <c r="O553" i="27" s="1"/>
  <c r="O554" i="27" s="1"/>
  <c r="O555" i="27" s="1"/>
  <c r="O556" i="27" s="1"/>
  <c r="O557" i="27" s="1"/>
  <c r="O558" i="27" s="1"/>
  <c r="O559" i="27" s="1"/>
  <c r="O560" i="27" s="1"/>
  <c r="O561" i="27" s="1"/>
  <c r="O562" i="27" s="1"/>
  <c r="O563" i="27" s="1"/>
  <c r="O564" i="27" s="1"/>
  <c r="O565" i="27" s="1"/>
  <c r="O566" i="27" s="1"/>
  <c r="O567" i="27" s="1"/>
  <c r="O568" i="27" s="1"/>
  <c r="O569" i="27" s="1"/>
  <c r="O570" i="27" s="1"/>
  <c r="O571" i="27" s="1"/>
  <c r="O572" i="27" s="1"/>
  <c r="O573" i="27" s="1"/>
  <c r="O574" i="27" s="1"/>
  <c r="O575" i="27" s="1"/>
  <c r="O576" i="27" s="1"/>
  <c r="O577" i="27" s="1"/>
  <c r="O578" i="27" s="1"/>
  <c r="O579" i="27" s="1"/>
  <c r="O580" i="27" s="1"/>
  <c r="O581" i="27" s="1"/>
  <c r="O582" i="27" s="1"/>
  <c r="O583" i="27" s="1"/>
  <c r="O584" i="27" s="1"/>
  <c r="O585" i="27" s="1"/>
  <c r="O586" i="27" s="1"/>
  <c r="O587" i="27" s="1"/>
  <c r="O588" i="27" s="1"/>
  <c r="O589" i="27" s="1"/>
  <c r="O590" i="27" s="1"/>
  <c r="O591" i="27" s="1"/>
  <c r="O592" i="27" s="1"/>
  <c r="O593" i="27" s="1"/>
  <c r="O594" i="27" s="1"/>
  <c r="O595" i="27" s="1"/>
  <c r="O596" i="27" s="1"/>
  <c r="O597" i="27" s="1"/>
  <c r="O598" i="27" s="1"/>
  <c r="O599" i="27" s="1"/>
  <c r="O600" i="27" s="1"/>
  <c r="O601" i="27" s="1"/>
  <c r="O602" i="27" s="1"/>
  <c r="O603" i="27" s="1"/>
  <c r="O604" i="27" s="1"/>
  <c r="O605" i="27" s="1"/>
  <c r="O606" i="27" s="1"/>
  <c r="O607" i="27" s="1"/>
  <c r="O608" i="27" s="1"/>
  <c r="O609" i="27" s="1"/>
  <c r="O610" i="27" s="1"/>
  <c r="O611" i="27" s="1"/>
  <c r="O612" i="27" s="1"/>
  <c r="O613" i="27" s="1"/>
  <c r="O614" i="27" s="1"/>
  <c r="O615" i="27" s="1"/>
  <c r="O616" i="27" s="1"/>
  <c r="O617" i="27" s="1"/>
  <c r="O618" i="27" s="1"/>
  <c r="O619" i="27" s="1"/>
  <c r="O620" i="27" s="1"/>
  <c r="O621" i="27" s="1"/>
  <c r="O622" i="27" s="1"/>
  <c r="O623" i="27" s="1"/>
  <c r="O624" i="27" s="1"/>
  <c r="O625" i="27" s="1"/>
  <c r="O626" i="27" s="1"/>
  <c r="O627" i="27" s="1"/>
  <c r="O628" i="27" s="1"/>
  <c r="O629" i="27" s="1"/>
  <c r="O630" i="27" s="1"/>
  <c r="O631" i="27" s="1"/>
  <c r="O632" i="27" s="1"/>
  <c r="O633" i="27" s="1"/>
  <c r="O634" i="27" s="1"/>
  <c r="O635" i="27" s="1"/>
  <c r="O636" i="27" s="1"/>
  <c r="O637" i="27" s="1"/>
  <c r="O638" i="27" s="1"/>
  <c r="O639" i="27" s="1"/>
  <c r="O640" i="27" s="1"/>
  <c r="O641" i="27" s="1"/>
  <c r="O642" i="27" s="1"/>
  <c r="O643" i="27" s="1"/>
  <c r="O644" i="27" s="1"/>
  <c r="O645" i="27" s="1"/>
  <c r="O646" i="27" s="1"/>
  <c r="O647" i="27" s="1"/>
  <c r="O648" i="27" s="1"/>
  <c r="O649" i="27" s="1"/>
  <c r="O650" i="27" s="1"/>
  <c r="O651" i="27" s="1"/>
  <c r="O652" i="27" s="1"/>
  <c r="O653" i="27" s="1"/>
  <c r="O654" i="27" s="1"/>
  <c r="O655" i="27" s="1"/>
  <c r="O656" i="27" s="1"/>
  <c r="O657" i="27" s="1"/>
  <c r="O658" i="27" s="1"/>
  <c r="O659" i="27" s="1"/>
  <c r="O660" i="27" s="1"/>
  <c r="O661" i="27" s="1"/>
  <c r="O662" i="27" s="1"/>
  <c r="O663" i="27" s="1"/>
  <c r="O664" i="27" s="1"/>
  <c r="O665" i="27" s="1"/>
  <c r="O666" i="27" s="1"/>
  <c r="O667" i="27" s="1"/>
  <c r="O668" i="27" s="1"/>
  <c r="O669" i="27" s="1"/>
  <c r="O670" i="27" s="1"/>
  <c r="O671" i="27" s="1"/>
  <c r="O672" i="27" s="1"/>
  <c r="O673" i="27" s="1"/>
  <c r="O674" i="27" s="1"/>
  <c r="O675" i="27" s="1"/>
  <c r="O676" i="27" s="1"/>
  <c r="O677" i="27" s="1"/>
  <c r="O678" i="27" s="1"/>
  <c r="O679" i="27" s="1"/>
  <c r="O680" i="27" s="1"/>
  <c r="O681" i="27" s="1"/>
  <c r="O682" i="27" s="1"/>
  <c r="O683" i="27" s="1"/>
  <c r="O684" i="27" s="1"/>
  <c r="O685" i="27" s="1"/>
  <c r="O686" i="27" s="1"/>
  <c r="O687" i="27" s="1"/>
  <c r="O688" i="27" s="1"/>
  <c r="O689" i="27" s="1"/>
  <c r="O690" i="27" s="1"/>
  <c r="O691" i="27" s="1"/>
  <c r="O692" i="27" s="1"/>
  <c r="O693" i="27" s="1"/>
  <c r="O694" i="27" s="1"/>
  <c r="O695" i="27" s="1"/>
  <c r="O696" i="27" s="1"/>
  <c r="O697" i="27" s="1"/>
  <c r="O698" i="27" s="1"/>
  <c r="O699" i="27" s="1"/>
  <c r="O700" i="27" s="1"/>
  <c r="O701" i="27" s="1"/>
  <c r="O702" i="27" s="1"/>
  <c r="O703" i="27" s="1"/>
  <c r="O704" i="27" s="1"/>
  <c r="O705" i="27" s="1"/>
  <c r="O706" i="27" s="1"/>
  <c r="O707" i="27" s="1"/>
  <c r="O708" i="27" s="1"/>
  <c r="O709" i="27" s="1"/>
  <c r="O710" i="27" s="1"/>
  <c r="O711" i="27" s="1"/>
  <c r="O712" i="27" s="1"/>
  <c r="O713" i="27" s="1"/>
  <c r="O714" i="27" s="1"/>
  <c r="O715" i="27" s="1"/>
  <c r="O716" i="27" s="1"/>
  <c r="O717" i="27" s="1"/>
  <c r="O718" i="27" s="1"/>
  <c r="O719" i="27" s="1"/>
  <c r="O720" i="27" s="1"/>
  <c r="O721" i="27" s="1"/>
  <c r="O722" i="27" s="1"/>
  <c r="O723" i="27" s="1"/>
  <c r="O724" i="27" s="1"/>
  <c r="O725" i="27" s="1"/>
  <c r="O726" i="27" s="1"/>
  <c r="O727" i="27" s="1"/>
  <c r="O728" i="27" s="1"/>
  <c r="U368" i="27"/>
  <c r="S368" i="27"/>
  <c r="T368" i="27" s="1"/>
  <c r="BF368" i="27"/>
  <c r="G365" i="30"/>
  <c r="AT353" i="27"/>
  <c r="H350" i="30" s="1"/>
  <c r="BE357" i="27"/>
  <c r="F354" i="30"/>
  <c r="AX355" i="27"/>
  <c r="BB356" i="27"/>
  <c r="BC356" i="27"/>
  <c r="BL356" i="27" s="1"/>
  <c r="E353" i="30"/>
  <c r="B363" i="30"/>
  <c r="BA356" i="27"/>
  <c r="AX356" i="27" s="1"/>
  <c r="AZ357" i="27"/>
  <c r="BJ354" i="27"/>
  <c r="BK354" i="27" s="1"/>
  <c r="BI355" i="27"/>
  <c r="BH355" i="27"/>
  <c r="D355" i="30"/>
  <c r="I355" i="30" s="1"/>
  <c r="BD356" i="27"/>
  <c r="BG356" i="27" s="1"/>
  <c r="BF370" i="27" l="1"/>
  <c r="G367" i="30"/>
  <c r="AM372" i="27"/>
  <c r="AS371" i="27"/>
  <c r="AQ368" i="27"/>
  <c r="AR368" i="27" s="1"/>
  <c r="B370" i="27"/>
  <c r="AU369" i="27"/>
  <c r="I641" i="27"/>
  <c r="D637" i="30"/>
  <c r="I637" i="30" s="1"/>
  <c r="AT354" i="27"/>
  <c r="H351" i="30" s="1"/>
  <c r="BE358" i="27"/>
  <c r="F355" i="30"/>
  <c r="BB357" i="27"/>
  <c r="BC357" i="27"/>
  <c r="E354" i="30"/>
  <c r="B364" i="30"/>
  <c r="AZ358" i="27"/>
  <c r="BJ355" i="27"/>
  <c r="BK355" i="27" s="1"/>
  <c r="BA357" i="27"/>
  <c r="BH356" i="27"/>
  <c r="BI356" i="27"/>
  <c r="D356" i="30"/>
  <c r="I356" i="30" s="1"/>
  <c r="AY357" i="27"/>
  <c r="BD357" i="27"/>
  <c r="BG357" i="27" s="1"/>
  <c r="G368" i="30" l="1"/>
  <c r="BF371" i="27"/>
  <c r="AM373" i="27"/>
  <c r="AS372" i="27"/>
  <c r="I642" i="27"/>
  <c r="D638" i="30"/>
  <c r="I638" i="30" s="1"/>
  <c r="B371" i="27"/>
  <c r="AU370" i="27"/>
  <c r="AT355" i="27"/>
  <c r="H352" i="30" s="1"/>
  <c r="AZ359" i="27"/>
  <c r="BL357" i="27"/>
  <c r="BE359" i="27"/>
  <c r="F356" i="30"/>
  <c r="BB358" i="27"/>
  <c r="BC358" i="27"/>
  <c r="BL358" i="27" s="1"/>
  <c r="E355" i="30"/>
  <c r="B365" i="30"/>
  <c r="BJ356" i="27"/>
  <c r="BK356" i="27" s="1"/>
  <c r="AX357" i="27"/>
  <c r="D357" i="30"/>
  <c r="I357" i="30" s="1"/>
  <c r="BH357" i="27"/>
  <c r="BI357" i="27"/>
  <c r="AY358" i="27"/>
  <c r="BD358" i="27"/>
  <c r="BG358" i="27" s="1"/>
  <c r="AZ360" i="27"/>
  <c r="BA358" i="27"/>
  <c r="BF372" i="27" l="1"/>
  <c r="G369" i="30"/>
  <c r="AM374" i="27"/>
  <c r="AS373" i="27"/>
  <c r="B372" i="27"/>
  <c r="AU371" i="27"/>
  <c r="D639" i="30"/>
  <c r="I639" i="30" s="1"/>
  <c r="I643" i="27"/>
  <c r="AX358" i="27"/>
  <c r="AT356" i="27"/>
  <c r="H353" i="30" s="1"/>
  <c r="BE360" i="27"/>
  <c r="F357" i="30"/>
  <c r="B366" i="30"/>
  <c r="BB359" i="27"/>
  <c r="BC359" i="27"/>
  <c r="E356" i="30"/>
  <c r="BA359" i="27"/>
  <c r="BJ357" i="27"/>
  <c r="BK357" i="27" s="1"/>
  <c r="BD359" i="27"/>
  <c r="BG359" i="27" s="1"/>
  <c r="BI358" i="27"/>
  <c r="BH358" i="27"/>
  <c r="AY359" i="27"/>
  <c r="AX359" i="27" s="1"/>
  <c r="D358" i="30"/>
  <c r="I358" i="30" s="1"/>
  <c r="BF373" i="27" l="1"/>
  <c r="G370" i="30"/>
  <c r="AM375" i="27"/>
  <c r="AS374" i="27"/>
  <c r="D640" i="30"/>
  <c r="I640" i="30" s="1"/>
  <c r="I644" i="27"/>
  <c r="B373" i="27"/>
  <c r="AU372" i="27"/>
  <c r="AT357" i="27"/>
  <c r="H354" i="30" s="1"/>
  <c r="BL359" i="27"/>
  <c r="BA360" i="27"/>
  <c r="BE361" i="27"/>
  <c r="F358" i="30"/>
  <c r="BJ358" i="27"/>
  <c r="BK358" i="27" s="1"/>
  <c r="BB360" i="27"/>
  <c r="BC360" i="27"/>
  <c r="E357" i="30"/>
  <c r="B367" i="30"/>
  <c r="AY360" i="27"/>
  <c r="AZ361" i="27"/>
  <c r="D359" i="30"/>
  <c r="I359" i="30" s="1"/>
  <c r="BD360" i="27"/>
  <c r="BG360" i="27" s="1"/>
  <c r="BI359" i="27"/>
  <c r="BH359" i="27"/>
  <c r="BF374" i="27" l="1"/>
  <c r="G371" i="30"/>
  <c r="AM376" i="27"/>
  <c r="AS375" i="27"/>
  <c r="D641" i="30"/>
  <c r="I641" i="30" s="1"/>
  <c r="I645" i="27"/>
  <c r="AX360" i="27"/>
  <c r="B374" i="27"/>
  <c r="AU373" i="27"/>
  <c r="AT358" i="27"/>
  <c r="H355" i="30" s="1"/>
  <c r="BL360" i="27"/>
  <c r="BE362" i="27"/>
  <c r="F359" i="30"/>
  <c r="BC361" i="27"/>
  <c r="BL361" i="27" s="1"/>
  <c r="BB361" i="27"/>
  <c r="E358" i="30"/>
  <c r="B368" i="30"/>
  <c r="BJ359" i="27"/>
  <c r="BK359" i="27" s="1"/>
  <c r="BA361" i="27"/>
  <c r="BD361" i="27"/>
  <c r="BG361" i="27" s="1"/>
  <c r="BH360" i="27"/>
  <c r="BI360" i="27"/>
  <c r="AY361" i="27"/>
  <c r="AZ362" i="27"/>
  <c r="D360" i="30"/>
  <c r="I360" i="30" s="1"/>
  <c r="G372" i="30" l="1"/>
  <c r="BF375" i="27"/>
  <c r="AM377" i="27"/>
  <c r="AS376" i="27"/>
  <c r="B375" i="27"/>
  <c r="AU374" i="27"/>
  <c r="I646" i="27"/>
  <c r="D642" i="30"/>
  <c r="I642" i="30" s="1"/>
  <c r="AT359" i="27"/>
  <c r="H356" i="30" s="1"/>
  <c r="AX361" i="27"/>
  <c r="BE363" i="27"/>
  <c r="F360" i="30"/>
  <c r="BB362" i="27"/>
  <c r="BC362" i="27"/>
  <c r="BL362" i="27" s="1"/>
  <c r="E359" i="30"/>
  <c r="B369" i="30"/>
  <c r="AZ363" i="27"/>
  <c r="BJ360" i="27"/>
  <c r="BK360" i="27" s="1"/>
  <c r="AY362" i="27"/>
  <c r="BA362" i="27"/>
  <c r="BD362" i="27"/>
  <c r="BG362" i="27" s="1"/>
  <c r="BI361" i="27"/>
  <c r="BH361" i="27"/>
  <c r="D361" i="30"/>
  <c r="I361" i="30" s="1"/>
  <c r="AM378" i="27" l="1"/>
  <c r="AS377" i="27"/>
  <c r="BF376" i="27"/>
  <c r="G373" i="30"/>
  <c r="D643" i="30"/>
  <c r="I643" i="30" s="1"/>
  <c r="I647" i="27"/>
  <c r="B376" i="27"/>
  <c r="AU375" i="27"/>
  <c r="AT360" i="27"/>
  <c r="H357" i="30" s="1"/>
  <c r="AX362" i="27"/>
  <c r="BE364" i="27"/>
  <c r="F361" i="30"/>
  <c r="BC363" i="27"/>
  <c r="BB363" i="27"/>
  <c r="E360" i="30"/>
  <c r="B370" i="30"/>
  <c r="AY363" i="27"/>
  <c r="BA363" i="27"/>
  <c r="BJ361" i="27"/>
  <c r="BK361" i="27" s="1"/>
  <c r="AZ364" i="27"/>
  <c r="BD363" i="27"/>
  <c r="BG363" i="27" s="1"/>
  <c r="BI362" i="27"/>
  <c r="BH362" i="27"/>
  <c r="D362" i="30"/>
  <c r="I362" i="30" s="1"/>
  <c r="BF377" i="27" l="1"/>
  <c r="G374" i="30"/>
  <c r="AM379" i="27"/>
  <c r="AS378" i="27"/>
  <c r="I648" i="27"/>
  <c r="D644" i="30"/>
  <c r="I644" i="30" s="1"/>
  <c r="B377" i="27"/>
  <c r="AU376" i="27"/>
  <c r="AT361" i="27"/>
  <c r="H358" i="30" s="1"/>
  <c r="BL363" i="27"/>
  <c r="BA364" i="27"/>
  <c r="AX363" i="27"/>
  <c r="BE365" i="27"/>
  <c r="F362" i="30"/>
  <c r="B371" i="30"/>
  <c r="BB364" i="27"/>
  <c r="BC364" i="27"/>
  <c r="E361" i="30"/>
  <c r="BJ362" i="27"/>
  <c r="BK362" i="27" s="1"/>
  <c r="BH363" i="27"/>
  <c r="BI363" i="27"/>
  <c r="BD364" i="27"/>
  <c r="BG364" i="27" s="1"/>
  <c r="D363" i="30"/>
  <c r="I363" i="30" s="1"/>
  <c r="AZ365" i="27"/>
  <c r="AY364" i="27"/>
  <c r="AX364" i="27" s="1"/>
  <c r="BF378" i="27" l="1"/>
  <c r="G375" i="30"/>
  <c r="AM380" i="27"/>
  <c r="AS379" i="27"/>
  <c r="B378" i="27"/>
  <c r="AU377" i="27"/>
  <c r="D645" i="30"/>
  <c r="I645" i="30" s="1"/>
  <c r="I649" i="27"/>
  <c r="AT362" i="27"/>
  <c r="H359" i="30" s="1"/>
  <c r="BL364" i="27"/>
  <c r="BE366" i="27"/>
  <c r="F363" i="30"/>
  <c r="BC365" i="27"/>
  <c r="BL365" i="27" s="1"/>
  <c r="BB365" i="27"/>
  <c r="E362" i="30"/>
  <c r="B372" i="30"/>
  <c r="BA365" i="27"/>
  <c r="D364" i="30"/>
  <c r="I364" i="30" s="1"/>
  <c r="AZ366" i="27"/>
  <c r="BD365" i="27"/>
  <c r="BG365" i="27" s="1"/>
  <c r="AY365" i="27"/>
  <c r="AX365" i="27" s="1"/>
  <c r="BI364" i="27"/>
  <c r="BH364" i="27"/>
  <c r="BJ363" i="27"/>
  <c r="BK363" i="27" s="1"/>
  <c r="G376" i="30" l="1"/>
  <c r="BF379" i="27"/>
  <c r="AM381" i="27"/>
  <c r="AS380" i="27"/>
  <c r="I650" i="27"/>
  <c r="D646" i="30"/>
  <c r="I646" i="30" s="1"/>
  <c r="B379" i="27"/>
  <c r="AU378" i="27"/>
  <c r="AT363" i="27"/>
  <c r="H360" i="30" s="1"/>
  <c r="AY366" i="27"/>
  <c r="BE367" i="27"/>
  <c r="F364" i="30"/>
  <c r="BB366" i="27"/>
  <c r="BC366" i="27"/>
  <c r="BL366" i="27" s="1"/>
  <c r="E363" i="30"/>
  <c r="B373" i="30"/>
  <c r="AZ367" i="27"/>
  <c r="BD366" i="27"/>
  <c r="BG366" i="27" s="1"/>
  <c r="BA366" i="27"/>
  <c r="D365" i="30"/>
  <c r="I365" i="30" s="1"/>
  <c r="BI365" i="27"/>
  <c r="BH365" i="27"/>
  <c r="BJ365" i="27" s="1"/>
  <c r="BK365" i="27" s="1"/>
  <c r="BJ364" i="27"/>
  <c r="BK364" i="27" s="1"/>
  <c r="BF380" i="27" l="1"/>
  <c r="G377" i="30"/>
  <c r="AM382" i="27"/>
  <c r="AS381" i="27"/>
  <c r="B380" i="27"/>
  <c r="AU379" i="27"/>
  <c r="D647" i="30"/>
  <c r="I647" i="30" s="1"/>
  <c r="I651" i="27"/>
  <c r="AX366" i="27"/>
  <c r="AT364" i="27"/>
  <c r="H361" i="30" s="1"/>
  <c r="AT365" i="27"/>
  <c r="H362" i="30" s="1"/>
  <c r="BE368" i="27"/>
  <c r="F365" i="30"/>
  <c r="B374" i="30"/>
  <c r="BC367" i="27"/>
  <c r="BB367" i="27"/>
  <c r="E364" i="30"/>
  <c r="BA367" i="27"/>
  <c r="AG369" i="27"/>
  <c r="AZ368" i="27"/>
  <c r="BD367" i="27"/>
  <c r="BG367" i="27" s="1"/>
  <c r="AY367" i="27"/>
  <c r="BH366" i="27"/>
  <c r="BI366" i="27"/>
  <c r="AD369" i="27"/>
  <c r="AC369" i="27"/>
  <c r="D366" i="30"/>
  <c r="I366" i="30" s="1"/>
  <c r="BF381" i="27" l="1"/>
  <c r="G378" i="30"/>
  <c r="AM383" i="27"/>
  <c r="AS382" i="27"/>
  <c r="I652" i="27"/>
  <c r="D648" i="30"/>
  <c r="I648" i="30" s="1"/>
  <c r="B381" i="27"/>
  <c r="AU380" i="27"/>
  <c r="AE369" i="27"/>
  <c r="AF369" i="27" s="1"/>
  <c r="AZ369" i="27" s="1"/>
  <c r="BL367" i="27"/>
  <c r="AX367" i="27"/>
  <c r="BE369" i="27"/>
  <c r="F366" i="30"/>
  <c r="BB368" i="27"/>
  <c r="BC368" i="27"/>
  <c r="BL368" i="27" s="1"/>
  <c r="E365" i="30"/>
  <c r="B375" i="30"/>
  <c r="AY368" i="27"/>
  <c r="AG370" i="27"/>
  <c r="BJ366" i="27"/>
  <c r="BK366" i="27" s="1"/>
  <c r="U369" i="27"/>
  <c r="BI367" i="27"/>
  <c r="BH367" i="27"/>
  <c r="D367" i="30"/>
  <c r="I367" i="30" s="1"/>
  <c r="R369" i="27"/>
  <c r="Q369" i="27"/>
  <c r="AD370" i="27"/>
  <c r="AC370" i="27"/>
  <c r="AP369" i="27"/>
  <c r="AO369" i="27"/>
  <c r="BD368" i="27"/>
  <c r="BG368" i="27" s="1"/>
  <c r="BA368" i="27"/>
  <c r="BF382" i="27" l="1"/>
  <c r="G379" i="30"/>
  <c r="AM384" i="27"/>
  <c r="AS383" i="27"/>
  <c r="B382" i="27"/>
  <c r="AU381" i="27"/>
  <c r="D649" i="30"/>
  <c r="I649" i="30" s="1"/>
  <c r="I653" i="27"/>
  <c r="AT366" i="27"/>
  <c r="H363" i="30" s="1"/>
  <c r="AX368" i="27"/>
  <c r="BE370" i="27"/>
  <c r="F367" i="30"/>
  <c r="BB369" i="27"/>
  <c r="BC369" i="27"/>
  <c r="BL369" i="27" s="1"/>
  <c r="E366" i="30"/>
  <c r="B376" i="30"/>
  <c r="S369" i="27"/>
  <c r="T369" i="27" s="1"/>
  <c r="BA369" i="27" s="1"/>
  <c r="AG371" i="27"/>
  <c r="AE370" i="27"/>
  <c r="AF370" i="27" s="1"/>
  <c r="AZ370" i="27" s="1"/>
  <c r="Q370" i="27"/>
  <c r="R370" i="27"/>
  <c r="D368" i="30"/>
  <c r="I368" i="30" s="1"/>
  <c r="BJ367" i="27"/>
  <c r="BK367" i="27" s="1"/>
  <c r="AD371" i="27"/>
  <c r="AC371" i="27"/>
  <c r="BD369" i="27"/>
  <c r="BG369" i="27" s="1"/>
  <c r="AQ369" i="27"/>
  <c r="AR369" i="27" s="1"/>
  <c r="AY369" i="27" s="1"/>
  <c r="AP370" i="27"/>
  <c r="AO370" i="27"/>
  <c r="BI368" i="27"/>
  <c r="BH368" i="27"/>
  <c r="U370" i="27"/>
  <c r="G380" i="30" l="1"/>
  <c r="BF383" i="27"/>
  <c r="AM385" i="27"/>
  <c r="AS384" i="27"/>
  <c r="D650" i="30"/>
  <c r="I650" i="30" s="1"/>
  <c r="I654" i="27"/>
  <c r="B383" i="27"/>
  <c r="AU382" i="27"/>
  <c r="AT367" i="27"/>
  <c r="H364" i="30" s="1"/>
  <c r="BJ368" i="27"/>
  <c r="BK368" i="27" s="1"/>
  <c r="BE371" i="27"/>
  <c r="F368" i="30"/>
  <c r="BB370" i="27"/>
  <c r="BC370" i="27"/>
  <c r="BL370" i="27" s="1"/>
  <c r="E367" i="30"/>
  <c r="B377" i="30"/>
  <c r="AX369" i="27"/>
  <c r="AE371" i="27"/>
  <c r="AF371" i="27" s="1"/>
  <c r="AZ371" i="27" s="1"/>
  <c r="AG372" i="27"/>
  <c r="AC372" i="27"/>
  <c r="AD372" i="27"/>
  <c r="BH369" i="27"/>
  <c r="BI369" i="27"/>
  <c r="AP371" i="27"/>
  <c r="AO371" i="27"/>
  <c r="Q371" i="27"/>
  <c r="R371" i="27"/>
  <c r="BD370" i="27"/>
  <c r="BG370" i="27" s="1"/>
  <c r="S370" i="27"/>
  <c r="T370" i="27" s="1"/>
  <c r="BA370" i="27" s="1"/>
  <c r="D369" i="30"/>
  <c r="I369" i="30" s="1"/>
  <c r="AQ370" i="27"/>
  <c r="AR370" i="27" s="1"/>
  <c r="AY370" i="27" s="1"/>
  <c r="U371" i="27"/>
  <c r="G381" i="30" l="1"/>
  <c r="BF384" i="27"/>
  <c r="AM386" i="27"/>
  <c r="AS385" i="27"/>
  <c r="B384" i="27"/>
  <c r="AU383" i="27"/>
  <c r="I655" i="27"/>
  <c r="D651" i="30"/>
  <c r="I651" i="30" s="1"/>
  <c r="AT368" i="27"/>
  <c r="BE372" i="27"/>
  <c r="F369" i="30"/>
  <c r="BC371" i="27"/>
  <c r="BB371" i="27"/>
  <c r="E368" i="30"/>
  <c r="B378" i="30"/>
  <c r="S371" i="27"/>
  <c r="T371" i="27" s="1"/>
  <c r="BA371" i="27" s="1"/>
  <c r="AQ371" i="27"/>
  <c r="AR371" i="27" s="1"/>
  <c r="AY371" i="27" s="1"/>
  <c r="AE372" i="27"/>
  <c r="AF372" i="27" s="1"/>
  <c r="AZ372" i="27" s="1"/>
  <c r="AG373" i="27"/>
  <c r="BH370" i="27"/>
  <c r="BI370" i="27"/>
  <c r="D370" i="30"/>
  <c r="I370" i="30" s="1"/>
  <c r="U372" i="27"/>
  <c r="BJ369" i="27"/>
  <c r="BK369" i="27" s="1"/>
  <c r="AT369" i="27" s="1"/>
  <c r="H366" i="30" s="1"/>
  <c r="R372" i="27"/>
  <c r="Q372" i="27"/>
  <c r="BD371" i="27"/>
  <c r="BG371" i="27" s="1"/>
  <c r="AD373" i="27"/>
  <c r="AC373" i="27"/>
  <c r="AX370" i="27"/>
  <c r="AP372" i="27"/>
  <c r="AO372" i="27"/>
  <c r="AM387" i="27" l="1"/>
  <c r="AS386" i="27"/>
  <c r="G382" i="30"/>
  <c r="BF385" i="27"/>
  <c r="D652" i="30"/>
  <c r="I652" i="30" s="1"/>
  <c r="I656" i="27"/>
  <c r="B385" i="27"/>
  <c r="AU384" i="27"/>
  <c r="H365" i="30"/>
  <c r="AQ372" i="27"/>
  <c r="AR372" i="27" s="1"/>
  <c r="AY372" i="27" s="1"/>
  <c r="BL371" i="27"/>
  <c r="BE373" i="27"/>
  <c r="F370" i="30"/>
  <c r="BB372" i="27"/>
  <c r="BC372" i="27"/>
  <c r="BL372" i="27" s="1"/>
  <c r="E369" i="30"/>
  <c r="AX371" i="27"/>
  <c r="B379" i="30"/>
  <c r="S372" i="27"/>
  <c r="T372" i="27" s="1"/>
  <c r="BA372" i="27" s="1"/>
  <c r="AG374" i="27"/>
  <c r="Q373" i="27"/>
  <c r="R373" i="27"/>
  <c r="U373" i="27"/>
  <c r="BH371" i="27"/>
  <c r="BI371" i="27"/>
  <c r="BD372" i="27"/>
  <c r="BG372" i="27" s="1"/>
  <c r="AC374" i="27"/>
  <c r="AD374" i="27"/>
  <c r="AP373" i="27"/>
  <c r="AO373" i="27"/>
  <c r="D371" i="30"/>
  <c r="I371" i="30" s="1"/>
  <c r="AE373" i="27"/>
  <c r="AF373" i="27" s="1"/>
  <c r="AZ373" i="27" s="1"/>
  <c r="BJ370" i="27"/>
  <c r="BK370" i="27" s="1"/>
  <c r="AT370" i="27" s="1"/>
  <c r="H367" i="30" s="1"/>
  <c r="G383" i="30" l="1"/>
  <c r="BF386" i="27"/>
  <c r="AM388" i="27"/>
  <c r="AS387" i="27"/>
  <c r="B386" i="27"/>
  <c r="AU385" i="27"/>
  <c r="D653" i="30"/>
  <c r="I653" i="30" s="1"/>
  <c r="I657" i="27"/>
  <c r="AX372" i="27"/>
  <c r="BE374" i="27"/>
  <c r="F371" i="30"/>
  <c r="BB373" i="27"/>
  <c r="BC373" i="27"/>
  <c r="BL373" i="27" s="1"/>
  <c r="E370" i="30"/>
  <c r="B380" i="30"/>
  <c r="AG375" i="27"/>
  <c r="AQ373" i="27"/>
  <c r="AR373" i="27" s="1"/>
  <c r="AY373" i="27" s="1"/>
  <c r="BD373" i="27"/>
  <c r="BG373" i="27" s="1"/>
  <c r="D372" i="30"/>
  <c r="I372" i="30" s="1"/>
  <c r="AD375" i="27"/>
  <c r="AC375" i="27"/>
  <c r="S373" i="27"/>
  <c r="T373" i="27" s="1"/>
  <c r="BA373" i="27" s="1"/>
  <c r="AO374" i="27"/>
  <c r="AP374" i="27"/>
  <c r="AE374" i="27"/>
  <c r="AF374" i="27" s="1"/>
  <c r="AZ374" i="27" s="1"/>
  <c r="BH372" i="27"/>
  <c r="BI372" i="27"/>
  <c r="U374" i="27"/>
  <c r="R374" i="27"/>
  <c r="Q374" i="27"/>
  <c r="BJ371" i="27"/>
  <c r="BK371" i="27" s="1"/>
  <c r="AT371" i="27" s="1"/>
  <c r="H368" i="30" s="1"/>
  <c r="BF387" i="27" l="1"/>
  <c r="G384" i="30"/>
  <c r="AM389" i="27"/>
  <c r="AS388" i="27"/>
  <c r="D654" i="30"/>
  <c r="I654" i="30" s="1"/>
  <c r="I658" i="27"/>
  <c r="B387" i="27"/>
  <c r="AU386" i="27"/>
  <c r="S374" i="27"/>
  <c r="T374" i="27" s="1"/>
  <c r="BA374" i="27" s="1"/>
  <c r="BE375" i="27"/>
  <c r="F372" i="30"/>
  <c r="B381" i="30"/>
  <c r="BB374" i="27"/>
  <c r="BC374" i="27"/>
  <c r="BL374" i="27" s="1"/>
  <c r="E371" i="30"/>
  <c r="AE375" i="27"/>
  <c r="AF375" i="27" s="1"/>
  <c r="AZ375" i="27" s="1"/>
  <c r="AG376" i="27"/>
  <c r="U375" i="27"/>
  <c r="BD374" i="27"/>
  <c r="BG374" i="27" s="1"/>
  <c r="AD376" i="27"/>
  <c r="AC376" i="27"/>
  <c r="AO375" i="27"/>
  <c r="AP375" i="27"/>
  <c r="BJ372" i="27"/>
  <c r="BK372" i="27" s="1"/>
  <c r="AT372" i="27" s="1"/>
  <c r="D373" i="30"/>
  <c r="I373" i="30" s="1"/>
  <c r="BI373" i="27"/>
  <c r="BH373" i="27"/>
  <c r="R375" i="27"/>
  <c r="Q375" i="27"/>
  <c r="AQ374" i="27"/>
  <c r="AR374" i="27" s="1"/>
  <c r="AY374" i="27" s="1"/>
  <c r="AX373" i="27"/>
  <c r="BF388" i="27" l="1"/>
  <c r="G385" i="30"/>
  <c r="AM390" i="27"/>
  <c r="AS389" i="27"/>
  <c r="B388" i="27"/>
  <c r="AU387" i="27"/>
  <c r="AX374" i="27"/>
  <c r="D655" i="30"/>
  <c r="I655" i="30" s="1"/>
  <c r="I659" i="27"/>
  <c r="H369" i="30"/>
  <c r="BE376" i="27"/>
  <c r="F373" i="30"/>
  <c r="BB375" i="27"/>
  <c r="BC375" i="27"/>
  <c r="BL375" i="27" s="1"/>
  <c r="E372" i="30"/>
  <c r="B382" i="30"/>
  <c r="S375" i="27"/>
  <c r="T375" i="27" s="1"/>
  <c r="BA375" i="27" s="1"/>
  <c r="AE376" i="27"/>
  <c r="AF376" i="27" s="1"/>
  <c r="AZ376" i="27" s="1"/>
  <c r="BJ373" i="27"/>
  <c r="BK373" i="27" s="1"/>
  <c r="AT373" i="27" s="1"/>
  <c r="H370" i="30" s="1"/>
  <c r="AG377" i="27"/>
  <c r="D374" i="30"/>
  <c r="I374" i="30" s="1"/>
  <c r="AP376" i="27"/>
  <c r="AO376" i="27"/>
  <c r="AC377" i="27"/>
  <c r="AD377" i="27"/>
  <c r="AQ375" i="27"/>
  <c r="AR375" i="27" s="1"/>
  <c r="AY375" i="27" s="1"/>
  <c r="BI374" i="27"/>
  <c r="BH374" i="27"/>
  <c r="U376" i="27"/>
  <c r="R376" i="27"/>
  <c r="Q376" i="27"/>
  <c r="BD375" i="27"/>
  <c r="BG375" i="27" s="1"/>
  <c r="AM391" i="27" l="1"/>
  <c r="AS390" i="27"/>
  <c r="BF389" i="27"/>
  <c r="G386" i="30"/>
  <c r="I660" i="27"/>
  <c r="D656" i="30"/>
  <c r="I656" i="30" s="1"/>
  <c r="B389" i="27"/>
  <c r="AU388" i="27"/>
  <c r="AQ376" i="27"/>
  <c r="AR376" i="27" s="1"/>
  <c r="AY376" i="27" s="1"/>
  <c r="S376" i="27"/>
  <c r="T376" i="27" s="1"/>
  <c r="BA376" i="27" s="1"/>
  <c r="AX375" i="27"/>
  <c r="BE377" i="27"/>
  <c r="F374" i="30"/>
  <c r="BB376" i="27"/>
  <c r="BC376" i="27"/>
  <c r="BL376" i="27" s="1"/>
  <c r="E373" i="30"/>
  <c r="B383" i="30"/>
  <c r="AG378" i="27"/>
  <c r="BD376" i="27"/>
  <c r="BG376" i="27" s="1"/>
  <c r="BJ374" i="27"/>
  <c r="BK374" i="27" s="1"/>
  <c r="AT374" i="27" s="1"/>
  <c r="U377" i="27"/>
  <c r="AD378" i="27"/>
  <c r="AC378" i="27"/>
  <c r="AE377" i="27"/>
  <c r="AF377" i="27" s="1"/>
  <c r="AZ377" i="27" s="1"/>
  <c r="BH375" i="27"/>
  <c r="BI375" i="27"/>
  <c r="D375" i="30"/>
  <c r="I375" i="30" s="1"/>
  <c r="AO377" i="27"/>
  <c r="AP377" i="27"/>
  <c r="R377" i="27"/>
  <c r="Q377" i="27"/>
  <c r="AX376" i="27" l="1"/>
  <c r="BF390" i="27"/>
  <c r="G387" i="30"/>
  <c r="AM392" i="27"/>
  <c r="AS391" i="27"/>
  <c r="B390" i="27"/>
  <c r="AU389" i="27"/>
  <c r="I661" i="27"/>
  <c r="D657" i="30"/>
  <c r="I657" i="30" s="1"/>
  <c r="H371" i="30"/>
  <c r="BE378" i="27"/>
  <c r="F375" i="30"/>
  <c r="B384" i="30"/>
  <c r="BC377" i="27"/>
  <c r="BB377" i="27"/>
  <c r="E374" i="30"/>
  <c r="S377" i="27"/>
  <c r="T377" i="27" s="1"/>
  <c r="BA377" i="27" s="1"/>
  <c r="AG379" i="27"/>
  <c r="BJ375" i="27"/>
  <c r="BK375" i="27" s="1"/>
  <c r="AT375" i="27" s="1"/>
  <c r="H372" i="30" s="1"/>
  <c r="BD377" i="27"/>
  <c r="BG377" i="27" s="1"/>
  <c r="U378" i="27"/>
  <c r="AD379" i="27"/>
  <c r="AC379" i="27"/>
  <c r="AQ377" i="27"/>
  <c r="AR377" i="27" s="1"/>
  <c r="AY377" i="27" s="1"/>
  <c r="BI376" i="27"/>
  <c r="BH376" i="27"/>
  <c r="AE378" i="27"/>
  <c r="AF378" i="27" s="1"/>
  <c r="AZ378" i="27" s="1"/>
  <c r="R378" i="27"/>
  <c r="Q378" i="27"/>
  <c r="AO378" i="27"/>
  <c r="AP378" i="27"/>
  <c r="D376" i="30"/>
  <c r="I376" i="30" s="1"/>
  <c r="BF391" i="27" l="1"/>
  <c r="G388" i="30"/>
  <c r="AM393" i="27"/>
  <c r="AS392" i="27"/>
  <c r="D658" i="30"/>
  <c r="I658" i="30" s="1"/>
  <c r="I662" i="27"/>
  <c r="B391" i="27"/>
  <c r="AU390" i="27"/>
  <c r="BL377" i="27"/>
  <c r="AX377" i="27"/>
  <c r="BE379" i="27"/>
  <c r="F376" i="30"/>
  <c r="BB378" i="27"/>
  <c r="BC378" i="27"/>
  <c r="BL378" i="27" s="1"/>
  <c r="E375" i="30"/>
  <c r="B385" i="30"/>
  <c r="AG380" i="27"/>
  <c r="BJ376" i="27"/>
  <c r="BK376" i="27" s="1"/>
  <c r="AT376" i="27" s="1"/>
  <c r="BD378" i="27"/>
  <c r="BG378" i="27" s="1"/>
  <c r="D377" i="30"/>
  <c r="I377" i="30" s="1"/>
  <c r="AQ378" i="27"/>
  <c r="AR378" i="27" s="1"/>
  <c r="AY378" i="27" s="1"/>
  <c r="AC380" i="27"/>
  <c r="AD380" i="27"/>
  <c r="U379" i="27"/>
  <c r="R379" i="27"/>
  <c r="Q379" i="27"/>
  <c r="BI377" i="27"/>
  <c r="BH377" i="27"/>
  <c r="AE379" i="27"/>
  <c r="AF379" i="27" s="1"/>
  <c r="AZ379" i="27" s="1"/>
  <c r="AP379" i="27"/>
  <c r="AO379" i="27"/>
  <c r="AQ379" i="27" s="1"/>
  <c r="AR379" i="27" s="1"/>
  <c r="AY379" i="27" s="1"/>
  <c r="S378" i="27"/>
  <c r="T378" i="27" s="1"/>
  <c r="BA378" i="27" s="1"/>
  <c r="BF392" i="27" l="1"/>
  <c r="G389" i="30"/>
  <c r="AM394" i="27"/>
  <c r="AS393" i="27"/>
  <c r="AX378" i="27"/>
  <c r="B392" i="27"/>
  <c r="AU391" i="27"/>
  <c r="D659" i="30"/>
  <c r="I659" i="30" s="1"/>
  <c r="I663" i="27"/>
  <c r="H373" i="30"/>
  <c r="BE380" i="27"/>
  <c r="F377" i="30"/>
  <c r="BC379" i="27"/>
  <c r="BB379" i="27"/>
  <c r="E376" i="30"/>
  <c r="B386" i="30"/>
  <c r="S379" i="27"/>
  <c r="T379" i="27" s="1"/>
  <c r="BA379" i="27" s="1"/>
  <c r="AX379" i="27" s="1"/>
  <c r="AE380" i="27"/>
  <c r="AF380" i="27" s="1"/>
  <c r="AZ380" i="27" s="1"/>
  <c r="AG381" i="27"/>
  <c r="AD381" i="27"/>
  <c r="AC381" i="27"/>
  <c r="D378" i="30"/>
  <c r="I378" i="30" s="1"/>
  <c r="AP380" i="27"/>
  <c r="AO380" i="27"/>
  <c r="BH378" i="27"/>
  <c r="BI378" i="27"/>
  <c r="U380" i="27"/>
  <c r="R380" i="27"/>
  <c r="Q380" i="27"/>
  <c r="BD379" i="27"/>
  <c r="BG379" i="27" s="1"/>
  <c r="BJ377" i="27"/>
  <c r="BK377" i="27" s="1"/>
  <c r="AT377" i="27" s="1"/>
  <c r="H374" i="30" s="1"/>
  <c r="BF393" i="27" l="1"/>
  <c r="G390" i="30"/>
  <c r="AM395" i="27"/>
  <c r="AS394" i="27"/>
  <c r="D660" i="30"/>
  <c r="I660" i="30" s="1"/>
  <c r="I664" i="27"/>
  <c r="B393" i="27"/>
  <c r="AU392" i="27"/>
  <c r="BL379" i="27"/>
  <c r="BE381" i="27"/>
  <c r="F378" i="30"/>
  <c r="B387" i="30"/>
  <c r="BB380" i="27"/>
  <c r="BC380" i="27"/>
  <c r="BL380" i="27" s="1"/>
  <c r="E377" i="30"/>
  <c r="AE381" i="27"/>
  <c r="AF381" i="27" s="1"/>
  <c r="AZ381" i="27" s="1"/>
  <c r="BJ378" i="27"/>
  <c r="BK378" i="27" s="1"/>
  <c r="AT378" i="27" s="1"/>
  <c r="H375" i="30" s="1"/>
  <c r="AG382" i="27"/>
  <c r="AQ380" i="27"/>
  <c r="AR380" i="27" s="1"/>
  <c r="AY380" i="27" s="1"/>
  <c r="U381" i="27"/>
  <c r="BD380" i="27"/>
  <c r="BG380" i="27" s="1"/>
  <c r="D379" i="30"/>
  <c r="I379" i="30" s="1"/>
  <c r="AO381" i="27"/>
  <c r="AP381" i="27"/>
  <c r="AD382" i="27"/>
  <c r="AC382" i="27"/>
  <c r="AE382" i="27" s="1"/>
  <c r="AF382" i="27" s="1"/>
  <c r="AZ382" i="27" s="1"/>
  <c r="R381" i="27"/>
  <c r="Q381" i="27"/>
  <c r="BI379" i="27"/>
  <c r="BH379" i="27"/>
  <c r="S380" i="27"/>
  <c r="T380" i="27" s="1"/>
  <c r="BA380" i="27" s="1"/>
  <c r="AM396" i="27" l="1"/>
  <c r="AS395" i="27"/>
  <c r="BF394" i="27"/>
  <c r="G391" i="30"/>
  <c r="B394" i="27"/>
  <c r="AU393" i="27"/>
  <c r="D661" i="30"/>
  <c r="I661" i="30" s="1"/>
  <c r="I665" i="27"/>
  <c r="BJ379" i="27"/>
  <c r="BK379" i="27" s="1"/>
  <c r="AT379" i="27" s="1"/>
  <c r="H376" i="30" s="1"/>
  <c r="AX380" i="27"/>
  <c r="BE382" i="27"/>
  <c r="F379" i="30"/>
  <c r="BC381" i="27"/>
  <c r="BL381" i="27" s="1"/>
  <c r="BB381" i="27"/>
  <c r="E378" i="30"/>
  <c r="B388" i="30"/>
  <c r="AQ381" i="27"/>
  <c r="AR381" i="27" s="1"/>
  <c r="AY381" i="27" s="1"/>
  <c r="AG383" i="27"/>
  <c r="AO382" i="27"/>
  <c r="AP382" i="27"/>
  <c r="AD383" i="27"/>
  <c r="AC383" i="27"/>
  <c r="D380" i="30"/>
  <c r="I380" i="30" s="1"/>
  <c r="BD381" i="27"/>
  <c r="BG381" i="27" s="1"/>
  <c r="U382" i="27"/>
  <c r="S381" i="27"/>
  <c r="T381" i="27" s="1"/>
  <c r="BA381" i="27" s="1"/>
  <c r="BI380" i="27"/>
  <c r="BH380" i="27"/>
  <c r="R382" i="27"/>
  <c r="Q382" i="27"/>
  <c r="BF395" i="27" l="1"/>
  <c r="G392" i="30"/>
  <c r="AM397" i="27"/>
  <c r="AS396" i="27"/>
  <c r="I666" i="27"/>
  <c r="D662" i="30"/>
  <c r="I662" i="30" s="1"/>
  <c r="B395" i="27"/>
  <c r="AU394" i="27"/>
  <c r="AX381" i="27"/>
  <c r="BE383" i="27"/>
  <c r="F380" i="30"/>
  <c r="BB382" i="27"/>
  <c r="BC382" i="27"/>
  <c r="BL382" i="27" s="1"/>
  <c r="E379" i="30"/>
  <c r="B389" i="30"/>
  <c r="AE383" i="27"/>
  <c r="AF383" i="27" s="1"/>
  <c r="AZ383" i="27" s="1"/>
  <c r="BJ380" i="27"/>
  <c r="BK380" i="27" s="1"/>
  <c r="AT380" i="27" s="1"/>
  <c r="H377" i="30" s="1"/>
  <c r="AG384" i="27"/>
  <c r="D381" i="30"/>
  <c r="I381" i="30" s="1"/>
  <c r="BI381" i="27"/>
  <c r="BH381" i="27"/>
  <c r="AD384" i="27"/>
  <c r="AC384" i="27"/>
  <c r="U383" i="27"/>
  <c r="BD382" i="27"/>
  <c r="BG382" i="27" s="1"/>
  <c r="S382" i="27"/>
  <c r="T382" i="27" s="1"/>
  <c r="BA382" i="27" s="1"/>
  <c r="AQ382" i="27"/>
  <c r="AR382" i="27" s="1"/>
  <c r="AY382" i="27" s="1"/>
  <c r="R383" i="27"/>
  <c r="Q383" i="27"/>
  <c r="AP383" i="27"/>
  <c r="AO383" i="27"/>
  <c r="BF396" i="27" l="1"/>
  <c r="G393" i="30"/>
  <c r="AM398" i="27"/>
  <c r="AS397" i="27"/>
  <c r="B396" i="27"/>
  <c r="AU395" i="27"/>
  <c r="I667" i="27"/>
  <c r="D663" i="30"/>
  <c r="I663" i="30" s="1"/>
  <c r="BE384" i="27"/>
  <c r="F381" i="30"/>
  <c r="B390" i="30"/>
  <c r="BC383" i="27"/>
  <c r="BL383" i="27" s="1"/>
  <c r="BB383" i="27"/>
  <c r="E380" i="30"/>
  <c r="AQ383" i="27"/>
  <c r="AR383" i="27" s="1"/>
  <c r="AY383" i="27" s="1"/>
  <c r="AE384" i="27"/>
  <c r="AF384" i="27" s="1"/>
  <c r="AZ384" i="27" s="1"/>
  <c r="AG385" i="27"/>
  <c r="U384" i="27"/>
  <c r="S383" i="27"/>
  <c r="T383" i="27" s="1"/>
  <c r="BA383" i="27" s="1"/>
  <c r="AX382" i="27"/>
  <c r="BJ381" i="27"/>
  <c r="BK381" i="27" s="1"/>
  <c r="AT381" i="27" s="1"/>
  <c r="H378" i="30" s="1"/>
  <c r="BI382" i="27"/>
  <c r="BH382" i="27"/>
  <c r="BD383" i="27"/>
  <c r="BG383" i="27" s="1"/>
  <c r="R384" i="27"/>
  <c r="Q384" i="27"/>
  <c r="AD385" i="27"/>
  <c r="AC385" i="27"/>
  <c r="D382" i="30"/>
  <c r="I382" i="30" s="1"/>
  <c r="AO384" i="27"/>
  <c r="AP384" i="27"/>
  <c r="BF397" i="27" l="1"/>
  <c r="G394" i="30"/>
  <c r="AM399" i="27"/>
  <c r="AS398" i="27"/>
  <c r="D664" i="30"/>
  <c r="I664" i="30" s="1"/>
  <c r="I668" i="27"/>
  <c r="B397" i="27"/>
  <c r="AU396" i="27"/>
  <c r="AX383" i="27"/>
  <c r="BE385" i="27"/>
  <c r="F382" i="30"/>
  <c r="BB384" i="27"/>
  <c r="BC384" i="27"/>
  <c r="BL384" i="27" s="1"/>
  <c r="E381" i="30"/>
  <c r="B391" i="30"/>
  <c r="AE385" i="27"/>
  <c r="AF385" i="27" s="1"/>
  <c r="AZ385" i="27" s="1"/>
  <c r="BJ382" i="27"/>
  <c r="BK382" i="27" s="1"/>
  <c r="AT382" i="27" s="1"/>
  <c r="H379" i="30" s="1"/>
  <c r="AG386" i="27"/>
  <c r="BI383" i="27"/>
  <c r="BH383" i="27"/>
  <c r="AP385" i="27"/>
  <c r="AO385" i="27"/>
  <c r="R385" i="27"/>
  <c r="Q385" i="27"/>
  <c r="BD384" i="27"/>
  <c r="BG384" i="27" s="1"/>
  <c r="AD386" i="27"/>
  <c r="AC386" i="27"/>
  <c r="U385" i="27"/>
  <c r="S384" i="27"/>
  <c r="T384" i="27" s="1"/>
  <c r="BA384" i="27" s="1"/>
  <c r="AQ384" i="27"/>
  <c r="AR384" i="27" s="1"/>
  <c r="AY384" i="27" s="1"/>
  <c r="D383" i="30"/>
  <c r="I383" i="30" s="1"/>
  <c r="G395" i="30" l="1"/>
  <c r="BF398" i="27"/>
  <c r="AM400" i="27"/>
  <c r="AS399" i="27"/>
  <c r="B398" i="27"/>
  <c r="AU397" i="27"/>
  <c r="I669" i="27"/>
  <c r="D665" i="30"/>
  <c r="I665" i="30" s="1"/>
  <c r="AX384" i="27"/>
  <c r="BE386" i="27"/>
  <c r="F383" i="30"/>
  <c r="B392" i="30"/>
  <c r="BB385" i="27"/>
  <c r="BC385" i="27"/>
  <c r="BL385" i="27" s="1"/>
  <c r="E382" i="30"/>
  <c r="AE386" i="27"/>
  <c r="AF386" i="27" s="1"/>
  <c r="AZ386" i="27" s="1"/>
  <c r="S385" i="27"/>
  <c r="T385" i="27" s="1"/>
  <c r="BA385" i="27" s="1"/>
  <c r="AG387" i="27"/>
  <c r="BI384" i="27"/>
  <c r="BH384" i="27"/>
  <c r="AD387" i="27"/>
  <c r="AC387" i="27"/>
  <c r="D384" i="30"/>
  <c r="I384" i="30" s="1"/>
  <c r="AP386" i="27"/>
  <c r="AO386" i="27"/>
  <c r="BJ383" i="27"/>
  <c r="BK383" i="27" s="1"/>
  <c r="AT383" i="27" s="1"/>
  <c r="H380" i="30" s="1"/>
  <c r="R386" i="27"/>
  <c r="Q386" i="27"/>
  <c r="AQ385" i="27"/>
  <c r="AR385" i="27" s="1"/>
  <c r="AY385" i="27" s="1"/>
  <c r="BD385" i="27"/>
  <c r="BG385" i="27" s="1"/>
  <c r="U386" i="27"/>
  <c r="BF399" i="27" l="1"/>
  <c r="G396" i="30"/>
  <c r="AM401" i="27"/>
  <c r="AS400" i="27"/>
  <c r="D666" i="30"/>
  <c r="I666" i="30" s="1"/>
  <c r="I670" i="27"/>
  <c r="B399" i="27"/>
  <c r="AU398" i="27"/>
  <c r="AE387" i="27"/>
  <c r="AF387" i="27" s="1"/>
  <c r="AZ387" i="27" s="1"/>
  <c r="BE387" i="27"/>
  <c r="F384" i="30"/>
  <c r="BB386" i="27"/>
  <c r="BC386" i="27"/>
  <c r="BL386" i="27" s="1"/>
  <c r="E383" i="30"/>
  <c r="AX385" i="27"/>
  <c r="B393" i="30"/>
  <c r="BJ384" i="27"/>
  <c r="BK384" i="27" s="1"/>
  <c r="AT384" i="27" s="1"/>
  <c r="H381" i="30" s="1"/>
  <c r="S386" i="27"/>
  <c r="T386" i="27" s="1"/>
  <c r="BA386" i="27" s="1"/>
  <c r="AQ386" i="27"/>
  <c r="AR386" i="27" s="1"/>
  <c r="AY386" i="27" s="1"/>
  <c r="AG388" i="27"/>
  <c r="Q387" i="27"/>
  <c r="R387" i="27"/>
  <c r="BD386" i="27"/>
  <c r="BG386" i="27" s="1"/>
  <c r="AD388" i="27"/>
  <c r="AC388" i="27"/>
  <c r="AO387" i="27"/>
  <c r="AP387" i="27"/>
  <c r="D385" i="30"/>
  <c r="I385" i="30" s="1"/>
  <c r="BI385" i="27"/>
  <c r="BH385" i="27"/>
  <c r="U387" i="27"/>
  <c r="G397" i="30" l="1"/>
  <c r="BF400" i="27"/>
  <c r="AM402" i="27"/>
  <c r="AS401" i="27"/>
  <c r="B400" i="27"/>
  <c r="AU399" i="27"/>
  <c r="D667" i="30"/>
  <c r="I667" i="30" s="1"/>
  <c r="I671" i="27"/>
  <c r="AX386" i="27"/>
  <c r="BE388" i="27"/>
  <c r="F385" i="30"/>
  <c r="BB387" i="27"/>
  <c r="BC387" i="27"/>
  <c r="BL387" i="27" s="1"/>
  <c r="E384" i="30"/>
  <c r="B394" i="30"/>
  <c r="BJ385" i="27"/>
  <c r="BK385" i="27" s="1"/>
  <c r="AT385" i="27" s="1"/>
  <c r="H382" i="30" s="1"/>
  <c r="AG389" i="27"/>
  <c r="AP388" i="27"/>
  <c r="AO388" i="27"/>
  <c r="D386" i="30"/>
  <c r="I386" i="30" s="1"/>
  <c r="BI386" i="27"/>
  <c r="BH386" i="27"/>
  <c r="R388" i="27"/>
  <c r="Q388" i="27"/>
  <c r="BD387" i="27"/>
  <c r="BG387" i="27" s="1"/>
  <c r="AQ387" i="27"/>
  <c r="AR387" i="27" s="1"/>
  <c r="AY387" i="27" s="1"/>
  <c r="AD389" i="27"/>
  <c r="AC389" i="27"/>
  <c r="S387" i="27"/>
  <c r="T387" i="27" s="1"/>
  <c r="BA387" i="27" s="1"/>
  <c r="AE388" i="27"/>
  <c r="AF388" i="27" s="1"/>
  <c r="AZ388" i="27" s="1"/>
  <c r="U388" i="27"/>
  <c r="AM403" i="27" l="1"/>
  <c r="AS402" i="27"/>
  <c r="BF401" i="27"/>
  <c r="G398" i="30"/>
  <c r="I672" i="27"/>
  <c r="D668" i="30"/>
  <c r="I668" i="30" s="1"/>
  <c r="B401" i="27"/>
  <c r="AU400" i="27"/>
  <c r="AQ388" i="27"/>
  <c r="AR388" i="27" s="1"/>
  <c r="AY388" i="27" s="1"/>
  <c r="BE389" i="27"/>
  <c r="F386" i="30"/>
  <c r="BB388" i="27"/>
  <c r="BC388" i="27"/>
  <c r="BL388" i="27" s="1"/>
  <c r="E385" i="30"/>
  <c r="B395" i="30"/>
  <c r="BJ386" i="27"/>
  <c r="BK386" i="27" s="1"/>
  <c r="AT386" i="27" s="1"/>
  <c r="H383" i="30" s="1"/>
  <c r="AX387" i="27"/>
  <c r="AE389" i="27"/>
  <c r="AF389" i="27" s="1"/>
  <c r="AZ389" i="27" s="1"/>
  <c r="AG390" i="27"/>
  <c r="S388" i="27"/>
  <c r="T388" i="27" s="1"/>
  <c r="BA388" i="27" s="1"/>
  <c r="D387" i="30"/>
  <c r="I387" i="30" s="1"/>
  <c r="BI387" i="27"/>
  <c r="BH387" i="27"/>
  <c r="U389" i="27"/>
  <c r="BD388" i="27"/>
  <c r="BG388" i="27" s="1"/>
  <c r="AP389" i="27"/>
  <c r="AO389" i="27"/>
  <c r="AC390" i="27"/>
  <c r="AD390" i="27"/>
  <c r="Q389" i="27"/>
  <c r="R389" i="27"/>
  <c r="BF402" i="27" l="1"/>
  <c r="G399" i="30"/>
  <c r="AX388" i="27"/>
  <c r="AM404" i="27"/>
  <c r="AS403" i="27"/>
  <c r="B402" i="27"/>
  <c r="AU401" i="27"/>
  <c r="D669" i="30"/>
  <c r="I669" i="30" s="1"/>
  <c r="I673" i="27"/>
  <c r="BE390" i="27"/>
  <c r="F387" i="30"/>
  <c r="B396" i="30"/>
  <c r="BB389" i="27"/>
  <c r="BC389" i="27"/>
  <c r="E386" i="30"/>
  <c r="AE390" i="27"/>
  <c r="AF390" i="27" s="1"/>
  <c r="AZ390" i="27" s="1"/>
  <c r="AG391" i="27"/>
  <c r="AQ389" i="27"/>
  <c r="AR389" i="27" s="1"/>
  <c r="AY389" i="27" s="1"/>
  <c r="AP390" i="27"/>
  <c r="AO390" i="27"/>
  <c r="BD389" i="27"/>
  <c r="BG389" i="27" s="1"/>
  <c r="BI388" i="27"/>
  <c r="BH388" i="27"/>
  <c r="BJ387" i="27"/>
  <c r="BK387" i="27" s="1"/>
  <c r="AT387" i="27" s="1"/>
  <c r="H384" i="30" s="1"/>
  <c r="R390" i="27"/>
  <c r="Q390" i="27"/>
  <c r="S389" i="27"/>
  <c r="T389" i="27" s="1"/>
  <c r="BA389" i="27" s="1"/>
  <c r="D388" i="30"/>
  <c r="I388" i="30" s="1"/>
  <c r="AD391" i="27"/>
  <c r="AC391" i="27"/>
  <c r="U390" i="27"/>
  <c r="G400" i="30" l="1"/>
  <c r="BF403" i="27"/>
  <c r="AM405" i="27"/>
  <c r="AS404" i="27"/>
  <c r="I674" i="27"/>
  <c r="D670" i="30"/>
  <c r="I670" i="30" s="1"/>
  <c r="B403" i="27"/>
  <c r="AU402" i="27"/>
  <c r="AQ390" i="27"/>
  <c r="AR390" i="27" s="1"/>
  <c r="AY390" i="27" s="1"/>
  <c r="BL389" i="27"/>
  <c r="AX389" i="27"/>
  <c r="BE391" i="27"/>
  <c r="F388" i="30"/>
  <c r="BB390" i="27"/>
  <c r="BC390" i="27"/>
  <c r="BL390" i="27" s="1"/>
  <c r="E387" i="30"/>
  <c r="B397" i="30"/>
  <c r="BJ388" i="27"/>
  <c r="BK388" i="27" s="1"/>
  <c r="AT388" i="27" s="1"/>
  <c r="H385" i="30" s="1"/>
  <c r="S390" i="27"/>
  <c r="T390" i="27" s="1"/>
  <c r="BA390" i="27" s="1"/>
  <c r="AE391" i="27"/>
  <c r="AF391" i="27" s="1"/>
  <c r="AZ391" i="27" s="1"/>
  <c r="AG392" i="27"/>
  <c r="D389" i="30"/>
  <c r="I389" i="30" s="1"/>
  <c r="BD390" i="27"/>
  <c r="BG390" i="27" s="1"/>
  <c r="U391" i="27"/>
  <c r="BH389" i="27"/>
  <c r="BI389" i="27"/>
  <c r="AP391" i="27"/>
  <c r="AO391" i="27"/>
  <c r="R391" i="27"/>
  <c r="Q391" i="27"/>
  <c r="AD392" i="27"/>
  <c r="AC392" i="27"/>
  <c r="AX390" i="27" l="1"/>
  <c r="BF404" i="27"/>
  <c r="G401" i="30"/>
  <c r="AM406" i="27"/>
  <c r="AS405" i="27"/>
  <c r="B404" i="27"/>
  <c r="AU403" i="27"/>
  <c r="I675" i="27"/>
  <c r="D671" i="30"/>
  <c r="I671" i="30" s="1"/>
  <c r="AE392" i="27"/>
  <c r="AF392" i="27" s="1"/>
  <c r="AZ392" i="27" s="1"/>
  <c r="BE392" i="27"/>
  <c r="F389" i="30"/>
  <c r="BC391" i="27"/>
  <c r="BB391" i="27"/>
  <c r="E388" i="30"/>
  <c r="B398" i="30"/>
  <c r="BJ389" i="27"/>
  <c r="BK389" i="27" s="1"/>
  <c r="AT389" i="27" s="1"/>
  <c r="H386" i="30" s="1"/>
  <c r="AG393" i="27"/>
  <c r="AQ391" i="27"/>
  <c r="AR391" i="27" s="1"/>
  <c r="AY391" i="27" s="1"/>
  <c r="BD391" i="27"/>
  <c r="BG391" i="27" s="1"/>
  <c r="BI390" i="27"/>
  <c r="BH390" i="27"/>
  <c r="U392" i="27"/>
  <c r="AP392" i="27"/>
  <c r="AO392" i="27"/>
  <c r="D390" i="30"/>
  <c r="I390" i="30" s="1"/>
  <c r="R392" i="27"/>
  <c r="Q392" i="27"/>
  <c r="AD393" i="27"/>
  <c r="AC393" i="27"/>
  <c r="S391" i="27"/>
  <c r="T391" i="27" s="1"/>
  <c r="BA391" i="27" s="1"/>
  <c r="BF405" i="27" l="1"/>
  <c r="G402" i="30"/>
  <c r="AM407" i="27"/>
  <c r="AS406" i="27"/>
  <c r="BL391" i="27"/>
  <c r="D672" i="30"/>
  <c r="I672" i="30" s="1"/>
  <c r="I676" i="27"/>
  <c r="B405" i="27"/>
  <c r="AU404" i="27"/>
  <c r="BJ390" i="27"/>
  <c r="BK390" i="27" s="1"/>
  <c r="AT390" i="27" s="1"/>
  <c r="H387" i="30" s="1"/>
  <c r="AQ392" i="27"/>
  <c r="AR392" i="27" s="1"/>
  <c r="AY392" i="27" s="1"/>
  <c r="BE393" i="27"/>
  <c r="F390" i="30"/>
  <c r="B399" i="30"/>
  <c r="BB392" i="27"/>
  <c r="BC392" i="27"/>
  <c r="BL392" i="27" s="1"/>
  <c r="E389" i="30"/>
  <c r="AE393" i="27"/>
  <c r="AF393" i="27" s="1"/>
  <c r="AZ393" i="27" s="1"/>
  <c r="S392" i="27"/>
  <c r="T392" i="27" s="1"/>
  <c r="BA392" i="27" s="1"/>
  <c r="AG394" i="27"/>
  <c r="U393" i="27"/>
  <c r="AP393" i="27"/>
  <c r="AO393" i="27"/>
  <c r="BI391" i="27"/>
  <c r="BH391" i="27"/>
  <c r="D391" i="30"/>
  <c r="I391" i="30" s="1"/>
  <c r="AD394" i="27"/>
  <c r="AC394" i="27"/>
  <c r="AX391" i="27"/>
  <c r="BD392" i="27"/>
  <c r="BG392" i="27" s="1"/>
  <c r="R393" i="27"/>
  <c r="Q393" i="27"/>
  <c r="AM408" i="27" l="1"/>
  <c r="AS407" i="27"/>
  <c r="G403" i="30"/>
  <c r="BF406" i="27"/>
  <c r="B406" i="27"/>
  <c r="AU405" i="27"/>
  <c r="I677" i="27"/>
  <c r="D673" i="30"/>
  <c r="I673" i="30" s="1"/>
  <c r="AX392" i="27"/>
  <c r="BE394" i="27"/>
  <c r="F391" i="30"/>
  <c r="BC393" i="27"/>
  <c r="BB393" i="27"/>
  <c r="E390" i="30"/>
  <c r="S393" i="27"/>
  <c r="T393" i="27" s="1"/>
  <c r="BA393" i="27" s="1"/>
  <c r="B400" i="30"/>
  <c r="BJ391" i="27"/>
  <c r="BK391" i="27" s="1"/>
  <c r="AT391" i="27" s="1"/>
  <c r="H388" i="30" s="1"/>
  <c r="AQ393" i="27"/>
  <c r="AR393" i="27" s="1"/>
  <c r="AY393" i="27" s="1"/>
  <c r="AG395" i="27"/>
  <c r="D392" i="30"/>
  <c r="I392" i="30" s="1"/>
  <c r="AD395" i="27"/>
  <c r="AC395" i="27"/>
  <c r="AO394" i="27"/>
  <c r="AP394" i="27"/>
  <c r="BI392" i="27"/>
  <c r="BH392" i="27"/>
  <c r="AE394" i="27"/>
  <c r="AF394" i="27" s="1"/>
  <c r="AZ394" i="27" s="1"/>
  <c r="R394" i="27"/>
  <c r="Q394" i="27"/>
  <c r="BD393" i="27"/>
  <c r="BG393" i="27" s="1"/>
  <c r="U394" i="27"/>
  <c r="BF407" i="27" l="1"/>
  <c r="G404" i="30"/>
  <c r="AM409" i="27"/>
  <c r="AS408" i="27"/>
  <c r="I678" i="27"/>
  <c r="D674" i="30"/>
  <c r="I674" i="30" s="1"/>
  <c r="AX393" i="27"/>
  <c r="B407" i="27"/>
  <c r="AU406" i="27"/>
  <c r="BL393" i="27"/>
  <c r="BJ392" i="27"/>
  <c r="BK392" i="27" s="1"/>
  <c r="AT392" i="27" s="1"/>
  <c r="H389" i="30" s="1"/>
  <c r="BE395" i="27"/>
  <c r="F392" i="30"/>
  <c r="BB394" i="27"/>
  <c r="BC394" i="27"/>
  <c r="BL394" i="27" s="1"/>
  <c r="E391" i="30"/>
  <c r="B401" i="30"/>
  <c r="AQ394" i="27"/>
  <c r="AR394" i="27" s="1"/>
  <c r="AY394" i="27" s="1"/>
  <c r="AE395" i="27"/>
  <c r="AF395" i="27" s="1"/>
  <c r="AZ395" i="27" s="1"/>
  <c r="AG396" i="27"/>
  <c r="S394" i="27"/>
  <c r="T394" i="27" s="1"/>
  <c r="BA394" i="27" s="1"/>
  <c r="AO395" i="27"/>
  <c r="AP395" i="27"/>
  <c r="R395" i="27"/>
  <c r="Q395" i="27"/>
  <c r="AD396" i="27"/>
  <c r="AC396" i="27"/>
  <c r="U395" i="27"/>
  <c r="BD394" i="27"/>
  <c r="BG394" i="27" s="1"/>
  <c r="BI393" i="27"/>
  <c r="BH393" i="27"/>
  <c r="D393" i="30"/>
  <c r="I393" i="30" s="1"/>
  <c r="AM410" i="27" l="1"/>
  <c r="AS409" i="27"/>
  <c r="BF408" i="27"/>
  <c r="G405" i="30"/>
  <c r="B408" i="27"/>
  <c r="AU407" i="27"/>
  <c r="I679" i="27"/>
  <c r="D675" i="30"/>
  <c r="I675" i="30" s="1"/>
  <c r="BJ393" i="27"/>
  <c r="BK393" i="27" s="1"/>
  <c r="AT393" i="27" s="1"/>
  <c r="H390" i="30" s="1"/>
  <c r="AX394" i="27"/>
  <c r="BE396" i="27"/>
  <c r="F393" i="30"/>
  <c r="BB395" i="27"/>
  <c r="BC395" i="27"/>
  <c r="BL395" i="27" s="1"/>
  <c r="E392" i="30"/>
  <c r="B402" i="30"/>
  <c r="S395" i="27"/>
  <c r="T395" i="27" s="1"/>
  <c r="BA395" i="27" s="1"/>
  <c r="AG397" i="27"/>
  <c r="AQ395" i="27"/>
  <c r="AR395" i="27" s="1"/>
  <c r="AY395" i="27" s="1"/>
  <c r="U396" i="27"/>
  <c r="AD397" i="27"/>
  <c r="AC397" i="27"/>
  <c r="Q396" i="27"/>
  <c r="R396" i="27"/>
  <c r="AE396" i="27"/>
  <c r="AF396" i="27" s="1"/>
  <c r="AZ396" i="27" s="1"/>
  <c r="BD395" i="27"/>
  <c r="BG395" i="27" s="1"/>
  <c r="BI394" i="27"/>
  <c r="BH394" i="27"/>
  <c r="AP396" i="27"/>
  <c r="AO396" i="27"/>
  <c r="D394" i="30"/>
  <c r="I394" i="30" s="1"/>
  <c r="BF409" i="27" l="1"/>
  <c r="G406" i="30"/>
  <c r="AM411" i="27"/>
  <c r="AS410" i="27"/>
  <c r="I680" i="27"/>
  <c r="D676" i="30"/>
  <c r="I676" i="30" s="1"/>
  <c r="B409" i="27"/>
  <c r="AU408" i="27"/>
  <c r="BE397" i="27"/>
  <c r="F394" i="30"/>
  <c r="BC396" i="27"/>
  <c r="BB396" i="27"/>
  <c r="E393" i="30"/>
  <c r="B403" i="30"/>
  <c r="AX395" i="27"/>
  <c r="AE397" i="27"/>
  <c r="AF397" i="27" s="1"/>
  <c r="AZ397" i="27" s="1"/>
  <c r="AQ396" i="27"/>
  <c r="AR396" i="27" s="1"/>
  <c r="AY396" i="27" s="1"/>
  <c r="AG398" i="27"/>
  <c r="BJ394" i="27"/>
  <c r="BK394" i="27" s="1"/>
  <c r="AT394" i="27" s="1"/>
  <c r="H391" i="30" s="1"/>
  <c r="R397" i="27"/>
  <c r="Q397" i="27"/>
  <c r="AD398" i="27"/>
  <c r="AC398" i="27"/>
  <c r="BI395" i="27"/>
  <c r="BH395" i="27"/>
  <c r="D395" i="30"/>
  <c r="I395" i="30" s="1"/>
  <c r="BD396" i="27"/>
  <c r="BG396" i="27" s="1"/>
  <c r="S396" i="27"/>
  <c r="T396" i="27" s="1"/>
  <c r="BA396" i="27" s="1"/>
  <c r="AO397" i="27"/>
  <c r="AP397" i="27"/>
  <c r="U397" i="27"/>
  <c r="AM412" i="27" l="1"/>
  <c r="AS411" i="27"/>
  <c r="BF410" i="27"/>
  <c r="G407" i="30"/>
  <c r="B410" i="27"/>
  <c r="AU409" i="27"/>
  <c r="D677" i="30"/>
  <c r="I677" i="30" s="1"/>
  <c r="I681" i="27"/>
  <c r="BL396" i="27"/>
  <c r="AX396" i="27"/>
  <c r="BE398" i="27"/>
  <c r="F395" i="30"/>
  <c r="BB397" i="27"/>
  <c r="BC397" i="27"/>
  <c r="E394" i="30"/>
  <c r="B404" i="30"/>
  <c r="BJ395" i="27"/>
  <c r="BK395" i="27" s="1"/>
  <c r="AT395" i="27" s="1"/>
  <c r="H392" i="30" s="1"/>
  <c r="S397" i="27"/>
  <c r="T397" i="27" s="1"/>
  <c r="BA397" i="27" s="1"/>
  <c r="AE398" i="27"/>
  <c r="AF398" i="27" s="1"/>
  <c r="AZ398" i="27" s="1"/>
  <c r="AG399" i="27"/>
  <c r="U398" i="27"/>
  <c r="D396" i="30"/>
  <c r="I396" i="30" s="1"/>
  <c r="AD399" i="27"/>
  <c r="AC399" i="27"/>
  <c r="AQ397" i="27"/>
  <c r="AR397" i="27" s="1"/>
  <c r="AY397" i="27" s="1"/>
  <c r="R398" i="27"/>
  <c r="Q398" i="27"/>
  <c r="BD397" i="27"/>
  <c r="BG397" i="27" s="1"/>
  <c r="AP398" i="27"/>
  <c r="AO398" i="27"/>
  <c r="BH396" i="27"/>
  <c r="BI396" i="27"/>
  <c r="BF411" i="27" l="1"/>
  <c r="G408" i="30"/>
  <c r="AM413" i="27"/>
  <c r="AS412" i="27"/>
  <c r="I682" i="27"/>
  <c r="D678" i="30"/>
  <c r="I678" i="30" s="1"/>
  <c r="B411" i="27"/>
  <c r="AU410" i="27"/>
  <c r="BL397" i="27"/>
  <c r="AX397" i="27"/>
  <c r="BE399" i="27"/>
  <c r="F396" i="30"/>
  <c r="B405" i="30"/>
  <c r="BB398" i="27"/>
  <c r="BC398" i="27"/>
  <c r="E395" i="30"/>
  <c r="AE399" i="27"/>
  <c r="AF399" i="27" s="1"/>
  <c r="AZ399" i="27" s="1"/>
  <c r="AQ398" i="27"/>
  <c r="AR398" i="27" s="1"/>
  <c r="AY398" i="27" s="1"/>
  <c r="S398" i="27"/>
  <c r="T398" i="27" s="1"/>
  <c r="BA398" i="27" s="1"/>
  <c r="AG400" i="27"/>
  <c r="BI397" i="27"/>
  <c r="BH397" i="27"/>
  <c r="AC400" i="27"/>
  <c r="AD400" i="27"/>
  <c r="Q399" i="27"/>
  <c r="R399" i="27"/>
  <c r="D397" i="30"/>
  <c r="I397" i="30" s="1"/>
  <c r="AP399" i="27"/>
  <c r="AO399" i="27"/>
  <c r="U399" i="27"/>
  <c r="BJ396" i="27"/>
  <c r="BK396" i="27" s="1"/>
  <c r="AT396" i="27" s="1"/>
  <c r="H393" i="30" s="1"/>
  <c r="BD398" i="27"/>
  <c r="BG398" i="27" s="1"/>
  <c r="AM414" i="27" l="1"/>
  <c r="AS413" i="27"/>
  <c r="BF412" i="27"/>
  <c r="G409" i="30"/>
  <c r="B412" i="27"/>
  <c r="AU411" i="27"/>
  <c r="I683" i="27"/>
  <c r="D679" i="30"/>
  <c r="I679" i="30" s="1"/>
  <c r="BL398" i="27"/>
  <c r="AX398" i="27"/>
  <c r="BE400" i="27"/>
  <c r="F397" i="30"/>
  <c r="BB399" i="27"/>
  <c r="BC399" i="27"/>
  <c r="E396" i="30"/>
  <c r="B406" i="30"/>
  <c r="BJ397" i="27"/>
  <c r="BK397" i="27" s="1"/>
  <c r="AT397" i="27" s="1"/>
  <c r="H394" i="30" s="1"/>
  <c r="S399" i="27"/>
  <c r="T399" i="27" s="1"/>
  <c r="BA399" i="27" s="1"/>
  <c r="AG401" i="27"/>
  <c r="D398" i="30"/>
  <c r="I398" i="30" s="1"/>
  <c r="AQ399" i="27"/>
  <c r="AR399" i="27" s="1"/>
  <c r="AY399" i="27" s="1"/>
  <c r="Q400" i="27"/>
  <c r="R400" i="27"/>
  <c r="AE400" i="27"/>
  <c r="AF400" i="27" s="1"/>
  <c r="AZ400" i="27" s="1"/>
  <c r="BH398" i="27"/>
  <c r="BI398" i="27"/>
  <c r="AD401" i="27"/>
  <c r="AC401" i="27"/>
  <c r="BD399" i="27"/>
  <c r="BG399" i="27" s="1"/>
  <c r="AP400" i="27"/>
  <c r="AO400" i="27"/>
  <c r="U400" i="27"/>
  <c r="BF413" i="27" l="1"/>
  <c r="G410" i="30"/>
  <c r="AM415" i="27"/>
  <c r="AS414" i="27"/>
  <c r="I684" i="27"/>
  <c r="D680" i="30"/>
  <c r="I680" i="30" s="1"/>
  <c r="B413" i="27"/>
  <c r="AU412" i="27"/>
  <c r="BL399" i="27"/>
  <c r="BE401" i="27"/>
  <c r="F398" i="30"/>
  <c r="B407" i="30"/>
  <c r="AX399" i="27"/>
  <c r="BB400" i="27"/>
  <c r="BC400" i="27"/>
  <c r="BL400" i="27" s="1"/>
  <c r="E397" i="30"/>
  <c r="BJ398" i="27"/>
  <c r="BK398" i="27" s="1"/>
  <c r="AT398" i="27" s="1"/>
  <c r="H395" i="30" s="1"/>
  <c r="AE401" i="27"/>
  <c r="AF401" i="27" s="1"/>
  <c r="AZ401" i="27" s="1"/>
  <c r="AQ400" i="27"/>
  <c r="AR400" i="27" s="1"/>
  <c r="AY400" i="27" s="1"/>
  <c r="AG402" i="27"/>
  <c r="AP401" i="27"/>
  <c r="AO401" i="27"/>
  <c r="AD402" i="27"/>
  <c r="AC402" i="27"/>
  <c r="U401" i="27"/>
  <c r="S400" i="27"/>
  <c r="T400" i="27" s="1"/>
  <c r="BA400" i="27" s="1"/>
  <c r="D399" i="30"/>
  <c r="I399" i="30" s="1"/>
  <c r="BI399" i="27"/>
  <c r="BH399" i="27"/>
  <c r="R401" i="27"/>
  <c r="Q401" i="27"/>
  <c r="BD400" i="27"/>
  <c r="BG400" i="27" s="1"/>
  <c r="AM416" i="27" l="1"/>
  <c r="AS415" i="27"/>
  <c r="BF414" i="27"/>
  <c r="G411" i="30"/>
  <c r="B414" i="27"/>
  <c r="AU413" i="27"/>
  <c r="D681" i="30"/>
  <c r="I681" i="30" s="1"/>
  <c r="I685" i="27"/>
  <c r="AX400" i="27"/>
  <c r="BE402" i="27"/>
  <c r="F399" i="30"/>
  <c r="BC401" i="27"/>
  <c r="BB401" i="27"/>
  <c r="E398" i="30"/>
  <c r="B408" i="30"/>
  <c r="S401" i="27"/>
  <c r="T401" i="27" s="1"/>
  <c r="BA401" i="27" s="1"/>
  <c r="AE402" i="27"/>
  <c r="AF402" i="27" s="1"/>
  <c r="AZ402" i="27" s="1"/>
  <c r="AQ401" i="27"/>
  <c r="AR401" i="27" s="1"/>
  <c r="AY401" i="27" s="1"/>
  <c r="AG403" i="27"/>
  <c r="AD403" i="27"/>
  <c r="AC403" i="27"/>
  <c r="U402" i="27"/>
  <c r="R402" i="27"/>
  <c r="Q402" i="27"/>
  <c r="AO402" i="27"/>
  <c r="AP402" i="27"/>
  <c r="D400" i="30"/>
  <c r="I400" i="30" s="1"/>
  <c r="BD401" i="27"/>
  <c r="BG401" i="27" s="1"/>
  <c r="BI400" i="27"/>
  <c r="BH400" i="27"/>
  <c r="BJ399" i="27"/>
  <c r="BK399" i="27" s="1"/>
  <c r="AT399" i="27" s="1"/>
  <c r="H396" i="30" s="1"/>
  <c r="BF415" i="27" l="1"/>
  <c r="G412" i="30"/>
  <c r="AM417" i="27"/>
  <c r="AS416" i="27"/>
  <c r="D682" i="30"/>
  <c r="I682" i="30" s="1"/>
  <c r="I686" i="27"/>
  <c r="B415" i="27"/>
  <c r="AU414" i="27"/>
  <c r="BL401" i="27"/>
  <c r="AE403" i="27"/>
  <c r="AF403" i="27" s="1"/>
  <c r="AZ403" i="27" s="1"/>
  <c r="BE403" i="27"/>
  <c r="F400" i="30"/>
  <c r="BB402" i="27"/>
  <c r="BC402" i="27"/>
  <c r="E399" i="30"/>
  <c r="AX401" i="27"/>
  <c r="B409" i="30"/>
  <c r="S402" i="27"/>
  <c r="T402" i="27" s="1"/>
  <c r="BA402" i="27" s="1"/>
  <c r="BJ400" i="27"/>
  <c r="BK400" i="27" s="1"/>
  <c r="AT400" i="27" s="1"/>
  <c r="H397" i="30" s="1"/>
  <c r="AQ402" i="27"/>
  <c r="AR402" i="27" s="1"/>
  <c r="AY402" i="27" s="1"/>
  <c r="AG404" i="27"/>
  <c r="R403" i="27"/>
  <c r="Q403" i="27"/>
  <c r="U403" i="27"/>
  <c r="D401" i="30"/>
  <c r="I401" i="30" s="1"/>
  <c r="BD402" i="27"/>
  <c r="BG402" i="27" s="1"/>
  <c r="AC404" i="27"/>
  <c r="AD404" i="27"/>
  <c r="AP403" i="27"/>
  <c r="AO403" i="27"/>
  <c r="BI401" i="27"/>
  <c r="BH401" i="27"/>
  <c r="G413" i="30" l="1"/>
  <c r="BF416" i="27"/>
  <c r="AM418" i="27"/>
  <c r="AS417" i="27"/>
  <c r="B416" i="27"/>
  <c r="AU415" i="27"/>
  <c r="D683" i="30"/>
  <c r="I683" i="30" s="1"/>
  <c r="I687" i="27"/>
  <c r="BL402" i="27"/>
  <c r="S403" i="27"/>
  <c r="T403" i="27" s="1"/>
  <c r="BA403" i="27" s="1"/>
  <c r="BE404" i="27"/>
  <c r="F401" i="30"/>
  <c r="BB403" i="27"/>
  <c r="BC403" i="27"/>
  <c r="BL403" i="27" s="1"/>
  <c r="E400" i="30"/>
  <c r="B410" i="30"/>
  <c r="AX402" i="27"/>
  <c r="BJ401" i="27"/>
  <c r="BK401" i="27" s="1"/>
  <c r="AT401" i="27" s="1"/>
  <c r="H398" i="30" s="1"/>
  <c r="AG405" i="27"/>
  <c r="AE404" i="27"/>
  <c r="AF404" i="27" s="1"/>
  <c r="AZ404" i="27" s="1"/>
  <c r="AQ403" i="27"/>
  <c r="AR403" i="27" s="1"/>
  <c r="AY403" i="27" s="1"/>
  <c r="D402" i="30"/>
  <c r="I402" i="30" s="1"/>
  <c r="AD405" i="27"/>
  <c r="AC405" i="27"/>
  <c r="BD403" i="27"/>
  <c r="BG403" i="27" s="1"/>
  <c r="AP404" i="27"/>
  <c r="AO404" i="27"/>
  <c r="BH402" i="27"/>
  <c r="BI402" i="27"/>
  <c r="U404" i="27"/>
  <c r="R404" i="27"/>
  <c r="Q404" i="27"/>
  <c r="G414" i="30" l="1"/>
  <c r="BF417" i="27"/>
  <c r="AM419" i="27"/>
  <c r="AS418" i="27"/>
  <c r="AX403" i="27"/>
  <c r="I688" i="27"/>
  <c r="D684" i="30"/>
  <c r="I684" i="30" s="1"/>
  <c r="B417" i="27"/>
  <c r="AU416" i="27"/>
  <c r="BE405" i="27"/>
  <c r="F402" i="30"/>
  <c r="B411" i="30"/>
  <c r="BB404" i="27"/>
  <c r="BC404" i="27"/>
  <c r="BL404" i="27" s="1"/>
  <c r="E401" i="30"/>
  <c r="AE405" i="27"/>
  <c r="AF405" i="27" s="1"/>
  <c r="AZ405" i="27" s="1"/>
  <c r="S404" i="27"/>
  <c r="T404" i="27" s="1"/>
  <c r="BA404" i="27" s="1"/>
  <c r="AG406" i="27"/>
  <c r="BI403" i="27"/>
  <c r="BH403" i="27"/>
  <c r="Q405" i="27"/>
  <c r="R405" i="27"/>
  <c r="AD406" i="27"/>
  <c r="AC406" i="27"/>
  <c r="AO405" i="27"/>
  <c r="AP405" i="27"/>
  <c r="BD404" i="27"/>
  <c r="BG404" i="27" s="1"/>
  <c r="U405" i="27"/>
  <c r="BJ402" i="27"/>
  <c r="BK402" i="27" s="1"/>
  <c r="AT402" i="27" s="1"/>
  <c r="H399" i="30" s="1"/>
  <c r="AQ404" i="27"/>
  <c r="AR404" i="27" s="1"/>
  <c r="AY404" i="27" s="1"/>
  <c r="D403" i="30"/>
  <c r="I403" i="30" s="1"/>
  <c r="G415" i="30" l="1"/>
  <c r="BF418" i="27"/>
  <c r="AM420" i="27"/>
  <c r="AS419" i="27"/>
  <c r="B418" i="27"/>
  <c r="AU417" i="27"/>
  <c r="I689" i="27"/>
  <c r="D685" i="30"/>
  <c r="I685" i="30" s="1"/>
  <c r="AX404" i="27"/>
  <c r="BE406" i="27"/>
  <c r="F403" i="30"/>
  <c r="BB405" i="27"/>
  <c r="BC405" i="27"/>
  <c r="BL405" i="27" s="1"/>
  <c r="E402" i="30"/>
  <c r="B412" i="30"/>
  <c r="BJ403" i="27"/>
  <c r="BK403" i="27" s="1"/>
  <c r="AT403" i="27" s="1"/>
  <c r="H400" i="30" s="1"/>
  <c r="AG407" i="27"/>
  <c r="U406" i="27"/>
  <c r="BI404" i="27"/>
  <c r="BH404" i="27"/>
  <c r="D404" i="30"/>
  <c r="I404" i="30" s="1"/>
  <c r="BD405" i="27"/>
  <c r="BG405" i="27" s="1"/>
  <c r="S405" i="27"/>
  <c r="T405" i="27" s="1"/>
  <c r="BA405" i="27" s="1"/>
  <c r="R406" i="27"/>
  <c r="Q406" i="27"/>
  <c r="AP406" i="27"/>
  <c r="AO406" i="27"/>
  <c r="AQ405" i="27"/>
  <c r="AR405" i="27" s="1"/>
  <c r="AY405" i="27" s="1"/>
  <c r="AE406" i="27"/>
  <c r="AF406" i="27" s="1"/>
  <c r="AZ406" i="27" s="1"/>
  <c r="AD407" i="27"/>
  <c r="AC407" i="27"/>
  <c r="AM421" i="27" l="1"/>
  <c r="AS420" i="27"/>
  <c r="BF419" i="27"/>
  <c r="G416" i="30"/>
  <c r="D686" i="30"/>
  <c r="I686" i="30" s="1"/>
  <c r="I690" i="27"/>
  <c r="B419" i="27"/>
  <c r="AU418" i="27"/>
  <c r="BE407" i="27"/>
  <c r="F404" i="30"/>
  <c r="BC406" i="27"/>
  <c r="BB406" i="27"/>
  <c r="E403" i="30"/>
  <c r="B413" i="30"/>
  <c r="AE407" i="27"/>
  <c r="AF407" i="27" s="1"/>
  <c r="AZ407" i="27" s="1"/>
  <c r="AG408" i="27"/>
  <c r="D405" i="30"/>
  <c r="I405" i="30" s="1"/>
  <c r="BJ404" i="27"/>
  <c r="BK404" i="27" s="1"/>
  <c r="AT404" i="27" s="1"/>
  <c r="H401" i="30" s="1"/>
  <c r="Q407" i="27"/>
  <c r="R407" i="27"/>
  <c r="AD408" i="27"/>
  <c r="AC408" i="27"/>
  <c r="AO407" i="27"/>
  <c r="AP407" i="27"/>
  <c r="BI405" i="27"/>
  <c r="BH405" i="27"/>
  <c r="AX405" i="27"/>
  <c r="BD406" i="27"/>
  <c r="BG406" i="27" s="1"/>
  <c r="S406" i="27"/>
  <c r="T406" i="27" s="1"/>
  <c r="BA406" i="27" s="1"/>
  <c r="AQ406" i="27"/>
  <c r="AR406" i="27" s="1"/>
  <c r="AY406" i="27" s="1"/>
  <c r="U407" i="27"/>
  <c r="G417" i="30" l="1"/>
  <c r="BF420" i="27"/>
  <c r="AM422" i="27"/>
  <c r="AS421" i="27"/>
  <c r="B420" i="27"/>
  <c r="AU419" i="27"/>
  <c r="D687" i="30"/>
  <c r="I687" i="30" s="1"/>
  <c r="I691" i="27"/>
  <c r="BL406" i="27"/>
  <c r="BE408" i="27"/>
  <c r="F405" i="30"/>
  <c r="BB407" i="27"/>
  <c r="BC407" i="27"/>
  <c r="E404" i="30"/>
  <c r="B414" i="30"/>
  <c r="AE408" i="27"/>
  <c r="AF408" i="27" s="1"/>
  <c r="AZ408" i="27" s="1"/>
  <c r="AX406" i="27"/>
  <c r="AG409" i="27"/>
  <c r="AO408" i="27"/>
  <c r="AP408" i="27"/>
  <c r="AD409" i="27"/>
  <c r="AC409" i="27"/>
  <c r="R408" i="27"/>
  <c r="Q408" i="27"/>
  <c r="S407" i="27"/>
  <c r="T407" i="27" s="1"/>
  <c r="BA407" i="27" s="1"/>
  <c r="U408" i="27"/>
  <c r="AQ407" i="27"/>
  <c r="AR407" i="27" s="1"/>
  <c r="AY407" i="27" s="1"/>
  <c r="BD407" i="27"/>
  <c r="BG407" i="27" s="1"/>
  <c r="BI406" i="27"/>
  <c r="BH406" i="27"/>
  <c r="D406" i="30"/>
  <c r="I406" i="30" s="1"/>
  <c r="BJ405" i="27"/>
  <c r="BK405" i="27" s="1"/>
  <c r="AT405" i="27" s="1"/>
  <c r="H402" i="30" s="1"/>
  <c r="AM423" i="27" l="1"/>
  <c r="AS422" i="27"/>
  <c r="G418" i="30"/>
  <c r="BF421" i="27"/>
  <c r="I692" i="27"/>
  <c r="D688" i="30"/>
  <c r="I688" i="30" s="1"/>
  <c r="B421" i="27"/>
  <c r="AU420" i="27"/>
  <c r="BL407" i="27"/>
  <c r="BE409" i="27"/>
  <c r="F406" i="30"/>
  <c r="BB408" i="27"/>
  <c r="BC408" i="27"/>
  <c r="BL408" i="27" s="1"/>
  <c r="E405" i="30"/>
  <c r="B415" i="30"/>
  <c r="AE409" i="27"/>
  <c r="AF409" i="27" s="1"/>
  <c r="AZ409" i="27" s="1"/>
  <c r="AX407" i="27"/>
  <c r="AG410" i="27"/>
  <c r="BD408" i="27"/>
  <c r="BG408" i="27" s="1"/>
  <c r="AD410" i="27"/>
  <c r="AC410" i="27"/>
  <c r="S408" i="27"/>
  <c r="T408" i="27" s="1"/>
  <c r="BA408" i="27" s="1"/>
  <c r="U409" i="27"/>
  <c r="BI407" i="27"/>
  <c r="BH407" i="27"/>
  <c r="R409" i="27"/>
  <c r="Q409" i="27"/>
  <c r="D407" i="30"/>
  <c r="I407" i="30" s="1"/>
  <c r="AO409" i="27"/>
  <c r="AP409" i="27"/>
  <c r="BJ406" i="27"/>
  <c r="BK406" i="27" s="1"/>
  <c r="AT406" i="27" s="1"/>
  <c r="H403" i="30" s="1"/>
  <c r="AQ408" i="27"/>
  <c r="AR408" i="27" s="1"/>
  <c r="AY408" i="27" s="1"/>
  <c r="BF422" i="27" l="1"/>
  <c r="G419" i="30"/>
  <c r="AM424" i="27"/>
  <c r="AS423" i="27"/>
  <c r="B422" i="27"/>
  <c r="AU421" i="27"/>
  <c r="I693" i="27"/>
  <c r="D689" i="30"/>
  <c r="I689" i="30" s="1"/>
  <c r="AE410" i="27"/>
  <c r="AF410" i="27" s="1"/>
  <c r="AZ410" i="27" s="1"/>
  <c r="BE410" i="27"/>
  <c r="F407" i="30"/>
  <c r="BC409" i="27"/>
  <c r="BL409" i="27" s="1"/>
  <c r="BB409" i="27"/>
  <c r="E406" i="30"/>
  <c r="B416" i="30"/>
  <c r="BJ407" i="27"/>
  <c r="BK407" i="27" s="1"/>
  <c r="AT407" i="27" s="1"/>
  <c r="H404" i="30" s="1"/>
  <c r="AG411" i="27"/>
  <c r="D408" i="30"/>
  <c r="I408" i="30" s="1"/>
  <c r="S409" i="27"/>
  <c r="T409" i="27" s="1"/>
  <c r="BA409" i="27" s="1"/>
  <c r="BD409" i="27"/>
  <c r="BG409" i="27" s="1"/>
  <c r="U410" i="27"/>
  <c r="AX408" i="27"/>
  <c r="AD411" i="27"/>
  <c r="AC411" i="27"/>
  <c r="R410" i="27"/>
  <c r="Q410" i="27"/>
  <c r="AP410" i="27"/>
  <c r="AO410" i="27"/>
  <c r="BI408" i="27"/>
  <c r="BH408" i="27"/>
  <c r="AQ409" i="27"/>
  <c r="AR409" i="27" s="1"/>
  <c r="AY409" i="27" s="1"/>
  <c r="AM425" i="27" l="1"/>
  <c r="AS424" i="27"/>
  <c r="BF423" i="27"/>
  <c r="G420" i="30"/>
  <c r="I694" i="27"/>
  <c r="D690" i="30"/>
  <c r="I690" i="30" s="1"/>
  <c r="B423" i="27"/>
  <c r="AU422" i="27"/>
  <c r="BE411" i="27"/>
  <c r="F408" i="30"/>
  <c r="BB410" i="27"/>
  <c r="BC410" i="27"/>
  <c r="BL410" i="27" s="1"/>
  <c r="E407" i="30"/>
  <c r="B417" i="30"/>
  <c r="S410" i="27"/>
  <c r="T410" i="27" s="1"/>
  <c r="BA410" i="27" s="1"/>
  <c r="AE411" i="27"/>
  <c r="AF411" i="27" s="1"/>
  <c r="AZ411" i="27" s="1"/>
  <c r="AQ410" i="27"/>
  <c r="AR410" i="27" s="1"/>
  <c r="AY410" i="27" s="1"/>
  <c r="AX409" i="27"/>
  <c r="AG412" i="27"/>
  <c r="R411" i="27"/>
  <c r="Q411" i="27"/>
  <c r="AP411" i="27"/>
  <c r="AO411" i="27"/>
  <c r="BJ408" i="27"/>
  <c r="BK408" i="27" s="1"/>
  <c r="AT408" i="27" s="1"/>
  <c r="H405" i="30" s="1"/>
  <c r="BD410" i="27"/>
  <c r="BG410" i="27" s="1"/>
  <c r="D409" i="30"/>
  <c r="I409" i="30" s="1"/>
  <c r="AC412" i="27"/>
  <c r="AD412" i="27"/>
  <c r="BI409" i="27"/>
  <c r="BH409" i="27"/>
  <c r="U411" i="27"/>
  <c r="BF424" i="27" l="1"/>
  <c r="G421" i="30"/>
  <c r="AM426" i="27"/>
  <c r="AS425" i="27"/>
  <c r="B424" i="27"/>
  <c r="AU423" i="27"/>
  <c r="D691" i="30"/>
  <c r="I691" i="30" s="1"/>
  <c r="I695" i="27"/>
  <c r="AX410" i="27"/>
  <c r="BE412" i="27"/>
  <c r="F409" i="30"/>
  <c r="BC411" i="27"/>
  <c r="BB411" i="27"/>
  <c r="E408" i="30"/>
  <c r="B418" i="30"/>
  <c r="BJ409" i="27"/>
  <c r="BK409" i="27" s="1"/>
  <c r="AT409" i="27" s="1"/>
  <c r="H406" i="30" s="1"/>
  <c r="S411" i="27"/>
  <c r="T411" i="27" s="1"/>
  <c r="BA411" i="27" s="1"/>
  <c r="AG413" i="27"/>
  <c r="BH410" i="27"/>
  <c r="BI410" i="27"/>
  <c r="AP412" i="27"/>
  <c r="AO412" i="27"/>
  <c r="AE412" i="27"/>
  <c r="AF412" i="27" s="1"/>
  <c r="AZ412" i="27" s="1"/>
  <c r="AC413" i="27"/>
  <c r="AD413" i="27"/>
  <c r="D410" i="30"/>
  <c r="I410" i="30" s="1"/>
  <c r="AQ411" i="27"/>
  <c r="AR411" i="27" s="1"/>
  <c r="AY411" i="27" s="1"/>
  <c r="U412" i="27"/>
  <c r="R412" i="27"/>
  <c r="Q412" i="27"/>
  <c r="BD411" i="27"/>
  <c r="BG411" i="27" s="1"/>
  <c r="G422" i="30" l="1"/>
  <c r="BF425" i="27"/>
  <c r="AM427" i="27"/>
  <c r="AS426" i="27"/>
  <c r="D692" i="30"/>
  <c r="I692" i="30" s="1"/>
  <c r="I696" i="27"/>
  <c r="B425" i="27"/>
  <c r="AU424" i="27"/>
  <c r="BL411" i="27"/>
  <c r="AX411" i="27"/>
  <c r="BE413" i="27"/>
  <c r="F410" i="30"/>
  <c r="B419" i="30"/>
  <c r="BB412" i="27"/>
  <c r="BC412" i="27"/>
  <c r="E409" i="30"/>
  <c r="S412" i="27"/>
  <c r="T412" i="27" s="1"/>
  <c r="BA412" i="27" s="1"/>
  <c r="AQ412" i="27"/>
  <c r="AR412" i="27" s="1"/>
  <c r="AY412" i="27" s="1"/>
  <c r="AG414" i="27"/>
  <c r="AC414" i="27"/>
  <c r="AD414" i="27"/>
  <c r="BD412" i="27"/>
  <c r="BG412" i="27" s="1"/>
  <c r="D411" i="30"/>
  <c r="I411" i="30" s="1"/>
  <c r="AO413" i="27"/>
  <c r="AP413" i="27"/>
  <c r="BI411" i="27"/>
  <c r="BH411" i="27"/>
  <c r="U413" i="27"/>
  <c r="R413" i="27"/>
  <c r="Q413" i="27"/>
  <c r="BJ410" i="27"/>
  <c r="BK410" i="27" s="1"/>
  <c r="AT410" i="27" s="1"/>
  <c r="H407" i="30" s="1"/>
  <c r="AE413" i="27"/>
  <c r="AF413" i="27" s="1"/>
  <c r="AZ413" i="27" s="1"/>
  <c r="BF426" i="27" l="1"/>
  <c r="G423" i="30"/>
  <c r="AM428" i="27"/>
  <c r="AS427" i="27"/>
  <c r="B426" i="27"/>
  <c r="AU425" i="27"/>
  <c r="I697" i="27"/>
  <c r="D693" i="30"/>
  <c r="I693" i="30" s="1"/>
  <c r="BL412" i="27"/>
  <c r="BJ411" i="27"/>
  <c r="BK411" i="27" s="1"/>
  <c r="AT411" i="27" s="1"/>
  <c r="H408" i="30" s="1"/>
  <c r="BE414" i="27"/>
  <c r="F411" i="30"/>
  <c r="AX412" i="27"/>
  <c r="BB413" i="27"/>
  <c r="BC413" i="27"/>
  <c r="E410" i="30"/>
  <c r="B420" i="30"/>
  <c r="S413" i="27"/>
  <c r="T413" i="27" s="1"/>
  <c r="BA413" i="27" s="1"/>
  <c r="AG415" i="27"/>
  <c r="AO414" i="27"/>
  <c r="AP414" i="27"/>
  <c r="U414" i="27"/>
  <c r="R414" i="27"/>
  <c r="Q414" i="27"/>
  <c r="D412" i="30"/>
  <c r="I412" i="30" s="1"/>
  <c r="BI412" i="27"/>
  <c r="BH412" i="27"/>
  <c r="AQ413" i="27"/>
  <c r="AR413" i="27" s="1"/>
  <c r="AY413" i="27" s="1"/>
  <c r="AC415" i="27"/>
  <c r="AD415" i="27"/>
  <c r="BD413" i="27"/>
  <c r="BG413" i="27" s="1"/>
  <c r="AE414" i="27"/>
  <c r="AF414" i="27" s="1"/>
  <c r="AZ414" i="27" s="1"/>
  <c r="G424" i="30" l="1"/>
  <c r="BF427" i="27"/>
  <c r="AM429" i="27"/>
  <c r="AS428" i="27"/>
  <c r="I698" i="27"/>
  <c r="D694" i="30"/>
  <c r="I694" i="30" s="1"/>
  <c r="B427" i="27"/>
  <c r="AU426" i="27"/>
  <c r="BJ412" i="27"/>
  <c r="BK412" i="27" s="1"/>
  <c r="AT412" i="27" s="1"/>
  <c r="H409" i="30" s="1"/>
  <c r="BL413" i="27"/>
  <c r="BE415" i="27"/>
  <c r="F412" i="30"/>
  <c r="B421" i="30"/>
  <c r="BB414" i="27"/>
  <c r="BC414" i="27"/>
  <c r="BL414" i="27" s="1"/>
  <c r="E411" i="30"/>
  <c r="AX413" i="27"/>
  <c r="S414" i="27"/>
  <c r="T414" i="27" s="1"/>
  <c r="BA414" i="27" s="1"/>
  <c r="AG416" i="27"/>
  <c r="R415" i="27"/>
  <c r="Q415" i="27"/>
  <c r="BD414" i="27"/>
  <c r="BG414" i="27" s="1"/>
  <c r="BI413" i="27"/>
  <c r="BH413" i="27"/>
  <c r="U415" i="27"/>
  <c r="D413" i="30"/>
  <c r="I413" i="30" s="1"/>
  <c r="AQ414" i="27"/>
  <c r="AR414" i="27" s="1"/>
  <c r="AY414" i="27" s="1"/>
  <c r="AD416" i="27"/>
  <c r="AC416" i="27"/>
  <c r="AE415" i="27"/>
  <c r="AF415" i="27" s="1"/>
  <c r="AZ415" i="27" s="1"/>
  <c r="AO415" i="27"/>
  <c r="AP415" i="27"/>
  <c r="BF428" i="27" l="1"/>
  <c r="G425" i="30"/>
  <c r="AM430" i="27"/>
  <c r="AS429" i="27"/>
  <c r="B428" i="27"/>
  <c r="AU427" i="27"/>
  <c r="I699" i="27"/>
  <c r="D695" i="30"/>
  <c r="I695" i="30" s="1"/>
  <c r="BE416" i="27"/>
  <c r="F413" i="30"/>
  <c r="BB415" i="27"/>
  <c r="BC415" i="27"/>
  <c r="BL415" i="27" s="1"/>
  <c r="E412" i="30"/>
  <c r="AX414" i="27"/>
  <c r="B422" i="30"/>
  <c r="S415" i="27"/>
  <c r="T415" i="27" s="1"/>
  <c r="BA415" i="27" s="1"/>
  <c r="AG417" i="27"/>
  <c r="BJ413" i="27"/>
  <c r="BK413" i="27" s="1"/>
  <c r="AT413" i="27" s="1"/>
  <c r="H410" i="30" s="1"/>
  <c r="D414" i="30"/>
  <c r="I414" i="30" s="1"/>
  <c r="BD415" i="27"/>
  <c r="BG415" i="27" s="1"/>
  <c r="AQ415" i="27"/>
  <c r="AR415" i="27" s="1"/>
  <c r="AY415" i="27" s="1"/>
  <c r="AP416" i="27"/>
  <c r="AO416" i="27"/>
  <c r="BI414" i="27"/>
  <c r="BH414" i="27"/>
  <c r="AD417" i="27"/>
  <c r="AC417" i="27"/>
  <c r="AE416" i="27"/>
  <c r="AF416" i="27" s="1"/>
  <c r="AZ416" i="27" s="1"/>
  <c r="R416" i="27"/>
  <c r="Q416" i="27"/>
  <c r="U416" i="27"/>
  <c r="AM431" i="27" l="1"/>
  <c r="AS430" i="27"/>
  <c r="G426" i="30"/>
  <c r="BF429" i="27"/>
  <c r="D696" i="30"/>
  <c r="I696" i="30" s="1"/>
  <c r="I700" i="27"/>
  <c r="B429" i="27"/>
  <c r="AU428" i="27"/>
  <c r="AX415" i="27"/>
  <c r="BE417" i="27"/>
  <c r="F414" i="30"/>
  <c r="BB416" i="27"/>
  <c r="BC416" i="27"/>
  <c r="BL416" i="27" s="1"/>
  <c r="E413" i="30"/>
  <c r="B423" i="30"/>
  <c r="BJ414" i="27"/>
  <c r="BK414" i="27" s="1"/>
  <c r="AT414" i="27" s="1"/>
  <c r="H411" i="30" s="1"/>
  <c r="S416" i="27"/>
  <c r="T416" i="27" s="1"/>
  <c r="BA416" i="27" s="1"/>
  <c r="AQ416" i="27"/>
  <c r="AR416" i="27" s="1"/>
  <c r="AY416" i="27" s="1"/>
  <c r="AG418" i="27"/>
  <c r="AP417" i="27"/>
  <c r="AO417" i="27"/>
  <c r="AQ417" i="27" s="1"/>
  <c r="AR417" i="27" s="1"/>
  <c r="AY417" i="27" s="1"/>
  <c r="BI415" i="27"/>
  <c r="BH415" i="27"/>
  <c r="R417" i="27"/>
  <c r="Q417" i="27"/>
  <c r="U417" i="27"/>
  <c r="D415" i="30"/>
  <c r="I415" i="30" s="1"/>
  <c r="AD418" i="27"/>
  <c r="AC418" i="27"/>
  <c r="BD416" i="27"/>
  <c r="BG416" i="27" s="1"/>
  <c r="AE417" i="27"/>
  <c r="AF417" i="27" s="1"/>
  <c r="AZ417" i="27" s="1"/>
  <c r="BF430" i="27" l="1"/>
  <c r="G427" i="30"/>
  <c r="AM432" i="27"/>
  <c r="AS431" i="27"/>
  <c r="B430" i="27"/>
  <c r="AU429" i="27"/>
  <c r="I701" i="27"/>
  <c r="D697" i="30"/>
  <c r="I697" i="30" s="1"/>
  <c r="BE418" i="27"/>
  <c r="F415" i="30"/>
  <c r="B424" i="30"/>
  <c r="BB417" i="27"/>
  <c r="BC417" i="27"/>
  <c r="BL417" i="27" s="1"/>
  <c r="E414" i="30"/>
  <c r="AX416" i="27"/>
  <c r="S417" i="27"/>
  <c r="T417" i="27" s="1"/>
  <c r="BA417" i="27" s="1"/>
  <c r="AX417" i="27" s="1"/>
  <c r="BJ415" i="27"/>
  <c r="BK415" i="27" s="1"/>
  <c r="AT415" i="27" s="1"/>
  <c r="H412" i="30" s="1"/>
  <c r="AG419" i="27"/>
  <c r="D416" i="30"/>
  <c r="I416" i="30" s="1"/>
  <c r="BD417" i="27"/>
  <c r="BG417" i="27" s="1"/>
  <c r="U418" i="27"/>
  <c r="BI416" i="27"/>
  <c r="BH416" i="27"/>
  <c r="AO418" i="27"/>
  <c r="AP418" i="27"/>
  <c r="AD419" i="27"/>
  <c r="AC419" i="27"/>
  <c r="Q418" i="27"/>
  <c r="R418" i="27"/>
  <c r="AE418" i="27"/>
  <c r="AF418" i="27" s="1"/>
  <c r="AZ418" i="27" s="1"/>
  <c r="AM433" i="27" l="1"/>
  <c r="AS432" i="27"/>
  <c r="G428" i="30"/>
  <c r="BF431" i="27"/>
  <c r="D698" i="30"/>
  <c r="I698" i="30" s="1"/>
  <c r="I702" i="27"/>
  <c r="B431" i="27"/>
  <c r="AU430" i="27"/>
  <c r="BE419" i="27"/>
  <c r="F416" i="30"/>
  <c r="BB418" i="27"/>
  <c r="BC418" i="27"/>
  <c r="BL418" i="27" s="1"/>
  <c r="E415" i="30"/>
  <c r="B425" i="30"/>
  <c r="AQ418" i="27"/>
  <c r="AR418" i="27" s="1"/>
  <c r="AY418" i="27" s="1"/>
  <c r="AE419" i="27"/>
  <c r="AF419" i="27" s="1"/>
  <c r="AZ419" i="27" s="1"/>
  <c r="BJ416" i="27"/>
  <c r="BK416" i="27" s="1"/>
  <c r="AT416" i="27" s="1"/>
  <c r="H413" i="30" s="1"/>
  <c r="S418" i="27"/>
  <c r="T418" i="27" s="1"/>
  <c r="BA418" i="27" s="1"/>
  <c r="AG420" i="27"/>
  <c r="AC420" i="27"/>
  <c r="AD420" i="27"/>
  <c r="AO419" i="27"/>
  <c r="AP419" i="27"/>
  <c r="U419" i="27"/>
  <c r="BI417" i="27"/>
  <c r="BH417" i="27"/>
  <c r="Q419" i="27"/>
  <c r="R419" i="27"/>
  <c r="BD418" i="27"/>
  <c r="BG418" i="27" s="1"/>
  <c r="D417" i="30"/>
  <c r="I417" i="30" s="1"/>
  <c r="BF432" i="27" l="1"/>
  <c r="G429" i="30"/>
  <c r="AM434" i="27"/>
  <c r="AS433" i="27"/>
  <c r="B432" i="27"/>
  <c r="AU431" i="27"/>
  <c r="D699" i="30"/>
  <c r="I699" i="30" s="1"/>
  <c r="I703" i="27"/>
  <c r="AX418" i="27"/>
  <c r="BE420" i="27"/>
  <c r="F417" i="30"/>
  <c r="BC419" i="27"/>
  <c r="BB419" i="27"/>
  <c r="E416" i="30"/>
  <c r="B426" i="30"/>
  <c r="BJ417" i="27"/>
  <c r="BK417" i="27" s="1"/>
  <c r="AT417" i="27" s="1"/>
  <c r="H414" i="30" s="1"/>
  <c r="S419" i="27"/>
  <c r="T419" i="27" s="1"/>
  <c r="BA419" i="27" s="1"/>
  <c r="AG421" i="27"/>
  <c r="BD419" i="27"/>
  <c r="BG419" i="27" s="1"/>
  <c r="U420" i="27"/>
  <c r="AP420" i="27"/>
  <c r="AO420" i="27"/>
  <c r="AQ419" i="27"/>
  <c r="AR419" i="27" s="1"/>
  <c r="AY419" i="27" s="1"/>
  <c r="Q420" i="27"/>
  <c r="R420" i="27"/>
  <c r="D418" i="30"/>
  <c r="I418" i="30" s="1"/>
  <c r="AE420" i="27"/>
  <c r="AF420" i="27" s="1"/>
  <c r="AZ420" i="27" s="1"/>
  <c r="BH418" i="27"/>
  <c r="BI418" i="27"/>
  <c r="AD421" i="27"/>
  <c r="AC421" i="27"/>
  <c r="AE421" i="27" s="1"/>
  <c r="AF421" i="27" s="1"/>
  <c r="AZ421" i="27" s="1"/>
  <c r="AM435" i="27" l="1"/>
  <c r="AS434" i="27"/>
  <c r="BF433" i="27"/>
  <c r="G430" i="30"/>
  <c r="D700" i="30"/>
  <c r="I700" i="30" s="1"/>
  <c r="I704" i="27"/>
  <c r="B433" i="27"/>
  <c r="AU432" i="27"/>
  <c r="BL419" i="27"/>
  <c r="AX419" i="27"/>
  <c r="BE421" i="27"/>
  <c r="F418" i="30"/>
  <c r="BB420" i="27"/>
  <c r="BC420" i="27"/>
  <c r="E417" i="30"/>
  <c r="B427" i="30"/>
  <c r="AQ420" i="27"/>
  <c r="AR420" i="27" s="1"/>
  <c r="AY420" i="27" s="1"/>
  <c r="AG422" i="27"/>
  <c r="BD420" i="27"/>
  <c r="BG420" i="27" s="1"/>
  <c r="AP421" i="27"/>
  <c r="AO421" i="27"/>
  <c r="AD422" i="27"/>
  <c r="AC422" i="27"/>
  <c r="S420" i="27"/>
  <c r="T420" i="27" s="1"/>
  <c r="BA420" i="27" s="1"/>
  <c r="BJ418" i="27"/>
  <c r="BK418" i="27" s="1"/>
  <c r="AT418" i="27" s="1"/>
  <c r="H415" i="30" s="1"/>
  <c r="BI419" i="27"/>
  <c r="BH419" i="27"/>
  <c r="D419" i="30"/>
  <c r="I419" i="30" s="1"/>
  <c r="Q421" i="27"/>
  <c r="R421" i="27"/>
  <c r="U421" i="27"/>
  <c r="G431" i="30" l="1"/>
  <c r="BF434" i="27"/>
  <c r="AM436" i="27"/>
  <c r="AS435" i="27"/>
  <c r="B434" i="27"/>
  <c r="AU433" i="27"/>
  <c r="D701" i="30"/>
  <c r="I701" i="30" s="1"/>
  <c r="I705" i="27"/>
  <c r="BL420" i="27"/>
  <c r="AX420" i="27"/>
  <c r="BE422" i="27"/>
  <c r="F419" i="30"/>
  <c r="BC421" i="27"/>
  <c r="BL421" i="27" s="1"/>
  <c r="BB421" i="27"/>
  <c r="E418" i="30"/>
  <c r="B428" i="30"/>
  <c r="BJ419" i="27"/>
  <c r="BK419" i="27" s="1"/>
  <c r="AT419" i="27" s="1"/>
  <c r="H416" i="30" s="1"/>
  <c r="AQ421" i="27"/>
  <c r="AR421" i="27" s="1"/>
  <c r="AY421" i="27" s="1"/>
  <c r="AE422" i="27"/>
  <c r="AF422" i="27" s="1"/>
  <c r="AZ422" i="27" s="1"/>
  <c r="AG423" i="27"/>
  <c r="BD421" i="27"/>
  <c r="BG421" i="27" s="1"/>
  <c r="S421" i="27"/>
  <c r="T421" i="27" s="1"/>
  <c r="BA421" i="27" s="1"/>
  <c r="AO422" i="27"/>
  <c r="AP422" i="27"/>
  <c r="U422" i="27"/>
  <c r="R422" i="27"/>
  <c r="Q422" i="27"/>
  <c r="D420" i="30"/>
  <c r="I420" i="30" s="1"/>
  <c r="AD423" i="27"/>
  <c r="AC423" i="27"/>
  <c r="BI420" i="27"/>
  <c r="BH420" i="27"/>
  <c r="AM437" i="27" l="1"/>
  <c r="AS436" i="27"/>
  <c r="BF435" i="27"/>
  <c r="G432" i="30"/>
  <c r="I706" i="27"/>
  <c r="D702" i="30"/>
  <c r="I702" i="30" s="1"/>
  <c r="B435" i="27"/>
  <c r="AU434" i="27"/>
  <c r="BJ420" i="27"/>
  <c r="BK420" i="27" s="1"/>
  <c r="AT420" i="27" s="1"/>
  <c r="H417" i="30" s="1"/>
  <c r="AX421" i="27"/>
  <c r="BE423" i="27"/>
  <c r="F420" i="30"/>
  <c r="BB422" i="27"/>
  <c r="BC422" i="27"/>
  <c r="BL422" i="27" s="1"/>
  <c r="E419" i="30"/>
  <c r="B429" i="30"/>
  <c r="AE423" i="27"/>
  <c r="AF423" i="27" s="1"/>
  <c r="AZ423" i="27" s="1"/>
  <c r="AQ422" i="27"/>
  <c r="AR422" i="27" s="1"/>
  <c r="AY422" i="27" s="1"/>
  <c r="AG424" i="27"/>
  <c r="S422" i="27"/>
  <c r="T422" i="27" s="1"/>
  <c r="BA422" i="27" s="1"/>
  <c r="R423" i="27"/>
  <c r="Q423" i="27"/>
  <c r="BD422" i="27"/>
  <c r="BG422" i="27" s="1"/>
  <c r="U423" i="27"/>
  <c r="AP423" i="27"/>
  <c r="AO423" i="27"/>
  <c r="AD424" i="27"/>
  <c r="AC424" i="27"/>
  <c r="BI421" i="27"/>
  <c r="BH421" i="27"/>
  <c r="D421" i="30"/>
  <c r="I421" i="30" s="1"/>
  <c r="BF436" i="27" l="1"/>
  <c r="G433" i="30"/>
  <c r="AM438" i="27"/>
  <c r="AS437" i="27"/>
  <c r="B436" i="27"/>
  <c r="AU435" i="27"/>
  <c r="D703" i="30"/>
  <c r="I703" i="30" s="1"/>
  <c r="I707" i="27"/>
  <c r="BJ421" i="27"/>
  <c r="BK421" i="27" s="1"/>
  <c r="AT421" i="27" s="1"/>
  <c r="H418" i="30" s="1"/>
  <c r="AX422" i="27"/>
  <c r="BE424" i="27"/>
  <c r="F421" i="30"/>
  <c r="BB423" i="27"/>
  <c r="BC423" i="27"/>
  <c r="E420" i="30"/>
  <c r="B430" i="30"/>
  <c r="AQ423" i="27"/>
  <c r="AR423" i="27" s="1"/>
  <c r="AY423" i="27" s="1"/>
  <c r="S423" i="27"/>
  <c r="T423" i="27" s="1"/>
  <c r="BA423" i="27" s="1"/>
  <c r="AG425" i="27"/>
  <c r="AE424" i="27"/>
  <c r="AF424" i="27" s="1"/>
  <c r="AZ424" i="27" s="1"/>
  <c r="AO424" i="27"/>
  <c r="AP424" i="27"/>
  <c r="U424" i="27"/>
  <c r="BI422" i="27"/>
  <c r="BH422" i="27"/>
  <c r="AC425" i="27"/>
  <c r="AD425" i="27"/>
  <c r="D422" i="30"/>
  <c r="I422" i="30" s="1"/>
  <c r="BD423" i="27"/>
  <c r="BG423" i="27" s="1"/>
  <c r="R424" i="27"/>
  <c r="Q424" i="27"/>
  <c r="BF437" i="27" l="1"/>
  <c r="G434" i="30"/>
  <c r="AM439" i="27"/>
  <c r="AS438" i="27"/>
  <c r="D704" i="30"/>
  <c r="I704" i="30" s="1"/>
  <c r="I708" i="27"/>
  <c r="B437" i="27"/>
  <c r="AU436" i="27"/>
  <c r="BL423" i="27"/>
  <c r="BE425" i="27"/>
  <c r="F422" i="30"/>
  <c r="B431" i="30"/>
  <c r="BB424" i="27"/>
  <c r="BC424" i="27"/>
  <c r="E421" i="30"/>
  <c r="AX423" i="27"/>
  <c r="AE425" i="27"/>
  <c r="AF425" i="27" s="1"/>
  <c r="AZ425" i="27" s="1"/>
  <c r="S424" i="27"/>
  <c r="T424" i="27" s="1"/>
  <c r="BA424" i="27" s="1"/>
  <c r="BJ422" i="27"/>
  <c r="BK422" i="27" s="1"/>
  <c r="AT422" i="27" s="1"/>
  <c r="H419" i="30" s="1"/>
  <c r="AG426" i="27"/>
  <c r="R425" i="27"/>
  <c r="Q425" i="27"/>
  <c r="AC426" i="27"/>
  <c r="AD426" i="27"/>
  <c r="U425" i="27"/>
  <c r="BI423" i="27"/>
  <c r="BH423" i="27"/>
  <c r="D423" i="30"/>
  <c r="I423" i="30" s="1"/>
  <c r="AQ424" i="27"/>
  <c r="AR424" i="27" s="1"/>
  <c r="AY424" i="27" s="1"/>
  <c r="BD424" i="27"/>
  <c r="BG424" i="27" s="1"/>
  <c r="AP425" i="27"/>
  <c r="AO425" i="27"/>
  <c r="AM440" i="27" l="1"/>
  <c r="AS439" i="27"/>
  <c r="BF438" i="27"/>
  <c r="G435" i="30"/>
  <c r="B438" i="27"/>
  <c r="AU437" i="27"/>
  <c r="I709" i="27"/>
  <c r="D705" i="30"/>
  <c r="I705" i="30" s="1"/>
  <c r="BL424" i="27"/>
  <c r="BE426" i="27"/>
  <c r="F423" i="30"/>
  <c r="BC425" i="27"/>
  <c r="BB425" i="27"/>
  <c r="E422" i="30"/>
  <c r="AX424" i="27"/>
  <c r="B432" i="30"/>
  <c r="AQ425" i="27"/>
  <c r="AR425" i="27" s="1"/>
  <c r="AY425" i="27" s="1"/>
  <c r="S425" i="27"/>
  <c r="T425" i="27" s="1"/>
  <c r="BA425" i="27" s="1"/>
  <c r="AG427" i="27"/>
  <c r="BJ423" i="27"/>
  <c r="BK423" i="27" s="1"/>
  <c r="AT423" i="27" s="1"/>
  <c r="H420" i="30" s="1"/>
  <c r="U426" i="27"/>
  <c r="AD427" i="27"/>
  <c r="AC427" i="27"/>
  <c r="AO426" i="27"/>
  <c r="AP426" i="27"/>
  <c r="AE426" i="27"/>
  <c r="AF426" i="27" s="1"/>
  <c r="AZ426" i="27" s="1"/>
  <c r="R426" i="27"/>
  <c r="Q426" i="27"/>
  <c r="BH424" i="27"/>
  <c r="BI424" i="27"/>
  <c r="BD425" i="27"/>
  <c r="BG425" i="27" s="1"/>
  <c r="D424" i="30"/>
  <c r="I424" i="30" s="1"/>
  <c r="G436" i="30" l="1"/>
  <c r="BF439" i="27"/>
  <c r="AM441" i="27"/>
  <c r="AS440" i="27"/>
  <c r="D706" i="30"/>
  <c r="I706" i="30" s="1"/>
  <c r="I710" i="27"/>
  <c r="B439" i="27"/>
  <c r="AU438" i="27"/>
  <c r="BL425" i="27"/>
  <c r="AE427" i="27"/>
  <c r="AF427" i="27" s="1"/>
  <c r="AZ427" i="27" s="1"/>
  <c r="AX425" i="27"/>
  <c r="BE427" i="27"/>
  <c r="F424" i="30"/>
  <c r="B433" i="30"/>
  <c r="BB426" i="27"/>
  <c r="BC426" i="27"/>
  <c r="BL426" i="27" s="1"/>
  <c r="E423" i="30"/>
  <c r="S426" i="27"/>
  <c r="T426" i="27" s="1"/>
  <c r="BA426" i="27" s="1"/>
  <c r="AG428" i="27"/>
  <c r="AP427" i="27"/>
  <c r="AO427" i="27"/>
  <c r="U427" i="27"/>
  <c r="R427" i="27"/>
  <c r="Q427" i="27"/>
  <c r="AD428" i="27"/>
  <c r="AC428" i="27"/>
  <c r="AQ426" i="27"/>
  <c r="AR426" i="27" s="1"/>
  <c r="AY426" i="27" s="1"/>
  <c r="BD426" i="27"/>
  <c r="BG426" i="27" s="1"/>
  <c r="BJ424" i="27"/>
  <c r="BK424" i="27" s="1"/>
  <c r="AT424" i="27" s="1"/>
  <c r="H421" i="30" s="1"/>
  <c r="D425" i="30"/>
  <c r="I425" i="30" s="1"/>
  <c r="BI425" i="27"/>
  <c r="BH425" i="27"/>
  <c r="G437" i="30" l="1"/>
  <c r="BF440" i="27"/>
  <c r="AM442" i="27"/>
  <c r="AS441" i="27"/>
  <c r="B440" i="27"/>
  <c r="AU439" i="27"/>
  <c r="D707" i="30"/>
  <c r="I707" i="30" s="1"/>
  <c r="I711" i="27"/>
  <c r="BJ425" i="27"/>
  <c r="BK425" i="27" s="1"/>
  <c r="AT425" i="27" s="1"/>
  <c r="H422" i="30" s="1"/>
  <c r="BE428" i="27"/>
  <c r="F425" i="30"/>
  <c r="BC427" i="27"/>
  <c r="BB427" i="27"/>
  <c r="E424" i="30"/>
  <c r="AX426" i="27"/>
  <c r="B434" i="30"/>
  <c r="S427" i="27"/>
  <c r="T427" i="27" s="1"/>
  <c r="BA427" i="27" s="1"/>
  <c r="AQ427" i="27"/>
  <c r="AR427" i="27" s="1"/>
  <c r="AY427" i="27" s="1"/>
  <c r="AE428" i="27"/>
  <c r="AF428" i="27" s="1"/>
  <c r="AZ428" i="27" s="1"/>
  <c r="AG429" i="27"/>
  <c r="AD429" i="27"/>
  <c r="AC429" i="27"/>
  <c r="BI426" i="27"/>
  <c r="BH426" i="27"/>
  <c r="Q428" i="27"/>
  <c r="R428" i="27"/>
  <c r="BD427" i="27"/>
  <c r="BG427" i="27" s="1"/>
  <c r="U428" i="27"/>
  <c r="D426" i="30"/>
  <c r="I426" i="30" s="1"/>
  <c r="AP428" i="27"/>
  <c r="AO428" i="27"/>
  <c r="G438" i="30" l="1"/>
  <c r="BF441" i="27"/>
  <c r="AM443" i="27"/>
  <c r="AS442" i="27"/>
  <c r="D708" i="30"/>
  <c r="I708" i="30" s="1"/>
  <c r="I712" i="27"/>
  <c r="B441" i="27"/>
  <c r="AU440" i="27"/>
  <c r="AE429" i="27"/>
  <c r="AF429" i="27" s="1"/>
  <c r="AZ429" i="27" s="1"/>
  <c r="BL427" i="27"/>
  <c r="BE429" i="27"/>
  <c r="F426" i="30"/>
  <c r="AX427" i="27"/>
  <c r="B435" i="30"/>
  <c r="BB428" i="27"/>
  <c r="BC428" i="27"/>
  <c r="E425" i="30"/>
  <c r="AQ428" i="27"/>
  <c r="AR428" i="27" s="1"/>
  <c r="AY428" i="27" s="1"/>
  <c r="BJ426" i="27"/>
  <c r="BK426" i="27" s="1"/>
  <c r="AT426" i="27" s="1"/>
  <c r="H423" i="30" s="1"/>
  <c r="AG430" i="27"/>
  <c r="BI427" i="27"/>
  <c r="BH427" i="27"/>
  <c r="Q429" i="27"/>
  <c r="R429" i="27"/>
  <c r="BD428" i="27"/>
  <c r="BG428" i="27" s="1"/>
  <c r="U429" i="27"/>
  <c r="AP429" i="27"/>
  <c r="AO429" i="27"/>
  <c r="D427" i="30"/>
  <c r="I427" i="30" s="1"/>
  <c r="S428" i="27"/>
  <c r="T428" i="27" s="1"/>
  <c r="BA428" i="27" s="1"/>
  <c r="AC430" i="27"/>
  <c r="AD430" i="27"/>
  <c r="BF442" i="27" l="1"/>
  <c r="G439" i="30"/>
  <c r="AM444" i="27"/>
  <c r="AS443" i="27"/>
  <c r="B442" i="27"/>
  <c r="AU441" i="27"/>
  <c r="D709" i="30"/>
  <c r="I709" i="30" s="1"/>
  <c r="I713" i="27"/>
  <c r="BL428" i="27"/>
  <c r="AX428" i="27"/>
  <c r="BE430" i="27"/>
  <c r="F427" i="30"/>
  <c r="BB429" i="27"/>
  <c r="BC429" i="27"/>
  <c r="BL429" i="27" s="1"/>
  <c r="E426" i="30"/>
  <c r="B436" i="30"/>
  <c r="AG431" i="27"/>
  <c r="BJ427" i="27"/>
  <c r="BK427" i="27" s="1"/>
  <c r="AT427" i="27" s="1"/>
  <c r="H424" i="30" s="1"/>
  <c r="D428" i="30"/>
  <c r="I428" i="30" s="1"/>
  <c r="R430" i="27"/>
  <c r="Q430" i="27"/>
  <c r="AP430" i="27"/>
  <c r="AO430" i="27"/>
  <c r="U430" i="27"/>
  <c r="AE430" i="27"/>
  <c r="AF430" i="27" s="1"/>
  <c r="AZ430" i="27" s="1"/>
  <c r="BH428" i="27"/>
  <c r="BI428" i="27"/>
  <c r="AQ429" i="27"/>
  <c r="AR429" i="27" s="1"/>
  <c r="AY429" i="27" s="1"/>
  <c r="BD429" i="27"/>
  <c r="BG429" i="27" s="1"/>
  <c r="S429" i="27"/>
  <c r="T429" i="27" s="1"/>
  <c r="BA429" i="27" s="1"/>
  <c r="AD431" i="27"/>
  <c r="AC431" i="27"/>
  <c r="BF443" i="27" l="1"/>
  <c r="G440" i="30"/>
  <c r="AM445" i="27"/>
  <c r="AS444" i="27"/>
  <c r="I714" i="27"/>
  <c r="D710" i="30"/>
  <c r="I710" i="30" s="1"/>
  <c r="B443" i="27"/>
  <c r="AU442" i="27"/>
  <c r="BE431" i="27"/>
  <c r="F428" i="30"/>
  <c r="B437" i="30"/>
  <c r="BB430" i="27"/>
  <c r="BC430" i="27"/>
  <c r="BL430" i="27" s="1"/>
  <c r="E427" i="30"/>
  <c r="S430" i="27"/>
  <c r="T430" i="27" s="1"/>
  <c r="BA430" i="27" s="1"/>
  <c r="AX429" i="27"/>
  <c r="BJ428" i="27"/>
  <c r="BK428" i="27" s="1"/>
  <c r="AT428" i="27" s="1"/>
  <c r="H425" i="30" s="1"/>
  <c r="AG432" i="27"/>
  <c r="AQ430" i="27"/>
  <c r="AR430" i="27" s="1"/>
  <c r="AY430" i="27" s="1"/>
  <c r="AP431" i="27"/>
  <c r="AO431" i="27"/>
  <c r="BI429" i="27"/>
  <c r="BH429" i="27"/>
  <c r="Q431" i="27"/>
  <c r="R431" i="27"/>
  <c r="AE431" i="27"/>
  <c r="AF431" i="27" s="1"/>
  <c r="AZ431" i="27" s="1"/>
  <c r="AD432" i="27"/>
  <c r="AC432" i="27"/>
  <c r="BD430" i="27"/>
  <c r="BG430" i="27" s="1"/>
  <c r="U431" i="27"/>
  <c r="D429" i="30"/>
  <c r="I429" i="30" s="1"/>
  <c r="BF444" i="27" l="1"/>
  <c r="G441" i="30"/>
  <c r="AM446" i="27"/>
  <c r="AS445" i="27"/>
  <c r="B444" i="27"/>
  <c r="AU443" i="27"/>
  <c r="D711" i="30"/>
  <c r="I711" i="30" s="1"/>
  <c r="I715" i="27"/>
  <c r="AX430" i="27"/>
  <c r="BE432" i="27"/>
  <c r="F429" i="30"/>
  <c r="BC431" i="27"/>
  <c r="BL431" i="27" s="1"/>
  <c r="BB431" i="27"/>
  <c r="E428" i="30"/>
  <c r="B438" i="30"/>
  <c r="AE432" i="27"/>
  <c r="AF432" i="27" s="1"/>
  <c r="AZ432" i="27" s="1"/>
  <c r="AQ431" i="27"/>
  <c r="AR431" i="27" s="1"/>
  <c r="AY431" i="27" s="1"/>
  <c r="AG433" i="27"/>
  <c r="BD431" i="27"/>
  <c r="BG431" i="27" s="1"/>
  <c r="AC433" i="27"/>
  <c r="AD433" i="27"/>
  <c r="U432" i="27"/>
  <c r="R432" i="27"/>
  <c r="Q432" i="27"/>
  <c r="BI430" i="27"/>
  <c r="BH430" i="27"/>
  <c r="AP432" i="27"/>
  <c r="AO432" i="27"/>
  <c r="S431" i="27"/>
  <c r="T431" i="27" s="1"/>
  <c r="BA431" i="27" s="1"/>
  <c r="D430" i="30"/>
  <c r="I430" i="30" s="1"/>
  <c r="BJ429" i="27"/>
  <c r="BK429" i="27" s="1"/>
  <c r="AT429" i="27" s="1"/>
  <c r="H426" i="30" s="1"/>
  <c r="BF445" i="27" l="1"/>
  <c r="G442" i="30"/>
  <c r="AM447" i="27"/>
  <c r="AS446" i="27"/>
  <c r="I716" i="27"/>
  <c r="D712" i="30"/>
  <c r="I712" i="30" s="1"/>
  <c r="B445" i="27"/>
  <c r="AU444" i="27"/>
  <c r="AX431" i="27"/>
  <c r="BE433" i="27"/>
  <c r="F430" i="30"/>
  <c r="BB432" i="27"/>
  <c r="BC432" i="27"/>
  <c r="BL432" i="27" s="1"/>
  <c r="E429" i="30"/>
  <c r="B439" i="30"/>
  <c r="AQ432" i="27"/>
  <c r="AR432" i="27" s="1"/>
  <c r="AY432" i="27" s="1"/>
  <c r="BJ430" i="27"/>
  <c r="BK430" i="27" s="1"/>
  <c r="AT430" i="27" s="1"/>
  <c r="H427" i="30" s="1"/>
  <c r="S432" i="27"/>
  <c r="T432" i="27" s="1"/>
  <c r="BA432" i="27" s="1"/>
  <c r="AG434" i="27"/>
  <c r="U433" i="27"/>
  <c r="AP433" i="27"/>
  <c r="AO433" i="27"/>
  <c r="AC434" i="27"/>
  <c r="AD434" i="27"/>
  <c r="R433" i="27"/>
  <c r="Q433" i="27"/>
  <c r="AE433" i="27"/>
  <c r="AF433" i="27" s="1"/>
  <c r="AZ433" i="27" s="1"/>
  <c r="BI431" i="27"/>
  <c r="BH431" i="27"/>
  <c r="BD432" i="27"/>
  <c r="BG432" i="27" s="1"/>
  <c r="D431" i="30"/>
  <c r="I431" i="30" s="1"/>
  <c r="BF446" i="27" l="1"/>
  <c r="G443" i="30"/>
  <c r="AM448" i="27"/>
  <c r="AS447" i="27"/>
  <c r="B446" i="27"/>
  <c r="AU445" i="27"/>
  <c r="D713" i="30"/>
  <c r="I713" i="30" s="1"/>
  <c r="I717" i="27"/>
  <c r="BE434" i="27"/>
  <c r="F431" i="30"/>
  <c r="BB433" i="27"/>
  <c r="BC433" i="27"/>
  <c r="BL433" i="27" s="1"/>
  <c r="E430" i="30"/>
  <c r="B440" i="30"/>
  <c r="AQ433" i="27"/>
  <c r="AR433" i="27" s="1"/>
  <c r="AY433" i="27" s="1"/>
  <c r="AG435" i="27"/>
  <c r="S433" i="27"/>
  <c r="T433" i="27" s="1"/>
  <c r="BA433" i="27" s="1"/>
  <c r="BJ431" i="27"/>
  <c r="BK431" i="27" s="1"/>
  <c r="AT431" i="27" s="1"/>
  <c r="H428" i="30" s="1"/>
  <c r="AX432" i="27"/>
  <c r="R434" i="27"/>
  <c r="Q434" i="27"/>
  <c r="S434" i="27" s="1"/>
  <c r="T434" i="27" s="1"/>
  <c r="BA434" i="27" s="1"/>
  <c r="AO434" i="27"/>
  <c r="AP434" i="27"/>
  <c r="D432" i="30"/>
  <c r="I432" i="30" s="1"/>
  <c r="BD433" i="27"/>
  <c r="BG433" i="27" s="1"/>
  <c r="AD435" i="27"/>
  <c r="AC435" i="27"/>
  <c r="BI432" i="27"/>
  <c r="BH432" i="27"/>
  <c r="AE434" i="27"/>
  <c r="AF434" i="27" s="1"/>
  <c r="AZ434" i="27" s="1"/>
  <c r="U434" i="27"/>
  <c r="G444" i="30" l="1"/>
  <c r="BF447" i="27"/>
  <c r="AM449" i="27"/>
  <c r="AS448" i="27"/>
  <c r="I718" i="27"/>
  <c r="D714" i="30"/>
  <c r="I714" i="30" s="1"/>
  <c r="B447" i="27"/>
  <c r="AU446" i="27"/>
  <c r="BJ432" i="27"/>
  <c r="BK432" i="27" s="1"/>
  <c r="AT432" i="27" s="1"/>
  <c r="H429" i="30" s="1"/>
  <c r="AX433" i="27"/>
  <c r="BE435" i="27"/>
  <c r="F432" i="30"/>
  <c r="BB434" i="27"/>
  <c r="BC434" i="27"/>
  <c r="BL434" i="27" s="1"/>
  <c r="E431" i="30"/>
  <c r="B441" i="30"/>
  <c r="AQ434" i="27"/>
  <c r="AR434" i="27" s="1"/>
  <c r="AY434" i="27" s="1"/>
  <c r="AX434" i="27" s="1"/>
  <c r="AG436" i="27"/>
  <c r="AD436" i="27"/>
  <c r="AC436" i="27"/>
  <c r="AE435" i="27"/>
  <c r="AF435" i="27" s="1"/>
  <c r="AZ435" i="27" s="1"/>
  <c r="D433" i="30"/>
  <c r="I433" i="30" s="1"/>
  <c r="BD434" i="27"/>
  <c r="BG434" i="27" s="1"/>
  <c r="AP435" i="27"/>
  <c r="AO435" i="27"/>
  <c r="U435" i="27"/>
  <c r="BI433" i="27"/>
  <c r="BH433" i="27"/>
  <c r="R435" i="27"/>
  <c r="Q435" i="27"/>
  <c r="BF448" i="27" l="1"/>
  <c r="G445" i="30"/>
  <c r="AM450" i="27"/>
  <c r="AS449" i="27"/>
  <c r="B448" i="27"/>
  <c r="AU447" i="27"/>
  <c r="D715" i="30"/>
  <c r="I715" i="30" s="1"/>
  <c r="I719" i="27"/>
  <c r="AE436" i="27"/>
  <c r="AF436" i="27" s="1"/>
  <c r="AZ436" i="27" s="1"/>
  <c r="S435" i="27"/>
  <c r="T435" i="27" s="1"/>
  <c r="BA435" i="27" s="1"/>
  <c r="BE436" i="27"/>
  <c r="F433" i="30"/>
  <c r="BB435" i="27"/>
  <c r="BC435" i="27"/>
  <c r="BL435" i="27" s="1"/>
  <c r="E432" i="30"/>
  <c r="B442" i="30"/>
  <c r="AQ435" i="27"/>
  <c r="AR435" i="27" s="1"/>
  <c r="AY435" i="27" s="1"/>
  <c r="AG437" i="27"/>
  <c r="BJ433" i="27"/>
  <c r="BK433" i="27" s="1"/>
  <c r="AT433" i="27" s="1"/>
  <c r="H430" i="30" s="1"/>
  <c r="BD435" i="27"/>
  <c r="BG435" i="27" s="1"/>
  <c r="BI434" i="27"/>
  <c r="BH434" i="27"/>
  <c r="U436" i="27"/>
  <c r="AP436" i="27"/>
  <c r="AO436" i="27"/>
  <c r="Q436" i="27"/>
  <c r="R436" i="27"/>
  <c r="D434" i="30"/>
  <c r="I434" i="30" s="1"/>
  <c r="AD437" i="27"/>
  <c r="AC437" i="27"/>
  <c r="G446" i="30" l="1"/>
  <c r="BF449" i="27"/>
  <c r="AM451" i="27"/>
  <c r="AS450" i="27"/>
  <c r="I720" i="27"/>
  <c r="D716" i="30"/>
  <c r="I716" i="30" s="1"/>
  <c r="AX435" i="27"/>
  <c r="B449" i="27"/>
  <c r="AU448" i="27"/>
  <c r="BE437" i="27"/>
  <c r="F434" i="30"/>
  <c r="BC436" i="27"/>
  <c r="BL436" i="27" s="1"/>
  <c r="BB436" i="27"/>
  <c r="E433" i="30"/>
  <c r="B443" i="30"/>
  <c r="BJ434" i="27"/>
  <c r="BK434" i="27" s="1"/>
  <c r="AT434" i="27" s="1"/>
  <c r="H431" i="30" s="1"/>
  <c r="AQ436" i="27"/>
  <c r="AR436" i="27" s="1"/>
  <c r="AY436" i="27" s="1"/>
  <c r="AG438" i="27"/>
  <c r="D435" i="30"/>
  <c r="I435" i="30" s="1"/>
  <c r="BD436" i="27"/>
  <c r="BG436" i="27" s="1"/>
  <c r="Q437" i="27"/>
  <c r="R437" i="27"/>
  <c r="AP437" i="27"/>
  <c r="AO437" i="27"/>
  <c r="AE437" i="27"/>
  <c r="AF437" i="27" s="1"/>
  <c r="AZ437" i="27" s="1"/>
  <c r="AD438" i="27"/>
  <c r="AC438" i="27"/>
  <c r="S436" i="27"/>
  <c r="T436" i="27" s="1"/>
  <c r="BA436" i="27" s="1"/>
  <c r="BH435" i="27"/>
  <c r="BI435" i="27"/>
  <c r="U437" i="27"/>
  <c r="AM452" i="27" l="1"/>
  <c r="AS451" i="27"/>
  <c r="G447" i="30"/>
  <c r="BF450" i="27"/>
  <c r="B450" i="27"/>
  <c r="AU449" i="27"/>
  <c r="D717" i="30"/>
  <c r="I717" i="30" s="1"/>
  <c r="I721" i="27"/>
  <c r="AX436" i="27"/>
  <c r="BE438" i="27"/>
  <c r="F435" i="30"/>
  <c r="BC437" i="27"/>
  <c r="BL437" i="27" s="1"/>
  <c r="BB437" i="27"/>
  <c r="E434" i="30"/>
  <c r="B444" i="30"/>
  <c r="S437" i="27"/>
  <c r="T437" i="27" s="1"/>
  <c r="BA437" i="27" s="1"/>
  <c r="BJ435" i="27"/>
  <c r="BK435" i="27" s="1"/>
  <c r="AT435" i="27" s="1"/>
  <c r="H432" i="30" s="1"/>
  <c r="AG439" i="27"/>
  <c r="AQ437" i="27"/>
  <c r="AR437" i="27" s="1"/>
  <c r="AY437" i="27" s="1"/>
  <c r="R438" i="27"/>
  <c r="Q438" i="27"/>
  <c r="BD437" i="27"/>
  <c r="BG437" i="27" s="1"/>
  <c r="BH436" i="27"/>
  <c r="BI436" i="27"/>
  <c r="AO438" i="27"/>
  <c r="AP438" i="27"/>
  <c r="AD439" i="27"/>
  <c r="AC439" i="27"/>
  <c r="AE438" i="27"/>
  <c r="AF438" i="27" s="1"/>
  <c r="AZ438" i="27" s="1"/>
  <c r="D436" i="30"/>
  <c r="I436" i="30" s="1"/>
  <c r="U438" i="27"/>
  <c r="G448" i="30" l="1"/>
  <c r="BF451" i="27"/>
  <c r="AM453" i="27"/>
  <c r="AS452" i="27"/>
  <c r="I722" i="27"/>
  <c r="D718" i="30"/>
  <c r="I718" i="30" s="1"/>
  <c r="B451" i="27"/>
  <c r="AU450" i="27"/>
  <c r="AX437" i="27"/>
  <c r="BE439" i="27"/>
  <c r="F436" i="30"/>
  <c r="S438" i="27"/>
  <c r="T438" i="27" s="1"/>
  <c r="BA438" i="27" s="1"/>
  <c r="BB438" i="27"/>
  <c r="BC438" i="27"/>
  <c r="BL438" i="27" s="1"/>
  <c r="E435" i="30"/>
  <c r="B445" i="30"/>
  <c r="AQ438" i="27"/>
  <c r="AR438" i="27" s="1"/>
  <c r="AY438" i="27" s="1"/>
  <c r="AG440" i="27"/>
  <c r="AP439" i="27"/>
  <c r="AO439" i="27"/>
  <c r="R439" i="27"/>
  <c r="Q439" i="27"/>
  <c r="AC440" i="27"/>
  <c r="AD440" i="27"/>
  <c r="BJ436" i="27"/>
  <c r="BK436" i="27" s="1"/>
  <c r="AT436" i="27" s="1"/>
  <c r="H433" i="30" s="1"/>
  <c r="BD438" i="27"/>
  <c r="BG438" i="27" s="1"/>
  <c r="D437" i="30"/>
  <c r="I437" i="30" s="1"/>
  <c r="U439" i="27"/>
  <c r="BI437" i="27"/>
  <c r="BH437" i="27"/>
  <c r="AE439" i="27"/>
  <c r="AF439" i="27" s="1"/>
  <c r="AZ439" i="27" s="1"/>
  <c r="G449" i="30" l="1"/>
  <c r="BF452" i="27"/>
  <c r="AM454" i="27"/>
  <c r="AS453" i="27"/>
  <c r="B452" i="27"/>
  <c r="AU451" i="27"/>
  <c r="AX438" i="27"/>
  <c r="I723" i="27"/>
  <c r="D719" i="30"/>
  <c r="I719" i="30" s="1"/>
  <c r="S439" i="27"/>
  <c r="T439" i="27" s="1"/>
  <c r="BA439" i="27" s="1"/>
  <c r="AQ439" i="27"/>
  <c r="AR439" i="27" s="1"/>
  <c r="AY439" i="27" s="1"/>
  <c r="BE440" i="27"/>
  <c r="F437" i="30"/>
  <c r="BC439" i="27"/>
  <c r="BB439" i="27"/>
  <c r="E436" i="30"/>
  <c r="B446" i="30"/>
  <c r="AG441" i="27"/>
  <c r="D438" i="30"/>
  <c r="I438" i="30" s="1"/>
  <c r="U440" i="27"/>
  <c r="BH438" i="27"/>
  <c r="BI438" i="27"/>
  <c r="BD439" i="27"/>
  <c r="BG439" i="27" s="1"/>
  <c r="AE440" i="27"/>
  <c r="AF440" i="27" s="1"/>
  <c r="AZ440" i="27" s="1"/>
  <c r="R440" i="27"/>
  <c r="Q440" i="27"/>
  <c r="AD441" i="27"/>
  <c r="AC441" i="27"/>
  <c r="BJ437" i="27"/>
  <c r="BK437" i="27" s="1"/>
  <c r="AT437" i="27" s="1"/>
  <c r="H434" i="30" s="1"/>
  <c r="AO440" i="27"/>
  <c r="AP440" i="27"/>
  <c r="BF453" i="27" l="1"/>
  <c r="G450" i="30"/>
  <c r="AM455" i="27"/>
  <c r="AS454" i="27"/>
  <c r="D720" i="30"/>
  <c r="I720" i="30" s="1"/>
  <c r="I724" i="27"/>
  <c r="AX439" i="27"/>
  <c r="B453" i="27"/>
  <c r="AU452" i="27"/>
  <c r="BL439" i="27"/>
  <c r="BE441" i="27"/>
  <c r="F438" i="30"/>
  <c r="BB440" i="27"/>
  <c r="BC440" i="27"/>
  <c r="BL440" i="27" s="1"/>
  <c r="E437" i="30"/>
  <c r="B447" i="30"/>
  <c r="AG442" i="27"/>
  <c r="BI439" i="27"/>
  <c r="BH439" i="27"/>
  <c r="BJ438" i="27"/>
  <c r="BK438" i="27" s="1"/>
  <c r="AT438" i="27" s="1"/>
  <c r="H435" i="30" s="1"/>
  <c r="R441" i="27"/>
  <c r="Q441" i="27"/>
  <c r="BD440" i="27"/>
  <c r="BG440" i="27" s="1"/>
  <c r="U441" i="27"/>
  <c r="AE441" i="27"/>
  <c r="AF441" i="27" s="1"/>
  <c r="AZ441" i="27" s="1"/>
  <c r="AQ440" i="27"/>
  <c r="AR440" i="27" s="1"/>
  <c r="AY440" i="27" s="1"/>
  <c r="S440" i="27"/>
  <c r="T440" i="27" s="1"/>
  <c r="BA440" i="27" s="1"/>
  <c r="AC442" i="27"/>
  <c r="AD442" i="27"/>
  <c r="AP441" i="27"/>
  <c r="AO441" i="27"/>
  <c r="D439" i="30"/>
  <c r="I439" i="30" s="1"/>
  <c r="AM456" i="27" l="1"/>
  <c r="AS455" i="27"/>
  <c r="G451" i="30"/>
  <c r="BF454" i="27"/>
  <c r="D721" i="30"/>
  <c r="I721" i="30" s="1"/>
  <c r="I725" i="27"/>
  <c r="B454" i="27"/>
  <c r="AU453" i="27"/>
  <c r="BJ439" i="27"/>
  <c r="BK439" i="27" s="1"/>
  <c r="AT439" i="27" s="1"/>
  <c r="H436" i="30" s="1"/>
  <c r="BE442" i="27"/>
  <c r="F439" i="30"/>
  <c r="BC441" i="27"/>
  <c r="BB441" i="27"/>
  <c r="E438" i="30"/>
  <c r="B448" i="30"/>
  <c r="S441" i="27"/>
  <c r="T441" i="27" s="1"/>
  <c r="BA441" i="27" s="1"/>
  <c r="AQ441" i="27"/>
  <c r="AR441" i="27" s="1"/>
  <c r="AY441" i="27" s="1"/>
  <c r="AG443" i="27"/>
  <c r="U442" i="27"/>
  <c r="AP442" i="27"/>
  <c r="AO442" i="27"/>
  <c r="R442" i="27"/>
  <c r="Q442" i="27"/>
  <c r="BD441" i="27"/>
  <c r="BG441" i="27" s="1"/>
  <c r="AD443" i="27"/>
  <c r="AC443" i="27"/>
  <c r="D440" i="30"/>
  <c r="I440" i="30" s="1"/>
  <c r="AX440" i="27"/>
  <c r="BH440" i="27"/>
  <c r="BI440" i="27"/>
  <c r="AE442" i="27"/>
  <c r="AF442" i="27" s="1"/>
  <c r="AZ442" i="27" s="1"/>
  <c r="BF455" i="27" l="1"/>
  <c r="G452" i="30"/>
  <c r="AM457" i="27"/>
  <c r="AS456" i="27"/>
  <c r="B455" i="27"/>
  <c r="AU454" i="27"/>
  <c r="I726" i="27"/>
  <c r="D722" i="30"/>
  <c r="I722" i="30" s="1"/>
  <c r="BL441" i="27"/>
  <c r="BE443" i="27"/>
  <c r="F440" i="30"/>
  <c r="B449" i="30"/>
  <c r="BB442" i="27"/>
  <c r="BC442" i="27"/>
  <c r="E439" i="30"/>
  <c r="AX441" i="27"/>
  <c r="AQ442" i="27"/>
  <c r="AR442" i="27" s="1"/>
  <c r="AY442" i="27" s="1"/>
  <c r="AG444" i="27"/>
  <c r="AD444" i="27"/>
  <c r="AC444" i="27"/>
  <c r="AP443" i="27"/>
  <c r="AO443" i="27"/>
  <c r="AE443" i="27"/>
  <c r="AF443" i="27" s="1"/>
  <c r="AZ443" i="27" s="1"/>
  <c r="S442" i="27"/>
  <c r="T442" i="27" s="1"/>
  <c r="BA442" i="27" s="1"/>
  <c r="BI441" i="27"/>
  <c r="BH441" i="27"/>
  <c r="U443" i="27"/>
  <c r="BJ440" i="27"/>
  <c r="BK440" i="27" s="1"/>
  <c r="AT440" i="27" s="1"/>
  <c r="H437" i="30" s="1"/>
  <c r="R443" i="27"/>
  <c r="Q443" i="27"/>
  <c r="BD442" i="27"/>
  <c r="BG442" i="27" s="1"/>
  <c r="D441" i="30"/>
  <c r="I441" i="30" s="1"/>
  <c r="BF456" i="27" l="1"/>
  <c r="G453" i="30"/>
  <c r="AM458" i="27"/>
  <c r="AS457" i="27"/>
  <c r="I727" i="27"/>
  <c r="D723" i="30"/>
  <c r="I723" i="30" s="1"/>
  <c r="B456" i="27"/>
  <c r="AU455" i="27"/>
  <c r="AX442" i="27"/>
  <c r="BL442" i="27"/>
  <c r="BE444" i="27"/>
  <c r="F441" i="30"/>
  <c r="BB443" i="27"/>
  <c r="BC443" i="27"/>
  <c r="BL443" i="27" s="1"/>
  <c r="E440" i="30"/>
  <c r="B450" i="30"/>
  <c r="AE444" i="27"/>
  <c r="AF444" i="27" s="1"/>
  <c r="AZ444" i="27" s="1"/>
  <c r="AQ443" i="27"/>
  <c r="AR443" i="27" s="1"/>
  <c r="AY443" i="27" s="1"/>
  <c r="BJ441" i="27"/>
  <c r="BK441" i="27" s="1"/>
  <c r="AT441" i="27" s="1"/>
  <c r="H438" i="30" s="1"/>
  <c r="AG445" i="27"/>
  <c r="BD443" i="27"/>
  <c r="BG443" i="27" s="1"/>
  <c r="S443" i="27"/>
  <c r="T443" i="27" s="1"/>
  <c r="BA443" i="27" s="1"/>
  <c r="D442" i="30"/>
  <c r="I442" i="30" s="1"/>
  <c r="AO444" i="27"/>
  <c r="AP444" i="27"/>
  <c r="U444" i="27"/>
  <c r="R444" i="27"/>
  <c r="Q444" i="27"/>
  <c r="BI442" i="27"/>
  <c r="BH442" i="27"/>
  <c r="BJ442" i="27" s="1"/>
  <c r="BK442" i="27" s="1"/>
  <c r="AD445" i="27"/>
  <c r="AC445" i="27"/>
  <c r="AM459" i="27" l="1"/>
  <c r="AS458" i="27"/>
  <c r="AT442" i="27"/>
  <c r="H439" i="30" s="1"/>
  <c r="BF457" i="27"/>
  <c r="G454" i="30"/>
  <c r="B457" i="27"/>
  <c r="AU456" i="27"/>
  <c r="D724" i="30"/>
  <c r="I724" i="30" s="1"/>
  <c r="I728" i="27"/>
  <c r="D725" i="30" s="1"/>
  <c r="I725" i="30" s="1"/>
  <c r="AX443" i="27"/>
  <c r="BE445" i="27"/>
  <c r="F442" i="30"/>
  <c r="B451" i="30"/>
  <c r="BB444" i="27"/>
  <c r="BC444" i="27"/>
  <c r="E441" i="30"/>
  <c r="AE445" i="27"/>
  <c r="AF445" i="27" s="1"/>
  <c r="AZ445" i="27" s="1"/>
  <c r="AG446" i="27"/>
  <c r="S444" i="27"/>
  <c r="T444" i="27" s="1"/>
  <c r="BA444" i="27" s="1"/>
  <c r="AP445" i="27"/>
  <c r="AO445" i="27"/>
  <c r="BD444" i="27"/>
  <c r="BG444" i="27" s="1"/>
  <c r="BI443" i="27"/>
  <c r="BH443" i="27"/>
  <c r="U445" i="27"/>
  <c r="AQ444" i="27"/>
  <c r="AR444" i="27" s="1"/>
  <c r="AY444" i="27" s="1"/>
  <c r="D443" i="30"/>
  <c r="I443" i="30" s="1"/>
  <c r="AD446" i="27"/>
  <c r="AC446" i="27"/>
  <c r="Q445" i="27"/>
  <c r="R445" i="27"/>
  <c r="G455" i="30" l="1"/>
  <c r="BF458" i="27"/>
  <c r="AM460" i="27"/>
  <c r="AS459" i="27"/>
  <c r="B458" i="27"/>
  <c r="AU457" i="27"/>
  <c r="BL444" i="27"/>
  <c r="AX444" i="27"/>
  <c r="AQ445" i="27"/>
  <c r="AR445" i="27" s="1"/>
  <c r="AY445" i="27" s="1"/>
  <c r="BE446" i="27"/>
  <c r="F443" i="30"/>
  <c r="BB445" i="27"/>
  <c r="BC445" i="27"/>
  <c r="E442" i="30"/>
  <c r="B452" i="30"/>
  <c r="S445" i="27"/>
  <c r="T445" i="27" s="1"/>
  <c r="BA445" i="27" s="1"/>
  <c r="AG447" i="27"/>
  <c r="AE446" i="27"/>
  <c r="AF446" i="27" s="1"/>
  <c r="AZ446" i="27" s="1"/>
  <c r="U446" i="27"/>
  <c r="BI444" i="27"/>
  <c r="BH444" i="27"/>
  <c r="AD447" i="27"/>
  <c r="AC447" i="27"/>
  <c r="BD445" i="27"/>
  <c r="BG445" i="27" s="1"/>
  <c r="BJ443" i="27"/>
  <c r="BK443" i="27" s="1"/>
  <c r="AT443" i="27" s="1"/>
  <c r="H440" i="30" s="1"/>
  <c r="AP446" i="27"/>
  <c r="AO446" i="27"/>
  <c r="D444" i="30"/>
  <c r="I444" i="30" s="1"/>
  <c r="Q446" i="27"/>
  <c r="R446" i="27"/>
  <c r="G456" i="30" l="1"/>
  <c r="BF459" i="27"/>
  <c r="AM461" i="27"/>
  <c r="AS460" i="27"/>
  <c r="B459" i="27"/>
  <c r="AU458" i="27"/>
  <c r="AX445" i="27"/>
  <c r="BL445" i="27"/>
  <c r="BE447" i="27"/>
  <c r="F444" i="30"/>
  <c r="BC446" i="27"/>
  <c r="BB446" i="27"/>
  <c r="E443" i="30"/>
  <c r="B453" i="30"/>
  <c r="AE447" i="27"/>
  <c r="AF447" i="27" s="1"/>
  <c r="AZ447" i="27" s="1"/>
  <c r="BJ444" i="27"/>
  <c r="BK444" i="27" s="1"/>
  <c r="AT444" i="27" s="1"/>
  <c r="H441" i="30" s="1"/>
  <c r="AG448" i="27"/>
  <c r="AP447" i="27"/>
  <c r="AO447" i="27"/>
  <c r="S446" i="27"/>
  <c r="T446" i="27" s="1"/>
  <c r="BA446" i="27" s="1"/>
  <c r="U447" i="27"/>
  <c r="D445" i="30"/>
  <c r="I445" i="30" s="1"/>
  <c r="BH445" i="27"/>
  <c r="BI445" i="27"/>
  <c r="AD448" i="27"/>
  <c r="AC448" i="27"/>
  <c r="BD446" i="27"/>
  <c r="BG446" i="27" s="1"/>
  <c r="Q447" i="27"/>
  <c r="R447" i="27"/>
  <c r="AQ446" i="27"/>
  <c r="AR446" i="27" s="1"/>
  <c r="AY446" i="27" s="1"/>
  <c r="G457" i="30" l="1"/>
  <c r="BF460" i="27"/>
  <c r="AM462" i="27"/>
  <c r="AS461" i="27"/>
  <c r="B460" i="27"/>
  <c r="AU459" i="27"/>
  <c r="BL446" i="27"/>
  <c r="BE448" i="27"/>
  <c r="F445" i="30"/>
  <c r="BB447" i="27"/>
  <c r="BC447" i="27"/>
  <c r="BL447" i="27" s="1"/>
  <c r="E444" i="30"/>
  <c r="B454" i="30"/>
  <c r="BJ445" i="27"/>
  <c r="BK445" i="27" s="1"/>
  <c r="AT445" i="27" s="1"/>
  <c r="H442" i="30" s="1"/>
  <c r="AQ447" i="27"/>
  <c r="AR447" i="27" s="1"/>
  <c r="AY447" i="27" s="1"/>
  <c r="AX446" i="27"/>
  <c r="AG449" i="27"/>
  <c r="AD449" i="27"/>
  <c r="AC449" i="27"/>
  <c r="D446" i="30"/>
  <c r="I446" i="30" s="1"/>
  <c r="Q448" i="27"/>
  <c r="R448" i="27"/>
  <c r="BD447" i="27"/>
  <c r="BG447" i="27" s="1"/>
  <c r="S447" i="27"/>
  <c r="T447" i="27" s="1"/>
  <c r="BA447" i="27" s="1"/>
  <c r="AE448" i="27"/>
  <c r="AF448" i="27" s="1"/>
  <c r="AZ448" i="27" s="1"/>
  <c r="U448" i="27"/>
  <c r="AP448" i="27"/>
  <c r="AO448" i="27"/>
  <c r="BH446" i="27"/>
  <c r="BI446" i="27"/>
  <c r="BF461" i="27" l="1"/>
  <c r="G458" i="30"/>
  <c r="AM463" i="27"/>
  <c r="AS462" i="27"/>
  <c r="B461" i="27"/>
  <c r="AU460" i="27"/>
  <c r="AX447" i="27"/>
  <c r="BE449" i="27"/>
  <c r="F446" i="30"/>
  <c r="B455" i="30"/>
  <c r="BB448" i="27"/>
  <c r="BC448" i="27"/>
  <c r="BL448" i="27" s="1"/>
  <c r="E445" i="30"/>
  <c r="AE449" i="27"/>
  <c r="AF449" i="27" s="1"/>
  <c r="AZ449" i="27" s="1"/>
  <c r="BJ446" i="27"/>
  <c r="BK446" i="27" s="1"/>
  <c r="AT446" i="27" s="1"/>
  <c r="H443" i="30" s="1"/>
  <c r="AQ448" i="27"/>
  <c r="AR448" i="27" s="1"/>
  <c r="AY448" i="27" s="1"/>
  <c r="AG450" i="27"/>
  <c r="U449" i="27"/>
  <c r="BI447" i="27"/>
  <c r="BH447" i="27"/>
  <c r="R449" i="27"/>
  <c r="Q449" i="27"/>
  <c r="S449" i="27" s="1"/>
  <c r="T449" i="27" s="1"/>
  <c r="BA449" i="27" s="1"/>
  <c r="D447" i="30"/>
  <c r="I447" i="30" s="1"/>
  <c r="S448" i="27"/>
  <c r="T448" i="27" s="1"/>
  <c r="BA448" i="27" s="1"/>
  <c r="AC450" i="27"/>
  <c r="AD450" i="27"/>
  <c r="AP449" i="27"/>
  <c r="AO449" i="27"/>
  <c r="BD448" i="27"/>
  <c r="BG448" i="27" s="1"/>
  <c r="G459" i="30" l="1"/>
  <c r="BF462" i="27"/>
  <c r="AM464" i="27"/>
  <c r="AS463" i="27"/>
  <c r="B462" i="27"/>
  <c r="AU461" i="27"/>
  <c r="AX448" i="27"/>
  <c r="BE450" i="27"/>
  <c r="F447" i="30"/>
  <c r="BC449" i="27"/>
  <c r="BB449" i="27"/>
  <c r="E446" i="30"/>
  <c r="B456" i="30"/>
  <c r="BJ447" i="27"/>
  <c r="BK447" i="27" s="1"/>
  <c r="AT447" i="27" s="1"/>
  <c r="H444" i="30" s="1"/>
  <c r="AG451" i="27"/>
  <c r="AD451" i="27"/>
  <c r="AC451" i="27"/>
  <c r="AP450" i="27"/>
  <c r="AO450" i="27"/>
  <c r="AQ449" i="27"/>
  <c r="AR449" i="27" s="1"/>
  <c r="AY449" i="27" s="1"/>
  <c r="AX449" i="27" s="1"/>
  <c r="BD449" i="27"/>
  <c r="BG449" i="27" s="1"/>
  <c r="Q450" i="27"/>
  <c r="R450" i="27"/>
  <c r="U450" i="27"/>
  <c r="AE450" i="27"/>
  <c r="AF450" i="27" s="1"/>
  <c r="AZ450" i="27" s="1"/>
  <c r="D448" i="30"/>
  <c r="I448" i="30" s="1"/>
  <c r="BH448" i="27"/>
  <c r="BI448" i="27"/>
  <c r="BF463" i="27" l="1"/>
  <c r="G460" i="30"/>
  <c r="AM465" i="27"/>
  <c r="AS464" i="27"/>
  <c r="B463" i="27"/>
  <c r="AU462" i="27"/>
  <c r="BL449" i="27"/>
  <c r="BE451" i="27"/>
  <c r="F448" i="30"/>
  <c r="BB450" i="27"/>
  <c r="BC450" i="27"/>
  <c r="BL450" i="27" s="1"/>
  <c r="E447" i="30"/>
  <c r="B457" i="30"/>
  <c r="AQ450" i="27"/>
  <c r="AR450" i="27" s="1"/>
  <c r="AY450" i="27" s="1"/>
  <c r="AE451" i="27"/>
  <c r="AF451" i="27" s="1"/>
  <c r="AZ451" i="27" s="1"/>
  <c r="AG452" i="27"/>
  <c r="U451" i="27"/>
  <c r="BD450" i="27"/>
  <c r="BG450" i="27" s="1"/>
  <c r="S450" i="27"/>
  <c r="T450" i="27" s="1"/>
  <c r="BA450" i="27" s="1"/>
  <c r="BJ448" i="27"/>
  <c r="BK448" i="27" s="1"/>
  <c r="AT448" i="27" s="1"/>
  <c r="H445" i="30" s="1"/>
  <c r="AP451" i="27"/>
  <c r="AO451" i="27"/>
  <c r="R451" i="27"/>
  <c r="Q451" i="27"/>
  <c r="BI449" i="27"/>
  <c r="BH449" i="27"/>
  <c r="D449" i="30"/>
  <c r="I449" i="30" s="1"/>
  <c r="AC452" i="27"/>
  <c r="AD452" i="27"/>
  <c r="BF464" i="27" l="1"/>
  <c r="G461" i="30"/>
  <c r="AM466" i="27"/>
  <c r="AS465" i="27"/>
  <c r="B464" i="27"/>
  <c r="AU463" i="27"/>
  <c r="AX450" i="27"/>
  <c r="BE452" i="27"/>
  <c r="F449" i="30"/>
  <c r="B458" i="30"/>
  <c r="BB451" i="27"/>
  <c r="BC451" i="27"/>
  <c r="BL451" i="27" s="1"/>
  <c r="E448" i="30"/>
  <c r="BJ449" i="27"/>
  <c r="BK449" i="27" s="1"/>
  <c r="AT449" i="27" s="1"/>
  <c r="H446" i="30" s="1"/>
  <c r="S451" i="27"/>
  <c r="T451" i="27" s="1"/>
  <c r="BA451" i="27" s="1"/>
  <c r="AG453" i="27"/>
  <c r="AC453" i="27"/>
  <c r="AD453" i="27"/>
  <c r="R452" i="27"/>
  <c r="Q452" i="27"/>
  <c r="AQ451" i="27"/>
  <c r="AR451" i="27" s="1"/>
  <c r="AY451" i="27" s="1"/>
  <c r="AO452" i="27"/>
  <c r="AP452" i="27"/>
  <c r="AE452" i="27"/>
  <c r="AF452" i="27" s="1"/>
  <c r="AZ452" i="27" s="1"/>
  <c r="U452" i="27"/>
  <c r="BH450" i="27"/>
  <c r="BI450" i="27"/>
  <c r="D450" i="30"/>
  <c r="I450" i="30" s="1"/>
  <c r="BD451" i="27"/>
  <c r="BG451" i="27" s="1"/>
  <c r="BF465" i="27" l="1"/>
  <c r="G462" i="30"/>
  <c r="AM467" i="27"/>
  <c r="AS466" i="27"/>
  <c r="AX451" i="27"/>
  <c r="B465" i="27"/>
  <c r="AU464" i="27"/>
  <c r="S452" i="27"/>
  <c r="T452" i="27" s="1"/>
  <c r="BA452" i="27" s="1"/>
  <c r="BE453" i="27"/>
  <c r="F450" i="30"/>
  <c r="BC452" i="27"/>
  <c r="BL452" i="27" s="1"/>
  <c r="BB452" i="27"/>
  <c r="E449" i="30"/>
  <c r="B459" i="30"/>
  <c r="AG454" i="27"/>
  <c r="AQ452" i="27"/>
  <c r="AR452" i="27" s="1"/>
  <c r="AY452" i="27" s="1"/>
  <c r="AX452" i="27" s="1"/>
  <c r="AP453" i="27"/>
  <c r="AO453" i="27"/>
  <c r="D451" i="30"/>
  <c r="I451" i="30" s="1"/>
  <c r="BJ450" i="27"/>
  <c r="BK450" i="27" s="1"/>
  <c r="AT450" i="27" s="1"/>
  <c r="H447" i="30" s="1"/>
  <c r="BD452" i="27"/>
  <c r="BG452" i="27" s="1"/>
  <c r="R453" i="27"/>
  <c r="Q453" i="27"/>
  <c r="U453" i="27"/>
  <c r="AD454" i="27"/>
  <c r="AC454" i="27"/>
  <c r="BH451" i="27"/>
  <c r="BI451" i="27"/>
  <c r="AE453" i="27"/>
  <c r="AF453" i="27" s="1"/>
  <c r="AZ453" i="27" s="1"/>
  <c r="AM468" i="27" l="1"/>
  <c r="AS467" i="27"/>
  <c r="BF466" i="27"/>
  <c r="G463" i="30"/>
  <c r="B466" i="27"/>
  <c r="AU465" i="27"/>
  <c r="BE454" i="27"/>
  <c r="F451" i="30"/>
  <c r="B460" i="30"/>
  <c r="BB453" i="27"/>
  <c r="BC453" i="27"/>
  <c r="BL453" i="27" s="1"/>
  <c r="E450" i="30"/>
  <c r="AQ453" i="27"/>
  <c r="AR453" i="27" s="1"/>
  <c r="AY453" i="27" s="1"/>
  <c r="S453" i="27"/>
  <c r="T453" i="27" s="1"/>
  <c r="BA453" i="27" s="1"/>
  <c r="AG455" i="27"/>
  <c r="R454" i="27"/>
  <c r="Q454" i="27"/>
  <c r="U454" i="27"/>
  <c r="AC455" i="27"/>
  <c r="AD455" i="27"/>
  <c r="D452" i="30"/>
  <c r="I452" i="30" s="1"/>
  <c r="BI452" i="27"/>
  <c r="BH452" i="27"/>
  <c r="AE454" i="27"/>
  <c r="AF454" i="27" s="1"/>
  <c r="AZ454" i="27" s="1"/>
  <c r="AP454" i="27"/>
  <c r="AO454" i="27"/>
  <c r="BD453" i="27"/>
  <c r="BG453" i="27" s="1"/>
  <c r="BJ451" i="27"/>
  <c r="BK451" i="27" s="1"/>
  <c r="AT451" i="27" s="1"/>
  <c r="H448" i="30" s="1"/>
  <c r="BF467" i="27" l="1"/>
  <c r="G464" i="30"/>
  <c r="AM469" i="27"/>
  <c r="AS468" i="27"/>
  <c r="B467" i="27"/>
  <c r="AU466" i="27"/>
  <c r="BE455" i="27"/>
  <c r="F452" i="30"/>
  <c r="AX453" i="27"/>
  <c r="BC454" i="27"/>
  <c r="BL454" i="27" s="1"/>
  <c r="BB454" i="27"/>
  <c r="E451" i="30"/>
  <c r="B461" i="30"/>
  <c r="AQ454" i="27"/>
  <c r="AR454" i="27" s="1"/>
  <c r="AY454" i="27" s="1"/>
  <c r="S454" i="27"/>
  <c r="T454" i="27" s="1"/>
  <c r="BA454" i="27" s="1"/>
  <c r="AG456" i="27"/>
  <c r="D453" i="30"/>
  <c r="I453" i="30" s="1"/>
  <c r="AE455" i="27"/>
  <c r="AF455" i="27" s="1"/>
  <c r="AZ455" i="27" s="1"/>
  <c r="BD454" i="27"/>
  <c r="BG454" i="27" s="1"/>
  <c r="BJ452" i="27"/>
  <c r="BK452" i="27" s="1"/>
  <c r="AT452" i="27" s="1"/>
  <c r="H449" i="30" s="1"/>
  <c r="AP455" i="27"/>
  <c r="AO455" i="27"/>
  <c r="R455" i="27"/>
  <c r="Q455" i="27"/>
  <c r="AD456" i="27"/>
  <c r="AC456" i="27"/>
  <c r="U455" i="27"/>
  <c r="BI453" i="27"/>
  <c r="BH453" i="27"/>
  <c r="AM470" i="27" l="1"/>
  <c r="AS469" i="27"/>
  <c r="G465" i="30"/>
  <c r="BF468" i="27"/>
  <c r="B468" i="27"/>
  <c r="AU467" i="27"/>
  <c r="AX454" i="27"/>
  <c r="BE456" i="27"/>
  <c r="F453" i="30"/>
  <c r="B462" i="30"/>
  <c r="BC455" i="27"/>
  <c r="BL455" i="27" s="1"/>
  <c r="BB455" i="27"/>
  <c r="E452" i="30"/>
  <c r="AG457" i="27"/>
  <c r="BI454" i="27"/>
  <c r="BH454" i="27"/>
  <c r="BJ453" i="27"/>
  <c r="BK453" i="27" s="1"/>
  <c r="AT453" i="27" s="1"/>
  <c r="H450" i="30" s="1"/>
  <c r="BD455" i="27"/>
  <c r="BG455" i="27" s="1"/>
  <c r="S455" i="27"/>
  <c r="T455" i="27" s="1"/>
  <c r="BA455" i="27" s="1"/>
  <c r="U456" i="27"/>
  <c r="D454" i="30"/>
  <c r="I454" i="30" s="1"/>
  <c r="R456" i="27"/>
  <c r="Q456" i="27"/>
  <c r="AQ455" i="27"/>
  <c r="AR455" i="27" s="1"/>
  <c r="AY455" i="27" s="1"/>
  <c r="AO456" i="27"/>
  <c r="AP456" i="27"/>
  <c r="AC457" i="27"/>
  <c r="AD457" i="27"/>
  <c r="AE456" i="27"/>
  <c r="AF456" i="27" s="1"/>
  <c r="AZ456" i="27" s="1"/>
  <c r="BF469" i="27" l="1"/>
  <c r="G466" i="30"/>
  <c r="AM471" i="27"/>
  <c r="AS470" i="27"/>
  <c r="B469" i="27"/>
  <c r="AU468" i="27"/>
  <c r="BJ454" i="27"/>
  <c r="BK454" i="27" s="1"/>
  <c r="AT454" i="27" s="1"/>
  <c r="H451" i="30" s="1"/>
  <c r="BE457" i="27"/>
  <c r="F454" i="30"/>
  <c r="BC456" i="27"/>
  <c r="BL456" i="27" s="1"/>
  <c r="BB456" i="27"/>
  <c r="E453" i="30"/>
  <c r="B463" i="30"/>
  <c r="AG458" i="27"/>
  <c r="D455" i="30"/>
  <c r="I455" i="30" s="1"/>
  <c r="BD456" i="27"/>
  <c r="BG456" i="27" s="1"/>
  <c r="AE457" i="27"/>
  <c r="AF457" i="27" s="1"/>
  <c r="AZ457" i="27" s="1"/>
  <c r="R457" i="27"/>
  <c r="Q457" i="27"/>
  <c r="U457" i="27"/>
  <c r="AC458" i="27"/>
  <c r="AD458" i="27"/>
  <c r="AP457" i="27"/>
  <c r="AO457" i="27"/>
  <c r="AQ456" i="27"/>
  <c r="AR456" i="27" s="1"/>
  <c r="AY456" i="27" s="1"/>
  <c r="AX455" i="27"/>
  <c r="BI455" i="27"/>
  <c r="BH455" i="27"/>
  <c r="S456" i="27"/>
  <c r="T456" i="27" s="1"/>
  <c r="BA456" i="27" s="1"/>
  <c r="G467" i="30" l="1"/>
  <c r="BF470" i="27"/>
  <c r="AM472" i="27"/>
  <c r="AS471" i="27"/>
  <c r="B470" i="27"/>
  <c r="AU469" i="27"/>
  <c r="BE458" i="27"/>
  <c r="F455" i="30"/>
  <c r="BB457" i="27"/>
  <c r="BC457" i="27"/>
  <c r="BL457" i="27" s="1"/>
  <c r="E454" i="30"/>
  <c r="B464" i="30"/>
  <c r="BJ455" i="27"/>
  <c r="BK455" i="27" s="1"/>
  <c r="AT455" i="27" s="1"/>
  <c r="H452" i="30" s="1"/>
  <c r="S457" i="27"/>
  <c r="T457" i="27" s="1"/>
  <c r="BA457" i="27" s="1"/>
  <c r="AG459" i="27"/>
  <c r="BD457" i="27"/>
  <c r="BG457" i="27" s="1"/>
  <c r="U458" i="27"/>
  <c r="R458" i="27"/>
  <c r="Q458" i="27"/>
  <c r="AE458" i="27"/>
  <c r="AF458" i="27" s="1"/>
  <c r="AZ458" i="27" s="1"/>
  <c r="BI456" i="27"/>
  <c r="BH456" i="27"/>
  <c r="AX456" i="27"/>
  <c r="AP458" i="27"/>
  <c r="AO458" i="27"/>
  <c r="D456" i="30"/>
  <c r="I456" i="30" s="1"/>
  <c r="AD459" i="27"/>
  <c r="AC459" i="27"/>
  <c r="AQ457" i="27"/>
  <c r="AR457" i="27" s="1"/>
  <c r="AY457" i="27" s="1"/>
  <c r="BF471" i="27" l="1"/>
  <c r="G468" i="30"/>
  <c r="AM473" i="27"/>
  <c r="AS472" i="27"/>
  <c r="B471" i="27"/>
  <c r="AU470" i="27"/>
  <c r="AE459" i="27"/>
  <c r="AF459" i="27" s="1"/>
  <c r="AZ459" i="27" s="1"/>
  <c r="AX457" i="27"/>
  <c r="BE459" i="27"/>
  <c r="F456" i="30"/>
  <c r="B465" i="30"/>
  <c r="BC458" i="27"/>
  <c r="BL458" i="27" s="1"/>
  <c r="BB458" i="27"/>
  <c r="E455" i="30"/>
  <c r="AG460" i="27"/>
  <c r="AO459" i="27"/>
  <c r="AP459" i="27"/>
  <c r="BJ456" i="27"/>
  <c r="BK456" i="27" s="1"/>
  <c r="AT456" i="27" s="1"/>
  <c r="H453" i="30" s="1"/>
  <c r="S458" i="27"/>
  <c r="T458" i="27" s="1"/>
  <c r="BA458" i="27" s="1"/>
  <c r="R459" i="27"/>
  <c r="Q459" i="27"/>
  <c r="BD458" i="27"/>
  <c r="BG458" i="27" s="1"/>
  <c r="U459" i="27"/>
  <c r="D457" i="30"/>
  <c r="I457" i="30" s="1"/>
  <c r="AD460" i="27"/>
  <c r="AC460" i="27"/>
  <c r="AQ458" i="27"/>
  <c r="AR458" i="27" s="1"/>
  <c r="AY458" i="27" s="1"/>
  <c r="BI457" i="27"/>
  <c r="BH457" i="27"/>
  <c r="G469" i="30" l="1"/>
  <c r="BF472" i="27"/>
  <c r="AM474" i="27"/>
  <c r="AS473" i="27"/>
  <c r="B472" i="27"/>
  <c r="AU471" i="27"/>
  <c r="BE460" i="27"/>
  <c r="F457" i="30"/>
  <c r="BB459" i="27"/>
  <c r="BC459" i="27"/>
  <c r="BL459" i="27" s="1"/>
  <c r="E456" i="30"/>
  <c r="B466" i="30"/>
  <c r="BJ457" i="27"/>
  <c r="BK457" i="27" s="1"/>
  <c r="AT457" i="27" s="1"/>
  <c r="H454" i="30" s="1"/>
  <c r="S459" i="27"/>
  <c r="T459" i="27" s="1"/>
  <c r="BA459" i="27" s="1"/>
  <c r="AQ459" i="27"/>
  <c r="AR459" i="27" s="1"/>
  <c r="AY459" i="27" s="1"/>
  <c r="AE460" i="27"/>
  <c r="AF460" i="27" s="1"/>
  <c r="AZ460" i="27" s="1"/>
  <c r="AG461" i="27"/>
  <c r="U460" i="27"/>
  <c r="AX458" i="27"/>
  <c r="AC461" i="27"/>
  <c r="AD461" i="27"/>
  <c r="BH458" i="27"/>
  <c r="BI458" i="27"/>
  <c r="D458" i="30"/>
  <c r="I458" i="30" s="1"/>
  <c r="BD459" i="27"/>
  <c r="BG459" i="27" s="1"/>
  <c r="AP460" i="27"/>
  <c r="AO460" i="27"/>
  <c r="R460" i="27"/>
  <c r="Q460" i="27"/>
  <c r="G470" i="30" l="1"/>
  <c r="BF473" i="27"/>
  <c r="AM475" i="27"/>
  <c r="AS474" i="27"/>
  <c r="B473" i="27"/>
  <c r="AU472" i="27"/>
  <c r="S460" i="27"/>
  <c r="T460" i="27" s="1"/>
  <c r="BA460" i="27" s="1"/>
  <c r="BE461" i="27"/>
  <c r="F458" i="30"/>
  <c r="BB460" i="27"/>
  <c r="BC460" i="27"/>
  <c r="E457" i="30"/>
  <c r="B467" i="30"/>
  <c r="AX459" i="27"/>
  <c r="BJ458" i="27"/>
  <c r="BK458" i="27" s="1"/>
  <c r="AT458" i="27" s="1"/>
  <c r="H455" i="30" s="1"/>
  <c r="AG462" i="27"/>
  <c r="D459" i="30"/>
  <c r="I459" i="30" s="1"/>
  <c r="BI459" i="27"/>
  <c r="BH459" i="27"/>
  <c r="AC462" i="27"/>
  <c r="AD462" i="27"/>
  <c r="AE461" i="27"/>
  <c r="AF461" i="27" s="1"/>
  <c r="AZ461" i="27" s="1"/>
  <c r="R461" i="27"/>
  <c r="Q461" i="27"/>
  <c r="BD460" i="27"/>
  <c r="BG460" i="27" s="1"/>
  <c r="AP461" i="27"/>
  <c r="AO461" i="27"/>
  <c r="AQ460" i="27"/>
  <c r="AR460" i="27" s="1"/>
  <c r="AY460" i="27" s="1"/>
  <c r="AX460" i="27" s="1"/>
  <c r="U461" i="27"/>
  <c r="BF474" i="27" l="1"/>
  <c r="G471" i="30"/>
  <c r="AM476" i="27"/>
  <c r="AS475" i="27"/>
  <c r="B474" i="27"/>
  <c r="AU473" i="27"/>
  <c r="BL460" i="27"/>
  <c r="BE462" i="27"/>
  <c r="F459" i="30"/>
  <c r="BB461" i="27"/>
  <c r="BC461" i="27"/>
  <c r="BL461" i="27" s="1"/>
  <c r="E458" i="30"/>
  <c r="B468" i="30"/>
  <c r="BJ459" i="27"/>
  <c r="BK459" i="27" s="1"/>
  <c r="AT459" i="27" s="1"/>
  <c r="H456" i="30" s="1"/>
  <c r="AE462" i="27"/>
  <c r="AF462" i="27" s="1"/>
  <c r="AZ462" i="27" s="1"/>
  <c r="AG463" i="27"/>
  <c r="BH460" i="27"/>
  <c r="BI460" i="27"/>
  <c r="S461" i="27"/>
  <c r="T461" i="27" s="1"/>
  <c r="BA461" i="27" s="1"/>
  <c r="AD463" i="27"/>
  <c r="AC463" i="27"/>
  <c r="U462" i="27"/>
  <c r="BD461" i="27"/>
  <c r="BG461" i="27" s="1"/>
  <c r="AQ461" i="27"/>
  <c r="AR461" i="27" s="1"/>
  <c r="AY461" i="27" s="1"/>
  <c r="D460" i="30"/>
  <c r="I460" i="30" s="1"/>
  <c r="R462" i="27"/>
  <c r="Q462" i="27"/>
  <c r="AO462" i="27"/>
  <c r="AP462" i="27"/>
  <c r="G472" i="30" l="1"/>
  <c r="BF475" i="27"/>
  <c r="AM477" i="27"/>
  <c r="AS476" i="27"/>
  <c r="B475" i="27"/>
  <c r="AU474" i="27"/>
  <c r="S462" i="27"/>
  <c r="T462" i="27" s="1"/>
  <c r="BA462" i="27" s="1"/>
  <c r="BE463" i="27"/>
  <c r="F460" i="30"/>
  <c r="BC462" i="27"/>
  <c r="BB462" i="27"/>
  <c r="E459" i="30"/>
  <c r="B469" i="30"/>
  <c r="AX461" i="27"/>
  <c r="AE463" i="27"/>
  <c r="AF463" i="27" s="1"/>
  <c r="AZ463" i="27" s="1"/>
  <c r="AG464" i="27"/>
  <c r="D461" i="30"/>
  <c r="I461" i="30" s="1"/>
  <c r="AP463" i="27"/>
  <c r="AO463" i="27"/>
  <c r="AD464" i="27"/>
  <c r="AC464" i="27"/>
  <c r="BD462" i="27"/>
  <c r="BG462" i="27" s="1"/>
  <c r="AQ462" i="27"/>
  <c r="AR462" i="27" s="1"/>
  <c r="AY462" i="27" s="1"/>
  <c r="R463" i="27"/>
  <c r="Q463" i="27"/>
  <c r="U463" i="27"/>
  <c r="BI461" i="27"/>
  <c r="BH461" i="27"/>
  <c r="BJ460" i="27"/>
  <c r="BK460" i="27" s="1"/>
  <c r="AT460" i="27" s="1"/>
  <c r="H457" i="30" s="1"/>
  <c r="BF476" i="27" l="1"/>
  <c r="G473" i="30"/>
  <c r="AM478" i="27"/>
  <c r="AS477" i="27"/>
  <c r="AX462" i="27"/>
  <c r="B476" i="27"/>
  <c r="AU475" i="27"/>
  <c r="BL462" i="27"/>
  <c r="BE464" i="27"/>
  <c r="F461" i="30"/>
  <c r="B470" i="30"/>
  <c r="BB463" i="27"/>
  <c r="BC463" i="27"/>
  <c r="BL463" i="27" s="1"/>
  <c r="E460" i="30"/>
  <c r="AE464" i="27"/>
  <c r="AF464" i="27" s="1"/>
  <c r="AZ464" i="27" s="1"/>
  <c r="BJ461" i="27"/>
  <c r="BK461" i="27" s="1"/>
  <c r="AT461" i="27" s="1"/>
  <c r="H458" i="30" s="1"/>
  <c r="AG465" i="27"/>
  <c r="BI462" i="27"/>
  <c r="BH462" i="27"/>
  <c r="AO464" i="27"/>
  <c r="AP464" i="27"/>
  <c r="AD465" i="27"/>
  <c r="AC465" i="27"/>
  <c r="D462" i="30"/>
  <c r="I462" i="30" s="1"/>
  <c r="U464" i="27"/>
  <c r="BD463" i="27"/>
  <c r="BG463" i="27" s="1"/>
  <c r="Q464" i="27"/>
  <c r="R464" i="27"/>
  <c r="AQ463" i="27"/>
  <c r="AR463" i="27" s="1"/>
  <c r="AY463" i="27" s="1"/>
  <c r="S463" i="27"/>
  <c r="T463" i="27" s="1"/>
  <c r="BA463" i="27" s="1"/>
  <c r="BF477" i="27" l="1"/>
  <c r="G474" i="30"/>
  <c r="AM479" i="27"/>
  <c r="AS478" i="27"/>
  <c r="B477" i="27"/>
  <c r="AU476" i="27"/>
  <c r="BJ462" i="27"/>
  <c r="BK462" i="27" s="1"/>
  <c r="AT462" i="27" s="1"/>
  <c r="H459" i="30" s="1"/>
  <c r="BE465" i="27"/>
  <c r="F462" i="30"/>
  <c r="BB464" i="27"/>
  <c r="BC464" i="27"/>
  <c r="E461" i="30"/>
  <c r="B471" i="30"/>
  <c r="AE465" i="27"/>
  <c r="AF465" i="27" s="1"/>
  <c r="AZ465" i="27" s="1"/>
  <c r="S464" i="27"/>
  <c r="T464" i="27" s="1"/>
  <c r="BA464" i="27" s="1"/>
  <c r="AG466" i="27"/>
  <c r="BI463" i="27"/>
  <c r="BH463" i="27"/>
  <c r="U465" i="27"/>
  <c r="AD466" i="27"/>
  <c r="AC466" i="27"/>
  <c r="AO465" i="27"/>
  <c r="AP465" i="27"/>
  <c r="D463" i="30"/>
  <c r="I463" i="30" s="1"/>
  <c r="AX463" i="27"/>
  <c r="AQ464" i="27"/>
  <c r="AR464" i="27" s="1"/>
  <c r="AY464" i="27" s="1"/>
  <c r="BD464" i="27"/>
  <c r="BG464" i="27" s="1"/>
  <c r="Q465" i="27"/>
  <c r="R465" i="27"/>
  <c r="BF478" i="27" l="1"/>
  <c r="G475" i="30"/>
  <c r="AM480" i="27"/>
  <c r="AS479" i="27"/>
  <c r="B478" i="27"/>
  <c r="AU477" i="27"/>
  <c r="BL464" i="27"/>
  <c r="BJ463" i="27"/>
  <c r="BK463" i="27" s="1"/>
  <c r="AT463" i="27" s="1"/>
  <c r="H460" i="30" s="1"/>
  <c r="AE466" i="27"/>
  <c r="AF466" i="27" s="1"/>
  <c r="AZ466" i="27" s="1"/>
  <c r="BE466" i="27"/>
  <c r="F463" i="30"/>
  <c r="B472" i="30"/>
  <c r="BC465" i="27"/>
  <c r="BB465" i="27"/>
  <c r="E462" i="30"/>
  <c r="AX464" i="27"/>
  <c r="AQ465" i="27"/>
  <c r="AR465" i="27" s="1"/>
  <c r="AY465" i="27" s="1"/>
  <c r="AG467" i="27"/>
  <c r="BI464" i="27"/>
  <c r="BH464" i="27"/>
  <c r="R466" i="27"/>
  <c r="Q466" i="27"/>
  <c r="AO466" i="27"/>
  <c r="AP466" i="27"/>
  <c r="S465" i="27"/>
  <c r="T465" i="27" s="1"/>
  <c r="BA465" i="27" s="1"/>
  <c r="BD465" i="27"/>
  <c r="BG465" i="27" s="1"/>
  <c r="U466" i="27"/>
  <c r="D464" i="30"/>
  <c r="I464" i="30" s="1"/>
  <c r="AD467" i="27"/>
  <c r="AC467" i="27"/>
  <c r="AE467" i="27" s="1"/>
  <c r="AF467" i="27" s="1"/>
  <c r="AZ467" i="27" s="1"/>
  <c r="BF479" i="27" l="1"/>
  <c r="G476" i="30"/>
  <c r="AM481" i="27"/>
  <c r="AS480" i="27"/>
  <c r="B479" i="27"/>
  <c r="AU478" i="27"/>
  <c r="BL465" i="27"/>
  <c r="BJ464" i="27"/>
  <c r="BK464" i="27" s="1"/>
  <c r="AT464" i="27" s="1"/>
  <c r="H461" i="30" s="1"/>
  <c r="AX465" i="27"/>
  <c r="BE467" i="27"/>
  <c r="F464" i="30"/>
  <c r="BC466" i="27"/>
  <c r="BB466" i="27"/>
  <c r="E463" i="30"/>
  <c r="B473" i="30"/>
  <c r="S466" i="27"/>
  <c r="T466" i="27" s="1"/>
  <c r="BA466" i="27" s="1"/>
  <c r="AG468" i="27"/>
  <c r="BI465" i="27"/>
  <c r="BH465" i="27"/>
  <c r="AD468" i="27"/>
  <c r="AC468" i="27"/>
  <c r="U467" i="27"/>
  <c r="R467" i="27"/>
  <c r="Q467" i="27"/>
  <c r="BD466" i="27"/>
  <c r="BG466" i="27" s="1"/>
  <c r="AP467" i="27"/>
  <c r="AO467" i="27"/>
  <c r="AQ466" i="27"/>
  <c r="AR466" i="27" s="1"/>
  <c r="AY466" i="27" s="1"/>
  <c r="D465" i="30"/>
  <c r="I465" i="30" s="1"/>
  <c r="BF480" i="27" l="1"/>
  <c r="G477" i="30"/>
  <c r="AM482" i="27"/>
  <c r="AS481" i="27"/>
  <c r="B480" i="27"/>
  <c r="AU479" i="27"/>
  <c r="BL466" i="27"/>
  <c r="AE468" i="27"/>
  <c r="AF468" i="27" s="1"/>
  <c r="AZ468" i="27" s="1"/>
  <c r="BE468" i="27"/>
  <c r="F465" i="30"/>
  <c r="AX466" i="27"/>
  <c r="B474" i="30"/>
  <c r="BB467" i="27"/>
  <c r="BC467" i="27"/>
  <c r="E464" i="30"/>
  <c r="S467" i="27"/>
  <c r="T467" i="27" s="1"/>
  <c r="BA467" i="27" s="1"/>
  <c r="AQ467" i="27"/>
  <c r="AR467" i="27" s="1"/>
  <c r="AY467" i="27" s="1"/>
  <c r="BJ465" i="27"/>
  <c r="BK465" i="27" s="1"/>
  <c r="AT465" i="27" s="1"/>
  <c r="H462" i="30" s="1"/>
  <c r="AG469" i="27"/>
  <c r="BI466" i="27"/>
  <c r="BH466" i="27"/>
  <c r="Q468" i="27"/>
  <c r="R468" i="27"/>
  <c r="U468" i="27"/>
  <c r="D466" i="30"/>
  <c r="I466" i="30" s="1"/>
  <c r="AP468" i="27"/>
  <c r="AO468" i="27"/>
  <c r="BD467" i="27"/>
  <c r="BG467" i="27" s="1"/>
  <c r="AC469" i="27"/>
  <c r="AD469" i="27"/>
  <c r="BF481" i="27" l="1"/>
  <c r="G478" i="30"/>
  <c r="AM483" i="27"/>
  <c r="AS482" i="27"/>
  <c r="B481" i="27"/>
  <c r="AU480" i="27"/>
  <c r="BJ466" i="27"/>
  <c r="BK466" i="27" s="1"/>
  <c r="AT466" i="27" s="1"/>
  <c r="H463" i="30" s="1"/>
  <c r="BL467" i="27"/>
  <c r="BE469" i="27"/>
  <c r="F466" i="30"/>
  <c r="AX467" i="27"/>
  <c r="BB468" i="27"/>
  <c r="BC468" i="27"/>
  <c r="BL468" i="27" s="1"/>
  <c r="E465" i="30"/>
  <c r="B475" i="30"/>
  <c r="AG470" i="27"/>
  <c r="U469" i="27"/>
  <c r="BD468" i="27"/>
  <c r="BG468" i="27" s="1"/>
  <c r="BI467" i="27"/>
  <c r="BH467" i="27"/>
  <c r="Q469" i="27"/>
  <c r="R469" i="27"/>
  <c r="AC470" i="27"/>
  <c r="AD470" i="27"/>
  <c r="S468" i="27"/>
  <c r="T468" i="27" s="1"/>
  <c r="BA468" i="27" s="1"/>
  <c r="AP469" i="27"/>
  <c r="AO469" i="27"/>
  <c r="AQ468" i="27"/>
  <c r="AR468" i="27" s="1"/>
  <c r="AY468" i="27" s="1"/>
  <c r="D467" i="30"/>
  <c r="I467" i="30" s="1"/>
  <c r="AE469" i="27"/>
  <c r="AF469" i="27" s="1"/>
  <c r="AZ469" i="27" s="1"/>
  <c r="G479" i="30" l="1"/>
  <c r="BF482" i="27"/>
  <c r="AM484" i="27"/>
  <c r="AS483" i="27"/>
  <c r="B482" i="27"/>
  <c r="AU481" i="27"/>
  <c r="BE470" i="27"/>
  <c r="F467" i="30"/>
  <c r="BB469" i="27"/>
  <c r="BC469" i="27"/>
  <c r="BL469" i="27" s="1"/>
  <c r="E466" i="30"/>
  <c r="B476" i="30"/>
  <c r="BJ467" i="27"/>
  <c r="BK467" i="27" s="1"/>
  <c r="AT467" i="27" s="1"/>
  <c r="H464" i="30" s="1"/>
  <c r="AG471" i="27"/>
  <c r="Q470" i="27"/>
  <c r="R470" i="27"/>
  <c r="AD471" i="27"/>
  <c r="AC471" i="27"/>
  <c r="BI468" i="27"/>
  <c r="BH468" i="27"/>
  <c r="D468" i="30"/>
  <c r="I468" i="30" s="1"/>
  <c r="BD469" i="27"/>
  <c r="BG469" i="27" s="1"/>
  <c r="U470" i="27"/>
  <c r="AE470" i="27"/>
  <c r="AF470" i="27" s="1"/>
  <c r="AZ470" i="27" s="1"/>
  <c r="S469" i="27"/>
  <c r="T469" i="27" s="1"/>
  <c r="BA469" i="27" s="1"/>
  <c r="AP470" i="27"/>
  <c r="AO470" i="27"/>
  <c r="AX468" i="27"/>
  <c r="AQ469" i="27"/>
  <c r="AR469" i="27" s="1"/>
  <c r="AY469" i="27" s="1"/>
  <c r="BF483" i="27" l="1"/>
  <c r="G480" i="30"/>
  <c r="AM485" i="27"/>
  <c r="AS484" i="27"/>
  <c r="B483" i="27"/>
  <c r="AU482" i="27"/>
  <c r="BE471" i="27"/>
  <c r="F468" i="30"/>
  <c r="B477" i="30"/>
  <c r="BC470" i="27"/>
  <c r="BL470" i="27" s="1"/>
  <c r="BB470" i="27"/>
  <c r="E467" i="30"/>
  <c r="AE471" i="27"/>
  <c r="AF471" i="27" s="1"/>
  <c r="AZ471" i="27" s="1"/>
  <c r="BJ468" i="27"/>
  <c r="BK468" i="27" s="1"/>
  <c r="AT468" i="27" s="1"/>
  <c r="H465" i="30" s="1"/>
  <c r="AQ470" i="27"/>
  <c r="AR470" i="27" s="1"/>
  <c r="AY470" i="27" s="1"/>
  <c r="AG472" i="27"/>
  <c r="D469" i="30"/>
  <c r="I469" i="30" s="1"/>
  <c r="AD472" i="27"/>
  <c r="AC472" i="27"/>
  <c r="BD470" i="27"/>
  <c r="BG470" i="27" s="1"/>
  <c r="AX469" i="27"/>
  <c r="AP471" i="27"/>
  <c r="AO471" i="27"/>
  <c r="R471" i="27"/>
  <c r="Q471" i="27"/>
  <c r="U471" i="27"/>
  <c r="BH469" i="27"/>
  <c r="BI469" i="27"/>
  <c r="S470" i="27"/>
  <c r="T470" i="27" s="1"/>
  <c r="BA470" i="27" s="1"/>
  <c r="G481" i="30" l="1"/>
  <c r="BF484" i="27"/>
  <c r="AM486" i="27"/>
  <c r="AS485" i="27"/>
  <c r="B484" i="27"/>
  <c r="AU483" i="27"/>
  <c r="AX470" i="27"/>
  <c r="BE472" i="27"/>
  <c r="F469" i="30"/>
  <c r="BB471" i="27"/>
  <c r="BC471" i="27"/>
  <c r="BL471" i="27" s="1"/>
  <c r="E468" i="30"/>
  <c r="B478" i="30"/>
  <c r="AQ471" i="27"/>
  <c r="AR471" i="27" s="1"/>
  <c r="AY471" i="27" s="1"/>
  <c r="AG473" i="27"/>
  <c r="AD473" i="27"/>
  <c r="AC473" i="27"/>
  <c r="D470" i="30"/>
  <c r="I470" i="30" s="1"/>
  <c r="AP472" i="27"/>
  <c r="AO472" i="27"/>
  <c r="AE472" i="27"/>
  <c r="AF472" i="27" s="1"/>
  <c r="AZ472" i="27" s="1"/>
  <c r="U472" i="27"/>
  <c r="BJ469" i="27"/>
  <c r="BK469" i="27" s="1"/>
  <c r="AT469" i="27" s="1"/>
  <c r="H466" i="30" s="1"/>
  <c r="S471" i="27"/>
  <c r="T471" i="27" s="1"/>
  <c r="BA471" i="27" s="1"/>
  <c r="BI470" i="27"/>
  <c r="BH470" i="27"/>
  <c r="BD471" i="27"/>
  <c r="BG471" i="27" s="1"/>
  <c r="R472" i="27"/>
  <c r="Q472" i="27"/>
  <c r="BF485" i="27" l="1"/>
  <c r="G482" i="30"/>
  <c r="AM487" i="27"/>
  <c r="AS486" i="27"/>
  <c r="B485" i="27"/>
  <c r="AU484" i="27"/>
  <c r="AX471" i="27"/>
  <c r="BE473" i="27"/>
  <c r="F470" i="30"/>
  <c r="BB472" i="27"/>
  <c r="BC472" i="27"/>
  <c r="BL472" i="27" s="1"/>
  <c r="E469" i="30"/>
  <c r="B479" i="30"/>
  <c r="S472" i="27"/>
  <c r="T472" i="27" s="1"/>
  <c r="BA472" i="27" s="1"/>
  <c r="AE473" i="27"/>
  <c r="AF473" i="27" s="1"/>
  <c r="AZ473" i="27" s="1"/>
  <c r="AQ472" i="27"/>
  <c r="AR472" i="27" s="1"/>
  <c r="AY472" i="27" s="1"/>
  <c r="BJ470" i="27"/>
  <c r="BK470" i="27" s="1"/>
  <c r="AT470" i="27" s="1"/>
  <c r="H467" i="30" s="1"/>
  <c r="AG474" i="27"/>
  <c r="BD472" i="27"/>
  <c r="BG472" i="27" s="1"/>
  <c r="D471" i="30"/>
  <c r="I471" i="30" s="1"/>
  <c r="BH471" i="27"/>
  <c r="BI471" i="27"/>
  <c r="R473" i="27"/>
  <c r="Q473" i="27"/>
  <c r="AC474" i="27"/>
  <c r="AD474" i="27"/>
  <c r="AP473" i="27"/>
  <c r="AO473" i="27"/>
  <c r="U473" i="27"/>
  <c r="BF486" i="27" l="1"/>
  <c r="G483" i="30"/>
  <c r="AM488" i="27"/>
  <c r="AS487" i="27"/>
  <c r="B486" i="27"/>
  <c r="AU485" i="27"/>
  <c r="BE474" i="27"/>
  <c r="F471" i="30"/>
  <c r="BB473" i="27"/>
  <c r="BC473" i="27"/>
  <c r="E470" i="30"/>
  <c r="AX472" i="27"/>
  <c r="B480" i="30"/>
  <c r="S473" i="27"/>
  <c r="T473" i="27" s="1"/>
  <c r="BA473" i="27" s="1"/>
  <c r="AE474" i="27"/>
  <c r="AF474" i="27" s="1"/>
  <c r="AZ474" i="27" s="1"/>
  <c r="AG475" i="27"/>
  <c r="R474" i="27"/>
  <c r="Q474" i="27"/>
  <c r="BJ471" i="27"/>
  <c r="BK471" i="27" s="1"/>
  <c r="AT471" i="27" s="1"/>
  <c r="H468" i="30" s="1"/>
  <c r="U474" i="27"/>
  <c r="D472" i="30"/>
  <c r="I472" i="30" s="1"/>
  <c r="AP474" i="27"/>
  <c r="AO474" i="27"/>
  <c r="AD475" i="27"/>
  <c r="AC475" i="27"/>
  <c r="BD473" i="27"/>
  <c r="BG473" i="27" s="1"/>
  <c r="AQ473" i="27"/>
  <c r="AR473" i="27" s="1"/>
  <c r="AY473" i="27" s="1"/>
  <c r="BH472" i="27"/>
  <c r="BI472" i="27"/>
  <c r="AM489" i="27" l="1"/>
  <c r="AS488" i="27"/>
  <c r="BF487" i="27"/>
  <c r="G484" i="30"/>
  <c r="B487" i="27"/>
  <c r="AU486" i="27"/>
  <c r="BL473" i="27"/>
  <c r="S474" i="27"/>
  <c r="T474" i="27" s="1"/>
  <c r="BA474" i="27" s="1"/>
  <c r="AX473" i="27"/>
  <c r="BE475" i="27"/>
  <c r="F472" i="30"/>
  <c r="BB474" i="27"/>
  <c r="BC474" i="27"/>
  <c r="BL474" i="27" s="1"/>
  <c r="E471" i="30"/>
  <c r="B481" i="30"/>
  <c r="AQ474" i="27"/>
  <c r="AR474" i="27" s="1"/>
  <c r="AY474" i="27" s="1"/>
  <c r="AX474" i="27" s="1"/>
  <c r="BJ472" i="27"/>
  <c r="BK472" i="27" s="1"/>
  <c r="AT472" i="27" s="1"/>
  <c r="H469" i="30" s="1"/>
  <c r="AG476" i="27"/>
  <c r="U475" i="27"/>
  <c r="AP475" i="27"/>
  <c r="AO475" i="27"/>
  <c r="BD474" i="27"/>
  <c r="BG474" i="27" s="1"/>
  <c r="AC476" i="27"/>
  <c r="AD476" i="27"/>
  <c r="BH473" i="27"/>
  <c r="BI473" i="27"/>
  <c r="R475" i="27"/>
  <c r="Q475" i="27"/>
  <c r="D473" i="30"/>
  <c r="I473" i="30" s="1"/>
  <c r="AE475" i="27"/>
  <c r="AF475" i="27" s="1"/>
  <c r="AZ475" i="27" s="1"/>
  <c r="BF488" i="27" l="1"/>
  <c r="G485" i="30"/>
  <c r="AM490" i="27"/>
  <c r="AS489" i="27"/>
  <c r="B488" i="27"/>
  <c r="AU487" i="27"/>
  <c r="BE476" i="27"/>
  <c r="F473" i="30"/>
  <c r="BC475" i="27"/>
  <c r="BB475" i="27"/>
  <c r="E472" i="30"/>
  <c r="B482" i="30"/>
  <c r="AE476" i="27"/>
  <c r="AF476" i="27" s="1"/>
  <c r="AZ476" i="27" s="1"/>
  <c r="AG477" i="27"/>
  <c r="BJ473" i="27"/>
  <c r="BK473" i="27" s="1"/>
  <c r="AT473" i="27" s="1"/>
  <c r="H470" i="30" s="1"/>
  <c r="AD477" i="27"/>
  <c r="AC477" i="27"/>
  <c r="R476" i="27"/>
  <c r="Q476" i="27"/>
  <c r="S475" i="27"/>
  <c r="T475" i="27" s="1"/>
  <c r="BA475" i="27" s="1"/>
  <c r="BI474" i="27"/>
  <c r="BH474" i="27"/>
  <c r="AO476" i="27"/>
  <c r="AP476" i="27"/>
  <c r="AQ475" i="27"/>
  <c r="AR475" i="27" s="1"/>
  <c r="AY475" i="27" s="1"/>
  <c r="BD475" i="27"/>
  <c r="BG475" i="27" s="1"/>
  <c r="D474" i="30"/>
  <c r="I474" i="30" s="1"/>
  <c r="U476" i="27"/>
  <c r="BF489" i="27" l="1"/>
  <c r="G486" i="30"/>
  <c r="AM491" i="27"/>
  <c r="AS490" i="27"/>
  <c r="B489" i="27"/>
  <c r="AU488" i="27"/>
  <c r="BL475" i="27"/>
  <c r="BE477" i="27"/>
  <c r="F474" i="30"/>
  <c r="BC476" i="27"/>
  <c r="BB476" i="27"/>
  <c r="E473" i="30"/>
  <c r="B483" i="30"/>
  <c r="AX475" i="27"/>
  <c r="S476" i="27"/>
  <c r="T476" i="27" s="1"/>
  <c r="BA476" i="27" s="1"/>
  <c r="AE477" i="27"/>
  <c r="AF477" i="27" s="1"/>
  <c r="AZ477" i="27" s="1"/>
  <c r="BJ474" i="27"/>
  <c r="BK474" i="27" s="1"/>
  <c r="AT474" i="27" s="1"/>
  <c r="H471" i="30" s="1"/>
  <c r="AG478" i="27"/>
  <c r="AQ476" i="27"/>
  <c r="AR476" i="27" s="1"/>
  <c r="AY476" i="27" s="1"/>
  <c r="AO477" i="27"/>
  <c r="AP477" i="27"/>
  <c r="R477" i="27"/>
  <c r="Q477" i="27"/>
  <c r="AC478" i="27"/>
  <c r="AD478" i="27"/>
  <c r="BD476" i="27"/>
  <c r="BG476" i="27" s="1"/>
  <c r="U477" i="27"/>
  <c r="D475" i="30"/>
  <c r="I475" i="30" s="1"/>
  <c r="BI475" i="27"/>
  <c r="BH475" i="27"/>
  <c r="BF490" i="27" l="1"/>
  <c r="G487" i="30"/>
  <c r="AM492" i="27"/>
  <c r="AS491" i="27"/>
  <c r="B490" i="27"/>
  <c r="AU489" i="27"/>
  <c r="BL476" i="27"/>
  <c r="AX476" i="27"/>
  <c r="BE478" i="27"/>
  <c r="F475" i="30"/>
  <c r="B484" i="30"/>
  <c r="BB477" i="27"/>
  <c r="BC477" i="27"/>
  <c r="BL477" i="27" s="1"/>
  <c r="E474" i="30"/>
  <c r="S477" i="27"/>
  <c r="T477" i="27" s="1"/>
  <c r="BA477" i="27" s="1"/>
  <c r="AG479" i="27"/>
  <c r="R478" i="27"/>
  <c r="Q478" i="27"/>
  <c r="D476" i="30"/>
  <c r="I476" i="30" s="1"/>
  <c r="BD477" i="27"/>
  <c r="BG477" i="27" s="1"/>
  <c r="AC479" i="27"/>
  <c r="AD479" i="27"/>
  <c r="AP478" i="27"/>
  <c r="AO478" i="27"/>
  <c r="U478" i="27"/>
  <c r="AE478" i="27"/>
  <c r="AF478" i="27" s="1"/>
  <c r="AZ478" i="27" s="1"/>
  <c r="AQ477" i="27"/>
  <c r="AR477" i="27" s="1"/>
  <c r="AY477" i="27" s="1"/>
  <c r="BH476" i="27"/>
  <c r="BI476" i="27"/>
  <c r="BJ475" i="27"/>
  <c r="BK475" i="27" s="1"/>
  <c r="AT475" i="27" s="1"/>
  <c r="H472" i="30" s="1"/>
  <c r="BF491" i="27" l="1"/>
  <c r="G488" i="30"/>
  <c r="AM493" i="27"/>
  <c r="AS492" i="27"/>
  <c r="B491" i="27"/>
  <c r="AU490" i="27"/>
  <c r="BE479" i="27"/>
  <c r="F476" i="30"/>
  <c r="S478" i="27"/>
  <c r="T478" i="27" s="1"/>
  <c r="BA478" i="27" s="1"/>
  <c r="BC478" i="27"/>
  <c r="BL478" i="27" s="1"/>
  <c r="BB478" i="27"/>
  <c r="E475" i="30"/>
  <c r="AX477" i="27"/>
  <c r="B485" i="30"/>
  <c r="AQ478" i="27"/>
  <c r="AR478" i="27" s="1"/>
  <c r="AY478" i="27" s="1"/>
  <c r="AX478" i="27" s="1"/>
  <c r="AG480" i="27"/>
  <c r="U479" i="27"/>
  <c r="AC480" i="27"/>
  <c r="AD480" i="27"/>
  <c r="BD478" i="27"/>
  <c r="BG478" i="27" s="1"/>
  <c r="D477" i="30"/>
  <c r="I477" i="30" s="1"/>
  <c r="BI477" i="27"/>
  <c r="BH477" i="27"/>
  <c r="AP479" i="27"/>
  <c r="AO479" i="27"/>
  <c r="AE479" i="27"/>
  <c r="AF479" i="27" s="1"/>
  <c r="AZ479" i="27" s="1"/>
  <c r="BJ476" i="27"/>
  <c r="BK476" i="27" s="1"/>
  <c r="AT476" i="27" s="1"/>
  <c r="H473" i="30" s="1"/>
  <c r="R479" i="27"/>
  <c r="Q479" i="27"/>
  <c r="BF492" i="27" l="1"/>
  <c r="G489" i="30"/>
  <c r="AM494" i="27"/>
  <c r="AS493" i="27"/>
  <c r="B492" i="27"/>
  <c r="AU491" i="27"/>
  <c r="S479" i="27"/>
  <c r="T479" i="27" s="1"/>
  <c r="BA479" i="27" s="1"/>
  <c r="BE480" i="27"/>
  <c r="F477" i="30"/>
  <c r="BB479" i="27"/>
  <c r="BC479" i="27"/>
  <c r="E476" i="30"/>
  <c r="B486" i="30"/>
  <c r="BJ477" i="27"/>
  <c r="BK477" i="27" s="1"/>
  <c r="AT477" i="27" s="1"/>
  <c r="H474" i="30" s="1"/>
  <c r="AG481" i="27"/>
  <c r="D478" i="30"/>
  <c r="I478" i="30" s="1"/>
  <c r="BI478" i="27"/>
  <c r="BH478" i="27"/>
  <c r="AD481" i="27"/>
  <c r="AC481" i="27"/>
  <c r="U480" i="27"/>
  <c r="R480" i="27"/>
  <c r="Q480" i="27"/>
  <c r="AE480" i="27"/>
  <c r="AF480" i="27" s="1"/>
  <c r="AZ480" i="27" s="1"/>
  <c r="AQ479" i="27"/>
  <c r="AR479" i="27" s="1"/>
  <c r="AY479" i="27" s="1"/>
  <c r="AX479" i="27" s="1"/>
  <c r="AP480" i="27"/>
  <c r="AO480" i="27"/>
  <c r="BD479" i="27"/>
  <c r="BG479" i="27" s="1"/>
  <c r="BF493" i="27" l="1"/>
  <c r="G490" i="30"/>
  <c r="AM495" i="27"/>
  <c r="AS494" i="27"/>
  <c r="B493" i="27"/>
  <c r="AU492" i="27"/>
  <c r="BL479" i="27"/>
  <c r="AE481" i="27"/>
  <c r="AF481" i="27" s="1"/>
  <c r="AZ481" i="27" s="1"/>
  <c r="BE481" i="27"/>
  <c r="F478" i="30"/>
  <c r="BB480" i="27"/>
  <c r="BC480" i="27"/>
  <c r="BL480" i="27" s="1"/>
  <c r="E477" i="30"/>
  <c r="B487" i="30"/>
  <c r="AQ480" i="27"/>
  <c r="AR480" i="27" s="1"/>
  <c r="AY480" i="27" s="1"/>
  <c r="BJ478" i="27"/>
  <c r="BK478" i="27" s="1"/>
  <c r="AT478" i="27" s="1"/>
  <c r="H475" i="30" s="1"/>
  <c r="S480" i="27"/>
  <c r="T480" i="27" s="1"/>
  <c r="BA480" i="27" s="1"/>
  <c r="AG482" i="27"/>
  <c r="U481" i="27"/>
  <c r="AC482" i="27"/>
  <c r="AD482" i="27"/>
  <c r="BD480" i="27"/>
  <c r="BG480" i="27" s="1"/>
  <c r="D479" i="30"/>
  <c r="I479" i="30" s="1"/>
  <c r="BI479" i="27"/>
  <c r="BH479" i="27"/>
  <c r="AP481" i="27"/>
  <c r="AO481" i="27"/>
  <c r="R481" i="27"/>
  <c r="Q481" i="27"/>
  <c r="BF494" i="27" l="1"/>
  <c r="G491" i="30"/>
  <c r="AM496" i="27"/>
  <c r="AS495" i="27"/>
  <c r="S481" i="27"/>
  <c r="T481" i="27" s="1"/>
  <c r="BA481" i="27" s="1"/>
  <c r="B494" i="27"/>
  <c r="AU493" i="27"/>
  <c r="AX480" i="27"/>
  <c r="BE482" i="27"/>
  <c r="F479" i="30"/>
  <c r="BB481" i="27"/>
  <c r="BC481" i="27"/>
  <c r="E478" i="30"/>
  <c r="B488" i="30"/>
  <c r="BJ479" i="27"/>
  <c r="BK479" i="27" s="1"/>
  <c r="AT479" i="27" s="1"/>
  <c r="H476" i="30" s="1"/>
  <c r="AG483" i="27"/>
  <c r="AQ481" i="27"/>
  <c r="AR481" i="27" s="1"/>
  <c r="AY481" i="27" s="1"/>
  <c r="AX481" i="27" s="1"/>
  <c r="AP482" i="27"/>
  <c r="AO482" i="27"/>
  <c r="D480" i="30"/>
  <c r="I480" i="30" s="1"/>
  <c r="BI480" i="27"/>
  <c r="BH480" i="27"/>
  <c r="AC483" i="27"/>
  <c r="AD483" i="27"/>
  <c r="AE482" i="27"/>
  <c r="AF482" i="27" s="1"/>
  <c r="AZ482" i="27" s="1"/>
  <c r="BD481" i="27"/>
  <c r="BG481" i="27" s="1"/>
  <c r="R482" i="27"/>
  <c r="Q482" i="27"/>
  <c r="U482" i="27"/>
  <c r="G492" i="30" l="1"/>
  <c r="BF495" i="27"/>
  <c r="AM497" i="27"/>
  <c r="AS496" i="27"/>
  <c r="B495" i="27"/>
  <c r="AU494" i="27"/>
  <c r="BL481" i="27"/>
  <c r="S482" i="27"/>
  <c r="T482" i="27" s="1"/>
  <c r="BA482" i="27" s="1"/>
  <c r="BE483" i="27"/>
  <c r="F480" i="30"/>
  <c r="BC482" i="27"/>
  <c r="BL482" i="27" s="1"/>
  <c r="BB482" i="27"/>
  <c r="E479" i="30"/>
  <c r="B489" i="30"/>
  <c r="AQ482" i="27"/>
  <c r="AR482" i="27" s="1"/>
  <c r="AY482" i="27" s="1"/>
  <c r="AX482" i="27" s="1"/>
  <c r="AE483" i="27"/>
  <c r="AF483" i="27" s="1"/>
  <c r="AZ483" i="27" s="1"/>
  <c r="BJ480" i="27"/>
  <c r="BK480" i="27" s="1"/>
  <c r="AT480" i="27" s="1"/>
  <c r="H477" i="30" s="1"/>
  <c r="AG484" i="27"/>
  <c r="BI481" i="27"/>
  <c r="BH481" i="27"/>
  <c r="BD482" i="27"/>
  <c r="BG482" i="27" s="1"/>
  <c r="U483" i="27"/>
  <c r="AD484" i="27"/>
  <c r="AC484" i="27"/>
  <c r="D481" i="30"/>
  <c r="I481" i="30" s="1"/>
  <c r="Q483" i="27"/>
  <c r="R483" i="27"/>
  <c r="AP483" i="27"/>
  <c r="AO483" i="27"/>
  <c r="AM498" i="27" l="1"/>
  <c r="AS497" i="27"/>
  <c r="BF496" i="27"/>
  <c r="G493" i="30"/>
  <c r="B496" i="27"/>
  <c r="AU495" i="27"/>
  <c r="BE484" i="27"/>
  <c r="F481" i="30"/>
  <c r="BB483" i="27"/>
  <c r="BC483" i="27"/>
  <c r="BL483" i="27" s="1"/>
  <c r="E480" i="30"/>
  <c r="B490" i="30"/>
  <c r="AQ483" i="27"/>
  <c r="AR483" i="27" s="1"/>
  <c r="AY483" i="27" s="1"/>
  <c r="S483" i="27"/>
  <c r="T483" i="27" s="1"/>
  <c r="BA483" i="27" s="1"/>
  <c r="AG485" i="27"/>
  <c r="AD485" i="27"/>
  <c r="AC485" i="27"/>
  <c r="BJ481" i="27"/>
  <c r="BK481" i="27" s="1"/>
  <c r="AT481" i="27" s="1"/>
  <c r="H478" i="30" s="1"/>
  <c r="AP484" i="27"/>
  <c r="AO484" i="27"/>
  <c r="D482" i="30"/>
  <c r="I482" i="30" s="1"/>
  <c r="BH482" i="27"/>
  <c r="BI482" i="27"/>
  <c r="BD483" i="27"/>
  <c r="BG483" i="27" s="1"/>
  <c r="AE484" i="27"/>
  <c r="AF484" i="27" s="1"/>
  <c r="AZ484" i="27" s="1"/>
  <c r="U484" i="27"/>
  <c r="Q484" i="27"/>
  <c r="R484" i="27"/>
  <c r="BF497" i="27" l="1"/>
  <c r="G494" i="30"/>
  <c r="AM499" i="27"/>
  <c r="AS498" i="27"/>
  <c r="B497" i="27"/>
  <c r="AU496" i="27"/>
  <c r="AE485" i="27"/>
  <c r="AF485" i="27" s="1"/>
  <c r="AZ485" i="27" s="1"/>
  <c r="AX483" i="27"/>
  <c r="BE485" i="27"/>
  <c r="F482" i="30"/>
  <c r="BB484" i="27"/>
  <c r="BC484" i="27"/>
  <c r="BL484" i="27" s="1"/>
  <c r="E481" i="30"/>
  <c r="B491" i="30"/>
  <c r="AQ484" i="27"/>
  <c r="AR484" i="27" s="1"/>
  <c r="AY484" i="27" s="1"/>
  <c r="AG486" i="27"/>
  <c r="AO485" i="27"/>
  <c r="AP485" i="27"/>
  <c r="R485" i="27"/>
  <c r="Q485" i="27"/>
  <c r="BJ482" i="27"/>
  <c r="BK482" i="27" s="1"/>
  <c r="AT482" i="27" s="1"/>
  <c r="H479" i="30" s="1"/>
  <c r="U485" i="27"/>
  <c r="AD486" i="27"/>
  <c r="AC486" i="27"/>
  <c r="AE486" i="27" s="1"/>
  <c r="AF486" i="27" s="1"/>
  <c r="AZ486" i="27" s="1"/>
  <c r="S484" i="27"/>
  <c r="T484" i="27" s="1"/>
  <c r="BA484" i="27" s="1"/>
  <c r="BD484" i="27"/>
  <c r="BG484" i="27" s="1"/>
  <c r="BI483" i="27"/>
  <c r="BH483" i="27"/>
  <c r="D483" i="30"/>
  <c r="I483" i="30" s="1"/>
  <c r="BF498" i="27" l="1"/>
  <c r="G495" i="30"/>
  <c r="AM500" i="27"/>
  <c r="AS499" i="27"/>
  <c r="B498" i="27"/>
  <c r="AU497" i="27"/>
  <c r="AX484" i="27"/>
  <c r="BE486" i="27"/>
  <c r="F483" i="30"/>
  <c r="BJ483" i="27"/>
  <c r="BK483" i="27" s="1"/>
  <c r="AT483" i="27" s="1"/>
  <c r="H480" i="30" s="1"/>
  <c r="BC485" i="27"/>
  <c r="BL485" i="27" s="1"/>
  <c r="BB485" i="27"/>
  <c r="E482" i="30"/>
  <c r="B492" i="30"/>
  <c r="S485" i="27"/>
  <c r="T485" i="27" s="1"/>
  <c r="BA485" i="27" s="1"/>
  <c r="AG487" i="27"/>
  <c r="BD485" i="27"/>
  <c r="BG485" i="27" s="1"/>
  <c r="AD487" i="27"/>
  <c r="AC487" i="27"/>
  <c r="U486" i="27"/>
  <c r="R486" i="27"/>
  <c r="Q486" i="27"/>
  <c r="BI484" i="27"/>
  <c r="BH484" i="27"/>
  <c r="AQ485" i="27"/>
  <c r="AR485" i="27" s="1"/>
  <c r="AY485" i="27" s="1"/>
  <c r="D484" i="30"/>
  <c r="I484" i="30" s="1"/>
  <c r="AP486" i="27"/>
  <c r="AO486" i="27"/>
  <c r="AM501" i="27" l="1"/>
  <c r="AS500" i="27"/>
  <c r="G496" i="30"/>
  <c r="BF499" i="27"/>
  <c r="B499" i="27"/>
  <c r="AU498" i="27"/>
  <c r="BE487" i="27"/>
  <c r="F484" i="30"/>
  <c r="BC486" i="27"/>
  <c r="BB486" i="27"/>
  <c r="E483" i="30"/>
  <c r="AX485" i="27"/>
  <c r="B493" i="30"/>
  <c r="AE487" i="27"/>
  <c r="AF487" i="27" s="1"/>
  <c r="AZ487" i="27" s="1"/>
  <c r="AQ486" i="27"/>
  <c r="AR486" i="27" s="1"/>
  <c r="AY486" i="27" s="1"/>
  <c r="S486" i="27"/>
  <c r="T486" i="27" s="1"/>
  <c r="BA486" i="27" s="1"/>
  <c r="AG488" i="27"/>
  <c r="R487" i="27"/>
  <c r="Q487" i="27"/>
  <c r="BJ484" i="27"/>
  <c r="BK484" i="27" s="1"/>
  <c r="AT484" i="27" s="1"/>
  <c r="H481" i="30" s="1"/>
  <c r="BD486" i="27"/>
  <c r="BG486" i="27" s="1"/>
  <c r="U487" i="27"/>
  <c r="AP487" i="27"/>
  <c r="AO487" i="27"/>
  <c r="BI485" i="27"/>
  <c r="BH485" i="27"/>
  <c r="AC488" i="27"/>
  <c r="AD488" i="27"/>
  <c r="D485" i="30"/>
  <c r="I485" i="30" s="1"/>
  <c r="G497" i="30" l="1"/>
  <c r="BF500" i="27"/>
  <c r="AM502" i="27"/>
  <c r="AS501" i="27"/>
  <c r="B500" i="27"/>
  <c r="AU499" i="27"/>
  <c r="BL486" i="27"/>
  <c r="AX486" i="27"/>
  <c r="BE488" i="27"/>
  <c r="F485" i="30"/>
  <c r="BB487" i="27"/>
  <c r="BC487" i="27"/>
  <c r="BL487" i="27" s="1"/>
  <c r="E484" i="30"/>
  <c r="S487" i="27"/>
  <c r="T487" i="27" s="1"/>
  <c r="BA487" i="27" s="1"/>
  <c r="B494" i="30"/>
  <c r="AG489" i="27"/>
  <c r="BD487" i="27"/>
  <c r="BG487" i="27" s="1"/>
  <c r="AQ487" i="27"/>
  <c r="AR487" i="27" s="1"/>
  <c r="AY487" i="27" s="1"/>
  <c r="AP488" i="27"/>
  <c r="AO488" i="27"/>
  <c r="U488" i="27"/>
  <c r="BH486" i="27"/>
  <c r="BI486" i="27"/>
  <c r="AE488" i="27"/>
  <c r="AF488" i="27" s="1"/>
  <c r="AZ488" i="27" s="1"/>
  <c r="R488" i="27"/>
  <c r="Q488" i="27"/>
  <c r="D486" i="30"/>
  <c r="I486" i="30" s="1"/>
  <c r="AC489" i="27"/>
  <c r="AD489" i="27"/>
  <c r="BJ485" i="27"/>
  <c r="BK485" i="27" s="1"/>
  <c r="AT485" i="27" s="1"/>
  <c r="H482" i="30" s="1"/>
  <c r="AM503" i="27" l="1"/>
  <c r="AS502" i="27"/>
  <c r="BF501" i="27"/>
  <c r="G498" i="30"/>
  <c r="AX487" i="27"/>
  <c r="B501" i="27"/>
  <c r="AU500" i="27"/>
  <c r="BE489" i="27"/>
  <c r="F486" i="30"/>
  <c r="BB488" i="27"/>
  <c r="BC488" i="27"/>
  <c r="BL488" i="27" s="1"/>
  <c r="E485" i="30"/>
  <c r="B495" i="30"/>
  <c r="S488" i="27"/>
  <c r="T488" i="27" s="1"/>
  <c r="BA488" i="27" s="1"/>
  <c r="AQ488" i="27"/>
  <c r="AR488" i="27" s="1"/>
  <c r="AY488" i="27" s="1"/>
  <c r="AG490" i="27"/>
  <c r="U489" i="27"/>
  <c r="BD488" i="27"/>
  <c r="BG488" i="27" s="1"/>
  <c r="AD490" i="27"/>
  <c r="AC490" i="27"/>
  <c r="BJ486" i="27"/>
  <c r="BK486" i="27" s="1"/>
  <c r="AT486" i="27" s="1"/>
  <c r="H483" i="30" s="1"/>
  <c r="AP489" i="27"/>
  <c r="AO489" i="27"/>
  <c r="AE489" i="27"/>
  <c r="AF489" i="27" s="1"/>
  <c r="AZ489" i="27" s="1"/>
  <c r="D487" i="30"/>
  <c r="I487" i="30" s="1"/>
  <c r="R489" i="27"/>
  <c r="Q489" i="27"/>
  <c r="BH487" i="27"/>
  <c r="BI487" i="27"/>
  <c r="BF502" i="27" l="1"/>
  <c r="G499" i="30"/>
  <c r="AM504" i="27"/>
  <c r="AS503" i="27"/>
  <c r="B502" i="27"/>
  <c r="AU501" i="27"/>
  <c r="AX488" i="27"/>
  <c r="BE490" i="27"/>
  <c r="F487" i="30"/>
  <c r="BC489" i="27"/>
  <c r="BB489" i="27"/>
  <c r="E486" i="30"/>
  <c r="B496" i="30"/>
  <c r="AE490" i="27"/>
  <c r="AF490" i="27" s="1"/>
  <c r="AZ490" i="27" s="1"/>
  <c r="S489" i="27"/>
  <c r="T489" i="27" s="1"/>
  <c r="BA489" i="27" s="1"/>
  <c r="AG491" i="27"/>
  <c r="AC491" i="27"/>
  <c r="AD491" i="27"/>
  <c r="AQ489" i="27"/>
  <c r="AR489" i="27" s="1"/>
  <c r="AY489" i="27" s="1"/>
  <c r="AP490" i="27"/>
  <c r="AO490" i="27"/>
  <c r="BH488" i="27"/>
  <c r="BI488" i="27"/>
  <c r="R490" i="27"/>
  <c r="Q490" i="27"/>
  <c r="BD489" i="27"/>
  <c r="BG489" i="27" s="1"/>
  <c r="BJ487" i="27"/>
  <c r="BK487" i="27" s="1"/>
  <c r="AT487" i="27" s="1"/>
  <c r="H484" i="30" s="1"/>
  <c r="U490" i="27"/>
  <c r="D488" i="30"/>
  <c r="I488" i="30" s="1"/>
  <c r="AM505" i="27" l="1"/>
  <c r="AS504" i="27"/>
  <c r="G500" i="30"/>
  <c r="BF503" i="27"/>
  <c r="B503" i="27"/>
  <c r="AU502" i="27"/>
  <c r="BL489" i="27"/>
  <c r="BE491" i="27"/>
  <c r="F488" i="30"/>
  <c r="BB490" i="27"/>
  <c r="BC490" i="27"/>
  <c r="BL490" i="27" s="1"/>
  <c r="E487" i="30"/>
  <c r="AX489" i="27"/>
  <c r="B497" i="30"/>
  <c r="AG492" i="27"/>
  <c r="S490" i="27"/>
  <c r="T490" i="27" s="1"/>
  <c r="BA490" i="27" s="1"/>
  <c r="BJ488" i="27"/>
  <c r="BK488" i="27" s="1"/>
  <c r="AT488" i="27" s="1"/>
  <c r="H485" i="30" s="1"/>
  <c r="AQ490" i="27"/>
  <c r="AR490" i="27" s="1"/>
  <c r="AY490" i="27" s="1"/>
  <c r="R491" i="27"/>
  <c r="Q491" i="27"/>
  <c r="AD492" i="27"/>
  <c r="AC492" i="27"/>
  <c r="BH489" i="27"/>
  <c r="BI489" i="27"/>
  <c r="AP491" i="27"/>
  <c r="AO491" i="27"/>
  <c r="AE491" i="27"/>
  <c r="AF491" i="27" s="1"/>
  <c r="AZ491" i="27" s="1"/>
  <c r="D489" i="30"/>
  <c r="I489" i="30" s="1"/>
  <c r="U491" i="27"/>
  <c r="BD490" i="27"/>
  <c r="BG490" i="27" s="1"/>
  <c r="G501" i="30" l="1"/>
  <c r="BF504" i="27"/>
  <c r="AM506" i="27"/>
  <c r="AS505" i="27"/>
  <c r="B504" i="27"/>
  <c r="AU503" i="27"/>
  <c r="AE492" i="27"/>
  <c r="AF492" i="27" s="1"/>
  <c r="AZ492" i="27" s="1"/>
  <c r="AQ491" i="27"/>
  <c r="AR491" i="27" s="1"/>
  <c r="AY491" i="27" s="1"/>
  <c r="BE492" i="27"/>
  <c r="F489" i="30"/>
  <c r="AX490" i="27"/>
  <c r="B498" i="30"/>
  <c r="BB491" i="27"/>
  <c r="BC491" i="27"/>
  <c r="E488" i="30"/>
  <c r="AG493" i="27"/>
  <c r="BD491" i="27"/>
  <c r="BG491" i="27" s="1"/>
  <c r="U492" i="27"/>
  <c r="AP492" i="27"/>
  <c r="AO492" i="27"/>
  <c r="S491" i="27"/>
  <c r="T491" i="27" s="1"/>
  <c r="BA491" i="27" s="1"/>
  <c r="D490" i="30"/>
  <c r="I490" i="30" s="1"/>
  <c r="BJ489" i="27"/>
  <c r="BK489" i="27" s="1"/>
  <c r="AT489" i="27" s="1"/>
  <c r="H486" i="30" s="1"/>
  <c r="AD493" i="27"/>
  <c r="AC493" i="27"/>
  <c r="BH490" i="27"/>
  <c r="BI490" i="27"/>
  <c r="Q492" i="27"/>
  <c r="R492" i="27"/>
  <c r="AX491" i="27" l="1"/>
  <c r="BF505" i="27"/>
  <c r="G502" i="30"/>
  <c r="AM507" i="27"/>
  <c r="AS506" i="27"/>
  <c r="B505" i="27"/>
  <c r="AU504" i="27"/>
  <c r="BL491" i="27"/>
  <c r="BE493" i="27"/>
  <c r="F490" i="30"/>
  <c r="BB492" i="27"/>
  <c r="BC492" i="27"/>
  <c r="BL492" i="27" s="1"/>
  <c r="E489" i="30"/>
  <c r="B499" i="30"/>
  <c r="BJ490" i="27"/>
  <c r="BK490" i="27" s="1"/>
  <c r="AT490" i="27" s="1"/>
  <c r="H487" i="30" s="1"/>
  <c r="AG494" i="27"/>
  <c r="AC494" i="27"/>
  <c r="AD494" i="27"/>
  <c r="AE493" i="27"/>
  <c r="AF493" i="27" s="1"/>
  <c r="AZ493" i="27" s="1"/>
  <c r="D491" i="30"/>
  <c r="I491" i="30" s="1"/>
  <c r="BD492" i="27"/>
  <c r="BG492" i="27" s="1"/>
  <c r="U493" i="27"/>
  <c r="AQ492" i="27"/>
  <c r="AR492" i="27" s="1"/>
  <c r="AY492" i="27" s="1"/>
  <c r="AP493" i="27"/>
  <c r="AO493" i="27"/>
  <c r="Q493" i="27"/>
  <c r="R493" i="27"/>
  <c r="S492" i="27"/>
  <c r="T492" i="27" s="1"/>
  <c r="BA492" i="27" s="1"/>
  <c r="BI491" i="27"/>
  <c r="BH491" i="27"/>
  <c r="AM508" i="27" l="1"/>
  <c r="AS507" i="27"/>
  <c r="BF506" i="27"/>
  <c r="G503" i="30"/>
  <c r="AX492" i="27"/>
  <c r="B506" i="27"/>
  <c r="AU505" i="27"/>
  <c r="BE494" i="27"/>
  <c r="F491" i="30"/>
  <c r="BB493" i="27"/>
  <c r="BC493" i="27"/>
  <c r="BL493" i="27" s="1"/>
  <c r="E490" i="30"/>
  <c r="B500" i="30"/>
  <c r="AQ493" i="27"/>
  <c r="AR493" i="27" s="1"/>
  <c r="AY493" i="27" s="1"/>
  <c r="AG495" i="27"/>
  <c r="AO494" i="27"/>
  <c r="AP494" i="27"/>
  <c r="S493" i="27"/>
  <c r="T493" i="27" s="1"/>
  <c r="BA493" i="27" s="1"/>
  <c r="BD493" i="27"/>
  <c r="BG493" i="27" s="1"/>
  <c r="BI492" i="27"/>
  <c r="BH492" i="27"/>
  <c r="R494" i="27"/>
  <c r="Q494" i="27"/>
  <c r="U494" i="27"/>
  <c r="D492" i="30"/>
  <c r="I492" i="30" s="1"/>
  <c r="BJ491" i="27"/>
  <c r="BK491" i="27" s="1"/>
  <c r="AT491" i="27" s="1"/>
  <c r="H488" i="30" s="1"/>
  <c r="AE494" i="27"/>
  <c r="AF494" i="27" s="1"/>
  <c r="AZ494" i="27" s="1"/>
  <c r="AD495" i="27"/>
  <c r="AC495" i="27"/>
  <c r="BF507" i="27" l="1"/>
  <c r="G504" i="30"/>
  <c r="AM509" i="27"/>
  <c r="AS508" i="27"/>
  <c r="B507" i="27"/>
  <c r="AU506" i="27"/>
  <c r="AX493" i="27"/>
  <c r="BE495" i="27"/>
  <c r="F492" i="30"/>
  <c r="B501" i="30"/>
  <c r="BB494" i="27"/>
  <c r="BC494" i="27"/>
  <c r="BL494" i="27" s="1"/>
  <c r="E491" i="30"/>
  <c r="BJ492" i="27"/>
  <c r="BK492" i="27" s="1"/>
  <c r="AT492" i="27" s="1"/>
  <c r="H489" i="30" s="1"/>
  <c r="S494" i="27"/>
  <c r="T494" i="27" s="1"/>
  <c r="BA494" i="27" s="1"/>
  <c r="AG496" i="27"/>
  <c r="BD494" i="27"/>
  <c r="BG494" i="27" s="1"/>
  <c r="D493" i="30"/>
  <c r="I493" i="30" s="1"/>
  <c r="U495" i="27"/>
  <c r="BI493" i="27"/>
  <c r="BH493" i="27"/>
  <c r="AO495" i="27"/>
  <c r="AP495" i="27"/>
  <c r="R495" i="27"/>
  <c r="Q495" i="27"/>
  <c r="AE495" i="27"/>
  <c r="AF495" i="27" s="1"/>
  <c r="AZ495" i="27" s="1"/>
  <c r="AQ494" i="27"/>
  <c r="AR494" i="27" s="1"/>
  <c r="AY494" i="27" s="1"/>
  <c r="AC496" i="27"/>
  <c r="AD496" i="27"/>
  <c r="BF508" i="27" l="1"/>
  <c r="G505" i="30"/>
  <c r="AM510" i="27"/>
  <c r="AS509" i="27"/>
  <c r="B508" i="27"/>
  <c r="AU507" i="27"/>
  <c r="BE496" i="27"/>
  <c r="F493" i="30"/>
  <c r="BC495" i="27"/>
  <c r="BB495" i="27"/>
  <c r="BL495" i="27" s="1"/>
  <c r="E492" i="30"/>
  <c r="AX494" i="27"/>
  <c r="B502" i="30"/>
  <c r="S495" i="27"/>
  <c r="T495" i="27" s="1"/>
  <c r="BA495" i="27" s="1"/>
  <c r="AG497" i="27"/>
  <c r="BD495" i="27"/>
  <c r="BG495" i="27" s="1"/>
  <c r="U496" i="27"/>
  <c r="AD497" i="27"/>
  <c r="AC497" i="27"/>
  <c r="D494" i="30"/>
  <c r="I494" i="30" s="1"/>
  <c r="AQ495" i="27"/>
  <c r="AR495" i="27" s="1"/>
  <c r="AY495" i="27" s="1"/>
  <c r="BJ493" i="27"/>
  <c r="BK493" i="27" s="1"/>
  <c r="AT493" i="27" s="1"/>
  <c r="H490" i="30" s="1"/>
  <c r="AP496" i="27"/>
  <c r="AO496" i="27"/>
  <c r="AE496" i="27"/>
  <c r="AF496" i="27" s="1"/>
  <c r="AZ496" i="27" s="1"/>
  <c r="R496" i="27"/>
  <c r="Q496" i="27"/>
  <c r="BH494" i="27"/>
  <c r="BI494" i="27"/>
  <c r="G506" i="30" l="1"/>
  <c r="BF509" i="27"/>
  <c r="AM511" i="27"/>
  <c r="AS510" i="27"/>
  <c r="B509" i="27"/>
  <c r="AU508" i="27"/>
  <c r="AX495" i="27"/>
  <c r="BE497" i="27"/>
  <c r="F494" i="30"/>
  <c r="B503" i="30"/>
  <c r="BC496" i="27"/>
  <c r="BL496" i="27" s="1"/>
  <c r="BB496" i="27"/>
  <c r="E493" i="30"/>
  <c r="AG498" i="27"/>
  <c r="AE497" i="27"/>
  <c r="AF497" i="27" s="1"/>
  <c r="AZ497" i="27" s="1"/>
  <c r="AQ496" i="27"/>
  <c r="AR496" i="27" s="1"/>
  <c r="AY496" i="27" s="1"/>
  <c r="AD498" i="27"/>
  <c r="AC498" i="27"/>
  <c r="AO497" i="27"/>
  <c r="AP497" i="27"/>
  <c r="BJ494" i="27"/>
  <c r="BK494" i="27" s="1"/>
  <c r="AT494" i="27" s="1"/>
  <c r="H491" i="30" s="1"/>
  <c r="S496" i="27"/>
  <c r="T496" i="27" s="1"/>
  <c r="BA496" i="27" s="1"/>
  <c r="U497" i="27"/>
  <c r="Q497" i="27"/>
  <c r="R497" i="27"/>
  <c r="D495" i="30"/>
  <c r="I495" i="30" s="1"/>
  <c r="BD496" i="27"/>
  <c r="BG496" i="27" s="1"/>
  <c r="BI495" i="27"/>
  <c r="BH495" i="27"/>
  <c r="BF510" i="27" l="1"/>
  <c r="G507" i="30"/>
  <c r="AM512" i="27"/>
  <c r="AS511" i="27"/>
  <c r="B510" i="27"/>
  <c r="AU509" i="27"/>
  <c r="BE498" i="27"/>
  <c r="F495" i="30"/>
  <c r="BB497" i="27"/>
  <c r="BC497" i="27"/>
  <c r="BL497" i="27" s="1"/>
  <c r="E494" i="30"/>
  <c r="B504" i="30"/>
  <c r="BJ495" i="27"/>
  <c r="BK495" i="27" s="1"/>
  <c r="AT495" i="27" s="1"/>
  <c r="H492" i="30" s="1"/>
  <c r="AQ497" i="27"/>
  <c r="AR497" i="27" s="1"/>
  <c r="AY497" i="27" s="1"/>
  <c r="AG499" i="27"/>
  <c r="S497" i="27"/>
  <c r="T497" i="27" s="1"/>
  <c r="BA497" i="27" s="1"/>
  <c r="BD497" i="27"/>
  <c r="BG497" i="27" s="1"/>
  <c r="U498" i="27"/>
  <c r="AP498" i="27"/>
  <c r="AO498" i="27"/>
  <c r="BH496" i="27"/>
  <c r="BI496" i="27"/>
  <c r="R498" i="27"/>
  <c r="Q498" i="27"/>
  <c r="AC499" i="27"/>
  <c r="AD499" i="27"/>
  <c r="AE498" i="27"/>
  <c r="AF498" i="27" s="1"/>
  <c r="AZ498" i="27" s="1"/>
  <c r="D496" i="30"/>
  <c r="I496" i="30" s="1"/>
  <c r="AX496" i="27"/>
  <c r="BF511" i="27" l="1"/>
  <c r="G508" i="30"/>
  <c r="AM513" i="27"/>
  <c r="AS512" i="27"/>
  <c r="B511" i="27"/>
  <c r="AU510" i="27"/>
  <c r="AX497" i="27"/>
  <c r="BE499" i="27"/>
  <c r="F496" i="30"/>
  <c r="B505" i="30"/>
  <c r="BB498" i="27"/>
  <c r="BC498" i="27"/>
  <c r="E495" i="30"/>
  <c r="AQ498" i="27"/>
  <c r="AR498" i="27" s="1"/>
  <c r="AY498" i="27" s="1"/>
  <c r="AG500" i="27"/>
  <c r="S498" i="27"/>
  <c r="T498" i="27" s="1"/>
  <c r="BA498" i="27" s="1"/>
  <c r="R499" i="27"/>
  <c r="Q499" i="27"/>
  <c r="AP499" i="27"/>
  <c r="AO499" i="27"/>
  <c r="D497" i="30"/>
  <c r="I497" i="30" s="1"/>
  <c r="BI497" i="27"/>
  <c r="BH497" i="27"/>
  <c r="BJ496" i="27"/>
  <c r="BK496" i="27" s="1"/>
  <c r="AT496" i="27" s="1"/>
  <c r="H493" i="30" s="1"/>
  <c r="U499" i="27"/>
  <c r="BD498" i="27"/>
  <c r="BG498" i="27" s="1"/>
  <c r="AE499" i="27"/>
  <c r="AF499" i="27" s="1"/>
  <c r="AZ499" i="27" s="1"/>
  <c r="AD500" i="27"/>
  <c r="AC500" i="27"/>
  <c r="BF512" i="27" l="1"/>
  <c r="G509" i="30"/>
  <c r="AM514" i="27"/>
  <c r="AS513" i="27"/>
  <c r="B512" i="27"/>
  <c r="AU511" i="27"/>
  <c r="BL498" i="27"/>
  <c r="AX498" i="27"/>
  <c r="BE500" i="27"/>
  <c r="F497" i="30"/>
  <c r="BB499" i="27"/>
  <c r="BC499" i="27"/>
  <c r="BL499" i="27" s="1"/>
  <c r="E496" i="30"/>
  <c r="B506" i="30"/>
  <c r="S499" i="27"/>
  <c r="T499" i="27" s="1"/>
  <c r="BA499" i="27" s="1"/>
  <c r="AQ499" i="27"/>
  <c r="AR499" i="27" s="1"/>
  <c r="AY499" i="27" s="1"/>
  <c r="BJ497" i="27"/>
  <c r="BK497" i="27" s="1"/>
  <c r="AT497" i="27" s="1"/>
  <c r="H494" i="30" s="1"/>
  <c r="AG501" i="27"/>
  <c r="BD499" i="27"/>
  <c r="BG499" i="27" s="1"/>
  <c r="D498" i="30"/>
  <c r="I498" i="30" s="1"/>
  <c r="AE500" i="27"/>
  <c r="AF500" i="27" s="1"/>
  <c r="AZ500" i="27" s="1"/>
  <c r="AP500" i="27"/>
  <c r="AO500" i="27"/>
  <c r="AD501" i="27"/>
  <c r="AC501" i="27"/>
  <c r="BI498" i="27"/>
  <c r="BH498" i="27"/>
  <c r="R500" i="27"/>
  <c r="Q500" i="27"/>
  <c r="U500" i="27"/>
  <c r="G510" i="30" l="1"/>
  <c r="BF513" i="27"/>
  <c r="AM515" i="27"/>
  <c r="AS514" i="27"/>
  <c r="B513" i="27"/>
  <c r="AU512" i="27"/>
  <c r="AE501" i="27"/>
  <c r="AF501" i="27" s="1"/>
  <c r="AZ501" i="27" s="1"/>
  <c r="BE501" i="27"/>
  <c r="F498" i="30"/>
  <c r="BC500" i="27"/>
  <c r="BL500" i="27" s="1"/>
  <c r="BB500" i="27"/>
  <c r="E497" i="30"/>
  <c r="AX499" i="27"/>
  <c r="B507" i="30"/>
  <c r="AQ500" i="27"/>
  <c r="AR500" i="27" s="1"/>
  <c r="AY500" i="27" s="1"/>
  <c r="S500" i="27"/>
  <c r="T500" i="27" s="1"/>
  <c r="BA500" i="27" s="1"/>
  <c r="AG502" i="27"/>
  <c r="BJ498" i="27"/>
  <c r="BK498" i="27" s="1"/>
  <c r="AT498" i="27" s="1"/>
  <c r="H495" i="30" s="1"/>
  <c r="BD500" i="27"/>
  <c r="BG500" i="27" s="1"/>
  <c r="U501" i="27"/>
  <c r="BH499" i="27"/>
  <c r="BI499" i="27"/>
  <c r="AD502" i="27"/>
  <c r="AC502" i="27"/>
  <c r="AP501" i="27"/>
  <c r="AO501" i="27"/>
  <c r="D499" i="30"/>
  <c r="I499" i="30" s="1"/>
  <c r="R501" i="27"/>
  <c r="Q501" i="27"/>
  <c r="BF514" i="27" l="1"/>
  <c r="G511" i="30"/>
  <c r="AM516" i="27"/>
  <c r="AS515" i="27"/>
  <c r="B514" i="27"/>
  <c r="AU513" i="27"/>
  <c r="BE502" i="27"/>
  <c r="F499" i="30"/>
  <c r="BC501" i="27"/>
  <c r="BB501" i="27"/>
  <c r="E498" i="30"/>
  <c r="B508" i="30"/>
  <c r="BJ499" i="27"/>
  <c r="BK499" i="27" s="1"/>
  <c r="AT499" i="27" s="1"/>
  <c r="H496" i="30" s="1"/>
  <c r="AX500" i="27"/>
  <c r="AQ501" i="27"/>
  <c r="AR501" i="27" s="1"/>
  <c r="AY501" i="27" s="1"/>
  <c r="AG503" i="27"/>
  <c r="D500" i="30"/>
  <c r="I500" i="30" s="1"/>
  <c r="AP502" i="27"/>
  <c r="AO502" i="27"/>
  <c r="AE502" i="27"/>
  <c r="AF502" i="27" s="1"/>
  <c r="AZ502" i="27" s="1"/>
  <c r="AC503" i="27"/>
  <c r="AD503" i="27"/>
  <c r="U502" i="27"/>
  <c r="BD501" i="27"/>
  <c r="BG501" i="27" s="1"/>
  <c r="BI500" i="27"/>
  <c r="BH500" i="27"/>
  <c r="R502" i="27"/>
  <c r="Q502" i="27"/>
  <c r="S501" i="27"/>
  <c r="T501" i="27" s="1"/>
  <c r="BA501" i="27" s="1"/>
  <c r="BF515" i="27" l="1"/>
  <c r="G512" i="30"/>
  <c r="AM517" i="27"/>
  <c r="AS516" i="27"/>
  <c r="B515" i="27"/>
  <c r="AU514" i="27"/>
  <c r="S502" i="27"/>
  <c r="T502" i="27" s="1"/>
  <c r="BA502" i="27" s="1"/>
  <c r="BJ500" i="27"/>
  <c r="BK500" i="27" s="1"/>
  <c r="AT500" i="27" s="1"/>
  <c r="H497" i="30" s="1"/>
  <c r="BL501" i="27"/>
  <c r="AX501" i="27"/>
  <c r="BE503" i="27"/>
  <c r="F500" i="30"/>
  <c r="B509" i="30"/>
  <c r="BC502" i="27"/>
  <c r="BB502" i="27"/>
  <c r="E499" i="30"/>
  <c r="AQ502" i="27"/>
  <c r="AR502" i="27" s="1"/>
  <c r="AY502" i="27" s="1"/>
  <c r="AE503" i="27"/>
  <c r="AF503" i="27" s="1"/>
  <c r="AZ503" i="27" s="1"/>
  <c r="AG504" i="27"/>
  <c r="BH501" i="27"/>
  <c r="BI501" i="27"/>
  <c r="AP503" i="27"/>
  <c r="AO503" i="27"/>
  <c r="U503" i="27"/>
  <c r="BD502" i="27"/>
  <c r="BG502" i="27" s="1"/>
  <c r="AC504" i="27"/>
  <c r="AD504" i="27"/>
  <c r="R503" i="27"/>
  <c r="Q503" i="27"/>
  <c r="D501" i="30"/>
  <c r="I501" i="30" s="1"/>
  <c r="BF516" i="27" l="1"/>
  <c r="G513" i="30"/>
  <c r="AM518" i="27"/>
  <c r="AS517" i="27"/>
  <c r="AX502" i="27"/>
  <c r="B516" i="27"/>
  <c r="AU515" i="27"/>
  <c r="BL502" i="27"/>
  <c r="BE504" i="27"/>
  <c r="F501" i="30"/>
  <c r="BB503" i="27"/>
  <c r="BC503" i="27"/>
  <c r="BL503" i="27" s="1"/>
  <c r="E500" i="30"/>
  <c r="B510" i="30"/>
  <c r="AQ503" i="27"/>
  <c r="AR503" i="27" s="1"/>
  <c r="AY503" i="27" s="1"/>
  <c r="AG505" i="27"/>
  <c r="BI502" i="27"/>
  <c r="BH502" i="27"/>
  <c r="U504" i="27"/>
  <c r="AE504" i="27"/>
  <c r="AF504" i="27" s="1"/>
  <c r="AZ504" i="27" s="1"/>
  <c r="AD505" i="27"/>
  <c r="AC505" i="27"/>
  <c r="BD503" i="27"/>
  <c r="BG503" i="27" s="1"/>
  <c r="AO504" i="27"/>
  <c r="AP504" i="27"/>
  <c r="D502" i="30"/>
  <c r="I502" i="30" s="1"/>
  <c r="R504" i="27"/>
  <c r="Q504" i="27"/>
  <c r="S504" i="27" s="1"/>
  <c r="T504" i="27" s="1"/>
  <c r="BA504" i="27" s="1"/>
  <c r="S503" i="27"/>
  <c r="T503" i="27" s="1"/>
  <c r="BA503" i="27" s="1"/>
  <c r="BJ501" i="27"/>
  <c r="BK501" i="27" s="1"/>
  <c r="AT501" i="27" s="1"/>
  <c r="H498" i="30" s="1"/>
  <c r="AM519" i="27" l="1"/>
  <c r="AS518" i="27"/>
  <c r="G514" i="30"/>
  <c r="BF517" i="27"/>
  <c r="B517" i="27"/>
  <c r="AU516" i="27"/>
  <c r="AX503" i="27"/>
  <c r="BE505" i="27"/>
  <c r="F502" i="30"/>
  <c r="BC504" i="27"/>
  <c r="BB504" i="27"/>
  <c r="E501" i="30"/>
  <c r="B511" i="30"/>
  <c r="BJ502" i="27"/>
  <c r="BK502" i="27" s="1"/>
  <c r="AT502" i="27" s="1"/>
  <c r="H499" i="30" s="1"/>
  <c r="AQ504" i="27"/>
  <c r="AR504" i="27" s="1"/>
  <c r="AY504" i="27" s="1"/>
  <c r="AX504" i="27" s="1"/>
  <c r="AE505" i="27"/>
  <c r="AF505" i="27" s="1"/>
  <c r="AZ505" i="27" s="1"/>
  <c r="AG506" i="27"/>
  <c r="AO505" i="27"/>
  <c r="AP505" i="27"/>
  <c r="BI503" i="27"/>
  <c r="BH503" i="27"/>
  <c r="Q505" i="27"/>
  <c r="R505" i="27"/>
  <c r="AD506" i="27"/>
  <c r="AC506" i="27"/>
  <c r="BD504" i="27"/>
  <c r="BG504" i="27" s="1"/>
  <c r="U505" i="27"/>
  <c r="D503" i="30"/>
  <c r="I503" i="30" s="1"/>
  <c r="BF518" i="27" l="1"/>
  <c r="G515" i="30"/>
  <c r="AM520" i="27"/>
  <c r="AS519" i="27"/>
  <c r="B518" i="27"/>
  <c r="AU517" i="27"/>
  <c r="BL504" i="27"/>
  <c r="BE506" i="27"/>
  <c r="F503" i="30"/>
  <c r="BC505" i="27"/>
  <c r="BB505" i="27"/>
  <c r="E502" i="30"/>
  <c r="B512" i="30"/>
  <c r="AE506" i="27"/>
  <c r="AF506" i="27" s="1"/>
  <c r="AZ506" i="27" s="1"/>
  <c r="AG507" i="27"/>
  <c r="AD507" i="27"/>
  <c r="AC507" i="27"/>
  <c r="U506" i="27"/>
  <c r="BJ503" i="27"/>
  <c r="BK503" i="27" s="1"/>
  <c r="AT503" i="27" s="1"/>
  <c r="H500" i="30" s="1"/>
  <c r="BI504" i="27"/>
  <c r="BH504" i="27"/>
  <c r="S505" i="27"/>
  <c r="T505" i="27" s="1"/>
  <c r="BA505" i="27" s="1"/>
  <c r="AP506" i="27"/>
  <c r="AO506" i="27"/>
  <c r="Q506" i="27"/>
  <c r="R506" i="27"/>
  <c r="D504" i="30"/>
  <c r="I504" i="30" s="1"/>
  <c r="BD505" i="27"/>
  <c r="BG505" i="27" s="1"/>
  <c r="AQ505" i="27"/>
  <c r="AR505" i="27" s="1"/>
  <c r="AY505" i="27" s="1"/>
  <c r="G516" i="30" l="1"/>
  <c r="BF519" i="27"/>
  <c r="AM521" i="27"/>
  <c r="AS520" i="27"/>
  <c r="AE507" i="27"/>
  <c r="AF507" i="27" s="1"/>
  <c r="AZ507" i="27" s="1"/>
  <c r="B519" i="27"/>
  <c r="AU518" i="27"/>
  <c r="BL505" i="27"/>
  <c r="BE507" i="27"/>
  <c r="F504" i="30"/>
  <c r="BC506" i="27"/>
  <c r="BB506" i="27"/>
  <c r="E503" i="30"/>
  <c r="B513" i="30"/>
  <c r="BJ504" i="27"/>
  <c r="BK504" i="27" s="1"/>
  <c r="AT504" i="27" s="1"/>
  <c r="H501" i="30" s="1"/>
  <c r="AD509" i="27"/>
  <c r="AC509" i="27"/>
  <c r="AG508" i="27"/>
  <c r="AQ506" i="27"/>
  <c r="AR506" i="27" s="1"/>
  <c r="AY506" i="27" s="1"/>
  <c r="S506" i="27"/>
  <c r="T506" i="27" s="1"/>
  <c r="BA506" i="27" s="1"/>
  <c r="R507" i="27"/>
  <c r="Q507" i="27"/>
  <c r="BD506" i="27"/>
  <c r="BG506" i="27" s="1"/>
  <c r="AX505" i="27"/>
  <c r="AD508" i="27"/>
  <c r="AC508" i="27"/>
  <c r="U507" i="27"/>
  <c r="AP507" i="27"/>
  <c r="AO507" i="27"/>
  <c r="BI505" i="27"/>
  <c r="BH505" i="27"/>
  <c r="BF520" i="27" l="1"/>
  <c r="G517" i="30"/>
  <c r="AM522" i="27"/>
  <c r="AS521" i="27"/>
  <c r="B520" i="27"/>
  <c r="AU519" i="27"/>
  <c r="BL506" i="27"/>
  <c r="AE509" i="27"/>
  <c r="AX506" i="27"/>
  <c r="BE508" i="27"/>
  <c r="F505" i="30"/>
  <c r="B514" i="30"/>
  <c r="BB507" i="27"/>
  <c r="BC507" i="27"/>
  <c r="E504" i="30"/>
  <c r="D506" i="30"/>
  <c r="I506" i="30" s="1"/>
  <c r="D505" i="30"/>
  <c r="I505" i="30" s="1"/>
  <c r="AE508" i="27"/>
  <c r="AF508" i="27" s="1"/>
  <c r="AZ508" i="27" s="1"/>
  <c r="BJ505" i="27"/>
  <c r="BK505" i="27" s="1"/>
  <c r="AT505" i="27" s="1"/>
  <c r="Q509" i="27"/>
  <c r="R509" i="27"/>
  <c r="AG509" i="27"/>
  <c r="AF509" i="27"/>
  <c r="AZ509" i="27" s="1"/>
  <c r="AO509" i="27"/>
  <c r="AP509" i="27"/>
  <c r="U509" i="27"/>
  <c r="AC510" i="27"/>
  <c r="AD510" i="27"/>
  <c r="AQ507" i="27"/>
  <c r="AR507" i="27" s="1"/>
  <c r="AY507" i="27" s="1"/>
  <c r="S507" i="27"/>
  <c r="T507" i="27" s="1"/>
  <c r="BA507" i="27" s="1"/>
  <c r="AP508" i="27"/>
  <c r="AO508" i="27"/>
  <c r="U508" i="27"/>
  <c r="R508" i="27"/>
  <c r="Q508" i="27"/>
  <c r="BD507" i="27"/>
  <c r="BG507" i="27" s="1"/>
  <c r="BI506" i="27"/>
  <c r="BH506" i="27"/>
  <c r="BF521" i="27" l="1"/>
  <c r="G518" i="30"/>
  <c r="AM523" i="27"/>
  <c r="AS522" i="27"/>
  <c r="B521" i="27"/>
  <c r="AU520" i="27"/>
  <c r="BL507" i="27"/>
  <c r="H502" i="30"/>
  <c r="BJ506" i="27"/>
  <c r="BK506" i="27" s="1"/>
  <c r="AT506" i="27" s="1"/>
  <c r="H503" i="30" s="1"/>
  <c r="AX507" i="27"/>
  <c r="AQ509" i="27"/>
  <c r="AR509" i="27" s="1"/>
  <c r="AY509" i="27" s="1"/>
  <c r="BE509" i="27"/>
  <c r="F506" i="30"/>
  <c r="AE510" i="27"/>
  <c r="AF510" i="27" s="1"/>
  <c r="AZ510" i="27" s="1"/>
  <c r="BB508" i="27"/>
  <c r="BC508" i="27"/>
  <c r="BL508" i="27" s="1"/>
  <c r="E505" i="30"/>
  <c r="D507" i="30"/>
  <c r="I507" i="30" s="1"/>
  <c r="BC509" i="27"/>
  <c r="BB509" i="27"/>
  <c r="E506" i="30"/>
  <c r="B515" i="30"/>
  <c r="S508" i="27"/>
  <c r="T508" i="27" s="1"/>
  <c r="BA508" i="27" s="1"/>
  <c r="U510" i="27"/>
  <c r="AO510" i="27"/>
  <c r="AP510" i="27"/>
  <c r="BD509" i="27"/>
  <c r="AD511" i="27"/>
  <c r="AC511" i="27"/>
  <c r="AG510" i="27"/>
  <c r="R510" i="27"/>
  <c r="Q510" i="27"/>
  <c r="S510" i="27" s="1"/>
  <c r="T510" i="27" s="1"/>
  <c r="BA510" i="27" s="1"/>
  <c r="S509" i="27"/>
  <c r="T509" i="27" s="1"/>
  <c r="BA509" i="27" s="1"/>
  <c r="D508" i="30"/>
  <c r="I508" i="30" s="1"/>
  <c r="BD508" i="27"/>
  <c r="BG508" i="27" s="1"/>
  <c r="AQ508" i="27"/>
  <c r="AR508" i="27" s="1"/>
  <c r="AY508" i="27" s="1"/>
  <c r="BH507" i="27"/>
  <c r="BI507" i="27"/>
  <c r="BF522" i="27" l="1"/>
  <c r="G519" i="30"/>
  <c r="AM524" i="27"/>
  <c r="AS523" i="27"/>
  <c r="B522" i="27"/>
  <c r="AU521" i="27"/>
  <c r="AX509" i="27"/>
  <c r="BL509" i="27"/>
  <c r="BG509" i="27"/>
  <c r="BI509" i="27" s="1"/>
  <c r="BE510" i="27"/>
  <c r="F507" i="30"/>
  <c r="AE511" i="27"/>
  <c r="AF511" i="27" s="1"/>
  <c r="AZ511" i="27" s="1"/>
  <c r="B516" i="30"/>
  <c r="BB510" i="27"/>
  <c r="BC510" i="27"/>
  <c r="E507" i="30"/>
  <c r="AX508" i="27"/>
  <c r="AD512" i="27"/>
  <c r="AC512" i="27"/>
  <c r="AG511" i="27"/>
  <c r="AO511" i="27"/>
  <c r="AP511" i="27"/>
  <c r="Q511" i="27"/>
  <c r="R511" i="27"/>
  <c r="AQ510" i="27"/>
  <c r="AR510" i="27" s="1"/>
  <c r="AY510" i="27" s="1"/>
  <c r="AX510" i="27" s="1"/>
  <c r="U511" i="27"/>
  <c r="BD510" i="27"/>
  <c r="D509" i="30"/>
  <c r="I509" i="30" s="1"/>
  <c r="BI508" i="27"/>
  <c r="BH508" i="27"/>
  <c r="BJ507" i="27"/>
  <c r="BK507" i="27" s="1"/>
  <c r="AT507" i="27" s="1"/>
  <c r="BF523" i="27" l="1"/>
  <c r="G520" i="30"/>
  <c r="AM525" i="27"/>
  <c r="AS524" i="27"/>
  <c r="B523" i="27"/>
  <c r="AU522" i="27"/>
  <c r="BL510" i="27"/>
  <c r="AE512" i="27"/>
  <c r="AF512" i="27" s="1"/>
  <c r="AZ512" i="27" s="1"/>
  <c r="BG510" i="27"/>
  <c r="BH510" i="27" s="1"/>
  <c r="H504" i="30"/>
  <c r="BH509" i="27"/>
  <c r="BJ509" i="27" s="1"/>
  <c r="BK509" i="27" s="1"/>
  <c r="AT509" i="27" s="1"/>
  <c r="H506" i="30" s="1"/>
  <c r="AQ511" i="27"/>
  <c r="AR511" i="27" s="1"/>
  <c r="AY511" i="27" s="1"/>
  <c r="BE511" i="27"/>
  <c r="F508" i="30"/>
  <c r="BB511" i="27"/>
  <c r="BC511" i="27"/>
  <c r="E508" i="30"/>
  <c r="B517" i="30"/>
  <c r="U512" i="27"/>
  <c r="AO512" i="27"/>
  <c r="AP512" i="27"/>
  <c r="BD511" i="27"/>
  <c r="R512" i="27"/>
  <c r="Q512" i="27"/>
  <c r="AG512" i="27"/>
  <c r="AD513" i="27"/>
  <c r="AC513" i="27"/>
  <c r="S511" i="27"/>
  <c r="T511" i="27" s="1"/>
  <c r="BA511" i="27" s="1"/>
  <c r="D510" i="30"/>
  <c r="I510" i="30" s="1"/>
  <c r="BJ508" i="27"/>
  <c r="BK508" i="27" s="1"/>
  <c r="AT508" i="27" s="1"/>
  <c r="H505" i="30" s="1"/>
  <c r="AM526" i="27" l="1"/>
  <c r="AS525" i="27"/>
  <c r="BF524" i="27"/>
  <c r="G521" i="30"/>
  <c r="BG511" i="27"/>
  <c r="BI510" i="27"/>
  <c r="BJ510" i="27" s="1"/>
  <c r="BK510" i="27" s="1"/>
  <c r="AT510" i="27" s="1"/>
  <c r="B524" i="27"/>
  <c r="AU523" i="27"/>
  <c r="BL511" i="27"/>
  <c r="AX511" i="27"/>
  <c r="AE513" i="27"/>
  <c r="AF513" i="27" s="1"/>
  <c r="AZ513" i="27" s="1"/>
  <c r="BE512" i="27"/>
  <c r="F509" i="30"/>
  <c r="BC512" i="27"/>
  <c r="BB512" i="27"/>
  <c r="E509" i="30"/>
  <c r="B518" i="30"/>
  <c r="S512" i="27"/>
  <c r="T512" i="27" s="1"/>
  <c r="BA512" i="27" s="1"/>
  <c r="AG513" i="27"/>
  <c r="AQ512" i="27"/>
  <c r="AR512" i="27" s="1"/>
  <c r="AY512" i="27" s="1"/>
  <c r="BH511" i="27"/>
  <c r="BI511" i="27"/>
  <c r="AP513" i="27"/>
  <c r="AO513" i="27"/>
  <c r="U513" i="27"/>
  <c r="BD512" i="27"/>
  <c r="BG512" i="27" s="1"/>
  <c r="AC514" i="27"/>
  <c r="AD514" i="27"/>
  <c r="Q513" i="27"/>
  <c r="R513" i="27"/>
  <c r="D511" i="30"/>
  <c r="I511" i="30" s="1"/>
  <c r="BF525" i="27" l="1"/>
  <c r="G522" i="30"/>
  <c r="AM527" i="27"/>
  <c r="AS526" i="27"/>
  <c r="B525" i="27"/>
  <c r="AU524" i="27"/>
  <c r="BL512" i="27"/>
  <c r="H507" i="30"/>
  <c r="AE514" i="27"/>
  <c r="AX512" i="27"/>
  <c r="AF514" i="27"/>
  <c r="AZ514" i="27" s="1"/>
  <c r="BE513" i="27"/>
  <c r="F510" i="30"/>
  <c r="BB513" i="27"/>
  <c r="BC513" i="27"/>
  <c r="BL513" i="27" s="1"/>
  <c r="E510" i="30"/>
  <c r="B519" i="30"/>
  <c r="AQ513" i="27"/>
  <c r="AR513" i="27" s="1"/>
  <c r="AY513" i="27" s="1"/>
  <c r="AD515" i="27"/>
  <c r="AC515" i="27"/>
  <c r="U514" i="27"/>
  <c r="AP514" i="27"/>
  <c r="AO514" i="27"/>
  <c r="BD513" i="27"/>
  <c r="BI512" i="27"/>
  <c r="BH512" i="27"/>
  <c r="BJ511" i="27"/>
  <c r="BK511" i="27" s="1"/>
  <c r="AT511" i="27" s="1"/>
  <c r="H508" i="30" s="1"/>
  <c r="Q514" i="27"/>
  <c r="R514" i="27"/>
  <c r="S513" i="27"/>
  <c r="T513" i="27" s="1"/>
  <c r="BA513" i="27" s="1"/>
  <c r="AG514" i="27"/>
  <c r="D512" i="30"/>
  <c r="I512" i="30" s="1"/>
  <c r="BF526" i="27" l="1"/>
  <c r="G523" i="30"/>
  <c r="AM528" i="27"/>
  <c r="AS527" i="27"/>
  <c r="B526" i="27"/>
  <c r="AU525" i="27"/>
  <c r="AE515" i="27"/>
  <c r="AF515" i="27" s="1"/>
  <c r="AZ515" i="27" s="1"/>
  <c r="BJ512" i="27"/>
  <c r="BK512" i="27" s="1"/>
  <c r="AT512" i="27" s="1"/>
  <c r="AQ514" i="27"/>
  <c r="AR514" i="27" s="1"/>
  <c r="AY514" i="27" s="1"/>
  <c r="BG513" i="27"/>
  <c r="BH513" i="27" s="1"/>
  <c r="AX513" i="27"/>
  <c r="BE514" i="27"/>
  <c r="F511" i="30"/>
  <c r="B520" i="30"/>
  <c r="BC514" i="27"/>
  <c r="BB514" i="27"/>
  <c r="E511" i="30"/>
  <c r="AO515" i="27"/>
  <c r="AP515" i="27"/>
  <c r="R515" i="27"/>
  <c r="Q515" i="27"/>
  <c r="S514" i="27"/>
  <c r="T514" i="27" s="1"/>
  <c r="BA514" i="27" s="1"/>
  <c r="U515" i="27"/>
  <c r="AC516" i="27"/>
  <c r="AD516" i="27"/>
  <c r="BD514" i="27"/>
  <c r="AG515" i="27"/>
  <c r="D513" i="30"/>
  <c r="I513" i="30" s="1"/>
  <c r="BF527" i="27" l="1"/>
  <c r="G524" i="30"/>
  <c r="AM529" i="27"/>
  <c r="AS528" i="27"/>
  <c r="B527" i="27"/>
  <c r="AU526" i="27"/>
  <c r="BL514" i="27"/>
  <c r="BG514" i="27"/>
  <c r="BI514" i="27" s="1"/>
  <c r="H509" i="30"/>
  <c r="AX514" i="27"/>
  <c r="BI513" i="27"/>
  <c r="BJ513" i="27" s="1"/>
  <c r="BK513" i="27" s="1"/>
  <c r="AT513" i="27" s="1"/>
  <c r="H510" i="30" s="1"/>
  <c r="BE515" i="27"/>
  <c r="F512" i="30"/>
  <c r="AE516" i="27"/>
  <c r="AF516" i="27" s="1"/>
  <c r="AZ516" i="27" s="1"/>
  <c r="BC515" i="27"/>
  <c r="BB515" i="27"/>
  <c r="E512" i="30"/>
  <c r="B521" i="30"/>
  <c r="S515" i="27"/>
  <c r="T515" i="27" s="1"/>
  <c r="BA515" i="27" s="1"/>
  <c r="AG516" i="27"/>
  <c r="AC517" i="27"/>
  <c r="AD517" i="27"/>
  <c r="BD515" i="27"/>
  <c r="AP516" i="27"/>
  <c r="AO516" i="27"/>
  <c r="U516" i="27"/>
  <c r="R516" i="27"/>
  <c r="Q516" i="27"/>
  <c r="AQ515" i="27"/>
  <c r="AR515" i="27" s="1"/>
  <c r="AY515" i="27" s="1"/>
  <c r="D514" i="30"/>
  <c r="I514" i="30" s="1"/>
  <c r="BH514" i="27" l="1"/>
  <c r="G525" i="30"/>
  <c r="BF528" i="27"/>
  <c r="AM530" i="27"/>
  <c r="AS529" i="27"/>
  <c r="B528" i="27"/>
  <c r="AU527" i="27"/>
  <c r="BL515" i="27"/>
  <c r="BG515" i="27"/>
  <c r="BH515" i="27" s="1"/>
  <c r="BE516" i="27"/>
  <c r="F513" i="30"/>
  <c r="B522" i="30"/>
  <c r="BC516" i="27"/>
  <c r="BB516" i="27"/>
  <c r="E513" i="30"/>
  <c r="AX515" i="27"/>
  <c r="BJ514" i="27"/>
  <c r="BK514" i="27" s="1"/>
  <c r="AT514" i="27" s="1"/>
  <c r="S516" i="27"/>
  <c r="T516" i="27" s="1"/>
  <c r="BA516" i="27" s="1"/>
  <c r="U517" i="27"/>
  <c r="R517" i="27"/>
  <c r="Q517" i="27"/>
  <c r="AQ516" i="27"/>
  <c r="AR516" i="27" s="1"/>
  <c r="AY516" i="27" s="1"/>
  <c r="AX516" i="27" s="1"/>
  <c r="AD518" i="27"/>
  <c r="AC518" i="27"/>
  <c r="AO517" i="27"/>
  <c r="AP517" i="27"/>
  <c r="AE517" i="27"/>
  <c r="AF517" i="27" s="1"/>
  <c r="AZ517" i="27" s="1"/>
  <c r="BD516" i="27"/>
  <c r="AG517" i="27"/>
  <c r="D515" i="30"/>
  <c r="I515" i="30" s="1"/>
  <c r="BF529" i="27" l="1"/>
  <c r="G526" i="30"/>
  <c r="AM531" i="27"/>
  <c r="AS530" i="27"/>
  <c r="B529" i="27"/>
  <c r="AU528" i="27"/>
  <c r="BG516" i="27"/>
  <c r="BH516" i="27" s="1"/>
  <c r="BI515" i="27"/>
  <c r="BJ515" i="27" s="1"/>
  <c r="BK515" i="27" s="1"/>
  <c r="AT515" i="27" s="1"/>
  <c r="H512" i="30" s="1"/>
  <c r="BL516" i="27"/>
  <c r="H511" i="30"/>
  <c r="S517" i="27"/>
  <c r="T517" i="27" s="1"/>
  <c r="BA517" i="27" s="1"/>
  <c r="BE517" i="27"/>
  <c r="F514" i="30"/>
  <c r="AE518" i="27"/>
  <c r="AF518" i="27" s="1"/>
  <c r="AZ518" i="27" s="1"/>
  <c r="BB517" i="27"/>
  <c r="BC517" i="27"/>
  <c r="E514" i="30"/>
  <c r="B523" i="30"/>
  <c r="AQ517" i="27"/>
  <c r="AR517" i="27" s="1"/>
  <c r="AY517" i="27" s="1"/>
  <c r="AP518" i="27"/>
  <c r="AO518" i="27"/>
  <c r="AQ518" i="27" s="1"/>
  <c r="AR518" i="27" s="1"/>
  <c r="AY518" i="27" s="1"/>
  <c r="AD519" i="27"/>
  <c r="AC519" i="27"/>
  <c r="BD517" i="27"/>
  <c r="BG517" i="27" s="1"/>
  <c r="AG518" i="27"/>
  <c r="Q518" i="27"/>
  <c r="R518" i="27"/>
  <c r="U518" i="27"/>
  <c r="D516" i="30"/>
  <c r="I516" i="30" s="1"/>
  <c r="BF530" i="27" l="1"/>
  <c r="G527" i="30"/>
  <c r="AM532" i="27"/>
  <c r="AS531" i="27"/>
  <c r="AX517" i="27"/>
  <c r="BI516" i="27"/>
  <c r="B530" i="27"/>
  <c r="AU529" i="27"/>
  <c r="BL517" i="27"/>
  <c r="AE519" i="27"/>
  <c r="AF519" i="27" s="1"/>
  <c r="AZ519" i="27" s="1"/>
  <c r="BE518" i="27"/>
  <c r="F515" i="30"/>
  <c r="BB518" i="27"/>
  <c r="BC518" i="27"/>
  <c r="BL518" i="27" s="1"/>
  <c r="E515" i="30"/>
  <c r="B524" i="30"/>
  <c r="AO519" i="27"/>
  <c r="AP519" i="27"/>
  <c r="BD518" i="27"/>
  <c r="R519" i="27"/>
  <c r="Q519" i="27"/>
  <c r="AG519" i="27"/>
  <c r="U519" i="27"/>
  <c r="BJ516" i="27"/>
  <c r="BK516" i="27" s="1"/>
  <c r="AT516" i="27" s="1"/>
  <c r="H513" i="30" s="1"/>
  <c r="BH517" i="27"/>
  <c r="BI517" i="27"/>
  <c r="AC520" i="27"/>
  <c r="AD520" i="27"/>
  <c r="S518" i="27"/>
  <c r="T518" i="27" s="1"/>
  <c r="BA518" i="27" s="1"/>
  <c r="AX518" i="27" s="1"/>
  <c r="D517" i="30"/>
  <c r="I517" i="30" s="1"/>
  <c r="BF531" i="27" l="1"/>
  <c r="G528" i="30"/>
  <c r="AM533" i="27"/>
  <c r="AS532" i="27"/>
  <c r="BG518" i="27"/>
  <c r="BI518" i="27" s="1"/>
  <c r="B531" i="27"/>
  <c r="AU530" i="27"/>
  <c r="AE520" i="27"/>
  <c r="AF520" i="27" s="1"/>
  <c r="AZ520" i="27" s="1"/>
  <c r="BE519" i="27"/>
  <c r="F516" i="30"/>
  <c r="B525" i="30"/>
  <c r="BB519" i="27"/>
  <c r="BC519" i="27"/>
  <c r="BL519" i="27" s="1"/>
  <c r="E516" i="30"/>
  <c r="BD519" i="27"/>
  <c r="BG519" i="27" s="1"/>
  <c r="AG520" i="27"/>
  <c r="BJ517" i="27"/>
  <c r="BK517" i="27" s="1"/>
  <c r="AT517" i="27" s="1"/>
  <c r="H514" i="30" s="1"/>
  <c r="S519" i="27"/>
  <c r="T519" i="27" s="1"/>
  <c r="BA519" i="27" s="1"/>
  <c r="R520" i="27"/>
  <c r="Q520" i="27"/>
  <c r="AP520" i="27"/>
  <c r="AO520" i="27"/>
  <c r="AQ519" i="27"/>
  <c r="AR519" i="27" s="1"/>
  <c r="AY519" i="27" s="1"/>
  <c r="U520" i="27"/>
  <c r="AC521" i="27"/>
  <c r="AD521" i="27"/>
  <c r="D518" i="30"/>
  <c r="I518" i="30" s="1"/>
  <c r="BF532" i="27" l="1"/>
  <c r="G529" i="30"/>
  <c r="BH518" i="27"/>
  <c r="AM534" i="27"/>
  <c r="AS533" i="27"/>
  <c r="B532" i="27"/>
  <c r="AU531" i="27"/>
  <c r="AQ520" i="27"/>
  <c r="AR520" i="27" s="1"/>
  <c r="AY520" i="27" s="1"/>
  <c r="BE520" i="27"/>
  <c r="F517" i="30"/>
  <c r="AE521" i="27"/>
  <c r="AF521" i="27" s="1"/>
  <c r="AZ521" i="27" s="1"/>
  <c r="BC520" i="27"/>
  <c r="BB520" i="27"/>
  <c r="E517" i="30"/>
  <c r="AX519" i="27"/>
  <c r="B526" i="30"/>
  <c r="BD520" i="27"/>
  <c r="BG520" i="27" s="1"/>
  <c r="AP521" i="27"/>
  <c r="AO521" i="27"/>
  <c r="S520" i="27"/>
  <c r="T520" i="27" s="1"/>
  <c r="BA520" i="27" s="1"/>
  <c r="AG521" i="27"/>
  <c r="BJ518" i="27"/>
  <c r="BK518" i="27" s="1"/>
  <c r="AT518" i="27" s="1"/>
  <c r="H515" i="30" s="1"/>
  <c r="AD522" i="27"/>
  <c r="AC522" i="27"/>
  <c r="U521" i="27"/>
  <c r="R521" i="27"/>
  <c r="Q521" i="27"/>
  <c r="BI519" i="27"/>
  <c r="BH519" i="27"/>
  <c r="D519" i="30"/>
  <c r="I519" i="30" s="1"/>
  <c r="AX520" i="27" l="1"/>
  <c r="BF533" i="27"/>
  <c r="G530" i="30"/>
  <c r="AM535" i="27"/>
  <c r="AS534" i="27"/>
  <c r="B533" i="27"/>
  <c r="AU532" i="27"/>
  <c r="BL520" i="27"/>
  <c r="BJ519" i="27"/>
  <c r="BK519" i="27" s="1"/>
  <c r="AT519" i="27" s="1"/>
  <c r="H516" i="30" s="1"/>
  <c r="AQ521" i="27"/>
  <c r="AR521" i="27" s="1"/>
  <c r="AY521" i="27" s="1"/>
  <c r="BE521" i="27"/>
  <c r="F518" i="30"/>
  <c r="B527" i="30"/>
  <c r="BB521" i="27"/>
  <c r="BC521" i="27"/>
  <c r="BL521" i="27" s="1"/>
  <c r="E518" i="30"/>
  <c r="S521" i="27"/>
  <c r="T521" i="27" s="1"/>
  <c r="BA521" i="27" s="1"/>
  <c r="U522" i="27"/>
  <c r="BI520" i="27"/>
  <c r="BH520" i="27"/>
  <c r="BD521" i="27"/>
  <c r="AG522" i="27"/>
  <c r="Q522" i="27"/>
  <c r="R522" i="27"/>
  <c r="AE522" i="27"/>
  <c r="AF522" i="27" s="1"/>
  <c r="AZ522" i="27" s="1"/>
  <c r="AD523" i="27"/>
  <c r="AC523" i="27"/>
  <c r="AP522" i="27"/>
  <c r="AO522" i="27"/>
  <c r="D520" i="30"/>
  <c r="I520" i="30" s="1"/>
  <c r="BF534" i="27" l="1"/>
  <c r="G531" i="30"/>
  <c r="AM536" i="27"/>
  <c r="AS535" i="27"/>
  <c r="BG521" i="27"/>
  <c r="BI521" i="27" s="1"/>
  <c r="B534" i="27"/>
  <c r="AU533" i="27"/>
  <c r="AX521" i="27"/>
  <c r="BJ520" i="27"/>
  <c r="BK520" i="27" s="1"/>
  <c r="AT520" i="27" s="1"/>
  <c r="H517" i="30" s="1"/>
  <c r="AQ522" i="27"/>
  <c r="AR522" i="27" s="1"/>
  <c r="AY522" i="27" s="1"/>
  <c r="BE522" i="27"/>
  <c r="F519" i="30"/>
  <c r="BB522" i="27"/>
  <c r="BC522" i="27"/>
  <c r="E519" i="30"/>
  <c r="B528" i="30"/>
  <c r="S522" i="27"/>
  <c r="T522" i="27" s="1"/>
  <c r="BA522" i="27" s="1"/>
  <c r="AG523" i="27"/>
  <c r="AD524" i="27"/>
  <c r="AC524" i="27"/>
  <c r="Q523" i="27"/>
  <c r="R523" i="27"/>
  <c r="AE523" i="27"/>
  <c r="AF523" i="27" s="1"/>
  <c r="AZ523" i="27" s="1"/>
  <c r="U523" i="27"/>
  <c r="BD522" i="27"/>
  <c r="BG522" i="27" s="1"/>
  <c r="AO523" i="27"/>
  <c r="AP523" i="27"/>
  <c r="D521" i="30"/>
  <c r="I521" i="30" s="1"/>
  <c r="BH521" i="27" l="1"/>
  <c r="AM537" i="27"/>
  <c r="AS536" i="27"/>
  <c r="BF535" i="27"/>
  <c r="G532" i="30"/>
  <c r="B535" i="27"/>
  <c r="AU534" i="27"/>
  <c r="AX522" i="27"/>
  <c r="BL522" i="27"/>
  <c r="BJ521" i="27"/>
  <c r="BK521" i="27" s="1"/>
  <c r="AT521" i="27" s="1"/>
  <c r="H518" i="30" s="1"/>
  <c r="AE524" i="27"/>
  <c r="AF524" i="27" s="1"/>
  <c r="AZ524" i="27" s="1"/>
  <c r="BE523" i="27"/>
  <c r="F520" i="30"/>
  <c r="B529" i="30"/>
  <c r="BB523" i="27"/>
  <c r="BC523" i="27"/>
  <c r="E520" i="30"/>
  <c r="AQ523" i="27"/>
  <c r="AR523" i="27" s="1"/>
  <c r="AY523" i="27" s="1"/>
  <c r="U524" i="27"/>
  <c r="S523" i="27"/>
  <c r="T523" i="27" s="1"/>
  <c r="BA523" i="27" s="1"/>
  <c r="BI522" i="27"/>
  <c r="BH522" i="27"/>
  <c r="BD523" i="27"/>
  <c r="AD525" i="27"/>
  <c r="AC525" i="27"/>
  <c r="AO524" i="27"/>
  <c r="AP524" i="27"/>
  <c r="Q524" i="27"/>
  <c r="R524" i="27"/>
  <c r="AG524" i="27"/>
  <c r="D522" i="30"/>
  <c r="I522" i="30" s="1"/>
  <c r="BF536" i="27" l="1"/>
  <c r="G533" i="30"/>
  <c r="AM538" i="27"/>
  <c r="AS537" i="27"/>
  <c r="BG523" i="27"/>
  <c r="BI523" i="27" s="1"/>
  <c r="B536" i="27"/>
  <c r="AU535" i="27"/>
  <c r="BL523" i="27"/>
  <c r="BJ522" i="27"/>
  <c r="BK522" i="27" s="1"/>
  <c r="AT522" i="27" s="1"/>
  <c r="H519" i="30" s="1"/>
  <c r="AX523" i="27"/>
  <c r="AE525" i="27"/>
  <c r="AF525" i="27" s="1"/>
  <c r="AZ525" i="27" s="1"/>
  <c r="BE524" i="27"/>
  <c r="F521" i="30"/>
  <c r="BB524" i="27"/>
  <c r="BC524" i="27"/>
  <c r="BL524" i="27" s="1"/>
  <c r="E521" i="30"/>
  <c r="B530" i="30"/>
  <c r="AD526" i="27"/>
  <c r="AC526" i="27"/>
  <c r="S524" i="27"/>
  <c r="T524" i="27" s="1"/>
  <c r="BA524" i="27" s="1"/>
  <c r="U525" i="27"/>
  <c r="AG525" i="27"/>
  <c r="Q525" i="27"/>
  <c r="R525" i="27"/>
  <c r="AP525" i="27"/>
  <c r="AO525" i="27"/>
  <c r="AQ524" i="27"/>
  <c r="AR524" i="27" s="1"/>
  <c r="AY524" i="27" s="1"/>
  <c r="BD524" i="27"/>
  <c r="BH523" i="27"/>
  <c r="D523" i="30"/>
  <c r="I523" i="30" s="1"/>
  <c r="G534" i="30" l="1"/>
  <c r="BF537" i="27"/>
  <c r="AM539" i="27"/>
  <c r="AS538" i="27"/>
  <c r="B537" i="27"/>
  <c r="AU536" i="27"/>
  <c r="BG524" i="27"/>
  <c r="BI524" i="27" s="1"/>
  <c r="AQ525" i="27"/>
  <c r="AR525" i="27" s="1"/>
  <c r="AY525" i="27" s="1"/>
  <c r="AE526" i="27"/>
  <c r="AF526" i="27" s="1"/>
  <c r="AZ526" i="27" s="1"/>
  <c r="BE525" i="27"/>
  <c r="F522" i="30"/>
  <c r="BC525" i="27"/>
  <c r="BB525" i="27"/>
  <c r="E522" i="30"/>
  <c r="B531" i="30"/>
  <c r="AX524" i="27"/>
  <c r="BJ523" i="27"/>
  <c r="BK523" i="27" s="1"/>
  <c r="AT523" i="27" s="1"/>
  <c r="H520" i="30" s="1"/>
  <c r="AO526" i="27"/>
  <c r="AP526" i="27"/>
  <c r="S525" i="27"/>
  <c r="T525" i="27" s="1"/>
  <c r="BA525" i="27" s="1"/>
  <c r="AG526" i="27"/>
  <c r="AD527" i="27"/>
  <c r="AC527" i="27"/>
  <c r="U526" i="27"/>
  <c r="BD525" i="27"/>
  <c r="R526" i="27"/>
  <c r="Q526" i="27"/>
  <c r="D524" i="30"/>
  <c r="I524" i="30" s="1"/>
  <c r="AX525" i="27" l="1"/>
  <c r="BF538" i="27"/>
  <c r="G535" i="30"/>
  <c r="AM540" i="27"/>
  <c r="AS539" i="27"/>
  <c r="BH524" i="27"/>
  <c r="B538" i="27"/>
  <c r="AU537" i="27"/>
  <c r="BG525" i="27"/>
  <c r="BI525" i="27" s="1"/>
  <c r="BL525" i="27"/>
  <c r="BJ524" i="27"/>
  <c r="BK524" i="27" s="1"/>
  <c r="AT524" i="27" s="1"/>
  <c r="H521" i="30" s="1"/>
  <c r="BE526" i="27"/>
  <c r="F523" i="30"/>
  <c r="B532" i="30"/>
  <c r="BC526" i="27"/>
  <c r="BB526" i="27"/>
  <c r="E523" i="30"/>
  <c r="AE527" i="27"/>
  <c r="AF527" i="27" s="1"/>
  <c r="AZ527" i="27" s="1"/>
  <c r="AO527" i="27"/>
  <c r="AP527" i="27"/>
  <c r="BD526" i="27"/>
  <c r="S526" i="27"/>
  <c r="T526" i="27" s="1"/>
  <c r="BA526" i="27" s="1"/>
  <c r="BH525" i="27"/>
  <c r="U527" i="27"/>
  <c r="AC528" i="27"/>
  <c r="AD528" i="27"/>
  <c r="AG527" i="27"/>
  <c r="AQ526" i="27"/>
  <c r="AR526" i="27" s="1"/>
  <c r="AY526" i="27" s="1"/>
  <c r="R527" i="27"/>
  <c r="Q527" i="27"/>
  <c r="D525" i="30"/>
  <c r="I525" i="30" s="1"/>
  <c r="BF539" i="27" l="1"/>
  <c r="G536" i="30"/>
  <c r="AM541" i="27"/>
  <c r="AS540" i="27"/>
  <c r="BG526" i="27"/>
  <c r="BI526" i="27" s="1"/>
  <c r="B539" i="27"/>
  <c r="AU538" i="27"/>
  <c r="BL526" i="27"/>
  <c r="BE527" i="27"/>
  <c r="F524" i="30"/>
  <c r="AE528" i="27"/>
  <c r="AF528" i="27" s="1"/>
  <c r="AZ528" i="27" s="1"/>
  <c r="BB527" i="27"/>
  <c r="BC527" i="27"/>
  <c r="BL527" i="27" s="1"/>
  <c r="E524" i="30"/>
  <c r="AX526" i="27"/>
  <c r="S527" i="27"/>
  <c r="T527" i="27" s="1"/>
  <c r="BA527" i="27" s="1"/>
  <c r="B533" i="30"/>
  <c r="AD529" i="27"/>
  <c r="AC529" i="27"/>
  <c r="BJ525" i="27"/>
  <c r="BK525" i="27" s="1"/>
  <c r="AT525" i="27" s="1"/>
  <c r="H522" i="30" s="1"/>
  <c r="U528" i="27"/>
  <c r="AG528" i="27"/>
  <c r="BD527" i="27"/>
  <c r="BG527" i="27" s="1"/>
  <c r="BH526" i="27"/>
  <c r="AQ527" i="27"/>
  <c r="AR527" i="27" s="1"/>
  <c r="AY527" i="27" s="1"/>
  <c r="R528" i="27"/>
  <c r="Q528" i="27"/>
  <c r="AP528" i="27"/>
  <c r="AO528" i="27"/>
  <c r="D526" i="30"/>
  <c r="I526" i="30" s="1"/>
  <c r="BF540" i="27" l="1"/>
  <c r="G537" i="30"/>
  <c r="AM542" i="27"/>
  <c r="AS541" i="27"/>
  <c r="B540" i="27"/>
  <c r="AU539" i="27"/>
  <c r="AE529" i="27"/>
  <c r="BE528" i="27"/>
  <c r="F525" i="30"/>
  <c r="B534" i="30"/>
  <c r="BB528" i="27"/>
  <c r="BC528" i="27"/>
  <c r="BL528" i="27" s="1"/>
  <c r="E525" i="30"/>
  <c r="AX527" i="27"/>
  <c r="BJ526" i="27"/>
  <c r="BK526" i="27" s="1"/>
  <c r="AT526" i="27" s="1"/>
  <c r="H523" i="30" s="1"/>
  <c r="S528" i="27"/>
  <c r="T528" i="27" s="1"/>
  <c r="BA528" i="27" s="1"/>
  <c r="BD528" i="27"/>
  <c r="AP529" i="27"/>
  <c r="AO529" i="27"/>
  <c r="Q529" i="27"/>
  <c r="R529" i="27"/>
  <c r="BI527" i="27"/>
  <c r="BH527" i="27"/>
  <c r="AG529" i="27"/>
  <c r="AF529" i="27"/>
  <c r="AZ529" i="27" s="1"/>
  <c r="AD530" i="27"/>
  <c r="AC530" i="27"/>
  <c r="U529" i="27"/>
  <c r="AQ528" i="27"/>
  <c r="AR528" i="27" s="1"/>
  <c r="AY528" i="27" s="1"/>
  <c r="D527" i="30"/>
  <c r="I527" i="30" s="1"/>
  <c r="BF541" i="27" l="1"/>
  <c r="G538" i="30"/>
  <c r="AM543" i="27"/>
  <c r="AS542" i="27"/>
  <c r="BG528" i="27"/>
  <c r="BH528" i="27" s="1"/>
  <c r="B541" i="27"/>
  <c r="AU540" i="27"/>
  <c r="AQ529" i="27"/>
  <c r="AR529" i="27" s="1"/>
  <c r="AY529" i="27" s="1"/>
  <c r="BJ527" i="27"/>
  <c r="BK527" i="27" s="1"/>
  <c r="AT527" i="27" s="1"/>
  <c r="H524" i="30" s="1"/>
  <c r="BE529" i="27"/>
  <c r="F526" i="30"/>
  <c r="AX528" i="27"/>
  <c r="BC529" i="27"/>
  <c r="BB529" i="27"/>
  <c r="E526" i="30"/>
  <c r="B535" i="30"/>
  <c r="AE530" i="27"/>
  <c r="AF530" i="27" s="1"/>
  <c r="AZ530" i="27" s="1"/>
  <c r="BD529" i="27"/>
  <c r="AD531" i="27"/>
  <c r="AC531" i="27"/>
  <c r="AG530" i="27"/>
  <c r="AP530" i="27"/>
  <c r="AO530" i="27"/>
  <c r="U530" i="27"/>
  <c r="S529" i="27"/>
  <c r="T529" i="27" s="1"/>
  <c r="BA529" i="27" s="1"/>
  <c r="Q530" i="27"/>
  <c r="R530" i="27"/>
  <c r="D528" i="30"/>
  <c r="I528" i="30" s="1"/>
  <c r="BI528" i="27" l="1"/>
  <c r="BF542" i="27"/>
  <c r="G539" i="30"/>
  <c r="AM544" i="27"/>
  <c r="AS543" i="27"/>
  <c r="AX529" i="27"/>
  <c r="B542" i="27"/>
  <c r="AU541" i="27"/>
  <c r="BL529" i="27"/>
  <c r="BG529" i="27"/>
  <c r="BH529" i="27" s="1"/>
  <c r="AE531" i="27"/>
  <c r="AF531" i="27" s="1"/>
  <c r="AZ531" i="27" s="1"/>
  <c r="BE530" i="27"/>
  <c r="F527" i="30"/>
  <c r="B536" i="30"/>
  <c r="BB530" i="27"/>
  <c r="BC530" i="27"/>
  <c r="BL530" i="27" s="1"/>
  <c r="E527" i="30"/>
  <c r="BJ528" i="27"/>
  <c r="BK528" i="27" s="1"/>
  <c r="AT528" i="27" s="1"/>
  <c r="H525" i="30" s="1"/>
  <c r="S530" i="27"/>
  <c r="T530" i="27" s="1"/>
  <c r="BA530" i="27" s="1"/>
  <c r="BD530" i="27"/>
  <c r="R531" i="27"/>
  <c r="Q531" i="27"/>
  <c r="AG531" i="27"/>
  <c r="AQ530" i="27"/>
  <c r="AR530" i="27" s="1"/>
  <c r="AY530" i="27" s="1"/>
  <c r="AO531" i="27"/>
  <c r="AP531" i="27"/>
  <c r="AD532" i="27"/>
  <c r="AC532" i="27"/>
  <c r="U531" i="27"/>
  <c r="D529" i="30"/>
  <c r="I529" i="30" s="1"/>
  <c r="BF543" i="27" l="1"/>
  <c r="G540" i="30"/>
  <c r="AM545" i="27"/>
  <c r="AS544" i="27"/>
  <c r="BG530" i="27"/>
  <c r="BI530" i="27" s="1"/>
  <c r="B543" i="27"/>
  <c r="AU542" i="27"/>
  <c r="BI529" i="27"/>
  <c r="BJ529" i="27" s="1"/>
  <c r="BK529" i="27" s="1"/>
  <c r="AT529" i="27" s="1"/>
  <c r="H526" i="30" s="1"/>
  <c r="AE532" i="27"/>
  <c r="AF532" i="27" s="1"/>
  <c r="AZ532" i="27" s="1"/>
  <c r="AX530" i="27"/>
  <c r="S531" i="27"/>
  <c r="T531" i="27" s="1"/>
  <c r="BA531" i="27" s="1"/>
  <c r="BE531" i="27"/>
  <c r="F528" i="30"/>
  <c r="BB531" i="27"/>
  <c r="BC531" i="27"/>
  <c r="BL531" i="27" s="1"/>
  <c r="E528" i="30"/>
  <c r="B537" i="30"/>
  <c r="AQ531" i="27"/>
  <c r="AR531" i="27" s="1"/>
  <c r="AY531" i="27" s="1"/>
  <c r="R532" i="27"/>
  <c r="Q532" i="27"/>
  <c r="BD531" i="27"/>
  <c r="U532" i="27"/>
  <c r="AG532" i="27"/>
  <c r="AC533" i="27"/>
  <c r="AD533" i="27"/>
  <c r="AP532" i="27"/>
  <c r="AO532" i="27"/>
  <c r="D530" i="30"/>
  <c r="I530" i="30" s="1"/>
  <c r="BF544" i="27" l="1"/>
  <c r="G541" i="30"/>
  <c r="AM546" i="27"/>
  <c r="AS545" i="27"/>
  <c r="BH530" i="27"/>
  <c r="BG531" i="27"/>
  <c r="BH531" i="27" s="1"/>
  <c r="AX531" i="27"/>
  <c r="B544" i="27"/>
  <c r="AU543" i="27"/>
  <c r="AE533" i="27"/>
  <c r="AF533" i="27" s="1"/>
  <c r="AZ533" i="27" s="1"/>
  <c r="S532" i="27"/>
  <c r="T532" i="27" s="1"/>
  <c r="BA532" i="27" s="1"/>
  <c r="BE532" i="27"/>
  <c r="F529" i="30"/>
  <c r="BB532" i="27"/>
  <c r="BC532" i="27"/>
  <c r="BL532" i="27" s="1"/>
  <c r="E529" i="30"/>
  <c r="B538" i="30"/>
  <c r="BJ530" i="27"/>
  <c r="BK530" i="27" s="1"/>
  <c r="AT530" i="27" s="1"/>
  <c r="H527" i="30" s="1"/>
  <c r="AD534" i="27"/>
  <c r="AC534" i="27"/>
  <c r="BD532" i="27"/>
  <c r="AG533" i="27"/>
  <c r="U533" i="27"/>
  <c r="BI531" i="27"/>
  <c r="Q533" i="27"/>
  <c r="R533" i="27"/>
  <c r="AO533" i="27"/>
  <c r="AP533" i="27"/>
  <c r="AQ532" i="27"/>
  <c r="AR532" i="27" s="1"/>
  <c r="AY532" i="27" s="1"/>
  <c r="AX532" i="27" s="1"/>
  <c r="D531" i="30"/>
  <c r="I531" i="30" s="1"/>
  <c r="BF545" i="27" l="1"/>
  <c r="G542" i="30"/>
  <c r="AM547" i="27"/>
  <c r="AS546" i="27"/>
  <c r="BG532" i="27"/>
  <c r="BI532" i="27" s="1"/>
  <c r="B545" i="27"/>
  <c r="AU544" i="27"/>
  <c r="AE534" i="27"/>
  <c r="BE533" i="27"/>
  <c r="F530" i="30"/>
  <c r="B539" i="30"/>
  <c r="BB533" i="27"/>
  <c r="BC533" i="27"/>
  <c r="BL533" i="27" s="1"/>
  <c r="E530" i="30"/>
  <c r="AQ533" i="27"/>
  <c r="AR533" i="27" s="1"/>
  <c r="AY533" i="27" s="1"/>
  <c r="BJ531" i="27"/>
  <c r="BK531" i="27" s="1"/>
  <c r="AT531" i="27" s="1"/>
  <c r="H528" i="30" s="1"/>
  <c r="S533" i="27"/>
  <c r="T533" i="27" s="1"/>
  <c r="BA533" i="27" s="1"/>
  <c r="BD533" i="27"/>
  <c r="U534" i="27"/>
  <c r="AP534" i="27"/>
  <c r="AO534" i="27"/>
  <c r="R534" i="27"/>
  <c r="Q534" i="27"/>
  <c r="AF534" i="27"/>
  <c r="AZ534" i="27" s="1"/>
  <c r="AG534" i="27"/>
  <c r="AC535" i="27"/>
  <c r="AD535" i="27"/>
  <c r="D532" i="30"/>
  <c r="I532" i="30" s="1"/>
  <c r="G543" i="30" l="1"/>
  <c r="BF546" i="27"/>
  <c r="AM548" i="27"/>
  <c r="AS547" i="27"/>
  <c r="BH532" i="27"/>
  <c r="BG533" i="27"/>
  <c r="BI533" i="27" s="1"/>
  <c r="B546" i="27"/>
  <c r="AU545" i="27"/>
  <c r="AQ534" i="27"/>
  <c r="AR534" i="27" s="1"/>
  <c r="AY534" i="27" s="1"/>
  <c r="AX534" i="27" s="1"/>
  <c r="BJ532" i="27"/>
  <c r="BK532" i="27" s="1"/>
  <c r="AT532" i="27" s="1"/>
  <c r="H529" i="30" s="1"/>
  <c r="S534" i="27"/>
  <c r="T534" i="27" s="1"/>
  <c r="BA534" i="27" s="1"/>
  <c r="AE535" i="27"/>
  <c r="AF535" i="27" s="1"/>
  <c r="AZ535" i="27" s="1"/>
  <c r="BE534" i="27"/>
  <c r="F531" i="30"/>
  <c r="BB534" i="27"/>
  <c r="BC534" i="27"/>
  <c r="E531" i="30"/>
  <c r="AX533" i="27"/>
  <c r="B540" i="30"/>
  <c r="AC536" i="27"/>
  <c r="AD536" i="27"/>
  <c r="AG535" i="27"/>
  <c r="U535" i="27"/>
  <c r="Q535" i="27"/>
  <c r="R535" i="27"/>
  <c r="AP535" i="27"/>
  <c r="AO535" i="27"/>
  <c r="BD534" i="27"/>
  <c r="D533" i="30"/>
  <c r="I533" i="30" s="1"/>
  <c r="BH533" i="27" l="1"/>
  <c r="BF547" i="27"/>
  <c r="G544" i="30"/>
  <c r="AM549" i="27"/>
  <c r="AS548" i="27"/>
  <c r="B547" i="27"/>
  <c r="AU546" i="27"/>
  <c r="BL534" i="27"/>
  <c r="BG534" i="27"/>
  <c r="BH534" i="27" s="1"/>
  <c r="AQ535" i="27"/>
  <c r="AR535" i="27" s="1"/>
  <c r="AY535" i="27" s="1"/>
  <c r="BJ533" i="27"/>
  <c r="BK533" i="27" s="1"/>
  <c r="AT533" i="27" s="1"/>
  <c r="H530" i="30" s="1"/>
  <c r="BE535" i="27"/>
  <c r="F532" i="30"/>
  <c r="B541" i="30"/>
  <c r="BC535" i="27"/>
  <c r="BB535" i="27"/>
  <c r="E532" i="30"/>
  <c r="AP536" i="27"/>
  <c r="AO536" i="27"/>
  <c r="S535" i="27"/>
  <c r="T535" i="27" s="1"/>
  <c r="BA535" i="27" s="1"/>
  <c r="U536" i="27"/>
  <c r="R536" i="27"/>
  <c r="Q536" i="27"/>
  <c r="BD535" i="27"/>
  <c r="BG535" i="27" s="1"/>
  <c r="AC537" i="27"/>
  <c r="AD537" i="27"/>
  <c r="AG536" i="27"/>
  <c r="AE536" i="27"/>
  <c r="AF536" i="27" s="1"/>
  <c r="AZ536" i="27" s="1"/>
  <c r="D534" i="30"/>
  <c r="I534" i="30" s="1"/>
  <c r="BF548" i="27" l="1"/>
  <c r="G545" i="30"/>
  <c r="AM550" i="27"/>
  <c r="AS549" i="27"/>
  <c r="BI534" i="27"/>
  <c r="BJ534" i="27" s="1"/>
  <c r="BK534" i="27" s="1"/>
  <c r="AT534" i="27" s="1"/>
  <c r="H531" i="30" s="1"/>
  <c r="B548" i="27"/>
  <c r="AU547" i="27"/>
  <c r="AX535" i="27"/>
  <c r="BL535" i="27"/>
  <c r="AQ536" i="27"/>
  <c r="AR536" i="27" s="1"/>
  <c r="AY536" i="27" s="1"/>
  <c r="BE536" i="27"/>
  <c r="F533" i="30"/>
  <c r="BC536" i="27"/>
  <c r="BL536" i="27" s="1"/>
  <c r="BB536" i="27"/>
  <c r="E533" i="30"/>
  <c r="B542" i="30"/>
  <c r="AE537" i="27"/>
  <c r="AF537" i="27" s="1"/>
  <c r="AZ537" i="27" s="1"/>
  <c r="U537" i="27"/>
  <c r="BH535" i="27"/>
  <c r="BI535" i="27"/>
  <c r="BD536" i="27"/>
  <c r="AP537" i="27"/>
  <c r="AO537" i="27"/>
  <c r="AC538" i="27"/>
  <c r="AD538" i="27"/>
  <c r="S536" i="27"/>
  <c r="T536" i="27" s="1"/>
  <c r="BA536" i="27" s="1"/>
  <c r="Q537" i="27"/>
  <c r="R537" i="27"/>
  <c r="AG537" i="27"/>
  <c r="D535" i="30"/>
  <c r="I535" i="30" s="1"/>
  <c r="BF549" i="27" l="1"/>
  <c r="G546" i="30"/>
  <c r="AM551" i="27"/>
  <c r="AS550" i="27"/>
  <c r="BG536" i="27"/>
  <c r="BH536" i="27" s="1"/>
  <c r="B549" i="27"/>
  <c r="AU548" i="27"/>
  <c r="AX536" i="27"/>
  <c r="S537" i="27"/>
  <c r="T537" i="27" s="1"/>
  <c r="BA537" i="27" s="1"/>
  <c r="AQ537" i="27"/>
  <c r="AR537" i="27" s="1"/>
  <c r="AY537" i="27" s="1"/>
  <c r="BE537" i="27"/>
  <c r="F534" i="30"/>
  <c r="BB537" i="27"/>
  <c r="BC537" i="27"/>
  <c r="BL537" i="27" s="1"/>
  <c r="E534" i="30"/>
  <c r="B543" i="30"/>
  <c r="AE538" i="27"/>
  <c r="AF538" i="27" s="1"/>
  <c r="AZ538" i="27" s="1"/>
  <c r="AG538" i="27"/>
  <c r="AO538" i="27"/>
  <c r="AP538" i="27"/>
  <c r="Q538" i="27"/>
  <c r="R538" i="27"/>
  <c r="AD539" i="27"/>
  <c r="AC539" i="27"/>
  <c r="BD537" i="27"/>
  <c r="BJ535" i="27"/>
  <c r="BK535" i="27" s="1"/>
  <c r="AT535" i="27" s="1"/>
  <c r="H532" i="30" s="1"/>
  <c r="U538" i="27"/>
  <c r="D536" i="30"/>
  <c r="I536" i="30" s="1"/>
  <c r="BF550" i="27" l="1"/>
  <c r="G547" i="30"/>
  <c r="AM552" i="27"/>
  <c r="AS551" i="27"/>
  <c r="BI536" i="27"/>
  <c r="B550" i="27"/>
  <c r="AU549" i="27"/>
  <c r="AX537" i="27"/>
  <c r="BG537" i="27"/>
  <c r="BI537" i="27" s="1"/>
  <c r="AQ538" i="27"/>
  <c r="AR538" i="27" s="1"/>
  <c r="AY538" i="27" s="1"/>
  <c r="BE538" i="27"/>
  <c r="F535" i="30"/>
  <c r="AE539" i="27"/>
  <c r="AF539" i="27" s="1"/>
  <c r="AZ539" i="27" s="1"/>
  <c r="BB538" i="27"/>
  <c r="BC538" i="27"/>
  <c r="BL538" i="27" s="1"/>
  <c r="E535" i="30"/>
  <c r="B544" i="30"/>
  <c r="BJ536" i="27"/>
  <c r="BK536" i="27" s="1"/>
  <c r="AT536" i="27" s="1"/>
  <c r="H533" i="30" s="1"/>
  <c r="U539" i="27"/>
  <c r="AD540" i="27"/>
  <c r="AC540" i="27"/>
  <c r="S538" i="27"/>
  <c r="T538" i="27" s="1"/>
  <c r="BA538" i="27" s="1"/>
  <c r="AO539" i="27"/>
  <c r="AP539" i="27"/>
  <c r="BD538" i="27"/>
  <c r="AG539" i="27"/>
  <c r="R539" i="27"/>
  <c r="Q539" i="27"/>
  <c r="D537" i="30"/>
  <c r="I537" i="30" s="1"/>
  <c r="G548" i="30" l="1"/>
  <c r="BF551" i="27"/>
  <c r="AM553" i="27"/>
  <c r="AS552" i="27"/>
  <c r="BH537" i="27"/>
  <c r="BJ537" i="27" s="1"/>
  <c r="BK537" i="27" s="1"/>
  <c r="AT537" i="27" s="1"/>
  <c r="H534" i="30" s="1"/>
  <c r="B551" i="27"/>
  <c r="AU550" i="27"/>
  <c r="AX538" i="27"/>
  <c r="BG538" i="27"/>
  <c r="AQ539" i="27"/>
  <c r="AR539" i="27" s="1"/>
  <c r="AY539" i="27" s="1"/>
  <c r="BE539" i="27"/>
  <c r="F536" i="30"/>
  <c r="BC539" i="27"/>
  <c r="BB539" i="27"/>
  <c r="E536" i="30"/>
  <c r="B545" i="30"/>
  <c r="Q540" i="27"/>
  <c r="R540" i="27"/>
  <c r="AG540" i="27"/>
  <c r="BI538" i="27"/>
  <c r="BH538" i="27"/>
  <c r="AP540" i="27"/>
  <c r="AO540" i="27"/>
  <c r="AD541" i="27"/>
  <c r="AC541" i="27"/>
  <c r="BD539" i="27"/>
  <c r="U540" i="27"/>
  <c r="AE540" i="27"/>
  <c r="AF540" i="27" s="1"/>
  <c r="AZ540" i="27" s="1"/>
  <c r="S539" i="27"/>
  <c r="T539" i="27" s="1"/>
  <c r="BA539" i="27" s="1"/>
  <c r="D538" i="30"/>
  <c r="I538" i="30" s="1"/>
  <c r="BF552" i="27" l="1"/>
  <c r="G549" i="30"/>
  <c r="AM554" i="27"/>
  <c r="AS553" i="27"/>
  <c r="B552" i="27"/>
  <c r="AU551" i="27"/>
  <c r="AX539" i="27"/>
  <c r="BJ538" i="27"/>
  <c r="BK538" i="27" s="1"/>
  <c r="AT538" i="27" s="1"/>
  <c r="H535" i="30" s="1"/>
  <c r="BL539" i="27"/>
  <c r="BG539" i="27"/>
  <c r="BH539" i="27" s="1"/>
  <c r="AQ540" i="27"/>
  <c r="AR540" i="27" s="1"/>
  <c r="AY540" i="27" s="1"/>
  <c r="BE540" i="27"/>
  <c r="F537" i="30"/>
  <c r="AE541" i="27"/>
  <c r="AF541" i="27" s="1"/>
  <c r="AZ541" i="27" s="1"/>
  <c r="B546" i="30"/>
  <c r="BB540" i="27"/>
  <c r="BC540" i="27"/>
  <c r="BL540" i="27" s="1"/>
  <c r="E537" i="30"/>
  <c r="S540" i="27"/>
  <c r="T540" i="27" s="1"/>
  <c r="BA540" i="27" s="1"/>
  <c r="AD542" i="27"/>
  <c r="AC542" i="27"/>
  <c r="BD540" i="27"/>
  <c r="AO541" i="27"/>
  <c r="AP541" i="27"/>
  <c r="R541" i="27"/>
  <c r="Q541" i="27"/>
  <c r="U541" i="27"/>
  <c r="AG541" i="27"/>
  <c r="D539" i="30"/>
  <c r="I539" i="30" s="1"/>
  <c r="BF553" i="27" l="1"/>
  <c r="G550" i="30"/>
  <c r="AM555" i="27"/>
  <c r="AS554" i="27"/>
  <c r="BG540" i="27"/>
  <c r="BI539" i="27"/>
  <c r="B553" i="27"/>
  <c r="AU552" i="27"/>
  <c r="AX540" i="27"/>
  <c r="AE542" i="27"/>
  <c r="AF542" i="27" s="1"/>
  <c r="AZ542" i="27" s="1"/>
  <c r="S541" i="27"/>
  <c r="T541" i="27" s="1"/>
  <c r="BA541" i="27" s="1"/>
  <c r="BJ539" i="27"/>
  <c r="BK539" i="27" s="1"/>
  <c r="AT539" i="27" s="1"/>
  <c r="H536" i="30" s="1"/>
  <c r="BE541" i="27"/>
  <c r="F538" i="30"/>
  <c r="BC541" i="27"/>
  <c r="BL541" i="27" s="1"/>
  <c r="BB541" i="27"/>
  <c r="E538" i="30"/>
  <c r="B547" i="30"/>
  <c r="AQ541" i="27"/>
  <c r="AR541" i="27" s="1"/>
  <c r="AY541" i="27" s="1"/>
  <c r="U542" i="27"/>
  <c r="BD541" i="27"/>
  <c r="BH540" i="27"/>
  <c r="BI540" i="27"/>
  <c r="AO542" i="27"/>
  <c r="AP542" i="27"/>
  <c r="AG542" i="27"/>
  <c r="Q542" i="27"/>
  <c r="R542" i="27"/>
  <c r="AD543" i="27"/>
  <c r="AC543" i="27"/>
  <c r="D540" i="30"/>
  <c r="I540" i="30" s="1"/>
  <c r="BF554" i="27" l="1"/>
  <c r="G551" i="30"/>
  <c r="AM556" i="27"/>
  <c r="AS555" i="27"/>
  <c r="BG541" i="27"/>
  <c r="BH541" i="27" s="1"/>
  <c r="B554" i="27"/>
  <c r="AU553" i="27"/>
  <c r="AX541" i="27"/>
  <c r="BE542" i="27"/>
  <c r="F539" i="30"/>
  <c r="BC542" i="27"/>
  <c r="BL542" i="27" s="1"/>
  <c r="BB542" i="27"/>
  <c r="E539" i="30"/>
  <c r="B548" i="30"/>
  <c r="S542" i="27"/>
  <c r="T542" i="27" s="1"/>
  <c r="BA542" i="27" s="1"/>
  <c r="AE543" i="27"/>
  <c r="AF543" i="27" s="1"/>
  <c r="AZ543" i="27" s="1"/>
  <c r="AD544" i="27"/>
  <c r="AC544" i="27"/>
  <c r="R543" i="27"/>
  <c r="Q543" i="27"/>
  <c r="AG543" i="27"/>
  <c r="AQ542" i="27"/>
  <c r="AR542" i="27" s="1"/>
  <c r="AY542" i="27" s="1"/>
  <c r="AP543" i="27"/>
  <c r="AO543" i="27"/>
  <c r="BJ540" i="27"/>
  <c r="BK540" i="27" s="1"/>
  <c r="AT540" i="27" s="1"/>
  <c r="H537" i="30" s="1"/>
  <c r="BD542" i="27"/>
  <c r="BG542" i="27" s="1"/>
  <c r="U543" i="27"/>
  <c r="D541" i="30"/>
  <c r="I541" i="30" s="1"/>
  <c r="BF555" i="27" l="1"/>
  <c r="G552" i="30"/>
  <c r="BI541" i="27"/>
  <c r="AM557" i="27"/>
  <c r="AS556" i="27"/>
  <c r="AX542" i="27"/>
  <c r="B555" i="27"/>
  <c r="AU554" i="27"/>
  <c r="S543" i="27"/>
  <c r="T543" i="27" s="1"/>
  <c r="BA543" i="27" s="1"/>
  <c r="BE543" i="27"/>
  <c r="F540" i="30"/>
  <c r="AE544" i="27"/>
  <c r="AF544" i="27" s="1"/>
  <c r="AZ544" i="27" s="1"/>
  <c r="BB543" i="27"/>
  <c r="BC543" i="27"/>
  <c r="BL543" i="27" s="1"/>
  <c r="E540" i="30"/>
  <c r="B549" i="30"/>
  <c r="R544" i="27"/>
  <c r="Q544" i="27"/>
  <c r="BJ541" i="27"/>
  <c r="BK541" i="27" s="1"/>
  <c r="AT541" i="27" s="1"/>
  <c r="H538" i="30" s="1"/>
  <c r="AQ543" i="27"/>
  <c r="AR543" i="27" s="1"/>
  <c r="AY543" i="27" s="1"/>
  <c r="BD543" i="27"/>
  <c r="U544" i="27"/>
  <c r="BH542" i="27"/>
  <c r="BI542" i="27"/>
  <c r="AP544" i="27"/>
  <c r="AO544" i="27"/>
  <c r="AG544" i="27"/>
  <c r="AC545" i="27"/>
  <c r="AD545" i="27"/>
  <c r="D542" i="30"/>
  <c r="I542" i="30" s="1"/>
  <c r="BF556" i="27" l="1"/>
  <c r="G553" i="30"/>
  <c r="AM558" i="27"/>
  <c r="AS557" i="27"/>
  <c r="BG543" i="27"/>
  <c r="AX543" i="27"/>
  <c r="B556" i="27"/>
  <c r="AU555" i="27"/>
  <c r="AQ544" i="27"/>
  <c r="AR544" i="27" s="1"/>
  <c r="AY544" i="27" s="1"/>
  <c r="BE544" i="27"/>
  <c r="F541" i="30"/>
  <c r="BB544" i="27"/>
  <c r="BC544" i="27"/>
  <c r="BL544" i="27" s="1"/>
  <c r="E541" i="30"/>
  <c r="B550" i="30"/>
  <c r="S544" i="27"/>
  <c r="T544" i="27" s="1"/>
  <c r="BA544" i="27" s="1"/>
  <c r="AC546" i="27"/>
  <c r="AD546" i="27"/>
  <c r="BJ542" i="27"/>
  <c r="BK542" i="27" s="1"/>
  <c r="AT542" i="27" s="1"/>
  <c r="H539" i="30" s="1"/>
  <c r="BD544" i="27"/>
  <c r="AG545" i="27"/>
  <c r="U545" i="27"/>
  <c r="BI543" i="27"/>
  <c r="BH543" i="27"/>
  <c r="R545" i="27"/>
  <c r="Q545" i="27"/>
  <c r="AP545" i="27"/>
  <c r="AO545" i="27"/>
  <c r="AE545" i="27"/>
  <c r="AF545" i="27" s="1"/>
  <c r="AZ545" i="27" s="1"/>
  <c r="D543" i="30"/>
  <c r="I543" i="30" s="1"/>
  <c r="BF557" i="27" l="1"/>
  <c r="G554" i="30"/>
  <c r="AM559" i="27"/>
  <c r="AS558" i="27"/>
  <c r="AX544" i="27"/>
  <c r="BG544" i="27"/>
  <c r="BH544" i="27" s="1"/>
  <c r="B557" i="27"/>
  <c r="AU556" i="27"/>
  <c r="S545" i="27"/>
  <c r="T545" i="27" s="1"/>
  <c r="BA545" i="27" s="1"/>
  <c r="BE545" i="27"/>
  <c r="F542" i="30"/>
  <c r="BC545" i="27"/>
  <c r="BB545" i="27"/>
  <c r="E542" i="30"/>
  <c r="B551" i="30"/>
  <c r="BJ543" i="27"/>
  <c r="BK543" i="27" s="1"/>
  <c r="AT543" i="27" s="1"/>
  <c r="H540" i="30" s="1"/>
  <c r="AQ545" i="27"/>
  <c r="AR545" i="27" s="1"/>
  <c r="AY545" i="27" s="1"/>
  <c r="AX545" i="27" s="1"/>
  <c r="AP546" i="27"/>
  <c r="AO546" i="27"/>
  <c r="AG546" i="27"/>
  <c r="Q546" i="27"/>
  <c r="R546" i="27"/>
  <c r="U546" i="27"/>
  <c r="BI544" i="27"/>
  <c r="AC547" i="27"/>
  <c r="AD547" i="27"/>
  <c r="BD545" i="27"/>
  <c r="AE546" i="27"/>
  <c r="AF546" i="27" s="1"/>
  <c r="AZ546" i="27" s="1"/>
  <c r="D544" i="30"/>
  <c r="I544" i="30" s="1"/>
  <c r="AM560" i="27" l="1"/>
  <c r="AS559" i="27"/>
  <c r="G555" i="30"/>
  <c r="BF558" i="27"/>
  <c r="B558" i="27"/>
  <c r="AU557" i="27"/>
  <c r="AQ546" i="27"/>
  <c r="AR546" i="27" s="1"/>
  <c r="AY546" i="27" s="1"/>
  <c r="BG545" i="27"/>
  <c r="BH545" i="27" s="1"/>
  <c r="BL545" i="27"/>
  <c r="BE546" i="27"/>
  <c r="F543" i="30"/>
  <c r="B552" i="30"/>
  <c r="BC546" i="27"/>
  <c r="BL546" i="27" s="1"/>
  <c r="BB546" i="27"/>
  <c r="E543" i="30"/>
  <c r="AG547" i="27"/>
  <c r="AE547" i="27"/>
  <c r="AF547" i="27" s="1"/>
  <c r="AZ547" i="27" s="1"/>
  <c r="BJ544" i="27"/>
  <c r="BK544" i="27" s="1"/>
  <c r="AT544" i="27" s="1"/>
  <c r="H541" i="30" s="1"/>
  <c r="BD546" i="27"/>
  <c r="AP547" i="27"/>
  <c r="AO547" i="27"/>
  <c r="AD548" i="27"/>
  <c r="AC548" i="27"/>
  <c r="U547" i="27"/>
  <c r="S546" i="27"/>
  <c r="T546" i="27" s="1"/>
  <c r="BA546" i="27" s="1"/>
  <c r="Q547" i="27"/>
  <c r="R547" i="27"/>
  <c r="D545" i="30"/>
  <c r="I545" i="30" s="1"/>
  <c r="BF559" i="27" l="1"/>
  <c r="G556" i="30"/>
  <c r="BI545" i="27"/>
  <c r="AM561" i="27"/>
  <c r="AS560" i="27"/>
  <c r="BG546" i="27"/>
  <c r="B559" i="27"/>
  <c r="AU558" i="27"/>
  <c r="AX546" i="27"/>
  <c r="BE547" i="27"/>
  <c r="F544" i="30"/>
  <c r="AE548" i="27"/>
  <c r="AF548" i="27" s="1"/>
  <c r="AZ548" i="27" s="1"/>
  <c r="BB547" i="27"/>
  <c r="BC547" i="27"/>
  <c r="BL547" i="27" s="1"/>
  <c r="E544" i="30"/>
  <c r="B553" i="30"/>
  <c r="U548" i="27"/>
  <c r="BJ545" i="27"/>
  <c r="BK545" i="27" s="1"/>
  <c r="AT545" i="27" s="1"/>
  <c r="H542" i="30" s="1"/>
  <c r="AD549" i="27"/>
  <c r="AC549" i="27"/>
  <c r="AO548" i="27"/>
  <c r="AP548" i="27"/>
  <c r="BH546" i="27"/>
  <c r="BI546" i="27"/>
  <c r="AG548" i="27"/>
  <c r="BD547" i="27"/>
  <c r="BG547" i="27" s="1"/>
  <c r="AQ547" i="27"/>
  <c r="AR547" i="27" s="1"/>
  <c r="AY547" i="27" s="1"/>
  <c r="R548" i="27"/>
  <c r="Q548" i="27"/>
  <c r="S547" i="27"/>
  <c r="T547" i="27" s="1"/>
  <c r="BA547" i="27" s="1"/>
  <c r="D546" i="30"/>
  <c r="I546" i="30" s="1"/>
  <c r="AM562" i="27" l="1"/>
  <c r="AS561" i="27"/>
  <c r="BF560" i="27"/>
  <c r="G557" i="30"/>
  <c r="B560" i="27"/>
  <c r="AU559" i="27"/>
  <c r="BE548" i="27"/>
  <c r="F545" i="30"/>
  <c r="BC548" i="27"/>
  <c r="BL548" i="27" s="1"/>
  <c r="BB548" i="27"/>
  <c r="E545" i="30"/>
  <c r="B554" i="30"/>
  <c r="AX547" i="27"/>
  <c r="BJ546" i="27"/>
  <c r="BK546" i="27" s="1"/>
  <c r="AT546" i="27" s="1"/>
  <c r="H543" i="30" s="1"/>
  <c r="S548" i="27"/>
  <c r="T548" i="27" s="1"/>
  <c r="BA548" i="27" s="1"/>
  <c r="AE549" i="27"/>
  <c r="AF549" i="27" s="1"/>
  <c r="AZ549" i="27" s="1"/>
  <c r="AC550" i="27"/>
  <c r="AD550" i="27"/>
  <c r="BI547" i="27"/>
  <c r="BH547" i="27"/>
  <c r="AG549" i="27"/>
  <c r="BD548" i="27"/>
  <c r="BG548" i="27" s="1"/>
  <c r="Q549" i="27"/>
  <c r="R549" i="27"/>
  <c r="AP549" i="27"/>
  <c r="AO549" i="27"/>
  <c r="AQ548" i="27"/>
  <c r="AR548" i="27" s="1"/>
  <c r="AY548" i="27" s="1"/>
  <c r="U549" i="27"/>
  <c r="D547" i="30"/>
  <c r="I547" i="30" s="1"/>
  <c r="BF561" i="27" l="1"/>
  <c r="G558" i="30"/>
  <c r="AM563" i="27"/>
  <c r="AS562" i="27"/>
  <c r="B561" i="27"/>
  <c r="AU560" i="27"/>
  <c r="BJ547" i="27"/>
  <c r="BK547" i="27" s="1"/>
  <c r="AT547" i="27" s="1"/>
  <c r="H544" i="30" s="1"/>
  <c r="AQ549" i="27"/>
  <c r="AR549" i="27" s="1"/>
  <c r="AY549" i="27" s="1"/>
  <c r="BE549" i="27"/>
  <c r="F546" i="30"/>
  <c r="BB549" i="27"/>
  <c r="BC549" i="27"/>
  <c r="BL549" i="27" s="1"/>
  <c r="E546" i="30"/>
  <c r="B555" i="30"/>
  <c r="AX548" i="27"/>
  <c r="Q550" i="27"/>
  <c r="R550" i="27"/>
  <c r="AO550" i="27"/>
  <c r="AP550" i="27"/>
  <c r="BD549" i="27"/>
  <c r="AG550" i="27"/>
  <c r="U550" i="27"/>
  <c r="AD551" i="27"/>
  <c r="AC551" i="27"/>
  <c r="S549" i="27"/>
  <c r="T549" i="27" s="1"/>
  <c r="BA549" i="27" s="1"/>
  <c r="BH548" i="27"/>
  <c r="BI548" i="27"/>
  <c r="AE550" i="27"/>
  <c r="AF550" i="27" s="1"/>
  <c r="AZ550" i="27" s="1"/>
  <c r="D548" i="30"/>
  <c r="I548" i="30" s="1"/>
  <c r="BF562" i="27" l="1"/>
  <c r="G559" i="30"/>
  <c r="AM564" i="27"/>
  <c r="AS563" i="27"/>
  <c r="AX549" i="27"/>
  <c r="BG549" i="27"/>
  <c r="B562" i="27"/>
  <c r="AU561" i="27"/>
  <c r="AE551" i="27"/>
  <c r="BE550" i="27"/>
  <c r="F547" i="30"/>
  <c r="AF551" i="27"/>
  <c r="AZ551" i="27" s="1"/>
  <c r="BB550" i="27"/>
  <c r="BC550" i="27"/>
  <c r="BL550" i="27" s="1"/>
  <c r="E547" i="30"/>
  <c r="B556" i="30"/>
  <c r="BJ548" i="27"/>
  <c r="BK548" i="27" s="1"/>
  <c r="AT548" i="27" s="1"/>
  <c r="U551" i="27"/>
  <c r="BI549" i="27"/>
  <c r="BH549" i="27"/>
  <c r="AG551" i="27"/>
  <c r="S550" i="27"/>
  <c r="T550" i="27" s="1"/>
  <c r="BA550" i="27" s="1"/>
  <c r="BD550" i="27"/>
  <c r="AQ550" i="27"/>
  <c r="AR550" i="27" s="1"/>
  <c r="AY550" i="27" s="1"/>
  <c r="R551" i="27"/>
  <c r="Q551" i="27"/>
  <c r="AC552" i="27"/>
  <c r="AD552" i="27"/>
  <c r="AP551" i="27"/>
  <c r="AO551" i="27"/>
  <c r="D549" i="30"/>
  <c r="I549" i="30" s="1"/>
  <c r="AM565" i="27" l="1"/>
  <c r="AS564" i="27"/>
  <c r="BF563" i="27"/>
  <c r="G560" i="30"/>
  <c r="BG550" i="27"/>
  <c r="BI550" i="27" s="1"/>
  <c r="B563" i="27"/>
  <c r="AU562" i="27"/>
  <c r="H545" i="30"/>
  <c r="BJ549" i="27"/>
  <c r="BK549" i="27" s="1"/>
  <c r="AT549" i="27" s="1"/>
  <c r="H546" i="30" s="1"/>
  <c r="AX550" i="27"/>
  <c r="BE551" i="27"/>
  <c r="F548" i="30"/>
  <c r="B557" i="30"/>
  <c r="BB551" i="27"/>
  <c r="BC551" i="27"/>
  <c r="BL551" i="27" s="1"/>
  <c r="E548" i="30"/>
  <c r="S551" i="27"/>
  <c r="T551" i="27" s="1"/>
  <c r="BA551" i="27" s="1"/>
  <c r="AE552" i="27"/>
  <c r="AF552" i="27" s="1"/>
  <c r="AZ552" i="27" s="1"/>
  <c r="AO552" i="27"/>
  <c r="AP552" i="27"/>
  <c r="Q552" i="27"/>
  <c r="R552" i="27"/>
  <c r="U552" i="27"/>
  <c r="AC553" i="27"/>
  <c r="AD553" i="27"/>
  <c r="AG552" i="27"/>
  <c r="AQ551" i="27"/>
  <c r="AR551" i="27" s="1"/>
  <c r="AY551" i="27" s="1"/>
  <c r="BD551" i="27"/>
  <c r="D550" i="30"/>
  <c r="I550" i="30" s="1"/>
  <c r="BH550" i="27" l="1"/>
  <c r="G561" i="30"/>
  <c r="BF564" i="27"/>
  <c r="AM566" i="27"/>
  <c r="AS565" i="27"/>
  <c r="B564" i="27"/>
  <c r="AU563" i="27"/>
  <c r="BG551" i="27"/>
  <c r="BI551" i="27" s="1"/>
  <c r="BJ550" i="27"/>
  <c r="BK550" i="27" s="1"/>
  <c r="AT550" i="27" s="1"/>
  <c r="BE552" i="27"/>
  <c r="F549" i="30"/>
  <c r="BC552" i="27"/>
  <c r="BB552" i="27"/>
  <c r="E549" i="30"/>
  <c r="AX551" i="27"/>
  <c r="B558" i="30"/>
  <c r="U553" i="27"/>
  <c r="Q553" i="27"/>
  <c r="R553" i="27"/>
  <c r="AQ552" i="27"/>
  <c r="AR552" i="27" s="1"/>
  <c r="AY552" i="27" s="1"/>
  <c r="BH551" i="27"/>
  <c r="AE553" i="27"/>
  <c r="AF553" i="27" s="1"/>
  <c r="AZ553" i="27" s="1"/>
  <c r="BD552" i="27"/>
  <c r="BG552" i="27" s="1"/>
  <c r="S552" i="27"/>
  <c r="T552" i="27" s="1"/>
  <c r="BA552" i="27" s="1"/>
  <c r="AP553" i="27"/>
  <c r="AO553" i="27"/>
  <c r="AG553" i="27"/>
  <c r="AD554" i="27"/>
  <c r="AC554" i="27"/>
  <c r="D551" i="30"/>
  <c r="I551" i="30" s="1"/>
  <c r="G562" i="30" l="1"/>
  <c r="BF565" i="27"/>
  <c r="AM567" i="27"/>
  <c r="AS566" i="27"/>
  <c r="B565" i="27"/>
  <c r="AU564" i="27"/>
  <c r="BL552" i="27"/>
  <c r="H547" i="30"/>
  <c r="AQ553" i="27"/>
  <c r="AR553" i="27" s="1"/>
  <c r="AY553" i="27" s="1"/>
  <c r="BJ551" i="27"/>
  <c r="BK551" i="27" s="1"/>
  <c r="AT551" i="27" s="1"/>
  <c r="H548" i="30" s="1"/>
  <c r="BE553" i="27"/>
  <c r="F550" i="30"/>
  <c r="BB553" i="27"/>
  <c r="BC553" i="27"/>
  <c r="E550" i="30"/>
  <c r="B559" i="30"/>
  <c r="AG554" i="27"/>
  <c r="Q554" i="27"/>
  <c r="R554" i="27"/>
  <c r="BH552" i="27"/>
  <c r="BI552" i="27"/>
  <c r="S553" i="27"/>
  <c r="T553" i="27" s="1"/>
  <c r="BA553" i="27" s="1"/>
  <c r="AC555" i="27"/>
  <c r="AD555" i="27"/>
  <c r="AP554" i="27"/>
  <c r="AO554" i="27"/>
  <c r="AX552" i="27"/>
  <c r="BD553" i="27"/>
  <c r="AE554" i="27"/>
  <c r="AF554" i="27" s="1"/>
  <c r="AZ554" i="27" s="1"/>
  <c r="U554" i="27"/>
  <c r="D552" i="30"/>
  <c r="I552" i="30" s="1"/>
  <c r="BF566" i="27" l="1"/>
  <c r="G563" i="30"/>
  <c r="AM568" i="27"/>
  <c r="AS567" i="27"/>
  <c r="B566" i="27"/>
  <c r="AU565" i="27"/>
  <c r="AX553" i="27"/>
  <c r="BG553" i="27"/>
  <c r="BH553" i="27" s="1"/>
  <c r="BL553" i="27"/>
  <c r="AQ554" i="27"/>
  <c r="AR554" i="27" s="1"/>
  <c r="AY554" i="27" s="1"/>
  <c r="BE554" i="27"/>
  <c r="F551" i="30"/>
  <c r="BB554" i="27"/>
  <c r="BC554" i="27"/>
  <c r="BL554" i="27" s="1"/>
  <c r="E551" i="30"/>
  <c r="B560" i="30"/>
  <c r="S554" i="27"/>
  <c r="T554" i="27" s="1"/>
  <c r="BA554" i="27" s="1"/>
  <c r="Q555" i="27"/>
  <c r="R555" i="27"/>
  <c r="AP555" i="27"/>
  <c r="AO555" i="27"/>
  <c r="AD556" i="27"/>
  <c r="AC556" i="27"/>
  <c r="BJ552" i="27"/>
  <c r="BK552" i="27" s="1"/>
  <c r="AT552" i="27" s="1"/>
  <c r="BD554" i="27"/>
  <c r="AG555" i="27"/>
  <c r="AE555" i="27"/>
  <c r="AF555" i="27" s="1"/>
  <c r="AZ555" i="27" s="1"/>
  <c r="U555" i="27"/>
  <c r="D553" i="30"/>
  <c r="I553" i="30" s="1"/>
  <c r="G564" i="30" l="1"/>
  <c r="BF567" i="27"/>
  <c r="AM569" i="27"/>
  <c r="AS568" i="27"/>
  <c r="BI553" i="27"/>
  <c r="B567" i="27"/>
  <c r="AU566" i="27"/>
  <c r="AX554" i="27"/>
  <c r="H549" i="30"/>
  <c r="AQ555" i="27"/>
  <c r="AR555" i="27" s="1"/>
  <c r="AY555" i="27" s="1"/>
  <c r="BG554" i="27"/>
  <c r="BI554" i="27" s="1"/>
  <c r="BE555" i="27"/>
  <c r="F552" i="30"/>
  <c r="AE556" i="27"/>
  <c r="AF556" i="27" s="1"/>
  <c r="AZ556" i="27" s="1"/>
  <c r="B561" i="30"/>
  <c r="BC555" i="27"/>
  <c r="BB555" i="27"/>
  <c r="E552" i="30"/>
  <c r="BD555" i="27"/>
  <c r="U556" i="27"/>
  <c r="AG556" i="27"/>
  <c r="AC557" i="27"/>
  <c r="AD557" i="27"/>
  <c r="BJ553" i="27"/>
  <c r="BK553" i="27" s="1"/>
  <c r="AT553" i="27" s="1"/>
  <c r="H550" i="30" s="1"/>
  <c r="R556" i="27"/>
  <c r="Q556" i="27"/>
  <c r="AO556" i="27"/>
  <c r="AP556" i="27"/>
  <c r="S555" i="27"/>
  <c r="T555" i="27" s="1"/>
  <c r="BA555" i="27" s="1"/>
  <c r="D554" i="30"/>
  <c r="I554" i="30" s="1"/>
  <c r="BF568" i="27" l="1"/>
  <c r="G565" i="30"/>
  <c r="AM570" i="27"/>
  <c r="AS569" i="27"/>
  <c r="BH554" i="27"/>
  <c r="BJ554" i="27" s="1"/>
  <c r="BK554" i="27" s="1"/>
  <c r="AT554" i="27" s="1"/>
  <c r="BG555" i="27"/>
  <c r="B568" i="27"/>
  <c r="AU567" i="27"/>
  <c r="AX555" i="27"/>
  <c r="BL555" i="27"/>
  <c r="AQ556" i="27"/>
  <c r="AR556" i="27" s="1"/>
  <c r="AY556" i="27" s="1"/>
  <c r="BE556" i="27"/>
  <c r="F553" i="30"/>
  <c r="BC556" i="27"/>
  <c r="BB556" i="27"/>
  <c r="E553" i="30"/>
  <c r="B562" i="30"/>
  <c r="S556" i="27"/>
  <c r="T556" i="27" s="1"/>
  <c r="BA556" i="27" s="1"/>
  <c r="AE557" i="27"/>
  <c r="AF557" i="27" s="1"/>
  <c r="AZ557" i="27" s="1"/>
  <c r="U557" i="27"/>
  <c r="R557" i="27"/>
  <c r="Q557" i="27"/>
  <c r="BI555" i="27"/>
  <c r="BH555" i="27"/>
  <c r="AP557" i="27"/>
  <c r="AO557" i="27"/>
  <c r="AG557" i="27"/>
  <c r="BD556" i="27"/>
  <c r="AD558" i="27"/>
  <c r="AC558" i="27"/>
  <c r="D555" i="30"/>
  <c r="I555" i="30" s="1"/>
  <c r="BF569" i="27" l="1"/>
  <c r="G566" i="30"/>
  <c r="AM571" i="27"/>
  <c r="AS570" i="27"/>
  <c r="B569" i="27"/>
  <c r="AU568" i="27"/>
  <c r="AX556" i="27"/>
  <c r="BG556" i="27"/>
  <c r="BL556" i="27"/>
  <c r="H551" i="30"/>
  <c r="BE557" i="27"/>
  <c r="F554" i="30"/>
  <c r="B563" i="30"/>
  <c r="BB557" i="27"/>
  <c r="BC557" i="27"/>
  <c r="E554" i="30"/>
  <c r="AQ557" i="27"/>
  <c r="AR557" i="27" s="1"/>
  <c r="AY557" i="27" s="1"/>
  <c r="AC559" i="27"/>
  <c r="AD559" i="27"/>
  <c r="U558" i="27"/>
  <c r="BI556" i="27"/>
  <c r="BH556" i="27"/>
  <c r="AG558" i="27"/>
  <c r="AO558" i="27"/>
  <c r="AP558" i="27"/>
  <c r="Q558" i="27"/>
  <c r="R558" i="27"/>
  <c r="BJ555" i="27"/>
  <c r="BK555" i="27" s="1"/>
  <c r="AT555" i="27" s="1"/>
  <c r="H552" i="30" s="1"/>
  <c r="BD557" i="27"/>
  <c r="S557" i="27"/>
  <c r="T557" i="27" s="1"/>
  <c r="BA557" i="27" s="1"/>
  <c r="AE558" i="27"/>
  <c r="AF558" i="27" s="1"/>
  <c r="AZ558" i="27" s="1"/>
  <c r="D556" i="30"/>
  <c r="I556" i="30" s="1"/>
  <c r="AM572" i="27" l="1"/>
  <c r="AS571" i="27"/>
  <c r="G567" i="30"/>
  <c r="BF570" i="27"/>
  <c r="B570" i="27"/>
  <c r="AU569" i="27"/>
  <c r="BG557" i="27"/>
  <c r="BH557" i="27" s="1"/>
  <c r="BL557" i="27"/>
  <c r="BJ556" i="27"/>
  <c r="BK556" i="27" s="1"/>
  <c r="AT556" i="27" s="1"/>
  <c r="AX557" i="27"/>
  <c r="BE558" i="27"/>
  <c r="F555" i="30"/>
  <c r="BC558" i="27"/>
  <c r="BB558" i="27"/>
  <c r="E555" i="30"/>
  <c r="B564" i="30"/>
  <c r="AP559" i="27"/>
  <c r="AO559" i="27"/>
  <c r="AG559" i="27"/>
  <c r="R559" i="27"/>
  <c r="Q559" i="27"/>
  <c r="BD558" i="27"/>
  <c r="U559" i="27"/>
  <c r="AE559" i="27"/>
  <c r="AF559" i="27" s="1"/>
  <c r="AZ559" i="27" s="1"/>
  <c r="S558" i="27"/>
  <c r="T558" i="27" s="1"/>
  <c r="BA558" i="27" s="1"/>
  <c r="AQ558" i="27"/>
  <c r="AR558" i="27" s="1"/>
  <c r="AY558" i="27" s="1"/>
  <c r="AC560" i="27"/>
  <c r="AD560" i="27"/>
  <c r="D557" i="30"/>
  <c r="I557" i="30" s="1"/>
  <c r="BF571" i="27" l="1"/>
  <c r="G568" i="30"/>
  <c r="AM573" i="27"/>
  <c r="AS572" i="27"/>
  <c r="BG558" i="27"/>
  <c r="BI557" i="27"/>
  <c r="B571" i="27"/>
  <c r="AU570" i="27"/>
  <c r="BL558" i="27"/>
  <c r="H553" i="30"/>
  <c r="AQ559" i="27"/>
  <c r="AR559" i="27" s="1"/>
  <c r="AY559" i="27" s="1"/>
  <c r="BE559" i="27"/>
  <c r="F556" i="30"/>
  <c r="S559" i="27"/>
  <c r="T559" i="27" s="1"/>
  <c r="BA559" i="27" s="1"/>
  <c r="BB559" i="27"/>
  <c r="BC559" i="27"/>
  <c r="BL559" i="27" s="1"/>
  <c r="E556" i="30"/>
  <c r="B565" i="30"/>
  <c r="AX558" i="27"/>
  <c r="U560" i="27"/>
  <c r="BH558" i="27"/>
  <c r="BI558" i="27"/>
  <c r="AP560" i="27"/>
  <c r="AO560" i="27"/>
  <c r="AE560" i="27"/>
  <c r="AF560" i="27" s="1"/>
  <c r="AZ560" i="27" s="1"/>
  <c r="BD559" i="27"/>
  <c r="AD561" i="27"/>
  <c r="AC561" i="27"/>
  <c r="R560" i="27"/>
  <c r="Q560" i="27"/>
  <c r="AG560" i="27"/>
  <c r="BJ557" i="27"/>
  <c r="BK557" i="27" s="1"/>
  <c r="AT557" i="27" s="1"/>
  <c r="H554" i="30" s="1"/>
  <c r="D558" i="30"/>
  <c r="I558" i="30" s="1"/>
  <c r="G569" i="30" l="1"/>
  <c r="BF572" i="27"/>
  <c r="AM574" i="27"/>
  <c r="AS573" i="27"/>
  <c r="AX559" i="27"/>
  <c r="B572" i="27"/>
  <c r="AU571" i="27"/>
  <c r="BG559" i="27"/>
  <c r="BH559" i="27" s="1"/>
  <c r="AE561" i="27"/>
  <c r="AQ560" i="27"/>
  <c r="AR560" i="27" s="1"/>
  <c r="AY560" i="27" s="1"/>
  <c r="BE560" i="27"/>
  <c r="F557" i="30"/>
  <c r="BB560" i="27"/>
  <c r="BC560" i="27"/>
  <c r="BL560" i="27" s="1"/>
  <c r="E557" i="30"/>
  <c r="B566" i="30"/>
  <c r="AG561" i="27"/>
  <c r="AP561" i="27"/>
  <c r="AO561" i="27"/>
  <c r="AC562" i="27"/>
  <c r="AD562" i="27"/>
  <c r="BJ558" i="27"/>
  <c r="BK558" i="27" s="1"/>
  <c r="AT558" i="27" s="1"/>
  <c r="S560" i="27"/>
  <c r="T560" i="27" s="1"/>
  <c r="BA560" i="27" s="1"/>
  <c r="U561" i="27"/>
  <c r="R561" i="27"/>
  <c r="Q561" i="27"/>
  <c r="AF561" i="27"/>
  <c r="AZ561" i="27" s="1"/>
  <c r="BD560" i="27"/>
  <c r="D559" i="30"/>
  <c r="I559" i="30" s="1"/>
  <c r="AM575" i="27" l="1"/>
  <c r="AS574" i="27"/>
  <c r="BF573" i="27"/>
  <c r="G570" i="30"/>
  <c r="B573" i="27"/>
  <c r="AU572" i="27"/>
  <c r="BG560" i="27"/>
  <c r="BH560" i="27" s="1"/>
  <c r="BI559" i="27"/>
  <c r="BJ559" i="27" s="1"/>
  <c r="BK559" i="27" s="1"/>
  <c r="AT559" i="27" s="1"/>
  <c r="H556" i="30" s="1"/>
  <c r="H555" i="30"/>
  <c r="AX560" i="27"/>
  <c r="S561" i="27"/>
  <c r="T561" i="27" s="1"/>
  <c r="BA561" i="27" s="1"/>
  <c r="AQ561" i="27"/>
  <c r="AR561" i="27" s="1"/>
  <c r="AY561" i="27" s="1"/>
  <c r="BE561" i="27"/>
  <c r="F558" i="30"/>
  <c r="B567" i="30"/>
  <c r="BB561" i="27"/>
  <c r="BC561" i="27"/>
  <c r="E558" i="30"/>
  <c r="U562" i="27"/>
  <c r="Q562" i="27"/>
  <c r="R562" i="27"/>
  <c r="BD561" i="27"/>
  <c r="AG562" i="27"/>
  <c r="AE562" i="27"/>
  <c r="AF562" i="27" s="1"/>
  <c r="AZ562" i="27" s="1"/>
  <c r="AD563" i="27"/>
  <c r="AC563" i="27"/>
  <c r="AP562" i="27"/>
  <c r="AO562" i="27"/>
  <c r="D560" i="30"/>
  <c r="I560" i="30" s="1"/>
  <c r="BF574" i="27" l="1"/>
  <c r="G571" i="30"/>
  <c r="AM576" i="27"/>
  <c r="AS575" i="27"/>
  <c r="BI560" i="27"/>
  <c r="AX561" i="27"/>
  <c r="B574" i="27"/>
  <c r="AU573" i="27"/>
  <c r="BL561" i="27"/>
  <c r="AE563" i="27"/>
  <c r="BG561" i="27"/>
  <c r="BI561" i="27" s="1"/>
  <c r="AQ562" i="27"/>
  <c r="AR562" i="27" s="1"/>
  <c r="AY562" i="27" s="1"/>
  <c r="BE562" i="27"/>
  <c r="F559" i="30"/>
  <c r="AF563" i="27"/>
  <c r="AZ563" i="27" s="1"/>
  <c r="BB562" i="27"/>
  <c r="BC562" i="27"/>
  <c r="E559" i="30"/>
  <c r="B568" i="30"/>
  <c r="BJ560" i="27"/>
  <c r="BK560" i="27" s="1"/>
  <c r="AT560" i="27" s="1"/>
  <c r="H557" i="30" s="1"/>
  <c r="AP563" i="27"/>
  <c r="AO563" i="27"/>
  <c r="AD564" i="27"/>
  <c r="AC564" i="27"/>
  <c r="AG563" i="27"/>
  <c r="S562" i="27"/>
  <c r="T562" i="27" s="1"/>
  <c r="BA562" i="27" s="1"/>
  <c r="U563" i="27"/>
  <c r="R563" i="27"/>
  <c r="Q563" i="27"/>
  <c r="BD562" i="27"/>
  <c r="D561" i="30"/>
  <c r="I561" i="30" s="1"/>
  <c r="BF575" i="27" l="1"/>
  <c r="G572" i="30"/>
  <c r="AM577" i="27"/>
  <c r="AS576" i="27"/>
  <c r="BH561" i="27"/>
  <c r="BJ561" i="27" s="1"/>
  <c r="BK561" i="27" s="1"/>
  <c r="AT561" i="27" s="1"/>
  <c r="H558" i="30" s="1"/>
  <c r="B575" i="27"/>
  <c r="AU574" i="27"/>
  <c r="S563" i="27"/>
  <c r="T563" i="27" s="1"/>
  <c r="BA563" i="27" s="1"/>
  <c r="BL562" i="27"/>
  <c r="AE564" i="27"/>
  <c r="AF564" i="27" s="1"/>
  <c r="AZ564" i="27" s="1"/>
  <c r="BG562" i="27"/>
  <c r="BI562" i="27" s="1"/>
  <c r="AQ563" i="27"/>
  <c r="AR563" i="27" s="1"/>
  <c r="AY563" i="27" s="1"/>
  <c r="AX563" i="27" s="1"/>
  <c r="AX562" i="27"/>
  <c r="BE563" i="27"/>
  <c r="F560" i="30"/>
  <c r="B569" i="30"/>
  <c r="BB563" i="27"/>
  <c r="BC563" i="27"/>
  <c r="E560" i="30"/>
  <c r="AG564" i="27"/>
  <c r="AP564" i="27"/>
  <c r="AO564" i="27"/>
  <c r="AQ564" i="27" s="1"/>
  <c r="AR564" i="27" s="1"/>
  <c r="AY564" i="27" s="1"/>
  <c r="R564" i="27"/>
  <c r="Q564" i="27"/>
  <c r="U564" i="27"/>
  <c r="AC565" i="27"/>
  <c r="AD565" i="27"/>
  <c r="BD563" i="27"/>
  <c r="D562" i="30"/>
  <c r="I562" i="30" s="1"/>
  <c r="BF576" i="27" l="1"/>
  <c r="G573" i="30"/>
  <c r="AM578" i="27"/>
  <c r="AS577" i="27"/>
  <c r="BH562" i="27"/>
  <c r="BJ562" i="27" s="1"/>
  <c r="BK562" i="27" s="1"/>
  <c r="AT562" i="27" s="1"/>
  <c r="H559" i="30" s="1"/>
  <c r="B576" i="27"/>
  <c r="AU575" i="27"/>
  <c r="BL563" i="27"/>
  <c r="BG563" i="27"/>
  <c r="BI563" i="27" s="1"/>
  <c r="BE564" i="27"/>
  <c r="F561" i="30"/>
  <c r="BB564" i="27"/>
  <c r="BC564" i="27"/>
  <c r="BL564" i="27" s="1"/>
  <c r="E561" i="30"/>
  <c r="B570" i="30"/>
  <c r="AC566" i="27"/>
  <c r="AD566" i="27"/>
  <c r="AP565" i="27"/>
  <c r="AO565" i="27"/>
  <c r="AE565" i="27"/>
  <c r="AF565" i="27" s="1"/>
  <c r="AZ565" i="27" s="1"/>
  <c r="Q565" i="27"/>
  <c r="R565" i="27"/>
  <c r="S564" i="27"/>
  <c r="T564" i="27" s="1"/>
  <c r="BA564" i="27" s="1"/>
  <c r="AX564" i="27" s="1"/>
  <c r="AG565" i="27"/>
  <c r="BD564" i="27"/>
  <c r="U565" i="27"/>
  <c r="D563" i="30"/>
  <c r="I563" i="30" s="1"/>
  <c r="BF577" i="27" l="1"/>
  <c r="G574" i="30"/>
  <c r="AM579" i="27"/>
  <c r="AS578" i="27"/>
  <c r="BH563" i="27"/>
  <c r="BJ563" i="27" s="1"/>
  <c r="BK563" i="27" s="1"/>
  <c r="AT563" i="27" s="1"/>
  <c r="H560" i="30" s="1"/>
  <c r="B577" i="27"/>
  <c r="AU576" i="27"/>
  <c r="BG564" i="27"/>
  <c r="BH564" i="27" s="1"/>
  <c r="AQ565" i="27"/>
  <c r="AR565" i="27" s="1"/>
  <c r="AY565" i="27" s="1"/>
  <c r="BE565" i="27"/>
  <c r="F562" i="30"/>
  <c r="B571" i="30"/>
  <c r="BC565" i="27"/>
  <c r="BL565" i="27" s="1"/>
  <c r="BB565" i="27"/>
  <c r="E562" i="30"/>
  <c r="S565" i="27"/>
  <c r="T565" i="27" s="1"/>
  <c r="BA565" i="27" s="1"/>
  <c r="AP566" i="27"/>
  <c r="AO566" i="27"/>
  <c r="R566" i="27"/>
  <c r="Q566" i="27"/>
  <c r="AE566" i="27"/>
  <c r="AF566" i="27" s="1"/>
  <c r="AZ566" i="27" s="1"/>
  <c r="BD565" i="27"/>
  <c r="BG565" i="27" s="1"/>
  <c r="AD567" i="27"/>
  <c r="AC567" i="27"/>
  <c r="AG566" i="27"/>
  <c r="U566" i="27"/>
  <c r="D564" i="30"/>
  <c r="I564" i="30" s="1"/>
  <c r="G575" i="30" l="1"/>
  <c r="BF578" i="27"/>
  <c r="BI564" i="27"/>
  <c r="BJ564" i="27" s="1"/>
  <c r="BK564" i="27" s="1"/>
  <c r="AT564" i="27" s="1"/>
  <c r="H561" i="30" s="1"/>
  <c r="AM580" i="27"/>
  <c r="AS579" i="27"/>
  <c r="B578" i="27"/>
  <c r="AU577" i="27"/>
  <c r="AX565" i="27"/>
  <c r="AQ566" i="27"/>
  <c r="AR566" i="27" s="1"/>
  <c r="AY566" i="27" s="1"/>
  <c r="S566" i="27"/>
  <c r="T566" i="27" s="1"/>
  <c r="BA566" i="27" s="1"/>
  <c r="BE566" i="27"/>
  <c r="F563" i="30"/>
  <c r="BC566" i="27"/>
  <c r="BL566" i="27" s="1"/>
  <c r="BB566" i="27"/>
  <c r="E563" i="30"/>
  <c r="B572" i="30"/>
  <c r="U567" i="27"/>
  <c r="AG567" i="27"/>
  <c r="AE567" i="27"/>
  <c r="AF567" i="27" s="1"/>
  <c r="AZ567" i="27" s="1"/>
  <c r="BD566" i="27"/>
  <c r="AO567" i="27"/>
  <c r="AP567" i="27"/>
  <c r="AD568" i="27"/>
  <c r="AC568" i="27"/>
  <c r="BI565" i="27"/>
  <c r="BH565" i="27"/>
  <c r="R567" i="27"/>
  <c r="Q567" i="27"/>
  <c r="S567" i="27" s="1"/>
  <c r="T567" i="27" s="1"/>
  <c r="BA567" i="27" s="1"/>
  <c r="D565" i="30"/>
  <c r="I565" i="30" s="1"/>
  <c r="AM581" i="27" l="1"/>
  <c r="AS580" i="27"/>
  <c r="BF579" i="27"/>
  <c r="G576" i="30"/>
  <c r="BG566" i="27"/>
  <c r="AX566" i="27"/>
  <c r="B579" i="27"/>
  <c r="AU578" i="27"/>
  <c r="BJ565" i="27"/>
  <c r="BK565" i="27" s="1"/>
  <c r="AT565" i="27" s="1"/>
  <c r="H562" i="30" s="1"/>
  <c r="BE567" i="27"/>
  <c r="F564" i="30"/>
  <c r="BB567" i="27"/>
  <c r="BC567" i="27"/>
  <c r="BL567" i="27" s="1"/>
  <c r="E564" i="30"/>
  <c r="B573" i="30"/>
  <c r="Q568" i="27"/>
  <c r="R568" i="27"/>
  <c r="BI566" i="27"/>
  <c r="BH566" i="27"/>
  <c r="AC569" i="27"/>
  <c r="AD569" i="27"/>
  <c r="AQ567" i="27"/>
  <c r="AR567" i="27" s="1"/>
  <c r="AY567" i="27" s="1"/>
  <c r="AX567" i="27" s="1"/>
  <c r="BD567" i="27"/>
  <c r="BG567" i="27" s="1"/>
  <c r="AE568" i="27"/>
  <c r="AF568" i="27" s="1"/>
  <c r="AZ568" i="27" s="1"/>
  <c r="AP568" i="27"/>
  <c r="AO568" i="27"/>
  <c r="AG568" i="27"/>
  <c r="U568" i="27"/>
  <c r="D566" i="30"/>
  <c r="I566" i="30" s="1"/>
  <c r="BF580" i="27" l="1"/>
  <c r="G577" i="30"/>
  <c r="AM582" i="27"/>
  <c r="AS581" i="27"/>
  <c r="B580" i="27"/>
  <c r="AU579" i="27"/>
  <c r="AQ568" i="27"/>
  <c r="AR568" i="27" s="1"/>
  <c r="AY568" i="27" s="1"/>
  <c r="BE568" i="27"/>
  <c r="F565" i="30"/>
  <c r="BB568" i="27"/>
  <c r="BC568" i="27"/>
  <c r="BL568" i="27" s="1"/>
  <c r="E565" i="30"/>
  <c r="B574" i="30"/>
  <c r="S568" i="27"/>
  <c r="T568" i="27" s="1"/>
  <c r="BA568" i="27" s="1"/>
  <c r="AO569" i="27"/>
  <c r="AP569" i="27"/>
  <c r="BD568" i="27"/>
  <c r="BH567" i="27"/>
  <c r="BI567" i="27"/>
  <c r="AE569" i="27"/>
  <c r="AF569" i="27" s="1"/>
  <c r="AZ569" i="27" s="1"/>
  <c r="AC570" i="27"/>
  <c r="AD570" i="27"/>
  <c r="U569" i="27"/>
  <c r="AG569" i="27"/>
  <c r="BJ566" i="27"/>
  <c r="BK566" i="27" s="1"/>
  <c r="AT566" i="27" s="1"/>
  <c r="H563" i="30" s="1"/>
  <c r="Q569" i="27"/>
  <c r="R569" i="27"/>
  <c r="D567" i="30"/>
  <c r="I567" i="30" s="1"/>
  <c r="AM583" i="27" l="1"/>
  <c r="AS582" i="27"/>
  <c r="G578" i="30"/>
  <c r="BF581" i="27"/>
  <c r="BG568" i="27"/>
  <c r="BI568" i="27" s="1"/>
  <c r="B581" i="27"/>
  <c r="AU580" i="27"/>
  <c r="AX568" i="27"/>
  <c r="AE570" i="27"/>
  <c r="AF570" i="27" s="1"/>
  <c r="AZ570" i="27" s="1"/>
  <c r="BE569" i="27"/>
  <c r="F566" i="30"/>
  <c r="B575" i="30"/>
  <c r="BC569" i="27"/>
  <c r="BB569" i="27"/>
  <c r="E566" i="30"/>
  <c r="U570" i="27"/>
  <c r="BD569" i="27"/>
  <c r="S569" i="27"/>
  <c r="T569" i="27" s="1"/>
  <c r="BA569" i="27" s="1"/>
  <c r="AO570" i="27"/>
  <c r="AP570" i="27"/>
  <c r="AG570" i="27"/>
  <c r="AD571" i="27"/>
  <c r="AC571" i="27"/>
  <c r="BJ567" i="27"/>
  <c r="BK567" i="27" s="1"/>
  <c r="AT567" i="27" s="1"/>
  <c r="H564" i="30" s="1"/>
  <c r="R570" i="27"/>
  <c r="Q570" i="27"/>
  <c r="AQ569" i="27"/>
  <c r="AR569" i="27" s="1"/>
  <c r="AY569" i="27" s="1"/>
  <c r="D568" i="30"/>
  <c r="I568" i="30" s="1"/>
  <c r="BH568" i="27" l="1"/>
  <c r="BF582" i="27"/>
  <c r="G579" i="30"/>
  <c r="AM584" i="27"/>
  <c r="AS583" i="27"/>
  <c r="BG569" i="27"/>
  <c r="BH569" i="27" s="1"/>
  <c r="B582" i="27"/>
  <c r="AU581" i="27"/>
  <c r="BL569" i="27"/>
  <c r="AE571" i="27"/>
  <c r="AF571" i="27" s="1"/>
  <c r="AZ571" i="27" s="1"/>
  <c r="BE570" i="27"/>
  <c r="F567" i="30"/>
  <c r="BB570" i="27"/>
  <c r="BC570" i="27"/>
  <c r="E567" i="30"/>
  <c r="BJ568" i="27"/>
  <c r="BK568" i="27" s="1"/>
  <c r="AT568" i="27" s="1"/>
  <c r="H565" i="30" s="1"/>
  <c r="B576" i="30"/>
  <c r="AP571" i="27"/>
  <c r="AO571" i="27"/>
  <c r="AC572" i="27"/>
  <c r="AD572" i="27"/>
  <c r="AQ570" i="27"/>
  <c r="AR570" i="27" s="1"/>
  <c r="AY570" i="27" s="1"/>
  <c r="R571" i="27"/>
  <c r="Q571" i="27"/>
  <c r="AX569" i="27"/>
  <c r="BD570" i="27"/>
  <c r="BG570" i="27" s="1"/>
  <c r="AG571" i="27"/>
  <c r="S570" i="27"/>
  <c r="T570" i="27" s="1"/>
  <c r="BA570" i="27" s="1"/>
  <c r="U571" i="27"/>
  <c r="D569" i="30"/>
  <c r="I569" i="30" s="1"/>
  <c r="G580" i="30" l="1"/>
  <c r="BF583" i="27"/>
  <c r="AM585" i="27"/>
  <c r="AS584" i="27"/>
  <c r="BI569" i="27"/>
  <c r="B583" i="27"/>
  <c r="AU582" i="27"/>
  <c r="BL570" i="27"/>
  <c r="AQ571" i="27"/>
  <c r="AR571" i="27" s="1"/>
  <c r="AY571" i="27" s="1"/>
  <c r="BE571" i="27"/>
  <c r="F568" i="30"/>
  <c r="B577" i="30"/>
  <c r="BB571" i="27"/>
  <c r="BC571" i="27"/>
  <c r="BL571" i="27" s="1"/>
  <c r="E568" i="30"/>
  <c r="S571" i="27"/>
  <c r="T571" i="27" s="1"/>
  <c r="BA571" i="27" s="1"/>
  <c r="AG572" i="27"/>
  <c r="BJ569" i="27"/>
  <c r="BK569" i="27" s="1"/>
  <c r="AT569" i="27" s="1"/>
  <c r="H566" i="30" s="1"/>
  <c r="BH570" i="27"/>
  <c r="BI570" i="27"/>
  <c r="U572" i="27"/>
  <c r="AX570" i="27"/>
  <c r="BD571" i="27"/>
  <c r="BG571" i="27" s="1"/>
  <c r="AO572" i="27"/>
  <c r="AP572" i="27"/>
  <c r="R572" i="27"/>
  <c r="Q572" i="27"/>
  <c r="AC573" i="27"/>
  <c r="AD573" i="27"/>
  <c r="AE572" i="27"/>
  <c r="AF572" i="27" s="1"/>
  <c r="AZ572" i="27" s="1"/>
  <c r="D570" i="30"/>
  <c r="I570" i="30" s="1"/>
  <c r="G581" i="30" l="1"/>
  <c r="BF584" i="27"/>
  <c r="AM586" i="27"/>
  <c r="AS585" i="27"/>
  <c r="B584" i="27"/>
  <c r="AU583" i="27"/>
  <c r="AX571" i="27"/>
  <c r="AE573" i="27"/>
  <c r="AF573" i="27" s="1"/>
  <c r="AZ573" i="27" s="1"/>
  <c r="BE572" i="27"/>
  <c r="F569" i="30"/>
  <c r="BB572" i="27"/>
  <c r="BC572" i="27"/>
  <c r="BL572" i="27" s="1"/>
  <c r="E569" i="30"/>
  <c r="B578" i="30"/>
  <c r="AQ572" i="27"/>
  <c r="AR572" i="27" s="1"/>
  <c r="AY572" i="27" s="1"/>
  <c r="BJ570" i="27"/>
  <c r="BK570" i="27" s="1"/>
  <c r="AT570" i="27" s="1"/>
  <c r="H567" i="30" s="1"/>
  <c r="S572" i="27"/>
  <c r="T572" i="27" s="1"/>
  <c r="BA572" i="27" s="1"/>
  <c r="AO573" i="27"/>
  <c r="AP573" i="27"/>
  <c r="BD572" i="27"/>
  <c r="R573" i="27"/>
  <c r="Q573" i="27"/>
  <c r="S573" i="27" s="1"/>
  <c r="T573" i="27" s="1"/>
  <c r="BA573" i="27" s="1"/>
  <c r="AG573" i="27"/>
  <c r="BI571" i="27"/>
  <c r="BH571" i="27"/>
  <c r="U573" i="27"/>
  <c r="AC574" i="27"/>
  <c r="AD574" i="27"/>
  <c r="D571" i="30"/>
  <c r="I571" i="30" s="1"/>
  <c r="BF585" i="27" l="1"/>
  <c r="G582" i="30"/>
  <c r="AM587" i="27"/>
  <c r="AS586" i="27"/>
  <c r="BG572" i="27"/>
  <c r="BI572" i="27" s="1"/>
  <c r="B585" i="27"/>
  <c r="AU584" i="27"/>
  <c r="AX572" i="27"/>
  <c r="BE573" i="27"/>
  <c r="F570" i="30"/>
  <c r="B579" i="30"/>
  <c r="BB573" i="27"/>
  <c r="BC573" i="27"/>
  <c r="BL573" i="27" s="1"/>
  <c r="E570" i="30"/>
  <c r="BJ571" i="27"/>
  <c r="BK571" i="27" s="1"/>
  <c r="AT571" i="27" s="1"/>
  <c r="H568" i="30" s="1"/>
  <c r="AO574" i="27"/>
  <c r="AP574" i="27"/>
  <c r="BD573" i="27"/>
  <c r="AQ573" i="27"/>
  <c r="AR573" i="27" s="1"/>
  <c r="AY573" i="27" s="1"/>
  <c r="AX573" i="27" s="1"/>
  <c r="AD575" i="27"/>
  <c r="AC575" i="27"/>
  <c r="U574" i="27"/>
  <c r="AG574" i="27"/>
  <c r="Q574" i="27"/>
  <c r="R574" i="27"/>
  <c r="AE574" i="27"/>
  <c r="AF574" i="27" s="1"/>
  <c r="AZ574" i="27" s="1"/>
  <c r="D572" i="30"/>
  <c r="I572" i="30" s="1"/>
  <c r="BH572" i="27" l="1"/>
  <c r="AM588" i="27"/>
  <c r="AS587" i="27"/>
  <c r="BF586" i="27"/>
  <c r="G583" i="30"/>
  <c r="BG573" i="27"/>
  <c r="BH573" i="27" s="1"/>
  <c r="B586" i="27"/>
  <c r="AU585" i="27"/>
  <c r="BJ572" i="27"/>
  <c r="BK572" i="27" s="1"/>
  <c r="AT572" i="27" s="1"/>
  <c r="H569" i="30" s="1"/>
  <c r="BE574" i="27"/>
  <c r="F571" i="30"/>
  <c r="AE575" i="27"/>
  <c r="AF575" i="27" s="1"/>
  <c r="AZ575" i="27" s="1"/>
  <c r="S574" i="27"/>
  <c r="T574" i="27" s="1"/>
  <c r="BA574" i="27" s="1"/>
  <c r="BB574" i="27"/>
  <c r="BC574" i="27"/>
  <c r="BL574" i="27" s="1"/>
  <c r="E571" i="30"/>
  <c r="B580" i="30"/>
  <c r="Q575" i="27"/>
  <c r="R575" i="27"/>
  <c r="AG575" i="27"/>
  <c r="AP575" i="27"/>
  <c r="AO575" i="27"/>
  <c r="U575" i="27"/>
  <c r="AQ574" i="27"/>
  <c r="AR574" i="27" s="1"/>
  <c r="AY574" i="27" s="1"/>
  <c r="AC576" i="27"/>
  <c r="AD576" i="27"/>
  <c r="BD574" i="27"/>
  <c r="BG574" i="27" s="1"/>
  <c r="D573" i="30"/>
  <c r="I573" i="30" s="1"/>
  <c r="BI573" i="27" l="1"/>
  <c r="AM589" i="27"/>
  <c r="AS588" i="27"/>
  <c r="BF587" i="27"/>
  <c r="G584" i="30"/>
  <c r="B587" i="27"/>
  <c r="AU586" i="27"/>
  <c r="AQ575" i="27"/>
  <c r="AR575" i="27" s="1"/>
  <c r="AY575" i="27" s="1"/>
  <c r="AX574" i="27"/>
  <c r="BE575" i="27"/>
  <c r="F572" i="30"/>
  <c r="BC575" i="27"/>
  <c r="BL575" i="27" s="1"/>
  <c r="BB575" i="27"/>
  <c r="E572" i="30"/>
  <c r="BJ573" i="27"/>
  <c r="BK573" i="27" s="1"/>
  <c r="AT573" i="27" s="1"/>
  <c r="H570" i="30" s="1"/>
  <c r="B581" i="30"/>
  <c r="BI574" i="27"/>
  <c r="BH574" i="27"/>
  <c r="BD575" i="27"/>
  <c r="AG576" i="27"/>
  <c r="U576" i="27"/>
  <c r="AP576" i="27"/>
  <c r="AO576" i="27"/>
  <c r="Q576" i="27"/>
  <c r="R576" i="27"/>
  <c r="AD577" i="27"/>
  <c r="AC577" i="27"/>
  <c r="AE576" i="27"/>
  <c r="AF576" i="27" s="1"/>
  <c r="AZ576" i="27" s="1"/>
  <c r="S575" i="27"/>
  <c r="T575" i="27" s="1"/>
  <c r="BA575" i="27" s="1"/>
  <c r="D574" i="30"/>
  <c r="I574" i="30" s="1"/>
  <c r="AX575" i="27" l="1"/>
  <c r="G585" i="30"/>
  <c r="BF588" i="27"/>
  <c r="AM590" i="27"/>
  <c r="AS589" i="27"/>
  <c r="BG575" i="27"/>
  <c r="B588" i="27"/>
  <c r="AU587" i="27"/>
  <c r="BJ574" i="27"/>
  <c r="BK574" i="27" s="1"/>
  <c r="AT574" i="27" s="1"/>
  <c r="H571" i="30" s="1"/>
  <c r="AQ576" i="27"/>
  <c r="AR576" i="27" s="1"/>
  <c r="AY576" i="27" s="1"/>
  <c r="BE576" i="27"/>
  <c r="F573" i="30"/>
  <c r="BC576" i="27"/>
  <c r="BB576" i="27"/>
  <c r="E573" i="30"/>
  <c r="B582" i="30"/>
  <c r="AE577" i="27"/>
  <c r="AF577" i="27" s="1"/>
  <c r="AZ577" i="27" s="1"/>
  <c r="S576" i="27"/>
  <c r="T576" i="27" s="1"/>
  <c r="BA576" i="27" s="1"/>
  <c r="AP577" i="27"/>
  <c r="AO577" i="27"/>
  <c r="U577" i="27"/>
  <c r="BI575" i="27"/>
  <c r="BH575" i="27"/>
  <c r="R577" i="27"/>
  <c r="Q577" i="27"/>
  <c r="BD576" i="27"/>
  <c r="BG576" i="27" s="1"/>
  <c r="AG577" i="27"/>
  <c r="AC578" i="27"/>
  <c r="AD578" i="27"/>
  <c r="D575" i="30"/>
  <c r="I575" i="30" s="1"/>
  <c r="AM591" i="27" l="1"/>
  <c r="AS590" i="27"/>
  <c r="BF589" i="27"/>
  <c r="G586" i="30"/>
  <c r="B589" i="27"/>
  <c r="AU588" i="27"/>
  <c r="BL576" i="27"/>
  <c r="AX576" i="27"/>
  <c r="AQ577" i="27"/>
  <c r="AR577" i="27" s="1"/>
  <c r="AY577" i="27" s="1"/>
  <c r="BE577" i="27"/>
  <c r="F574" i="30"/>
  <c r="BB577" i="27"/>
  <c r="BC577" i="27"/>
  <c r="BL577" i="27" s="1"/>
  <c r="E574" i="30"/>
  <c r="B583" i="30"/>
  <c r="BJ575" i="27"/>
  <c r="BK575" i="27" s="1"/>
  <c r="AT575" i="27" s="1"/>
  <c r="H572" i="30" s="1"/>
  <c r="AG578" i="27"/>
  <c r="Q578" i="27"/>
  <c r="R578" i="27"/>
  <c r="AD579" i="27"/>
  <c r="AC579" i="27"/>
  <c r="BH576" i="27"/>
  <c r="BI576" i="27"/>
  <c r="U578" i="27"/>
  <c r="AO578" i="27"/>
  <c r="AP578" i="27"/>
  <c r="AE578" i="27"/>
  <c r="AF578" i="27" s="1"/>
  <c r="AZ578" i="27" s="1"/>
  <c r="S577" i="27"/>
  <c r="T577" i="27" s="1"/>
  <c r="BA577" i="27" s="1"/>
  <c r="BD577" i="27"/>
  <c r="D576" i="30"/>
  <c r="I576" i="30" s="1"/>
  <c r="AM592" i="27" l="1"/>
  <c r="AS591" i="27"/>
  <c r="G587" i="30"/>
  <c r="BF590" i="27"/>
  <c r="BG577" i="27"/>
  <c r="BI577" i="27" s="1"/>
  <c r="B590" i="27"/>
  <c r="AU589" i="27"/>
  <c r="AX577" i="27"/>
  <c r="AE579" i="27"/>
  <c r="AF579" i="27" s="1"/>
  <c r="AZ579" i="27" s="1"/>
  <c r="BE578" i="27"/>
  <c r="F575" i="30"/>
  <c r="B584" i="30"/>
  <c r="BC578" i="27"/>
  <c r="BB578" i="27"/>
  <c r="E575" i="30"/>
  <c r="AQ578" i="27"/>
  <c r="AR578" i="27" s="1"/>
  <c r="AY578" i="27" s="1"/>
  <c r="BD578" i="27"/>
  <c r="AO579" i="27"/>
  <c r="AP579" i="27"/>
  <c r="BJ576" i="27"/>
  <c r="BK576" i="27" s="1"/>
  <c r="AT576" i="27" s="1"/>
  <c r="H573" i="30" s="1"/>
  <c r="S578" i="27"/>
  <c r="T578" i="27" s="1"/>
  <c r="BA578" i="27" s="1"/>
  <c r="AG579" i="27"/>
  <c r="U579" i="27"/>
  <c r="AC580" i="27"/>
  <c r="AD580" i="27"/>
  <c r="R579" i="27"/>
  <c r="Q579" i="27"/>
  <c r="D577" i="30"/>
  <c r="I577" i="30" s="1"/>
  <c r="BH577" i="27" l="1"/>
  <c r="BF591" i="27"/>
  <c r="G588" i="30"/>
  <c r="AM593" i="27"/>
  <c r="AS592" i="27"/>
  <c r="BG578" i="27"/>
  <c r="B591" i="27"/>
  <c r="AU590" i="27"/>
  <c r="BL578" i="27"/>
  <c r="BJ577" i="27"/>
  <c r="BK577" i="27" s="1"/>
  <c r="AT577" i="27" s="1"/>
  <c r="H574" i="30" s="1"/>
  <c r="AX578" i="27"/>
  <c r="BE579" i="27"/>
  <c r="F576" i="30"/>
  <c r="B585" i="30"/>
  <c r="BB579" i="27"/>
  <c r="BC579" i="27"/>
  <c r="BL579" i="27" s="1"/>
  <c r="E576" i="30"/>
  <c r="U580" i="27"/>
  <c r="AE580" i="27"/>
  <c r="AF580" i="27" s="1"/>
  <c r="AZ580" i="27" s="1"/>
  <c r="BD579" i="27"/>
  <c r="BH578" i="27"/>
  <c r="BI578" i="27"/>
  <c r="AD581" i="27"/>
  <c r="AC581" i="27"/>
  <c r="AO580" i="27"/>
  <c r="AP580" i="27"/>
  <c r="AG580" i="27"/>
  <c r="R580" i="27"/>
  <c r="Q580" i="27"/>
  <c r="AQ579" i="27"/>
  <c r="AR579" i="27" s="1"/>
  <c r="AY579" i="27" s="1"/>
  <c r="S579" i="27"/>
  <c r="T579" i="27" s="1"/>
  <c r="BA579" i="27" s="1"/>
  <c r="D578" i="30"/>
  <c r="I578" i="30" s="1"/>
  <c r="G589" i="30" l="1"/>
  <c r="BF592" i="27"/>
  <c r="AM594" i="27"/>
  <c r="AS593" i="27"/>
  <c r="BG579" i="27"/>
  <c r="BH579" i="27" s="1"/>
  <c r="B592" i="27"/>
  <c r="AU591" i="27"/>
  <c r="S580" i="27"/>
  <c r="T580" i="27" s="1"/>
  <c r="BA580" i="27" s="1"/>
  <c r="BE580" i="27"/>
  <c r="F577" i="30"/>
  <c r="BB580" i="27"/>
  <c r="BC580" i="27"/>
  <c r="E577" i="30"/>
  <c r="B586" i="30"/>
  <c r="BJ578" i="27"/>
  <c r="BK578" i="27" s="1"/>
  <c r="AT578" i="27" s="1"/>
  <c r="H575" i="30" s="1"/>
  <c r="AE581" i="27"/>
  <c r="AF581" i="27" s="1"/>
  <c r="AZ581" i="27" s="1"/>
  <c r="R581" i="27"/>
  <c r="Q581" i="27"/>
  <c r="AQ580" i="27"/>
  <c r="AR580" i="27" s="1"/>
  <c r="AY580" i="27" s="1"/>
  <c r="AG581" i="27"/>
  <c r="AD582" i="27"/>
  <c r="AC582" i="27"/>
  <c r="U581" i="27"/>
  <c r="AO581" i="27"/>
  <c r="AP581" i="27"/>
  <c r="BD580" i="27"/>
  <c r="BG580" i="27" s="1"/>
  <c r="AX579" i="27"/>
  <c r="D579" i="30"/>
  <c r="I579" i="30" s="1"/>
  <c r="BF593" i="27" l="1"/>
  <c r="G590" i="30"/>
  <c r="AM595" i="27"/>
  <c r="AS594" i="27"/>
  <c r="BI579" i="27"/>
  <c r="BJ579" i="27" s="1"/>
  <c r="BK579" i="27" s="1"/>
  <c r="AT579" i="27" s="1"/>
  <c r="H576" i="30" s="1"/>
  <c r="AX580" i="27"/>
  <c r="B593" i="27"/>
  <c r="AU592" i="27"/>
  <c r="BL580" i="27"/>
  <c r="AE582" i="27"/>
  <c r="AF582" i="27" s="1"/>
  <c r="AZ582" i="27" s="1"/>
  <c r="S581" i="27"/>
  <c r="T581" i="27" s="1"/>
  <c r="BA581" i="27" s="1"/>
  <c r="BE581" i="27"/>
  <c r="F578" i="30"/>
  <c r="BB581" i="27"/>
  <c r="BC581" i="27"/>
  <c r="BL581" i="27" s="1"/>
  <c r="E578" i="30"/>
  <c r="B587" i="30"/>
  <c r="AQ581" i="27"/>
  <c r="AR581" i="27" s="1"/>
  <c r="AY581" i="27" s="1"/>
  <c r="BH580" i="27"/>
  <c r="BI580" i="27"/>
  <c r="AG582" i="27"/>
  <c r="AP582" i="27"/>
  <c r="AO582" i="27"/>
  <c r="BD581" i="27"/>
  <c r="BG581" i="27" s="1"/>
  <c r="U582" i="27"/>
  <c r="Q582" i="27"/>
  <c r="R582" i="27"/>
  <c r="AD583" i="27"/>
  <c r="AC583" i="27"/>
  <c r="D580" i="30"/>
  <c r="I580" i="30" s="1"/>
  <c r="BF594" i="27" l="1"/>
  <c r="G591" i="30"/>
  <c r="AM596" i="27"/>
  <c r="AS595" i="27"/>
  <c r="B594" i="27"/>
  <c r="AU593" i="27"/>
  <c r="AX581" i="27"/>
  <c r="AQ582" i="27"/>
  <c r="AR582" i="27" s="1"/>
  <c r="AY582" i="27" s="1"/>
  <c r="BE582" i="27"/>
  <c r="F579" i="30"/>
  <c r="AE583" i="27"/>
  <c r="AF583" i="27" s="1"/>
  <c r="AZ583" i="27" s="1"/>
  <c r="BC582" i="27"/>
  <c r="BB582" i="27"/>
  <c r="E579" i="30"/>
  <c r="B588" i="30"/>
  <c r="S582" i="27"/>
  <c r="T582" i="27" s="1"/>
  <c r="BA582" i="27" s="1"/>
  <c r="U583" i="27"/>
  <c r="AP583" i="27"/>
  <c r="AO583" i="27"/>
  <c r="AQ583" i="27" s="1"/>
  <c r="AR583" i="27" s="1"/>
  <c r="AY583" i="27" s="1"/>
  <c r="R583" i="27"/>
  <c r="Q583" i="27"/>
  <c r="BI581" i="27"/>
  <c r="BH581" i="27"/>
  <c r="BD582" i="27"/>
  <c r="BG582" i="27" s="1"/>
  <c r="BJ580" i="27"/>
  <c r="BK580" i="27" s="1"/>
  <c r="AT580" i="27" s="1"/>
  <c r="H577" i="30" s="1"/>
  <c r="AD584" i="27"/>
  <c r="AC584" i="27"/>
  <c r="AG583" i="27"/>
  <c r="D581" i="30"/>
  <c r="I581" i="30" s="1"/>
  <c r="AX582" i="27" l="1"/>
  <c r="G592" i="30"/>
  <c r="BF595" i="27"/>
  <c r="AM597" i="27"/>
  <c r="AS596" i="27"/>
  <c r="B595" i="27"/>
  <c r="AU594" i="27"/>
  <c r="BL582" i="27"/>
  <c r="S583" i="27"/>
  <c r="T583" i="27" s="1"/>
  <c r="BA583" i="27" s="1"/>
  <c r="AX583" i="27" s="1"/>
  <c r="BE583" i="27"/>
  <c r="F580" i="30"/>
  <c r="AE584" i="27"/>
  <c r="AF584" i="27" s="1"/>
  <c r="AZ584" i="27" s="1"/>
  <c r="BJ581" i="27"/>
  <c r="BK581" i="27" s="1"/>
  <c r="AT581" i="27" s="1"/>
  <c r="H578" i="30" s="1"/>
  <c r="BB583" i="27"/>
  <c r="BC583" i="27"/>
  <c r="BL583" i="27" s="1"/>
  <c r="E580" i="30"/>
  <c r="B589" i="30"/>
  <c r="AC585" i="27"/>
  <c r="AD585" i="27"/>
  <c r="AG584" i="27"/>
  <c r="U584" i="27"/>
  <c r="BD583" i="27"/>
  <c r="BH582" i="27"/>
  <c r="BI582" i="27"/>
  <c r="Q584" i="27"/>
  <c r="R584" i="27"/>
  <c r="AO584" i="27"/>
  <c r="AP584" i="27"/>
  <c r="D582" i="30"/>
  <c r="I582" i="30" s="1"/>
  <c r="AM598" i="27" l="1"/>
  <c r="AS597" i="27"/>
  <c r="BF596" i="27"/>
  <c r="G593" i="30"/>
  <c r="B596" i="27"/>
  <c r="AU595" i="27"/>
  <c r="BG583" i="27"/>
  <c r="BI583" i="27" s="1"/>
  <c r="BE584" i="27"/>
  <c r="F581" i="30"/>
  <c r="BC584" i="27"/>
  <c r="BB584" i="27"/>
  <c r="E581" i="30"/>
  <c r="B590" i="30"/>
  <c r="AQ584" i="27"/>
  <c r="AR584" i="27" s="1"/>
  <c r="AY584" i="27" s="1"/>
  <c r="AP585" i="27"/>
  <c r="AO585" i="27"/>
  <c r="S584" i="27"/>
  <c r="T584" i="27" s="1"/>
  <c r="BA584" i="27" s="1"/>
  <c r="Q585" i="27"/>
  <c r="R585" i="27"/>
  <c r="BJ582" i="27"/>
  <c r="BK582" i="27" s="1"/>
  <c r="AT582" i="27" s="1"/>
  <c r="H579" i="30" s="1"/>
  <c r="BD584" i="27"/>
  <c r="BG584" i="27" s="1"/>
  <c r="AE585" i="27"/>
  <c r="AF585" i="27" s="1"/>
  <c r="AZ585" i="27" s="1"/>
  <c r="BH583" i="27"/>
  <c r="AG585" i="27"/>
  <c r="AC586" i="27"/>
  <c r="AD586" i="27"/>
  <c r="U585" i="27"/>
  <c r="D583" i="30"/>
  <c r="I583" i="30" s="1"/>
  <c r="BF597" i="27" l="1"/>
  <c r="G594" i="30"/>
  <c r="AM599" i="27"/>
  <c r="AS598" i="27"/>
  <c r="B597" i="27"/>
  <c r="AU596" i="27"/>
  <c r="BL584" i="27"/>
  <c r="AX584" i="27"/>
  <c r="BE585" i="27"/>
  <c r="F582" i="30"/>
  <c r="B591" i="30"/>
  <c r="BC585" i="27"/>
  <c r="BB585" i="27"/>
  <c r="E582" i="30"/>
  <c r="BJ583" i="27"/>
  <c r="BK583" i="27" s="1"/>
  <c r="AT583" i="27" s="1"/>
  <c r="H580" i="30" s="1"/>
  <c r="S585" i="27"/>
  <c r="T585" i="27" s="1"/>
  <c r="BA585" i="27" s="1"/>
  <c r="AE586" i="27"/>
  <c r="AF586" i="27" s="1"/>
  <c r="AZ586" i="27" s="1"/>
  <c r="AD587" i="27"/>
  <c r="AC587" i="27"/>
  <c r="Q586" i="27"/>
  <c r="R586" i="27"/>
  <c r="AG586" i="27"/>
  <c r="BI584" i="27"/>
  <c r="BH584" i="27"/>
  <c r="AO586" i="27"/>
  <c r="AP586" i="27"/>
  <c r="AQ585" i="27"/>
  <c r="AR585" i="27" s="1"/>
  <c r="AY585" i="27" s="1"/>
  <c r="BD585" i="27"/>
  <c r="BG585" i="27" s="1"/>
  <c r="U586" i="27"/>
  <c r="D584" i="30"/>
  <c r="I584" i="30" s="1"/>
  <c r="BF598" i="27" l="1"/>
  <c r="G595" i="30"/>
  <c r="AM600" i="27"/>
  <c r="AS599" i="27"/>
  <c r="B598" i="27"/>
  <c r="AU597" i="27"/>
  <c r="BL585" i="27"/>
  <c r="AE587" i="27"/>
  <c r="BJ584" i="27"/>
  <c r="BK584" i="27" s="1"/>
  <c r="AT584" i="27" s="1"/>
  <c r="H581" i="30" s="1"/>
  <c r="BE586" i="27"/>
  <c r="F583" i="30"/>
  <c r="BC586" i="27"/>
  <c r="BB586" i="27"/>
  <c r="E583" i="30"/>
  <c r="AX585" i="27"/>
  <c r="B592" i="30"/>
  <c r="U587" i="27"/>
  <c r="AG587" i="27"/>
  <c r="AO587" i="27"/>
  <c r="AP587" i="27"/>
  <c r="Q587" i="27"/>
  <c r="R587" i="27"/>
  <c r="S586" i="27"/>
  <c r="T586" i="27" s="1"/>
  <c r="BA586" i="27" s="1"/>
  <c r="AC588" i="27"/>
  <c r="AD588" i="27"/>
  <c r="BD586" i="27"/>
  <c r="AQ586" i="27"/>
  <c r="AR586" i="27" s="1"/>
  <c r="AY586" i="27" s="1"/>
  <c r="AF587" i="27"/>
  <c r="AZ587" i="27" s="1"/>
  <c r="BI585" i="27"/>
  <c r="BH585" i="27"/>
  <c r="D585" i="30"/>
  <c r="I585" i="30" s="1"/>
  <c r="BF599" i="27" l="1"/>
  <c r="G596" i="30"/>
  <c r="AM601" i="27"/>
  <c r="AS600" i="27"/>
  <c r="B599" i="27"/>
  <c r="AU598" i="27"/>
  <c r="BG586" i="27"/>
  <c r="BI586" i="27" s="1"/>
  <c r="BL586" i="27"/>
  <c r="BE587" i="27"/>
  <c r="F584" i="30"/>
  <c r="BB587" i="27"/>
  <c r="BC587" i="27"/>
  <c r="E584" i="30"/>
  <c r="B593" i="30"/>
  <c r="AX586" i="27"/>
  <c r="AQ587" i="27"/>
  <c r="AR587" i="27" s="1"/>
  <c r="AY587" i="27" s="1"/>
  <c r="AE588" i="27"/>
  <c r="AF588" i="27" s="1"/>
  <c r="AZ588" i="27" s="1"/>
  <c r="AO588" i="27"/>
  <c r="AP588" i="27"/>
  <c r="AD589" i="27"/>
  <c r="AC589" i="27"/>
  <c r="S587" i="27"/>
  <c r="T587" i="27" s="1"/>
  <c r="BA587" i="27" s="1"/>
  <c r="R588" i="27"/>
  <c r="Q588" i="27"/>
  <c r="U588" i="27"/>
  <c r="AG588" i="27"/>
  <c r="BJ585" i="27"/>
  <c r="BK585" i="27" s="1"/>
  <c r="AT585" i="27" s="1"/>
  <c r="H582" i="30" s="1"/>
  <c r="BD587" i="27"/>
  <c r="BG587" i="27" s="1"/>
  <c r="D586" i="30"/>
  <c r="I586" i="30" s="1"/>
  <c r="BF600" i="27" l="1"/>
  <c r="G597" i="30"/>
  <c r="AM602" i="27"/>
  <c r="AS601" i="27"/>
  <c r="BH586" i="27"/>
  <c r="B600" i="27"/>
  <c r="AU599" i="27"/>
  <c r="BL587" i="27"/>
  <c r="BJ586" i="27"/>
  <c r="BK586" i="27" s="1"/>
  <c r="AT586" i="27" s="1"/>
  <c r="H583" i="30" s="1"/>
  <c r="AX587" i="27"/>
  <c r="BE588" i="27"/>
  <c r="F585" i="30"/>
  <c r="B594" i="30"/>
  <c r="BC588" i="27"/>
  <c r="BB588" i="27"/>
  <c r="E585" i="30"/>
  <c r="S588" i="27"/>
  <c r="T588" i="27" s="1"/>
  <c r="BA588" i="27" s="1"/>
  <c r="AQ588" i="27"/>
  <c r="AR588" i="27" s="1"/>
  <c r="AY588" i="27" s="1"/>
  <c r="AE589" i="27"/>
  <c r="AF589" i="27" s="1"/>
  <c r="AZ589" i="27" s="1"/>
  <c r="R589" i="27"/>
  <c r="Q589" i="27"/>
  <c r="BD588" i="27"/>
  <c r="U589" i="27"/>
  <c r="AG589" i="27"/>
  <c r="AC590" i="27"/>
  <c r="AD590" i="27"/>
  <c r="AO589" i="27"/>
  <c r="AP589" i="27"/>
  <c r="BH587" i="27"/>
  <c r="BI587" i="27"/>
  <c r="D587" i="30"/>
  <c r="I587" i="30" s="1"/>
  <c r="BF601" i="27" l="1"/>
  <c r="G598" i="30"/>
  <c r="AM603" i="27"/>
  <c r="AS602" i="27"/>
  <c r="BG588" i="27"/>
  <c r="B601" i="27"/>
  <c r="AU600" i="27"/>
  <c r="BL588" i="27"/>
  <c r="S589" i="27"/>
  <c r="T589" i="27" s="1"/>
  <c r="BA589" i="27" s="1"/>
  <c r="AX588" i="27"/>
  <c r="BE589" i="27"/>
  <c r="F586" i="30"/>
  <c r="BB589" i="27"/>
  <c r="BC589" i="27"/>
  <c r="E586" i="30"/>
  <c r="BJ587" i="27"/>
  <c r="BK587" i="27" s="1"/>
  <c r="AT587" i="27" s="1"/>
  <c r="H584" i="30" s="1"/>
  <c r="B595" i="30"/>
  <c r="AG590" i="27"/>
  <c r="AQ589" i="27"/>
  <c r="AR589" i="27" s="1"/>
  <c r="AY589" i="27" s="1"/>
  <c r="AP590" i="27"/>
  <c r="AO590" i="27"/>
  <c r="BI588" i="27"/>
  <c r="BH588" i="27"/>
  <c r="AE590" i="27"/>
  <c r="AF590" i="27" s="1"/>
  <c r="AZ590" i="27" s="1"/>
  <c r="U590" i="27"/>
  <c r="R590" i="27"/>
  <c r="Q590" i="27"/>
  <c r="BD589" i="27"/>
  <c r="AD591" i="27"/>
  <c r="AC591" i="27"/>
  <c r="D588" i="30"/>
  <c r="I588" i="30" s="1"/>
  <c r="G599" i="30" l="1"/>
  <c r="BF602" i="27"/>
  <c r="AM604" i="27"/>
  <c r="AS603" i="27"/>
  <c r="AX589" i="27"/>
  <c r="B602" i="27"/>
  <c r="AU601" i="27"/>
  <c r="BL589" i="27"/>
  <c r="AQ590" i="27"/>
  <c r="AR590" i="27" s="1"/>
  <c r="AY590" i="27" s="1"/>
  <c r="BG589" i="27"/>
  <c r="BI589" i="27" s="1"/>
  <c r="BJ588" i="27"/>
  <c r="BK588" i="27" s="1"/>
  <c r="AT588" i="27" s="1"/>
  <c r="H585" i="30" s="1"/>
  <c r="BE590" i="27"/>
  <c r="F587" i="30"/>
  <c r="B596" i="30"/>
  <c r="BC590" i="27"/>
  <c r="BB590" i="27"/>
  <c r="E587" i="30"/>
  <c r="S590" i="27"/>
  <c r="T590" i="27" s="1"/>
  <c r="BA590" i="27" s="1"/>
  <c r="R591" i="27"/>
  <c r="Q591" i="27"/>
  <c r="AP591" i="27"/>
  <c r="AO591" i="27"/>
  <c r="AC592" i="27"/>
  <c r="AD592" i="27"/>
  <c r="BD590" i="27"/>
  <c r="U591" i="27"/>
  <c r="AE591" i="27"/>
  <c r="AF591" i="27" s="1"/>
  <c r="AZ591" i="27" s="1"/>
  <c r="AG591" i="27"/>
  <c r="D589" i="30"/>
  <c r="I589" i="30" s="1"/>
  <c r="G600" i="30" l="1"/>
  <c r="BF603" i="27"/>
  <c r="AM605" i="27"/>
  <c r="AS604" i="27"/>
  <c r="BH589" i="27"/>
  <c r="B603" i="27"/>
  <c r="AU602" i="27"/>
  <c r="AX590" i="27"/>
  <c r="BL590" i="27"/>
  <c r="BJ589" i="27"/>
  <c r="BK589" i="27" s="1"/>
  <c r="AT589" i="27" s="1"/>
  <c r="H586" i="30" s="1"/>
  <c r="S591" i="27"/>
  <c r="T591" i="27" s="1"/>
  <c r="BA591" i="27" s="1"/>
  <c r="AQ591" i="27"/>
  <c r="AR591" i="27" s="1"/>
  <c r="AY591" i="27" s="1"/>
  <c r="BE591" i="27"/>
  <c r="F588" i="30"/>
  <c r="BG590" i="27"/>
  <c r="BI590" i="27" s="1"/>
  <c r="BB591" i="27"/>
  <c r="BC591" i="27"/>
  <c r="BL591" i="27" s="1"/>
  <c r="E588" i="30"/>
  <c r="B597" i="30"/>
  <c r="U592" i="27"/>
  <c r="AO592" i="27"/>
  <c r="AP592" i="27"/>
  <c r="AD593" i="27"/>
  <c r="AC593" i="27"/>
  <c r="AE592" i="27"/>
  <c r="AF592" i="27" s="1"/>
  <c r="AZ592" i="27" s="1"/>
  <c r="R592" i="27"/>
  <c r="Q592" i="27"/>
  <c r="BD591" i="27"/>
  <c r="AG592" i="27"/>
  <c r="D590" i="30"/>
  <c r="I590" i="30" s="1"/>
  <c r="G601" i="30" l="1"/>
  <c r="BF604" i="27"/>
  <c r="AM606" i="27"/>
  <c r="AS605" i="27"/>
  <c r="B604" i="27"/>
  <c r="AU603" i="27"/>
  <c r="BG591" i="27"/>
  <c r="BI591" i="27" s="1"/>
  <c r="AX591" i="27"/>
  <c r="AE593" i="27"/>
  <c r="AF593" i="27" s="1"/>
  <c r="AZ593" i="27" s="1"/>
  <c r="BH590" i="27"/>
  <c r="BJ590" i="27" s="1"/>
  <c r="BK590" i="27" s="1"/>
  <c r="AT590" i="27" s="1"/>
  <c r="H587" i="30" s="1"/>
  <c r="BE592" i="27"/>
  <c r="F589" i="30"/>
  <c r="BB592" i="27"/>
  <c r="BC592" i="27"/>
  <c r="BL592" i="27" s="1"/>
  <c r="E589" i="30"/>
  <c r="B598" i="30"/>
  <c r="S592" i="27"/>
  <c r="T592" i="27" s="1"/>
  <c r="BA592" i="27" s="1"/>
  <c r="R593" i="27"/>
  <c r="Q593" i="27"/>
  <c r="AD594" i="27"/>
  <c r="AC594" i="27"/>
  <c r="AG593" i="27"/>
  <c r="AO593" i="27"/>
  <c r="AP593" i="27"/>
  <c r="U593" i="27"/>
  <c r="AQ592" i="27"/>
  <c r="AR592" i="27" s="1"/>
  <c r="AY592" i="27" s="1"/>
  <c r="BD592" i="27"/>
  <c r="D591" i="30"/>
  <c r="I591" i="30" s="1"/>
  <c r="BF605" i="27" l="1"/>
  <c r="G602" i="30"/>
  <c r="AM607" i="27"/>
  <c r="AS606" i="27"/>
  <c r="BH591" i="27"/>
  <c r="B605" i="27"/>
  <c r="AU604" i="27"/>
  <c r="AE594" i="27"/>
  <c r="BG592" i="27"/>
  <c r="BI592" i="27" s="1"/>
  <c r="BJ591" i="27"/>
  <c r="BK591" i="27" s="1"/>
  <c r="AT591" i="27" s="1"/>
  <c r="H588" i="30" s="1"/>
  <c r="BE593" i="27"/>
  <c r="F590" i="30"/>
  <c r="S593" i="27"/>
  <c r="T593" i="27" s="1"/>
  <c r="BA593" i="27" s="1"/>
  <c r="BB593" i="27"/>
  <c r="BC593" i="27"/>
  <c r="E590" i="30"/>
  <c r="AX592" i="27"/>
  <c r="B599" i="30"/>
  <c r="AP594" i="27"/>
  <c r="AO594" i="27"/>
  <c r="AG594" i="27"/>
  <c r="BD593" i="27"/>
  <c r="AF594" i="27"/>
  <c r="AZ594" i="27" s="1"/>
  <c r="U594" i="27"/>
  <c r="AQ593" i="27"/>
  <c r="AR593" i="27" s="1"/>
  <c r="AY593" i="27" s="1"/>
  <c r="R594" i="27"/>
  <c r="Q594" i="27"/>
  <c r="S594" i="27" s="1"/>
  <c r="T594" i="27" s="1"/>
  <c r="BA594" i="27" s="1"/>
  <c r="AC595" i="27"/>
  <c r="AD595" i="27"/>
  <c r="D592" i="30"/>
  <c r="I592" i="30" s="1"/>
  <c r="AM608" i="27" l="1"/>
  <c r="AS607" i="27"/>
  <c r="BF606" i="27"/>
  <c r="G603" i="30"/>
  <c r="BG593" i="27"/>
  <c r="BH592" i="27"/>
  <c r="B606" i="27"/>
  <c r="AU605" i="27"/>
  <c r="BL593" i="27"/>
  <c r="AQ594" i="27"/>
  <c r="AR594" i="27" s="1"/>
  <c r="AY594" i="27" s="1"/>
  <c r="AX594" i="27" s="1"/>
  <c r="BJ592" i="27"/>
  <c r="BK592" i="27" s="1"/>
  <c r="AT592" i="27" s="1"/>
  <c r="H589" i="30" s="1"/>
  <c r="BE594" i="27"/>
  <c r="F591" i="30"/>
  <c r="AE595" i="27"/>
  <c r="AF595" i="27" s="1"/>
  <c r="AZ595" i="27" s="1"/>
  <c r="BC594" i="27"/>
  <c r="BB594" i="27"/>
  <c r="E591" i="30"/>
  <c r="B600" i="30"/>
  <c r="AX593" i="27"/>
  <c r="Q595" i="27"/>
  <c r="R595" i="27"/>
  <c r="U595" i="27"/>
  <c r="BI593" i="27"/>
  <c r="BH593" i="27"/>
  <c r="AG595" i="27"/>
  <c r="BD594" i="27"/>
  <c r="BG594" i="27" s="1"/>
  <c r="AO595" i="27"/>
  <c r="AP595" i="27"/>
  <c r="AD596" i="27"/>
  <c r="AC596" i="27"/>
  <c r="D593" i="30"/>
  <c r="I593" i="30" s="1"/>
  <c r="BF607" i="27" l="1"/>
  <c r="G604" i="30"/>
  <c r="AM609" i="27"/>
  <c r="AS608" i="27"/>
  <c r="B607" i="27"/>
  <c r="AU606" i="27"/>
  <c r="BL594" i="27"/>
  <c r="BJ593" i="27"/>
  <c r="BK593" i="27" s="1"/>
  <c r="AT593" i="27" s="1"/>
  <c r="H590" i="30" s="1"/>
  <c r="AE596" i="27"/>
  <c r="AF596" i="27" s="1"/>
  <c r="AZ596" i="27" s="1"/>
  <c r="BE595" i="27"/>
  <c r="F592" i="30"/>
  <c r="B601" i="30"/>
  <c r="BC595" i="27"/>
  <c r="BL595" i="27" s="1"/>
  <c r="BB595" i="27"/>
  <c r="E592" i="30"/>
  <c r="BH594" i="27"/>
  <c r="BI594" i="27"/>
  <c r="AG596" i="27"/>
  <c r="AQ595" i="27"/>
  <c r="AR595" i="27" s="1"/>
  <c r="AY595" i="27" s="1"/>
  <c r="BD595" i="27"/>
  <c r="AD597" i="27"/>
  <c r="AC597" i="27"/>
  <c r="AP596" i="27"/>
  <c r="AO596" i="27"/>
  <c r="S595" i="27"/>
  <c r="T595" i="27" s="1"/>
  <c r="BA595" i="27" s="1"/>
  <c r="U596" i="27"/>
  <c r="R596" i="27"/>
  <c r="Q596" i="27"/>
  <c r="D594" i="30"/>
  <c r="I594" i="30" s="1"/>
  <c r="AM610" i="27" l="1"/>
  <c r="AS609" i="27"/>
  <c r="BF608" i="27"/>
  <c r="G605" i="30"/>
  <c r="BG595" i="27"/>
  <c r="BI595" i="27" s="1"/>
  <c r="B608" i="27"/>
  <c r="AU607" i="27"/>
  <c r="AE597" i="27"/>
  <c r="AF597" i="27" s="1"/>
  <c r="AZ597" i="27" s="1"/>
  <c r="BE596" i="27"/>
  <c r="F593" i="30"/>
  <c r="BC596" i="27"/>
  <c r="BB596" i="27"/>
  <c r="E593" i="30"/>
  <c r="B602" i="30"/>
  <c r="AQ596" i="27"/>
  <c r="AR596" i="27" s="1"/>
  <c r="AY596" i="27" s="1"/>
  <c r="AG597" i="27"/>
  <c r="AP597" i="27"/>
  <c r="AO597" i="27"/>
  <c r="AD598" i="27"/>
  <c r="AC598" i="27"/>
  <c r="AX595" i="27"/>
  <c r="Q597" i="27"/>
  <c r="R597" i="27"/>
  <c r="BD596" i="27"/>
  <c r="BG596" i="27" s="1"/>
  <c r="U597" i="27"/>
  <c r="S596" i="27"/>
  <c r="T596" i="27" s="1"/>
  <c r="BA596" i="27" s="1"/>
  <c r="BJ594" i="27"/>
  <c r="BK594" i="27" s="1"/>
  <c r="AT594" i="27" s="1"/>
  <c r="H591" i="30" s="1"/>
  <c r="D595" i="30"/>
  <c r="I595" i="30" s="1"/>
  <c r="BH595" i="27" l="1"/>
  <c r="BF609" i="27"/>
  <c r="G606" i="30"/>
  <c r="AM611" i="27"/>
  <c r="AS610" i="27"/>
  <c r="B609" i="27"/>
  <c r="AU608" i="27"/>
  <c r="BL596" i="27"/>
  <c r="AQ597" i="27"/>
  <c r="AR597" i="27" s="1"/>
  <c r="AY597" i="27" s="1"/>
  <c r="AE598" i="27"/>
  <c r="AF598" i="27" s="1"/>
  <c r="AZ598" i="27" s="1"/>
  <c r="BE597" i="27"/>
  <c r="F594" i="30"/>
  <c r="BB597" i="27"/>
  <c r="BC597" i="27"/>
  <c r="E594" i="30"/>
  <c r="B603" i="30"/>
  <c r="BH596" i="27"/>
  <c r="BI596" i="27"/>
  <c r="AD599" i="27"/>
  <c r="AC599" i="27"/>
  <c r="BD597" i="27"/>
  <c r="S597" i="27"/>
  <c r="T597" i="27" s="1"/>
  <c r="BA597" i="27" s="1"/>
  <c r="U598" i="27"/>
  <c r="AP598" i="27"/>
  <c r="AO598" i="27"/>
  <c r="AG598" i="27"/>
  <c r="R598" i="27"/>
  <c r="Q598" i="27"/>
  <c r="BJ595" i="27"/>
  <c r="BK595" i="27" s="1"/>
  <c r="AT595" i="27" s="1"/>
  <c r="H592" i="30" s="1"/>
  <c r="AX596" i="27"/>
  <c r="D596" i="30"/>
  <c r="I596" i="30" s="1"/>
  <c r="AX597" i="27" l="1"/>
  <c r="BF610" i="27"/>
  <c r="G607" i="30"/>
  <c r="AM612" i="27"/>
  <c r="AS611" i="27"/>
  <c r="BG597" i="27"/>
  <c r="BH597" i="27" s="1"/>
  <c r="B610" i="27"/>
  <c r="AU609" i="27"/>
  <c r="AQ598" i="27"/>
  <c r="AR598" i="27" s="1"/>
  <c r="AY598" i="27" s="1"/>
  <c r="BL597" i="27"/>
  <c r="AE599" i="27"/>
  <c r="AF599" i="27" s="1"/>
  <c r="AZ599" i="27" s="1"/>
  <c r="BE598" i="27"/>
  <c r="F595" i="30"/>
  <c r="BB598" i="27"/>
  <c r="BC598" i="27"/>
  <c r="BL598" i="27" s="1"/>
  <c r="E595" i="30"/>
  <c r="B604" i="30"/>
  <c r="S598" i="27"/>
  <c r="T598" i="27" s="1"/>
  <c r="BA598" i="27" s="1"/>
  <c r="AO599" i="27"/>
  <c r="AP599" i="27"/>
  <c r="U599" i="27"/>
  <c r="AG599" i="27"/>
  <c r="BD598" i="27"/>
  <c r="BI597" i="27"/>
  <c r="AC600" i="27"/>
  <c r="AD600" i="27"/>
  <c r="BJ596" i="27"/>
  <c r="BK596" i="27" s="1"/>
  <c r="AT596" i="27" s="1"/>
  <c r="H593" i="30" s="1"/>
  <c r="R599" i="27"/>
  <c r="Q599" i="27"/>
  <c r="D597" i="30"/>
  <c r="I597" i="30" s="1"/>
  <c r="BF611" i="27" l="1"/>
  <c r="G608" i="30"/>
  <c r="AM613" i="27"/>
  <c r="AS612" i="27"/>
  <c r="AX598" i="27"/>
  <c r="BG598" i="27"/>
  <c r="BI598" i="27" s="1"/>
  <c r="B611" i="27"/>
  <c r="AU610" i="27"/>
  <c r="BJ597" i="27"/>
  <c r="BK597" i="27" s="1"/>
  <c r="AT597" i="27" s="1"/>
  <c r="H594" i="30" s="1"/>
  <c r="BE599" i="27"/>
  <c r="F596" i="30"/>
  <c r="BC599" i="27"/>
  <c r="BL599" i="27" s="1"/>
  <c r="BB599" i="27"/>
  <c r="E596" i="30"/>
  <c r="B605" i="30"/>
  <c r="AD601" i="27"/>
  <c r="AC601" i="27"/>
  <c r="U600" i="27"/>
  <c r="BD599" i="27"/>
  <c r="AP600" i="27"/>
  <c r="AO600" i="27"/>
  <c r="AQ599" i="27"/>
  <c r="AR599" i="27" s="1"/>
  <c r="AY599" i="27" s="1"/>
  <c r="AE600" i="27"/>
  <c r="AF600" i="27" s="1"/>
  <c r="AZ600" i="27" s="1"/>
  <c r="AG600" i="27"/>
  <c r="S599" i="27"/>
  <c r="T599" i="27" s="1"/>
  <c r="BA599" i="27" s="1"/>
  <c r="R600" i="27"/>
  <c r="Q600" i="27"/>
  <c r="D598" i="30"/>
  <c r="I598" i="30" s="1"/>
  <c r="BH598" i="27" l="1"/>
  <c r="BF612" i="27"/>
  <c r="G609" i="30"/>
  <c r="AM614" i="27"/>
  <c r="AS613" i="27"/>
  <c r="BG599" i="27"/>
  <c r="BH599" i="27" s="1"/>
  <c r="B612" i="27"/>
  <c r="AU611" i="27"/>
  <c r="AQ600" i="27"/>
  <c r="AR600" i="27" s="1"/>
  <c r="AY600" i="27" s="1"/>
  <c r="AE601" i="27"/>
  <c r="AF601" i="27" s="1"/>
  <c r="AZ601" i="27" s="1"/>
  <c r="BJ598" i="27"/>
  <c r="BK598" i="27" s="1"/>
  <c r="AT598" i="27" s="1"/>
  <c r="H595" i="30" s="1"/>
  <c r="BE600" i="27"/>
  <c r="F597" i="30"/>
  <c r="B606" i="30"/>
  <c r="BC600" i="27"/>
  <c r="BB600" i="27"/>
  <c r="E597" i="30"/>
  <c r="BD600" i="27"/>
  <c r="AG601" i="27"/>
  <c r="AD602" i="27"/>
  <c r="AC602" i="27"/>
  <c r="AE602" i="27" s="1"/>
  <c r="AF602" i="27" s="1"/>
  <c r="AZ602" i="27" s="1"/>
  <c r="AP601" i="27"/>
  <c r="AO601" i="27"/>
  <c r="S600" i="27"/>
  <c r="T600" i="27" s="1"/>
  <c r="BA600" i="27" s="1"/>
  <c r="AX599" i="27"/>
  <c r="U601" i="27"/>
  <c r="R601" i="27"/>
  <c r="Q601" i="27"/>
  <c r="D599" i="30"/>
  <c r="I599" i="30" s="1"/>
  <c r="AM615" i="27" l="1"/>
  <c r="AS614" i="27"/>
  <c r="BF613" i="27"/>
  <c r="G610" i="30"/>
  <c r="BI599" i="27"/>
  <c r="AX600" i="27"/>
  <c r="BG600" i="27"/>
  <c r="BH600" i="27" s="1"/>
  <c r="B613" i="27"/>
  <c r="AU612" i="27"/>
  <c r="AQ601" i="27"/>
  <c r="AR601" i="27" s="1"/>
  <c r="AY601" i="27" s="1"/>
  <c r="BL600" i="27"/>
  <c r="BE601" i="27"/>
  <c r="F598" i="30"/>
  <c r="BB601" i="27"/>
  <c r="BC601" i="27"/>
  <c r="BL601" i="27" s="1"/>
  <c r="E598" i="30"/>
  <c r="B607" i="30"/>
  <c r="S601" i="27"/>
  <c r="T601" i="27" s="1"/>
  <c r="BA601" i="27" s="1"/>
  <c r="AP602" i="27"/>
  <c r="AO602" i="27"/>
  <c r="AD603" i="27"/>
  <c r="AC603" i="27"/>
  <c r="BD601" i="27"/>
  <c r="BJ599" i="27"/>
  <c r="BK599" i="27" s="1"/>
  <c r="AT599" i="27" s="1"/>
  <c r="H596" i="30" s="1"/>
  <c r="U602" i="27"/>
  <c r="AG602" i="27"/>
  <c r="Q602" i="27"/>
  <c r="R602" i="27"/>
  <c r="D600" i="30"/>
  <c r="I600" i="30" s="1"/>
  <c r="AX601" i="27" l="1"/>
  <c r="BI600" i="27"/>
  <c r="G611" i="30"/>
  <c r="BF614" i="27"/>
  <c r="AM616" i="27"/>
  <c r="AS615" i="27"/>
  <c r="BG601" i="27"/>
  <c r="B614" i="27"/>
  <c r="AU613" i="27"/>
  <c r="AQ602" i="27"/>
  <c r="AR602" i="27" s="1"/>
  <c r="AY602" i="27" s="1"/>
  <c r="AE603" i="27"/>
  <c r="AF603" i="27" s="1"/>
  <c r="AZ603" i="27" s="1"/>
  <c r="BE602" i="27"/>
  <c r="F599" i="30"/>
  <c r="BC602" i="27"/>
  <c r="BL602" i="27" s="1"/>
  <c r="BB602" i="27"/>
  <c r="E599" i="30"/>
  <c r="BJ600" i="27"/>
  <c r="BK600" i="27" s="1"/>
  <c r="AT600" i="27" s="1"/>
  <c r="H597" i="30" s="1"/>
  <c r="B608" i="30"/>
  <c r="R603" i="27"/>
  <c r="Q603" i="27"/>
  <c r="AG603" i="27"/>
  <c r="BD602" i="27"/>
  <c r="BI601" i="27"/>
  <c r="BH601" i="27"/>
  <c r="S602" i="27"/>
  <c r="T602" i="27" s="1"/>
  <c r="BA602" i="27" s="1"/>
  <c r="U603" i="27"/>
  <c r="AC604" i="27"/>
  <c r="AD604" i="27"/>
  <c r="AO603" i="27"/>
  <c r="AP603" i="27"/>
  <c r="D601" i="30"/>
  <c r="I601" i="30" s="1"/>
  <c r="G612" i="30" l="1"/>
  <c r="BF615" i="27"/>
  <c r="AM617" i="27"/>
  <c r="AS616" i="27"/>
  <c r="AX602" i="27"/>
  <c r="BG602" i="27"/>
  <c r="BI602" i="27" s="1"/>
  <c r="B615" i="27"/>
  <c r="AU614" i="27"/>
  <c r="BE603" i="27"/>
  <c r="F600" i="30"/>
  <c r="BB603" i="27"/>
  <c r="BC603" i="27"/>
  <c r="BL603" i="27" s="1"/>
  <c r="E600" i="30"/>
  <c r="S603" i="27"/>
  <c r="T603" i="27" s="1"/>
  <c r="BA603" i="27" s="1"/>
  <c r="B609" i="30"/>
  <c r="BJ601" i="27"/>
  <c r="BK601" i="27" s="1"/>
  <c r="AT601" i="27" s="1"/>
  <c r="H598" i="30" s="1"/>
  <c r="AP604" i="27"/>
  <c r="AO604" i="27"/>
  <c r="AE604" i="27"/>
  <c r="AF604" i="27" s="1"/>
  <c r="AZ604" i="27" s="1"/>
  <c r="AD605" i="27"/>
  <c r="AC605" i="27"/>
  <c r="AE605" i="27" s="1"/>
  <c r="U604" i="27"/>
  <c r="AG604" i="27"/>
  <c r="Q604" i="27"/>
  <c r="R604" i="27"/>
  <c r="BD603" i="27"/>
  <c r="BG603" i="27" s="1"/>
  <c r="AQ603" i="27"/>
  <c r="AR603" i="27" s="1"/>
  <c r="AY603" i="27" s="1"/>
  <c r="D602" i="30"/>
  <c r="I602" i="30" s="1"/>
  <c r="BH602" i="27" l="1"/>
  <c r="BF616" i="27"/>
  <c r="G613" i="30"/>
  <c r="AM618" i="27"/>
  <c r="AS617" i="27"/>
  <c r="B616" i="27"/>
  <c r="AU615" i="27"/>
  <c r="AQ604" i="27"/>
  <c r="AR604" i="27" s="1"/>
  <c r="AY604" i="27" s="1"/>
  <c r="BJ602" i="27"/>
  <c r="BK602" i="27" s="1"/>
  <c r="AT602" i="27" s="1"/>
  <c r="H599" i="30" s="1"/>
  <c r="AX603" i="27"/>
  <c r="BE604" i="27"/>
  <c r="F601" i="30"/>
  <c r="BB604" i="27"/>
  <c r="BC604" i="27"/>
  <c r="BL604" i="27" s="1"/>
  <c r="E601" i="30"/>
  <c r="B610" i="30"/>
  <c r="BD604" i="27"/>
  <c r="U605" i="27"/>
  <c r="S604" i="27"/>
  <c r="T604" i="27" s="1"/>
  <c r="BA604" i="27" s="1"/>
  <c r="AF605" i="27"/>
  <c r="AZ605" i="27" s="1"/>
  <c r="AO605" i="27"/>
  <c r="AP605" i="27"/>
  <c r="BI603" i="27"/>
  <c r="BH603" i="27"/>
  <c r="R605" i="27"/>
  <c r="Q605" i="27"/>
  <c r="AG605" i="27"/>
  <c r="AD606" i="27"/>
  <c r="AC606" i="27"/>
  <c r="D603" i="30"/>
  <c r="I603" i="30" s="1"/>
  <c r="BF617" i="27" l="1"/>
  <c r="G614" i="30"/>
  <c r="AM619" i="27"/>
  <c r="AS618" i="27"/>
  <c r="AX604" i="27"/>
  <c r="B617" i="27"/>
  <c r="AU616" i="27"/>
  <c r="BG604" i="27"/>
  <c r="BI604" i="27" s="1"/>
  <c r="S605" i="27"/>
  <c r="T605" i="27" s="1"/>
  <c r="BA605" i="27" s="1"/>
  <c r="AQ605" i="27"/>
  <c r="AR605" i="27" s="1"/>
  <c r="AY605" i="27" s="1"/>
  <c r="AX605" i="27" s="1"/>
  <c r="BE605" i="27"/>
  <c r="F602" i="30"/>
  <c r="BJ603" i="27"/>
  <c r="BK603" i="27" s="1"/>
  <c r="AT603" i="27" s="1"/>
  <c r="H600" i="30" s="1"/>
  <c r="BC605" i="27"/>
  <c r="BB605" i="27"/>
  <c r="E602" i="30"/>
  <c r="B611" i="30"/>
  <c r="AO606" i="27"/>
  <c r="AP606" i="27"/>
  <c r="AG606" i="27"/>
  <c r="Q606" i="27"/>
  <c r="R606" i="27"/>
  <c r="U606" i="27"/>
  <c r="BD605" i="27"/>
  <c r="AE606" i="27"/>
  <c r="AF606" i="27" s="1"/>
  <c r="AZ606" i="27" s="1"/>
  <c r="AD607" i="27"/>
  <c r="AC607" i="27"/>
  <c r="D604" i="30"/>
  <c r="I604" i="30" s="1"/>
  <c r="BF618" i="27" l="1"/>
  <c r="G615" i="30"/>
  <c r="AM620" i="27"/>
  <c r="AS619" i="27"/>
  <c r="BH604" i="27"/>
  <c r="B618" i="27"/>
  <c r="AU617" i="27"/>
  <c r="BL605" i="27"/>
  <c r="BG605" i="27"/>
  <c r="BI605" i="27" s="1"/>
  <c r="AE607" i="27"/>
  <c r="AF607" i="27" s="1"/>
  <c r="AZ607" i="27" s="1"/>
  <c r="BE606" i="27"/>
  <c r="F603" i="30"/>
  <c r="BC606" i="27"/>
  <c r="BL606" i="27" s="1"/>
  <c r="BB606" i="27"/>
  <c r="E603" i="30"/>
  <c r="B612" i="30"/>
  <c r="BJ604" i="27"/>
  <c r="BK604" i="27" s="1"/>
  <c r="AT604" i="27" s="1"/>
  <c r="H601" i="30" s="1"/>
  <c r="S606" i="27"/>
  <c r="T606" i="27" s="1"/>
  <c r="BA606" i="27" s="1"/>
  <c r="AG607" i="27"/>
  <c r="AC608" i="27"/>
  <c r="AD608" i="27"/>
  <c r="BD606" i="27"/>
  <c r="U607" i="27"/>
  <c r="R607" i="27"/>
  <c r="Q607" i="27"/>
  <c r="AQ606" i="27"/>
  <c r="AR606" i="27" s="1"/>
  <c r="AY606" i="27" s="1"/>
  <c r="AP607" i="27"/>
  <c r="AO607" i="27"/>
  <c r="D605" i="30"/>
  <c r="I605" i="30" s="1"/>
  <c r="BF619" i="27" l="1"/>
  <c r="G616" i="30"/>
  <c r="AM621" i="27"/>
  <c r="AS620" i="27"/>
  <c r="BG606" i="27"/>
  <c r="B619" i="27"/>
  <c r="AU618" i="27"/>
  <c r="BH605" i="27"/>
  <c r="BJ605" i="27" s="1"/>
  <c r="BK605" i="27" s="1"/>
  <c r="AT605" i="27" s="1"/>
  <c r="H602" i="30" s="1"/>
  <c r="AX606" i="27"/>
  <c r="S607" i="27"/>
  <c r="T607" i="27" s="1"/>
  <c r="BA607" i="27" s="1"/>
  <c r="BE607" i="27"/>
  <c r="F604" i="30"/>
  <c r="BB607" i="27"/>
  <c r="BC607" i="27"/>
  <c r="BL607" i="27" s="1"/>
  <c r="E604" i="30"/>
  <c r="B613" i="30"/>
  <c r="AP608" i="27"/>
  <c r="AO608" i="27"/>
  <c r="Q608" i="27"/>
  <c r="R608" i="27"/>
  <c r="U608" i="27"/>
  <c r="BD607" i="27"/>
  <c r="BH606" i="27"/>
  <c r="BI606" i="27"/>
  <c r="AE608" i="27"/>
  <c r="AF608" i="27" s="1"/>
  <c r="AZ608" i="27" s="1"/>
  <c r="AD609" i="27"/>
  <c r="AC609" i="27"/>
  <c r="AG608" i="27"/>
  <c r="AQ607" i="27"/>
  <c r="AR607" i="27" s="1"/>
  <c r="AY607" i="27" s="1"/>
  <c r="AX607" i="27" s="1"/>
  <c r="D606" i="30"/>
  <c r="I606" i="30" s="1"/>
  <c r="BF620" i="27" l="1"/>
  <c r="G617" i="30"/>
  <c r="AM622" i="27"/>
  <c r="AS621" i="27"/>
  <c r="BG607" i="27"/>
  <c r="BH607" i="27" s="1"/>
  <c r="B620" i="27"/>
  <c r="AU619" i="27"/>
  <c r="AE609" i="27"/>
  <c r="AF609" i="27" s="1"/>
  <c r="AZ609" i="27" s="1"/>
  <c r="BE608" i="27"/>
  <c r="F605" i="30"/>
  <c r="BC608" i="27"/>
  <c r="BB608" i="27"/>
  <c r="E605" i="30"/>
  <c r="B614" i="30"/>
  <c r="AQ608" i="27"/>
  <c r="AR608" i="27" s="1"/>
  <c r="AY608" i="27" s="1"/>
  <c r="AC610" i="27"/>
  <c r="AD610" i="27"/>
  <c r="S608" i="27"/>
  <c r="T608" i="27" s="1"/>
  <c r="BA608" i="27" s="1"/>
  <c r="AG609" i="27"/>
  <c r="BJ606" i="27"/>
  <c r="BK606" i="27" s="1"/>
  <c r="AT606" i="27" s="1"/>
  <c r="H603" i="30" s="1"/>
  <c r="Q609" i="27"/>
  <c r="R609" i="27"/>
  <c r="BD608" i="27"/>
  <c r="U609" i="27"/>
  <c r="AP609" i="27"/>
  <c r="AO609" i="27"/>
  <c r="D607" i="30"/>
  <c r="I607" i="30" s="1"/>
  <c r="BI607" i="27" l="1"/>
  <c r="BF621" i="27"/>
  <c r="G618" i="30"/>
  <c r="AM623" i="27"/>
  <c r="AS622" i="27"/>
  <c r="B621" i="27"/>
  <c r="AU620" i="27"/>
  <c r="BJ607" i="27"/>
  <c r="BK607" i="27" s="1"/>
  <c r="AT607" i="27" s="1"/>
  <c r="H604" i="30" s="1"/>
  <c r="BL608" i="27"/>
  <c r="BG608" i="27"/>
  <c r="BH608" i="27" s="1"/>
  <c r="AX608" i="27"/>
  <c r="BE609" i="27"/>
  <c r="F606" i="30"/>
  <c r="BC609" i="27"/>
  <c r="BB609" i="27"/>
  <c r="E606" i="30"/>
  <c r="B615" i="30"/>
  <c r="AG610" i="27"/>
  <c r="AD611" i="27"/>
  <c r="AC611" i="27"/>
  <c r="Q610" i="27"/>
  <c r="R610" i="27"/>
  <c r="AE610" i="27"/>
  <c r="AF610" i="27" s="1"/>
  <c r="AZ610" i="27" s="1"/>
  <c r="BD609" i="27"/>
  <c r="BG609" i="27" s="1"/>
  <c r="U610" i="27"/>
  <c r="S609" i="27"/>
  <c r="T609" i="27" s="1"/>
  <c r="BA609" i="27" s="1"/>
  <c r="AQ609" i="27"/>
  <c r="AR609" i="27" s="1"/>
  <c r="AY609" i="27" s="1"/>
  <c r="AP610" i="27"/>
  <c r="AO610" i="27"/>
  <c r="D608" i="30"/>
  <c r="I608" i="30" s="1"/>
  <c r="BF622" i="27" l="1"/>
  <c r="G619" i="30"/>
  <c r="BI608" i="27"/>
  <c r="AM624" i="27"/>
  <c r="AS623" i="27"/>
  <c r="B622" i="27"/>
  <c r="AU621" i="27"/>
  <c r="BL609" i="27"/>
  <c r="BE610" i="27"/>
  <c r="F607" i="30"/>
  <c r="S610" i="27"/>
  <c r="T610" i="27" s="1"/>
  <c r="BA610" i="27" s="1"/>
  <c r="BB610" i="27"/>
  <c r="BC610" i="27"/>
  <c r="BL610" i="27" s="1"/>
  <c r="E607" i="30"/>
  <c r="AX609" i="27"/>
  <c r="B616" i="30"/>
  <c r="BJ608" i="27"/>
  <c r="BK608" i="27" s="1"/>
  <c r="AT608" i="27" s="1"/>
  <c r="H605" i="30" s="1"/>
  <c r="AE611" i="27"/>
  <c r="AF611" i="27" s="1"/>
  <c r="AZ611" i="27" s="1"/>
  <c r="AO611" i="27"/>
  <c r="AP611" i="27"/>
  <c r="BD610" i="27"/>
  <c r="BG610" i="27" s="1"/>
  <c r="BI609" i="27"/>
  <c r="BH609" i="27"/>
  <c r="Q611" i="27"/>
  <c r="R611" i="27"/>
  <c r="AD612" i="27"/>
  <c r="AC612" i="27"/>
  <c r="U611" i="27"/>
  <c r="AQ610" i="27"/>
  <c r="AR610" i="27" s="1"/>
  <c r="AY610" i="27" s="1"/>
  <c r="AG611" i="27"/>
  <c r="D609" i="30"/>
  <c r="I609" i="30" s="1"/>
  <c r="BF623" i="27" l="1"/>
  <c r="G620" i="30"/>
  <c r="AM625" i="27"/>
  <c r="AS624" i="27"/>
  <c r="B623" i="27"/>
  <c r="AU622" i="27"/>
  <c r="AX610" i="27"/>
  <c r="AE612" i="27"/>
  <c r="AF612" i="27" s="1"/>
  <c r="AZ612" i="27" s="1"/>
  <c r="AQ611" i="27"/>
  <c r="AR611" i="27" s="1"/>
  <c r="AY611" i="27" s="1"/>
  <c r="BE611" i="27"/>
  <c r="F608" i="30"/>
  <c r="B617" i="30"/>
  <c r="BJ609" i="27"/>
  <c r="BK609" i="27" s="1"/>
  <c r="AT609" i="27" s="1"/>
  <c r="H606" i="30" s="1"/>
  <c r="BB611" i="27"/>
  <c r="BC611" i="27"/>
  <c r="BL611" i="27" s="1"/>
  <c r="E608" i="30"/>
  <c r="S611" i="27"/>
  <c r="T611" i="27" s="1"/>
  <c r="BA611" i="27" s="1"/>
  <c r="BI610" i="27"/>
  <c r="BH610" i="27"/>
  <c r="AP612" i="27"/>
  <c r="AO612" i="27"/>
  <c r="AG612" i="27"/>
  <c r="BD611" i="27"/>
  <c r="BG611" i="27" s="1"/>
  <c r="U612" i="27"/>
  <c r="AC613" i="27"/>
  <c r="AD613" i="27"/>
  <c r="R612" i="27"/>
  <c r="Q612" i="27"/>
  <c r="D610" i="30"/>
  <c r="I610" i="30" s="1"/>
  <c r="BF624" i="27" l="1"/>
  <c r="G621" i="30"/>
  <c r="AM626" i="27"/>
  <c r="AS625" i="27"/>
  <c r="B624" i="27"/>
  <c r="AU623" i="27"/>
  <c r="AX611" i="27"/>
  <c r="BJ610" i="27"/>
  <c r="BK610" i="27" s="1"/>
  <c r="AT610" i="27" s="1"/>
  <c r="H607" i="30" s="1"/>
  <c r="BE612" i="27"/>
  <c r="F609" i="30"/>
  <c r="BB612" i="27"/>
  <c r="BC612" i="27"/>
  <c r="BL612" i="27" s="1"/>
  <c r="E609" i="30"/>
  <c r="B618" i="30"/>
  <c r="AQ612" i="27"/>
  <c r="AR612" i="27" s="1"/>
  <c r="AY612" i="27" s="1"/>
  <c r="AE613" i="27"/>
  <c r="AF613" i="27" s="1"/>
  <c r="AZ613" i="27" s="1"/>
  <c r="U613" i="27"/>
  <c r="BI611" i="27"/>
  <c r="BH611" i="27"/>
  <c r="S612" i="27"/>
  <c r="T612" i="27" s="1"/>
  <c r="BA612" i="27" s="1"/>
  <c r="AC614" i="27"/>
  <c r="AD614" i="27"/>
  <c r="BD612" i="27"/>
  <c r="BG612" i="27" s="1"/>
  <c r="Q613" i="27"/>
  <c r="R613" i="27"/>
  <c r="AG613" i="27"/>
  <c r="AP613" i="27"/>
  <c r="AO613" i="27"/>
  <c r="D611" i="30"/>
  <c r="I611" i="30" s="1"/>
  <c r="AM627" i="27" l="1"/>
  <c r="AS626" i="27"/>
  <c r="G622" i="30"/>
  <c r="BF625" i="27"/>
  <c r="B625" i="27"/>
  <c r="AU624" i="27"/>
  <c r="BJ611" i="27"/>
  <c r="BK611" i="27" s="1"/>
  <c r="AT611" i="27" s="1"/>
  <c r="H608" i="30" s="1"/>
  <c r="AX612" i="27"/>
  <c r="BE613" i="27"/>
  <c r="F610" i="30"/>
  <c r="B619" i="30"/>
  <c r="BB613" i="27"/>
  <c r="BC613" i="27"/>
  <c r="BL613" i="27" s="1"/>
  <c r="E610" i="30"/>
  <c r="Q614" i="27"/>
  <c r="R614" i="27"/>
  <c r="U614" i="27"/>
  <c r="AC615" i="27"/>
  <c r="AD615" i="27"/>
  <c r="BD613" i="27"/>
  <c r="AG614" i="27"/>
  <c r="BH612" i="27"/>
  <c r="BI612" i="27"/>
  <c r="S613" i="27"/>
  <c r="T613" i="27" s="1"/>
  <c r="BA613" i="27" s="1"/>
  <c r="AE614" i="27"/>
  <c r="AF614" i="27" s="1"/>
  <c r="AZ614" i="27" s="1"/>
  <c r="AQ613" i="27"/>
  <c r="AR613" i="27" s="1"/>
  <c r="AY613" i="27" s="1"/>
  <c r="AP614" i="27"/>
  <c r="AO614" i="27"/>
  <c r="D612" i="30"/>
  <c r="I612" i="30" s="1"/>
  <c r="BF626" i="27" l="1"/>
  <c r="G623" i="30"/>
  <c r="AM628" i="27"/>
  <c r="AS627" i="27"/>
  <c r="BG613" i="27"/>
  <c r="BH613" i="27" s="1"/>
  <c r="B626" i="27"/>
  <c r="AU625" i="27"/>
  <c r="BE614" i="27"/>
  <c r="F611" i="30"/>
  <c r="BB614" i="27"/>
  <c r="BC614" i="27"/>
  <c r="BL614" i="27" s="1"/>
  <c r="E611" i="30"/>
  <c r="B620" i="30"/>
  <c r="AX613" i="27"/>
  <c r="AG615" i="27"/>
  <c r="AD616" i="27"/>
  <c r="AC616" i="27"/>
  <c r="BD614" i="27"/>
  <c r="BG614" i="27" s="1"/>
  <c r="U615" i="27"/>
  <c r="Q615" i="27"/>
  <c r="R615" i="27"/>
  <c r="BJ612" i="27"/>
  <c r="BK612" i="27" s="1"/>
  <c r="AT612" i="27" s="1"/>
  <c r="H609" i="30" s="1"/>
  <c r="AQ614" i="27"/>
  <c r="AR614" i="27" s="1"/>
  <c r="AY614" i="27" s="1"/>
  <c r="AE615" i="27"/>
  <c r="AF615" i="27" s="1"/>
  <c r="AZ615" i="27" s="1"/>
  <c r="AO615" i="27"/>
  <c r="AP615" i="27"/>
  <c r="S614" i="27"/>
  <c r="T614" i="27" s="1"/>
  <c r="BA614" i="27" s="1"/>
  <c r="D613" i="30"/>
  <c r="I613" i="30" s="1"/>
  <c r="BI613" i="27" l="1"/>
  <c r="BF627" i="27"/>
  <c r="G624" i="30"/>
  <c r="AM629" i="27"/>
  <c r="AS628" i="27"/>
  <c r="B627" i="27"/>
  <c r="AU626" i="27"/>
  <c r="BJ613" i="27"/>
  <c r="BK613" i="27" s="1"/>
  <c r="AT613" i="27" s="1"/>
  <c r="H610" i="30" s="1"/>
  <c r="AE616" i="27"/>
  <c r="AF616" i="27" s="1"/>
  <c r="AZ616" i="27" s="1"/>
  <c r="BE615" i="27"/>
  <c r="F612" i="30"/>
  <c r="BC615" i="27"/>
  <c r="BL615" i="27" s="1"/>
  <c r="BB615" i="27"/>
  <c r="E612" i="30"/>
  <c r="AX614" i="27"/>
  <c r="B621" i="30"/>
  <c r="AQ615" i="27"/>
  <c r="AR615" i="27" s="1"/>
  <c r="AY615" i="27" s="1"/>
  <c r="AP616" i="27"/>
  <c r="AO616" i="27"/>
  <c r="BI614" i="27"/>
  <c r="BH614" i="27"/>
  <c r="AC617" i="27"/>
  <c r="AD617" i="27"/>
  <c r="BD615" i="27"/>
  <c r="BG615" i="27" s="1"/>
  <c r="U616" i="27"/>
  <c r="R616" i="27"/>
  <c r="Q616" i="27"/>
  <c r="S615" i="27"/>
  <c r="T615" i="27" s="1"/>
  <c r="BA615" i="27" s="1"/>
  <c r="AG616" i="27"/>
  <c r="D614" i="30"/>
  <c r="I614" i="30" s="1"/>
  <c r="BF628" i="27" l="1"/>
  <c r="G625" i="30"/>
  <c r="AM630" i="27"/>
  <c r="AS629" i="27"/>
  <c r="B628" i="27"/>
  <c r="AU627" i="27"/>
  <c r="AQ616" i="27"/>
  <c r="AR616" i="27" s="1"/>
  <c r="AY616" i="27" s="1"/>
  <c r="BJ614" i="27"/>
  <c r="BK614" i="27" s="1"/>
  <c r="AT614" i="27" s="1"/>
  <c r="H611" i="30" s="1"/>
  <c r="AX615" i="27"/>
  <c r="BE616" i="27"/>
  <c r="F613" i="30"/>
  <c r="BC616" i="27"/>
  <c r="BL616" i="27" s="1"/>
  <c r="BB616" i="27"/>
  <c r="E613" i="30"/>
  <c r="B622" i="30"/>
  <c r="S616" i="27"/>
  <c r="T616" i="27" s="1"/>
  <c r="BA616" i="27" s="1"/>
  <c r="AE617" i="27"/>
  <c r="AF617" i="27" s="1"/>
  <c r="AZ617" i="27" s="1"/>
  <c r="Q617" i="27"/>
  <c r="R617" i="27"/>
  <c r="BI615" i="27"/>
  <c r="BH615" i="27"/>
  <c r="AG617" i="27"/>
  <c r="U617" i="27"/>
  <c r="AP617" i="27"/>
  <c r="AO617" i="27"/>
  <c r="BD616" i="27"/>
  <c r="BG616" i="27" s="1"/>
  <c r="AD618" i="27"/>
  <c r="AC618" i="27"/>
  <c r="D615" i="30"/>
  <c r="I615" i="30" s="1"/>
  <c r="AX616" i="27" l="1"/>
  <c r="G626" i="30"/>
  <c r="BF629" i="27"/>
  <c r="AM631" i="27"/>
  <c r="AS630" i="27"/>
  <c r="B629" i="27"/>
  <c r="AU628" i="27"/>
  <c r="AQ617" i="27"/>
  <c r="AR617" i="27" s="1"/>
  <c r="AY617" i="27" s="1"/>
  <c r="BE617" i="27"/>
  <c r="F614" i="30"/>
  <c r="BB617" i="27"/>
  <c r="BC617" i="27"/>
  <c r="E614" i="30"/>
  <c r="BJ615" i="27"/>
  <c r="BK615" i="27" s="1"/>
  <c r="AT615" i="27" s="1"/>
  <c r="H612" i="30" s="1"/>
  <c r="B623" i="30"/>
  <c r="S617" i="27"/>
  <c r="T617" i="27" s="1"/>
  <c r="BA617" i="27" s="1"/>
  <c r="AD619" i="27"/>
  <c r="AC619" i="27"/>
  <c r="AO618" i="27"/>
  <c r="AP618" i="27"/>
  <c r="AE618" i="27"/>
  <c r="AF618" i="27" s="1"/>
  <c r="AZ618" i="27" s="1"/>
  <c r="U618" i="27"/>
  <c r="AG618" i="27"/>
  <c r="BD617" i="27"/>
  <c r="R618" i="27"/>
  <c r="Q618" i="27"/>
  <c r="BI616" i="27"/>
  <c r="BH616" i="27"/>
  <c r="D616" i="30"/>
  <c r="I616" i="30" s="1"/>
  <c r="BF630" i="27" l="1"/>
  <c r="G627" i="30"/>
  <c r="AM632" i="27"/>
  <c r="AS631" i="27"/>
  <c r="B630" i="27"/>
  <c r="AU629" i="27"/>
  <c r="AE619" i="27"/>
  <c r="BL617" i="27"/>
  <c r="S618" i="27"/>
  <c r="T618" i="27" s="1"/>
  <c r="BA618" i="27" s="1"/>
  <c r="AX617" i="27"/>
  <c r="BG617" i="27"/>
  <c r="BI617" i="27" s="1"/>
  <c r="BE618" i="27"/>
  <c r="F615" i="30"/>
  <c r="BC618" i="27"/>
  <c r="BB618" i="27"/>
  <c r="E615" i="30"/>
  <c r="B624" i="30"/>
  <c r="BJ616" i="27"/>
  <c r="BK616" i="27" s="1"/>
  <c r="AT616" i="27" s="1"/>
  <c r="H613" i="30" s="1"/>
  <c r="BD618" i="27"/>
  <c r="R619" i="27"/>
  <c r="Q619" i="27"/>
  <c r="AQ618" i="27"/>
  <c r="AR618" i="27" s="1"/>
  <c r="AY618" i="27" s="1"/>
  <c r="AX618" i="27" s="1"/>
  <c r="AG619" i="27"/>
  <c r="AF619" i="27"/>
  <c r="AZ619" i="27" s="1"/>
  <c r="U619" i="27"/>
  <c r="AO619" i="27"/>
  <c r="AP619" i="27"/>
  <c r="AD620" i="27"/>
  <c r="AC620" i="27"/>
  <c r="D617" i="30"/>
  <c r="I617" i="30" s="1"/>
  <c r="BF631" i="27" l="1"/>
  <c r="G628" i="30"/>
  <c r="AM633" i="27"/>
  <c r="AS632" i="27"/>
  <c r="BG618" i="27"/>
  <c r="BI618" i="27" s="1"/>
  <c r="BH617" i="27"/>
  <c r="B631" i="27"/>
  <c r="AU630" i="27"/>
  <c r="BL618" i="27"/>
  <c r="BJ617" i="27"/>
  <c r="BK617" i="27" s="1"/>
  <c r="AT617" i="27" s="1"/>
  <c r="H614" i="30" s="1"/>
  <c r="BE619" i="27"/>
  <c r="F616" i="30"/>
  <c r="B625" i="30"/>
  <c r="BC619" i="27"/>
  <c r="BL619" i="27" s="1"/>
  <c r="BB619" i="27"/>
  <c r="E616" i="30"/>
  <c r="S619" i="27"/>
  <c r="T619" i="27" s="1"/>
  <c r="BA619" i="27" s="1"/>
  <c r="AE620" i="27"/>
  <c r="AF620" i="27" s="1"/>
  <c r="AZ620" i="27" s="1"/>
  <c r="AQ619" i="27"/>
  <c r="AR619" i="27" s="1"/>
  <c r="AY619" i="27" s="1"/>
  <c r="BD619" i="27"/>
  <c r="AO620" i="27"/>
  <c r="AP620" i="27"/>
  <c r="AG620" i="27"/>
  <c r="R620" i="27"/>
  <c r="Q620" i="27"/>
  <c r="U620" i="27"/>
  <c r="AD621" i="27"/>
  <c r="AC621" i="27"/>
  <c r="D618" i="30"/>
  <c r="I618" i="30" s="1"/>
  <c r="BH618" i="27" l="1"/>
  <c r="BF632" i="27"/>
  <c r="G629" i="30"/>
  <c r="AM634" i="27"/>
  <c r="AS633" i="27"/>
  <c r="BG619" i="27"/>
  <c r="BI619" i="27" s="1"/>
  <c r="B632" i="27"/>
  <c r="AU631" i="27"/>
  <c r="BJ618" i="27"/>
  <c r="BK618" i="27" s="1"/>
  <c r="AT618" i="27" s="1"/>
  <c r="H615" i="30" s="1"/>
  <c r="AX619" i="27"/>
  <c r="AE621" i="27"/>
  <c r="AF621" i="27" s="1"/>
  <c r="AZ621" i="27" s="1"/>
  <c r="BE620" i="27"/>
  <c r="F617" i="30"/>
  <c r="BB620" i="27"/>
  <c r="BC620" i="27"/>
  <c r="E617" i="30"/>
  <c r="B626" i="30"/>
  <c r="S620" i="27"/>
  <c r="T620" i="27" s="1"/>
  <c r="BA620" i="27" s="1"/>
  <c r="Q621" i="27"/>
  <c r="R621" i="27"/>
  <c r="U621" i="27"/>
  <c r="AG621" i="27"/>
  <c r="AQ620" i="27"/>
  <c r="AR620" i="27" s="1"/>
  <c r="AY620" i="27" s="1"/>
  <c r="AO621" i="27"/>
  <c r="AP621" i="27"/>
  <c r="AD622" i="27"/>
  <c r="AC622" i="27"/>
  <c r="BD620" i="27"/>
  <c r="D619" i="30"/>
  <c r="I619" i="30" s="1"/>
  <c r="BH619" i="27" l="1"/>
  <c r="AM635" i="27"/>
  <c r="AS634" i="27"/>
  <c r="BF633" i="27"/>
  <c r="G630" i="30"/>
  <c r="B633" i="27"/>
  <c r="AU632" i="27"/>
  <c r="BL620" i="27"/>
  <c r="BG620" i="27"/>
  <c r="BH620" i="27" s="1"/>
  <c r="AE622" i="27"/>
  <c r="AF622" i="27" s="1"/>
  <c r="AZ622" i="27" s="1"/>
  <c r="AX620" i="27"/>
  <c r="BE621" i="27"/>
  <c r="F618" i="30"/>
  <c r="BC621" i="27"/>
  <c r="BL621" i="27" s="1"/>
  <c r="BB621" i="27"/>
  <c r="E618" i="30"/>
  <c r="B627" i="30"/>
  <c r="BJ619" i="27"/>
  <c r="BK619" i="27" s="1"/>
  <c r="AT619" i="27" s="1"/>
  <c r="H616" i="30" s="1"/>
  <c r="BD621" i="27"/>
  <c r="AD623" i="27"/>
  <c r="AC623" i="27"/>
  <c r="AP622" i="27"/>
  <c r="AO622" i="27"/>
  <c r="Q622" i="27"/>
  <c r="R622" i="27"/>
  <c r="AQ621" i="27"/>
  <c r="AR621" i="27" s="1"/>
  <c r="AY621" i="27" s="1"/>
  <c r="AG622" i="27"/>
  <c r="U622" i="27"/>
  <c r="S621" i="27"/>
  <c r="T621" i="27" s="1"/>
  <c r="BA621" i="27" s="1"/>
  <c r="D620" i="30"/>
  <c r="I620" i="30" s="1"/>
  <c r="G631" i="30" l="1"/>
  <c r="BF634" i="27"/>
  <c r="AM636" i="27"/>
  <c r="AS635" i="27"/>
  <c r="BI620" i="27"/>
  <c r="BJ620" i="27" s="1"/>
  <c r="BK620" i="27" s="1"/>
  <c r="AT620" i="27" s="1"/>
  <c r="H617" i="30" s="1"/>
  <c r="BG621" i="27"/>
  <c r="BI621" i="27" s="1"/>
  <c r="B634" i="27"/>
  <c r="AU633" i="27"/>
  <c r="AE623" i="27"/>
  <c r="AX621" i="27"/>
  <c r="AQ622" i="27"/>
  <c r="AR622" i="27" s="1"/>
  <c r="AY622" i="27" s="1"/>
  <c r="BE622" i="27"/>
  <c r="F619" i="30"/>
  <c r="B628" i="30"/>
  <c r="BC622" i="27"/>
  <c r="BB622" i="27"/>
  <c r="E619" i="30"/>
  <c r="BD622" i="27"/>
  <c r="AG623" i="27"/>
  <c r="AC624" i="27"/>
  <c r="AD624" i="27"/>
  <c r="Q623" i="27"/>
  <c r="R623" i="27"/>
  <c r="S622" i="27"/>
  <c r="T622" i="27" s="1"/>
  <c r="BA622" i="27" s="1"/>
  <c r="AO623" i="27"/>
  <c r="AP623" i="27"/>
  <c r="AF623" i="27"/>
  <c r="AZ623" i="27" s="1"/>
  <c r="U623" i="27"/>
  <c r="D621" i="30"/>
  <c r="I621" i="30" s="1"/>
  <c r="G632" i="30" l="1"/>
  <c r="BF635" i="27"/>
  <c r="AM637" i="27"/>
  <c r="AS636" i="27"/>
  <c r="BH621" i="27"/>
  <c r="BG622" i="27"/>
  <c r="BH622" i="27" s="1"/>
  <c r="B635" i="27"/>
  <c r="AU634" i="27"/>
  <c r="BL622" i="27"/>
  <c r="AX622" i="27"/>
  <c r="BJ621" i="27"/>
  <c r="BK621" i="27" s="1"/>
  <c r="AT621" i="27" s="1"/>
  <c r="H618" i="30" s="1"/>
  <c r="BE623" i="27"/>
  <c r="F620" i="30"/>
  <c r="BB623" i="27"/>
  <c r="BC623" i="27"/>
  <c r="BL623" i="27" s="1"/>
  <c r="E620" i="30"/>
  <c r="B629" i="30"/>
  <c r="AQ623" i="27"/>
  <c r="AR623" i="27" s="1"/>
  <c r="AY623" i="27" s="1"/>
  <c r="R624" i="27"/>
  <c r="Q624" i="27"/>
  <c r="S623" i="27"/>
  <c r="T623" i="27" s="1"/>
  <c r="BA623" i="27" s="1"/>
  <c r="AP624" i="27"/>
  <c r="AO624" i="27"/>
  <c r="AE624" i="27"/>
  <c r="AF624" i="27" s="1"/>
  <c r="AZ624" i="27" s="1"/>
  <c r="AD625" i="27"/>
  <c r="AC625" i="27"/>
  <c r="AG624" i="27"/>
  <c r="BD623" i="27"/>
  <c r="U624" i="27"/>
  <c r="D622" i="30"/>
  <c r="I622" i="30" s="1"/>
  <c r="BF636" i="27" l="1"/>
  <c r="G633" i="30"/>
  <c r="BI622" i="27"/>
  <c r="AM638" i="27"/>
  <c r="AS637" i="27"/>
  <c r="B636" i="27"/>
  <c r="AU635" i="27"/>
  <c r="BG623" i="27"/>
  <c r="BH623" i="27" s="1"/>
  <c r="AQ624" i="27"/>
  <c r="AR624" i="27" s="1"/>
  <c r="AY624" i="27" s="1"/>
  <c r="S624" i="27"/>
  <c r="T624" i="27" s="1"/>
  <c r="BA624" i="27" s="1"/>
  <c r="AX623" i="27"/>
  <c r="AE625" i="27"/>
  <c r="AF625" i="27" s="1"/>
  <c r="AZ625" i="27" s="1"/>
  <c r="BE624" i="27"/>
  <c r="F621" i="30"/>
  <c r="B630" i="30"/>
  <c r="BB624" i="27"/>
  <c r="BC624" i="27"/>
  <c r="E621" i="30"/>
  <c r="BJ622" i="27"/>
  <c r="BK622" i="27" s="1"/>
  <c r="AT622" i="27" s="1"/>
  <c r="H619" i="30" s="1"/>
  <c r="U625" i="27"/>
  <c r="AG625" i="27"/>
  <c r="AO625" i="27"/>
  <c r="AP625" i="27"/>
  <c r="AC626" i="27"/>
  <c r="AD626" i="27"/>
  <c r="R625" i="27"/>
  <c r="Q625" i="27"/>
  <c r="BD624" i="27"/>
  <c r="D623" i="30"/>
  <c r="I623" i="30" s="1"/>
  <c r="AM639" i="27" l="1"/>
  <c r="AS638" i="27"/>
  <c r="BF637" i="27"/>
  <c r="G634" i="30"/>
  <c r="BI623" i="27"/>
  <c r="B637" i="27"/>
  <c r="AU636" i="27"/>
  <c r="BL624" i="27"/>
  <c r="AX624" i="27"/>
  <c r="BG624" i="27"/>
  <c r="S625" i="27"/>
  <c r="T625" i="27" s="1"/>
  <c r="BA625" i="27" s="1"/>
  <c r="BE625" i="27"/>
  <c r="F622" i="30"/>
  <c r="BC625" i="27"/>
  <c r="BB625" i="27"/>
  <c r="E622" i="30"/>
  <c r="B631" i="30"/>
  <c r="BJ623" i="27"/>
  <c r="BK623" i="27" s="1"/>
  <c r="AT623" i="27" s="1"/>
  <c r="H620" i="30" s="1"/>
  <c r="AD627" i="27"/>
  <c r="AC627" i="27"/>
  <c r="AE626" i="27"/>
  <c r="AF626" i="27" s="1"/>
  <c r="AZ626" i="27" s="1"/>
  <c r="AP626" i="27"/>
  <c r="AO626" i="27"/>
  <c r="BH624" i="27"/>
  <c r="BI624" i="27"/>
  <c r="AQ625" i="27"/>
  <c r="AR625" i="27" s="1"/>
  <c r="AY625" i="27" s="1"/>
  <c r="AX625" i="27" s="1"/>
  <c r="AG626" i="27"/>
  <c r="BD625" i="27"/>
  <c r="R626" i="27"/>
  <c r="Q626" i="27"/>
  <c r="U626" i="27"/>
  <c r="D624" i="30"/>
  <c r="I624" i="30" s="1"/>
  <c r="AM640" i="27" l="1"/>
  <c r="AS639" i="27"/>
  <c r="G635" i="30"/>
  <c r="BF638" i="27"/>
  <c r="B638" i="27"/>
  <c r="AU637" i="27"/>
  <c r="BL625" i="27"/>
  <c r="AE627" i="27"/>
  <c r="AF627" i="27" s="1"/>
  <c r="AZ627" i="27" s="1"/>
  <c r="AQ626" i="27"/>
  <c r="AR626" i="27" s="1"/>
  <c r="AY626" i="27" s="1"/>
  <c r="BG625" i="27"/>
  <c r="BI625" i="27" s="1"/>
  <c r="BE626" i="27"/>
  <c r="F623" i="30"/>
  <c r="BC626" i="27"/>
  <c r="BB626" i="27"/>
  <c r="E623" i="30"/>
  <c r="B632" i="30"/>
  <c r="S626" i="27"/>
  <c r="T626" i="27" s="1"/>
  <c r="BA626" i="27" s="1"/>
  <c r="R627" i="27"/>
  <c r="Q627" i="27"/>
  <c r="U627" i="27"/>
  <c r="AG627" i="27"/>
  <c r="BJ624" i="27"/>
  <c r="BK624" i="27" s="1"/>
  <c r="AT624" i="27" s="1"/>
  <c r="H621" i="30" s="1"/>
  <c r="AO627" i="27"/>
  <c r="AP627" i="27"/>
  <c r="AC628" i="27"/>
  <c r="AD628" i="27"/>
  <c r="BD626" i="27"/>
  <c r="D625" i="30"/>
  <c r="I625" i="30" s="1"/>
  <c r="BF639" i="27" l="1"/>
  <c r="G636" i="30"/>
  <c r="AM641" i="27"/>
  <c r="AS640" i="27"/>
  <c r="B639" i="27"/>
  <c r="AU638" i="27"/>
  <c r="AX626" i="27"/>
  <c r="BL626" i="27"/>
  <c r="BG626" i="27"/>
  <c r="BI626" i="27" s="1"/>
  <c r="BH625" i="27"/>
  <c r="BJ625" i="27" s="1"/>
  <c r="BK625" i="27" s="1"/>
  <c r="AT625" i="27" s="1"/>
  <c r="H622" i="30" s="1"/>
  <c r="BE627" i="27"/>
  <c r="F624" i="30"/>
  <c r="BB627" i="27"/>
  <c r="BC627" i="27"/>
  <c r="BL627" i="27" s="1"/>
  <c r="E624" i="30"/>
  <c r="B633" i="30"/>
  <c r="S627" i="27"/>
  <c r="T627" i="27" s="1"/>
  <c r="BA627" i="27" s="1"/>
  <c r="BD627" i="27"/>
  <c r="AP628" i="27"/>
  <c r="AO628" i="27"/>
  <c r="AG628" i="27"/>
  <c r="AE628" i="27"/>
  <c r="AF628" i="27" s="1"/>
  <c r="AZ628" i="27" s="1"/>
  <c r="AC629" i="27"/>
  <c r="AD629" i="27"/>
  <c r="AQ627" i="27"/>
  <c r="AR627" i="27" s="1"/>
  <c r="AY627" i="27" s="1"/>
  <c r="U628" i="27"/>
  <c r="Q628" i="27"/>
  <c r="R628" i="27"/>
  <c r="D626" i="30"/>
  <c r="I626" i="30" s="1"/>
  <c r="BF640" i="27" l="1"/>
  <c r="G637" i="30"/>
  <c r="AM642" i="27"/>
  <c r="AS641" i="27"/>
  <c r="BG627" i="27"/>
  <c r="BI627" i="27" s="1"/>
  <c r="B640" i="27"/>
  <c r="AU639" i="27"/>
  <c r="BH626" i="27"/>
  <c r="BJ626" i="27" s="1"/>
  <c r="BK626" i="27" s="1"/>
  <c r="AT626" i="27" s="1"/>
  <c r="H623" i="30" s="1"/>
  <c r="AQ628" i="27"/>
  <c r="AR628" i="27" s="1"/>
  <c r="AY628" i="27" s="1"/>
  <c r="BE628" i="27"/>
  <c r="F625" i="30"/>
  <c r="AX627" i="27"/>
  <c r="B634" i="30"/>
  <c r="BB628" i="27"/>
  <c r="BC628" i="27"/>
  <c r="E625" i="30"/>
  <c r="S628" i="27"/>
  <c r="T628" i="27" s="1"/>
  <c r="BA628" i="27" s="1"/>
  <c r="AD630" i="27"/>
  <c r="AC630" i="27"/>
  <c r="R629" i="27"/>
  <c r="Q629" i="27"/>
  <c r="AG629" i="27"/>
  <c r="AE629" i="27"/>
  <c r="AF629" i="27" s="1"/>
  <c r="AZ629" i="27" s="1"/>
  <c r="BH627" i="27"/>
  <c r="BD628" i="27"/>
  <c r="BG628" i="27" s="1"/>
  <c r="AO629" i="27"/>
  <c r="AP629" i="27"/>
  <c r="U629" i="27"/>
  <c r="D627" i="30"/>
  <c r="I627" i="30" s="1"/>
  <c r="BF641" i="27" l="1"/>
  <c r="G638" i="30"/>
  <c r="AM643" i="27"/>
  <c r="AS642" i="27"/>
  <c r="B641" i="27"/>
  <c r="AU640" i="27"/>
  <c r="AX628" i="27"/>
  <c r="S629" i="27"/>
  <c r="T629" i="27" s="1"/>
  <c r="BA629" i="27" s="1"/>
  <c r="BL628" i="27"/>
  <c r="BE629" i="27"/>
  <c r="F626" i="30"/>
  <c r="AE630" i="27"/>
  <c r="AF630" i="27" s="1"/>
  <c r="AZ630" i="27" s="1"/>
  <c r="BB629" i="27"/>
  <c r="BC629" i="27"/>
  <c r="BL629" i="27" s="1"/>
  <c r="E626" i="30"/>
  <c r="B635" i="30"/>
  <c r="BJ627" i="27"/>
  <c r="BK627" i="27" s="1"/>
  <c r="AT627" i="27" s="1"/>
  <c r="H624" i="30" s="1"/>
  <c r="U630" i="27"/>
  <c r="AG630" i="27"/>
  <c r="R630" i="27"/>
  <c r="Q630" i="27"/>
  <c r="AO630" i="27"/>
  <c r="AP630" i="27"/>
  <c r="BH628" i="27"/>
  <c r="BI628" i="27"/>
  <c r="AQ629" i="27"/>
  <c r="AR629" i="27" s="1"/>
  <c r="AY629" i="27" s="1"/>
  <c r="AX629" i="27" s="1"/>
  <c r="AC631" i="27"/>
  <c r="AD631" i="27"/>
  <c r="BD629" i="27"/>
  <c r="D628" i="30"/>
  <c r="I628" i="30" s="1"/>
  <c r="BF642" i="27" l="1"/>
  <c r="G639" i="30"/>
  <c r="AM644" i="27"/>
  <c r="AS643" i="27"/>
  <c r="B642" i="27"/>
  <c r="AU641" i="27"/>
  <c r="BG629" i="27"/>
  <c r="BH629" i="27" s="1"/>
  <c r="AQ630" i="27"/>
  <c r="AR630" i="27" s="1"/>
  <c r="AY630" i="27" s="1"/>
  <c r="BE630" i="27"/>
  <c r="F627" i="30"/>
  <c r="AE631" i="27"/>
  <c r="AF631" i="27" s="1"/>
  <c r="AZ631" i="27" s="1"/>
  <c r="BC630" i="27"/>
  <c r="BL630" i="27" s="1"/>
  <c r="BB630" i="27"/>
  <c r="E627" i="30"/>
  <c r="BJ628" i="27"/>
  <c r="BK628" i="27" s="1"/>
  <c r="AT628" i="27" s="1"/>
  <c r="H625" i="30" s="1"/>
  <c r="S630" i="27"/>
  <c r="T630" i="27" s="1"/>
  <c r="BA630" i="27" s="1"/>
  <c r="AC632" i="27"/>
  <c r="AD632" i="27"/>
  <c r="AP631" i="27"/>
  <c r="AO631" i="27"/>
  <c r="BD630" i="27"/>
  <c r="BG630" i="27" s="1"/>
  <c r="U631" i="27"/>
  <c r="Q631" i="27"/>
  <c r="R631" i="27"/>
  <c r="AG631" i="27"/>
  <c r="D629" i="30"/>
  <c r="I629" i="30" s="1"/>
  <c r="BF643" i="27" l="1"/>
  <c r="G640" i="30"/>
  <c r="AM645" i="27"/>
  <c r="AS644" i="27"/>
  <c r="BI629" i="27"/>
  <c r="B643" i="27"/>
  <c r="AU642" i="27"/>
  <c r="AX630" i="27"/>
  <c r="BJ629" i="27"/>
  <c r="BK629" i="27" s="1"/>
  <c r="AT629" i="27" s="1"/>
  <c r="H626" i="30" s="1"/>
  <c r="BE631" i="27"/>
  <c r="F628" i="30"/>
  <c r="BB631" i="27"/>
  <c r="BC631" i="27"/>
  <c r="BL631" i="27" s="1"/>
  <c r="E628" i="30"/>
  <c r="AQ631" i="27"/>
  <c r="AR631" i="27" s="1"/>
  <c r="AY631" i="27" s="1"/>
  <c r="U632" i="27"/>
  <c r="BI630" i="27"/>
  <c r="BH630" i="27"/>
  <c r="AO632" i="27"/>
  <c r="AP632" i="27"/>
  <c r="BD631" i="27"/>
  <c r="AC633" i="27"/>
  <c r="AD633" i="27"/>
  <c r="AG632" i="27"/>
  <c r="S631" i="27"/>
  <c r="T631" i="27" s="1"/>
  <c r="BA631" i="27" s="1"/>
  <c r="R632" i="27"/>
  <c r="Q632" i="27"/>
  <c r="AE632" i="27"/>
  <c r="AF632" i="27" s="1"/>
  <c r="AZ632" i="27" s="1"/>
  <c r="D630" i="30"/>
  <c r="I630" i="30" s="1"/>
  <c r="BF644" i="27" l="1"/>
  <c r="G641" i="30"/>
  <c r="AM646" i="27"/>
  <c r="AS645" i="27"/>
  <c r="BG631" i="27"/>
  <c r="B644" i="27"/>
  <c r="AU643" i="27"/>
  <c r="BJ630" i="27"/>
  <c r="BK630" i="27" s="1"/>
  <c r="AT630" i="27" s="1"/>
  <c r="H627" i="30" s="1"/>
  <c r="AX631" i="27"/>
  <c r="BE632" i="27"/>
  <c r="F629" i="30"/>
  <c r="BB632" i="27"/>
  <c r="BC632" i="27"/>
  <c r="BL632" i="27" s="1"/>
  <c r="E629" i="30"/>
  <c r="S632" i="27"/>
  <c r="T632" i="27" s="1"/>
  <c r="BA632" i="27" s="1"/>
  <c r="Q633" i="27"/>
  <c r="R633" i="27"/>
  <c r="AP633" i="27"/>
  <c r="AO633" i="27"/>
  <c r="BI631" i="27"/>
  <c r="BH631" i="27"/>
  <c r="U633" i="27"/>
  <c r="AC634" i="27"/>
  <c r="AD634" i="27"/>
  <c r="AE633" i="27"/>
  <c r="AF633" i="27" s="1"/>
  <c r="AZ633" i="27" s="1"/>
  <c r="BD632" i="27"/>
  <c r="BG632" i="27" s="1"/>
  <c r="AG633" i="27"/>
  <c r="AQ632" i="27"/>
  <c r="AR632" i="27" s="1"/>
  <c r="AY632" i="27" s="1"/>
  <c r="D631" i="30"/>
  <c r="I631" i="30" s="1"/>
  <c r="BF645" i="27" l="1"/>
  <c r="G642" i="30"/>
  <c r="AM647" i="27"/>
  <c r="AS646" i="27"/>
  <c r="B645" i="27"/>
  <c r="AU644" i="27"/>
  <c r="AQ633" i="27"/>
  <c r="AR633" i="27" s="1"/>
  <c r="AY633" i="27" s="1"/>
  <c r="BE633" i="27"/>
  <c r="F630" i="30"/>
  <c r="AX632" i="27"/>
  <c r="BB633" i="27"/>
  <c r="BC633" i="27"/>
  <c r="BL633" i="27" s="1"/>
  <c r="E630" i="30"/>
  <c r="AE634" i="27"/>
  <c r="AF634" i="27" s="1"/>
  <c r="AZ634" i="27" s="1"/>
  <c r="AD635" i="27"/>
  <c r="AC635" i="27"/>
  <c r="BD633" i="27"/>
  <c r="AG634" i="27"/>
  <c r="U634" i="27"/>
  <c r="BJ631" i="27"/>
  <c r="BK631" i="27" s="1"/>
  <c r="AT631" i="27" s="1"/>
  <c r="H628" i="30" s="1"/>
  <c r="BI632" i="27"/>
  <c r="BH632" i="27"/>
  <c r="AP634" i="27"/>
  <c r="AO634" i="27"/>
  <c r="R634" i="27"/>
  <c r="Q634" i="27"/>
  <c r="S633" i="27"/>
  <c r="T633" i="27" s="1"/>
  <c r="BA633" i="27" s="1"/>
  <c r="D632" i="30"/>
  <c r="I632" i="30" s="1"/>
  <c r="BF646" i="27" l="1"/>
  <c r="G643" i="30"/>
  <c r="AX633" i="27"/>
  <c r="AM648" i="27"/>
  <c r="AS647" i="27"/>
  <c r="BG633" i="27"/>
  <c r="BI633" i="27" s="1"/>
  <c r="B646" i="27"/>
  <c r="AU645" i="27"/>
  <c r="BE634" i="27"/>
  <c r="F631" i="30"/>
  <c r="BJ632" i="27"/>
  <c r="BK632" i="27" s="1"/>
  <c r="AT632" i="27" s="1"/>
  <c r="H629" i="30" s="1"/>
  <c r="BB634" i="27"/>
  <c r="BC634" i="27"/>
  <c r="BL634" i="27" s="1"/>
  <c r="E631" i="30"/>
  <c r="S634" i="27"/>
  <c r="T634" i="27" s="1"/>
  <c r="BA634" i="27" s="1"/>
  <c r="AE635" i="27"/>
  <c r="AF635" i="27" s="1"/>
  <c r="AZ635" i="27" s="1"/>
  <c r="AQ634" i="27"/>
  <c r="AR634" i="27" s="1"/>
  <c r="AY634" i="27" s="1"/>
  <c r="U635" i="27"/>
  <c r="BD634" i="27"/>
  <c r="AG635" i="27"/>
  <c r="AO635" i="27"/>
  <c r="AP635" i="27"/>
  <c r="AC636" i="27"/>
  <c r="AD636" i="27"/>
  <c r="R635" i="27"/>
  <c r="Q635" i="27"/>
  <c r="D633" i="30"/>
  <c r="I633" i="30" s="1"/>
  <c r="BF647" i="27" l="1"/>
  <c r="G644" i="30"/>
  <c r="AM649" i="27"/>
  <c r="AS648" i="27"/>
  <c r="BH633" i="27"/>
  <c r="BJ633" i="27" s="1"/>
  <c r="BK633" i="27" s="1"/>
  <c r="AT633" i="27" s="1"/>
  <c r="H630" i="30" s="1"/>
  <c r="BG634" i="27"/>
  <c r="B647" i="27"/>
  <c r="AU646" i="27"/>
  <c r="BE635" i="27"/>
  <c r="F632" i="30"/>
  <c r="BC635" i="27"/>
  <c r="BB635" i="27"/>
  <c r="E632" i="30"/>
  <c r="AX634" i="27"/>
  <c r="AQ635" i="27"/>
  <c r="AR635" i="27" s="1"/>
  <c r="AY635" i="27" s="1"/>
  <c r="S635" i="27"/>
  <c r="T635" i="27" s="1"/>
  <c r="BA635" i="27" s="1"/>
  <c r="AC637" i="27"/>
  <c r="AD637" i="27"/>
  <c r="AP636" i="27"/>
  <c r="AO636" i="27"/>
  <c r="BI634" i="27"/>
  <c r="BH634" i="27"/>
  <c r="AG636" i="27"/>
  <c r="AE636" i="27"/>
  <c r="AF636" i="27" s="1"/>
  <c r="AZ636" i="27" s="1"/>
  <c r="U636" i="27"/>
  <c r="BD635" i="27"/>
  <c r="BG635" i="27" s="1"/>
  <c r="Q636" i="27"/>
  <c r="R636" i="27"/>
  <c r="D634" i="30"/>
  <c r="I634" i="30" s="1"/>
  <c r="G645" i="30" l="1"/>
  <c r="BF648" i="27"/>
  <c r="AM650" i="27"/>
  <c r="AS649" i="27"/>
  <c r="AQ636" i="27"/>
  <c r="AR636" i="27" s="1"/>
  <c r="AY636" i="27" s="1"/>
  <c r="B648" i="27"/>
  <c r="AU647" i="27"/>
  <c r="BL635" i="27"/>
  <c r="AX635" i="27"/>
  <c r="BE636" i="27"/>
  <c r="F633" i="30"/>
  <c r="AD639" i="27"/>
  <c r="AC639" i="27"/>
  <c r="BC636" i="27"/>
  <c r="BB636" i="27"/>
  <c r="E633" i="30"/>
  <c r="S636" i="27"/>
  <c r="T636" i="27" s="1"/>
  <c r="BA636" i="27" s="1"/>
  <c r="AG637" i="27"/>
  <c r="BJ634" i="27"/>
  <c r="BK634" i="27" s="1"/>
  <c r="AT634" i="27" s="1"/>
  <c r="H631" i="30" s="1"/>
  <c r="U637" i="27"/>
  <c r="AP637" i="27"/>
  <c r="AO637" i="27"/>
  <c r="AD638" i="27"/>
  <c r="AC638" i="27"/>
  <c r="AE637" i="27"/>
  <c r="AF637" i="27" s="1"/>
  <c r="AZ637" i="27" s="1"/>
  <c r="BI635" i="27"/>
  <c r="BH635" i="27"/>
  <c r="BD636" i="27"/>
  <c r="R637" i="27"/>
  <c r="Q637" i="27"/>
  <c r="AX636" i="27" l="1"/>
  <c r="BF649" i="27"/>
  <c r="G646" i="30"/>
  <c r="AM651" i="27"/>
  <c r="AS650" i="27"/>
  <c r="B649" i="27"/>
  <c r="AU648" i="27"/>
  <c r="AE639" i="27"/>
  <c r="BJ635" i="27"/>
  <c r="BK635" i="27" s="1"/>
  <c r="AT635" i="27" s="1"/>
  <c r="H632" i="30" s="1"/>
  <c r="BG636" i="27"/>
  <c r="BH636" i="27" s="1"/>
  <c r="BL636" i="27"/>
  <c r="AE638" i="27"/>
  <c r="AF638" i="27" s="1"/>
  <c r="AZ638" i="27" s="1"/>
  <c r="AO639" i="27"/>
  <c r="AP639" i="27"/>
  <c r="AC640" i="27"/>
  <c r="AD640" i="27"/>
  <c r="AG638" i="27"/>
  <c r="BE637" i="27"/>
  <c r="F634" i="30"/>
  <c r="U639" i="27"/>
  <c r="E636" i="30" s="1"/>
  <c r="BB637" i="27"/>
  <c r="BC637" i="27"/>
  <c r="BL637" i="27" s="1"/>
  <c r="E634" i="30"/>
  <c r="D635" i="30"/>
  <c r="I635" i="30" s="1"/>
  <c r="R639" i="27"/>
  <c r="Q639" i="27"/>
  <c r="AQ637" i="27"/>
  <c r="AR637" i="27" s="1"/>
  <c r="AY637" i="27" s="1"/>
  <c r="AO638" i="27"/>
  <c r="AP638" i="27"/>
  <c r="BD637" i="27"/>
  <c r="U638" i="27"/>
  <c r="S637" i="27"/>
  <c r="T637" i="27" s="1"/>
  <c r="BA637" i="27" s="1"/>
  <c r="R638" i="27"/>
  <c r="Q638" i="27"/>
  <c r="BF650" i="27" l="1"/>
  <c r="G647" i="30"/>
  <c r="AM652" i="27"/>
  <c r="AS651" i="27"/>
  <c r="BI636" i="27"/>
  <c r="B650" i="27"/>
  <c r="AU649" i="27"/>
  <c r="AX637" i="27"/>
  <c r="S639" i="27"/>
  <c r="T639" i="27" s="1"/>
  <c r="BA639" i="27" s="1"/>
  <c r="AQ639" i="27"/>
  <c r="AR639" i="27" s="1"/>
  <c r="AY639" i="27" s="1"/>
  <c r="AO640" i="27"/>
  <c r="AP640" i="27"/>
  <c r="BG637" i="27"/>
  <c r="BI637" i="27" s="1"/>
  <c r="AD641" i="27"/>
  <c r="AC641" i="27"/>
  <c r="BJ636" i="27"/>
  <c r="BK636" i="27" s="1"/>
  <c r="AT636" i="27" s="1"/>
  <c r="H633" i="30" s="1"/>
  <c r="AG639" i="27"/>
  <c r="BE638" i="27"/>
  <c r="F635" i="30"/>
  <c r="AE640" i="27"/>
  <c r="AF640" i="27" s="1"/>
  <c r="AZ640" i="27" s="1"/>
  <c r="AF639" i="27"/>
  <c r="AZ639" i="27" s="1"/>
  <c r="U640" i="27"/>
  <c r="E637" i="30" s="1"/>
  <c r="BC638" i="27"/>
  <c r="BB638" i="27"/>
  <c r="E635" i="30"/>
  <c r="R640" i="27"/>
  <c r="Q640" i="27"/>
  <c r="S640" i="27" s="1"/>
  <c r="T640" i="27" s="1"/>
  <c r="BA640" i="27" s="1"/>
  <c r="S638" i="27"/>
  <c r="T638" i="27" s="1"/>
  <c r="BA638" i="27" s="1"/>
  <c r="BD639" i="27"/>
  <c r="AQ638" i="27"/>
  <c r="AR638" i="27" s="1"/>
  <c r="AY638" i="27" s="1"/>
  <c r="BD638" i="27"/>
  <c r="BF651" i="27" l="1"/>
  <c r="G648" i="30"/>
  <c r="AM653" i="27"/>
  <c r="AS652" i="27"/>
  <c r="AX639" i="27"/>
  <c r="B651" i="27"/>
  <c r="AU650" i="27"/>
  <c r="BE639" i="27"/>
  <c r="F636" i="30"/>
  <c r="AX638" i="27"/>
  <c r="BL638" i="27"/>
  <c r="BC639" i="27"/>
  <c r="AQ640" i="27"/>
  <c r="AR640" i="27" s="1"/>
  <c r="AY640" i="27" s="1"/>
  <c r="AX640" i="27" s="1"/>
  <c r="BH637" i="27"/>
  <c r="BJ637" i="27" s="1"/>
  <c r="BK637" i="27" s="1"/>
  <c r="AT637" i="27" s="1"/>
  <c r="H634" i="30" s="1"/>
  <c r="BG638" i="27"/>
  <c r="BH638" i="27" s="1"/>
  <c r="AP641" i="27"/>
  <c r="AO641" i="27"/>
  <c r="AC642" i="27"/>
  <c r="AD642" i="27"/>
  <c r="AG640" i="27"/>
  <c r="BB639" i="27"/>
  <c r="BG639" i="27"/>
  <c r="BI639" i="27" s="1"/>
  <c r="AE641" i="27"/>
  <c r="Q641" i="27"/>
  <c r="R641" i="27"/>
  <c r="BD640" i="27"/>
  <c r="BC640" i="27"/>
  <c r="U641" i="27"/>
  <c r="E638" i="30" s="1"/>
  <c r="G649" i="30" l="1"/>
  <c r="BF652" i="27"/>
  <c r="AM654" i="27"/>
  <c r="AS653" i="27"/>
  <c r="B652" i="27"/>
  <c r="AU651" i="27"/>
  <c r="BE640" i="27"/>
  <c r="F637" i="30"/>
  <c r="BL639" i="27"/>
  <c r="BI638" i="27"/>
  <c r="BJ638" i="27" s="1"/>
  <c r="BK638" i="27" s="1"/>
  <c r="AT638" i="27" s="1"/>
  <c r="H635" i="30" s="1"/>
  <c r="BH639" i="27"/>
  <c r="BJ639" i="27" s="1"/>
  <c r="BK639" i="27" s="1"/>
  <c r="AT639" i="27" s="1"/>
  <c r="H636" i="30" s="1"/>
  <c r="AO642" i="27"/>
  <c r="AP642" i="27"/>
  <c r="AQ641" i="27"/>
  <c r="AR641" i="27" s="1"/>
  <c r="AY641" i="27" s="1"/>
  <c r="BG640" i="27"/>
  <c r="BI640" i="27" s="1"/>
  <c r="AG641" i="27"/>
  <c r="AF641" i="27"/>
  <c r="AZ641" i="27" s="1"/>
  <c r="AC643" i="27"/>
  <c r="AD643" i="27"/>
  <c r="BB640" i="27"/>
  <c r="BL640" i="27" s="1"/>
  <c r="AE642" i="27"/>
  <c r="AF642" i="27" s="1"/>
  <c r="AZ642" i="27" s="1"/>
  <c r="U642" i="27"/>
  <c r="E639" i="30" s="1"/>
  <c r="R642" i="27"/>
  <c r="Q642" i="27"/>
  <c r="BC641" i="27"/>
  <c r="BD641" i="27"/>
  <c r="S641" i="27"/>
  <c r="T641" i="27" s="1"/>
  <c r="BA641" i="27" s="1"/>
  <c r="BF653" i="27" l="1"/>
  <c r="G650" i="30"/>
  <c r="AM655" i="27"/>
  <c r="AS654" i="27"/>
  <c r="BH640" i="27"/>
  <c r="B653" i="27"/>
  <c r="AU652" i="27"/>
  <c r="BE641" i="27"/>
  <c r="F638" i="30"/>
  <c r="S642" i="27"/>
  <c r="T642" i="27" s="1"/>
  <c r="BA642" i="27" s="1"/>
  <c r="BJ640" i="27"/>
  <c r="BK640" i="27" s="1"/>
  <c r="AT640" i="27" s="1"/>
  <c r="H637" i="30" s="1"/>
  <c r="BG641" i="27"/>
  <c r="BH641" i="27" s="1"/>
  <c r="BB641" i="27"/>
  <c r="BL641" i="27" s="1"/>
  <c r="AQ642" i="27"/>
  <c r="AR642" i="27" s="1"/>
  <c r="AY642" i="27" s="1"/>
  <c r="AX642" i="27" s="1"/>
  <c r="AO643" i="27"/>
  <c r="AP643" i="27"/>
  <c r="AC644" i="27"/>
  <c r="AD644" i="27"/>
  <c r="AG642" i="27"/>
  <c r="AE643" i="27"/>
  <c r="AX641" i="27"/>
  <c r="Q643" i="27"/>
  <c r="R643" i="27"/>
  <c r="U643" i="27"/>
  <c r="E640" i="30" s="1"/>
  <c r="BD642" i="27"/>
  <c r="BC642" i="27"/>
  <c r="BF654" i="27" l="1"/>
  <c r="G651" i="30"/>
  <c r="AM656" i="27"/>
  <c r="AS655" i="27"/>
  <c r="B654" i="27"/>
  <c r="AU653" i="27"/>
  <c r="BE642" i="27"/>
  <c r="F639" i="30"/>
  <c r="BI641" i="27"/>
  <c r="BJ641" i="27" s="1"/>
  <c r="BK641" i="27" s="1"/>
  <c r="AT641" i="27" s="1"/>
  <c r="H638" i="30" s="1"/>
  <c r="S643" i="27"/>
  <c r="T643" i="27" s="1"/>
  <c r="BA643" i="27" s="1"/>
  <c r="BG642" i="27"/>
  <c r="BH642" i="27" s="1"/>
  <c r="BB642" i="27"/>
  <c r="BL642" i="27" s="1"/>
  <c r="AO644" i="27"/>
  <c r="AP644" i="27"/>
  <c r="AQ643" i="27"/>
  <c r="AR643" i="27" s="1"/>
  <c r="AY643" i="27" s="1"/>
  <c r="AG643" i="27"/>
  <c r="AF643" i="27"/>
  <c r="AZ643" i="27" s="1"/>
  <c r="AE644" i="27"/>
  <c r="AF644" i="27" s="1"/>
  <c r="AZ644" i="27" s="1"/>
  <c r="AC645" i="27"/>
  <c r="AD645" i="27"/>
  <c r="BD643" i="27"/>
  <c r="BC643" i="27"/>
  <c r="R644" i="27"/>
  <c r="Q644" i="27"/>
  <c r="U644" i="27"/>
  <c r="E641" i="30" s="1"/>
  <c r="BF655" i="27" l="1"/>
  <c r="G652" i="30"/>
  <c r="AM657" i="27"/>
  <c r="AS656" i="27"/>
  <c r="BI642" i="27"/>
  <c r="BJ642" i="27" s="1"/>
  <c r="BK642" i="27" s="1"/>
  <c r="AT642" i="27" s="1"/>
  <c r="H639" i="30" s="1"/>
  <c r="B655" i="27"/>
  <c r="AU654" i="27"/>
  <c r="BE643" i="27"/>
  <c r="BG643" i="27" s="1"/>
  <c r="F640" i="30"/>
  <c r="BB643" i="27"/>
  <c r="BL643" i="27" s="1"/>
  <c r="AQ644" i="27"/>
  <c r="AR644" i="27" s="1"/>
  <c r="AY644" i="27" s="1"/>
  <c r="AE645" i="27"/>
  <c r="S644" i="27"/>
  <c r="T644" i="27" s="1"/>
  <c r="BA644" i="27" s="1"/>
  <c r="AX643" i="27"/>
  <c r="AO645" i="27"/>
  <c r="AP645" i="27"/>
  <c r="AD646" i="27"/>
  <c r="AC646" i="27"/>
  <c r="AG644" i="27"/>
  <c r="U645" i="27"/>
  <c r="E642" i="30" s="1"/>
  <c r="BB644" i="27"/>
  <c r="BC644" i="27"/>
  <c r="BL644" i="27" s="1"/>
  <c r="BD644" i="27"/>
  <c r="Q645" i="27"/>
  <c r="R645" i="27"/>
  <c r="BF656" i="27" l="1"/>
  <c r="G653" i="30"/>
  <c r="AM658" i="27"/>
  <c r="AS657" i="27"/>
  <c r="BH643" i="27"/>
  <c r="BJ643" i="27" s="1"/>
  <c r="BK643" i="27" s="1"/>
  <c r="AT643" i="27" s="1"/>
  <c r="H640" i="30" s="1"/>
  <c r="BI643" i="27"/>
  <c r="B656" i="27"/>
  <c r="AU655" i="27"/>
  <c r="AX644" i="27"/>
  <c r="BE644" i="27"/>
  <c r="BG644" i="27" s="1"/>
  <c r="F641" i="30"/>
  <c r="AQ645" i="27"/>
  <c r="AR645" i="27" s="1"/>
  <c r="AY645" i="27" s="1"/>
  <c r="AO646" i="27"/>
  <c r="AP646" i="27"/>
  <c r="AG645" i="27"/>
  <c r="BB645" i="27" s="1"/>
  <c r="AF645" i="27"/>
  <c r="AZ645" i="27" s="1"/>
  <c r="AE646" i="27"/>
  <c r="AF646" i="27" s="1"/>
  <c r="AZ646" i="27" s="1"/>
  <c r="AD647" i="27"/>
  <c r="AC647" i="27"/>
  <c r="R646" i="27"/>
  <c r="Q646" i="27"/>
  <c r="S645" i="27"/>
  <c r="T645" i="27" s="1"/>
  <c r="BA645" i="27" s="1"/>
  <c r="BC645" i="27"/>
  <c r="BD645" i="27"/>
  <c r="U646" i="27"/>
  <c r="E643" i="30" s="1"/>
  <c r="AM659" i="27" l="1"/>
  <c r="AS658" i="27"/>
  <c r="BF657" i="27"/>
  <c r="G654" i="30"/>
  <c r="AE647" i="27"/>
  <c r="B657" i="27"/>
  <c r="AU656" i="27"/>
  <c r="AX645" i="27"/>
  <c r="BH644" i="27"/>
  <c r="BJ644" i="27" s="1"/>
  <c r="BK644" i="27" s="1"/>
  <c r="AT644" i="27" s="1"/>
  <c r="H641" i="30" s="1"/>
  <c r="BI644" i="27"/>
  <c r="BE645" i="27"/>
  <c r="F642" i="30"/>
  <c r="S646" i="27"/>
  <c r="T646" i="27" s="1"/>
  <c r="BA646" i="27" s="1"/>
  <c r="BL645" i="27"/>
  <c r="BG645" i="27"/>
  <c r="BH645" i="27" s="1"/>
  <c r="AQ646" i="27"/>
  <c r="AR646" i="27" s="1"/>
  <c r="AY646" i="27" s="1"/>
  <c r="AX646" i="27" s="1"/>
  <c r="AP647" i="27"/>
  <c r="AO647" i="27"/>
  <c r="AG646" i="27"/>
  <c r="AD648" i="27"/>
  <c r="AC648" i="27"/>
  <c r="AE648" i="27" s="1"/>
  <c r="U647" i="27"/>
  <c r="E644" i="30" s="1"/>
  <c r="R647" i="27"/>
  <c r="Q647" i="27"/>
  <c r="BD646" i="27"/>
  <c r="BC646" i="27"/>
  <c r="BF658" i="27" l="1"/>
  <c r="G655" i="30"/>
  <c r="AM660" i="27"/>
  <c r="AS659" i="27"/>
  <c r="B658" i="27"/>
  <c r="AU657" i="27"/>
  <c r="BE646" i="27"/>
  <c r="F643" i="30"/>
  <c r="BI645" i="27"/>
  <c r="BJ645" i="27"/>
  <c r="BK645" i="27" s="1"/>
  <c r="AT645" i="27" s="1"/>
  <c r="H642" i="30" s="1"/>
  <c r="AQ647" i="27"/>
  <c r="AR647" i="27" s="1"/>
  <c r="AY647" i="27" s="1"/>
  <c r="BG646" i="27"/>
  <c r="BI646" i="27" s="1"/>
  <c r="S647" i="27"/>
  <c r="T647" i="27" s="1"/>
  <c r="BA647" i="27" s="1"/>
  <c r="BB646" i="27"/>
  <c r="BL646" i="27" s="1"/>
  <c r="AO648" i="27"/>
  <c r="AP648" i="27"/>
  <c r="AD649" i="27"/>
  <c r="AC649" i="27"/>
  <c r="AE649" i="27" s="1"/>
  <c r="AG647" i="27"/>
  <c r="AF647" i="27"/>
  <c r="AZ647" i="27" s="1"/>
  <c r="Q648" i="27"/>
  <c r="R648" i="27"/>
  <c r="BC647" i="27"/>
  <c r="BD647" i="27"/>
  <c r="U648" i="27"/>
  <c r="E645" i="30" s="1"/>
  <c r="BF659" i="27" l="1"/>
  <c r="G656" i="30"/>
  <c r="AM661" i="27"/>
  <c r="AS660" i="27"/>
  <c r="BH646" i="27"/>
  <c r="AX647" i="27"/>
  <c r="B659" i="27"/>
  <c r="AU658" i="27"/>
  <c r="BE647" i="27"/>
  <c r="BG647" i="27" s="1"/>
  <c r="F644" i="30"/>
  <c r="BB647" i="27"/>
  <c r="BL647" i="27" s="1"/>
  <c r="BJ646" i="27"/>
  <c r="BK646" i="27" s="1"/>
  <c r="AT646" i="27" s="1"/>
  <c r="H643" i="30" s="1"/>
  <c r="S648" i="27"/>
  <c r="T648" i="27" s="1"/>
  <c r="BA648" i="27" s="1"/>
  <c r="AQ648" i="27"/>
  <c r="AR648" i="27" s="1"/>
  <c r="AY648" i="27" s="1"/>
  <c r="AO649" i="27"/>
  <c r="AP649" i="27"/>
  <c r="AC650" i="27"/>
  <c r="AD650" i="27"/>
  <c r="AG648" i="27"/>
  <c r="AF648" i="27"/>
  <c r="AZ648" i="27" s="1"/>
  <c r="BC648" i="27"/>
  <c r="BD648" i="27"/>
  <c r="BB648" i="27"/>
  <c r="U649" i="27"/>
  <c r="E646" i="30" s="1"/>
  <c r="Q649" i="27"/>
  <c r="R649" i="27"/>
  <c r="BF660" i="27" l="1"/>
  <c r="G657" i="30"/>
  <c r="AM662" i="27"/>
  <c r="AS661" i="27"/>
  <c r="B660" i="27"/>
  <c r="AU659" i="27"/>
  <c r="BH647" i="27"/>
  <c r="BJ647" i="27" s="1"/>
  <c r="BK647" i="27" s="1"/>
  <c r="AT647" i="27" s="1"/>
  <c r="H644" i="30" s="1"/>
  <c r="BI647" i="27"/>
  <c r="BE648" i="27"/>
  <c r="F645" i="30"/>
  <c r="BG648" i="27"/>
  <c r="BI648" i="27" s="1"/>
  <c r="AX648" i="27"/>
  <c r="BL648" i="27"/>
  <c r="S649" i="27"/>
  <c r="T649" i="27" s="1"/>
  <c r="BA649" i="27" s="1"/>
  <c r="AO650" i="27"/>
  <c r="AP650" i="27"/>
  <c r="AQ649" i="27"/>
  <c r="AR649" i="27" s="1"/>
  <c r="AY649" i="27" s="1"/>
  <c r="AC651" i="27"/>
  <c r="AD651" i="27"/>
  <c r="AG649" i="27"/>
  <c r="AF649" i="27"/>
  <c r="AZ649" i="27" s="1"/>
  <c r="AE650" i="27"/>
  <c r="AF650" i="27" s="1"/>
  <c r="AZ650" i="27" s="1"/>
  <c r="BB649" i="27"/>
  <c r="BC649" i="27"/>
  <c r="BL649" i="27" s="1"/>
  <c r="BD649" i="27"/>
  <c r="U650" i="27"/>
  <c r="E647" i="30" s="1"/>
  <c r="R650" i="27"/>
  <c r="Q650" i="27"/>
  <c r="BF661" i="27" l="1"/>
  <c r="G658" i="30"/>
  <c r="AM663" i="27"/>
  <c r="AS662" i="27"/>
  <c r="B661" i="27"/>
  <c r="AU660" i="27"/>
  <c r="BH648" i="27"/>
  <c r="BJ648" i="27" s="1"/>
  <c r="BK648" i="27" s="1"/>
  <c r="AT648" i="27" s="1"/>
  <c r="H645" i="30" s="1"/>
  <c r="BE649" i="27"/>
  <c r="BG649" i="27" s="1"/>
  <c r="F646" i="30"/>
  <c r="S650" i="27"/>
  <c r="T650" i="27" s="1"/>
  <c r="BA650" i="27" s="1"/>
  <c r="AP651" i="27"/>
  <c r="AO651" i="27"/>
  <c r="AX649" i="27"/>
  <c r="AQ650" i="27"/>
  <c r="AR650" i="27" s="1"/>
  <c r="AY650" i="27" s="1"/>
  <c r="AX650" i="27" s="1"/>
  <c r="AC652" i="27"/>
  <c r="AD652" i="27"/>
  <c r="AG650" i="27"/>
  <c r="AE651" i="27"/>
  <c r="AF651" i="27" s="1"/>
  <c r="AZ651" i="27" s="1"/>
  <c r="Q651" i="27"/>
  <c r="R651" i="27"/>
  <c r="U651" i="27"/>
  <c r="E648" i="30" s="1"/>
  <c r="BC650" i="27"/>
  <c r="BD650" i="27"/>
  <c r="BF662" i="27" l="1"/>
  <c r="G659" i="30"/>
  <c r="AM664" i="27"/>
  <c r="AS663" i="27"/>
  <c r="AQ651" i="27"/>
  <c r="AR651" i="27" s="1"/>
  <c r="AY651" i="27" s="1"/>
  <c r="AX651" i="27" s="1"/>
  <c r="B662" i="27"/>
  <c r="AU661" i="27"/>
  <c r="BH649" i="27"/>
  <c r="BJ649" i="27" s="1"/>
  <c r="BK649" i="27" s="1"/>
  <c r="AT649" i="27" s="1"/>
  <c r="H646" i="30" s="1"/>
  <c r="BI649" i="27"/>
  <c r="BE650" i="27"/>
  <c r="F647" i="30"/>
  <c r="BB650" i="27"/>
  <c r="BL650" i="27" s="1"/>
  <c r="S651" i="27"/>
  <c r="T651" i="27" s="1"/>
  <c r="BA651" i="27" s="1"/>
  <c r="BG650" i="27"/>
  <c r="BH650" i="27" s="1"/>
  <c r="AP652" i="27"/>
  <c r="AO652" i="27"/>
  <c r="AG651" i="27"/>
  <c r="AD653" i="27"/>
  <c r="AC653" i="27"/>
  <c r="AE652" i="27"/>
  <c r="AF652" i="27" s="1"/>
  <c r="AZ652" i="27" s="1"/>
  <c r="U652" i="27"/>
  <c r="E649" i="30" s="1"/>
  <c r="BD651" i="27"/>
  <c r="BC651" i="27"/>
  <c r="BB651" i="27"/>
  <c r="Q652" i="27"/>
  <c r="R652" i="27"/>
  <c r="BF663" i="27" l="1"/>
  <c r="G660" i="30"/>
  <c r="AM665" i="27"/>
  <c r="AS664" i="27"/>
  <c r="BI650" i="27"/>
  <c r="BJ650" i="27" s="1"/>
  <c r="BK650" i="27" s="1"/>
  <c r="AT650" i="27" s="1"/>
  <c r="H647" i="30" s="1"/>
  <c r="B663" i="27"/>
  <c r="AU662" i="27"/>
  <c r="BE651" i="27"/>
  <c r="BG651" i="27" s="1"/>
  <c r="F648" i="30"/>
  <c r="AQ652" i="27"/>
  <c r="AR652" i="27" s="1"/>
  <c r="AY652" i="27" s="1"/>
  <c r="BL651" i="27"/>
  <c r="AE653" i="27"/>
  <c r="AO653" i="27"/>
  <c r="AP653" i="27"/>
  <c r="AG652" i="27"/>
  <c r="BB652" i="27" s="1"/>
  <c r="AC654" i="27"/>
  <c r="AD654" i="27"/>
  <c r="Q653" i="27"/>
  <c r="R653" i="27"/>
  <c r="S652" i="27"/>
  <c r="T652" i="27" s="1"/>
  <c r="BA652" i="27" s="1"/>
  <c r="BD652" i="27"/>
  <c r="BC652" i="27"/>
  <c r="U653" i="27"/>
  <c r="E650" i="30" s="1"/>
  <c r="BF664" i="27" l="1"/>
  <c r="G661" i="30"/>
  <c r="AM666" i="27"/>
  <c r="AS665" i="27"/>
  <c r="B664" i="27"/>
  <c r="AU663" i="27"/>
  <c r="AX652" i="27"/>
  <c r="BH651" i="27"/>
  <c r="BI651" i="27"/>
  <c r="BJ651" i="27" s="1"/>
  <c r="BK651" i="27" s="1"/>
  <c r="AT651" i="27" s="1"/>
  <c r="H648" i="30" s="1"/>
  <c r="BE652" i="27"/>
  <c r="BG652" i="27" s="1"/>
  <c r="F649" i="30"/>
  <c r="BL652" i="27"/>
  <c r="AO654" i="27"/>
  <c r="AP654" i="27"/>
  <c r="AQ653" i="27"/>
  <c r="AR653" i="27" s="1"/>
  <c r="AY653" i="27" s="1"/>
  <c r="AE654" i="27"/>
  <c r="AC655" i="27"/>
  <c r="AD655" i="27"/>
  <c r="AG653" i="27"/>
  <c r="AF653" i="27"/>
  <c r="AZ653" i="27" s="1"/>
  <c r="BD653" i="27"/>
  <c r="BB653" i="27"/>
  <c r="BC653" i="27"/>
  <c r="BL653" i="27" s="1"/>
  <c r="U654" i="27"/>
  <c r="E651" i="30" s="1"/>
  <c r="R654" i="27"/>
  <c r="Q654" i="27"/>
  <c r="S654" i="27" s="1"/>
  <c r="T654" i="27" s="1"/>
  <c r="BA654" i="27" s="1"/>
  <c r="S653" i="27"/>
  <c r="T653" i="27" s="1"/>
  <c r="BA653" i="27" s="1"/>
  <c r="BF665" i="27" l="1"/>
  <c r="G662" i="30"/>
  <c r="AM667" i="27"/>
  <c r="AS666" i="27"/>
  <c r="B665" i="27"/>
  <c r="AU664" i="27"/>
  <c r="BI652" i="27"/>
  <c r="BH652" i="27"/>
  <c r="BE653" i="27"/>
  <c r="F650" i="30"/>
  <c r="BG653" i="27"/>
  <c r="BH653" i="27" s="1"/>
  <c r="AQ654" i="27"/>
  <c r="AR654" i="27" s="1"/>
  <c r="AY654" i="27" s="1"/>
  <c r="AX653" i="27"/>
  <c r="AP655" i="27"/>
  <c r="AO655" i="27"/>
  <c r="AD656" i="27"/>
  <c r="AC656" i="27"/>
  <c r="AE655" i="27"/>
  <c r="AG654" i="27"/>
  <c r="AF654" i="27"/>
  <c r="AZ654" i="27" s="1"/>
  <c r="BJ652" i="27"/>
  <c r="BK652" i="27" s="1"/>
  <c r="AT652" i="27" s="1"/>
  <c r="H649" i="30" s="1"/>
  <c r="U655" i="27"/>
  <c r="E652" i="30" s="1"/>
  <c r="Q655" i="27"/>
  <c r="R655" i="27"/>
  <c r="BC654" i="27"/>
  <c r="BD654" i="27"/>
  <c r="BF666" i="27" l="1"/>
  <c r="G663" i="30"/>
  <c r="AM668" i="27"/>
  <c r="AS667" i="27"/>
  <c r="AX654" i="27"/>
  <c r="B666" i="27"/>
  <c r="AU665" i="27"/>
  <c r="BE654" i="27"/>
  <c r="F651" i="30"/>
  <c r="BI653" i="27"/>
  <c r="AE656" i="27"/>
  <c r="AF656" i="27" s="1"/>
  <c r="AZ656" i="27" s="1"/>
  <c r="AQ655" i="27"/>
  <c r="AR655" i="27" s="1"/>
  <c r="AY655" i="27" s="1"/>
  <c r="S655" i="27"/>
  <c r="T655" i="27" s="1"/>
  <c r="BA655" i="27" s="1"/>
  <c r="BG654" i="27"/>
  <c r="BH654" i="27" s="1"/>
  <c r="BB654" i="27"/>
  <c r="BL654" i="27" s="1"/>
  <c r="AO656" i="27"/>
  <c r="AP656" i="27"/>
  <c r="AC657" i="27"/>
  <c r="AD657" i="27"/>
  <c r="AG655" i="27"/>
  <c r="AF655" i="27"/>
  <c r="AZ655" i="27" s="1"/>
  <c r="BJ653" i="27"/>
  <c r="BK653" i="27" s="1"/>
  <c r="AT653" i="27" s="1"/>
  <c r="H650" i="30" s="1"/>
  <c r="U656" i="27"/>
  <c r="E653" i="30" s="1"/>
  <c r="R656" i="27"/>
  <c r="Q656" i="27"/>
  <c r="BC655" i="27"/>
  <c r="BD655" i="27"/>
  <c r="BF667" i="27" l="1"/>
  <c r="G664" i="30"/>
  <c r="AM669" i="27"/>
  <c r="AS668" i="27"/>
  <c r="BI654" i="27"/>
  <c r="BJ654" i="27" s="1"/>
  <c r="BK654" i="27" s="1"/>
  <c r="AT654" i="27" s="1"/>
  <c r="H651" i="30" s="1"/>
  <c r="AX655" i="27"/>
  <c r="B667" i="27"/>
  <c r="AU666" i="27"/>
  <c r="BE655" i="27"/>
  <c r="F652" i="30"/>
  <c r="S656" i="27"/>
  <c r="T656" i="27" s="1"/>
  <c r="BA656" i="27" s="1"/>
  <c r="BG655" i="27"/>
  <c r="BH655" i="27" s="1"/>
  <c r="BB655" i="27"/>
  <c r="BL655" i="27" s="1"/>
  <c r="AP657" i="27"/>
  <c r="AO657" i="27"/>
  <c r="AQ656" i="27"/>
  <c r="AR656" i="27" s="1"/>
  <c r="AY656" i="27" s="1"/>
  <c r="AX656" i="27" s="1"/>
  <c r="AG656" i="27"/>
  <c r="AC658" i="27"/>
  <c r="AD658" i="27"/>
  <c r="AE657" i="27"/>
  <c r="AF657" i="27" s="1"/>
  <c r="AZ657" i="27" s="1"/>
  <c r="R657" i="27"/>
  <c r="Q657" i="27"/>
  <c r="U657" i="27"/>
  <c r="E654" i="30" s="1"/>
  <c r="BD656" i="27"/>
  <c r="BC656" i="27"/>
  <c r="BF668" i="27" l="1"/>
  <c r="G665" i="30"/>
  <c r="AM670" i="27"/>
  <c r="AS669" i="27"/>
  <c r="BI655" i="27"/>
  <c r="B668" i="27"/>
  <c r="AU667" i="27"/>
  <c r="BE656" i="27"/>
  <c r="F653" i="30"/>
  <c r="AQ657" i="27"/>
  <c r="AR657" i="27" s="1"/>
  <c r="AY657" i="27" s="1"/>
  <c r="S657" i="27"/>
  <c r="T657" i="27" s="1"/>
  <c r="BA657" i="27" s="1"/>
  <c r="BB656" i="27"/>
  <c r="BL656" i="27" s="1"/>
  <c r="BG656" i="27"/>
  <c r="BH656" i="27" s="1"/>
  <c r="AP658" i="27"/>
  <c r="AO658" i="27"/>
  <c r="AQ658" i="27" s="1"/>
  <c r="AR658" i="27" s="1"/>
  <c r="AY658" i="27" s="1"/>
  <c r="AE658" i="27"/>
  <c r="AC659" i="27"/>
  <c r="AD659" i="27"/>
  <c r="AG657" i="27"/>
  <c r="BC657" i="27"/>
  <c r="BB657" i="27"/>
  <c r="BD657" i="27"/>
  <c r="U658" i="27"/>
  <c r="E655" i="30" s="1"/>
  <c r="Q658" i="27"/>
  <c r="R658" i="27"/>
  <c r="BJ655" i="27"/>
  <c r="BK655" i="27" s="1"/>
  <c r="AT655" i="27" s="1"/>
  <c r="H652" i="30" s="1"/>
  <c r="BF669" i="27" l="1"/>
  <c r="G666" i="30"/>
  <c r="AM671" i="27"/>
  <c r="AS670" i="27"/>
  <c r="AX657" i="27"/>
  <c r="BI656" i="27"/>
  <c r="BJ656" i="27" s="1"/>
  <c r="BK656" i="27" s="1"/>
  <c r="AT656" i="27" s="1"/>
  <c r="H653" i="30" s="1"/>
  <c r="B669" i="27"/>
  <c r="AU668" i="27"/>
  <c r="BE657" i="27"/>
  <c r="BG657" i="27" s="1"/>
  <c r="F654" i="30"/>
  <c r="BL657" i="27"/>
  <c r="S658" i="27"/>
  <c r="T658" i="27" s="1"/>
  <c r="BA658" i="27" s="1"/>
  <c r="AP659" i="27"/>
  <c r="AO659" i="27"/>
  <c r="AQ659" i="27" s="1"/>
  <c r="AR659" i="27" s="1"/>
  <c r="AY659" i="27" s="1"/>
  <c r="AE659" i="27"/>
  <c r="AC660" i="27"/>
  <c r="AD660" i="27"/>
  <c r="AG658" i="27"/>
  <c r="AF658" i="27"/>
  <c r="AZ658" i="27" s="1"/>
  <c r="BD658" i="27"/>
  <c r="BC658" i="27"/>
  <c r="BB658" i="27"/>
  <c r="R659" i="27"/>
  <c r="Q659" i="27"/>
  <c r="U659" i="27"/>
  <c r="E656" i="30" s="1"/>
  <c r="BF670" i="27" l="1"/>
  <c r="G667" i="30"/>
  <c r="AM672" i="27"/>
  <c r="AS671" i="27"/>
  <c r="AX658" i="27"/>
  <c r="B670" i="27"/>
  <c r="AU669" i="27"/>
  <c r="BI657" i="27"/>
  <c r="BH657" i="27"/>
  <c r="BJ657" i="27" s="1"/>
  <c r="BK657" i="27" s="1"/>
  <c r="AT657" i="27" s="1"/>
  <c r="H654" i="30" s="1"/>
  <c r="BE658" i="27"/>
  <c r="F655" i="30"/>
  <c r="BL658" i="27"/>
  <c r="BG658" i="27"/>
  <c r="BH658" i="27" s="1"/>
  <c r="S659" i="27"/>
  <c r="T659" i="27" s="1"/>
  <c r="BA659" i="27" s="1"/>
  <c r="AO660" i="27"/>
  <c r="AP660" i="27"/>
  <c r="AE660" i="27"/>
  <c r="AC661" i="27"/>
  <c r="AD661" i="27"/>
  <c r="AG659" i="27"/>
  <c r="AF659" i="27"/>
  <c r="AZ659" i="27" s="1"/>
  <c r="BD659" i="27"/>
  <c r="BC659" i="27"/>
  <c r="BB659" i="27"/>
  <c r="U660" i="27"/>
  <c r="E657" i="30" s="1"/>
  <c r="Q660" i="27"/>
  <c r="R660" i="27"/>
  <c r="BF671" i="27" l="1"/>
  <c r="G668" i="30"/>
  <c r="AS672" i="27"/>
  <c r="AM673" i="27"/>
  <c r="B671" i="27"/>
  <c r="AU670" i="27"/>
  <c r="AX659" i="27"/>
  <c r="BI658" i="27"/>
  <c r="BJ658" i="27" s="1"/>
  <c r="BK658" i="27" s="1"/>
  <c r="AT658" i="27" s="1"/>
  <c r="H655" i="30" s="1"/>
  <c r="BE659" i="27"/>
  <c r="F656" i="30"/>
  <c r="BL659" i="27"/>
  <c r="BG659" i="27"/>
  <c r="BI659" i="27" s="1"/>
  <c r="AE661" i="27"/>
  <c r="AQ660" i="27"/>
  <c r="AR660" i="27" s="1"/>
  <c r="AY660" i="27" s="1"/>
  <c r="AO661" i="27"/>
  <c r="AP661" i="27"/>
  <c r="AF660" i="27"/>
  <c r="AZ660" i="27" s="1"/>
  <c r="AG660" i="27"/>
  <c r="AC662" i="27"/>
  <c r="AD662" i="27"/>
  <c r="Q661" i="27"/>
  <c r="R661" i="27"/>
  <c r="S660" i="27"/>
  <c r="T660" i="27" s="1"/>
  <c r="BA660" i="27" s="1"/>
  <c r="BC660" i="27"/>
  <c r="BB660" i="27"/>
  <c r="BD660" i="27"/>
  <c r="U661" i="27"/>
  <c r="E658" i="30" s="1"/>
  <c r="AM674" i="27" l="1"/>
  <c r="AS673" i="27"/>
  <c r="BF672" i="27"/>
  <c r="G669" i="30"/>
  <c r="B672" i="27"/>
  <c r="AU671" i="27"/>
  <c r="AX660" i="27"/>
  <c r="BH659" i="27"/>
  <c r="BJ659" i="27" s="1"/>
  <c r="BK659" i="27" s="1"/>
  <c r="AT659" i="27" s="1"/>
  <c r="H656" i="30" s="1"/>
  <c r="BE660" i="27"/>
  <c r="F657" i="30"/>
  <c r="BL660" i="27"/>
  <c r="BG660" i="27"/>
  <c r="BI660" i="27" s="1"/>
  <c r="AE662" i="27"/>
  <c r="AF662" i="27" s="1"/>
  <c r="AZ662" i="27" s="1"/>
  <c r="AP662" i="27"/>
  <c r="AO662" i="27"/>
  <c r="AQ661" i="27"/>
  <c r="AR661" i="27" s="1"/>
  <c r="AY661" i="27" s="1"/>
  <c r="AC663" i="27"/>
  <c r="AD663" i="27"/>
  <c r="AG661" i="27"/>
  <c r="AF661" i="27"/>
  <c r="AZ661" i="27" s="1"/>
  <c r="U662" i="27"/>
  <c r="E659" i="30" s="1"/>
  <c r="BC661" i="27"/>
  <c r="BB661" i="27"/>
  <c r="BD661" i="27"/>
  <c r="Q662" i="27"/>
  <c r="R662" i="27"/>
  <c r="S661" i="27"/>
  <c r="T661" i="27" s="1"/>
  <c r="BA661" i="27" s="1"/>
  <c r="BF673" i="27" l="1"/>
  <c r="G670" i="30"/>
  <c r="AM675" i="27"/>
  <c r="AS674" i="27"/>
  <c r="BH660" i="27"/>
  <c r="BJ660" i="27" s="1"/>
  <c r="BK660" i="27" s="1"/>
  <c r="AT660" i="27" s="1"/>
  <c r="H657" i="30" s="1"/>
  <c r="B673" i="27"/>
  <c r="AU672" i="27"/>
  <c r="BE661" i="27"/>
  <c r="BG661" i="27" s="1"/>
  <c r="F658" i="30"/>
  <c r="BL661" i="27"/>
  <c r="AQ662" i="27"/>
  <c r="AR662" i="27" s="1"/>
  <c r="AY662" i="27" s="1"/>
  <c r="S662" i="27"/>
  <c r="T662" i="27" s="1"/>
  <c r="BA662" i="27" s="1"/>
  <c r="AX661" i="27"/>
  <c r="AP663" i="27"/>
  <c r="AO663" i="27"/>
  <c r="AG662" i="27"/>
  <c r="AD664" i="27"/>
  <c r="AC664" i="27"/>
  <c r="AE663" i="27"/>
  <c r="AF663" i="27" s="1"/>
  <c r="AZ663" i="27" s="1"/>
  <c r="U663" i="27"/>
  <c r="E660" i="30" s="1"/>
  <c r="Q663" i="27"/>
  <c r="R663" i="27"/>
  <c r="BD662" i="27"/>
  <c r="BC662" i="27"/>
  <c r="G671" i="30" l="1"/>
  <c r="BF674" i="27"/>
  <c r="AM676" i="27"/>
  <c r="AS675" i="27"/>
  <c r="AX662" i="27"/>
  <c r="B674" i="27"/>
  <c r="AU673" i="27"/>
  <c r="BI661" i="27"/>
  <c r="BH661" i="27"/>
  <c r="BE662" i="27"/>
  <c r="F659" i="30"/>
  <c r="S663" i="27"/>
  <c r="T663" i="27" s="1"/>
  <c r="BA663" i="27" s="1"/>
  <c r="AE664" i="27"/>
  <c r="AF664" i="27" s="1"/>
  <c r="AZ664" i="27" s="1"/>
  <c r="AQ663" i="27"/>
  <c r="AR663" i="27" s="1"/>
  <c r="AY663" i="27" s="1"/>
  <c r="BG662" i="27"/>
  <c r="BI662" i="27" s="1"/>
  <c r="BB662" i="27"/>
  <c r="BL662" i="27" s="1"/>
  <c r="AP664" i="27"/>
  <c r="AO664" i="27"/>
  <c r="AC665" i="27"/>
  <c r="AD665" i="27"/>
  <c r="AG663" i="27"/>
  <c r="BC663" i="27"/>
  <c r="BB663" i="27"/>
  <c r="BD663" i="27"/>
  <c r="R664" i="27"/>
  <c r="Q664" i="27"/>
  <c r="U664" i="27"/>
  <c r="E661" i="30" s="1"/>
  <c r="BF675" i="27" l="1"/>
  <c r="G672" i="30"/>
  <c r="AM677" i="27"/>
  <c r="AS676" i="27"/>
  <c r="B675" i="27"/>
  <c r="AU674" i="27"/>
  <c r="AX663" i="27"/>
  <c r="BJ661" i="27"/>
  <c r="BK661" i="27" s="1"/>
  <c r="AT661" i="27" s="1"/>
  <c r="H658" i="30" s="1"/>
  <c r="BE663" i="27"/>
  <c r="BG663" i="27" s="1"/>
  <c r="F660" i="30"/>
  <c r="BL663" i="27"/>
  <c r="BH662" i="27"/>
  <c r="BJ662" i="27" s="1"/>
  <c r="BK662" i="27" s="1"/>
  <c r="AT662" i="27" s="1"/>
  <c r="H659" i="30" s="1"/>
  <c r="S664" i="27"/>
  <c r="T664" i="27" s="1"/>
  <c r="BA664" i="27" s="1"/>
  <c r="AQ664" i="27"/>
  <c r="AR664" i="27" s="1"/>
  <c r="AY664" i="27" s="1"/>
  <c r="AP665" i="27"/>
  <c r="AO665" i="27"/>
  <c r="AC666" i="27"/>
  <c r="AD666" i="27"/>
  <c r="AG664" i="27"/>
  <c r="AE665" i="27"/>
  <c r="AF665" i="27" s="1"/>
  <c r="AZ665" i="27" s="1"/>
  <c r="U665" i="27"/>
  <c r="E662" i="30" s="1"/>
  <c r="R665" i="27"/>
  <c r="Q665" i="27"/>
  <c r="BC664" i="27"/>
  <c r="BB664" i="27"/>
  <c r="BD664" i="27"/>
  <c r="G673" i="30" l="1"/>
  <c r="BF676" i="27"/>
  <c r="AM678" i="27"/>
  <c r="AS677" i="27"/>
  <c r="B676" i="27"/>
  <c r="AU675" i="27"/>
  <c r="BH663" i="27"/>
  <c r="BI663" i="27"/>
  <c r="BE664" i="27"/>
  <c r="F661" i="30"/>
  <c r="BL664" i="27"/>
  <c r="BG664" i="27"/>
  <c r="BI664" i="27" s="1"/>
  <c r="AX664" i="27"/>
  <c r="AQ665" i="27"/>
  <c r="AR665" i="27" s="1"/>
  <c r="AY665" i="27" s="1"/>
  <c r="S665" i="27"/>
  <c r="T665" i="27" s="1"/>
  <c r="BA665" i="27" s="1"/>
  <c r="AP666" i="27"/>
  <c r="AO666" i="27"/>
  <c r="AC667" i="27"/>
  <c r="AD667" i="27"/>
  <c r="AG665" i="27"/>
  <c r="AE666" i="27"/>
  <c r="AF666" i="27" s="1"/>
  <c r="AZ666" i="27" s="1"/>
  <c r="R666" i="27"/>
  <c r="Q666" i="27"/>
  <c r="BB665" i="27"/>
  <c r="BD665" i="27"/>
  <c r="BC665" i="27"/>
  <c r="BL665" i="27" s="1"/>
  <c r="U666" i="27"/>
  <c r="E663" i="30" s="1"/>
  <c r="AQ666" i="27" l="1"/>
  <c r="AR666" i="27" s="1"/>
  <c r="AY666" i="27" s="1"/>
  <c r="BF677" i="27"/>
  <c r="G674" i="30"/>
  <c r="BH664" i="27"/>
  <c r="BJ664" i="27" s="1"/>
  <c r="BK664" i="27" s="1"/>
  <c r="AT664" i="27" s="1"/>
  <c r="H661" i="30" s="1"/>
  <c r="AM679" i="27"/>
  <c r="AS678" i="27"/>
  <c r="BJ663" i="27"/>
  <c r="BK663" i="27" s="1"/>
  <c r="AT663" i="27" s="1"/>
  <c r="H660" i="30" s="1"/>
  <c r="B677" i="27"/>
  <c r="AU676" i="27"/>
  <c r="BE665" i="27"/>
  <c r="F662" i="30"/>
  <c r="BG665" i="27"/>
  <c r="BI665" i="27" s="1"/>
  <c r="S666" i="27"/>
  <c r="T666" i="27" s="1"/>
  <c r="BA666" i="27" s="1"/>
  <c r="AX665" i="27"/>
  <c r="AO667" i="27"/>
  <c r="AP667" i="27"/>
  <c r="AC668" i="27"/>
  <c r="AD668" i="27"/>
  <c r="AG666" i="27"/>
  <c r="AE667" i="27"/>
  <c r="AF667" i="27" s="1"/>
  <c r="AZ667" i="27" s="1"/>
  <c r="BD666" i="27"/>
  <c r="Q667" i="27"/>
  <c r="R667" i="27"/>
  <c r="U667" i="27"/>
  <c r="E664" i="30" s="1"/>
  <c r="BF678" i="27" l="1"/>
  <c r="G675" i="30"/>
  <c r="AX666" i="27"/>
  <c r="AM680" i="27"/>
  <c r="AS679" i="27"/>
  <c r="BH665" i="27"/>
  <c r="BJ665" i="27" s="1"/>
  <c r="BK665" i="27" s="1"/>
  <c r="AT665" i="27" s="1"/>
  <c r="H662" i="30" s="1"/>
  <c r="B678" i="27"/>
  <c r="AU677" i="27"/>
  <c r="BE666" i="27"/>
  <c r="F663" i="30"/>
  <c r="BC666" i="27"/>
  <c r="BG666" i="27"/>
  <c r="BH666" i="27" s="1"/>
  <c r="BB666" i="27"/>
  <c r="S667" i="27"/>
  <c r="T667" i="27" s="1"/>
  <c r="BA667" i="27" s="1"/>
  <c r="AP668" i="27"/>
  <c r="AO668" i="27"/>
  <c r="AQ667" i="27"/>
  <c r="AR667" i="27" s="1"/>
  <c r="AY667" i="27" s="1"/>
  <c r="AC669" i="27"/>
  <c r="AD669" i="27"/>
  <c r="AG667" i="27"/>
  <c r="AE668" i="27"/>
  <c r="AF668" i="27" s="1"/>
  <c r="AZ668" i="27" s="1"/>
  <c r="U668" i="27"/>
  <c r="E665" i="30" s="1"/>
  <c r="BC667" i="27"/>
  <c r="BD667" i="27"/>
  <c r="Q668" i="27"/>
  <c r="R668" i="27"/>
  <c r="BF679" i="27" l="1"/>
  <c r="G676" i="30"/>
  <c r="AM681" i="27"/>
  <c r="AS680" i="27"/>
  <c r="BI666" i="27"/>
  <c r="BJ666" i="27" s="1"/>
  <c r="BK666" i="27" s="1"/>
  <c r="AT666" i="27" s="1"/>
  <c r="H663" i="30" s="1"/>
  <c r="B679" i="27"/>
  <c r="AU678" i="27"/>
  <c r="AQ668" i="27"/>
  <c r="AR668" i="27" s="1"/>
  <c r="AY668" i="27" s="1"/>
  <c r="BE667" i="27"/>
  <c r="F664" i="30"/>
  <c r="BL666" i="27"/>
  <c r="BB667" i="27"/>
  <c r="BL667" i="27" s="1"/>
  <c r="AX667" i="27"/>
  <c r="BG667" i="27"/>
  <c r="BH667" i="27" s="1"/>
  <c r="AP669" i="27"/>
  <c r="AO669" i="27"/>
  <c r="AE669" i="27"/>
  <c r="AG668" i="27"/>
  <c r="AC670" i="27"/>
  <c r="AD670" i="27"/>
  <c r="Q669" i="27"/>
  <c r="R669" i="27"/>
  <c r="S668" i="27"/>
  <c r="T668" i="27" s="1"/>
  <c r="BA668" i="27" s="1"/>
  <c r="U669" i="27"/>
  <c r="E666" i="30" s="1"/>
  <c r="BC668" i="27"/>
  <c r="BD668" i="27"/>
  <c r="AX668" i="27" l="1"/>
  <c r="BF680" i="27"/>
  <c r="G677" i="30"/>
  <c r="AM682" i="27"/>
  <c r="AS681" i="27"/>
  <c r="BI667" i="27"/>
  <c r="BJ667" i="27" s="1"/>
  <c r="BK667" i="27" s="1"/>
  <c r="AT667" i="27" s="1"/>
  <c r="H664" i="30" s="1"/>
  <c r="B680" i="27"/>
  <c r="AU679" i="27"/>
  <c r="BE668" i="27"/>
  <c r="F665" i="30"/>
  <c r="BB668" i="27"/>
  <c r="BL668" i="27" s="1"/>
  <c r="BG668" i="27"/>
  <c r="BI668" i="27" s="1"/>
  <c r="S669" i="27"/>
  <c r="T669" i="27" s="1"/>
  <c r="BA669" i="27" s="1"/>
  <c r="AQ669" i="27"/>
  <c r="AR669" i="27" s="1"/>
  <c r="AY669" i="27" s="1"/>
  <c r="AO670" i="27"/>
  <c r="AP670" i="27"/>
  <c r="AC671" i="27"/>
  <c r="AD671" i="27"/>
  <c r="AG669" i="27"/>
  <c r="AE670" i="27"/>
  <c r="AF670" i="27" s="1"/>
  <c r="AZ670" i="27" s="1"/>
  <c r="AF669" i="27"/>
  <c r="AZ669" i="27" s="1"/>
  <c r="BC669" i="27"/>
  <c r="BB669" i="27"/>
  <c r="BD669" i="27"/>
  <c r="U670" i="27"/>
  <c r="E667" i="30" s="1"/>
  <c r="Q670" i="27"/>
  <c r="R670" i="27"/>
  <c r="BF681" i="27" l="1"/>
  <c r="G678" i="30"/>
  <c r="AM683" i="27"/>
  <c r="AS682" i="27"/>
  <c r="AX669" i="27"/>
  <c r="B681" i="27"/>
  <c r="AU680" i="27"/>
  <c r="BE669" i="27"/>
  <c r="F666" i="30"/>
  <c r="BG669" i="27"/>
  <c r="BI669" i="27" s="1"/>
  <c r="AE671" i="27"/>
  <c r="BL669" i="27"/>
  <c r="BH668" i="27"/>
  <c r="BJ668" i="27" s="1"/>
  <c r="BK668" i="27" s="1"/>
  <c r="AT668" i="27" s="1"/>
  <c r="H665" i="30" s="1"/>
  <c r="S670" i="27"/>
  <c r="T670" i="27" s="1"/>
  <c r="BA670" i="27" s="1"/>
  <c r="AO671" i="27"/>
  <c r="AP671" i="27"/>
  <c r="AQ670" i="27"/>
  <c r="AR670" i="27" s="1"/>
  <c r="AY670" i="27" s="1"/>
  <c r="AD672" i="27"/>
  <c r="AC672" i="27"/>
  <c r="AG670" i="27"/>
  <c r="U671" i="27"/>
  <c r="E668" i="30" s="1"/>
  <c r="R671" i="27"/>
  <c r="Q671" i="27"/>
  <c r="BC670" i="27"/>
  <c r="BD670" i="27"/>
  <c r="G679" i="30" l="1"/>
  <c r="BF682" i="27"/>
  <c r="AM684" i="27"/>
  <c r="AS683" i="27"/>
  <c r="BH669" i="27"/>
  <c r="B682" i="27"/>
  <c r="AU681" i="27"/>
  <c r="BE670" i="27"/>
  <c r="F667" i="30"/>
  <c r="AX670" i="27"/>
  <c r="BJ669" i="27"/>
  <c r="BK669" i="27" s="1"/>
  <c r="AT669" i="27" s="1"/>
  <c r="H666" i="30" s="1"/>
  <c r="S671" i="27"/>
  <c r="T671" i="27" s="1"/>
  <c r="BA671" i="27" s="1"/>
  <c r="AE672" i="27"/>
  <c r="AF672" i="27" s="1"/>
  <c r="AZ672" i="27" s="1"/>
  <c r="BG670" i="27"/>
  <c r="BI670" i="27" s="1"/>
  <c r="BB670" i="27"/>
  <c r="BL670" i="27" s="1"/>
  <c r="AQ671" i="27"/>
  <c r="AR671" i="27" s="1"/>
  <c r="AY671" i="27" s="1"/>
  <c r="AP672" i="27"/>
  <c r="AO672" i="27"/>
  <c r="AG671" i="27"/>
  <c r="AF671" i="27"/>
  <c r="AZ671" i="27" s="1"/>
  <c r="AD673" i="27"/>
  <c r="AC673" i="27"/>
  <c r="R672" i="27"/>
  <c r="Q672" i="27"/>
  <c r="U672" i="27"/>
  <c r="E669" i="30" s="1"/>
  <c r="BC671" i="27"/>
  <c r="BD671" i="27"/>
  <c r="BF683" i="27" l="1"/>
  <c r="G680" i="30"/>
  <c r="AM685" i="27"/>
  <c r="AS684" i="27"/>
  <c r="B683" i="27"/>
  <c r="AU682" i="27"/>
  <c r="AX671" i="27"/>
  <c r="BE671" i="27"/>
  <c r="F668" i="30"/>
  <c r="BH670" i="27"/>
  <c r="BJ670" i="27" s="1"/>
  <c r="BK670" i="27" s="1"/>
  <c r="AT670" i="27" s="1"/>
  <c r="H667" i="30" s="1"/>
  <c r="AE673" i="27"/>
  <c r="AQ672" i="27"/>
  <c r="AR672" i="27" s="1"/>
  <c r="AY672" i="27" s="1"/>
  <c r="BB671" i="27"/>
  <c r="BL671" i="27" s="1"/>
  <c r="BG671" i="27"/>
  <c r="BI671" i="27" s="1"/>
  <c r="AP673" i="27"/>
  <c r="AO673" i="27"/>
  <c r="AD674" i="27"/>
  <c r="AC674" i="27"/>
  <c r="AG672" i="27"/>
  <c r="U673" i="27"/>
  <c r="E670" i="30" s="1"/>
  <c r="BD672" i="27"/>
  <c r="BB672" i="27"/>
  <c r="BC672" i="27"/>
  <c r="BL672" i="27" s="1"/>
  <c r="S672" i="27"/>
  <c r="T672" i="27" s="1"/>
  <c r="BA672" i="27" s="1"/>
  <c r="Q673" i="27"/>
  <c r="R673" i="27"/>
  <c r="BF684" i="27" l="1"/>
  <c r="G681" i="30"/>
  <c r="AM686" i="27"/>
  <c r="AS685" i="27"/>
  <c r="BH671" i="27"/>
  <c r="B684" i="27"/>
  <c r="AU683" i="27"/>
  <c r="AX672" i="27"/>
  <c r="BE672" i="27"/>
  <c r="F669" i="30"/>
  <c r="BG672" i="27"/>
  <c r="BI672" i="27" s="1"/>
  <c r="AQ673" i="27"/>
  <c r="AR673" i="27" s="1"/>
  <c r="AY673" i="27" s="1"/>
  <c r="AE674" i="27"/>
  <c r="AO674" i="27"/>
  <c r="AP674" i="27"/>
  <c r="AG673" i="27"/>
  <c r="AC675" i="27"/>
  <c r="AD675" i="27"/>
  <c r="AF673" i="27"/>
  <c r="AZ673" i="27" s="1"/>
  <c r="S673" i="27"/>
  <c r="T673" i="27" s="1"/>
  <c r="BA673" i="27" s="1"/>
  <c r="R674" i="27"/>
  <c r="Q674" i="27"/>
  <c r="BJ671" i="27"/>
  <c r="BK671" i="27" s="1"/>
  <c r="AT671" i="27" s="1"/>
  <c r="H668" i="30" s="1"/>
  <c r="U674" i="27"/>
  <c r="E671" i="30" s="1"/>
  <c r="BD673" i="27"/>
  <c r="BC673" i="27"/>
  <c r="BF685" i="27" l="1"/>
  <c r="G682" i="30"/>
  <c r="AM687" i="27"/>
  <c r="AS686" i="27"/>
  <c r="BH672" i="27"/>
  <c r="B685" i="27"/>
  <c r="AU684" i="27"/>
  <c r="BE673" i="27"/>
  <c r="BG673" i="27" s="1"/>
  <c r="F670" i="30"/>
  <c r="BJ672" i="27"/>
  <c r="BK672" i="27" s="1"/>
  <c r="AT672" i="27" s="1"/>
  <c r="H669" i="30" s="1"/>
  <c r="AQ674" i="27"/>
  <c r="AR674" i="27" s="1"/>
  <c r="AY674" i="27" s="1"/>
  <c r="BB673" i="27"/>
  <c r="BL673" i="27" s="1"/>
  <c r="AP675" i="27"/>
  <c r="AO675" i="27"/>
  <c r="AX673" i="27"/>
  <c r="AE675" i="27"/>
  <c r="AC676" i="27"/>
  <c r="AD676" i="27"/>
  <c r="AG674" i="27"/>
  <c r="AF674" i="27"/>
  <c r="AZ674" i="27" s="1"/>
  <c r="U675" i="27"/>
  <c r="E672" i="30" s="1"/>
  <c r="R675" i="27"/>
  <c r="Q675" i="27"/>
  <c r="BB674" i="27"/>
  <c r="BC674" i="27"/>
  <c r="BL674" i="27" s="1"/>
  <c r="BD674" i="27"/>
  <c r="S674" i="27"/>
  <c r="T674" i="27" s="1"/>
  <c r="BA674" i="27" s="1"/>
  <c r="BF686" i="27" l="1"/>
  <c r="G683" i="30"/>
  <c r="AM688" i="27"/>
  <c r="AS687" i="27"/>
  <c r="B686" i="27"/>
  <c r="AU685" i="27"/>
  <c r="BI673" i="27"/>
  <c r="BH673" i="27"/>
  <c r="BJ673" i="27" s="1"/>
  <c r="BK673" i="27" s="1"/>
  <c r="AT673" i="27" s="1"/>
  <c r="H670" i="30" s="1"/>
  <c r="BE674" i="27"/>
  <c r="F671" i="30"/>
  <c r="S675" i="27"/>
  <c r="T675" i="27" s="1"/>
  <c r="BA675" i="27" s="1"/>
  <c r="AQ675" i="27"/>
  <c r="AR675" i="27" s="1"/>
  <c r="AY675" i="27" s="1"/>
  <c r="AX674" i="27"/>
  <c r="BG674" i="27"/>
  <c r="BI674" i="27" s="1"/>
  <c r="AO676" i="27"/>
  <c r="AP676" i="27"/>
  <c r="AG675" i="27"/>
  <c r="AD677" i="27"/>
  <c r="AC677" i="27"/>
  <c r="AE676" i="27"/>
  <c r="AF676" i="27" s="1"/>
  <c r="AZ676" i="27" s="1"/>
  <c r="AF675" i="27"/>
  <c r="AZ675" i="27" s="1"/>
  <c r="Q676" i="27"/>
  <c r="R676" i="27"/>
  <c r="BC675" i="27"/>
  <c r="BD675" i="27"/>
  <c r="U676" i="27"/>
  <c r="E673" i="30" s="1"/>
  <c r="BF687" i="27" l="1"/>
  <c r="G684" i="30"/>
  <c r="AM689" i="27"/>
  <c r="AS688" i="27"/>
  <c r="BH674" i="27"/>
  <c r="BJ674" i="27" s="1"/>
  <c r="BK674" i="27" s="1"/>
  <c r="AT674" i="27" s="1"/>
  <c r="H671" i="30" s="1"/>
  <c r="AX675" i="27"/>
  <c r="B687" i="27"/>
  <c r="AU686" i="27"/>
  <c r="BE675" i="27"/>
  <c r="F672" i="30"/>
  <c r="BB675" i="27"/>
  <c r="BL675" i="27" s="1"/>
  <c r="AE677" i="27"/>
  <c r="BG675" i="27"/>
  <c r="BI675" i="27" s="1"/>
  <c r="AO677" i="27"/>
  <c r="AP677" i="27"/>
  <c r="AQ676" i="27"/>
  <c r="AR676" i="27" s="1"/>
  <c r="AY676" i="27" s="1"/>
  <c r="AD678" i="27"/>
  <c r="AC678" i="27"/>
  <c r="AG676" i="27"/>
  <c r="Q677" i="27"/>
  <c r="R677" i="27"/>
  <c r="U677" i="27"/>
  <c r="E674" i="30" s="1"/>
  <c r="BC676" i="27"/>
  <c r="BD676" i="27"/>
  <c r="S676" i="27"/>
  <c r="T676" i="27" s="1"/>
  <c r="BA676" i="27" s="1"/>
  <c r="BF688" i="27" l="1"/>
  <c r="G685" i="30"/>
  <c r="AM690" i="27"/>
  <c r="AS689" i="27"/>
  <c r="B688" i="27"/>
  <c r="AU687" i="27"/>
  <c r="BH675" i="27"/>
  <c r="BJ675" i="27" s="1"/>
  <c r="BK675" i="27" s="1"/>
  <c r="AT675" i="27" s="1"/>
  <c r="H672" i="30" s="1"/>
  <c r="BE676" i="27"/>
  <c r="F673" i="30"/>
  <c r="AE678" i="27"/>
  <c r="AF678" i="27" s="1"/>
  <c r="AZ678" i="27" s="1"/>
  <c r="S677" i="27"/>
  <c r="T677" i="27" s="1"/>
  <c r="BA677" i="27" s="1"/>
  <c r="BG676" i="27"/>
  <c r="BH676" i="27" s="1"/>
  <c r="BB676" i="27"/>
  <c r="BL676" i="27" s="1"/>
  <c r="AO678" i="27"/>
  <c r="AP678" i="27"/>
  <c r="AX676" i="27"/>
  <c r="AQ677" i="27"/>
  <c r="AR677" i="27" s="1"/>
  <c r="AY677" i="27" s="1"/>
  <c r="AF677" i="27"/>
  <c r="AZ677" i="27" s="1"/>
  <c r="AG677" i="27"/>
  <c r="AC679" i="27"/>
  <c r="AD679" i="27"/>
  <c r="BB677" i="27"/>
  <c r="BC677" i="27"/>
  <c r="BL677" i="27" s="1"/>
  <c r="BD677" i="27"/>
  <c r="U678" i="27"/>
  <c r="E675" i="30" s="1"/>
  <c r="Q678" i="27"/>
  <c r="R678" i="27"/>
  <c r="BF689" i="27" l="1"/>
  <c r="G686" i="30"/>
  <c r="AM691" i="27"/>
  <c r="AS690" i="27"/>
  <c r="BI676" i="27"/>
  <c r="BJ676" i="27" s="1"/>
  <c r="BK676" i="27" s="1"/>
  <c r="AT676" i="27" s="1"/>
  <c r="H673" i="30" s="1"/>
  <c r="B689" i="27"/>
  <c r="AU688" i="27"/>
  <c r="BE677" i="27"/>
  <c r="F674" i="30"/>
  <c r="S678" i="27"/>
  <c r="T678" i="27" s="1"/>
  <c r="BA678" i="27" s="1"/>
  <c r="AX677" i="27"/>
  <c r="BG677" i="27"/>
  <c r="BH677" i="27" s="1"/>
  <c r="AP679" i="27"/>
  <c r="AO679" i="27"/>
  <c r="AQ678" i="27"/>
  <c r="AR678" i="27" s="1"/>
  <c r="AY678" i="27" s="1"/>
  <c r="AE679" i="27"/>
  <c r="AG678" i="27"/>
  <c r="AD680" i="27"/>
  <c r="AC680" i="27"/>
  <c r="AE680" i="27" s="1"/>
  <c r="Q679" i="27"/>
  <c r="R679" i="27"/>
  <c r="U679" i="27"/>
  <c r="E676" i="30" s="1"/>
  <c r="BC678" i="27"/>
  <c r="BD678" i="27"/>
  <c r="BF690" i="27" l="1"/>
  <c r="G687" i="30"/>
  <c r="AM692" i="27"/>
  <c r="AS691" i="27"/>
  <c r="BI677" i="27"/>
  <c r="AX678" i="27"/>
  <c r="B690" i="27"/>
  <c r="AU689" i="27"/>
  <c r="BE678" i="27"/>
  <c r="F675" i="30"/>
  <c r="AQ679" i="27"/>
  <c r="AR679" i="27" s="1"/>
  <c r="AY679" i="27" s="1"/>
  <c r="BB678" i="27"/>
  <c r="BL678" i="27" s="1"/>
  <c r="S679" i="27"/>
  <c r="T679" i="27" s="1"/>
  <c r="BA679" i="27" s="1"/>
  <c r="BG678" i="27"/>
  <c r="BH678" i="27" s="1"/>
  <c r="AP680" i="27"/>
  <c r="AO680" i="27"/>
  <c r="AG679" i="27"/>
  <c r="BJ677" i="27"/>
  <c r="BK677" i="27" s="1"/>
  <c r="AT677" i="27" s="1"/>
  <c r="H674" i="30" s="1"/>
  <c r="AD681" i="27"/>
  <c r="AC681" i="27"/>
  <c r="AF679" i="27"/>
  <c r="AZ679" i="27" s="1"/>
  <c r="U680" i="27"/>
  <c r="E677" i="30" s="1"/>
  <c r="R680" i="27"/>
  <c r="Q680" i="27"/>
  <c r="BD679" i="27"/>
  <c r="BC679" i="27"/>
  <c r="G688" i="30" l="1"/>
  <c r="BF691" i="27"/>
  <c r="AM693" i="27"/>
  <c r="AS692" i="27"/>
  <c r="B691" i="27"/>
  <c r="AU690" i="27"/>
  <c r="AX679" i="27"/>
  <c r="AE681" i="27"/>
  <c r="AF681" i="27" s="1"/>
  <c r="AZ681" i="27" s="1"/>
  <c r="BE679" i="27"/>
  <c r="F676" i="30"/>
  <c r="S680" i="27"/>
  <c r="T680" i="27" s="1"/>
  <c r="BA680" i="27" s="1"/>
  <c r="BI678" i="27"/>
  <c r="BJ678" i="27" s="1"/>
  <c r="BK678" i="27" s="1"/>
  <c r="AT678" i="27" s="1"/>
  <c r="H675" i="30" s="1"/>
  <c r="BB679" i="27"/>
  <c r="BL679" i="27" s="1"/>
  <c r="BG679" i="27"/>
  <c r="BI679" i="27" s="1"/>
  <c r="AO681" i="27"/>
  <c r="AP681" i="27"/>
  <c r="AQ680" i="27"/>
  <c r="AR680" i="27" s="1"/>
  <c r="AY680" i="27" s="1"/>
  <c r="AG680" i="27"/>
  <c r="AC682" i="27"/>
  <c r="AD682" i="27"/>
  <c r="AF680" i="27"/>
  <c r="AZ680" i="27" s="1"/>
  <c r="U681" i="27"/>
  <c r="E678" i="30" s="1"/>
  <c r="Q681" i="27"/>
  <c r="R681" i="27"/>
  <c r="BD680" i="27"/>
  <c r="BC680" i="27"/>
  <c r="G689" i="30" l="1"/>
  <c r="BF692" i="27"/>
  <c r="AM694" i="27"/>
  <c r="AS693" i="27"/>
  <c r="BH679" i="27"/>
  <c r="B692" i="27"/>
  <c r="AU691" i="27"/>
  <c r="BE680" i="27"/>
  <c r="F677" i="30"/>
  <c r="AX680" i="27"/>
  <c r="BJ679" i="27"/>
  <c r="BK679" i="27" s="1"/>
  <c r="AT679" i="27" s="1"/>
  <c r="H676" i="30" s="1"/>
  <c r="BB680" i="27"/>
  <c r="BL680" i="27" s="1"/>
  <c r="BG680" i="27"/>
  <c r="BH680" i="27" s="1"/>
  <c r="AO682" i="27"/>
  <c r="AP682" i="27"/>
  <c r="AQ681" i="27"/>
  <c r="AR681" i="27" s="1"/>
  <c r="AY681" i="27" s="1"/>
  <c r="AD683" i="27"/>
  <c r="AC683" i="27"/>
  <c r="AE682" i="27"/>
  <c r="AG681" i="27"/>
  <c r="S681" i="27"/>
  <c r="T681" i="27" s="1"/>
  <c r="BA681" i="27" s="1"/>
  <c r="Q682" i="27"/>
  <c r="R682" i="27"/>
  <c r="U682" i="27"/>
  <c r="E679" i="30" s="1"/>
  <c r="BC681" i="27"/>
  <c r="BD681" i="27"/>
  <c r="BF693" i="27" l="1"/>
  <c r="G690" i="30"/>
  <c r="AM695" i="27"/>
  <c r="AS694" i="27"/>
  <c r="BI680" i="27"/>
  <c r="B693" i="27"/>
  <c r="AU692" i="27"/>
  <c r="BJ680" i="27"/>
  <c r="BK680" i="27" s="1"/>
  <c r="AT680" i="27" s="1"/>
  <c r="H677" i="30" s="1"/>
  <c r="BE681" i="27"/>
  <c r="F678" i="30"/>
  <c r="AE683" i="27"/>
  <c r="AX681" i="27"/>
  <c r="BG681" i="27"/>
  <c r="BI681" i="27" s="1"/>
  <c r="BB681" i="27"/>
  <c r="BL681" i="27" s="1"/>
  <c r="AP683" i="27"/>
  <c r="AO683" i="27"/>
  <c r="AQ682" i="27"/>
  <c r="AR682" i="27" s="1"/>
  <c r="AY682" i="27" s="1"/>
  <c r="AC684" i="27"/>
  <c r="AD684" i="27"/>
  <c r="AG682" i="27"/>
  <c r="AF682" i="27"/>
  <c r="AZ682" i="27" s="1"/>
  <c r="R683" i="27"/>
  <c r="Q683" i="27"/>
  <c r="S682" i="27"/>
  <c r="T682" i="27" s="1"/>
  <c r="BA682" i="27" s="1"/>
  <c r="BC682" i="27"/>
  <c r="BD682" i="27"/>
  <c r="U683" i="27"/>
  <c r="E680" i="30" s="1"/>
  <c r="BF694" i="27" l="1"/>
  <c r="G691" i="30"/>
  <c r="AM696" i="27"/>
  <c r="AS695" i="27"/>
  <c r="BH681" i="27"/>
  <c r="BJ681" i="27" s="1"/>
  <c r="BK681" i="27" s="1"/>
  <c r="AT681" i="27" s="1"/>
  <c r="H678" i="30" s="1"/>
  <c r="B694" i="27"/>
  <c r="AU693" i="27"/>
  <c r="AX682" i="27"/>
  <c r="AQ683" i="27"/>
  <c r="AR683" i="27" s="1"/>
  <c r="AY683" i="27" s="1"/>
  <c r="BE682" i="27"/>
  <c r="F679" i="30"/>
  <c r="S683" i="27"/>
  <c r="T683" i="27" s="1"/>
  <c r="BA683" i="27" s="1"/>
  <c r="BB682" i="27"/>
  <c r="BL682" i="27" s="1"/>
  <c r="BG682" i="27"/>
  <c r="BI682" i="27" s="1"/>
  <c r="AO684" i="27"/>
  <c r="AP684" i="27"/>
  <c r="AG683" i="27"/>
  <c r="AD685" i="27"/>
  <c r="AC685" i="27"/>
  <c r="AE684" i="27"/>
  <c r="AF684" i="27" s="1"/>
  <c r="AZ684" i="27" s="1"/>
  <c r="AF683" i="27"/>
  <c r="AZ683" i="27" s="1"/>
  <c r="BD683" i="27"/>
  <c r="BC683" i="27"/>
  <c r="BL683" i="27" s="1"/>
  <c r="BB683" i="27"/>
  <c r="U684" i="27"/>
  <c r="E681" i="30" s="1"/>
  <c r="R684" i="27"/>
  <c r="Q684" i="27"/>
  <c r="BF695" i="27" l="1"/>
  <c r="G692" i="30"/>
  <c r="AM697" i="27"/>
  <c r="AS696" i="27"/>
  <c r="BH682" i="27"/>
  <c r="AX683" i="27"/>
  <c r="B695" i="27"/>
  <c r="AU694" i="27"/>
  <c r="BE683" i="27"/>
  <c r="BG683" i="27" s="1"/>
  <c r="F680" i="30"/>
  <c r="AE685" i="27"/>
  <c r="S684" i="27"/>
  <c r="T684" i="27" s="1"/>
  <c r="BA684" i="27" s="1"/>
  <c r="AO685" i="27"/>
  <c r="AP685" i="27"/>
  <c r="AQ684" i="27"/>
  <c r="AR684" i="27" s="1"/>
  <c r="AY684" i="27" s="1"/>
  <c r="AX684" i="27" s="1"/>
  <c r="AD686" i="27"/>
  <c r="AC686" i="27"/>
  <c r="AG684" i="27"/>
  <c r="R685" i="27"/>
  <c r="Q685" i="27"/>
  <c r="BB684" i="27"/>
  <c r="BC684" i="27"/>
  <c r="BD684" i="27"/>
  <c r="BJ682" i="27"/>
  <c r="BK682" i="27" s="1"/>
  <c r="AT682" i="27" s="1"/>
  <c r="H679" i="30" s="1"/>
  <c r="U685" i="27"/>
  <c r="E682" i="30" s="1"/>
  <c r="BF696" i="27" l="1"/>
  <c r="G693" i="30"/>
  <c r="AM698" i="27"/>
  <c r="AS697" i="27"/>
  <c r="B696" i="27"/>
  <c r="AU695" i="27"/>
  <c r="BI683" i="27"/>
  <c r="BH683" i="27"/>
  <c r="BJ683" i="27" s="1"/>
  <c r="BK683" i="27" s="1"/>
  <c r="AT683" i="27" s="1"/>
  <c r="H680" i="30" s="1"/>
  <c r="BE684" i="27"/>
  <c r="F681" i="30"/>
  <c r="BG684" i="27"/>
  <c r="BH684" i="27" s="1"/>
  <c r="BL684" i="27"/>
  <c r="S685" i="27"/>
  <c r="T685" i="27" s="1"/>
  <c r="BA685" i="27" s="1"/>
  <c r="AE686" i="27"/>
  <c r="AO686" i="27"/>
  <c r="AP686" i="27"/>
  <c r="AQ685" i="27"/>
  <c r="AR685" i="27" s="1"/>
  <c r="AY685" i="27" s="1"/>
  <c r="AG685" i="27"/>
  <c r="AD687" i="27"/>
  <c r="AC687" i="27"/>
  <c r="AF685" i="27"/>
  <c r="AZ685" i="27" s="1"/>
  <c r="BD685" i="27"/>
  <c r="BB685" i="27"/>
  <c r="BC685" i="27"/>
  <c r="BL685" i="27" s="1"/>
  <c r="U686" i="27"/>
  <c r="E683" i="30" s="1"/>
  <c r="Q686" i="27"/>
  <c r="R686" i="27"/>
  <c r="BF697" i="27" l="1"/>
  <c r="G694" i="30"/>
  <c r="AM699" i="27"/>
  <c r="AS698" i="27"/>
  <c r="B697" i="27"/>
  <c r="AU696" i="27"/>
  <c r="BE685" i="27"/>
  <c r="F682" i="30"/>
  <c r="BG685" i="27"/>
  <c r="BI685" i="27" s="1"/>
  <c r="BI684" i="27"/>
  <c r="BJ684" i="27" s="1"/>
  <c r="BK684" i="27" s="1"/>
  <c r="AT684" i="27" s="1"/>
  <c r="H681" i="30" s="1"/>
  <c r="AX685" i="27"/>
  <c r="AP687" i="27"/>
  <c r="AO687" i="27"/>
  <c r="AQ686" i="27"/>
  <c r="AR686" i="27" s="1"/>
  <c r="AY686" i="27" s="1"/>
  <c r="AE687" i="27"/>
  <c r="AC688" i="27"/>
  <c r="AD688" i="27"/>
  <c r="AG686" i="27"/>
  <c r="AF686" i="27"/>
  <c r="AZ686" i="27" s="1"/>
  <c r="R687" i="27"/>
  <c r="Q687" i="27"/>
  <c r="BB686" i="27"/>
  <c r="BD686" i="27"/>
  <c r="BC686" i="27"/>
  <c r="BL686" i="27" s="1"/>
  <c r="S686" i="27"/>
  <c r="T686" i="27" s="1"/>
  <c r="BA686" i="27" s="1"/>
  <c r="U687" i="27"/>
  <c r="E684" i="30" s="1"/>
  <c r="BF698" i="27" l="1"/>
  <c r="G695" i="30"/>
  <c r="AM700" i="27"/>
  <c r="AS699" i="27"/>
  <c r="B698" i="27"/>
  <c r="AU697" i="27"/>
  <c r="AX686" i="27"/>
  <c r="BH685" i="27"/>
  <c r="BJ685" i="27" s="1"/>
  <c r="BK685" i="27" s="1"/>
  <c r="AT685" i="27" s="1"/>
  <c r="H682" i="30" s="1"/>
  <c r="BE686" i="27"/>
  <c r="BG686" i="27" s="1"/>
  <c r="F683" i="30"/>
  <c r="AQ687" i="27"/>
  <c r="AR687" i="27" s="1"/>
  <c r="AY687" i="27" s="1"/>
  <c r="S687" i="27"/>
  <c r="T687" i="27" s="1"/>
  <c r="BA687" i="27" s="1"/>
  <c r="AO688" i="27"/>
  <c r="AP688" i="27"/>
  <c r="AD689" i="27"/>
  <c r="AC689" i="27"/>
  <c r="AG687" i="27"/>
  <c r="AE688" i="27"/>
  <c r="AF688" i="27" s="1"/>
  <c r="AZ688" i="27" s="1"/>
  <c r="AF687" i="27"/>
  <c r="AZ687" i="27" s="1"/>
  <c r="BB687" i="27"/>
  <c r="BD687" i="27"/>
  <c r="BC687" i="27"/>
  <c r="BL687" i="27" s="1"/>
  <c r="R688" i="27"/>
  <c r="Q688" i="27"/>
  <c r="U688" i="27"/>
  <c r="E685" i="30" s="1"/>
  <c r="BF699" i="27" l="1"/>
  <c r="G696" i="30"/>
  <c r="AM701" i="27"/>
  <c r="AS700" i="27"/>
  <c r="AX687" i="27"/>
  <c r="B699" i="27"/>
  <c r="AU698" i="27"/>
  <c r="BH686" i="27"/>
  <c r="BJ686" i="27" s="1"/>
  <c r="BK686" i="27" s="1"/>
  <c r="AT686" i="27" s="1"/>
  <c r="H683" i="30" s="1"/>
  <c r="BI686" i="27"/>
  <c r="BE687" i="27"/>
  <c r="F684" i="30"/>
  <c r="BG687" i="27"/>
  <c r="BI687" i="27" s="1"/>
  <c r="AE689" i="27"/>
  <c r="AF689" i="27" s="1"/>
  <c r="AZ689" i="27" s="1"/>
  <c r="S688" i="27"/>
  <c r="T688" i="27" s="1"/>
  <c r="BA688" i="27" s="1"/>
  <c r="AP689" i="27"/>
  <c r="AO689" i="27"/>
  <c r="AQ688" i="27"/>
  <c r="AR688" i="27" s="1"/>
  <c r="AY688" i="27" s="1"/>
  <c r="AG688" i="27"/>
  <c r="AC690" i="27"/>
  <c r="AD690" i="27"/>
  <c r="BC688" i="27"/>
  <c r="BB688" i="27"/>
  <c r="BD688" i="27"/>
  <c r="U689" i="27"/>
  <c r="E686" i="30" s="1"/>
  <c r="R689" i="27"/>
  <c r="Q689" i="27"/>
  <c r="BF700" i="27" l="1"/>
  <c r="G697" i="30"/>
  <c r="AM702" i="27"/>
  <c r="AS701" i="27"/>
  <c r="B700" i="27"/>
  <c r="AU699" i="27"/>
  <c r="AX688" i="27"/>
  <c r="BH687" i="27"/>
  <c r="BJ687" i="27" s="1"/>
  <c r="BK687" i="27" s="1"/>
  <c r="AT687" i="27" s="1"/>
  <c r="H684" i="30" s="1"/>
  <c r="BE688" i="27"/>
  <c r="BG688" i="27" s="1"/>
  <c r="F685" i="30"/>
  <c r="BL688" i="27"/>
  <c r="AQ689" i="27"/>
  <c r="AR689" i="27" s="1"/>
  <c r="AY689" i="27" s="1"/>
  <c r="AE690" i="27"/>
  <c r="S689" i="27"/>
  <c r="T689" i="27" s="1"/>
  <c r="BA689" i="27" s="1"/>
  <c r="AO690" i="27"/>
  <c r="AP690" i="27"/>
  <c r="AC691" i="27"/>
  <c r="AD691" i="27"/>
  <c r="AG689" i="27"/>
  <c r="BC689" i="27"/>
  <c r="BD689" i="27"/>
  <c r="BB689" i="27"/>
  <c r="Q690" i="27"/>
  <c r="R690" i="27"/>
  <c r="U690" i="27"/>
  <c r="E687" i="30" s="1"/>
  <c r="AM703" i="27" l="1"/>
  <c r="AS702" i="27"/>
  <c r="BF701" i="27"/>
  <c r="G698" i="30"/>
  <c r="B701" i="27"/>
  <c r="AU700" i="27"/>
  <c r="AX689" i="27"/>
  <c r="BI688" i="27"/>
  <c r="BH688" i="27"/>
  <c r="BE689" i="27"/>
  <c r="F686" i="30"/>
  <c r="BL689" i="27"/>
  <c r="BG689" i="27"/>
  <c r="BH689" i="27" s="1"/>
  <c r="S690" i="27"/>
  <c r="T690" i="27" s="1"/>
  <c r="BA690" i="27" s="1"/>
  <c r="AO691" i="27"/>
  <c r="AP691" i="27"/>
  <c r="AQ690" i="27"/>
  <c r="AR690" i="27" s="1"/>
  <c r="AY690" i="27" s="1"/>
  <c r="AC692" i="27"/>
  <c r="AD692" i="27"/>
  <c r="AG690" i="27"/>
  <c r="AE691" i="27"/>
  <c r="AF691" i="27" s="1"/>
  <c r="AZ691" i="27" s="1"/>
  <c r="AF690" i="27"/>
  <c r="AZ690" i="27" s="1"/>
  <c r="U691" i="27"/>
  <c r="E688" i="30" s="1"/>
  <c r="BB690" i="27"/>
  <c r="BD690" i="27"/>
  <c r="BC690" i="27"/>
  <c r="BL690" i="27" s="1"/>
  <c r="Q691" i="27"/>
  <c r="R691" i="27"/>
  <c r="BJ688" i="27" l="1"/>
  <c r="BK688" i="27" s="1"/>
  <c r="AT688" i="27" s="1"/>
  <c r="H685" i="30" s="1"/>
  <c r="BF702" i="27"/>
  <c r="G699" i="30"/>
  <c r="AM704" i="27"/>
  <c r="AS703" i="27"/>
  <c r="BI689" i="27"/>
  <c r="BJ689" i="27" s="1"/>
  <c r="BK689" i="27" s="1"/>
  <c r="AT689" i="27" s="1"/>
  <c r="H686" i="30" s="1"/>
  <c r="B702" i="27"/>
  <c r="AU701" i="27"/>
  <c r="BE690" i="27"/>
  <c r="F687" i="30"/>
  <c r="BG690" i="27"/>
  <c r="BI690" i="27" s="1"/>
  <c r="S691" i="27"/>
  <c r="T691" i="27" s="1"/>
  <c r="BA691" i="27" s="1"/>
  <c r="AX690" i="27"/>
  <c r="AO692" i="27"/>
  <c r="AP692" i="27"/>
  <c r="AQ691" i="27"/>
  <c r="AR691" i="27" s="1"/>
  <c r="AY691" i="27" s="1"/>
  <c r="AX691" i="27" s="1"/>
  <c r="AC693" i="27"/>
  <c r="AD693" i="27"/>
  <c r="AG691" i="27"/>
  <c r="AE692" i="27"/>
  <c r="AF692" i="27" s="1"/>
  <c r="AZ692" i="27" s="1"/>
  <c r="R692" i="27"/>
  <c r="Q692" i="27"/>
  <c r="BB691" i="27"/>
  <c r="BC691" i="27"/>
  <c r="BL691" i="27" s="1"/>
  <c r="BD691" i="27"/>
  <c r="U692" i="27"/>
  <c r="E689" i="30" s="1"/>
  <c r="BH690" i="27" l="1"/>
  <c r="BF703" i="27"/>
  <c r="G700" i="30"/>
  <c r="AM705" i="27"/>
  <c r="AS704" i="27"/>
  <c r="B703" i="27"/>
  <c r="AU702" i="27"/>
  <c r="BE691" i="27"/>
  <c r="F688" i="30"/>
  <c r="S692" i="27"/>
  <c r="T692" i="27" s="1"/>
  <c r="BA692" i="27" s="1"/>
  <c r="BG691" i="27"/>
  <c r="BH691" i="27" s="1"/>
  <c r="AQ692" i="27"/>
  <c r="AR692" i="27" s="1"/>
  <c r="AY692" i="27" s="1"/>
  <c r="AX692" i="27" s="1"/>
  <c r="AP693" i="27"/>
  <c r="AO693" i="27"/>
  <c r="AG692" i="27"/>
  <c r="BB692" i="27" s="1"/>
  <c r="AC694" i="27"/>
  <c r="AD694" i="27"/>
  <c r="AE693" i="27"/>
  <c r="AF693" i="27" s="1"/>
  <c r="AZ693" i="27" s="1"/>
  <c r="BC692" i="27"/>
  <c r="BD692" i="27"/>
  <c r="U693" i="27"/>
  <c r="E690" i="30" s="1"/>
  <c r="BJ690" i="27"/>
  <c r="BK690" i="27" s="1"/>
  <c r="AT690" i="27" s="1"/>
  <c r="H687" i="30" s="1"/>
  <c r="Q693" i="27"/>
  <c r="R693" i="27"/>
  <c r="AM706" i="27" l="1"/>
  <c r="AS705" i="27"/>
  <c r="BF704" i="27"/>
  <c r="G701" i="30"/>
  <c r="AQ693" i="27"/>
  <c r="AR693" i="27" s="1"/>
  <c r="AY693" i="27" s="1"/>
  <c r="BI691" i="27"/>
  <c r="B704" i="27"/>
  <c r="AU703" i="27"/>
  <c r="BE692" i="27"/>
  <c r="BG692" i="27" s="1"/>
  <c r="F689" i="30"/>
  <c r="BL692" i="27"/>
  <c r="BJ691" i="27"/>
  <c r="BK691" i="27" s="1"/>
  <c r="AT691" i="27" s="1"/>
  <c r="H688" i="30" s="1"/>
  <c r="S693" i="27"/>
  <c r="T693" i="27" s="1"/>
  <c r="BA693" i="27" s="1"/>
  <c r="AO694" i="27"/>
  <c r="AP694" i="27"/>
  <c r="AE694" i="27"/>
  <c r="AG693" i="27"/>
  <c r="AD695" i="27"/>
  <c r="AC695" i="27"/>
  <c r="Q694" i="27"/>
  <c r="R694" i="27"/>
  <c r="BB693" i="27"/>
  <c r="BD693" i="27"/>
  <c r="BC693" i="27"/>
  <c r="BL693" i="27" s="1"/>
  <c r="U694" i="27"/>
  <c r="E691" i="30" s="1"/>
  <c r="BF705" i="27" l="1"/>
  <c r="G702" i="30"/>
  <c r="AX693" i="27"/>
  <c r="AM707" i="27"/>
  <c r="AS706" i="27"/>
  <c r="BI692" i="27"/>
  <c r="BJ692" i="27" s="1"/>
  <c r="BK692" i="27" s="1"/>
  <c r="AT692" i="27" s="1"/>
  <c r="H689" i="30" s="1"/>
  <c r="BH692" i="27"/>
  <c r="B705" i="27"/>
  <c r="AU704" i="27"/>
  <c r="BE693" i="27"/>
  <c r="BG693" i="27" s="1"/>
  <c r="F690" i="30"/>
  <c r="AE695" i="27"/>
  <c r="AO695" i="27"/>
  <c r="AP695" i="27"/>
  <c r="AQ694" i="27"/>
  <c r="AR694" i="27" s="1"/>
  <c r="AY694" i="27" s="1"/>
  <c r="AC696" i="27"/>
  <c r="AD696" i="27"/>
  <c r="AG694" i="27"/>
  <c r="AF694" i="27"/>
  <c r="AZ694" i="27" s="1"/>
  <c r="U695" i="27"/>
  <c r="E692" i="30" s="1"/>
  <c r="BB694" i="27"/>
  <c r="BD694" i="27"/>
  <c r="R695" i="27"/>
  <c r="Q695" i="27"/>
  <c r="S694" i="27"/>
  <c r="T694" i="27" s="1"/>
  <c r="BA694" i="27" s="1"/>
  <c r="BF706" i="27" l="1"/>
  <c r="G703" i="30"/>
  <c r="AM708" i="27"/>
  <c r="AS707" i="27"/>
  <c r="B706" i="27"/>
  <c r="AU705" i="27"/>
  <c r="BI693" i="27"/>
  <c r="BH693" i="27"/>
  <c r="BJ693" i="27" s="1"/>
  <c r="BK693" i="27" s="1"/>
  <c r="AT693" i="27" s="1"/>
  <c r="H690" i="30" s="1"/>
  <c r="BE694" i="27"/>
  <c r="BG694" i="27" s="1"/>
  <c r="BI694" i="27" s="1"/>
  <c r="F691" i="30"/>
  <c r="BC694" i="27"/>
  <c r="BL694" i="27" s="1"/>
  <c r="S695" i="27"/>
  <c r="T695" i="27" s="1"/>
  <c r="BA695" i="27" s="1"/>
  <c r="AP696" i="27"/>
  <c r="AO696" i="27"/>
  <c r="AX694" i="27"/>
  <c r="AQ695" i="27"/>
  <c r="AR695" i="27" s="1"/>
  <c r="AY695" i="27" s="1"/>
  <c r="AG695" i="27"/>
  <c r="AC697" i="27"/>
  <c r="AD697" i="27"/>
  <c r="AE696" i="27"/>
  <c r="AF696" i="27" s="1"/>
  <c r="AZ696" i="27" s="1"/>
  <c r="AF695" i="27"/>
  <c r="AZ695" i="27" s="1"/>
  <c r="Q696" i="27"/>
  <c r="R696" i="27"/>
  <c r="BD695" i="27"/>
  <c r="BC695" i="27"/>
  <c r="U696" i="27"/>
  <c r="E693" i="30" s="1"/>
  <c r="AM709" i="27" l="1"/>
  <c r="AS708" i="27"/>
  <c r="BF707" i="27"/>
  <c r="G704" i="30"/>
  <c r="B707" i="27"/>
  <c r="AU706" i="27"/>
  <c r="BE695" i="27"/>
  <c r="F692" i="30"/>
  <c r="BH694" i="27"/>
  <c r="BJ694" i="27" s="1"/>
  <c r="BK694" i="27" s="1"/>
  <c r="AT694" i="27" s="1"/>
  <c r="H691" i="30" s="1"/>
  <c r="AQ696" i="27"/>
  <c r="AR696" i="27" s="1"/>
  <c r="AY696" i="27" s="1"/>
  <c r="AX695" i="27"/>
  <c r="BG695" i="27"/>
  <c r="BH695" i="27" s="1"/>
  <c r="AE697" i="27"/>
  <c r="BB695" i="27"/>
  <c r="BL695" i="27" s="1"/>
  <c r="AP697" i="27"/>
  <c r="AO697" i="27"/>
  <c r="AQ697" i="27" s="1"/>
  <c r="AR697" i="27" s="1"/>
  <c r="AY697" i="27" s="1"/>
  <c r="AD698" i="27"/>
  <c r="AC698" i="27"/>
  <c r="AG696" i="27"/>
  <c r="BD696" i="27"/>
  <c r="BB696" i="27"/>
  <c r="U697" i="27"/>
  <c r="E694" i="30" s="1"/>
  <c r="S696" i="27"/>
  <c r="T696" i="27" s="1"/>
  <c r="BA696" i="27" s="1"/>
  <c r="R697" i="27"/>
  <c r="Q697" i="27"/>
  <c r="AX696" i="27" l="1"/>
  <c r="G705" i="30"/>
  <c r="BF708" i="27"/>
  <c r="AM710" i="27"/>
  <c r="AS709" i="27"/>
  <c r="B708" i="27"/>
  <c r="AU707" i="27"/>
  <c r="BE696" i="27"/>
  <c r="F693" i="30"/>
  <c r="BI695" i="27"/>
  <c r="BJ695" i="27" s="1"/>
  <c r="BK695" i="27" s="1"/>
  <c r="AT695" i="27" s="1"/>
  <c r="H692" i="30" s="1"/>
  <c r="BC696" i="27"/>
  <c r="BL696" i="27" s="1"/>
  <c r="AE698" i="27"/>
  <c r="S697" i="27"/>
  <c r="T697" i="27" s="1"/>
  <c r="BA697" i="27" s="1"/>
  <c r="AO698" i="27"/>
  <c r="AP698" i="27"/>
  <c r="BG696" i="27"/>
  <c r="BI696" i="27" s="1"/>
  <c r="AG697" i="27"/>
  <c r="AD699" i="27"/>
  <c r="AC699" i="27"/>
  <c r="AE699" i="27" s="1"/>
  <c r="AF697" i="27"/>
  <c r="AZ697" i="27" s="1"/>
  <c r="R698" i="27"/>
  <c r="Q698" i="27"/>
  <c r="BB697" i="27"/>
  <c r="BC697" i="27"/>
  <c r="BL697" i="27" s="1"/>
  <c r="BD697" i="27"/>
  <c r="U698" i="27"/>
  <c r="E695" i="30" s="1"/>
  <c r="AM711" i="27" l="1"/>
  <c r="AS710" i="27"/>
  <c r="BF709" i="27"/>
  <c r="G706" i="30"/>
  <c r="AX697" i="27"/>
  <c r="B709" i="27"/>
  <c r="AU708" i="27"/>
  <c r="BE697" i="27"/>
  <c r="BG697" i="27" s="1"/>
  <c r="F694" i="30"/>
  <c r="S698" i="27"/>
  <c r="T698" i="27" s="1"/>
  <c r="BA698" i="27" s="1"/>
  <c r="BH696" i="27"/>
  <c r="BJ696" i="27" s="1"/>
  <c r="BK696" i="27" s="1"/>
  <c r="AT696" i="27" s="1"/>
  <c r="H693" i="30" s="1"/>
  <c r="AP699" i="27"/>
  <c r="AO699" i="27"/>
  <c r="AQ698" i="27"/>
  <c r="AR698" i="27" s="1"/>
  <c r="AY698" i="27" s="1"/>
  <c r="AC700" i="27"/>
  <c r="AD700" i="27"/>
  <c r="AG698" i="27"/>
  <c r="AF698" i="27"/>
  <c r="AZ698" i="27" s="1"/>
  <c r="AF699" i="27"/>
  <c r="AZ699" i="27" s="1"/>
  <c r="BD698" i="27"/>
  <c r="BB698" i="27"/>
  <c r="BC698" i="27"/>
  <c r="BL698" i="27" s="1"/>
  <c r="U699" i="27"/>
  <c r="E696" i="30" s="1"/>
  <c r="Q699" i="27"/>
  <c r="R699" i="27"/>
  <c r="BF710" i="27" l="1"/>
  <c r="G707" i="30"/>
  <c r="AQ699" i="27"/>
  <c r="AR699" i="27" s="1"/>
  <c r="AY699" i="27" s="1"/>
  <c r="AM712" i="27"/>
  <c r="AS711" i="27"/>
  <c r="B710" i="27"/>
  <c r="AU709" i="27"/>
  <c r="BI697" i="27"/>
  <c r="BH697" i="27"/>
  <c r="BJ697" i="27" s="1"/>
  <c r="BK697" i="27" s="1"/>
  <c r="AT697" i="27" s="1"/>
  <c r="H694" i="30" s="1"/>
  <c r="BE698" i="27"/>
  <c r="BG698" i="27" s="1"/>
  <c r="F695" i="30"/>
  <c r="AX698" i="27"/>
  <c r="AO700" i="27"/>
  <c r="AP700" i="27"/>
  <c r="AG699" i="27"/>
  <c r="BB699" i="27" s="1"/>
  <c r="AE700" i="27"/>
  <c r="AF700" i="27" s="1"/>
  <c r="AZ700" i="27" s="1"/>
  <c r="AC701" i="27"/>
  <c r="AD701" i="27"/>
  <c r="Q700" i="27"/>
  <c r="R700" i="27"/>
  <c r="BD699" i="27"/>
  <c r="BC699" i="27"/>
  <c r="BL699" i="27" s="1"/>
  <c r="S699" i="27"/>
  <c r="T699" i="27" s="1"/>
  <c r="BA699" i="27" s="1"/>
  <c r="AX699" i="27" s="1"/>
  <c r="U700" i="27"/>
  <c r="E697" i="30" s="1"/>
  <c r="BF711" i="27" l="1"/>
  <c r="G708" i="30"/>
  <c r="AM713" i="27"/>
  <c r="AS712" i="27"/>
  <c r="B711" i="27"/>
  <c r="AU710" i="27"/>
  <c r="BH698" i="27"/>
  <c r="BJ698" i="27" s="1"/>
  <c r="BK698" i="27" s="1"/>
  <c r="AT698" i="27" s="1"/>
  <c r="H695" i="30" s="1"/>
  <c r="BI698" i="27"/>
  <c r="BE699" i="27"/>
  <c r="F696" i="30"/>
  <c r="BG699" i="27"/>
  <c r="BI699" i="27" s="1"/>
  <c r="AE701" i="27"/>
  <c r="AO701" i="27"/>
  <c r="AP701" i="27"/>
  <c r="AQ700" i="27"/>
  <c r="AR700" i="27" s="1"/>
  <c r="AY700" i="27" s="1"/>
  <c r="AG700" i="27"/>
  <c r="AD702" i="27"/>
  <c r="AC702" i="27"/>
  <c r="R701" i="27"/>
  <c r="Q701" i="27"/>
  <c r="U701" i="27"/>
  <c r="E698" i="30" s="1"/>
  <c r="BC700" i="27"/>
  <c r="BL700" i="27" s="1"/>
  <c r="BD700" i="27"/>
  <c r="BB700" i="27"/>
  <c r="S700" i="27"/>
  <c r="T700" i="27" s="1"/>
  <c r="BA700" i="27" s="1"/>
  <c r="AM714" i="27" l="1"/>
  <c r="AS713" i="27"/>
  <c r="BF712" i="27"/>
  <c r="G709" i="30"/>
  <c r="BH699" i="27"/>
  <c r="B712" i="27"/>
  <c r="AU711" i="27"/>
  <c r="BE700" i="27"/>
  <c r="BG700" i="27" s="1"/>
  <c r="F697" i="30"/>
  <c r="S701" i="27"/>
  <c r="T701" i="27" s="1"/>
  <c r="BA701" i="27" s="1"/>
  <c r="AQ701" i="27"/>
  <c r="AR701" i="27" s="1"/>
  <c r="AY701" i="27" s="1"/>
  <c r="AX700" i="27"/>
  <c r="AO702" i="27"/>
  <c r="AP702" i="27"/>
  <c r="AG701" i="27"/>
  <c r="BB701" i="27" s="1"/>
  <c r="AE702" i="27"/>
  <c r="AF702" i="27" s="1"/>
  <c r="AZ702" i="27" s="1"/>
  <c r="AC703" i="27"/>
  <c r="AD703" i="27"/>
  <c r="AF701" i="27"/>
  <c r="AZ701" i="27" s="1"/>
  <c r="BD701" i="27"/>
  <c r="BC701" i="27"/>
  <c r="BL701" i="27" s="1"/>
  <c r="R702" i="27"/>
  <c r="Q702" i="27"/>
  <c r="S702" i="27" s="1"/>
  <c r="T702" i="27" s="1"/>
  <c r="BA702" i="27" s="1"/>
  <c r="BJ699" i="27"/>
  <c r="BK699" i="27" s="1"/>
  <c r="AT699" i="27" s="1"/>
  <c r="H696" i="30" s="1"/>
  <c r="U702" i="27"/>
  <c r="E699" i="30" s="1"/>
  <c r="G710" i="30" l="1"/>
  <c r="BF713" i="27"/>
  <c r="AM715" i="27"/>
  <c r="AS714" i="27"/>
  <c r="AX701" i="27"/>
  <c r="B713" i="27"/>
  <c r="AU712" i="27"/>
  <c r="BH700" i="27"/>
  <c r="BI700" i="27"/>
  <c r="BJ700" i="27" s="1"/>
  <c r="BK700" i="27" s="1"/>
  <c r="AT700" i="27" s="1"/>
  <c r="H697" i="30" s="1"/>
  <c r="BE701" i="27"/>
  <c r="BG701" i="27" s="1"/>
  <c r="F698" i="30"/>
  <c r="AQ702" i="27"/>
  <c r="AR702" i="27" s="1"/>
  <c r="AY702" i="27" s="1"/>
  <c r="AX702" i="27" s="1"/>
  <c r="AP703" i="27"/>
  <c r="AO703" i="27"/>
  <c r="AD704" i="27"/>
  <c r="AC704" i="27"/>
  <c r="AE704" i="27" s="1"/>
  <c r="AG702" i="27"/>
  <c r="AE703" i="27"/>
  <c r="AF703" i="27" s="1"/>
  <c r="AZ703" i="27" s="1"/>
  <c r="BC702" i="27"/>
  <c r="BD702" i="27"/>
  <c r="BB702" i="27"/>
  <c r="U703" i="27"/>
  <c r="E700" i="30" s="1"/>
  <c r="R703" i="27"/>
  <c r="Q703" i="27"/>
  <c r="AM716" i="27" l="1"/>
  <c r="AS715" i="27"/>
  <c r="BF714" i="27"/>
  <c r="G711" i="30"/>
  <c r="B714" i="27"/>
  <c r="AU713" i="27"/>
  <c r="BH701" i="27"/>
  <c r="BJ701" i="27" s="1"/>
  <c r="BK701" i="27" s="1"/>
  <c r="AT701" i="27" s="1"/>
  <c r="H698" i="30" s="1"/>
  <c r="BI701" i="27"/>
  <c r="BE702" i="27"/>
  <c r="BG702" i="27" s="1"/>
  <c r="F699" i="30"/>
  <c r="AQ703" i="27"/>
  <c r="AR703" i="27" s="1"/>
  <c r="AY703" i="27" s="1"/>
  <c r="BL702" i="27"/>
  <c r="S703" i="27"/>
  <c r="T703" i="27" s="1"/>
  <c r="BA703" i="27" s="1"/>
  <c r="AP704" i="27"/>
  <c r="AO704" i="27"/>
  <c r="AC705" i="27"/>
  <c r="AD705" i="27"/>
  <c r="AF704" i="27"/>
  <c r="AZ704" i="27" s="1"/>
  <c r="AG703" i="27"/>
  <c r="Q704" i="27"/>
  <c r="R704" i="27"/>
  <c r="U704" i="27"/>
  <c r="E701" i="30" s="1"/>
  <c r="BB703" i="27"/>
  <c r="BD703" i="27"/>
  <c r="BC703" i="27"/>
  <c r="BL703" i="27" s="1"/>
  <c r="BF715" i="27" l="1"/>
  <c r="G712" i="30"/>
  <c r="AM717" i="27"/>
  <c r="AS716" i="27"/>
  <c r="B715" i="27"/>
  <c r="AU714" i="27"/>
  <c r="AX703" i="27"/>
  <c r="BI702" i="27"/>
  <c r="BH702" i="27"/>
  <c r="BJ702" i="27" s="1"/>
  <c r="BK702" i="27" s="1"/>
  <c r="AT702" i="27" s="1"/>
  <c r="H699" i="30" s="1"/>
  <c r="BE703" i="27"/>
  <c r="F700" i="30"/>
  <c r="AQ704" i="27"/>
  <c r="AR704" i="27" s="1"/>
  <c r="AY704" i="27" s="1"/>
  <c r="BG703" i="27"/>
  <c r="BI703" i="27" s="1"/>
  <c r="AO705" i="27"/>
  <c r="AP705" i="27"/>
  <c r="AG704" i="27"/>
  <c r="BB704" i="27" s="1"/>
  <c r="AC706" i="27"/>
  <c r="AD706" i="27"/>
  <c r="AE705" i="27"/>
  <c r="BD704" i="27"/>
  <c r="BC704" i="27"/>
  <c r="BL704" i="27" s="1"/>
  <c r="S704" i="27"/>
  <c r="T704" i="27" s="1"/>
  <c r="BA704" i="27" s="1"/>
  <c r="U705" i="27"/>
  <c r="E702" i="30" s="1"/>
  <c r="R705" i="27"/>
  <c r="Q705" i="27"/>
  <c r="BF716" i="27" l="1"/>
  <c r="G713" i="30"/>
  <c r="AM718" i="27"/>
  <c r="AS717" i="27"/>
  <c r="BH703" i="27"/>
  <c r="B716" i="27"/>
  <c r="AU715" i="27"/>
  <c r="AX704" i="27"/>
  <c r="BE704" i="27"/>
  <c r="BG704" i="27" s="1"/>
  <c r="F701" i="30"/>
  <c r="BJ703" i="27"/>
  <c r="BK703" i="27" s="1"/>
  <c r="AT703" i="27" s="1"/>
  <c r="H700" i="30" s="1"/>
  <c r="S705" i="27"/>
  <c r="T705" i="27" s="1"/>
  <c r="BA705" i="27" s="1"/>
  <c r="AO706" i="27"/>
  <c r="AP706" i="27"/>
  <c r="AQ705" i="27"/>
  <c r="AR705" i="27" s="1"/>
  <c r="AY705" i="27" s="1"/>
  <c r="AE706" i="27"/>
  <c r="AD707" i="27"/>
  <c r="AC707" i="27"/>
  <c r="AE707" i="27" s="1"/>
  <c r="AF705" i="27"/>
  <c r="AZ705" i="27" s="1"/>
  <c r="AG705" i="27"/>
  <c r="Q706" i="27"/>
  <c r="R706" i="27"/>
  <c r="BB705" i="27"/>
  <c r="BD705" i="27"/>
  <c r="BC705" i="27"/>
  <c r="BL705" i="27" s="1"/>
  <c r="U706" i="27"/>
  <c r="E703" i="30" s="1"/>
  <c r="BF717" i="27" l="1"/>
  <c r="G714" i="30"/>
  <c r="AM719" i="27"/>
  <c r="AS718" i="27"/>
  <c r="B717" i="27"/>
  <c r="AU716" i="27"/>
  <c r="BI704" i="27"/>
  <c r="BH704" i="27"/>
  <c r="BJ704" i="27" s="1"/>
  <c r="BK704" i="27" s="1"/>
  <c r="AT704" i="27" s="1"/>
  <c r="H701" i="30" s="1"/>
  <c r="BE705" i="27"/>
  <c r="BG705" i="27" s="1"/>
  <c r="F702" i="30"/>
  <c r="AO707" i="27"/>
  <c r="AP707" i="27"/>
  <c r="AX705" i="27"/>
  <c r="AQ706" i="27"/>
  <c r="AR706" i="27" s="1"/>
  <c r="AY706" i="27" s="1"/>
  <c r="AG706" i="27"/>
  <c r="BB706" i="27" s="1"/>
  <c r="AD708" i="27"/>
  <c r="AC708" i="27"/>
  <c r="AF706" i="27"/>
  <c r="AZ706" i="27" s="1"/>
  <c r="AF707" i="27"/>
  <c r="AZ707" i="27" s="1"/>
  <c r="BD706" i="27"/>
  <c r="BC706" i="27"/>
  <c r="U707" i="27"/>
  <c r="E704" i="30" s="1"/>
  <c r="Q707" i="27"/>
  <c r="R707" i="27"/>
  <c r="S706" i="27"/>
  <c r="T706" i="27" s="1"/>
  <c r="BA706" i="27" s="1"/>
  <c r="AM720" i="27" l="1"/>
  <c r="AS719" i="27"/>
  <c r="BF718" i="27"/>
  <c r="G715" i="30"/>
  <c r="AE708" i="27"/>
  <c r="B718" i="27"/>
  <c r="AU717" i="27"/>
  <c r="BH705" i="27"/>
  <c r="BI705" i="27"/>
  <c r="BJ705" i="27" s="1"/>
  <c r="BK705" i="27" s="1"/>
  <c r="AT705" i="27" s="1"/>
  <c r="H702" i="30" s="1"/>
  <c r="BE706" i="27"/>
  <c r="BG706" i="27" s="1"/>
  <c r="F703" i="30"/>
  <c r="BL706" i="27"/>
  <c r="S707" i="27"/>
  <c r="T707" i="27" s="1"/>
  <c r="BA707" i="27" s="1"/>
  <c r="AX706" i="27"/>
  <c r="AQ707" i="27"/>
  <c r="AR707" i="27" s="1"/>
  <c r="AY707" i="27" s="1"/>
  <c r="AP708" i="27"/>
  <c r="AO708" i="27"/>
  <c r="AC709" i="27"/>
  <c r="AD709" i="27"/>
  <c r="AG707" i="27"/>
  <c r="Q708" i="27"/>
  <c r="R708" i="27"/>
  <c r="U708" i="27"/>
  <c r="E705" i="30" s="1"/>
  <c r="BB707" i="27"/>
  <c r="BD707" i="27"/>
  <c r="BC707" i="27"/>
  <c r="BL707" i="27" s="1"/>
  <c r="BF719" i="27" l="1"/>
  <c r="G716" i="30"/>
  <c r="AM721" i="27"/>
  <c r="AS720" i="27"/>
  <c r="B719" i="27"/>
  <c r="AU718" i="27"/>
  <c r="BH706" i="27"/>
  <c r="BI706" i="27"/>
  <c r="BE707" i="27"/>
  <c r="BG707" i="27" s="1"/>
  <c r="F704" i="30"/>
  <c r="AX707" i="27"/>
  <c r="AQ708" i="27"/>
  <c r="AR708" i="27" s="1"/>
  <c r="AY708" i="27" s="1"/>
  <c r="AO709" i="27"/>
  <c r="AP709" i="27"/>
  <c r="AG708" i="27"/>
  <c r="AD710" i="27"/>
  <c r="AC710" i="27"/>
  <c r="AE709" i="27"/>
  <c r="AF709" i="27" s="1"/>
  <c r="AZ709" i="27" s="1"/>
  <c r="AF708" i="27"/>
  <c r="AZ708" i="27" s="1"/>
  <c r="U709" i="27"/>
  <c r="E706" i="30" s="1"/>
  <c r="Q709" i="27"/>
  <c r="R709" i="27"/>
  <c r="BC708" i="27"/>
  <c r="BD708" i="27"/>
  <c r="S708" i="27"/>
  <c r="T708" i="27" s="1"/>
  <c r="BA708" i="27" s="1"/>
  <c r="BF720" i="27" l="1"/>
  <c r="G717" i="30"/>
  <c r="AM722" i="27"/>
  <c r="AS721" i="27"/>
  <c r="BJ706" i="27"/>
  <c r="BK706" i="27" s="1"/>
  <c r="AT706" i="27" s="1"/>
  <c r="H703" i="30" s="1"/>
  <c r="B720" i="27"/>
  <c r="AU719" i="27"/>
  <c r="BH707" i="27"/>
  <c r="BJ707" i="27" s="1"/>
  <c r="BK707" i="27" s="1"/>
  <c r="AT707" i="27" s="1"/>
  <c r="H704" i="30" s="1"/>
  <c r="BI707" i="27"/>
  <c r="BE708" i="27"/>
  <c r="F705" i="30"/>
  <c r="AE710" i="27"/>
  <c r="AF710" i="27" s="1"/>
  <c r="AZ710" i="27" s="1"/>
  <c r="BB708" i="27"/>
  <c r="BL708" i="27" s="1"/>
  <c r="AX708" i="27"/>
  <c r="BG708" i="27"/>
  <c r="BH708" i="27" s="1"/>
  <c r="AO710" i="27"/>
  <c r="AP710" i="27"/>
  <c r="AQ709" i="27"/>
  <c r="AR709" i="27" s="1"/>
  <c r="AY709" i="27" s="1"/>
  <c r="AD711" i="27"/>
  <c r="AC711" i="27"/>
  <c r="AG709" i="27"/>
  <c r="BB709" i="27"/>
  <c r="BD709" i="27"/>
  <c r="BC709" i="27"/>
  <c r="BL709" i="27" s="1"/>
  <c r="S709" i="27"/>
  <c r="T709" i="27" s="1"/>
  <c r="BA709" i="27" s="1"/>
  <c r="U710" i="27"/>
  <c r="E707" i="30" s="1"/>
  <c r="Q710" i="27"/>
  <c r="R710" i="27"/>
  <c r="BF721" i="27" l="1"/>
  <c r="G718" i="30"/>
  <c r="AM723" i="27"/>
  <c r="AS722" i="27"/>
  <c r="B721" i="27"/>
  <c r="AU720" i="27"/>
  <c r="AX709" i="27"/>
  <c r="BE709" i="27"/>
  <c r="F706" i="30"/>
  <c r="BG709" i="27"/>
  <c r="BI709" i="27" s="1"/>
  <c r="AE711" i="27"/>
  <c r="BI708" i="27"/>
  <c r="BJ708" i="27" s="1"/>
  <c r="BK708" i="27" s="1"/>
  <c r="AT708" i="27" s="1"/>
  <c r="H705" i="30" s="1"/>
  <c r="S710" i="27"/>
  <c r="T710" i="27" s="1"/>
  <c r="BA710" i="27" s="1"/>
  <c r="AQ710" i="27"/>
  <c r="AR710" i="27" s="1"/>
  <c r="AY710" i="27" s="1"/>
  <c r="AO711" i="27"/>
  <c r="AP711" i="27"/>
  <c r="AG710" i="27"/>
  <c r="AD712" i="27"/>
  <c r="AC712" i="27"/>
  <c r="U711" i="27"/>
  <c r="E708" i="30" s="1"/>
  <c r="Q711" i="27"/>
  <c r="R711" i="27"/>
  <c r="BC710" i="27"/>
  <c r="BD710" i="27"/>
  <c r="BB710" i="27"/>
  <c r="AM724" i="27" l="1"/>
  <c r="AS723" i="27"/>
  <c r="BF722" i="27"/>
  <c r="G719" i="30"/>
  <c r="BH709" i="27"/>
  <c r="BJ709" i="27" s="1"/>
  <c r="BK709" i="27" s="1"/>
  <c r="AT709" i="27" s="1"/>
  <c r="H706" i="30" s="1"/>
  <c r="B722" i="27"/>
  <c r="AU721" i="27"/>
  <c r="BE710" i="27"/>
  <c r="BG710" i="27" s="1"/>
  <c r="F707" i="30"/>
  <c r="BL710" i="27"/>
  <c r="AX710" i="27"/>
  <c r="AE712" i="27"/>
  <c r="AF712" i="27" s="1"/>
  <c r="AZ712" i="27" s="1"/>
  <c r="S711" i="27"/>
  <c r="T711" i="27" s="1"/>
  <c r="BA711" i="27" s="1"/>
  <c r="AP712" i="27"/>
  <c r="AO712" i="27"/>
  <c r="AQ711" i="27"/>
  <c r="AR711" i="27" s="1"/>
  <c r="AY711" i="27" s="1"/>
  <c r="AD713" i="27"/>
  <c r="AC713" i="27"/>
  <c r="AG711" i="27"/>
  <c r="AF711" i="27"/>
  <c r="AZ711" i="27" s="1"/>
  <c r="Q712" i="27"/>
  <c r="R712" i="27"/>
  <c r="U712" i="27"/>
  <c r="E709" i="30" s="1"/>
  <c r="BC711" i="27"/>
  <c r="BD711" i="27"/>
  <c r="BF723" i="27" l="1"/>
  <c r="G720" i="30"/>
  <c r="AM725" i="27"/>
  <c r="AS724" i="27"/>
  <c r="B723" i="27"/>
  <c r="AU722" i="27"/>
  <c r="AQ712" i="27"/>
  <c r="AR712" i="27" s="1"/>
  <c r="AY712" i="27" s="1"/>
  <c r="BI710" i="27"/>
  <c r="BH710" i="27"/>
  <c r="BE711" i="27"/>
  <c r="F708" i="30"/>
  <c r="BJ710" i="27"/>
  <c r="BK710" i="27" s="1"/>
  <c r="AT710" i="27" s="1"/>
  <c r="H707" i="30" s="1"/>
  <c r="AE713" i="27"/>
  <c r="AF713" i="27" s="1"/>
  <c r="AZ713" i="27" s="1"/>
  <c r="AX711" i="27"/>
  <c r="BG711" i="27"/>
  <c r="BH711" i="27" s="1"/>
  <c r="BB711" i="27"/>
  <c r="BL711" i="27" s="1"/>
  <c r="AO713" i="27"/>
  <c r="AP713" i="27"/>
  <c r="AG712" i="27"/>
  <c r="AD714" i="27"/>
  <c r="AC714" i="27"/>
  <c r="U713" i="27"/>
  <c r="E710" i="30" s="1"/>
  <c r="BD712" i="27"/>
  <c r="BB712" i="27"/>
  <c r="BC712" i="27"/>
  <c r="Q713" i="27"/>
  <c r="R713" i="27"/>
  <c r="S712" i="27"/>
  <c r="T712" i="27" s="1"/>
  <c r="BA712" i="27" s="1"/>
  <c r="BF724" i="27" l="1"/>
  <c r="G721" i="30"/>
  <c r="AM726" i="27"/>
  <c r="AS725" i="27"/>
  <c r="BI711" i="27"/>
  <c r="BJ711" i="27" s="1"/>
  <c r="BK711" i="27" s="1"/>
  <c r="AT711" i="27" s="1"/>
  <c r="H708" i="30" s="1"/>
  <c r="B724" i="27"/>
  <c r="AU723" i="27"/>
  <c r="AX712" i="27"/>
  <c r="BE712" i="27"/>
  <c r="BG712" i="27" s="1"/>
  <c r="F709" i="30"/>
  <c r="BL712" i="27"/>
  <c r="AE714" i="27"/>
  <c r="S713" i="27"/>
  <c r="T713" i="27" s="1"/>
  <c r="BA713" i="27" s="1"/>
  <c r="AQ713" i="27"/>
  <c r="AR713" i="27" s="1"/>
  <c r="AY713" i="27" s="1"/>
  <c r="AP714" i="27"/>
  <c r="AO714" i="27"/>
  <c r="AD715" i="27"/>
  <c r="AC715" i="27"/>
  <c r="AG713" i="27"/>
  <c r="Q714" i="27"/>
  <c r="R714" i="27"/>
  <c r="BB713" i="27"/>
  <c r="BD713" i="27"/>
  <c r="BC713" i="27"/>
  <c r="BL713" i="27" s="1"/>
  <c r="U714" i="27"/>
  <c r="E711" i="30" s="1"/>
  <c r="AM727" i="27" l="1"/>
  <c r="AS726" i="27"/>
  <c r="BF725" i="27"/>
  <c r="G722" i="30"/>
  <c r="B725" i="27"/>
  <c r="AU724" i="27"/>
  <c r="BH712" i="27"/>
  <c r="BI712" i="27"/>
  <c r="BE713" i="27"/>
  <c r="F710" i="30"/>
  <c r="BG713" i="27"/>
  <c r="BH713" i="27" s="1"/>
  <c r="AX713" i="27"/>
  <c r="AQ714" i="27"/>
  <c r="AR714" i="27" s="1"/>
  <c r="AY714" i="27" s="1"/>
  <c r="AE715" i="27"/>
  <c r="AF715" i="27" s="1"/>
  <c r="AZ715" i="27" s="1"/>
  <c r="AO715" i="27"/>
  <c r="AP715" i="27"/>
  <c r="AG714" i="27"/>
  <c r="AD716" i="27"/>
  <c r="AC716" i="27"/>
  <c r="AF714" i="27"/>
  <c r="AZ714" i="27" s="1"/>
  <c r="U715" i="27"/>
  <c r="E712" i="30" s="1"/>
  <c r="BB714" i="27"/>
  <c r="BC714" i="27"/>
  <c r="BL714" i="27" s="1"/>
  <c r="BD714" i="27"/>
  <c r="S714" i="27"/>
  <c r="T714" i="27" s="1"/>
  <c r="BA714" i="27" s="1"/>
  <c r="Q715" i="27"/>
  <c r="R715" i="27"/>
  <c r="BJ712" i="27" l="1"/>
  <c r="BK712" i="27" s="1"/>
  <c r="AT712" i="27" s="1"/>
  <c r="H709" i="30" s="1"/>
  <c r="BF726" i="27"/>
  <c r="G723" i="30"/>
  <c r="AM728" i="27"/>
  <c r="AS728" i="27" s="1"/>
  <c r="AS727" i="27"/>
  <c r="BI713" i="27"/>
  <c r="B726" i="27"/>
  <c r="AU725" i="27"/>
  <c r="BJ713" i="27"/>
  <c r="BK713" i="27" s="1"/>
  <c r="AT713" i="27" s="1"/>
  <c r="H710" i="30" s="1"/>
  <c r="BE714" i="27"/>
  <c r="BG714" i="27" s="1"/>
  <c r="F711" i="30"/>
  <c r="AX714" i="27"/>
  <c r="AE716" i="27"/>
  <c r="AQ715" i="27"/>
  <c r="AR715" i="27" s="1"/>
  <c r="AY715" i="27" s="1"/>
  <c r="AO716" i="27"/>
  <c r="AP716" i="27"/>
  <c r="AD717" i="27"/>
  <c r="AC717" i="27"/>
  <c r="AG715" i="27"/>
  <c r="S715" i="27"/>
  <c r="T715" i="27" s="1"/>
  <c r="BA715" i="27" s="1"/>
  <c r="BB715" i="27"/>
  <c r="BD715" i="27"/>
  <c r="BC715" i="27"/>
  <c r="BL715" i="27" s="1"/>
  <c r="R716" i="27"/>
  <c r="Q716" i="27"/>
  <c r="U716" i="27"/>
  <c r="E713" i="30" s="1"/>
  <c r="BF727" i="27" l="1"/>
  <c r="G724" i="30"/>
  <c r="BF728" i="27"/>
  <c r="G725" i="30"/>
  <c r="B727" i="27"/>
  <c r="AU726" i="27"/>
  <c r="BI714" i="27"/>
  <c r="BH714" i="27"/>
  <c r="BE715" i="27"/>
  <c r="BG715" i="27" s="1"/>
  <c r="F712" i="30"/>
  <c r="AE717" i="27"/>
  <c r="S716" i="27"/>
  <c r="T716" i="27" s="1"/>
  <c r="BA716" i="27" s="1"/>
  <c r="AX715" i="27"/>
  <c r="AP717" i="27"/>
  <c r="AO717" i="27"/>
  <c r="AQ716" i="27"/>
  <c r="AR716" i="27" s="1"/>
  <c r="AY716" i="27" s="1"/>
  <c r="AD718" i="27"/>
  <c r="AC718" i="27"/>
  <c r="AG716" i="27"/>
  <c r="AF716" i="27"/>
  <c r="AZ716" i="27" s="1"/>
  <c r="BB716" i="27"/>
  <c r="BD716" i="27"/>
  <c r="BC716" i="27"/>
  <c r="BL716" i="27" s="1"/>
  <c r="Q717" i="27"/>
  <c r="R717" i="27"/>
  <c r="U717" i="27"/>
  <c r="E714" i="30" s="1"/>
  <c r="B728" i="27" l="1"/>
  <c r="AU728" i="27" s="1"/>
  <c r="AU727" i="27"/>
  <c r="BJ714" i="27"/>
  <c r="BK714" i="27" s="1"/>
  <c r="AT714" i="27" s="1"/>
  <c r="H711" i="30" s="1"/>
  <c r="BI715" i="27"/>
  <c r="BH715" i="27"/>
  <c r="BJ715" i="27" s="1"/>
  <c r="BK715" i="27" s="1"/>
  <c r="AT715" i="27" s="1"/>
  <c r="H712" i="30" s="1"/>
  <c r="BE716" i="27"/>
  <c r="F713" i="30"/>
  <c r="BG716" i="27"/>
  <c r="BI716" i="27" s="1"/>
  <c r="AE718" i="27"/>
  <c r="AF718" i="27" s="1"/>
  <c r="AZ718" i="27" s="1"/>
  <c r="AQ717" i="27"/>
  <c r="AR717" i="27" s="1"/>
  <c r="AY717" i="27" s="1"/>
  <c r="AX716" i="27"/>
  <c r="S717" i="27"/>
  <c r="T717" i="27" s="1"/>
  <c r="BA717" i="27" s="1"/>
  <c r="AO718" i="27"/>
  <c r="AP718" i="27"/>
  <c r="AG717" i="27"/>
  <c r="AF717" i="27"/>
  <c r="AZ717" i="27" s="1"/>
  <c r="AD719" i="27"/>
  <c r="AC719" i="27"/>
  <c r="BD717" i="27"/>
  <c r="BC717" i="27"/>
  <c r="BB717" i="27"/>
  <c r="U718" i="27"/>
  <c r="E715" i="30" s="1"/>
  <c r="R718" i="27"/>
  <c r="Q718" i="27"/>
  <c r="S718" i="27" s="1"/>
  <c r="T718" i="27" s="1"/>
  <c r="BA718" i="27" s="1"/>
  <c r="AX717" i="27" l="1"/>
  <c r="AE719" i="27"/>
  <c r="BE717" i="27"/>
  <c r="BG717" i="27" s="1"/>
  <c r="F714" i="30"/>
  <c r="BH716" i="27"/>
  <c r="BJ716" i="27" s="1"/>
  <c r="BK716" i="27" s="1"/>
  <c r="AT716" i="27" s="1"/>
  <c r="H713" i="30" s="1"/>
  <c r="BL717" i="27"/>
  <c r="AQ718" i="27"/>
  <c r="AR718" i="27" s="1"/>
  <c r="AY718" i="27" s="1"/>
  <c r="AX718" i="27" s="1"/>
  <c r="AO719" i="27"/>
  <c r="AP719" i="27"/>
  <c r="AD720" i="27"/>
  <c r="AC720" i="27"/>
  <c r="AG718" i="27"/>
  <c r="BB718" i="27" s="1"/>
  <c r="U719" i="27"/>
  <c r="E716" i="30" s="1"/>
  <c r="Q719" i="27"/>
  <c r="R719" i="27"/>
  <c r="BC718" i="27"/>
  <c r="BD718" i="27"/>
  <c r="BI717" i="27" l="1"/>
  <c r="BH717" i="27"/>
  <c r="BE718" i="27"/>
  <c r="F715" i="30"/>
  <c r="BG718" i="27"/>
  <c r="BH718" i="27" s="1"/>
  <c r="AE720" i="27"/>
  <c r="AF720" i="27" s="1"/>
  <c r="AZ720" i="27" s="1"/>
  <c r="BL718" i="27"/>
  <c r="AQ719" i="27"/>
  <c r="AR719" i="27" s="1"/>
  <c r="AY719" i="27" s="1"/>
  <c r="AO720" i="27"/>
  <c r="AP720" i="27"/>
  <c r="AG719" i="27"/>
  <c r="AF719" i="27"/>
  <c r="AZ719" i="27" s="1"/>
  <c r="AC721" i="27"/>
  <c r="AD721" i="27"/>
  <c r="BJ717" i="27"/>
  <c r="BK717" i="27" s="1"/>
  <c r="AT717" i="27" s="1"/>
  <c r="H714" i="30" s="1"/>
  <c r="R720" i="27"/>
  <c r="Q720" i="27"/>
  <c r="U720" i="27"/>
  <c r="E717" i="30" s="1"/>
  <c r="S719" i="27"/>
  <c r="T719" i="27" s="1"/>
  <c r="BA719" i="27" s="1"/>
  <c r="BD719" i="27"/>
  <c r="BC719" i="27"/>
  <c r="S720" i="27" l="1"/>
  <c r="T720" i="27" s="1"/>
  <c r="BA720" i="27" s="1"/>
  <c r="BI718" i="27"/>
  <c r="BE719" i="27"/>
  <c r="F716" i="30"/>
  <c r="AX719" i="27"/>
  <c r="BG719" i="27"/>
  <c r="BI719" i="27" s="1"/>
  <c r="BB719" i="27"/>
  <c r="BL719" i="27" s="1"/>
  <c r="AQ720" i="27"/>
  <c r="AR720" i="27" s="1"/>
  <c r="AY720" i="27" s="1"/>
  <c r="AX720" i="27" s="1"/>
  <c r="AP721" i="27"/>
  <c r="AO721" i="27"/>
  <c r="AE721" i="27"/>
  <c r="AG720" i="27"/>
  <c r="AC722" i="27"/>
  <c r="AD722" i="27"/>
  <c r="R721" i="27"/>
  <c r="Q721" i="27"/>
  <c r="U721" i="27"/>
  <c r="E718" i="30" s="1"/>
  <c r="BD720" i="27"/>
  <c r="BC720" i="27"/>
  <c r="BJ718" i="27"/>
  <c r="BK718" i="27" s="1"/>
  <c r="AT718" i="27" s="1"/>
  <c r="H715" i="30" s="1"/>
  <c r="AQ721" i="27" l="1"/>
  <c r="AR721" i="27" s="1"/>
  <c r="AY721" i="27" s="1"/>
  <c r="BH719" i="27"/>
  <c r="BE720" i="27"/>
  <c r="F717" i="30"/>
  <c r="BG720" i="27"/>
  <c r="BH720" i="27" s="1"/>
  <c r="BJ719" i="27"/>
  <c r="BK719" i="27" s="1"/>
  <c r="AT719" i="27" s="1"/>
  <c r="H716" i="30" s="1"/>
  <c r="BB720" i="27"/>
  <c r="BL720" i="27" s="1"/>
  <c r="S721" i="27"/>
  <c r="T721" i="27" s="1"/>
  <c r="BA721" i="27" s="1"/>
  <c r="AP722" i="27"/>
  <c r="AO722" i="27"/>
  <c r="AC723" i="27"/>
  <c r="AD723" i="27"/>
  <c r="AG721" i="27"/>
  <c r="BB721" i="27" s="1"/>
  <c r="AE722" i="27"/>
  <c r="AF722" i="27" s="1"/>
  <c r="AZ722" i="27" s="1"/>
  <c r="AF721" i="27"/>
  <c r="AZ721" i="27" s="1"/>
  <c r="BD721" i="27"/>
  <c r="BC721" i="27"/>
  <c r="BL721" i="27" s="1"/>
  <c r="U722" i="27"/>
  <c r="E719" i="30" s="1"/>
  <c r="Q722" i="27"/>
  <c r="R722" i="27"/>
  <c r="BI720" i="27" l="1"/>
  <c r="AX721" i="27"/>
  <c r="BE721" i="27"/>
  <c r="F718" i="30"/>
  <c r="AQ722" i="27"/>
  <c r="AR722" i="27" s="1"/>
  <c r="AY722" i="27" s="1"/>
  <c r="S722" i="27"/>
  <c r="T722" i="27" s="1"/>
  <c r="BA722" i="27" s="1"/>
  <c r="AE723" i="27"/>
  <c r="AP723" i="27"/>
  <c r="AO723" i="27"/>
  <c r="BG721" i="27"/>
  <c r="BH721" i="27" s="1"/>
  <c r="AG722" i="27"/>
  <c r="BB722" i="27" s="1"/>
  <c r="AC724" i="27"/>
  <c r="AD724" i="27"/>
  <c r="R723" i="27"/>
  <c r="Q723" i="27"/>
  <c r="BD722" i="27"/>
  <c r="BC722" i="27"/>
  <c r="U723" i="27"/>
  <c r="E720" i="30" s="1"/>
  <c r="BJ720" i="27"/>
  <c r="BK720" i="27" s="1"/>
  <c r="AT720" i="27" s="1"/>
  <c r="H717" i="30" s="1"/>
  <c r="AX722" i="27" l="1"/>
  <c r="BE722" i="27"/>
  <c r="BG722" i="27" s="1"/>
  <c r="F719" i="30"/>
  <c r="BL722" i="27"/>
  <c r="AQ723" i="27"/>
  <c r="AR723" i="27" s="1"/>
  <c r="AY723" i="27" s="1"/>
  <c r="BI721" i="27"/>
  <c r="BJ721" i="27" s="1"/>
  <c r="BK721" i="27" s="1"/>
  <c r="AT721" i="27" s="1"/>
  <c r="H718" i="30" s="1"/>
  <c r="S723" i="27"/>
  <c r="T723" i="27" s="1"/>
  <c r="BA723" i="27" s="1"/>
  <c r="AP724" i="27"/>
  <c r="AO724" i="27"/>
  <c r="AC725" i="27"/>
  <c r="AD725" i="27"/>
  <c r="AG723" i="27"/>
  <c r="BB723" i="27" s="1"/>
  <c r="AE724" i="27"/>
  <c r="AF724" i="27" s="1"/>
  <c r="AZ724" i="27" s="1"/>
  <c r="AF723" i="27"/>
  <c r="AZ723" i="27" s="1"/>
  <c r="R724" i="27"/>
  <c r="Q724" i="27"/>
  <c r="BC723" i="27"/>
  <c r="BD723" i="27"/>
  <c r="U724" i="27"/>
  <c r="E721" i="30" s="1"/>
  <c r="AX723" i="27" l="1"/>
  <c r="BH722" i="27"/>
  <c r="BI722" i="27"/>
  <c r="BE723" i="27"/>
  <c r="BG723" i="27" s="1"/>
  <c r="F720" i="30"/>
  <c r="AQ724" i="27"/>
  <c r="AR724" i="27" s="1"/>
  <c r="AY724" i="27" s="1"/>
  <c r="BL723" i="27"/>
  <c r="BJ722" i="27"/>
  <c r="BK722" i="27" s="1"/>
  <c r="AT722" i="27" s="1"/>
  <c r="H719" i="30" s="1"/>
  <c r="AO725" i="27"/>
  <c r="AP725" i="27"/>
  <c r="AD726" i="27"/>
  <c r="AC726" i="27"/>
  <c r="AE725" i="27"/>
  <c r="AG724" i="27"/>
  <c r="U725" i="27"/>
  <c r="E722" i="30" s="1"/>
  <c r="BC724" i="27"/>
  <c r="BB724" i="27"/>
  <c r="BD724" i="27"/>
  <c r="S724" i="27"/>
  <c r="T724" i="27" s="1"/>
  <c r="BA724" i="27" s="1"/>
  <c r="Q725" i="27"/>
  <c r="R725" i="27"/>
  <c r="AX724" i="27" l="1"/>
  <c r="BH723" i="27"/>
  <c r="BI723" i="27"/>
  <c r="BE724" i="27"/>
  <c r="F721" i="30"/>
  <c r="BG724" i="27"/>
  <c r="BI724" i="27" s="1"/>
  <c r="AE726" i="27"/>
  <c r="BL724" i="27"/>
  <c r="AF725" i="27"/>
  <c r="AZ725" i="27" s="1"/>
  <c r="AQ725" i="27"/>
  <c r="AR725" i="27" s="1"/>
  <c r="AY725" i="27" s="1"/>
  <c r="AP726" i="27"/>
  <c r="AO726" i="27"/>
  <c r="AG725" i="27"/>
  <c r="AD727" i="27"/>
  <c r="AC727" i="27"/>
  <c r="S725" i="27"/>
  <c r="T725" i="27" s="1"/>
  <c r="BA725" i="27" s="1"/>
  <c r="R726" i="27"/>
  <c r="Q726" i="27"/>
  <c r="BH724" i="27"/>
  <c r="BD725" i="27"/>
  <c r="BC725" i="27"/>
  <c r="BB725" i="27"/>
  <c r="U726" i="27"/>
  <c r="E723" i="30" s="1"/>
  <c r="AX725" i="27" l="1"/>
  <c r="BE725" i="27"/>
  <c r="BG725" i="27" s="1"/>
  <c r="F722" i="30"/>
  <c r="BJ723" i="27"/>
  <c r="BK723" i="27" s="1"/>
  <c r="AT723" i="27" s="1"/>
  <c r="H720" i="30" s="1"/>
  <c r="BL725" i="27"/>
  <c r="BJ724" i="27"/>
  <c r="BK724" i="27" s="1"/>
  <c r="AT724" i="27" s="1"/>
  <c r="H721" i="30" s="1"/>
  <c r="AQ726" i="27"/>
  <c r="AR726" i="27" s="1"/>
  <c r="AY726" i="27" s="1"/>
  <c r="S726" i="27"/>
  <c r="T726" i="27" s="1"/>
  <c r="BA726" i="27" s="1"/>
  <c r="AE727" i="27"/>
  <c r="AP727" i="27"/>
  <c r="AO727" i="27"/>
  <c r="AQ727" i="27" s="1"/>
  <c r="AR727" i="27" s="1"/>
  <c r="AY727" i="27" s="1"/>
  <c r="AG726" i="27"/>
  <c r="AC728" i="27"/>
  <c r="AD728" i="27"/>
  <c r="AF726" i="27"/>
  <c r="AZ726" i="27" s="1"/>
  <c r="U727" i="27"/>
  <c r="E724" i="30" s="1"/>
  <c r="U728" i="27"/>
  <c r="E725" i="30" s="1"/>
  <c r="Q727" i="27"/>
  <c r="R727" i="27"/>
  <c r="BD726" i="27"/>
  <c r="BC726" i="27"/>
  <c r="BI725" i="27" l="1"/>
  <c r="BH725" i="27"/>
  <c r="BJ725" i="27" s="1"/>
  <c r="BK725" i="27" s="1"/>
  <c r="AT725" i="27" s="1"/>
  <c r="H722" i="30" s="1"/>
  <c r="BE726" i="27"/>
  <c r="F723" i="30"/>
  <c r="BG726" i="27"/>
  <c r="BI726" i="27" s="1"/>
  <c r="AX726" i="27"/>
  <c r="BB726" i="27"/>
  <c r="BL726" i="27" s="1"/>
  <c r="AO728" i="27"/>
  <c r="AP728" i="27"/>
  <c r="AE728" i="27"/>
  <c r="AG728" i="27"/>
  <c r="BB728" i="27" s="1"/>
  <c r="AG727" i="27"/>
  <c r="BB727" i="27" s="1"/>
  <c r="AF727" i="27"/>
  <c r="AZ727" i="27" s="1"/>
  <c r="Q728" i="27"/>
  <c r="R728" i="27"/>
  <c r="BC728" i="27"/>
  <c r="BD728" i="27"/>
  <c r="S727" i="27"/>
  <c r="T727" i="27" s="1"/>
  <c r="BA727" i="27" s="1"/>
  <c r="BC727" i="27"/>
  <c r="BL727" i="27" s="1"/>
  <c r="BD727" i="27"/>
  <c r="BH726" i="27" l="1"/>
  <c r="BJ726" i="27" s="1"/>
  <c r="BK726" i="27" s="1"/>
  <c r="AT726" i="27" s="1"/>
  <c r="H723" i="30" s="1"/>
  <c r="BE728" i="27"/>
  <c r="F725" i="30"/>
  <c r="BG728" i="27"/>
  <c r="BI728" i="27" s="1"/>
  <c r="BE727" i="27"/>
  <c r="F724" i="30"/>
  <c r="AX727" i="27"/>
  <c r="BL728" i="27"/>
  <c r="BG727" i="27"/>
  <c r="BI727" i="27" s="1"/>
  <c r="AF728" i="27"/>
  <c r="AZ728" i="27" s="1"/>
  <c r="AQ728" i="27"/>
  <c r="AR728" i="27" s="1"/>
  <c r="AY728" i="27" s="1"/>
  <c r="S728" i="27"/>
  <c r="T728" i="27" s="1"/>
  <c r="BA728" i="27" s="1"/>
  <c r="BH727" i="27" l="1"/>
  <c r="BH728" i="27"/>
  <c r="BJ728" i="27" s="1"/>
  <c r="BK728" i="27" s="1"/>
  <c r="AT728" i="27" s="1"/>
  <c r="BJ727" i="27"/>
  <c r="BK727" i="27" s="1"/>
  <c r="AT727" i="27" s="1"/>
  <c r="H724" i="30" s="1"/>
  <c r="AX728" i="27"/>
  <c r="H725" i="30" l="1"/>
  <c r="AT730" i="27"/>
  <c r="AT731" i="27" s="1"/>
</calcChain>
</file>

<file path=xl/sharedStrings.xml><?xml version="1.0" encoding="utf-8"?>
<sst xmlns="http://schemas.openxmlformats.org/spreadsheetml/2006/main" count="99" uniqueCount="59">
  <si>
    <t>L.I.</t>
  </si>
  <si>
    <t>L.F.</t>
  </si>
  <si>
    <t>Vol. P</t>
  </si>
  <si>
    <t>E %</t>
  </si>
  <si>
    <t>Estado</t>
  </si>
  <si>
    <t>Q1</t>
  </si>
  <si>
    <t>Q3</t>
  </si>
  <si>
    <t>Q2</t>
  </si>
  <si>
    <t>Temperatura</t>
  </si>
  <si>
    <t>Tiempo</t>
  </si>
  <si>
    <t># Medidor</t>
  </si>
  <si>
    <t>(±) 2%</t>
  </si>
  <si>
    <t xml:space="preserve">(±) 2% </t>
  </si>
  <si>
    <t>FORMATO</t>
  </si>
  <si>
    <t>Alcance Q3/Q1:</t>
  </si>
  <si>
    <r>
      <t>Q3 (m</t>
    </r>
    <r>
      <rPr>
        <b/>
        <vertAlign val="superscript"/>
        <sz val="11"/>
        <color theme="1"/>
        <rFont val="Calibri"/>
        <family val="2"/>
        <scheme val="minor"/>
      </rPr>
      <t>3</t>
    </r>
    <r>
      <rPr>
        <b/>
        <sz val="10"/>
        <rFont val="Arial"/>
        <family val="2"/>
      </rPr>
      <t>/h):</t>
    </r>
  </si>
  <si>
    <t>Presión (bar)</t>
  </si>
  <si>
    <t>Presión Estática</t>
  </si>
  <si>
    <t>Nro de ceritificado</t>
  </si>
  <si>
    <t>RANGOS ACEPTABLES DE CAUDAL</t>
  </si>
  <si>
    <t>(±) 5%</t>
  </si>
  <si>
    <t>Item</t>
  </si>
  <si>
    <t>Fecha de Ensayo errores de indicacion</t>
  </si>
  <si>
    <t xml:space="preserve">Fecha de Ensayo presion estatica </t>
  </si>
  <si>
    <t>Presión Entrada</t>
  </si>
  <si>
    <t>Presión Salida</t>
  </si>
  <si>
    <t>N° de banco de ensayo</t>
  </si>
  <si>
    <t xml:space="preserve">  INGRESO DE DATOS DE LA VERIFICACIÓN INICIAL DE MEDIDORES EN LA COMPUTADORA</t>
  </si>
  <si>
    <t>Caudal</t>
  </si>
  <si>
    <t>Ley Signos y Errores</t>
  </si>
  <si>
    <t>1' Técnico</t>
  </si>
  <si>
    <t>Código: F05-GA-PR-01</t>
  </si>
  <si>
    <t>Q3/Q1</t>
  </si>
  <si>
    <t>Q3 (m3/h):</t>
  </si>
  <si>
    <r>
      <t xml:space="preserve">Presión Estática    0=conforme; 1 = Daño Físico;   2 = Fuga </t>
    </r>
    <r>
      <rPr>
        <b/>
        <i/>
        <u/>
        <sz val="10"/>
        <rFont val="Arial"/>
        <family val="2"/>
      </rPr>
      <t>(-)</t>
    </r>
    <r>
      <rPr>
        <b/>
        <sz val="10"/>
        <rFont val="Arial"/>
        <family val="2"/>
      </rPr>
      <t xml:space="preserve"> ;  3 = Picado</t>
    </r>
    <r>
      <rPr>
        <b/>
        <u/>
        <sz val="10"/>
        <rFont val="Arial"/>
        <family val="2"/>
      </rPr>
      <t>;</t>
    </r>
    <r>
      <rPr>
        <b/>
        <i/>
        <u/>
        <sz val="10"/>
        <rFont val="Arial"/>
        <family val="2"/>
      </rPr>
      <t xml:space="preserve"> 4 = Desfasado; 5 = Paralizado</t>
    </r>
  </si>
  <si>
    <t>MAXIMO ERROR PERMISIBLE (EMP):</t>
  </si>
  <si>
    <t>Condición</t>
  </si>
  <si>
    <t>Q1
E %</t>
  </si>
  <si>
    <t>Q2
E %</t>
  </si>
  <si>
    <t>Q3
E %</t>
  </si>
  <si>
    <t>Presión Estática
(Estado)</t>
  </si>
  <si>
    <t>LO VERIFICADO</t>
  </si>
  <si>
    <t>VIMA</t>
  </si>
  <si>
    <t>Revisado por:</t>
  </si>
  <si>
    <t>Luisa Valdivia</t>
  </si>
  <si>
    <t>Fecha:</t>
  </si>
  <si>
    <t>Aprobado por:</t>
  </si>
  <si>
    <t>John Oyola</t>
  </si>
  <si>
    <t>Versión: 08</t>
  </si>
  <si>
    <t>Fecha de Vigencia:  2024-05-14</t>
  </si>
  <si>
    <t>Fecha</t>
  </si>
  <si>
    <t>Celdas</t>
  </si>
  <si>
    <t>Descripción</t>
  </si>
  <si>
    <t>O4</t>
  </si>
  <si>
    <t>Se agregó "500" como opción</t>
  </si>
  <si>
    <t>PA25517181</t>
  </si>
  <si>
    <t>2,29,560</t>
  </si>
  <si>
    <t>22,10,090</t>
  </si>
  <si>
    <t>17,59,050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</si>
</sst>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 * #,##0.00_ ;_ * \-#,##0.00_ ;_ * &quot;-&quot;??_ ;_ @_ "/>
    <numFmt numFmtId="165" formatCode="00000"/>
    <numFmt numFmtId="166" formatCode="h:mm:ss;@"/>
    <numFmt numFmtId="167" formatCode="0.0"/>
    <numFmt numFmtId="168" formatCode="#,##0.0"/>
    <numFmt numFmtId="169" formatCode="#,##0.000"/>
    <numFmt numFmtId="170" formatCode="yyyy\-mm\-dd"/>
    <numFmt numFmtId="171" formatCode="yyyy\-mm\-dd;@"/>
  </numFmts>
  <fonts count="32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color indexed="12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0"/>
      <color indexed="8"/>
      <name val="Arial"/>
      <family val="2"/>
    </font>
    <font>
      <sz val="10"/>
      <color indexed="10"/>
      <name val="Arial"/>
      <family val="2"/>
    </font>
    <font>
      <b/>
      <sz val="10"/>
      <color theme="1"/>
      <name val="Arial"/>
      <family val="2"/>
    </font>
    <font>
      <b/>
      <sz val="18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sz val="10"/>
      <color theme="3"/>
      <name val="Arial"/>
      <family val="2"/>
    </font>
    <font>
      <b/>
      <sz val="10"/>
      <color rgb="FFFF0000"/>
      <name val="Arial"/>
      <family val="2"/>
    </font>
    <font>
      <sz val="12"/>
      <name val="Arial"/>
      <family val="2"/>
    </font>
    <font>
      <sz val="10"/>
      <color rgb="FFFF0000"/>
      <name val="Arial"/>
      <family val="2"/>
    </font>
    <font>
      <sz val="8"/>
      <name val="Arial"/>
      <family val="2"/>
    </font>
    <font>
      <b/>
      <sz val="11"/>
      <color theme="1"/>
      <name val="Arial"/>
      <family val="2"/>
    </font>
    <font>
      <b/>
      <sz val="12"/>
      <name val="Arial"/>
      <family val="2"/>
    </font>
    <font>
      <b/>
      <i/>
      <u/>
      <sz val="10"/>
      <name val="Arial"/>
      <family val="2"/>
    </font>
    <font>
      <b/>
      <u/>
      <sz val="10"/>
      <name val="Arial"/>
      <family val="2"/>
    </font>
    <font>
      <b/>
      <sz val="16"/>
      <name val="Arial"/>
      <family val="2"/>
    </font>
    <font>
      <sz val="10"/>
      <name val="Arial"/>
      <family val="2"/>
    </font>
    <font>
      <sz val="22"/>
      <color theme="0"/>
      <name val="Arial"/>
      <family val="2"/>
    </font>
    <font>
      <sz val="11"/>
      <color rgb="FF000000"/>
      <name val="Calibri"/>
      <family val="2"/>
    </font>
  </fonts>
  <fills count="1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AF"/>
        <bgColor indexed="64"/>
      </patternFill>
    </fill>
    <fill>
      <patternFill patternType="solid">
        <fgColor rgb="FFCCFF99"/>
        <bgColor rgb="FF000000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40">
    <xf numFmtId="0" fontId="0" fillId="0" borderId="0"/>
    <xf numFmtId="0" fontId="12" fillId="0" borderId="0"/>
    <xf numFmtId="0" fontId="8" fillId="0" borderId="0"/>
    <xf numFmtId="0" fontId="9" fillId="0" borderId="0"/>
    <xf numFmtId="0" fontId="7" fillId="0" borderId="0"/>
    <xf numFmtId="0" fontId="6" fillId="0" borderId="0"/>
    <xf numFmtId="0" fontId="6" fillId="0" borderId="0"/>
    <xf numFmtId="0" fontId="6" fillId="0" borderId="0"/>
    <xf numFmtId="164" fontId="9" fillId="0" borderId="0" applyFont="0" applyFill="0" applyBorder="0" applyAlignment="0" applyProtection="0"/>
    <xf numFmtId="0" fontId="6" fillId="0" borderId="0"/>
    <xf numFmtId="0" fontId="6" fillId="0" borderId="0"/>
    <xf numFmtId="164" fontId="9" fillId="0" borderId="0" applyFont="0" applyFill="0" applyBorder="0" applyAlignment="0" applyProtection="0"/>
    <xf numFmtId="0" fontId="6" fillId="0" borderId="0"/>
    <xf numFmtId="0" fontId="6" fillId="0" borderId="0"/>
    <xf numFmtId="164" fontId="9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5" fillId="0" borderId="0"/>
    <xf numFmtId="9" fontId="29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9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</cellStyleXfs>
  <cellXfs count="241">
    <xf numFmtId="0" fontId="0" fillId="0" borderId="0" xfId="0"/>
    <xf numFmtId="0" fontId="8" fillId="0" borderId="0" xfId="2"/>
    <xf numFmtId="0" fontId="9" fillId="0" borderId="0" xfId="2" applyFont="1" applyAlignment="1">
      <alignment horizontal="left" vertical="center"/>
    </xf>
    <xf numFmtId="0" fontId="9" fillId="0" borderId="0" xfId="2" applyFont="1" applyAlignment="1">
      <alignment shrinkToFit="1"/>
    </xf>
    <xf numFmtId="0" fontId="10" fillId="0" borderId="0" xfId="2" applyFont="1" applyAlignment="1">
      <alignment textRotation="90" shrinkToFit="1"/>
    </xf>
    <xf numFmtId="0" fontId="19" fillId="7" borderId="2" xfId="3" applyFont="1" applyFill="1" applyBorder="1" applyAlignment="1">
      <alignment horizontal="center" vertical="center" shrinkToFit="1"/>
    </xf>
    <xf numFmtId="0" fontId="7" fillId="0" borderId="0" xfId="4"/>
    <xf numFmtId="0" fontId="9" fillId="0" borderId="0" xfId="4" applyFont="1" applyAlignment="1">
      <alignment shrinkToFit="1"/>
    </xf>
    <xf numFmtId="0" fontId="9" fillId="0" borderId="0" xfId="4" applyFont="1" applyAlignment="1">
      <alignment horizontal="center" shrinkToFit="1"/>
    </xf>
    <xf numFmtId="0" fontId="11" fillId="0" borderId="0" xfId="4" applyFont="1" applyAlignment="1">
      <alignment shrinkToFit="1"/>
    </xf>
    <xf numFmtId="1" fontId="9" fillId="3" borderId="1" xfId="2" applyNumberFormat="1" applyFont="1" applyFill="1" applyBorder="1" applyAlignment="1">
      <alignment horizontal="center" shrinkToFit="1"/>
    </xf>
    <xf numFmtId="4" fontId="9" fillId="4" borderId="1" xfId="2" applyNumberFormat="1" applyFont="1" applyFill="1" applyBorder="1" applyAlignment="1">
      <alignment horizontal="center" shrinkToFit="1"/>
    </xf>
    <xf numFmtId="1" fontId="9" fillId="11" borderId="1" xfId="4" applyNumberFormat="1" applyFont="1" applyFill="1" applyBorder="1" applyAlignment="1">
      <alignment horizontal="center" vertical="center" shrinkToFit="1"/>
    </xf>
    <xf numFmtId="0" fontId="0" fillId="11" borderId="1" xfId="0" applyFill="1" applyBorder="1" applyAlignment="1">
      <alignment horizontal="center"/>
    </xf>
    <xf numFmtId="4" fontId="9" fillId="10" borderId="1" xfId="2" applyNumberFormat="1" applyFont="1" applyFill="1" applyBorder="1" applyAlignment="1">
      <alignment horizontal="center" shrinkToFit="1"/>
    </xf>
    <xf numFmtId="0" fontId="9" fillId="0" borderId="0" xfId="2" applyFont="1" applyAlignment="1">
      <alignment horizontal="center" shrinkToFit="1"/>
    </xf>
    <xf numFmtId="1" fontId="9" fillId="0" borderId="0" xfId="2" applyNumberFormat="1" applyFont="1" applyAlignment="1">
      <alignment vertical="center" shrinkToFit="1"/>
    </xf>
    <xf numFmtId="1" fontId="9" fillId="0" borderId="0" xfId="2" applyNumberFormat="1" applyFont="1" applyAlignment="1">
      <alignment shrinkToFit="1"/>
    </xf>
    <xf numFmtId="165" fontId="9" fillId="0" borderId="0" xfId="2" applyNumberFormat="1" applyFont="1" applyAlignment="1">
      <alignment shrinkToFit="1"/>
    </xf>
    <xf numFmtId="4" fontId="9" fillId="0" borderId="0" xfId="2" applyNumberFormat="1" applyFont="1" applyAlignment="1">
      <alignment shrinkToFit="1"/>
    </xf>
    <xf numFmtId="2" fontId="9" fillId="0" borderId="0" xfId="2" applyNumberFormat="1" applyFont="1" applyAlignment="1">
      <alignment shrinkToFit="1"/>
    </xf>
    <xf numFmtId="0" fontId="11" fillId="0" borderId="0" xfId="2" applyFont="1" applyAlignment="1">
      <alignment shrinkToFit="1"/>
    </xf>
    <xf numFmtId="0" fontId="9" fillId="0" borderId="1" xfId="4" applyFont="1" applyBorder="1" applyAlignment="1">
      <alignment horizontal="center" shrinkToFit="1"/>
    </xf>
    <xf numFmtId="0" fontId="7" fillId="0" borderId="0" xfId="4" applyAlignment="1">
      <alignment horizontal="center"/>
    </xf>
    <xf numFmtId="0" fontId="8" fillId="0" borderId="0" xfId="2" applyAlignment="1">
      <alignment horizontal="center"/>
    </xf>
    <xf numFmtId="0" fontId="11" fillId="7" borderId="2" xfId="3" applyFont="1" applyFill="1" applyBorder="1" applyAlignment="1">
      <alignment horizontal="center" vertical="center" shrinkToFit="1"/>
    </xf>
    <xf numFmtId="0" fontId="9" fillId="0" borderId="23" xfId="4" applyFont="1" applyBorder="1" applyAlignment="1">
      <alignment horizontal="center" shrinkToFit="1"/>
    </xf>
    <xf numFmtId="165" fontId="10" fillId="13" borderId="1" xfId="4" applyNumberFormat="1" applyFont="1" applyFill="1" applyBorder="1" applyAlignment="1">
      <alignment horizontal="center" vertical="center" shrinkToFit="1"/>
    </xf>
    <xf numFmtId="170" fontId="9" fillId="11" borderId="1" xfId="2" applyNumberFormat="1" applyFont="1" applyFill="1" applyBorder="1" applyAlignment="1">
      <alignment horizontal="center" shrinkToFit="1"/>
    </xf>
    <xf numFmtId="0" fontId="10" fillId="13" borderId="1" xfId="4" applyFont="1" applyFill="1" applyBorder="1" applyAlignment="1">
      <alignment horizontal="center" shrinkToFit="1"/>
    </xf>
    <xf numFmtId="167" fontId="9" fillId="0" borderId="0" xfId="2" applyNumberFormat="1" applyFont="1" applyAlignment="1">
      <alignment horizontal="center" shrinkToFit="1"/>
    </xf>
    <xf numFmtId="4" fontId="9" fillId="0" borderId="0" xfId="2" applyNumberFormat="1" applyFont="1" applyAlignment="1">
      <alignment horizontal="center" shrinkToFit="1"/>
    </xf>
    <xf numFmtId="4" fontId="9" fillId="3" borderId="1" xfId="2" applyNumberFormat="1" applyFont="1" applyFill="1" applyBorder="1" applyAlignment="1">
      <alignment horizontal="center" shrinkToFit="1"/>
    </xf>
    <xf numFmtId="166" fontId="9" fillId="8" borderId="1" xfId="2" applyNumberFormat="1" applyFont="1" applyFill="1" applyBorder="1" applyAlignment="1">
      <alignment horizontal="center" shrinkToFit="1"/>
    </xf>
    <xf numFmtId="169" fontId="9" fillId="3" borderId="1" xfId="2" applyNumberFormat="1" applyFont="1" applyFill="1" applyBorder="1" applyAlignment="1">
      <alignment horizontal="center" shrinkToFit="1"/>
    </xf>
    <xf numFmtId="168" fontId="22" fillId="3" borderId="1" xfId="2" applyNumberFormat="1" applyFont="1" applyFill="1" applyBorder="1" applyAlignment="1">
      <alignment horizontal="center" shrinkToFit="1"/>
    </xf>
    <xf numFmtId="1" fontId="9" fillId="3" borderId="7" xfId="2" applyNumberFormat="1" applyFont="1" applyFill="1" applyBorder="1" applyAlignment="1">
      <alignment horizontal="center" shrinkToFit="1"/>
    </xf>
    <xf numFmtId="1" fontId="9" fillId="3" borderId="3" xfId="2" applyNumberFormat="1" applyFont="1" applyFill="1" applyBorder="1" applyAlignment="1">
      <alignment horizontal="center" shrinkToFit="1"/>
    </xf>
    <xf numFmtId="1" fontId="22" fillId="3" borderId="1" xfId="2" applyNumberFormat="1" applyFont="1" applyFill="1" applyBorder="1" applyAlignment="1">
      <alignment horizontal="center" shrinkToFit="1"/>
    </xf>
    <xf numFmtId="167" fontId="9" fillId="2" borderId="1" xfId="2" applyNumberFormat="1" applyFont="1" applyFill="1" applyBorder="1" applyAlignment="1">
      <alignment horizontal="center" shrinkToFit="1"/>
    </xf>
    <xf numFmtId="168" fontId="15" fillId="3" borderId="1" xfId="2" applyNumberFormat="1" applyFont="1" applyFill="1" applyBorder="1" applyAlignment="1">
      <alignment horizontal="center" shrinkToFit="1"/>
    </xf>
    <xf numFmtId="168" fontId="14" fillId="2" borderId="1" xfId="2" applyNumberFormat="1" applyFont="1" applyFill="1" applyBorder="1" applyAlignment="1">
      <alignment horizontal="center" vertical="center" shrinkToFit="1"/>
    </xf>
    <xf numFmtId="0" fontId="9" fillId="0" borderId="8" xfId="2" applyFont="1" applyBorder="1" applyAlignment="1">
      <alignment horizontal="center" shrinkToFit="1"/>
    </xf>
    <xf numFmtId="0" fontId="9" fillId="0" borderId="4" xfId="2" applyFont="1" applyBorder="1" applyAlignment="1">
      <alignment horizontal="center" shrinkToFit="1"/>
    </xf>
    <xf numFmtId="0" fontId="26" fillId="0" borderId="0" xfId="2" applyFont="1" applyAlignment="1">
      <alignment horizontal="left" vertical="center"/>
    </xf>
    <xf numFmtId="4" fontId="9" fillId="3" borderId="1" xfId="3" applyNumberFormat="1" applyFill="1" applyBorder="1" applyAlignment="1">
      <alignment horizontal="center" shrinkToFit="1"/>
    </xf>
    <xf numFmtId="0" fontId="0" fillId="11" borderId="6" xfId="0" applyFill="1" applyBorder="1" applyAlignment="1">
      <alignment horizontal="center"/>
    </xf>
    <xf numFmtId="4" fontId="9" fillId="3" borderId="6" xfId="3" applyNumberFormat="1" applyFill="1" applyBorder="1" applyAlignment="1">
      <alignment horizontal="center" shrinkToFit="1"/>
    </xf>
    <xf numFmtId="4" fontId="9" fillId="4" borderId="6" xfId="2" applyNumberFormat="1" applyFont="1" applyFill="1" applyBorder="1" applyAlignment="1">
      <alignment horizontal="center" shrinkToFit="1"/>
    </xf>
    <xf numFmtId="4" fontId="9" fillId="10" borderId="6" xfId="2" applyNumberFormat="1" applyFont="1" applyFill="1" applyBorder="1" applyAlignment="1">
      <alignment horizontal="center" shrinkToFit="1"/>
    </xf>
    <xf numFmtId="167" fontId="9" fillId="2" borderId="6" xfId="2" applyNumberFormat="1" applyFont="1" applyFill="1" applyBorder="1" applyAlignment="1">
      <alignment horizontal="center" shrinkToFit="1"/>
    </xf>
    <xf numFmtId="168" fontId="14" fillId="2" borderId="6" xfId="2" applyNumberFormat="1" applyFont="1" applyFill="1" applyBorder="1" applyAlignment="1">
      <alignment horizontal="center" vertical="center" shrinkToFit="1"/>
    </xf>
    <xf numFmtId="0" fontId="0" fillId="11" borderId="42" xfId="0" applyFill="1" applyBorder="1" applyAlignment="1">
      <alignment horizontal="center"/>
    </xf>
    <xf numFmtId="4" fontId="9" fillId="3" borderId="42" xfId="3" applyNumberFormat="1" applyFill="1" applyBorder="1" applyAlignment="1">
      <alignment horizontal="center" shrinkToFit="1"/>
    </xf>
    <xf numFmtId="169" fontId="9" fillId="3" borderId="42" xfId="2" applyNumberFormat="1" applyFont="1" applyFill="1" applyBorder="1" applyAlignment="1">
      <alignment horizontal="center" shrinkToFit="1"/>
    </xf>
    <xf numFmtId="165" fontId="10" fillId="12" borderId="6" xfId="2" applyNumberFormat="1" applyFont="1" applyFill="1" applyBorder="1" applyAlignment="1">
      <alignment horizontal="center" shrinkToFit="1"/>
    </xf>
    <xf numFmtId="0" fontId="0" fillId="11" borderId="35" xfId="0" applyFill="1" applyBorder="1" applyAlignment="1">
      <alignment horizontal="center"/>
    </xf>
    <xf numFmtId="4" fontId="9" fillId="3" borderId="35" xfId="3" applyNumberFormat="1" applyFill="1" applyBorder="1" applyAlignment="1">
      <alignment horizontal="center" shrinkToFit="1"/>
    </xf>
    <xf numFmtId="0" fontId="0" fillId="11" borderId="23" xfId="0" applyFill="1" applyBorder="1" applyAlignment="1">
      <alignment horizontal="center"/>
    </xf>
    <xf numFmtId="4" fontId="9" fillId="3" borderId="23" xfId="3" applyNumberFormat="1" applyFill="1" applyBorder="1" applyAlignment="1">
      <alignment horizontal="center" shrinkToFit="1"/>
    </xf>
    <xf numFmtId="165" fontId="10" fillId="12" borderId="42" xfId="2" applyNumberFormat="1" applyFont="1" applyFill="1" applyBorder="1" applyAlignment="1">
      <alignment horizontal="center" shrinkToFit="1"/>
    </xf>
    <xf numFmtId="0" fontId="9" fillId="0" borderId="0" xfId="0" applyFont="1"/>
    <xf numFmtId="0" fontId="7" fillId="0" borderId="17" xfId="4" applyBorder="1" applyAlignment="1">
      <alignment vertical="center"/>
    </xf>
    <xf numFmtId="0" fontId="7" fillId="0" borderId="10" xfId="4" applyBorder="1" applyAlignment="1">
      <alignment vertical="center"/>
    </xf>
    <xf numFmtId="0" fontId="7" fillId="0" borderId="18" xfId="4" applyBorder="1" applyAlignment="1">
      <alignment vertical="center"/>
    </xf>
    <xf numFmtId="0" fontId="7" fillId="0" borderId="20" xfId="4" applyBorder="1" applyAlignment="1">
      <alignment vertical="center"/>
    </xf>
    <xf numFmtId="0" fontId="7" fillId="0" borderId="0" xfId="4" applyAlignment="1">
      <alignment vertical="center"/>
    </xf>
    <xf numFmtId="0" fontId="7" fillId="0" borderId="19" xfId="4" applyBorder="1" applyAlignment="1">
      <alignment vertical="center"/>
    </xf>
    <xf numFmtId="0" fontId="7" fillId="0" borderId="21" xfId="4" applyBorder="1" applyAlignment="1">
      <alignment vertical="center"/>
    </xf>
    <xf numFmtId="0" fontId="7" fillId="0" borderId="16" xfId="4" applyBorder="1" applyAlignment="1">
      <alignment vertical="center"/>
    </xf>
    <xf numFmtId="0" fontId="7" fillId="0" borderId="22" xfId="4" applyBorder="1" applyAlignment="1">
      <alignment vertical="center"/>
    </xf>
    <xf numFmtId="165" fontId="10" fillId="5" borderId="35" xfId="4" applyNumberFormat="1" applyFont="1" applyFill="1" applyBorder="1" applyAlignment="1">
      <alignment horizontal="center" vertical="center" textRotation="90" shrinkToFit="1"/>
    </xf>
    <xf numFmtId="165" fontId="10" fillId="5" borderId="34" xfId="4" applyNumberFormat="1" applyFont="1" applyFill="1" applyBorder="1" applyAlignment="1">
      <alignment vertical="center" textRotation="90" shrinkToFit="1"/>
    </xf>
    <xf numFmtId="165" fontId="10" fillId="5" borderId="36" xfId="4" applyNumberFormat="1" applyFont="1" applyFill="1" applyBorder="1" applyAlignment="1">
      <alignment vertical="center" textRotation="90" shrinkToFit="1"/>
    </xf>
    <xf numFmtId="165" fontId="10" fillId="5" borderId="34" xfId="4" applyNumberFormat="1" applyFont="1" applyFill="1" applyBorder="1" applyAlignment="1">
      <alignment horizontal="center" vertical="center" textRotation="90" shrinkToFit="1"/>
    </xf>
    <xf numFmtId="165" fontId="10" fillId="5" borderId="39" xfId="4" applyNumberFormat="1" applyFont="1" applyFill="1" applyBorder="1" applyAlignment="1">
      <alignment horizontal="center" vertical="center" textRotation="90" shrinkToFit="1"/>
    </xf>
    <xf numFmtId="165" fontId="10" fillId="5" borderId="35" xfId="4" applyNumberFormat="1" applyFont="1" applyFill="1" applyBorder="1" applyAlignment="1">
      <alignment horizontal="center" vertical="center" shrinkToFit="1"/>
    </xf>
    <xf numFmtId="165" fontId="10" fillId="10" borderId="35" xfId="4" applyNumberFormat="1" applyFont="1" applyFill="1" applyBorder="1" applyAlignment="1">
      <alignment horizontal="center" vertical="center" shrinkToFit="1"/>
    </xf>
    <xf numFmtId="165" fontId="10" fillId="10" borderId="36" xfId="4" applyNumberFormat="1" applyFont="1" applyFill="1" applyBorder="1" applyAlignment="1">
      <alignment horizontal="center" vertical="center" shrinkToFit="1"/>
    </xf>
    <xf numFmtId="0" fontId="30" fillId="15" borderId="0" xfId="2" applyFont="1" applyFill="1" applyAlignment="1">
      <alignment shrinkToFit="1"/>
    </xf>
    <xf numFmtId="9" fontId="30" fillId="15" borderId="0" xfId="19" applyFont="1" applyFill="1" applyAlignment="1">
      <alignment shrinkToFit="1"/>
    </xf>
    <xf numFmtId="0" fontId="4" fillId="0" borderId="0" xfId="4" applyFont="1" applyAlignment="1">
      <alignment horizontal="center"/>
    </xf>
    <xf numFmtId="1" fontId="0" fillId="0" borderId="1" xfId="0" applyNumberFormat="1" applyBorder="1" applyAlignment="1">
      <alignment horizontal="center"/>
    </xf>
    <xf numFmtId="1" fontId="9" fillId="0" borderId="1" xfId="21" applyNumberFormat="1" applyFont="1" applyBorder="1" applyAlignment="1">
      <alignment horizontal="center" vertical="center" shrinkToFit="1"/>
    </xf>
    <xf numFmtId="165" fontId="10" fillId="0" borderId="1" xfId="20" applyNumberFormat="1" applyFont="1" applyBorder="1" applyAlignment="1">
      <alignment horizontal="center" shrinkToFit="1"/>
    </xf>
    <xf numFmtId="1" fontId="22" fillId="0" borderId="1" xfId="20" applyNumberFormat="1" applyFont="1" applyBorder="1" applyAlignment="1">
      <alignment horizontal="center" shrinkToFit="1"/>
    </xf>
    <xf numFmtId="167" fontId="9" fillId="0" borderId="1" xfId="20" applyNumberFormat="1" applyFont="1" applyBorder="1" applyAlignment="1">
      <alignment horizontal="center" shrinkToFit="1"/>
    </xf>
    <xf numFmtId="168" fontId="14" fillId="0" borderId="1" xfId="20" applyNumberFormat="1" applyFont="1" applyBorder="1" applyAlignment="1">
      <alignment horizontal="center" vertical="center" shrinkToFit="1"/>
    </xf>
    <xf numFmtId="0" fontId="9" fillId="0" borderId="1" xfId="20" applyFont="1" applyBorder="1" applyAlignment="1">
      <alignment horizontal="center" shrinkToFit="1"/>
    </xf>
    <xf numFmtId="0" fontId="0" fillId="0" borderId="1" xfId="0" applyBorder="1" applyAlignment="1">
      <alignment horizontal="center"/>
    </xf>
    <xf numFmtId="165" fontId="10" fillId="0" borderId="1" xfId="2" applyNumberFormat="1" applyFont="1" applyBorder="1" applyAlignment="1">
      <alignment horizontal="center" shrinkToFit="1"/>
    </xf>
    <xf numFmtId="167" fontId="22" fillId="3" borderId="1" xfId="2" applyNumberFormat="1" applyFont="1" applyFill="1" applyBorder="1" applyAlignment="1">
      <alignment horizontal="center" shrinkToFit="1"/>
    </xf>
    <xf numFmtId="165" fontId="10" fillId="16" borderId="1" xfId="2" applyNumberFormat="1" applyFont="1" applyFill="1" applyBorder="1" applyAlignment="1">
      <alignment horizontal="center" shrinkToFit="1"/>
    </xf>
    <xf numFmtId="170" fontId="9" fillId="11" borderId="42" xfId="2" applyNumberFormat="1" applyFont="1" applyFill="1" applyBorder="1" applyAlignment="1">
      <alignment horizontal="center" shrinkToFit="1"/>
    </xf>
    <xf numFmtId="1" fontId="9" fillId="11" borderId="42" xfId="4" applyNumberFormat="1" applyFont="1" applyFill="1" applyBorder="1" applyAlignment="1">
      <alignment horizontal="center" vertical="center" shrinkToFit="1"/>
    </xf>
    <xf numFmtId="1" fontId="9" fillId="3" borderId="42" xfId="2" applyNumberFormat="1" applyFont="1" applyFill="1" applyBorder="1" applyAlignment="1">
      <alignment horizontal="center" shrinkToFit="1"/>
    </xf>
    <xf numFmtId="165" fontId="10" fillId="0" borderId="42" xfId="2" applyNumberFormat="1" applyFont="1" applyBorder="1" applyAlignment="1">
      <alignment horizontal="center" shrinkToFit="1"/>
    </xf>
    <xf numFmtId="167" fontId="22" fillId="3" borderId="42" xfId="2" applyNumberFormat="1" applyFont="1" applyFill="1" applyBorder="1" applyAlignment="1">
      <alignment horizontal="center" shrinkToFit="1"/>
    </xf>
    <xf numFmtId="1" fontId="22" fillId="3" borderId="42" xfId="2" applyNumberFormat="1" applyFont="1" applyFill="1" applyBorder="1" applyAlignment="1">
      <alignment horizontal="center" shrinkToFit="1"/>
    </xf>
    <xf numFmtId="168" fontId="22" fillId="3" borderId="42" xfId="2" applyNumberFormat="1" applyFont="1" applyFill="1" applyBorder="1" applyAlignment="1">
      <alignment horizontal="center" shrinkToFit="1"/>
    </xf>
    <xf numFmtId="4" fontId="9" fillId="3" borderId="42" xfId="2" applyNumberFormat="1" applyFont="1" applyFill="1" applyBorder="1" applyAlignment="1">
      <alignment horizontal="center" shrinkToFit="1"/>
    </xf>
    <xf numFmtId="166" fontId="9" fillId="8" borderId="42" xfId="2" applyNumberFormat="1" applyFont="1" applyFill="1" applyBorder="1" applyAlignment="1">
      <alignment horizontal="center" shrinkToFit="1"/>
    </xf>
    <xf numFmtId="168" fontId="15" fillId="3" borderId="44" xfId="2" applyNumberFormat="1" applyFont="1" applyFill="1" applyBorder="1" applyAlignment="1">
      <alignment horizontal="center" shrinkToFit="1"/>
    </xf>
    <xf numFmtId="169" fontId="2" fillId="3" borderId="45" xfId="2" applyNumberFormat="1" applyFont="1" applyFill="1" applyBorder="1" applyAlignment="1">
      <alignment horizontal="center" shrinkToFit="1"/>
    </xf>
    <xf numFmtId="169" fontId="2" fillId="8" borderId="1" xfId="2" applyNumberFormat="1" applyFont="1" applyFill="1" applyBorder="1" applyAlignment="1">
      <alignment horizontal="center" shrinkToFit="1"/>
    </xf>
    <xf numFmtId="168" fontId="15" fillId="3" borderId="42" xfId="2" applyNumberFormat="1" applyFont="1" applyFill="1" applyBorder="1" applyAlignment="1">
      <alignment horizontal="center" shrinkToFit="1"/>
    </xf>
    <xf numFmtId="168" fontId="15" fillId="3" borderId="46" xfId="2" applyNumberFormat="1" applyFont="1" applyFill="1" applyBorder="1" applyAlignment="1">
      <alignment horizontal="center" shrinkToFit="1"/>
    </xf>
    <xf numFmtId="169" fontId="2" fillId="3" borderId="47" xfId="2" applyNumberFormat="1" applyFont="1" applyFill="1" applyBorder="1" applyAlignment="1">
      <alignment horizontal="center" shrinkToFit="1"/>
    </xf>
    <xf numFmtId="169" fontId="2" fillId="8" borderId="42" xfId="2" applyNumberFormat="1" applyFont="1" applyFill="1" applyBorder="1" applyAlignment="1">
      <alignment horizontal="center" shrinkToFit="1"/>
    </xf>
    <xf numFmtId="165" fontId="10" fillId="12" borderId="1" xfId="2" applyNumberFormat="1" applyFont="1" applyFill="1" applyBorder="1" applyAlignment="1">
      <alignment horizontal="center" shrinkToFit="1"/>
    </xf>
    <xf numFmtId="165" fontId="10" fillId="0" borderId="6" xfId="2" applyNumberFormat="1" applyFont="1" applyBorder="1" applyAlignment="1">
      <alignment horizontal="center" shrinkToFit="1"/>
    </xf>
    <xf numFmtId="165" fontId="10" fillId="0" borderId="23" xfId="2" applyNumberFormat="1" applyFont="1" applyBorder="1" applyAlignment="1">
      <alignment horizontal="center" shrinkToFit="1"/>
    </xf>
    <xf numFmtId="165" fontId="10" fillId="0" borderId="35" xfId="2" applyNumberFormat="1" applyFont="1" applyBorder="1" applyAlignment="1">
      <alignment horizontal="center" shrinkToFit="1"/>
    </xf>
    <xf numFmtId="165" fontId="10" fillId="0" borderId="43" xfId="2" applyNumberFormat="1" applyFont="1" applyBorder="1" applyAlignment="1">
      <alignment horizontal="center" shrinkToFit="1"/>
    </xf>
    <xf numFmtId="0" fontId="31" fillId="17" borderId="1" xfId="0" applyFont="1" applyFill="1" applyBorder="1"/>
    <xf numFmtId="0" fontId="31" fillId="0" borderId="0" xfId="0" applyFont="1" applyAlignment="1">
      <alignment horizontal="center"/>
    </xf>
    <xf numFmtId="0" fontId="0" fillId="0" borderId="7" xfId="0" applyBorder="1" applyAlignment="1">
      <alignment horizontal="center" vertical="center"/>
    </xf>
    <xf numFmtId="1" fontId="9" fillId="0" borderId="6" xfId="21" applyNumberFormat="1" applyFont="1" applyBorder="1" applyAlignment="1">
      <alignment horizontal="center" vertical="center" shrinkToFit="1"/>
    </xf>
    <xf numFmtId="165" fontId="10" fillId="0" borderId="6" xfId="20" applyNumberFormat="1" applyFont="1" applyBorder="1" applyAlignment="1">
      <alignment horizontal="center" vertical="center" shrinkToFit="1"/>
    </xf>
    <xf numFmtId="1" fontId="22" fillId="0" borderId="6" xfId="20" applyNumberFormat="1" applyFont="1" applyBorder="1" applyAlignment="1">
      <alignment horizontal="center" vertical="center" shrinkToFit="1"/>
    </xf>
    <xf numFmtId="167" fontId="9" fillId="0" borderId="6" xfId="20" applyNumberFormat="1" applyFont="1" applyBorder="1" applyAlignment="1">
      <alignment horizontal="center" vertical="center" shrinkToFit="1"/>
    </xf>
    <xf numFmtId="168" fontId="14" fillId="0" borderId="6" xfId="20" applyNumberFormat="1" applyFont="1" applyBorder="1" applyAlignment="1">
      <alignment horizontal="center" vertical="center" shrinkToFit="1"/>
    </xf>
    <xf numFmtId="0" fontId="9" fillId="0" borderId="6" xfId="20" applyFont="1" applyBorder="1" applyAlignment="1">
      <alignment horizontal="center" vertical="center" shrinkToFit="1"/>
    </xf>
    <xf numFmtId="0" fontId="0" fillId="0" borderId="8" xfId="0" applyBorder="1" applyAlignment="1">
      <alignment horizontal="center" vertical="center"/>
    </xf>
    <xf numFmtId="171" fontId="9" fillId="0" borderId="15" xfId="23" applyNumberFormat="1" applyFont="1" applyBorder="1" applyAlignment="1">
      <alignment horizontal="center" vertical="center"/>
    </xf>
    <xf numFmtId="0" fontId="9" fillId="0" borderId="1" xfId="3" applyBorder="1" applyAlignment="1">
      <alignment horizontal="center"/>
    </xf>
    <xf numFmtId="0" fontId="9" fillId="0" borderId="0" xfId="3"/>
    <xf numFmtId="171" fontId="9" fillId="0" borderId="1" xfId="3" applyNumberFormat="1" applyBorder="1" applyAlignment="1">
      <alignment horizontal="center"/>
    </xf>
    <xf numFmtId="0" fontId="25" fillId="12" borderId="13" xfId="0" applyFont="1" applyFill="1" applyBorder="1" applyAlignment="1">
      <alignment horizontal="center" vertical="center"/>
    </xf>
    <xf numFmtId="0" fontId="7" fillId="0" borderId="1" xfId="4" applyBorder="1" applyAlignment="1">
      <alignment horizontal="center"/>
    </xf>
    <xf numFmtId="167" fontId="7" fillId="0" borderId="1" xfId="4" applyNumberFormat="1" applyBorder="1" applyAlignment="1">
      <alignment horizontal="center"/>
    </xf>
    <xf numFmtId="0" fontId="0" fillId="0" borderId="0" xfId="0" applyAlignment="1">
      <alignment horizontal="center" vertical="center"/>
    </xf>
    <xf numFmtId="4" fontId="26" fillId="10" borderId="13" xfId="24" applyNumberFormat="1" applyFont="1" applyFill="1" applyBorder="1" applyAlignment="1">
      <alignment horizontal="center" vertical="center" shrinkToFit="1"/>
    </xf>
    <xf numFmtId="4" fontId="26" fillId="10" borderId="14" xfId="24" applyNumberFormat="1" applyFont="1" applyFill="1" applyBorder="1" applyAlignment="1">
      <alignment horizontal="center" vertical="center" shrinkToFit="1"/>
    </xf>
    <xf numFmtId="0" fontId="9" fillId="0" borderId="17" xfId="23" applyFont="1" applyBorder="1" applyAlignment="1">
      <alignment horizontal="center" vertical="center"/>
    </xf>
    <xf numFmtId="0" fontId="9" fillId="0" borderId="18" xfId="23" applyFont="1" applyBorder="1" applyAlignment="1">
      <alignment horizontal="center" vertical="center"/>
    </xf>
    <xf numFmtId="0" fontId="9" fillId="0" borderId="13" xfId="23" applyFont="1" applyBorder="1" applyAlignment="1">
      <alignment horizontal="center" vertical="center"/>
    </xf>
    <xf numFmtId="0" fontId="9" fillId="0" borderId="14" xfId="23" applyFont="1" applyBorder="1" applyAlignment="1">
      <alignment horizontal="center" vertical="center"/>
    </xf>
    <xf numFmtId="0" fontId="10" fillId="10" borderId="15" xfId="4" applyFont="1" applyFill="1" applyBorder="1" applyAlignment="1">
      <alignment horizontal="left" vertical="center"/>
    </xf>
    <xf numFmtId="167" fontId="21" fillId="0" borderId="15" xfId="4" applyNumberFormat="1" applyFont="1" applyBorder="1" applyAlignment="1">
      <alignment horizontal="left" vertical="center"/>
    </xf>
    <xf numFmtId="0" fontId="10" fillId="10" borderId="13" xfId="4" applyFont="1" applyFill="1" applyBorder="1" applyAlignment="1">
      <alignment horizontal="left" vertical="center"/>
    </xf>
    <xf numFmtId="0" fontId="10" fillId="10" borderId="9" xfId="4" applyFont="1" applyFill="1" applyBorder="1" applyAlignment="1">
      <alignment horizontal="left" vertical="center"/>
    </xf>
    <xf numFmtId="0" fontId="10" fillId="10" borderId="14" xfId="4" applyFont="1" applyFill="1" applyBorder="1" applyAlignment="1">
      <alignment horizontal="left" vertical="center"/>
    </xf>
    <xf numFmtId="0" fontId="21" fillId="0" borderId="28" xfId="4" applyFont="1" applyBorder="1" applyAlignment="1">
      <alignment horizontal="left" vertical="center"/>
    </xf>
    <xf numFmtId="0" fontId="24" fillId="0" borderId="13" xfId="4" applyFont="1" applyBorder="1" applyAlignment="1">
      <alignment horizontal="center" vertical="center" wrapText="1"/>
    </xf>
    <xf numFmtId="0" fontId="24" fillId="0" borderId="9" xfId="4" applyFont="1" applyBorder="1" applyAlignment="1">
      <alignment horizontal="center" vertical="center" wrapText="1"/>
    </xf>
    <xf numFmtId="0" fontId="24" fillId="0" borderId="14" xfId="4" applyFont="1" applyBorder="1" applyAlignment="1">
      <alignment horizontal="center" vertical="center" wrapText="1"/>
    </xf>
    <xf numFmtId="4" fontId="10" fillId="10" borderId="28" xfId="4" applyNumberFormat="1" applyFont="1" applyFill="1" applyBorder="1" applyAlignment="1">
      <alignment horizontal="center" vertical="center" shrinkToFit="1"/>
    </xf>
    <xf numFmtId="4" fontId="10" fillId="10" borderId="21" xfId="4" applyNumberFormat="1" applyFont="1" applyFill="1" applyBorder="1" applyAlignment="1">
      <alignment horizontal="left" vertical="center" shrinkToFit="1"/>
    </xf>
    <xf numFmtId="4" fontId="10" fillId="10" borderId="16" xfId="4" applyNumberFormat="1" applyFont="1" applyFill="1" applyBorder="1" applyAlignment="1">
      <alignment horizontal="left" vertical="center" shrinkToFit="1"/>
    </xf>
    <xf numFmtId="4" fontId="10" fillId="10" borderId="22" xfId="4" applyNumberFormat="1" applyFont="1" applyFill="1" applyBorder="1" applyAlignment="1">
      <alignment horizontal="left" vertical="center" shrinkToFit="1"/>
    </xf>
    <xf numFmtId="4" fontId="10" fillId="10" borderId="13" xfId="4" applyNumberFormat="1" applyFont="1" applyFill="1" applyBorder="1" applyAlignment="1">
      <alignment horizontal="center" vertical="center" shrinkToFit="1"/>
    </xf>
    <xf numFmtId="4" fontId="10" fillId="10" borderId="9" xfId="4" applyNumberFormat="1" applyFont="1" applyFill="1" applyBorder="1" applyAlignment="1">
      <alignment horizontal="center" vertical="center" shrinkToFit="1"/>
    </xf>
    <xf numFmtId="4" fontId="10" fillId="10" borderId="14" xfId="4" applyNumberFormat="1" applyFont="1" applyFill="1" applyBorder="1" applyAlignment="1">
      <alignment horizontal="center" vertical="center" shrinkToFit="1"/>
    </xf>
    <xf numFmtId="0" fontId="24" fillId="0" borderId="17" xfId="4" applyFont="1" applyBorder="1" applyAlignment="1">
      <alignment horizontal="center" vertical="center" wrapText="1"/>
    </xf>
    <xf numFmtId="0" fontId="24" fillId="0" borderId="10" xfId="4" applyFont="1" applyBorder="1" applyAlignment="1">
      <alignment horizontal="center" vertical="center" wrapText="1"/>
    </xf>
    <xf numFmtId="0" fontId="24" fillId="0" borderId="18" xfId="4" applyFont="1" applyBorder="1" applyAlignment="1">
      <alignment horizontal="center" vertical="center" wrapText="1"/>
    </xf>
    <xf numFmtId="0" fontId="16" fillId="0" borderId="13" xfId="4" applyFont="1" applyBorder="1" applyAlignment="1">
      <alignment horizontal="center" vertical="center" wrapText="1"/>
    </xf>
    <xf numFmtId="0" fontId="16" fillId="0" borderId="9" xfId="4" applyFont="1" applyBorder="1" applyAlignment="1">
      <alignment horizontal="center" vertical="center" wrapText="1"/>
    </xf>
    <xf numFmtId="0" fontId="16" fillId="0" borderId="14" xfId="4" applyFont="1" applyBorder="1" applyAlignment="1">
      <alignment horizontal="center" vertical="center" wrapText="1"/>
    </xf>
    <xf numFmtId="0" fontId="17" fillId="0" borderId="17" xfId="4" applyFont="1" applyBorder="1" applyAlignment="1">
      <alignment horizontal="center" vertical="center" wrapText="1"/>
    </xf>
    <xf numFmtId="0" fontId="17" fillId="0" borderId="10" xfId="4" applyFont="1" applyBorder="1" applyAlignment="1">
      <alignment horizontal="center" vertical="center" wrapText="1"/>
    </xf>
    <xf numFmtId="0" fontId="17" fillId="0" borderId="18" xfId="4" applyFont="1" applyBorder="1" applyAlignment="1">
      <alignment horizontal="center" vertical="center" wrapText="1"/>
    </xf>
    <xf numFmtId="0" fontId="17" fillId="0" borderId="21" xfId="4" applyFont="1" applyBorder="1" applyAlignment="1">
      <alignment horizontal="center" vertical="center" wrapText="1"/>
    </xf>
    <xf numFmtId="0" fontId="17" fillId="0" borderId="16" xfId="4" applyFont="1" applyBorder="1" applyAlignment="1">
      <alignment horizontal="center" vertical="center" wrapText="1"/>
    </xf>
    <xf numFmtId="0" fontId="17" fillId="0" borderId="22" xfId="4" applyFont="1" applyBorder="1" applyAlignment="1">
      <alignment horizontal="center" vertical="center" wrapText="1"/>
    </xf>
    <xf numFmtId="165" fontId="10" fillId="4" borderId="1" xfId="4" applyNumberFormat="1" applyFont="1" applyFill="1" applyBorder="1" applyAlignment="1">
      <alignment horizontal="center" vertical="center" shrinkToFit="1"/>
    </xf>
    <xf numFmtId="165" fontId="10" fillId="5" borderId="32" xfId="4" applyNumberFormat="1" applyFont="1" applyFill="1" applyBorder="1" applyAlignment="1">
      <alignment horizontal="center" vertical="center" shrinkToFit="1"/>
    </xf>
    <xf numFmtId="165" fontId="10" fillId="5" borderId="33" xfId="4" applyNumberFormat="1" applyFont="1" applyFill="1" applyBorder="1" applyAlignment="1">
      <alignment horizontal="center" vertical="center" shrinkToFit="1"/>
    </xf>
    <xf numFmtId="165" fontId="10" fillId="5" borderId="37" xfId="4" applyNumberFormat="1" applyFont="1" applyFill="1" applyBorder="1" applyAlignment="1">
      <alignment horizontal="center" vertical="center" shrinkToFit="1"/>
    </xf>
    <xf numFmtId="0" fontId="20" fillId="12" borderId="23" xfId="4" applyFont="1" applyFill="1" applyBorder="1" applyAlignment="1">
      <alignment horizontal="center" shrinkToFit="1"/>
    </xf>
    <xf numFmtId="0" fontId="20" fillId="12" borderId="1" xfId="4" applyFont="1" applyFill="1" applyBorder="1" applyAlignment="1">
      <alignment horizontal="center" shrinkToFit="1"/>
    </xf>
    <xf numFmtId="4" fontId="21" fillId="0" borderId="15" xfId="4" applyNumberFormat="1" applyFont="1" applyBorder="1" applyAlignment="1">
      <alignment horizontal="center" vertical="center" shrinkToFit="1"/>
    </xf>
    <xf numFmtId="4" fontId="21" fillId="0" borderId="13" xfId="4" applyNumberFormat="1" applyFont="1" applyBorder="1" applyAlignment="1">
      <alignment horizontal="center" vertical="center" shrinkToFit="1"/>
    </xf>
    <xf numFmtId="4" fontId="21" fillId="0" borderId="9" xfId="4" applyNumberFormat="1" applyFont="1" applyBorder="1" applyAlignment="1">
      <alignment horizontal="center" vertical="center" shrinkToFit="1"/>
    </xf>
    <xf numFmtId="4" fontId="21" fillId="0" borderId="14" xfId="4" applyNumberFormat="1" applyFont="1" applyBorder="1" applyAlignment="1">
      <alignment horizontal="center" vertical="center" shrinkToFit="1"/>
    </xf>
    <xf numFmtId="165" fontId="10" fillId="10" borderId="35" xfId="4" applyNumberFormat="1" applyFont="1" applyFill="1" applyBorder="1" applyAlignment="1">
      <alignment horizontal="center" vertical="center" textRotation="1" shrinkToFit="1"/>
    </xf>
    <xf numFmtId="3" fontId="13" fillId="6" borderId="7" xfId="4" applyNumberFormat="1" applyFont="1" applyFill="1" applyBorder="1" applyAlignment="1">
      <alignment horizontal="center" vertical="center"/>
    </xf>
    <xf numFmtId="3" fontId="13" fillId="6" borderId="6" xfId="4" applyNumberFormat="1" applyFont="1" applyFill="1" applyBorder="1" applyAlignment="1">
      <alignment horizontal="center" vertical="center"/>
    </xf>
    <xf numFmtId="3" fontId="13" fillId="6" borderId="8" xfId="4" applyNumberFormat="1" applyFont="1" applyFill="1" applyBorder="1" applyAlignment="1">
      <alignment horizontal="center" vertical="center"/>
    </xf>
    <xf numFmtId="165" fontId="10" fillId="10" borderId="40" xfId="4" applyNumberFormat="1" applyFont="1" applyFill="1" applyBorder="1" applyAlignment="1">
      <alignment horizontal="center" vertical="center" textRotation="1" shrinkToFit="1"/>
    </xf>
    <xf numFmtId="165" fontId="10" fillId="10" borderId="41" xfId="4" applyNumberFormat="1" applyFont="1" applyFill="1" applyBorder="1" applyAlignment="1">
      <alignment horizontal="center" vertical="center" textRotation="1" shrinkToFit="1"/>
    </xf>
    <xf numFmtId="165" fontId="10" fillId="10" borderId="39" xfId="4" applyNumberFormat="1" applyFont="1" applyFill="1" applyBorder="1" applyAlignment="1">
      <alignment horizontal="center" vertical="center" textRotation="1" shrinkToFit="1"/>
    </xf>
    <xf numFmtId="3" fontId="13" fillId="6" borderId="3" xfId="4" applyNumberFormat="1" applyFont="1" applyFill="1" applyBorder="1" applyAlignment="1">
      <alignment horizontal="center" vertical="center"/>
    </xf>
    <xf numFmtId="3" fontId="13" fillId="6" borderId="1" xfId="4" applyNumberFormat="1" applyFont="1" applyFill="1" applyBorder="1" applyAlignment="1">
      <alignment horizontal="center" vertical="center"/>
    </xf>
    <xf numFmtId="3" fontId="13" fillId="6" borderId="4" xfId="4" applyNumberFormat="1" applyFont="1" applyFill="1" applyBorder="1" applyAlignment="1">
      <alignment horizontal="center" vertical="center"/>
    </xf>
    <xf numFmtId="0" fontId="10" fillId="0" borderId="9" xfId="4" applyFont="1" applyBorder="1" applyAlignment="1">
      <alignment horizontal="left" vertical="center"/>
    </xf>
    <xf numFmtId="0" fontId="10" fillId="0" borderId="14" xfId="4" applyFont="1" applyBorder="1" applyAlignment="1">
      <alignment horizontal="left" vertical="center"/>
    </xf>
    <xf numFmtId="1" fontId="10" fillId="9" borderId="31" xfId="4" applyNumberFormat="1" applyFont="1" applyFill="1" applyBorder="1" applyAlignment="1">
      <alignment horizontal="center" vertical="center" textRotation="90" shrinkToFit="1"/>
    </xf>
    <xf numFmtId="1" fontId="10" fillId="9" borderId="5" xfId="4" applyNumberFormat="1" applyFont="1" applyFill="1" applyBorder="1" applyAlignment="1">
      <alignment horizontal="center" vertical="center" textRotation="90" shrinkToFit="1"/>
    </xf>
    <xf numFmtId="165" fontId="10" fillId="5" borderId="8" xfId="4" applyNumberFormat="1" applyFont="1" applyFill="1" applyBorder="1" applyAlignment="1">
      <alignment horizontal="center" vertical="center" textRotation="90" shrinkToFit="1"/>
    </xf>
    <xf numFmtId="165" fontId="10" fillId="5" borderId="4" xfId="4" applyNumberFormat="1" applyFont="1" applyFill="1" applyBorder="1" applyAlignment="1">
      <alignment horizontal="center" vertical="center" textRotation="90" shrinkToFit="1"/>
    </xf>
    <xf numFmtId="165" fontId="10" fillId="5" borderId="36" xfId="4" applyNumberFormat="1" applyFont="1" applyFill="1" applyBorder="1" applyAlignment="1">
      <alignment horizontal="center" vertical="center" textRotation="90" shrinkToFit="1"/>
    </xf>
    <xf numFmtId="165" fontId="10" fillId="9" borderId="29" xfId="4" applyNumberFormat="1" applyFont="1" applyFill="1" applyBorder="1" applyAlignment="1">
      <alignment horizontal="center" vertical="center" textRotation="90" wrapText="1" shrinkToFit="1"/>
    </xf>
    <xf numFmtId="165" fontId="10" fillId="9" borderId="30" xfId="4" applyNumberFormat="1" applyFont="1" applyFill="1" applyBorder="1" applyAlignment="1">
      <alignment horizontal="center" vertical="center" textRotation="90" wrapText="1" shrinkToFit="1"/>
    </xf>
    <xf numFmtId="165" fontId="10" fillId="5" borderId="11" xfId="4" applyNumberFormat="1" applyFont="1" applyFill="1" applyBorder="1" applyAlignment="1">
      <alignment horizontal="center" vertical="center" textRotation="90" shrinkToFit="1"/>
    </xf>
    <xf numFmtId="165" fontId="10" fillId="5" borderId="12" xfId="4" applyNumberFormat="1" applyFont="1" applyFill="1" applyBorder="1" applyAlignment="1">
      <alignment horizontal="center" vertical="center" textRotation="90" shrinkToFit="1"/>
    </xf>
    <xf numFmtId="165" fontId="10" fillId="5" borderId="38" xfId="4" applyNumberFormat="1" applyFont="1" applyFill="1" applyBorder="1" applyAlignment="1">
      <alignment horizontal="center" vertical="center" textRotation="90" shrinkToFit="1"/>
    </xf>
    <xf numFmtId="1" fontId="10" fillId="9" borderId="26" xfId="4" applyNumberFormat="1" applyFont="1" applyFill="1" applyBorder="1" applyAlignment="1">
      <alignment horizontal="center" vertical="center" textRotation="90" wrapText="1" shrinkToFit="1"/>
    </xf>
    <xf numFmtId="1" fontId="10" fillId="9" borderId="27" xfId="4" applyNumberFormat="1" applyFont="1" applyFill="1" applyBorder="1" applyAlignment="1">
      <alignment horizontal="center" vertical="center" textRotation="90" wrapText="1" shrinkToFit="1"/>
    </xf>
    <xf numFmtId="165" fontId="10" fillId="9" borderId="24" xfId="4" applyNumberFormat="1" applyFont="1" applyFill="1" applyBorder="1" applyAlignment="1">
      <alignment horizontal="center" vertical="center" textRotation="90" wrapText="1" shrinkToFit="1"/>
    </xf>
    <xf numFmtId="165" fontId="10" fillId="9" borderId="25" xfId="4" applyNumberFormat="1" applyFont="1" applyFill="1" applyBorder="1" applyAlignment="1">
      <alignment horizontal="center" vertical="center" textRotation="90" wrapText="1" shrinkToFit="1"/>
    </xf>
    <xf numFmtId="165" fontId="10" fillId="5" borderId="6" xfId="4" applyNumberFormat="1" applyFont="1" applyFill="1" applyBorder="1" applyAlignment="1">
      <alignment horizontal="center" vertical="center" textRotation="90" shrinkToFit="1"/>
    </xf>
    <xf numFmtId="165" fontId="10" fillId="5" borderId="1" xfId="4" applyNumberFormat="1" applyFont="1" applyFill="1" applyBorder="1" applyAlignment="1">
      <alignment horizontal="center" vertical="center" textRotation="90" shrinkToFit="1"/>
    </xf>
    <xf numFmtId="165" fontId="10" fillId="5" borderId="35" xfId="4" applyNumberFormat="1" applyFont="1" applyFill="1" applyBorder="1" applyAlignment="1">
      <alignment horizontal="center" vertical="center" textRotation="90" shrinkToFit="1"/>
    </xf>
    <xf numFmtId="3" fontId="13" fillId="6" borderId="7" xfId="4" applyNumberFormat="1" applyFont="1" applyFill="1" applyBorder="1" applyAlignment="1">
      <alignment horizontal="center" vertical="center" wrapText="1"/>
    </xf>
    <xf numFmtId="3" fontId="13" fillId="6" borderId="6" xfId="4" applyNumberFormat="1" applyFont="1" applyFill="1" applyBorder="1" applyAlignment="1">
      <alignment horizontal="center" vertical="center" wrapText="1"/>
    </xf>
    <xf numFmtId="3" fontId="13" fillId="6" borderId="8" xfId="4" applyNumberFormat="1" applyFont="1" applyFill="1" applyBorder="1" applyAlignment="1">
      <alignment horizontal="center" vertical="center" wrapText="1"/>
    </xf>
    <xf numFmtId="3" fontId="13" fillId="6" borderId="3" xfId="4" applyNumberFormat="1" applyFont="1" applyFill="1" applyBorder="1" applyAlignment="1">
      <alignment horizontal="center" vertical="center" wrapText="1"/>
    </xf>
    <xf numFmtId="3" fontId="13" fillId="6" borderId="1" xfId="4" applyNumberFormat="1" applyFont="1" applyFill="1" applyBorder="1" applyAlignment="1">
      <alignment horizontal="center" vertical="center" wrapText="1"/>
    </xf>
    <xf numFmtId="3" fontId="13" fillId="6" borderId="4" xfId="4" applyNumberFormat="1" applyFont="1" applyFill="1" applyBorder="1" applyAlignment="1">
      <alignment horizontal="center" vertical="center" wrapText="1"/>
    </xf>
    <xf numFmtId="165" fontId="9" fillId="5" borderId="7" xfId="4" applyNumberFormat="1" applyFont="1" applyFill="1" applyBorder="1" applyAlignment="1">
      <alignment horizontal="center" wrapText="1" shrinkToFit="1"/>
    </xf>
    <xf numFmtId="165" fontId="9" fillId="5" borderId="8" xfId="4" applyNumberFormat="1" applyFont="1" applyFill="1" applyBorder="1" applyAlignment="1">
      <alignment horizontal="center" wrapText="1" shrinkToFit="1"/>
    </xf>
    <xf numFmtId="165" fontId="9" fillId="5" borderId="3" xfId="4" applyNumberFormat="1" applyFont="1" applyFill="1" applyBorder="1" applyAlignment="1">
      <alignment horizontal="center" wrapText="1" shrinkToFit="1"/>
    </xf>
    <xf numFmtId="165" fontId="9" fillId="5" borderId="4" xfId="4" applyNumberFormat="1" applyFont="1" applyFill="1" applyBorder="1" applyAlignment="1">
      <alignment horizontal="center" wrapText="1" shrinkToFit="1"/>
    </xf>
    <xf numFmtId="3" fontId="13" fillId="0" borderId="29" xfId="22" applyNumberFormat="1" applyFont="1" applyBorder="1" applyAlignment="1">
      <alignment horizontal="center" vertical="center" wrapText="1"/>
    </xf>
    <xf numFmtId="3" fontId="13" fillId="0" borderId="30" xfId="22" applyNumberFormat="1" applyFont="1" applyBorder="1" applyAlignment="1">
      <alignment horizontal="center" vertical="center" wrapText="1"/>
    </xf>
    <xf numFmtId="165" fontId="10" fillId="0" borderId="29" xfId="22" applyNumberFormat="1" applyFont="1" applyBorder="1" applyAlignment="1">
      <alignment horizontal="center" vertical="center" shrinkToFit="1"/>
    </xf>
    <xf numFmtId="165" fontId="10" fillId="0" borderId="30" xfId="22" applyNumberFormat="1" applyFont="1" applyBorder="1" applyAlignment="1">
      <alignment horizontal="center" vertical="center" shrinkToFit="1"/>
    </xf>
    <xf numFmtId="0" fontId="28" fillId="0" borderId="0" xfId="0" applyFont="1" applyAlignment="1">
      <alignment horizontal="center" vertical="center"/>
    </xf>
    <xf numFmtId="165" fontId="10" fillId="0" borderId="29" xfId="22" applyNumberFormat="1" applyFont="1" applyBorder="1" applyAlignment="1">
      <alignment horizontal="center" vertical="center" textRotation="90" shrinkToFit="1"/>
    </xf>
    <xf numFmtId="165" fontId="10" fillId="0" borderId="30" xfId="22" applyNumberFormat="1" applyFont="1" applyBorder="1" applyAlignment="1">
      <alignment horizontal="center" vertical="center" textRotation="90" shrinkToFit="1"/>
    </xf>
    <xf numFmtId="165" fontId="10" fillId="0" borderId="24" xfId="22" applyNumberFormat="1" applyFont="1" applyBorder="1" applyAlignment="1">
      <alignment horizontal="center" vertical="center" textRotation="90" wrapText="1" shrinkToFit="1"/>
    </xf>
    <xf numFmtId="165" fontId="10" fillId="0" borderId="25" xfId="22" applyNumberFormat="1" applyFont="1" applyBorder="1" applyAlignment="1">
      <alignment horizontal="center" vertical="center" textRotation="90" wrapText="1" shrinkToFit="1"/>
    </xf>
    <xf numFmtId="165" fontId="10" fillId="0" borderId="26" xfId="22" applyNumberFormat="1" applyFont="1" applyBorder="1" applyAlignment="1">
      <alignment horizontal="center" vertical="center" textRotation="90" shrinkToFit="1"/>
    </xf>
    <xf numFmtId="165" fontId="10" fillId="0" borderId="27" xfId="22" applyNumberFormat="1" applyFont="1" applyBorder="1" applyAlignment="1">
      <alignment horizontal="center" vertical="center" textRotation="90" shrinkToFit="1"/>
    </xf>
    <xf numFmtId="3" fontId="10" fillId="0" borderId="29" xfId="22" applyNumberFormat="1" applyFont="1" applyBorder="1" applyAlignment="1">
      <alignment horizontal="center" vertical="center" wrapText="1"/>
    </xf>
    <xf numFmtId="3" fontId="10" fillId="0" borderId="30" xfId="22" applyNumberFormat="1" applyFont="1" applyBorder="1" applyAlignment="1">
      <alignment horizontal="center" vertical="center"/>
    </xf>
    <xf numFmtId="170" fontId="9" fillId="11" borderId="5" xfId="2" applyNumberFormat="1" applyFont="1" applyFill="1" applyBorder="1" applyAlignment="1">
      <alignment horizontal="center" shrinkToFit="1"/>
    </xf>
    <xf numFmtId="1" fontId="9" fillId="11" borderId="5" xfId="4" applyNumberFormat="1" applyFont="1" applyFill="1" applyBorder="1" applyAlignment="1">
      <alignment horizontal="center" vertical="center" shrinkToFit="1"/>
    </xf>
    <xf numFmtId="1" fontId="9" fillId="3" borderId="5" xfId="2" applyNumberFormat="1" applyFont="1" applyFill="1" applyBorder="1" applyAlignment="1">
      <alignment horizontal="center" shrinkToFit="1"/>
    </xf>
    <xf numFmtId="167" fontId="22" fillId="3" borderId="48" xfId="2" applyNumberFormat="1" applyFont="1" applyFill="1" applyBorder="1" applyAlignment="1">
      <alignment horizontal="center" shrinkToFit="1"/>
    </xf>
    <xf numFmtId="1" fontId="22" fillId="3" borderId="23" xfId="2" applyNumberFormat="1" applyFont="1" applyFill="1" applyBorder="1" applyAlignment="1">
      <alignment horizontal="center" shrinkToFit="1"/>
    </xf>
    <xf numFmtId="168" fontId="22" fillId="14" borderId="23" xfId="2" applyNumberFormat="1" applyFont="1" applyFill="1" applyBorder="1" applyAlignment="1">
      <alignment horizontal="center" shrinkToFit="1"/>
    </xf>
    <xf numFmtId="169" fontId="22" fillId="14" borderId="23" xfId="2" applyNumberFormat="1" applyFont="1" applyFill="1" applyBorder="1" applyAlignment="1">
      <alignment horizontal="center" shrinkToFit="1"/>
    </xf>
    <xf numFmtId="4" fontId="9" fillId="14" borderId="23" xfId="2" applyNumberFormat="1" applyFont="1" applyFill="1" applyBorder="1" applyAlignment="1">
      <alignment horizontal="center" shrinkToFit="1"/>
    </xf>
    <xf numFmtId="166" fontId="9" fillId="14" borderId="23" xfId="2" applyNumberFormat="1" applyFont="1" applyFill="1" applyBorder="1" applyAlignment="1">
      <alignment horizontal="center" shrinkToFit="1"/>
    </xf>
    <xf numFmtId="168" fontId="15" fillId="14" borderId="23" xfId="2" applyNumberFormat="1" applyFont="1" applyFill="1" applyBorder="1" applyAlignment="1">
      <alignment horizontal="center" shrinkToFit="1"/>
    </xf>
    <xf numFmtId="169" fontId="15" fillId="0" borderId="23" xfId="2" applyNumberFormat="1" applyFont="1" applyBorder="1" applyAlignment="1">
      <alignment horizontal="center" shrinkToFit="1"/>
    </xf>
    <xf numFmtId="169" fontId="8" fillId="14" borderId="23" xfId="2" applyNumberFormat="1" applyFill="1" applyBorder="1" applyAlignment="1">
      <alignment horizontal="center" shrinkToFit="1"/>
    </xf>
    <xf numFmtId="169" fontId="9" fillId="14" borderId="23" xfId="2" applyNumberFormat="1" applyFont="1" applyFill="1" applyBorder="1" applyAlignment="1">
      <alignment horizontal="center" shrinkToFit="1"/>
    </xf>
  </cellXfs>
  <cellStyles count="40">
    <cellStyle name="Millares 2" xfId="11" xr:uid="{00000000-0005-0000-0000-000000000000}"/>
    <cellStyle name="Millares 3" xfId="14" xr:uid="{00000000-0005-0000-0000-000001000000}"/>
    <cellStyle name="Millares 4" xfId="8" xr:uid="{00000000-0005-0000-0000-000002000000}"/>
    <cellStyle name="Normal" xfId="0" builtinId="0"/>
    <cellStyle name="Normal 2" xfId="1" xr:uid="{00000000-0005-0000-0000-000004000000}"/>
    <cellStyle name="Normal 2 2" xfId="3" xr:uid="{00000000-0005-0000-0000-000005000000}"/>
    <cellStyle name="Normal 3" xfId="2" xr:uid="{00000000-0005-0000-0000-000006000000}"/>
    <cellStyle name="Normal 3 2" xfId="4" xr:uid="{00000000-0005-0000-0000-000007000000}"/>
    <cellStyle name="Normal 3 2 2" xfId="10" xr:uid="{00000000-0005-0000-0000-000008000000}"/>
    <cellStyle name="Normal 3 2 2 2" xfId="18" xr:uid="{9DC23B07-5F11-47B8-867F-C1A56C2C8EBA}"/>
    <cellStyle name="Normal 3 2 2 2 2" xfId="22" xr:uid="{E4F395FC-EFCE-4DF8-8DCD-E54033CC884B}"/>
    <cellStyle name="Normal 3 2 2 2 2 2" xfId="39" xr:uid="{F3079E7D-B85E-4B4B-A870-F481DB323B3D}"/>
    <cellStyle name="Normal 3 2 2 2 3" xfId="35" xr:uid="{48DE2F16-D9A3-448B-879E-2C5786294A47}"/>
    <cellStyle name="Normal 3 2 2 3" xfId="29" xr:uid="{CB2C2927-A778-419D-B071-B07880C8EAC7}"/>
    <cellStyle name="Normal 3 2 3" xfId="13" xr:uid="{00000000-0005-0000-0000-000009000000}"/>
    <cellStyle name="Normal 3 2 3 2" xfId="31" xr:uid="{9A843535-BD0E-43FD-B194-CCA6BC8A08CB}"/>
    <cellStyle name="Normal 3 2 4" xfId="17" xr:uid="{00000000-0005-0000-0000-00000A000000}"/>
    <cellStyle name="Normal 3 2 4 2" xfId="34" xr:uid="{C443CD8F-CD68-422D-B433-50D216C18E95}"/>
    <cellStyle name="Normal 3 2 5" xfId="7" xr:uid="{00000000-0005-0000-0000-00000B000000}"/>
    <cellStyle name="Normal 3 2 5 2" xfId="27" xr:uid="{5DA23E49-EB03-4271-8DE3-B2457EC00439}"/>
    <cellStyle name="Normal 3 2 6" xfId="21" xr:uid="{82B9D348-4C9C-4E26-9818-32EB4B4A1AC1}"/>
    <cellStyle name="Normal 3 2 6 2" xfId="38" xr:uid="{02F286D3-D07E-4D3C-B627-B40D7CB49AEB}"/>
    <cellStyle name="Normal 3 2 7" xfId="24" xr:uid="{A0B57C7C-B53B-4458-805A-A49E9B226EF4}"/>
    <cellStyle name="Normal 3 3" xfId="9" xr:uid="{00000000-0005-0000-0000-00000C000000}"/>
    <cellStyle name="Normal 3 3 2" xfId="28" xr:uid="{8EDFE362-51F8-4BB9-B1EE-F7D771A00066}"/>
    <cellStyle name="Normal 3 4" xfId="12" xr:uid="{00000000-0005-0000-0000-00000D000000}"/>
    <cellStyle name="Normal 3 4 2" xfId="30" xr:uid="{7BD35E94-5A37-435B-8706-976804630E69}"/>
    <cellStyle name="Normal 3 5" xfId="16" xr:uid="{00000000-0005-0000-0000-00000E000000}"/>
    <cellStyle name="Normal 3 5 2" xfId="33" xr:uid="{C8E40859-A77E-4234-AF72-8FC426DCC220}"/>
    <cellStyle name="Normal 3 6" xfId="5" xr:uid="{00000000-0005-0000-0000-00000F000000}"/>
    <cellStyle name="Normal 3 6 2" xfId="25" xr:uid="{86D80E82-5EBE-4242-BAE4-AB1B86D4F40D}"/>
    <cellStyle name="Normal 3 7" xfId="20" xr:uid="{1E5566C3-3DB2-45FF-A89E-322B5DE52177}"/>
    <cellStyle name="Normal 3 7 2" xfId="37" xr:uid="{7A5290CC-F53F-49EF-BFB4-DA510E895D4C}"/>
    <cellStyle name="Normal 3 8" xfId="23" xr:uid="{8DFFE9B9-5165-4EAD-9A28-3B933FCF7FDB}"/>
    <cellStyle name="Normal 4" xfId="6" xr:uid="{00000000-0005-0000-0000-000010000000}"/>
    <cellStyle name="Normal 4 2" xfId="26" xr:uid="{0459DC8D-9C14-4255-8735-6C1F3C5FE961}"/>
    <cellStyle name="Normal 5" xfId="15" xr:uid="{00000000-0005-0000-0000-000011000000}"/>
    <cellStyle name="Normal 5 2" xfId="32" xr:uid="{76114493-7882-42DC-8C6F-F558BE080CC0}"/>
    <cellStyle name="Porcentaje" xfId="19" builtinId="5"/>
    <cellStyle name="Porcentaje 2" xfId="36" xr:uid="{2737C812-5098-42BB-9B51-F65E820CC4F2}"/>
  </cellStyles>
  <dxfs count="27"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strike val="0"/>
        <color theme="1"/>
      </font>
      <fill>
        <patternFill>
          <bgColor rgb="FFFFFF0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strike val="0"/>
        <color theme="1"/>
      </font>
      <fill>
        <patternFill>
          <bgColor rgb="FFFFFF0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ndense val="0"/>
        <extend val="0"/>
        <color indexed="10"/>
      </font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strike val="0"/>
        <color theme="1"/>
      </font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FFFFCC"/>
      <color rgb="FFFFFFAF"/>
      <color rgb="FF99FFCC"/>
      <color rgb="FF66FF99"/>
      <color rgb="FF00FF00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64</xdr:col>
      <xdr:colOff>0</xdr:colOff>
      <xdr:row>3</xdr:row>
      <xdr:rowOff>0</xdr:rowOff>
    </xdr:from>
    <xdr:to>
      <xdr:col>64</xdr:col>
      <xdr:colOff>304800</xdr:colOff>
      <xdr:row>3</xdr:row>
      <xdr:rowOff>304800</xdr:rowOff>
    </xdr:to>
    <xdr:sp macro="" textlink="">
      <xdr:nvSpPr>
        <xdr:cNvPr id="1025" name="AutoShape 1" descr="Mostrando Sin título-3.jpg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>
          <a:spLocks noChangeAspect="1" noChangeArrowheads="1"/>
        </xdr:cNvSpPr>
      </xdr:nvSpPr>
      <xdr:spPr bwMode="auto">
        <a:xfrm>
          <a:off x="57519094" y="94059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178593</xdr:colOff>
      <xdr:row>0</xdr:row>
      <xdr:rowOff>47625</xdr:rowOff>
    </xdr:from>
    <xdr:to>
      <xdr:col>2</xdr:col>
      <xdr:colOff>254861</xdr:colOff>
      <xdr:row>2</xdr:row>
      <xdr:rowOff>256834</xdr:rowOff>
    </xdr:to>
    <xdr:pic>
      <xdr:nvPicPr>
        <xdr:cNvPr id="4" name="Imagen 3" descr="X:\CALIDAD\DOCUMENTOS INTERNOS\9. Logo empresa\LOGO 1200X1200PX.png">
          <a:extLst>
            <a:ext uri="{FF2B5EF4-FFF2-40B4-BE49-F238E27FC236}">
              <a16:creationId xmlns:a16="http://schemas.microsoft.com/office/drawing/2014/main" id="{9AE517AA-4911-4FC8-ABC0-09A08ED64B5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6718" y="47625"/>
          <a:ext cx="789214" cy="81642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64</xdr:col>
      <xdr:colOff>0</xdr:colOff>
      <xdr:row>3</xdr:row>
      <xdr:rowOff>0</xdr:rowOff>
    </xdr:from>
    <xdr:to>
      <xdr:col>64</xdr:col>
      <xdr:colOff>304800</xdr:colOff>
      <xdr:row>3</xdr:row>
      <xdr:rowOff>304800</xdr:rowOff>
    </xdr:to>
    <xdr:sp macro="" textlink="">
      <xdr:nvSpPr>
        <xdr:cNvPr id="2" name="AutoShape 1" descr="Mostrando Sin título-3.jpg">
          <a:extLst>
            <a:ext uri="{FF2B5EF4-FFF2-40B4-BE49-F238E27FC236}">
              <a16:creationId xmlns:a16="http://schemas.microsoft.com/office/drawing/2014/main" id="{820FB239-56D4-4CCF-8011-65D18E97C1FC}"/>
            </a:ext>
          </a:extLst>
        </xdr:cNvPr>
        <xdr:cNvSpPr>
          <a:spLocks noChangeAspect="1" noChangeArrowheads="1"/>
        </xdr:cNvSpPr>
      </xdr:nvSpPr>
      <xdr:spPr bwMode="auto">
        <a:xfrm>
          <a:off x="35223450" y="942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178593</xdr:colOff>
      <xdr:row>0</xdr:row>
      <xdr:rowOff>47625</xdr:rowOff>
    </xdr:from>
    <xdr:to>
      <xdr:col>2</xdr:col>
      <xdr:colOff>254861</xdr:colOff>
      <xdr:row>2</xdr:row>
      <xdr:rowOff>256834</xdr:rowOff>
    </xdr:to>
    <xdr:pic>
      <xdr:nvPicPr>
        <xdr:cNvPr id="3" name="Imagen 2" descr="X:\CALIDAD\DOCUMENTOS INTERNOS\9. Logo empresa\LOGO 1200X1200PX.png">
          <a:extLst>
            <a:ext uri="{FF2B5EF4-FFF2-40B4-BE49-F238E27FC236}">
              <a16:creationId xmlns:a16="http://schemas.microsoft.com/office/drawing/2014/main" id="{BD31FE88-9CFA-42BA-936C-05B3328E2CE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6718" y="47625"/>
          <a:ext cx="790643" cy="809284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BL731"/>
  <sheetViews>
    <sheetView tabSelected="1" zoomScale="65" zoomScaleNormal="65" workbookViewId="0">
      <selection activeCell="AK9" sqref="AK9"/>
    </sheetView>
  </sheetViews>
  <sheetFormatPr baseColWidth="10" defaultColWidth="7.140625" defaultRowHeight="12.75" x14ac:dyDescent="0.2"/>
  <cols>
    <col min="1" max="1" width="3.5703125" style="15" customWidth="1"/>
    <col min="2" max="2" width="10.85546875" style="3" customWidth="1"/>
    <col min="3" max="3" width="11" style="16" customWidth="1"/>
    <col min="4" max="4" width="4.28515625" style="17" customWidth="1"/>
    <col min="5" max="5" width="3.85546875" style="3" customWidth="1"/>
    <col min="6" max="6" width="12.7109375" style="18" customWidth="1"/>
    <col min="7" max="7" width="15.28515625" style="18" customWidth="1"/>
    <col min="8" max="8" width="4.5703125" style="18" customWidth="1"/>
    <col min="9" max="9" width="4.7109375" style="18" customWidth="1"/>
    <col min="10" max="10" width="4.5703125" style="30" customWidth="1"/>
    <col min="11" max="11" width="3.7109375" style="31" customWidth="1"/>
    <col min="12" max="12" width="3.28515625" style="31" customWidth="1"/>
    <col min="13" max="13" width="9.85546875" style="19" customWidth="1"/>
    <col min="14" max="14" width="9.5703125" style="19" customWidth="1"/>
    <col min="15" max="15" width="6.28515625" style="19" customWidth="1"/>
    <col min="16" max="16" width="8.28515625" style="19" customWidth="1"/>
    <col min="17" max="17" width="4" style="19" customWidth="1"/>
    <col min="18" max="18" width="5.7109375" style="19" customWidth="1"/>
    <col min="19" max="19" width="6.42578125" style="20" customWidth="1"/>
    <col min="20" max="20" width="8.85546875" style="20" customWidth="1"/>
    <col min="21" max="21" width="6.5703125" style="20" customWidth="1"/>
    <col min="22" max="22" width="5.42578125" style="19" customWidth="1"/>
    <col min="23" max="23" width="3.5703125" style="19" customWidth="1"/>
    <col min="24" max="24" width="4" style="19" customWidth="1"/>
    <col min="25" max="25" width="9.7109375" style="19" customWidth="1"/>
    <col min="26" max="26" width="9.42578125" style="19" customWidth="1"/>
    <col min="27" max="27" width="7.7109375" style="19" customWidth="1"/>
    <col min="28" max="28" width="9.42578125" style="19" customWidth="1"/>
    <col min="29" max="29" width="4.28515625" style="19" customWidth="1"/>
    <col min="30" max="30" width="7" style="19" customWidth="1"/>
    <col min="31" max="31" width="4.42578125" style="19" customWidth="1"/>
    <col min="32" max="32" width="6.140625" style="19" customWidth="1"/>
    <col min="33" max="33" width="6" style="19" customWidth="1"/>
    <col min="34" max="34" width="5.140625" style="19" customWidth="1"/>
    <col min="35" max="36" width="4.42578125" style="19" customWidth="1"/>
    <col min="37" max="37" width="9.85546875" style="19" customWidth="1"/>
    <col min="38" max="38" width="9.140625" style="19" customWidth="1"/>
    <col min="39" max="39" width="6.7109375" style="19" customWidth="1"/>
    <col min="40" max="40" width="8.42578125" style="19" customWidth="1"/>
    <col min="41" max="41" width="5.7109375" style="19" customWidth="1"/>
    <col min="42" max="42" width="8.85546875" style="21" customWidth="1"/>
    <col min="43" max="43" width="4.5703125" style="9" customWidth="1"/>
    <col min="44" max="44" width="6.140625" style="7" customWidth="1"/>
    <col min="45" max="45" width="6.7109375" style="3" customWidth="1"/>
    <col min="46" max="46" width="15.140625" style="3" customWidth="1"/>
    <col min="47" max="49" width="11.85546875" style="3" customWidth="1"/>
    <col min="50" max="50" width="15.42578125" style="3" customWidth="1"/>
    <col min="51" max="51" width="15" style="15" customWidth="1"/>
    <col min="52" max="53" width="16" style="15" customWidth="1"/>
    <col min="54" max="54" width="15" style="15" bestFit="1" customWidth="1"/>
    <col min="55" max="55" width="15.140625" style="15" customWidth="1"/>
    <col min="56" max="56" width="4.42578125" style="15" customWidth="1"/>
    <col min="57" max="57" width="5.5703125" style="15" customWidth="1"/>
    <col min="58" max="58" width="4.28515625" style="15" customWidth="1"/>
    <col min="59" max="59" width="18.28515625" style="15" customWidth="1"/>
    <col min="60" max="60" width="7.140625" style="15" customWidth="1"/>
    <col min="61" max="61" width="6.85546875" style="15" customWidth="1"/>
    <col min="62" max="62" width="9" style="15" customWidth="1"/>
    <col min="63" max="63" width="11" style="15" customWidth="1"/>
    <col min="64" max="64" width="13.140625" style="15" customWidth="1"/>
    <col min="65" max="16384" width="7.140625" style="3"/>
  </cols>
  <sheetData>
    <row r="1" spans="1:64" s="1" customFormat="1" ht="26.25" customHeight="1" thickBot="1" x14ac:dyDescent="0.3">
      <c r="A1" s="62"/>
      <c r="B1" s="63"/>
      <c r="C1" s="63"/>
      <c r="D1" s="64"/>
      <c r="E1" s="157" t="s">
        <v>13</v>
      </c>
      <c r="F1" s="158"/>
      <c r="G1" s="158"/>
      <c r="H1" s="158"/>
      <c r="I1" s="158"/>
      <c r="J1" s="158"/>
      <c r="K1" s="158"/>
      <c r="L1" s="158"/>
      <c r="M1" s="158"/>
      <c r="N1" s="158"/>
      <c r="O1" s="158"/>
      <c r="P1" s="158"/>
      <c r="Q1" s="158"/>
      <c r="R1" s="158"/>
      <c r="S1" s="158"/>
      <c r="T1" s="158"/>
      <c r="U1" s="158"/>
      <c r="V1" s="158"/>
      <c r="W1" s="158"/>
      <c r="X1" s="158"/>
      <c r="Y1" s="158"/>
      <c r="Z1" s="158"/>
      <c r="AA1" s="158"/>
      <c r="AB1" s="158"/>
      <c r="AC1" s="158"/>
      <c r="AD1" s="158"/>
      <c r="AE1" s="158"/>
      <c r="AF1" s="158"/>
      <c r="AG1" s="158"/>
      <c r="AH1" s="158"/>
      <c r="AI1" s="158"/>
      <c r="AJ1" s="158"/>
      <c r="AK1" s="158"/>
      <c r="AL1" s="158"/>
      <c r="AM1" s="158"/>
      <c r="AN1" s="158"/>
      <c r="AO1" s="159"/>
      <c r="AP1" s="154" t="s">
        <v>31</v>
      </c>
      <c r="AQ1" s="155"/>
      <c r="AR1" s="155"/>
      <c r="AS1" s="155"/>
      <c r="AT1" s="156"/>
      <c r="AU1" s="6"/>
      <c r="AV1" s="6"/>
      <c r="AW1" s="6"/>
      <c r="AX1" s="128" t="s">
        <v>32</v>
      </c>
      <c r="AY1" s="129">
        <v>100</v>
      </c>
      <c r="AZ1" s="129">
        <v>125</v>
      </c>
      <c r="BA1" s="129">
        <v>160</v>
      </c>
      <c r="BB1" s="129">
        <v>200</v>
      </c>
      <c r="BC1" s="129">
        <v>400</v>
      </c>
      <c r="BD1" s="129">
        <v>500</v>
      </c>
      <c r="BE1" s="23"/>
      <c r="BF1" s="23"/>
      <c r="BG1" s="23"/>
      <c r="BH1" s="23"/>
      <c r="BI1" s="23"/>
      <c r="BJ1" s="24"/>
      <c r="BK1" s="24"/>
      <c r="BL1" s="24"/>
    </row>
    <row r="2" spans="1:64" s="1" customFormat="1" ht="21.75" customHeight="1" thickBot="1" x14ac:dyDescent="0.3">
      <c r="A2" s="65"/>
      <c r="B2" s="66"/>
      <c r="C2" s="66"/>
      <c r="D2" s="67"/>
      <c r="E2" s="160" t="s">
        <v>27</v>
      </c>
      <c r="F2" s="161"/>
      <c r="G2" s="161"/>
      <c r="H2" s="161"/>
      <c r="I2" s="161"/>
      <c r="J2" s="161"/>
      <c r="K2" s="161"/>
      <c r="L2" s="161"/>
      <c r="M2" s="161"/>
      <c r="N2" s="161"/>
      <c r="O2" s="161"/>
      <c r="P2" s="161"/>
      <c r="Q2" s="161"/>
      <c r="R2" s="161"/>
      <c r="S2" s="161"/>
      <c r="T2" s="161"/>
      <c r="U2" s="161"/>
      <c r="V2" s="161"/>
      <c r="W2" s="161"/>
      <c r="X2" s="161"/>
      <c r="Y2" s="161"/>
      <c r="Z2" s="161"/>
      <c r="AA2" s="161"/>
      <c r="AB2" s="161"/>
      <c r="AC2" s="161"/>
      <c r="AD2" s="161"/>
      <c r="AE2" s="161"/>
      <c r="AF2" s="161"/>
      <c r="AG2" s="161"/>
      <c r="AH2" s="161"/>
      <c r="AI2" s="161"/>
      <c r="AJ2" s="161"/>
      <c r="AK2" s="161"/>
      <c r="AL2" s="161"/>
      <c r="AM2" s="161"/>
      <c r="AN2" s="161"/>
      <c r="AO2" s="162"/>
      <c r="AP2" s="144" t="s">
        <v>48</v>
      </c>
      <c r="AQ2" s="145"/>
      <c r="AR2" s="145"/>
      <c r="AS2" s="145"/>
      <c r="AT2" s="146"/>
      <c r="AU2" s="6"/>
      <c r="AV2" s="6"/>
      <c r="AW2" s="6"/>
      <c r="AX2" s="128" t="s">
        <v>33</v>
      </c>
      <c r="AY2" s="129">
        <v>1.6</v>
      </c>
      <c r="AZ2" s="129">
        <v>2.5</v>
      </c>
      <c r="BA2" s="130">
        <v>4</v>
      </c>
      <c r="BB2" s="129">
        <v>6.3</v>
      </c>
      <c r="BC2" s="129"/>
      <c r="BD2" s="129"/>
      <c r="BE2" s="23"/>
      <c r="BF2" s="81"/>
      <c r="BG2" s="23"/>
      <c r="BH2" s="23"/>
      <c r="BI2" s="23"/>
      <c r="BJ2" s="24"/>
      <c r="BK2" s="24"/>
      <c r="BL2" s="24"/>
    </row>
    <row r="3" spans="1:64" s="1" customFormat="1" ht="26.25" customHeight="1" thickBot="1" x14ac:dyDescent="0.3">
      <c r="A3" s="68"/>
      <c r="B3" s="69"/>
      <c r="C3" s="69"/>
      <c r="D3" s="70"/>
      <c r="E3" s="163"/>
      <c r="F3" s="164"/>
      <c r="G3" s="164"/>
      <c r="H3" s="164"/>
      <c r="I3" s="164"/>
      <c r="J3" s="164"/>
      <c r="K3" s="164"/>
      <c r="L3" s="164"/>
      <c r="M3" s="164"/>
      <c r="N3" s="164"/>
      <c r="O3" s="164"/>
      <c r="P3" s="164"/>
      <c r="Q3" s="164"/>
      <c r="R3" s="164"/>
      <c r="S3" s="164"/>
      <c r="T3" s="164"/>
      <c r="U3" s="164"/>
      <c r="V3" s="164"/>
      <c r="W3" s="164"/>
      <c r="X3" s="164"/>
      <c r="Y3" s="164"/>
      <c r="Z3" s="164"/>
      <c r="AA3" s="164"/>
      <c r="AB3" s="164"/>
      <c r="AC3" s="164"/>
      <c r="AD3" s="164"/>
      <c r="AE3" s="164"/>
      <c r="AF3" s="164"/>
      <c r="AG3" s="164"/>
      <c r="AH3" s="164"/>
      <c r="AI3" s="164"/>
      <c r="AJ3" s="164"/>
      <c r="AK3" s="164"/>
      <c r="AL3" s="164"/>
      <c r="AM3" s="164"/>
      <c r="AN3" s="164"/>
      <c r="AO3" s="165"/>
      <c r="AP3" s="144" t="s">
        <v>49</v>
      </c>
      <c r="AQ3" s="145"/>
      <c r="AR3" s="145"/>
      <c r="AS3" s="145"/>
      <c r="AT3" s="146"/>
      <c r="AU3" s="6"/>
      <c r="AV3" s="6"/>
      <c r="AW3" s="6"/>
      <c r="AY3" s="23"/>
      <c r="AZ3" s="23"/>
      <c r="BA3" s="23"/>
      <c r="BB3" s="23"/>
      <c r="BC3" s="23"/>
      <c r="BD3" s="23"/>
      <c r="BE3" s="23"/>
      <c r="BF3" s="81"/>
      <c r="BG3" s="23"/>
      <c r="BH3" s="23"/>
      <c r="BI3" s="23"/>
      <c r="BJ3" s="24"/>
      <c r="BK3" s="24"/>
      <c r="BL3" s="24"/>
    </row>
    <row r="4" spans="1:64" s="1" customFormat="1" ht="24.75" customHeight="1" thickBot="1" x14ac:dyDescent="0.3">
      <c r="A4" s="138" t="s">
        <v>15</v>
      </c>
      <c r="B4" s="138"/>
      <c r="C4" s="138"/>
      <c r="D4" s="138"/>
      <c r="E4" s="139">
        <v>2.5</v>
      </c>
      <c r="F4" s="139"/>
      <c r="G4" s="139"/>
      <c r="H4" s="139"/>
      <c r="I4" s="139"/>
      <c r="J4" s="140" t="s">
        <v>14</v>
      </c>
      <c r="K4" s="141"/>
      <c r="L4" s="141"/>
      <c r="M4" s="141"/>
      <c r="N4" s="142"/>
      <c r="O4" s="143">
        <v>160</v>
      </c>
      <c r="P4" s="143"/>
      <c r="Q4" s="143"/>
      <c r="R4" s="143"/>
      <c r="S4" s="148" t="s">
        <v>35</v>
      </c>
      <c r="T4" s="149"/>
      <c r="U4" s="149"/>
      <c r="V4" s="149"/>
      <c r="W4" s="149"/>
      <c r="X4" s="149"/>
      <c r="Y4" s="149"/>
      <c r="Z4" s="150"/>
      <c r="AA4" s="147" t="s">
        <v>6</v>
      </c>
      <c r="AB4" s="147"/>
      <c r="AC4" s="151" t="s">
        <v>7</v>
      </c>
      <c r="AD4" s="152"/>
      <c r="AE4" s="153"/>
      <c r="AF4" s="151" t="s">
        <v>5</v>
      </c>
      <c r="AG4" s="152"/>
      <c r="AH4" s="153"/>
      <c r="AI4" s="2"/>
      <c r="AJ4" s="44"/>
      <c r="AK4" s="2"/>
      <c r="AL4" s="2"/>
      <c r="AM4" s="2"/>
      <c r="AN4" s="132" t="s">
        <v>43</v>
      </c>
      <c r="AO4" s="133"/>
      <c r="AP4" s="134" t="s">
        <v>44</v>
      </c>
      <c r="AQ4" s="135"/>
      <c r="AR4" s="132" t="s">
        <v>45</v>
      </c>
      <c r="AS4" s="133"/>
      <c r="AT4" s="124"/>
      <c r="AU4" s="6"/>
      <c r="AV4" s="6"/>
      <c r="AW4" s="6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4"/>
      <c r="BK4" s="24"/>
      <c r="BL4" s="24"/>
    </row>
    <row r="5" spans="1:64" s="2" customFormat="1" ht="27" customHeight="1" thickBot="1" x14ac:dyDescent="0.3">
      <c r="A5" s="186" t="s">
        <v>34</v>
      </c>
      <c r="B5" s="186"/>
      <c r="C5" s="186"/>
      <c r="D5" s="186"/>
      <c r="E5" s="186"/>
      <c r="F5" s="186"/>
      <c r="G5" s="186"/>
      <c r="H5" s="186"/>
      <c r="I5" s="186"/>
      <c r="J5" s="186"/>
      <c r="K5" s="186"/>
      <c r="L5" s="186"/>
      <c r="M5" s="186"/>
      <c r="N5" s="186"/>
      <c r="O5" s="186"/>
      <c r="P5" s="186"/>
      <c r="Q5" s="186"/>
      <c r="R5" s="186"/>
      <c r="S5" s="186"/>
      <c r="T5" s="186"/>
      <c r="U5" s="186"/>
      <c r="V5" s="186"/>
      <c r="W5" s="186"/>
      <c r="X5" s="186"/>
      <c r="Y5" s="186"/>
      <c r="Z5" s="187"/>
      <c r="AA5" s="172" t="s">
        <v>12</v>
      </c>
      <c r="AB5" s="172"/>
      <c r="AC5" s="173" t="s">
        <v>11</v>
      </c>
      <c r="AD5" s="174"/>
      <c r="AE5" s="175"/>
      <c r="AF5" s="173" t="s">
        <v>20</v>
      </c>
      <c r="AG5" s="174"/>
      <c r="AH5" s="175"/>
      <c r="AN5" s="132" t="s">
        <v>46</v>
      </c>
      <c r="AO5" s="133"/>
      <c r="AP5" s="136" t="s">
        <v>47</v>
      </c>
      <c r="AQ5" s="137"/>
      <c r="AR5" s="132" t="s">
        <v>45</v>
      </c>
      <c r="AS5" s="133"/>
      <c r="AT5" s="124"/>
      <c r="AU5" s="6"/>
      <c r="AV5" s="6"/>
      <c r="AW5" s="6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4"/>
      <c r="BK5" s="24"/>
      <c r="BL5" s="24"/>
    </row>
    <row r="6" spans="1:64" ht="18.75" customHeight="1" x14ac:dyDescent="0.25">
      <c r="A6" s="195" t="s">
        <v>21</v>
      </c>
      <c r="B6" s="198" t="s">
        <v>23</v>
      </c>
      <c r="C6" s="193" t="s">
        <v>22</v>
      </c>
      <c r="D6" s="200" t="s">
        <v>26</v>
      </c>
      <c r="E6" s="188" t="s">
        <v>30</v>
      </c>
      <c r="F6" s="202" t="s">
        <v>18</v>
      </c>
      <c r="G6" s="190" t="s">
        <v>10</v>
      </c>
      <c r="H6" s="211" t="s">
        <v>17</v>
      </c>
      <c r="I6" s="212"/>
      <c r="J6" s="205">
        <f>+E4*1000</f>
        <v>2500</v>
      </c>
      <c r="K6" s="206"/>
      <c r="L6" s="206"/>
      <c r="M6" s="206"/>
      <c r="N6" s="206"/>
      <c r="O6" s="206"/>
      <c r="P6" s="206"/>
      <c r="Q6" s="206"/>
      <c r="R6" s="206"/>
      <c r="S6" s="206"/>
      <c r="T6" s="206"/>
      <c r="U6" s="207"/>
      <c r="V6" s="177">
        <f>AH6*1.6</f>
        <v>25</v>
      </c>
      <c r="W6" s="178"/>
      <c r="X6" s="178"/>
      <c r="Y6" s="178"/>
      <c r="Z6" s="178"/>
      <c r="AA6" s="178"/>
      <c r="AB6" s="178"/>
      <c r="AC6" s="178"/>
      <c r="AD6" s="178"/>
      <c r="AE6" s="178"/>
      <c r="AF6" s="178"/>
      <c r="AG6" s="179"/>
      <c r="AH6" s="177">
        <f>J6/O4</f>
        <v>15.625</v>
      </c>
      <c r="AI6" s="178"/>
      <c r="AJ6" s="178"/>
      <c r="AK6" s="178"/>
      <c r="AL6" s="178"/>
      <c r="AM6" s="178"/>
      <c r="AN6" s="178"/>
      <c r="AO6" s="178"/>
      <c r="AP6" s="178"/>
      <c r="AQ6" s="178"/>
      <c r="AR6" s="178"/>
      <c r="AS6" s="179"/>
      <c r="AT6" s="167" t="s">
        <v>4</v>
      </c>
      <c r="AU6" s="7"/>
      <c r="AV6" s="7"/>
      <c r="AW6" s="7"/>
      <c r="AY6" s="23"/>
      <c r="AZ6" s="23"/>
      <c r="BA6" s="23"/>
      <c r="BB6" s="8"/>
      <c r="BC6" s="8"/>
      <c r="BD6" s="8"/>
      <c r="BE6" s="8"/>
      <c r="BF6" s="8"/>
      <c r="BG6" s="8"/>
      <c r="BH6" s="8"/>
      <c r="BI6" s="8"/>
      <c r="BJ6" s="8"/>
    </row>
    <row r="7" spans="1:64" ht="25.5" customHeight="1" x14ac:dyDescent="0.2">
      <c r="A7" s="196"/>
      <c r="B7" s="199"/>
      <c r="C7" s="194"/>
      <c r="D7" s="201"/>
      <c r="E7" s="189"/>
      <c r="F7" s="203"/>
      <c r="G7" s="191"/>
      <c r="H7" s="213"/>
      <c r="I7" s="214"/>
      <c r="J7" s="208" t="s">
        <v>6</v>
      </c>
      <c r="K7" s="209"/>
      <c r="L7" s="209"/>
      <c r="M7" s="209"/>
      <c r="N7" s="209"/>
      <c r="O7" s="209"/>
      <c r="P7" s="209"/>
      <c r="Q7" s="209"/>
      <c r="R7" s="209"/>
      <c r="S7" s="209"/>
      <c r="T7" s="209"/>
      <c r="U7" s="210"/>
      <c r="V7" s="183" t="s">
        <v>7</v>
      </c>
      <c r="W7" s="184"/>
      <c r="X7" s="184"/>
      <c r="Y7" s="184"/>
      <c r="Z7" s="184"/>
      <c r="AA7" s="184"/>
      <c r="AB7" s="184"/>
      <c r="AC7" s="184"/>
      <c r="AD7" s="184"/>
      <c r="AE7" s="184"/>
      <c r="AF7" s="184"/>
      <c r="AG7" s="185"/>
      <c r="AH7" s="183" t="s">
        <v>5</v>
      </c>
      <c r="AI7" s="184"/>
      <c r="AJ7" s="184"/>
      <c r="AK7" s="184"/>
      <c r="AL7" s="184"/>
      <c r="AM7" s="184"/>
      <c r="AN7" s="184"/>
      <c r="AO7" s="184"/>
      <c r="AP7" s="184"/>
      <c r="AQ7" s="184"/>
      <c r="AR7" s="184"/>
      <c r="AS7" s="185"/>
      <c r="AT7" s="168"/>
      <c r="AU7" s="7"/>
      <c r="AV7" s="7"/>
      <c r="AW7" s="7"/>
      <c r="AX7" s="7"/>
      <c r="AY7" s="170" t="s">
        <v>19</v>
      </c>
      <c r="AZ7" s="171"/>
      <c r="BA7" s="171"/>
      <c r="BB7" s="8"/>
      <c r="BC7" s="8"/>
      <c r="BD7" s="8"/>
      <c r="BE7" s="8"/>
      <c r="BF7" s="8"/>
      <c r="BG7" s="8"/>
      <c r="BH7" s="8"/>
      <c r="BI7" s="8"/>
      <c r="BJ7" s="8"/>
    </row>
    <row r="8" spans="1:64" s="4" customFormat="1" ht="83.25" customHeight="1" thickBot="1" x14ac:dyDescent="0.25">
      <c r="A8" s="197"/>
      <c r="B8" s="199"/>
      <c r="C8" s="194"/>
      <c r="D8" s="201"/>
      <c r="E8" s="189"/>
      <c r="F8" s="204"/>
      <c r="G8" s="192"/>
      <c r="H8" s="72" t="s">
        <v>16</v>
      </c>
      <c r="I8" s="73" t="s">
        <v>4</v>
      </c>
      <c r="J8" s="74" t="s">
        <v>8</v>
      </c>
      <c r="K8" s="75" t="s">
        <v>24</v>
      </c>
      <c r="L8" s="75" t="s">
        <v>25</v>
      </c>
      <c r="M8" s="76" t="s">
        <v>0</v>
      </c>
      <c r="N8" s="76" t="s">
        <v>1</v>
      </c>
      <c r="O8" s="71" t="s">
        <v>2</v>
      </c>
      <c r="P8" s="180" t="s">
        <v>9</v>
      </c>
      <c r="Q8" s="181"/>
      <c r="R8" s="181"/>
      <c r="S8" s="182"/>
      <c r="T8" s="77" t="s">
        <v>6</v>
      </c>
      <c r="U8" s="78" t="s">
        <v>3</v>
      </c>
      <c r="V8" s="74" t="s">
        <v>8</v>
      </c>
      <c r="W8" s="75" t="s">
        <v>24</v>
      </c>
      <c r="X8" s="75" t="s">
        <v>25</v>
      </c>
      <c r="Y8" s="76" t="s">
        <v>0</v>
      </c>
      <c r="Z8" s="76" t="s">
        <v>1</v>
      </c>
      <c r="AA8" s="71" t="s">
        <v>2</v>
      </c>
      <c r="AB8" s="176" t="s">
        <v>9</v>
      </c>
      <c r="AC8" s="176"/>
      <c r="AD8" s="176"/>
      <c r="AE8" s="176"/>
      <c r="AF8" s="77" t="s">
        <v>7</v>
      </c>
      <c r="AG8" s="78" t="s">
        <v>3</v>
      </c>
      <c r="AH8" s="74" t="s">
        <v>8</v>
      </c>
      <c r="AI8" s="75" t="s">
        <v>24</v>
      </c>
      <c r="AJ8" s="75" t="s">
        <v>25</v>
      </c>
      <c r="AK8" s="76" t="s">
        <v>0</v>
      </c>
      <c r="AL8" s="76" t="s">
        <v>1</v>
      </c>
      <c r="AM8" s="71" t="s">
        <v>2</v>
      </c>
      <c r="AN8" s="176" t="s">
        <v>9</v>
      </c>
      <c r="AO8" s="176"/>
      <c r="AP8" s="176"/>
      <c r="AQ8" s="176"/>
      <c r="AR8" s="77" t="s">
        <v>5</v>
      </c>
      <c r="AS8" s="78" t="s">
        <v>3</v>
      </c>
      <c r="AT8" s="169"/>
      <c r="AU8" s="8"/>
      <c r="AV8" s="8"/>
      <c r="AW8" s="8"/>
      <c r="AX8" s="27" t="s">
        <v>28</v>
      </c>
      <c r="AY8" s="29" t="s">
        <v>5</v>
      </c>
      <c r="AZ8" s="29" t="s">
        <v>7</v>
      </c>
      <c r="BA8" s="29" t="s">
        <v>6</v>
      </c>
      <c r="BB8" s="166" t="s">
        <v>29</v>
      </c>
      <c r="BC8" s="166"/>
      <c r="BD8" s="166"/>
      <c r="BE8" s="166"/>
      <c r="BF8" s="166"/>
      <c r="BG8" s="166"/>
      <c r="BH8" s="166"/>
      <c r="BI8" s="166"/>
      <c r="BJ8" s="166"/>
      <c r="BK8" s="166"/>
      <c r="BL8" s="166"/>
    </row>
    <row r="9" spans="1:64" ht="15" customHeight="1" x14ac:dyDescent="0.25">
      <c r="A9" s="36">
        <v>1</v>
      </c>
      <c r="B9" s="228">
        <v>45919</v>
      </c>
      <c r="C9" s="228">
        <f>B9</f>
        <v>45919</v>
      </c>
      <c r="D9" s="229">
        <v>6</v>
      </c>
      <c r="E9" s="230">
        <v>15</v>
      </c>
      <c r="F9" s="58"/>
      <c r="G9" s="111" t="s">
        <v>55</v>
      </c>
      <c r="H9" s="231">
        <v>25.6</v>
      </c>
      <c r="I9" s="232">
        <v>0</v>
      </c>
      <c r="J9" s="233">
        <v>20.9</v>
      </c>
      <c r="K9" s="234">
        <v>7.883</v>
      </c>
      <c r="L9" s="234">
        <v>0.55400000000000005</v>
      </c>
      <c r="M9" s="59">
        <v>113.47</v>
      </c>
      <c r="N9" s="59">
        <v>213.25</v>
      </c>
      <c r="O9" s="235">
        <v>100.62</v>
      </c>
      <c r="P9" s="236" t="s">
        <v>56</v>
      </c>
      <c r="Q9" s="48" t="str">
        <f>LEFT(P9,1)</f>
        <v>2</v>
      </c>
      <c r="R9" s="48" t="str">
        <f>RIGHT(P9,6)</f>
        <v>29,560</v>
      </c>
      <c r="S9" s="48">
        <f>+(Q9*60+R9)/(60*60)</f>
        <v>4.1544444444444446E-2</v>
      </c>
      <c r="T9" s="49">
        <f>+O9/S9</f>
        <v>2421.9844878309709</v>
      </c>
      <c r="U9" s="50">
        <f t="shared" ref="U9:U18" si="0">+(((N9-M9-O9)/O9)*100)</f>
        <v>-0.83482409063804741</v>
      </c>
      <c r="V9" s="237">
        <v>20.399999999999999</v>
      </c>
      <c r="W9" s="238">
        <v>1.5069999999999999</v>
      </c>
      <c r="X9" s="238">
        <v>1.504</v>
      </c>
      <c r="Y9" s="59">
        <v>224.8</v>
      </c>
      <c r="Z9" s="59">
        <v>234.72</v>
      </c>
      <c r="AA9" s="239">
        <v>10.015000000000001</v>
      </c>
      <c r="AB9" s="236" t="s">
        <v>57</v>
      </c>
      <c r="AC9" s="48" t="str">
        <f>LEFT(AB9,2)</f>
        <v>22</v>
      </c>
      <c r="AD9" s="48" t="str">
        <f>RIGHT(AB9,6)</f>
        <v>10,090</v>
      </c>
      <c r="AE9" s="48">
        <f>+(AC9*60+AD9)/(60*60)</f>
        <v>0.36946944444444441</v>
      </c>
      <c r="AF9" s="49">
        <f t="shared" ref="AF9:AF18" si="1">+AA9/AE9</f>
        <v>27.106436406558959</v>
      </c>
      <c r="AG9" s="51">
        <f>+(((Z9-Y9-AA9)/AA9)*100)</f>
        <v>-0.94857713429868273</v>
      </c>
      <c r="AH9" s="237">
        <v>20.3</v>
      </c>
      <c r="AI9" s="238">
        <v>1.5089999999999999</v>
      </c>
      <c r="AJ9" s="238">
        <v>1.504</v>
      </c>
      <c r="AK9" s="45">
        <f>Z9</f>
        <v>234.72</v>
      </c>
      <c r="AL9" s="59">
        <v>239.76</v>
      </c>
      <c r="AM9" s="240">
        <v>5.0129999999999999</v>
      </c>
      <c r="AN9" s="236" t="s">
        <v>58</v>
      </c>
      <c r="AO9" s="48" t="str">
        <f>LEFT(AN9,2)</f>
        <v>17</v>
      </c>
      <c r="AP9" s="48" t="str">
        <f>RIGHT(AN9,6)</f>
        <v>59,050</v>
      </c>
      <c r="AQ9" s="48">
        <f>+(AO9*60+AP9)/(60*60)</f>
        <v>0.29973611111111109</v>
      </c>
      <c r="AR9" s="49">
        <f t="shared" ref="AR9:AR18" si="2">+AM9/AQ9</f>
        <v>16.724711551827998</v>
      </c>
      <c r="AS9" s="51">
        <f t="shared" ref="AS9:AS18" si="3">+(((AL9-AK9-AM9)/AM9)*100)</f>
        <v>0.53859964093341595</v>
      </c>
      <c r="AT9" s="42" t="str">
        <f t="shared" ref="AT9:AT18" si="4">IF(I9&gt;=1,"NO CONFORME",IF(BK9="SIGDIFERENTES",BC9,BL9))</f>
        <v>CONFORME</v>
      </c>
      <c r="AU9" s="8" t="b">
        <f>B9=C9</f>
        <v>1</v>
      </c>
      <c r="AV9" s="8" t="b">
        <f>N9&lt;Y9</f>
        <v>1</v>
      </c>
      <c r="AW9" s="8" t="b">
        <f>Z9&lt;=AK9</f>
        <v>1</v>
      </c>
      <c r="AX9" s="8" t="str">
        <f>IF(I9&gt;=1,"Qcorrecto",IF(AND(AY9="aceptable",AZ9="aceptable",BA9="aceptable"),"Qcorrecto","Qincorrecto"))</f>
        <v>Qcorrecto</v>
      </c>
      <c r="AY9" s="22" t="str">
        <f t="shared" ref="AY9:AY72" si="5">IF(AR9&lt;$AH$6,"error",IF(AR9&gt;$AH$6*1.1,"error","aceptable"))</f>
        <v>aceptable</v>
      </c>
      <c r="AZ9" s="22" t="str">
        <f t="shared" ref="AZ9:AZ72" si="6">IF(AF9&lt;$V$6,"error",IF(AF9&gt;$V$6*1.1,"error","aceptable"))</f>
        <v>aceptable</v>
      </c>
      <c r="BA9" s="22" t="str">
        <f>IF(T9&lt;$J$6*0.9,"error",IF(T9&gt;$J$6,"error","aceptable"))</f>
        <v>aceptable</v>
      </c>
      <c r="BB9" s="25" t="str">
        <f>(IF(ABS(U9)&lt;1.05,"CONFORME",IF(ABS(AG9)&lt;1.05,"CONFORME",IF(ABS(AS9)&lt;2.55,"CONFORME","NO CONFORME"))))</f>
        <v>CONFORME</v>
      </c>
      <c r="BC9" s="5" t="str">
        <f>(IF(ABS(U9)&gt;2.05,"NO CONFORME",IF(ABS(AG9)&gt;2.05,"NO CONFORME",IF(ABS(AS9)&gt;5.05,"NO CONFORME","CONFORME"))))</f>
        <v>CONFORME</v>
      </c>
      <c r="BD9" s="15">
        <f t="shared" ref="BD9:BD72" si="7">SIGN(U9)</f>
        <v>-1</v>
      </c>
      <c r="BE9" s="15">
        <f t="shared" ref="BE9:BE72" si="8">SIGN(AG9)</f>
        <v>-1</v>
      </c>
      <c r="BF9" s="15">
        <f t="shared" ref="BF9:BF72" si="9">SIGN(AS9)</f>
        <v>1</v>
      </c>
      <c r="BG9" s="15" t="str">
        <f t="shared" ref="BG9:BG72" si="10">CONCATENATE(BD9,BE9,BF9)</f>
        <v>-1-11</v>
      </c>
      <c r="BH9" s="15" t="str">
        <f t="shared" ref="BH9:BH72" si="11">IF(BG9="111","SI","SD")</f>
        <v>SD</v>
      </c>
      <c r="BI9" s="15" t="str">
        <f t="shared" ref="BI9:BI72" si="12">IF(BG9="-1-1-1","SI","SD")</f>
        <v>SD</v>
      </c>
      <c r="BJ9" s="15" t="b">
        <f t="shared" ref="BJ9:BJ72" si="13">OR(BH9="SI",BI9="SI")</f>
        <v>0</v>
      </c>
      <c r="BK9" s="15" t="str">
        <f t="shared" ref="BK9:BK72" si="14">IF(BJ9=FALSE,"SIGDIFERENTES","SIGIGUALES")</f>
        <v>SIGDIFERENTES</v>
      </c>
      <c r="BL9" s="26" t="str">
        <f t="shared" ref="BL9:BL72" si="15">IF(BC9="NO CONFORME","NO CONFORME",IF(BB9="CONFORME","CONFORME","NO CONFORME"))</f>
        <v>CONFORME</v>
      </c>
    </row>
    <row r="10" spans="1:64" ht="15" customHeight="1" x14ac:dyDescent="0.25">
      <c r="A10" s="37">
        <v>2</v>
      </c>
      <c r="B10" s="28">
        <f>B9</f>
        <v>45919</v>
      </c>
      <c r="C10" s="28">
        <f>C9</f>
        <v>45919</v>
      </c>
      <c r="D10" s="12">
        <f>D9</f>
        <v>6</v>
      </c>
      <c r="E10" s="10">
        <f>E9</f>
        <v>15</v>
      </c>
      <c r="F10" s="13"/>
      <c r="G10" s="90"/>
      <c r="H10" s="91">
        <f>H9</f>
        <v>25.6</v>
      </c>
      <c r="I10" s="38">
        <f>I9</f>
        <v>0</v>
      </c>
      <c r="J10" s="35">
        <f>J9</f>
        <v>20.9</v>
      </c>
      <c r="K10" s="35">
        <f>K9</f>
        <v>7.883</v>
      </c>
      <c r="L10" s="35">
        <f>L9</f>
        <v>0.55400000000000005</v>
      </c>
      <c r="M10" s="45"/>
      <c r="N10" s="45"/>
      <c r="O10" s="32">
        <f>O9</f>
        <v>100.62</v>
      </c>
      <c r="P10" s="33" t="str">
        <f>P9</f>
        <v>2,29,560</v>
      </c>
      <c r="Q10" s="11" t="str">
        <f t="shared" ref="Q10:Q18" si="16">LEFT(P10,1)</f>
        <v>2</v>
      </c>
      <c r="R10" s="11" t="str">
        <f t="shared" ref="R10:R18" si="17">RIGHT(P10,6)</f>
        <v>29,560</v>
      </c>
      <c r="S10" s="11">
        <f t="shared" ref="S10:S18" si="18">+(Q10*60+R10)/(60*60)</f>
        <v>4.1544444444444446E-2</v>
      </c>
      <c r="T10" s="14">
        <f t="shared" ref="T10:T18" si="19">+O10/S10</f>
        <v>2421.9844878309709</v>
      </c>
      <c r="U10" s="39">
        <f t="shared" si="0"/>
        <v>-100</v>
      </c>
      <c r="V10" s="40">
        <f>V9</f>
        <v>20.399999999999999</v>
      </c>
      <c r="W10" s="40">
        <f>W9</f>
        <v>1.5069999999999999</v>
      </c>
      <c r="X10" s="102">
        <f t="shared" ref="X10:X73" si="20">X9</f>
        <v>1.504</v>
      </c>
      <c r="Y10" s="45"/>
      <c r="Z10" s="45"/>
      <c r="AA10" s="103">
        <f>AA9</f>
        <v>10.015000000000001</v>
      </c>
      <c r="AB10" s="104" t="str">
        <f>AB9</f>
        <v>22,10,090</v>
      </c>
      <c r="AC10" s="11" t="str">
        <f t="shared" ref="AC10:AC18" si="21">LEFT(AB10,2)</f>
        <v>22</v>
      </c>
      <c r="AD10" s="11" t="str">
        <f t="shared" ref="AD10:AD18" si="22">RIGHT(AB10,6)</f>
        <v>10,090</v>
      </c>
      <c r="AE10" s="11">
        <f t="shared" ref="AE10:AE18" si="23">+(AC10*60+AD10)/(60*60)</f>
        <v>0.36946944444444441</v>
      </c>
      <c r="AF10" s="14">
        <f t="shared" si="1"/>
        <v>27.106436406558959</v>
      </c>
      <c r="AG10" s="41">
        <f>+(((Z10-Y10-AA10)/AA10)*100)</f>
        <v>-100</v>
      </c>
      <c r="AH10" s="40">
        <f>AH9</f>
        <v>20.3</v>
      </c>
      <c r="AI10" s="40">
        <f t="shared" ref="AI10:AJ18" si="24">AI9</f>
        <v>1.5089999999999999</v>
      </c>
      <c r="AJ10" s="40">
        <f t="shared" si="24"/>
        <v>1.504</v>
      </c>
      <c r="AK10" s="45">
        <f t="shared" ref="AK10:AK18" si="25">Z10</f>
        <v>0</v>
      </c>
      <c r="AL10" s="45"/>
      <c r="AM10" s="34">
        <f>AM9</f>
        <v>5.0129999999999999</v>
      </c>
      <c r="AN10" s="33" t="str">
        <f>AN9</f>
        <v>17,59,050</v>
      </c>
      <c r="AO10" s="11" t="str">
        <f t="shared" ref="AO10:AO18" si="26">LEFT(AN10,2)</f>
        <v>17</v>
      </c>
      <c r="AP10" s="11" t="str">
        <f t="shared" ref="AP10:AP18" si="27">RIGHT(AN10,6)</f>
        <v>59,050</v>
      </c>
      <c r="AQ10" s="11">
        <f t="shared" ref="AQ10:AQ18" si="28">+(AO10*60+AP10)/(60*60)</f>
        <v>0.29973611111111109</v>
      </c>
      <c r="AR10" s="14">
        <f t="shared" si="2"/>
        <v>16.724711551827998</v>
      </c>
      <c r="AS10" s="41">
        <f t="shared" si="3"/>
        <v>-100</v>
      </c>
      <c r="AT10" s="43" t="str">
        <f t="shared" si="4"/>
        <v>NO CONFORME</v>
      </c>
      <c r="AU10" s="8" t="b">
        <f t="shared" ref="AU10:AU73" si="29">B10=C10</f>
        <v>1</v>
      </c>
      <c r="AV10" s="8" t="b">
        <f t="shared" ref="AV10:AV73" si="30">N10&lt;Y10</f>
        <v>0</v>
      </c>
      <c r="AW10" s="8" t="b">
        <f t="shared" ref="AW10:AW73" si="31">Z10&lt;=AK10</f>
        <v>1</v>
      </c>
      <c r="AX10" s="8" t="str">
        <f t="shared" ref="AX10:AX73" si="32">IF(I10&gt;=1,"Qcorrecto",IF(AND(AY10="aceptable",AZ10="aceptable",BA10="aceptable"),"Qcorrecto","Qincorrecto"))</f>
        <v>Qcorrecto</v>
      </c>
      <c r="AY10" s="22" t="str">
        <f t="shared" si="5"/>
        <v>aceptable</v>
      </c>
      <c r="AZ10" s="22" t="str">
        <f t="shared" si="6"/>
        <v>aceptable</v>
      </c>
      <c r="BA10" s="22" t="str">
        <f t="shared" ref="BA10:BA73" si="33">IF(T10&lt;$J$6*0.9,"error",IF(T10&gt;$J$6,"error","aceptable"))</f>
        <v>aceptable</v>
      </c>
      <c r="BB10" s="25" t="str">
        <f t="shared" ref="BB10:BB73" si="34">(IF(ABS(U10)&lt;1.05,"CONFORME",IF(ABS(AG10)&lt;1.05,"CONFORME",IF(ABS(AS10)&lt;2.55,"CONFORME","NO CONFORME"))))</f>
        <v>NO CONFORME</v>
      </c>
      <c r="BC10" s="5" t="str">
        <f t="shared" ref="BC10:BC73" si="35">(IF(ABS(U10)&gt;2.05,"NO CONFORME",IF(ABS(AG10)&gt;2.05,"NO CONFORME",IF(ABS(AS10)&gt;5.05,"NO CONFORME","CONFORME"))))</f>
        <v>NO CONFORME</v>
      </c>
      <c r="BD10" s="15">
        <f t="shared" si="7"/>
        <v>-1</v>
      </c>
      <c r="BE10" s="15">
        <f t="shared" si="8"/>
        <v>-1</v>
      </c>
      <c r="BF10" s="15">
        <f t="shared" si="9"/>
        <v>-1</v>
      </c>
      <c r="BG10" s="15" t="str">
        <f t="shared" si="10"/>
        <v>-1-1-1</v>
      </c>
      <c r="BH10" s="15" t="str">
        <f t="shared" si="11"/>
        <v>SD</v>
      </c>
      <c r="BI10" s="15" t="str">
        <f t="shared" si="12"/>
        <v>SI</v>
      </c>
      <c r="BJ10" s="15" t="b">
        <f t="shared" si="13"/>
        <v>1</v>
      </c>
      <c r="BK10" s="15" t="str">
        <f t="shared" si="14"/>
        <v>SIGIGUALES</v>
      </c>
      <c r="BL10" s="22" t="str">
        <f t="shared" si="15"/>
        <v>NO CONFORME</v>
      </c>
    </row>
    <row r="11" spans="1:64" ht="15" customHeight="1" x14ac:dyDescent="0.25">
      <c r="A11" s="37">
        <v>3</v>
      </c>
      <c r="B11" s="28">
        <f t="shared" ref="B11:E18" si="36">B10</f>
        <v>45919</v>
      </c>
      <c r="C11" s="28">
        <f t="shared" si="36"/>
        <v>45919</v>
      </c>
      <c r="D11" s="12">
        <f t="shared" si="36"/>
        <v>6</v>
      </c>
      <c r="E11" s="10">
        <f t="shared" si="36"/>
        <v>15</v>
      </c>
      <c r="F11" s="13"/>
      <c r="G11" s="92"/>
      <c r="H11" s="91">
        <f t="shared" ref="H11:L18" si="37">H10</f>
        <v>25.6</v>
      </c>
      <c r="I11" s="38">
        <f t="shared" si="37"/>
        <v>0</v>
      </c>
      <c r="J11" s="35">
        <f t="shared" si="37"/>
        <v>20.9</v>
      </c>
      <c r="K11" s="35">
        <f t="shared" si="37"/>
        <v>7.883</v>
      </c>
      <c r="L11" s="35">
        <f t="shared" si="37"/>
        <v>0.55400000000000005</v>
      </c>
      <c r="M11" s="45"/>
      <c r="N11" s="45"/>
      <c r="O11" s="32">
        <f t="shared" ref="O11:P18" si="38">O10</f>
        <v>100.62</v>
      </c>
      <c r="P11" s="33" t="str">
        <f t="shared" si="38"/>
        <v>2,29,560</v>
      </c>
      <c r="Q11" s="11" t="str">
        <f t="shared" si="16"/>
        <v>2</v>
      </c>
      <c r="R11" s="11" t="str">
        <f t="shared" si="17"/>
        <v>29,560</v>
      </c>
      <c r="S11" s="11">
        <f t="shared" si="18"/>
        <v>4.1544444444444446E-2</v>
      </c>
      <c r="T11" s="14">
        <f t="shared" si="19"/>
        <v>2421.9844878309709</v>
      </c>
      <c r="U11" s="39">
        <f t="shared" si="0"/>
        <v>-100</v>
      </c>
      <c r="V11" s="40">
        <f t="shared" ref="V11:W18" si="39">V10</f>
        <v>20.399999999999999</v>
      </c>
      <c r="W11" s="40">
        <f t="shared" si="39"/>
        <v>1.5069999999999999</v>
      </c>
      <c r="X11" s="102">
        <f t="shared" si="20"/>
        <v>1.504</v>
      </c>
      <c r="Y11" s="45"/>
      <c r="Z11" s="45"/>
      <c r="AA11" s="103">
        <f t="shared" ref="AA11:AB18" si="40">AA10</f>
        <v>10.015000000000001</v>
      </c>
      <c r="AB11" s="104" t="str">
        <f>AB10</f>
        <v>22,10,090</v>
      </c>
      <c r="AC11" s="11" t="str">
        <f t="shared" si="21"/>
        <v>22</v>
      </c>
      <c r="AD11" s="11" t="str">
        <f t="shared" si="22"/>
        <v>10,090</v>
      </c>
      <c r="AE11" s="11">
        <f t="shared" si="23"/>
        <v>0.36946944444444441</v>
      </c>
      <c r="AF11" s="14">
        <f t="shared" si="1"/>
        <v>27.106436406558959</v>
      </c>
      <c r="AG11" s="41">
        <f t="shared" ref="AG11:AG18" si="41">+(((Z11-Y11-AA11)/AA11)*100)</f>
        <v>-100</v>
      </c>
      <c r="AH11" s="40">
        <f t="shared" ref="AH11:AJ26" si="42">AH10</f>
        <v>20.3</v>
      </c>
      <c r="AI11" s="40">
        <f t="shared" si="24"/>
        <v>1.5089999999999999</v>
      </c>
      <c r="AJ11" s="40">
        <f t="shared" si="24"/>
        <v>1.504</v>
      </c>
      <c r="AK11" s="45">
        <f t="shared" si="25"/>
        <v>0</v>
      </c>
      <c r="AL11" s="45"/>
      <c r="AM11" s="34">
        <f t="shared" ref="AM11:AN18" si="43">AM10</f>
        <v>5.0129999999999999</v>
      </c>
      <c r="AN11" s="33" t="str">
        <f t="shared" si="43"/>
        <v>17,59,050</v>
      </c>
      <c r="AO11" s="11" t="str">
        <f t="shared" si="26"/>
        <v>17</v>
      </c>
      <c r="AP11" s="11" t="str">
        <f t="shared" si="27"/>
        <v>59,050</v>
      </c>
      <c r="AQ11" s="11">
        <f t="shared" si="28"/>
        <v>0.29973611111111109</v>
      </c>
      <c r="AR11" s="14">
        <f t="shared" si="2"/>
        <v>16.724711551827998</v>
      </c>
      <c r="AS11" s="41">
        <f t="shared" si="3"/>
        <v>-100</v>
      </c>
      <c r="AT11" s="43" t="str">
        <f t="shared" si="4"/>
        <v>NO CONFORME</v>
      </c>
      <c r="AU11" s="8" t="b">
        <f t="shared" si="29"/>
        <v>1</v>
      </c>
      <c r="AV11" s="8" t="b">
        <f t="shared" si="30"/>
        <v>0</v>
      </c>
      <c r="AW11" s="8" t="b">
        <f t="shared" si="31"/>
        <v>1</v>
      </c>
      <c r="AX11" s="8" t="str">
        <f t="shared" si="32"/>
        <v>Qcorrecto</v>
      </c>
      <c r="AY11" s="22" t="str">
        <f t="shared" si="5"/>
        <v>aceptable</v>
      </c>
      <c r="AZ11" s="22" t="str">
        <f t="shared" si="6"/>
        <v>aceptable</v>
      </c>
      <c r="BA11" s="22" t="str">
        <f t="shared" si="33"/>
        <v>aceptable</v>
      </c>
      <c r="BB11" s="25" t="str">
        <f t="shared" si="34"/>
        <v>NO CONFORME</v>
      </c>
      <c r="BC11" s="5" t="str">
        <f t="shared" si="35"/>
        <v>NO CONFORME</v>
      </c>
      <c r="BD11" s="15">
        <f t="shared" si="7"/>
        <v>-1</v>
      </c>
      <c r="BE11" s="15">
        <f t="shared" si="8"/>
        <v>-1</v>
      </c>
      <c r="BF11" s="15">
        <f t="shared" si="9"/>
        <v>-1</v>
      </c>
      <c r="BG11" s="15" t="str">
        <f t="shared" si="10"/>
        <v>-1-1-1</v>
      </c>
      <c r="BH11" s="15" t="str">
        <f t="shared" si="11"/>
        <v>SD</v>
      </c>
      <c r="BI11" s="15" t="str">
        <f t="shared" si="12"/>
        <v>SI</v>
      </c>
      <c r="BJ11" s="15" t="b">
        <f t="shared" si="13"/>
        <v>1</v>
      </c>
      <c r="BK11" s="15" t="str">
        <f t="shared" si="14"/>
        <v>SIGIGUALES</v>
      </c>
      <c r="BL11" s="22" t="str">
        <f t="shared" si="15"/>
        <v>NO CONFORME</v>
      </c>
    </row>
    <row r="12" spans="1:64" ht="15" customHeight="1" x14ac:dyDescent="0.25">
      <c r="A12" s="37">
        <v>4</v>
      </c>
      <c r="B12" s="28">
        <f t="shared" si="36"/>
        <v>45919</v>
      </c>
      <c r="C12" s="28">
        <f t="shared" si="36"/>
        <v>45919</v>
      </c>
      <c r="D12" s="12">
        <f t="shared" si="36"/>
        <v>6</v>
      </c>
      <c r="E12" s="10">
        <f t="shared" si="36"/>
        <v>15</v>
      </c>
      <c r="F12" s="13"/>
      <c r="G12" s="90"/>
      <c r="H12" s="91">
        <f t="shared" si="37"/>
        <v>25.6</v>
      </c>
      <c r="I12" s="38">
        <f t="shared" si="37"/>
        <v>0</v>
      </c>
      <c r="J12" s="35">
        <f t="shared" si="37"/>
        <v>20.9</v>
      </c>
      <c r="K12" s="35">
        <f t="shared" si="37"/>
        <v>7.883</v>
      </c>
      <c r="L12" s="35">
        <f t="shared" si="37"/>
        <v>0.55400000000000005</v>
      </c>
      <c r="M12" s="45"/>
      <c r="N12" s="45"/>
      <c r="O12" s="32">
        <f t="shared" si="38"/>
        <v>100.62</v>
      </c>
      <c r="P12" s="33" t="str">
        <f t="shared" si="38"/>
        <v>2,29,560</v>
      </c>
      <c r="Q12" s="11" t="str">
        <f t="shared" si="16"/>
        <v>2</v>
      </c>
      <c r="R12" s="11" t="str">
        <f t="shared" si="17"/>
        <v>29,560</v>
      </c>
      <c r="S12" s="11">
        <f t="shared" si="18"/>
        <v>4.1544444444444446E-2</v>
      </c>
      <c r="T12" s="14">
        <f t="shared" si="19"/>
        <v>2421.9844878309709</v>
      </c>
      <c r="U12" s="39">
        <f t="shared" si="0"/>
        <v>-100</v>
      </c>
      <c r="V12" s="40">
        <f t="shared" si="39"/>
        <v>20.399999999999999</v>
      </c>
      <c r="W12" s="40">
        <f t="shared" si="39"/>
        <v>1.5069999999999999</v>
      </c>
      <c r="X12" s="102">
        <f t="shared" si="20"/>
        <v>1.504</v>
      </c>
      <c r="Y12" s="45"/>
      <c r="Z12" s="45"/>
      <c r="AA12" s="103">
        <f t="shared" si="40"/>
        <v>10.015000000000001</v>
      </c>
      <c r="AB12" s="104" t="str">
        <f t="shared" si="40"/>
        <v>22,10,090</v>
      </c>
      <c r="AC12" s="11" t="str">
        <f t="shared" si="21"/>
        <v>22</v>
      </c>
      <c r="AD12" s="11" t="str">
        <f t="shared" si="22"/>
        <v>10,090</v>
      </c>
      <c r="AE12" s="11">
        <f t="shared" si="23"/>
        <v>0.36946944444444441</v>
      </c>
      <c r="AF12" s="14">
        <f t="shared" si="1"/>
        <v>27.106436406558959</v>
      </c>
      <c r="AG12" s="41">
        <f t="shared" si="41"/>
        <v>-100</v>
      </c>
      <c r="AH12" s="40">
        <f t="shared" si="42"/>
        <v>20.3</v>
      </c>
      <c r="AI12" s="40">
        <f t="shared" si="24"/>
        <v>1.5089999999999999</v>
      </c>
      <c r="AJ12" s="40">
        <f t="shared" si="24"/>
        <v>1.504</v>
      </c>
      <c r="AK12" s="45">
        <f t="shared" si="25"/>
        <v>0</v>
      </c>
      <c r="AL12" s="45"/>
      <c r="AM12" s="34">
        <f t="shared" si="43"/>
        <v>5.0129999999999999</v>
      </c>
      <c r="AN12" s="33" t="str">
        <f t="shared" si="43"/>
        <v>17,59,050</v>
      </c>
      <c r="AO12" s="11" t="str">
        <f t="shared" si="26"/>
        <v>17</v>
      </c>
      <c r="AP12" s="11" t="str">
        <f t="shared" si="27"/>
        <v>59,050</v>
      </c>
      <c r="AQ12" s="11">
        <f t="shared" si="28"/>
        <v>0.29973611111111109</v>
      </c>
      <c r="AR12" s="14">
        <f t="shared" si="2"/>
        <v>16.724711551827998</v>
      </c>
      <c r="AS12" s="41">
        <f t="shared" si="3"/>
        <v>-100</v>
      </c>
      <c r="AT12" s="43" t="str">
        <f t="shared" si="4"/>
        <v>NO CONFORME</v>
      </c>
      <c r="AU12" s="8" t="b">
        <f t="shared" si="29"/>
        <v>1</v>
      </c>
      <c r="AV12" s="8" t="b">
        <f t="shared" si="30"/>
        <v>0</v>
      </c>
      <c r="AW12" s="8" t="b">
        <f t="shared" si="31"/>
        <v>1</v>
      </c>
      <c r="AX12" s="8" t="str">
        <f t="shared" si="32"/>
        <v>Qcorrecto</v>
      </c>
      <c r="AY12" s="22" t="str">
        <f t="shared" si="5"/>
        <v>aceptable</v>
      </c>
      <c r="AZ12" s="22" t="str">
        <f t="shared" si="6"/>
        <v>aceptable</v>
      </c>
      <c r="BA12" s="22" t="str">
        <f t="shared" si="33"/>
        <v>aceptable</v>
      </c>
      <c r="BB12" s="25" t="str">
        <f t="shared" si="34"/>
        <v>NO CONFORME</v>
      </c>
      <c r="BC12" s="5" t="str">
        <f t="shared" si="35"/>
        <v>NO CONFORME</v>
      </c>
      <c r="BD12" s="15">
        <f t="shared" si="7"/>
        <v>-1</v>
      </c>
      <c r="BE12" s="15">
        <f t="shared" si="8"/>
        <v>-1</v>
      </c>
      <c r="BF12" s="15">
        <f t="shared" si="9"/>
        <v>-1</v>
      </c>
      <c r="BG12" s="15" t="str">
        <f t="shared" si="10"/>
        <v>-1-1-1</v>
      </c>
      <c r="BH12" s="15" t="str">
        <f t="shared" si="11"/>
        <v>SD</v>
      </c>
      <c r="BI12" s="15" t="str">
        <f t="shared" si="12"/>
        <v>SI</v>
      </c>
      <c r="BJ12" s="15" t="b">
        <f t="shared" si="13"/>
        <v>1</v>
      </c>
      <c r="BK12" s="15" t="str">
        <f t="shared" si="14"/>
        <v>SIGIGUALES</v>
      </c>
      <c r="BL12" s="22" t="str">
        <f t="shared" si="15"/>
        <v>NO CONFORME</v>
      </c>
    </row>
    <row r="13" spans="1:64" ht="15" customHeight="1" x14ac:dyDescent="0.25">
      <c r="A13" s="37">
        <v>5</v>
      </c>
      <c r="B13" s="28">
        <f t="shared" si="36"/>
        <v>45919</v>
      </c>
      <c r="C13" s="28">
        <f t="shared" si="36"/>
        <v>45919</v>
      </c>
      <c r="D13" s="12">
        <f t="shared" si="36"/>
        <v>6</v>
      </c>
      <c r="E13" s="10">
        <f t="shared" si="36"/>
        <v>15</v>
      </c>
      <c r="F13" s="13"/>
      <c r="G13" s="90"/>
      <c r="H13" s="91">
        <f t="shared" si="37"/>
        <v>25.6</v>
      </c>
      <c r="I13" s="38">
        <f t="shared" si="37"/>
        <v>0</v>
      </c>
      <c r="J13" s="35">
        <f t="shared" si="37"/>
        <v>20.9</v>
      </c>
      <c r="K13" s="35">
        <f t="shared" si="37"/>
        <v>7.883</v>
      </c>
      <c r="L13" s="35">
        <f t="shared" si="37"/>
        <v>0.55400000000000005</v>
      </c>
      <c r="M13" s="45"/>
      <c r="N13" s="45"/>
      <c r="O13" s="32">
        <f t="shared" si="38"/>
        <v>100.62</v>
      </c>
      <c r="P13" s="33" t="str">
        <f t="shared" si="38"/>
        <v>2,29,560</v>
      </c>
      <c r="Q13" s="11" t="str">
        <f t="shared" si="16"/>
        <v>2</v>
      </c>
      <c r="R13" s="11" t="str">
        <f t="shared" si="17"/>
        <v>29,560</v>
      </c>
      <c r="S13" s="11">
        <f t="shared" si="18"/>
        <v>4.1544444444444446E-2</v>
      </c>
      <c r="T13" s="14">
        <f t="shared" si="19"/>
        <v>2421.9844878309709</v>
      </c>
      <c r="U13" s="39">
        <f t="shared" si="0"/>
        <v>-100</v>
      </c>
      <c r="V13" s="40">
        <f t="shared" si="39"/>
        <v>20.399999999999999</v>
      </c>
      <c r="W13" s="40">
        <f t="shared" si="39"/>
        <v>1.5069999999999999</v>
      </c>
      <c r="X13" s="102">
        <f t="shared" si="20"/>
        <v>1.504</v>
      </c>
      <c r="Y13" s="45"/>
      <c r="Z13" s="45"/>
      <c r="AA13" s="103">
        <f t="shared" si="40"/>
        <v>10.015000000000001</v>
      </c>
      <c r="AB13" s="104" t="str">
        <f t="shared" si="40"/>
        <v>22,10,090</v>
      </c>
      <c r="AC13" s="11" t="str">
        <f t="shared" si="21"/>
        <v>22</v>
      </c>
      <c r="AD13" s="11" t="str">
        <f t="shared" si="22"/>
        <v>10,090</v>
      </c>
      <c r="AE13" s="11">
        <f t="shared" si="23"/>
        <v>0.36946944444444441</v>
      </c>
      <c r="AF13" s="14">
        <f t="shared" si="1"/>
        <v>27.106436406558959</v>
      </c>
      <c r="AG13" s="41">
        <f t="shared" si="41"/>
        <v>-100</v>
      </c>
      <c r="AH13" s="40">
        <f t="shared" si="42"/>
        <v>20.3</v>
      </c>
      <c r="AI13" s="40">
        <f t="shared" si="24"/>
        <v>1.5089999999999999</v>
      </c>
      <c r="AJ13" s="40">
        <f t="shared" si="24"/>
        <v>1.504</v>
      </c>
      <c r="AK13" s="45">
        <f t="shared" si="25"/>
        <v>0</v>
      </c>
      <c r="AL13" s="45"/>
      <c r="AM13" s="34">
        <f t="shared" si="43"/>
        <v>5.0129999999999999</v>
      </c>
      <c r="AN13" s="33" t="str">
        <f t="shared" si="43"/>
        <v>17,59,050</v>
      </c>
      <c r="AO13" s="11" t="str">
        <f t="shared" si="26"/>
        <v>17</v>
      </c>
      <c r="AP13" s="11" t="str">
        <f t="shared" si="27"/>
        <v>59,050</v>
      </c>
      <c r="AQ13" s="11">
        <f t="shared" si="28"/>
        <v>0.29973611111111109</v>
      </c>
      <c r="AR13" s="14">
        <f t="shared" si="2"/>
        <v>16.724711551827998</v>
      </c>
      <c r="AS13" s="41">
        <f t="shared" si="3"/>
        <v>-100</v>
      </c>
      <c r="AT13" s="43" t="str">
        <f t="shared" si="4"/>
        <v>NO CONFORME</v>
      </c>
      <c r="AU13" s="8" t="b">
        <f t="shared" si="29"/>
        <v>1</v>
      </c>
      <c r="AV13" s="8" t="b">
        <f t="shared" si="30"/>
        <v>0</v>
      </c>
      <c r="AW13" s="8" t="b">
        <f t="shared" si="31"/>
        <v>1</v>
      </c>
      <c r="AX13" s="8" t="str">
        <f t="shared" si="32"/>
        <v>Qcorrecto</v>
      </c>
      <c r="AY13" s="22" t="str">
        <f t="shared" si="5"/>
        <v>aceptable</v>
      </c>
      <c r="AZ13" s="22" t="str">
        <f t="shared" si="6"/>
        <v>aceptable</v>
      </c>
      <c r="BA13" s="22" t="str">
        <f t="shared" si="33"/>
        <v>aceptable</v>
      </c>
      <c r="BB13" s="25" t="str">
        <f t="shared" si="34"/>
        <v>NO CONFORME</v>
      </c>
      <c r="BC13" s="5" t="str">
        <f t="shared" si="35"/>
        <v>NO CONFORME</v>
      </c>
      <c r="BD13" s="15">
        <f t="shared" si="7"/>
        <v>-1</v>
      </c>
      <c r="BE13" s="15">
        <f t="shared" si="8"/>
        <v>-1</v>
      </c>
      <c r="BF13" s="15">
        <f t="shared" si="9"/>
        <v>-1</v>
      </c>
      <c r="BG13" s="15" t="str">
        <f t="shared" si="10"/>
        <v>-1-1-1</v>
      </c>
      <c r="BH13" s="15" t="str">
        <f t="shared" si="11"/>
        <v>SD</v>
      </c>
      <c r="BI13" s="15" t="str">
        <f t="shared" si="12"/>
        <v>SI</v>
      </c>
      <c r="BJ13" s="15" t="b">
        <f t="shared" si="13"/>
        <v>1</v>
      </c>
      <c r="BK13" s="15" t="str">
        <f t="shared" si="14"/>
        <v>SIGIGUALES</v>
      </c>
      <c r="BL13" s="22" t="str">
        <f t="shared" si="15"/>
        <v>NO CONFORME</v>
      </c>
    </row>
    <row r="14" spans="1:64" ht="15" customHeight="1" x14ac:dyDescent="0.25">
      <c r="A14" s="37">
        <v>6</v>
      </c>
      <c r="B14" s="28">
        <f t="shared" si="36"/>
        <v>45919</v>
      </c>
      <c r="C14" s="28">
        <f t="shared" si="36"/>
        <v>45919</v>
      </c>
      <c r="D14" s="12">
        <f t="shared" si="36"/>
        <v>6</v>
      </c>
      <c r="E14" s="10">
        <f t="shared" si="36"/>
        <v>15</v>
      </c>
      <c r="F14" s="13"/>
      <c r="G14" s="92"/>
      <c r="H14" s="91">
        <f t="shared" si="37"/>
        <v>25.6</v>
      </c>
      <c r="I14" s="38">
        <f t="shared" si="37"/>
        <v>0</v>
      </c>
      <c r="J14" s="35">
        <f t="shared" si="37"/>
        <v>20.9</v>
      </c>
      <c r="K14" s="35">
        <f t="shared" si="37"/>
        <v>7.883</v>
      </c>
      <c r="L14" s="35">
        <f t="shared" si="37"/>
        <v>0.55400000000000005</v>
      </c>
      <c r="M14" s="45"/>
      <c r="N14" s="45"/>
      <c r="O14" s="32">
        <f t="shared" si="38"/>
        <v>100.62</v>
      </c>
      <c r="P14" s="33" t="str">
        <f t="shared" si="38"/>
        <v>2,29,560</v>
      </c>
      <c r="Q14" s="11" t="str">
        <f t="shared" si="16"/>
        <v>2</v>
      </c>
      <c r="R14" s="11" t="str">
        <f t="shared" si="17"/>
        <v>29,560</v>
      </c>
      <c r="S14" s="11">
        <f t="shared" si="18"/>
        <v>4.1544444444444446E-2</v>
      </c>
      <c r="T14" s="14">
        <f t="shared" si="19"/>
        <v>2421.9844878309709</v>
      </c>
      <c r="U14" s="39">
        <f t="shared" si="0"/>
        <v>-100</v>
      </c>
      <c r="V14" s="40">
        <f t="shared" si="39"/>
        <v>20.399999999999999</v>
      </c>
      <c r="W14" s="40">
        <f t="shared" si="39"/>
        <v>1.5069999999999999</v>
      </c>
      <c r="X14" s="102">
        <f t="shared" si="20"/>
        <v>1.504</v>
      </c>
      <c r="Y14" s="45"/>
      <c r="Z14" s="45"/>
      <c r="AA14" s="103">
        <f t="shared" si="40"/>
        <v>10.015000000000001</v>
      </c>
      <c r="AB14" s="104" t="str">
        <f t="shared" si="40"/>
        <v>22,10,090</v>
      </c>
      <c r="AC14" s="11" t="str">
        <f t="shared" si="21"/>
        <v>22</v>
      </c>
      <c r="AD14" s="11" t="str">
        <f t="shared" si="22"/>
        <v>10,090</v>
      </c>
      <c r="AE14" s="11">
        <f t="shared" si="23"/>
        <v>0.36946944444444441</v>
      </c>
      <c r="AF14" s="14">
        <f t="shared" si="1"/>
        <v>27.106436406558959</v>
      </c>
      <c r="AG14" s="41">
        <f t="shared" si="41"/>
        <v>-100</v>
      </c>
      <c r="AH14" s="40">
        <f t="shared" si="42"/>
        <v>20.3</v>
      </c>
      <c r="AI14" s="40">
        <f t="shared" si="24"/>
        <v>1.5089999999999999</v>
      </c>
      <c r="AJ14" s="40">
        <f t="shared" si="24"/>
        <v>1.504</v>
      </c>
      <c r="AK14" s="45">
        <f t="shared" si="25"/>
        <v>0</v>
      </c>
      <c r="AL14" s="45"/>
      <c r="AM14" s="34">
        <f t="shared" si="43"/>
        <v>5.0129999999999999</v>
      </c>
      <c r="AN14" s="33" t="str">
        <f t="shared" si="43"/>
        <v>17,59,050</v>
      </c>
      <c r="AO14" s="11" t="str">
        <f t="shared" si="26"/>
        <v>17</v>
      </c>
      <c r="AP14" s="11" t="str">
        <f t="shared" si="27"/>
        <v>59,050</v>
      </c>
      <c r="AQ14" s="11">
        <f t="shared" si="28"/>
        <v>0.29973611111111109</v>
      </c>
      <c r="AR14" s="14">
        <f t="shared" si="2"/>
        <v>16.724711551827998</v>
      </c>
      <c r="AS14" s="41">
        <f t="shared" si="3"/>
        <v>-100</v>
      </c>
      <c r="AT14" s="43" t="str">
        <f t="shared" si="4"/>
        <v>NO CONFORME</v>
      </c>
      <c r="AU14" s="8" t="b">
        <f t="shared" si="29"/>
        <v>1</v>
      </c>
      <c r="AV14" s="8" t="b">
        <f t="shared" si="30"/>
        <v>0</v>
      </c>
      <c r="AW14" s="8" t="b">
        <f t="shared" si="31"/>
        <v>1</v>
      </c>
      <c r="AX14" s="8" t="str">
        <f t="shared" si="32"/>
        <v>Qcorrecto</v>
      </c>
      <c r="AY14" s="22" t="str">
        <f t="shared" si="5"/>
        <v>aceptable</v>
      </c>
      <c r="AZ14" s="22" t="str">
        <f t="shared" si="6"/>
        <v>aceptable</v>
      </c>
      <c r="BA14" s="22" t="str">
        <f t="shared" si="33"/>
        <v>aceptable</v>
      </c>
      <c r="BB14" s="25" t="str">
        <f t="shared" si="34"/>
        <v>NO CONFORME</v>
      </c>
      <c r="BC14" s="5" t="str">
        <f t="shared" si="35"/>
        <v>NO CONFORME</v>
      </c>
      <c r="BD14" s="15">
        <f t="shared" si="7"/>
        <v>-1</v>
      </c>
      <c r="BE14" s="15">
        <f t="shared" si="8"/>
        <v>-1</v>
      </c>
      <c r="BF14" s="15">
        <f t="shared" si="9"/>
        <v>-1</v>
      </c>
      <c r="BG14" s="15" t="str">
        <f t="shared" si="10"/>
        <v>-1-1-1</v>
      </c>
      <c r="BH14" s="15" t="str">
        <f t="shared" si="11"/>
        <v>SD</v>
      </c>
      <c r="BI14" s="15" t="str">
        <f t="shared" si="12"/>
        <v>SI</v>
      </c>
      <c r="BJ14" s="15" t="b">
        <f t="shared" si="13"/>
        <v>1</v>
      </c>
      <c r="BK14" s="15" t="str">
        <f t="shared" si="14"/>
        <v>SIGIGUALES</v>
      </c>
      <c r="BL14" s="22" t="str">
        <f t="shared" si="15"/>
        <v>NO CONFORME</v>
      </c>
    </row>
    <row r="15" spans="1:64" ht="15" customHeight="1" x14ac:dyDescent="0.25">
      <c r="A15" s="37">
        <v>7</v>
      </c>
      <c r="B15" s="28">
        <f t="shared" si="36"/>
        <v>45919</v>
      </c>
      <c r="C15" s="28">
        <f t="shared" si="36"/>
        <v>45919</v>
      </c>
      <c r="D15" s="12">
        <f t="shared" si="36"/>
        <v>6</v>
      </c>
      <c r="E15" s="10">
        <f t="shared" si="36"/>
        <v>15</v>
      </c>
      <c r="F15" s="13"/>
      <c r="G15" s="92"/>
      <c r="H15" s="91">
        <f t="shared" si="37"/>
        <v>25.6</v>
      </c>
      <c r="I15" s="38">
        <f t="shared" si="37"/>
        <v>0</v>
      </c>
      <c r="J15" s="35">
        <f t="shared" si="37"/>
        <v>20.9</v>
      </c>
      <c r="K15" s="35">
        <f t="shared" si="37"/>
        <v>7.883</v>
      </c>
      <c r="L15" s="35">
        <f t="shared" si="37"/>
        <v>0.55400000000000005</v>
      </c>
      <c r="M15" s="45"/>
      <c r="N15" s="45"/>
      <c r="O15" s="32">
        <f t="shared" si="38"/>
        <v>100.62</v>
      </c>
      <c r="P15" s="33" t="str">
        <f t="shared" si="38"/>
        <v>2,29,560</v>
      </c>
      <c r="Q15" s="11" t="str">
        <f t="shared" si="16"/>
        <v>2</v>
      </c>
      <c r="R15" s="11" t="str">
        <f t="shared" si="17"/>
        <v>29,560</v>
      </c>
      <c r="S15" s="11">
        <f t="shared" si="18"/>
        <v>4.1544444444444446E-2</v>
      </c>
      <c r="T15" s="14">
        <f t="shared" si="19"/>
        <v>2421.9844878309709</v>
      </c>
      <c r="U15" s="39">
        <f t="shared" si="0"/>
        <v>-100</v>
      </c>
      <c r="V15" s="40">
        <f t="shared" si="39"/>
        <v>20.399999999999999</v>
      </c>
      <c r="W15" s="40">
        <f t="shared" si="39"/>
        <v>1.5069999999999999</v>
      </c>
      <c r="X15" s="102">
        <f t="shared" si="20"/>
        <v>1.504</v>
      </c>
      <c r="Y15" s="45"/>
      <c r="Z15" s="45"/>
      <c r="AA15" s="103">
        <f t="shared" si="40"/>
        <v>10.015000000000001</v>
      </c>
      <c r="AB15" s="104" t="str">
        <f t="shared" si="40"/>
        <v>22,10,090</v>
      </c>
      <c r="AC15" s="11" t="str">
        <f t="shared" si="21"/>
        <v>22</v>
      </c>
      <c r="AD15" s="11" t="str">
        <f t="shared" si="22"/>
        <v>10,090</v>
      </c>
      <c r="AE15" s="11">
        <f t="shared" si="23"/>
        <v>0.36946944444444441</v>
      </c>
      <c r="AF15" s="14">
        <f t="shared" si="1"/>
        <v>27.106436406558959</v>
      </c>
      <c r="AG15" s="41">
        <f t="shared" si="41"/>
        <v>-100</v>
      </c>
      <c r="AH15" s="40">
        <f t="shared" si="42"/>
        <v>20.3</v>
      </c>
      <c r="AI15" s="40">
        <f t="shared" si="24"/>
        <v>1.5089999999999999</v>
      </c>
      <c r="AJ15" s="40">
        <f t="shared" si="24"/>
        <v>1.504</v>
      </c>
      <c r="AK15" s="45">
        <f t="shared" si="25"/>
        <v>0</v>
      </c>
      <c r="AL15" s="45"/>
      <c r="AM15" s="34">
        <f t="shared" si="43"/>
        <v>5.0129999999999999</v>
      </c>
      <c r="AN15" s="33" t="str">
        <f t="shared" si="43"/>
        <v>17,59,050</v>
      </c>
      <c r="AO15" s="11" t="str">
        <f t="shared" si="26"/>
        <v>17</v>
      </c>
      <c r="AP15" s="11" t="str">
        <f t="shared" si="27"/>
        <v>59,050</v>
      </c>
      <c r="AQ15" s="11">
        <f t="shared" si="28"/>
        <v>0.29973611111111109</v>
      </c>
      <c r="AR15" s="14">
        <f t="shared" si="2"/>
        <v>16.724711551827998</v>
      </c>
      <c r="AS15" s="41">
        <f t="shared" si="3"/>
        <v>-100</v>
      </c>
      <c r="AT15" s="43" t="str">
        <f t="shared" si="4"/>
        <v>NO CONFORME</v>
      </c>
      <c r="AU15" s="8" t="b">
        <f t="shared" si="29"/>
        <v>1</v>
      </c>
      <c r="AV15" s="8" t="b">
        <f t="shared" si="30"/>
        <v>0</v>
      </c>
      <c r="AW15" s="8" t="b">
        <f t="shared" si="31"/>
        <v>1</v>
      </c>
      <c r="AX15" s="8" t="str">
        <f t="shared" si="32"/>
        <v>Qcorrecto</v>
      </c>
      <c r="AY15" s="22" t="str">
        <f t="shared" si="5"/>
        <v>aceptable</v>
      </c>
      <c r="AZ15" s="22" t="str">
        <f t="shared" si="6"/>
        <v>aceptable</v>
      </c>
      <c r="BA15" s="22" t="str">
        <f t="shared" si="33"/>
        <v>aceptable</v>
      </c>
      <c r="BB15" s="25" t="str">
        <f t="shared" si="34"/>
        <v>NO CONFORME</v>
      </c>
      <c r="BC15" s="5" t="str">
        <f t="shared" si="35"/>
        <v>NO CONFORME</v>
      </c>
      <c r="BD15" s="15">
        <f t="shared" si="7"/>
        <v>-1</v>
      </c>
      <c r="BE15" s="15">
        <f t="shared" si="8"/>
        <v>-1</v>
      </c>
      <c r="BF15" s="15">
        <f t="shared" si="9"/>
        <v>-1</v>
      </c>
      <c r="BG15" s="15" t="str">
        <f t="shared" si="10"/>
        <v>-1-1-1</v>
      </c>
      <c r="BH15" s="15" t="str">
        <f t="shared" si="11"/>
        <v>SD</v>
      </c>
      <c r="BI15" s="15" t="str">
        <f t="shared" si="12"/>
        <v>SI</v>
      </c>
      <c r="BJ15" s="15" t="b">
        <f t="shared" si="13"/>
        <v>1</v>
      </c>
      <c r="BK15" s="15" t="str">
        <f t="shared" si="14"/>
        <v>SIGIGUALES</v>
      </c>
      <c r="BL15" s="22" t="str">
        <f t="shared" si="15"/>
        <v>NO CONFORME</v>
      </c>
    </row>
    <row r="16" spans="1:64" ht="15" customHeight="1" x14ac:dyDescent="0.25">
      <c r="A16" s="37">
        <v>8</v>
      </c>
      <c r="B16" s="28">
        <f t="shared" si="36"/>
        <v>45919</v>
      </c>
      <c r="C16" s="28">
        <f t="shared" si="36"/>
        <v>45919</v>
      </c>
      <c r="D16" s="12">
        <f t="shared" si="36"/>
        <v>6</v>
      </c>
      <c r="E16" s="10">
        <f t="shared" si="36"/>
        <v>15</v>
      </c>
      <c r="F16" s="13"/>
      <c r="G16" s="90"/>
      <c r="H16" s="91">
        <f t="shared" si="37"/>
        <v>25.6</v>
      </c>
      <c r="I16" s="38">
        <f t="shared" si="37"/>
        <v>0</v>
      </c>
      <c r="J16" s="35">
        <f t="shared" si="37"/>
        <v>20.9</v>
      </c>
      <c r="K16" s="35">
        <f t="shared" si="37"/>
        <v>7.883</v>
      </c>
      <c r="L16" s="35">
        <f t="shared" si="37"/>
        <v>0.55400000000000005</v>
      </c>
      <c r="M16" s="45"/>
      <c r="N16" s="45"/>
      <c r="O16" s="32">
        <f t="shared" si="38"/>
        <v>100.62</v>
      </c>
      <c r="P16" s="33" t="str">
        <f t="shared" si="38"/>
        <v>2,29,560</v>
      </c>
      <c r="Q16" s="11" t="str">
        <f t="shared" si="16"/>
        <v>2</v>
      </c>
      <c r="R16" s="11" t="str">
        <f t="shared" si="17"/>
        <v>29,560</v>
      </c>
      <c r="S16" s="11">
        <f t="shared" si="18"/>
        <v>4.1544444444444446E-2</v>
      </c>
      <c r="T16" s="14">
        <f t="shared" si="19"/>
        <v>2421.9844878309709</v>
      </c>
      <c r="U16" s="39">
        <f t="shared" si="0"/>
        <v>-100</v>
      </c>
      <c r="V16" s="40">
        <f t="shared" si="39"/>
        <v>20.399999999999999</v>
      </c>
      <c r="W16" s="40">
        <f t="shared" si="39"/>
        <v>1.5069999999999999</v>
      </c>
      <c r="X16" s="102">
        <f t="shared" si="20"/>
        <v>1.504</v>
      </c>
      <c r="Y16" s="45"/>
      <c r="Z16" s="45"/>
      <c r="AA16" s="103">
        <f t="shared" si="40"/>
        <v>10.015000000000001</v>
      </c>
      <c r="AB16" s="104" t="str">
        <f t="shared" si="40"/>
        <v>22,10,090</v>
      </c>
      <c r="AC16" s="11" t="str">
        <f t="shared" si="21"/>
        <v>22</v>
      </c>
      <c r="AD16" s="11" t="str">
        <f t="shared" si="22"/>
        <v>10,090</v>
      </c>
      <c r="AE16" s="11">
        <f t="shared" si="23"/>
        <v>0.36946944444444441</v>
      </c>
      <c r="AF16" s="14">
        <f t="shared" si="1"/>
        <v>27.106436406558959</v>
      </c>
      <c r="AG16" s="41">
        <f t="shared" si="41"/>
        <v>-100</v>
      </c>
      <c r="AH16" s="40">
        <f t="shared" si="42"/>
        <v>20.3</v>
      </c>
      <c r="AI16" s="40">
        <f t="shared" si="24"/>
        <v>1.5089999999999999</v>
      </c>
      <c r="AJ16" s="40">
        <f t="shared" si="24"/>
        <v>1.504</v>
      </c>
      <c r="AK16" s="45">
        <f t="shared" si="25"/>
        <v>0</v>
      </c>
      <c r="AL16" s="45"/>
      <c r="AM16" s="34">
        <f t="shared" si="43"/>
        <v>5.0129999999999999</v>
      </c>
      <c r="AN16" s="33" t="str">
        <f t="shared" si="43"/>
        <v>17,59,050</v>
      </c>
      <c r="AO16" s="11" t="str">
        <f t="shared" si="26"/>
        <v>17</v>
      </c>
      <c r="AP16" s="11" t="str">
        <f t="shared" si="27"/>
        <v>59,050</v>
      </c>
      <c r="AQ16" s="11">
        <f t="shared" si="28"/>
        <v>0.29973611111111109</v>
      </c>
      <c r="AR16" s="14">
        <f t="shared" si="2"/>
        <v>16.724711551827998</v>
      </c>
      <c r="AS16" s="41">
        <f t="shared" si="3"/>
        <v>-100</v>
      </c>
      <c r="AT16" s="43" t="str">
        <f t="shared" si="4"/>
        <v>NO CONFORME</v>
      </c>
      <c r="AU16" s="8" t="b">
        <f t="shared" si="29"/>
        <v>1</v>
      </c>
      <c r="AV16" s="8" t="b">
        <f t="shared" si="30"/>
        <v>0</v>
      </c>
      <c r="AW16" s="8" t="b">
        <f t="shared" si="31"/>
        <v>1</v>
      </c>
      <c r="AX16" s="8" t="str">
        <f t="shared" si="32"/>
        <v>Qcorrecto</v>
      </c>
      <c r="AY16" s="22" t="str">
        <f t="shared" si="5"/>
        <v>aceptable</v>
      </c>
      <c r="AZ16" s="22" t="str">
        <f t="shared" si="6"/>
        <v>aceptable</v>
      </c>
      <c r="BA16" s="22" t="str">
        <f t="shared" si="33"/>
        <v>aceptable</v>
      </c>
      <c r="BB16" s="25" t="str">
        <f t="shared" si="34"/>
        <v>NO CONFORME</v>
      </c>
      <c r="BC16" s="5" t="str">
        <f t="shared" si="35"/>
        <v>NO CONFORME</v>
      </c>
      <c r="BD16" s="15">
        <f t="shared" si="7"/>
        <v>-1</v>
      </c>
      <c r="BE16" s="15">
        <f t="shared" si="8"/>
        <v>-1</v>
      </c>
      <c r="BF16" s="15">
        <f t="shared" si="9"/>
        <v>-1</v>
      </c>
      <c r="BG16" s="15" t="str">
        <f t="shared" si="10"/>
        <v>-1-1-1</v>
      </c>
      <c r="BH16" s="15" t="str">
        <f t="shared" si="11"/>
        <v>SD</v>
      </c>
      <c r="BI16" s="15" t="str">
        <f t="shared" si="12"/>
        <v>SI</v>
      </c>
      <c r="BJ16" s="15" t="b">
        <f t="shared" si="13"/>
        <v>1</v>
      </c>
      <c r="BK16" s="15" t="str">
        <f t="shared" si="14"/>
        <v>SIGIGUALES</v>
      </c>
      <c r="BL16" s="22" t="str">
        <f t="shared" si="15"/>
        <v>NO CONFORME</v>
      </c>
    </row>
    <row r="17" spans="1:64" ht="15" customHeight="1" x14ac:dyDescent="0.25">
      <c r="A17" s="37">
        <v>9</v>
      </c>
      <c r="B17" s="28">
        <f t="shared" si="36"/>
        <v>45919</v>
      </c>
      <c r="C17" s="28">
        <f t="shared" si="36"/>
        <v>45919</v>
      </c>
      <c r="D17" s="12">
        <f t="shared" si="36"/>
        <v>6</v>
      </c>
      <c r="E17" s="10">
        <f t="shared" si="36"/>
        <v>15</v>
      </c>
      <c r="F17" s="13"/>
      <c r="G17" s="90"/>
      <c r="H17" s="91">
        <f t="shared" si="37"/>
        <v>25.6</v>
      </c>
      <c r="I17" s="38">
        <f t="shared" si="37"/>
        <v>0</v>
      </c>
      <c r="J17" s="35">
        <f t="shared" si="37"/>
        <v>20.9</v>
      </c>
      <c r="K17" s="35">
        <f t="shared" si="37"/>
        <v>7.883</v>
      </c>
      <c r="L17" s="35">
        <f t="shared" si="37"/>
        <v>0.55400000000000005</v>
      </c>
      <c r="M17" s="45"/>
      <c r="N17" s="45"/>
      <c r="O17" s="32">
        <f t="shared" si="38"/>
        <v>100.62</v>
      </c>
      <c r="P17" s="33" t="str">
        <f t="shared" si="38"/>
        <v>2,29,560</v>
      </c>
      <c r="Q17" s="11" t="str">
        <f t="shared" si="16"/>
        <v>2</v>
      </c>
      <c r="R17" s="11" t="str">
        <f t="shared" si="17"/>
        <v>29,560</v>
      </c>
      <c r="S17" s="11">
        <f t="shared" si="18"/>
        <v>4.1544444444444446E-2</v>
      </c>
      <c r="T17" s="14">
        <f t="shared" si="19"/>
        <v>2421.9844878309709</v>
      </c>
      <c r="U17" s="39">
        <f t="shared" si="0"/>
        <v>-100</v>
      </c>
      <c r="V17" s="40">
        <f t="shared" si="39"/>
        <v>20.399999999999999</v>
      </c>
      <c r="W17" s="40">
        <f t="shared" si="39"/>
        <v>1.5069999999999999</v>
      </c>
      <c r="X17" s="102">
        <f t="shared" si="20"/>
        <v>1.504</v>
      </c>
      <c r="Y17" s="45"/>
      <c r="Z17" s="45"/>
      <c r="AA17" s="103">
        <f t="shared" si="40"/>
        <v>10.015000000000001</v>
      </c>
      <c r="AB17" s="104" t="str">
        <f t="shared" si="40"/>
        <v>22,10,090</v>
      </c>
      <c r="AC17" s="11" t="str">
        <f t="shared" si="21"/>
        <v>22</v>
      </c>
      <c r="AD17" s="11" t="str">
        <f t="shared" si="22"/>
        <v>10,090</v>
      </c>
      <c r="AE17" s="11">
        <f t="shared" si="23"/>
        <v>0.36946944444444441</v>
      </c>
      <c r="AF17" s="14">
        <f t="shared" si="1"/>
        <v>27.106436406558959</v>
      </c>
      <c r="AG17" s="41">
        <f t="shared" si="41"/>
        <v>-100</v>
      </c>
      <c r="AH17" s="40">
        <f t="shared" si="42"/>
        <v>20.3</v>
      </c>
      <c r="AI17" s="40">
        <f t="shared" si="24"/>
        <v>1.5089999999999999</v>
      </c>
      <c r="AJ17" s="40">
        <f t="shared" si="24"/>
        <v>1.504</v>
      </c>
      <c r="AK17" s="45">
        <f t="shared" si="25"/>
        <v>0</v>
      </c>
      <c r="AL17" s="45"/>
      <c r="AM17" s="34">
        <f t="shared" si="43"/>
        <v>5.0129999999999999</v>
      </c>
      <c r="AN17" s="33" t="str">
        <f t="shared" si="43"/>
        <v>17,59,050</v>
      </c>
      <c r="AO17" s="11" t="str">
        <f t="shared" si="26"/>
        <v>17</v>
      </c>
      <c r="AP17" s="11" t="str">
        <f t="shared" si="27"/>
        <v>59,050</v>
      </c>
      <c r="AQ17" s="11">
        <f t="shared" si="28"/>
        <v>0.29973611111111109</v>
      </c>
      <c r="AR17" s="14">
        <f t="shared" si="2"/>
        <v>16.724711551827998</v>
      </c>
      <c r="AS17" s="41">
        <f t="shared" si="3"/>
        <v>-100</v>
      </c>
      <c r="AT17" s="43" t="str">
        <f t="shared" si="4"/>
        <v>NO CONFORME</v>
      </c>
      <c r="AU17" s="8" t="b">
        <f t="shared" si="29"/>
        <v>1</v>
      </c>
      <c r="AV17" s="8" t="b">
        <f t="shared" si="30"/>
        <v>0</v>
      </c>
      <c r="AW17" s="8" t="b">
        <f t="shared" si="31"/>
        <v>1</v>
      </c>
      <c r="AX17" s="8" t="str">
        <f t="shared" si="32"/>
        <v>Qcorrecto</v>
      </c>
      <c r="AY17" s="22" t="str">
        <f t="shared" si="5"/>
        <v>aceptable</v>
      </c>
      <c r="AZ17" s="22" t="str">
        <f t="shared" si="6"/>
        <v>aceptable</v>
      </c>
      <c r="BA17" s="22" t="str">
        <f t="shared" si="33"/>
        <v>aceptable</v>
      </c>
      <c r="BB17" s="25" t="str">
        <f t="shared" si="34"/>
        <v>NO CONFORME</v>
      </c>
      <c r="BC17" s="5" t="str">
        <f t="shared" si="35"/>
        <v>NO CONFORME</v>
      </c>
      <c r="BD17" s="15">
        <f t="shared" si="7"/>
        <v>-1</v>
      </c>
      <c r="BE17" s="15">
        <f t="shared" si="8"/>
        <v>-1</v>
      </c>
      <c r="BF17" s="15">
        <f t="shared" si="9"/>
        <v>-1</v>
      </c>
      <c r="BG17" s="15" t="str">
        <f t="shared" si="10"/>
        <v>-1-1-1</v>
      </c>
      <c r="BH17" s="15" t="str">
        <f t="shared" si="11"/>
        <v>SD</v>
      </c>
      <c r="BI17" s="15" t="str">
        <f t="shared" si="12"/>
        <v>SI</v>
      </c>
      <c r="BJ17" s="15" t="b">
        <f t="shared" si="13"/>
        <v>1</v>
      </c>
      <c r="BK17" s="15" t="str">
        <f t="shared" si="14"/>
        <v>SIGIGUALES</v>
      </c>
      <c r="BL17" s="22" t="str">
        <f t="shared" si="15"/>
        <v>NO CONFORME</v>
      </c>
    </row>
    <row r="18" spans="1:64" ht="15" customHeight="1" thickBot="1" x14ac:dyDescent="0.3">
      <c r="A18" s="37">
        <v>10</v>
      </c>
      <c r="B18" s="93">
        <f t="shared" si="36"/>
        <v>45919</v>
      </c>
      <c r="C18" s="93">
        <f t="shared" si="36"/>
        <v>45919</v>
      </c>
      <c r="D18" s="94">
        <f t="shared" si="36"/>
        <v>6</v>
      </c>
      <c r="E18" s="95">
        <f t="shared" si="36"/>
        <v>15</v>
      </c>
      <c r="F18" s="52"/>
      <c r="G18" s="96"/>
      <c r="H18" s="97">
        <f t="shared" si="37"/>
        <v>25.6</v>
      </c>
      <c r="I18" s="98">
        <f t="shared" si="37"/>
        <v>0</v>
      </c>
      <c r="J18" s="99">
        <f t="shared" si="37"/>
        <v>20.9</v>
      </c>
      <c r="K18" s="99">
        <f t="shared" si="37"/>
        <v>7.883</v>
      </c>
      <c r="L18" s="99">
        <f t="shared" si="37"/>
        <v>0.55400000000000005</v>
      </c>
      <c r="M18" s="53"/>
      <c r="N18" s="53"/>
      <c r="O18" s="100">
        <f t="shared" si="38"/>
        <v>100.62</v>
      </c>
      <c r="P18" s="101" t="str">
        <f t="shared" si="38"/>
        <v>2,29,560</v>
      </c>
      <c r="Q18" s="11" t="str">
        <f t="shared" si="16"/>
        <v>2</v>
      </c>
      <c r="R18" s="11" t="str">
        <f t="shared" si="17"/>
        <v>29,560</v>
      </c>
      <c r="S18" s="11">
        <f t="shared" si="18"/>
        <v>4.1544444444444446E-2</v>
      </c>
      <c r="T18" s="14">
        <f t="shared" si="19"/>
        <v>2421.9844878309709</v>
      </c>
      <c r="U18" s="39">
        <f t="shared" si="0"/>
        <v>-100</v>
      </c>
      <c r="V18" s="105">
        <f t="shared" si="39"/>
        <v>20.399999999999999</v>
      </c>
      <c r="W18" s="105">
        <f t="shared" si="39"/>
        <v>1.5069999999999999</v>
      </c>
      <c r="X18" s="106">
        <f t="shared" si="20"/>
        <v>1.504</v>
      </c>
      <c r="Y18" s="53"/>
      <c r="Z18" s="53"/>
      <c r="AA18" s="107">
        <f t="shared" si="40"/>
        <v>10.015000000000001</v>
      </c>
      <c r="AB18" s="108" t="str">
        <f t="shared" si="40"/>
        <v>22,10,090</v>
      </c>
      <c r="AC18" s="11" t="str">
        <f t="shared" si="21"/>
        <v>22</v>
      </c>
      <c r="AD18" s="11" t="str">
        <f t="shared" si="22"/>
        <v>10,090</v>
      </c>
      <c r="AE18" s="11">
        <f t="shared" si="23"/>
        <v>0.36946944444444441</v>
      </c>
      <c r="AF18" s="14">
        <f t="shared" si="1"/>
        <v>27.106436406558959</v>
      </c>
      <c r="AG18" s="41">
        <f t="shared" si="41"/>
        <v>-100</v>
      </c>
      <c r="AH18" s="105">
        <f t="shared" si="42"/>
        <v>20.3</v>
      </c>
      <c r="AI18" s="105">
        <f t="shared" si="24"/>
        <v>1.5089999999999999</v>
      </c>
      <c r="AJ18" s="105">
        <f t="shared" si="24"/>
        <v>1.504</v>
      </c>
      <c r="AK18" s="53">
        <f t="shared" si="25"/>
        <v>0</v>
      </c>
      <c r="AL18" s="53"/>
      <c r="AM18" s="54">
        <f t="shared" si="43"/>
        <v>5.0129999999999999</v>
      </c>
      <c r="AN18" s="101" t="str">
        <f t="shared" si="43"/>
        <v>17,59,050</v>
      </c>
      <c r="AO18" s="11" t="str">
        <f t="shared" si="26"/>
        <v>17</v>
      </c>
      <c r="AP18" s="11" t="str">
        <f t="shared" si="27"/>
        <v>59,050</v>
      </c>
      <c r="AQ18" s="11">
        <f t="shared" si="28"/>
        <v>0.29973611111111109</v>
      </c>
      <c r="AR18" s="14">
        <f t="shared" si="2"/>
        <v>16.724711551827998</v>
      </c>
      <c r="AS18" s="41">
        <f t="shared" si="3"/>
        <v>-100</v>
      </c>
      <c r="AT18" s="43" t="str">
        <f t="shared" si="4"/>
        <v>NO CONFORME</v>
      </c>
      <c r="AU18" s="8" t="b">
        <f t="shared" si="29"/>
        <v>1</v>
      </c>
      <c r="AV18" s="8" t="b">
        <f t="shared" si="30"/>
        <v>0</v>
      </c>
      <c r="AW18" s="8" t="b">
        <f t="shared" si="31"/>
        <v>1</v>
      </c>
      <c r="AX18" s="8" t="str">
        <f t="shared" si="32"/>
        <v>Qcorrecto</v>
      </c>
      <c r="AY18" s="22" t="str">
        <f t="shared" si="5"/>
        <v>aceptable</v>
      </c>
      <c r="AZ18" s="22" t="str">
        <f t="shared" si="6"/>
        <v>aceptable</v>
      </c>
      <c r="BA18" s="22" t="str">
        <f t="shared" si="33"/>
        <v>aceptable</v>
      </c>
      <c r="BB18" s="25" t="str">
        <f t="shared" si="34"/>
        <v>NO CONFORME</v>
      </c>
      <c r="BC18" s="5" t="str">
        <f t="shared" si="35"/>
        <v>NO CONFORME</v>
      </c>
      <c r="BD18" s="15">
        <f t="shared" si="7"/>
        <v>-1</v>
      </c>
      <c r="BE18" s="15">
        <f t="shared" si="8"/>
        <v>-1</v>
      </c>
      <c r="BF18" s="15">
        <f t="shared" si="9"/>
        <v>-1</v>
      </c>
      <c r="BG18" s="15" t="str">
        <f t="shared" si="10"/>
        <v>-1-1-1</v>
      </c>
      <c r="BH18" s="15" t="str">
        <f t="shared" si="11"/>
        <v>SD</v>
      </c>
      <c r="BI18" s="15" t="str">
        <f t="shared" si="12"/>
        <v>SI</v>
      </c>
      <c r="BJ18" s="15" t="b">
        <f t="shared" si="13"/>
        <v>1</v>
      </c>
      <c r="BK18" s="15" t="str">
        <f t="shared" si="14"/>
        <v>SIGIGUALES</v>
      </c>
      <c r="BL18" s="22" t="str">
        <f t="shared" si="15"/>
        <v>NO CONFORME</v>
      </c>
    </row>
    <row r="19" spans="1:64" ht="15.75" customHeight="1" thickBot="1" x14ac:dyDescent="0.3">
      <c r="A19" s="37">
        <v>11</v>
      </c>
      <c r="B19" s="93">
        <f t="shared" ref="B19:E19" si="44">B18</f>
        <v>45919</v>
      </c>
      <c r="C19" s="93">
        <f t="shared" si="44"/>
        <v>45919</v>
      </c>
      <c r="D19" s="94">
        <f t="shared" si="44"/>
        <v>6</v>
      </c>
      <c r="E19" s="95">
        <f t="shared" si="44"/>
        <v>15</v>
      </c>
      <c r="F19" s="52"/>
      <c r="G19" s="96"/>
      <c r="H19" s="97">
        <f t="shared" ref="H19:L19" si="45">H18</f>
        <v>25.6</v>
      </c>
      <c r="I19" s="98">
        <f t="shared" si="45"/>
        <v>0</v>
      </c>
      <c r="J19" s="99">
        <f t="shared" si="45"/>
        <v>20.9</v>
      </c>
      <c r="K19" s="99">
        <f t="shared" si="45"/>
        <v>7.883</v>
      </c>
      <c r="L19" s="99">
        <f t="shared" si="45"/>
        <v>0.55400000000000005</v>
      </c>
      <c r="M19" s="53"/>
      <c r="N19" s="53"/>
      <c r="O19" s="100">
        <f t="shared" ref="O19:P19" si="46">O18</f>
        <v>100.62</v>
      </c>
      <c r="P19" s="101" t="str">
        <f t="shared" si="46"/>
        <v>2,29,560</v>
      </c>
      <c r="Q19" s="11" t="str">
        <f t="shared" ref="Q19:Q82" si="47">LEFT(P19,1)</f>
        <v>2</v>
      </c>
      <c r="R19" s="11" t="str">
        <f t="shared" ref="R19:R82" si="48">RIGHT(P19,6)</f>
        <v>29,560</v>
      </c>
      <c r="S19" s="11">
        <f t="shared" ref="S19:S82" si="49">+(Q19*60+R19)/(60*60)</f>
        <v>4.1544444444444446E-2</v>
      </c>
      <c r="T19" s="14">
        <f t="shared" ref="T19:T82" si="50">+O19/S19</f>
        <v>2421.9844878309709</v>
      </c>
      <c r="U19" s="39">
        <f t="shared" ref="U19:U82" si="51">+(((N19-M19-O19)/O19)*100)</f>
        <v>-100</v>
      </c>
      <c r="V19" s="105">
        <f t="shared" ref="V19:W19" si="52">V18</f>
        <v>20.399999999999999</v>
      </c>
      <c r="W19" s="105">
        <f t="shared" si="52"/>
        <v>1.5069999999999999</v>
      </c>
      <c r="X19" s="106">
        <f t="shared" si="20"/>
        <v>1.504</v>
      </c>
      <c r="Y19" s="53"/>
      <c r="Z19" s="53"/>
      <c r="AA19" s="107">
        <f t="shared" ref="AA19:AB19" si="53">AA18</f>
        <v>10.015000000000001</v>
      </c>
      <c r="AB19" s="108" t="str">
        <f t="shared" si="53"/>
        <v>22,10,090</v>
      </c>
      <c r="AC19" s="11" t="str">
        <f t="shared" ref="AC19:AC82" si="54">LEFT(AB19,2)</f>
        <v>22</v>
      </c>
      <c r="AD19" s="11" t="str">
        <f t="shared" ref="AD19:AD82" si="55">RIGHT(AB19,6)</f>
        <v>10,090</v>
      </c>
      <c r="AE19" s="11">
        <f t="shared" ref="AE19:AE82" si="56">+(AC19*60+AD19)/(60*60)</f>
        <v>0.36946944444444441</v>
      </c>
      <c r="AF19" s="14">
        <f t="shared" ref="AF19:AF82" si="57">+AA19/AE19</f>
        <v>27.106436406558959</v>
      </c>
      <c r="AG19" s="41">
        <f t="shared" ref="AG19:AG82" si="58">+(((Z19-Y19-AA19)/AA19)*100)</f>
        <v>-100</v>
      </c>
      <c r="AH19" s="105">
        <f t="shared" si="42"/>
        <v>20.3</v>
      </c>
      <c r="AI19" s="105">
        <f t="shared" si="42"/>
        <v>1.5089999999999999</v>
      </c>
      <c r="AJ19" s="105">
        <f t="shared" si="42"/>
        <v>1.504</v>
      </c>
      <c r="AK19" s="53">
        <f t="shared" ref="AK19:AK82" si="59">Z19</f>
        <v>0</v>
      </c>
      <c r="AL19" s="53"/>
      <c r="AM19" s="54">
        <f t="shared" ref="AM19:AN19" si="60">AM18</f>
        <v>5.0129999999999999</v>
      </c>
      <c r="AN19" s="101" t="str">
        <f t="shared" si="60"/>
        <v>17,59,050</v>
      </c>
      <c r="AO19" s="11" t="str">
        <f t="shared" ref="AO19:AO82" si="61">LEFT(AN19,2)</f>
        <v>17</v>
      </c>
      <c r="AP19" s="11" t="str">
        <f t="shared" ref="AP19:AP82" si="62">RIGHT(AN19,6)</f>
        <v>59,050</v>
      </c>
      <c r="AQ19" s="11">
        <f t="shared" ref="AQ19:AQ82" si="63">+(AO19*60+AP19)/(60*60)</f>
        <v>0.29973611111111109</v>
      </c>
      <c r="AR19" s="14">
        <f t="shared" ref="AR19:AR82" si="64">+AM19/AQ19</f>
        <v>16.724711551827998</v>
      </c>
      <c r="AS19" s="41">
        <f t="shared" ref="AS19:AS82" si="65">+(((AL19-AK19-AM19)/AM19)*100)</f>
        <v>-100</v>
      </c>
      <c r="AT19" s="43" t="str">
        <f t="shared" ref="AT19:AT82" si="66">IF(I19&gt;=1,"NO CONFORME",IF(BK19="SIGDIFERENTES",BC19,BL19))</f>
        <v>NO CONFORME</v>
      </c>
      <c r="AU19" s="8" t="b">
        <f t="shared" si="29"/>
        <v>1</v>
      </c>
      <c r="AV19" s="8" t="b">
        <f t="shared" si="30"/>
        <v>0</v>
      </c>
      <c r="AW19" s="8" t="b">
        <f t="shared" si="31"/>
        <v>1</v>
      </c>
      <c r="AX19" s="8" t="str">
        <f t="shared" si="32"/>
        <v>Qcorrecto</v>
      </c>
      <c r="AY19" s="22" t="str">
        <f t="shared" si="5"/>
        <v>aceptable</v>
      </c>
      <c r="AZ19" s="22" t="str">
        <f t="shared" si="6"/>
        <v>aceptable</v>
      </c>
      <c r="BA19" s="22" t="str">
        <f t="shared" si="33"/>
        <v>aceptable</v>
      </c>
      <c r="BB19" s="25" t="str">
        <f t="shared" si="34"/>
        <v>NO CONFORME</v>
      </c>
      <c r="BC19" s="5" t="str">
        <f t="shared" si="35"/>
        <v>NO CONFORME</v>
      </c>
      <c r="BD19" s="15">
        <f t="shared" si="7"/>
        <v>-1</v>
      </c>
      <c r="BE19" s="15">
        <f t="shared" si="8"/>
        <v>-1</v>
      </c>
      <c r="BF19" s="15">
        <f t="shared" si="9"/>
        <v>-1</v>
      </c>
      <c r="BG19" s="15" t="str">
        <f t="shared" si="10"/>
        <v>-1-1-1</v>
      </c>
      <c r="BH19" s="15" t="str">
        <f t="shared" si="11"/>
        <v>SD</v>
      </c>
      <c r="BI19" s="15" t="str">
        <f t="shared" si="12"/>
        <v>SI</v>
      </c>
      <c r="BJ19" s="15" t="b">
        <f t="shared" si="13"/>
        <v>1</v>
      </c>
      <c r="BK19" s="15" t="str">
        <f t="shared" si="14"/>
        <v>SIGIGUALES</v>
      </c>
      <c r="BL19" s="22" t="str">
        <f t="shared" si="15"/>
        <v>NO CONFORME</v>
      </c>
    </row>
    <row r="20" spans="1:64" ht="15" customHeight="1" thickBot="1" x14ac:dyDescent="0.3">
      <c r="A20" s="37">
        <v>12</v>
      </c>
      <c r="B20" s="93">
        <f t="shared" ref="B20:E20" si="67">B19</f>
        <v>45919</v>
      </c>
      <c r="C20" s="93">
        <f t="shared" si="67"/>
        <v>45919</v>
      </c>
      <c r="D20" s="94">
        <f t="shared" si="67"/>
        <v>6</v>
      </c>
      <c r="E20" s="95">
        <f t="shared" si="67"/>
        <v>15</v>
      </c>
      <c r="F20" s="52"/>
      <c r="G20" s="96"/>
      <c r="H20" s="97">
        <f t="shared" ref="H20:L20" si="68">H19</f>
        <v>25.6</v>
      </c>
      <c r="I20" s="98">
        <f t="shared" si="68"/>
        <v>0</v>
      </c>
      <c r="J20" s="99">
        <f t="shared" si="68"/>
        <v>20.9</v>
      </c>
      <c r="K20" s="99">
        <f t="shared" si="68"/>
        <v>7.883</v>
      </c>
      <c r="L20" s="99">
        <f t="shared" si="68"/>
        <v>0.55400000000000005</v>
      </c>
      <c r="M20" s="53"/>
      <c r="N20" s="53"/>
      <c r="O20" s="100">
        <f t="shared" ref="O20:P20" si="69">O19</f>
        <v>100.62</v>
      </c>
      <c r="P20" s="101" t="str">
        <f t="shared" si="69"/>
        <v>2,29,560</v>
      </c>
      <c r="Q20" s="11" t="str">
        <f t="shared" si="47"/>
        <v>2</v>
      </c>
      <c r="R20" s="11" t="str">
        <f t="shared" si="48"/>
        <v>29,560</v>
      </c>
      <c r="S20" s="11">
        <f t="shared" si="49"/>
        <v>4.1544444444444446E-2</v>
      </c>
      <c r="T20" s="14">
        <f t="shared" si="50"/>
        <v>2421.9844878309709</v>
      </c>
      <c r="U20" s="39">
        <f t="shared" si="51"/>
        <v>-100</v>
      </c>
      <c r="V20" s="105">
        <f t="shared" ref="V20:W20" si="70">V19</f>
        <v>20.399999999999999</v>
      </c>
      <c r="W20" s="105">
        <f t="shared" si="70"/>
        <v>1.5069999999999999</v>
      </c>
      <c r="X20" s="106">
        <f t="shared" si="20"/>
        <v>1.504</v>
      </c>
      <c r="Y20" s="53"/>
      <c r="Z20" s="53"/>
      <c r="AA20" s="107">
        <f t="shared" ref="AA20:AB20" si="71">AA19</f>
        <v>10.015000000000001</v>
      </c>
      <c r="AB20" s="108" t="str">
        <f t="shared" si="71"/>
        <v>22,10,090</v>
      </c>
      <c r="AC20" s="11" t="str">
        <f t="shared" si="54"/>
        <v>22</v>
      </c>
      <c r="AD20" s="11" t="str">
        <f t="shared" si="55"/>
        <v>10,090</v>
      </c>
      <c r="AE20" s="11">
        <f t="shared" si="56"/>
        <v>0.36946944444444441</v>
      </c>
      <c r="AF20" s="14">
        <f t="shared" si="57"/>
        <v>27.106436406558959</v>
      </c>
      <c r="AG20" s="41">
        <f t="shared" si="58"/>
        <v>-100</v>
      </c>
      <c r="AH20" s="105">
        <f t="shared" si="42"/>
        <v>20.3</v>
      </c>
      <c r="AI20" s="105">
        <f t="shared" si="42"/>
        <v>1.5089999999999999</v>
      </c>
      <c r="AJ20" s="105">
        <f t="shared" si="42"/>
        <v>1.504</v>
      </c>
      <c r="AK20" s="53">
        <f t="shared" si="59"/>
        <v>0</v>
      </c>
      <c r="AL20" s="53"/>
      <c r="AM20" s="54">
        <f t="shared" ref="AM20:AN20" si="72">AM19</f>
        <v>5.0129999999999999</v>
      </c>
      <c r="AN20" s="101" t="str">
        <f t="shared" si="72"/>
        <v>17,59,050</v>
      </c>
      <c r="AO20" s="11" t="str">
        <f t="shared" si="61"/>
        <v>17</v>
      </c>
      <c r="AP20" s="11" t="str">
        <f t="shared" si="62"/>
        <v>59,050</v>
      </c>
      <c r="AQ20" s="11">
        <f t="shared" si="63"/>
        <v>0.29973611111111109</v>
      </c>
      <c r="AR20" s="14">
        <f t="shared" si="64"/>
        <v>16.724711551827998</v>
      </c>
      <c r="AS20" s="41">
        <f t="shared" si="65"/>
        <v>-100</v>
      </c>
      <c r="AT20" s="43" t="str">
        <f t="shared" si="66"/>
        <v>NO CONFORME</v>
      </c>
      <c r="AU20" s="8" t="b">
        <f t="shared" si="29"/>
        <v>1</v>
      </c>
      <c r="AV20" s="8" t="b">
        <f t="shared" si="30"/>
        <v>0</v>
      </c>
      <c r="AW20" s="8" t="b">
        <f t="shared" si="31"/>
        <v>1</v>
      </c>
      <c r="AX20" s="8" t="str">
        <f t="shared" si="32"/>
        <v>Qcorrecto</v>
      </c>
      <c r="AY20" s="22" t="str">
        <f t="shared" si="5"/>
        <v>aceptable</v>
      </c>
      <c r="AZ20" s="22" t="str">
        <f t="shared" si="6"/>
        <v>aceptable</v>
      </c>
      <c r="BA20" s="22" t="str">
        <f t="shared" si="33"/>
        <v>aceptable</v>
      </c>
      <c r="BB20" s="25" t="str">
        <f t="shared" si="34"/>
        <v>NO CONFORME</v>
      </c>
      <c r="BC20" s="5" t="str">
        <f t="shared" si="35"/>
        <v>NO CONFORME</v>
      </c>
      <c r="BD20" s="15">
        <f t="shared" si="7"/>
        <v>-1</v>
      </c>
      <c r="BE20" s="15">
        <f t="shared" si="8"/>
        <v>-1</v>
      </c>
      <c r="BF20" s="15">
        <f t="shared" si="9"/>
        <v>-1</v>
      </c>
      <c r="BG20" s="15" t="str">
        <f t="shared" si="10"/>
        <v>-1-1-1</v>
      </c>
      <c r="BH20" s="15" t="str">
        <f t="shared" si="11"/>
        <v>SD</v>
      </c>
      <c r="BI20" s="15" t="str">
        <f t="shared" si="12"/>
        <v>SI</v>
      </c>
      <c r="BJ20" s="15" t="b">
        <f t="shared" si="13"/>
        <v>1</v>
      </c>
      <c r="BK20" s="15" t="str">
        <f t="shared" si="14"/>
        <v>SIGIGUALES</v>
      </c>
      <c r="BL20" s="22" t="str">
        <f t="shared" si="15"/>
        <v>NO CONFORME</v>
      </c>
    </row>
    <row r="21" spans="1:64" ht="15" customHeight="1" thickBot="1" x14ac:dyDescent="0.3">
      <c r="A21" s="37">
        <v>13</v>
      </c>
      <c r="B21" s="93">
        <f t="shared" ref="B21:E21" si="73">B20</f>
        <v>45919</v>
      </c>
      <c r="C21" s="93">
        <f t="shared" si="73"/>
        <v>45919</v>
      </c>
      <c r="D21" s="94">
        <f t="shared" si="73"/>
        <v>6</v>
      </c>
      <c r="E21" s="95">
        <f t="shared" si="73"/>
        <v>15</v>
      </c>
      <c r="F21" s="52"/>
      <c r="G21" s="96"/>
      <c r="H21" s="97">
        <f t="shared" ref="H21:L21" si="74">H20</f>
        <v>25.6</v>
      </c>
      <c r="I21" s="98">
        <f t="shared" si="74"/>
        <v>0</v>
      </c>
      <c r="J21" s="99">
        <f t="shared" si="74"/>
        <v>20.9</v>
      </c>
      <c r="K21" s="99">
        <f t="shared" si="74"/>
        <v>7.883</v>
      </c>
      <c r="L21" s="99">
        <f t="shared" si="74"/>
        <v>0.55400000000000005</v>
      </c>
      <c r="M21" s="53"/>
      <c r="N21" s="53"/>
      <c r="O21" s="100">
        <f t="shared" ref="O21:P21" si="75">O20</f>
        <v>100.62</v>
      </c>
      <c r="P21" s="101" t="str">
        <f t="shared" si="75"/>
        <v>2,29,560</v>
      </c>
      <c r="Q21" s="11" t="str">
        <f t="shared" si="47"/>
        <v>2</v>
      </c>
      <c r="R21" s="11" t="str">
        <f t="shared" si="48"/>
        <v>29,560</v>
      </c>
      <c r="S21" s="11">
        <f t="shared" si="49"/>
        <v>4.1544444444444446E-2</v>
      </c>
      <c r="T21" s="14">
        <f t="shared" si="50"/>
        <v>2421.9844878309709</v>
      </c>
      <c r="U21" s="39">
        <f t="shared" si="51"/>
        <v>-100</v>
      </c>
      <c r="V21" s="105">
        <f t="shared" ref="V21:W21" si="76">V20</f>
        <v>20.399999999999999</v>
      </c>
      <c r="W21" s="105">
        <f t="shared" si="76"/>
        <v>1.5069999999999999</v>
      </c>
      <c r="X21" s="106">
        <f t="shared" si="20"/>
        <v>1.504</v>
      </c>
      <c r="Y21" s="53"/>
      <c r="Z21" s="53"/>
      <c r="AA21" s="107">
        <f t="shared" ref="AA21:AB21" si="77">AA20</f>
        <v>10.015000000000001</v>
      </c>
      <c r="AB21" s="108" t="str">
        <f t="shared" si="77"/>
        <v>22,10,090</v>
      </c>
      <c r="AC21" s="11" t="str">
        <f t="shared" si="54"/>
        <v>22</v>
      </c>
      <c r="AD21" s="11" t="str">
        <f t="shared" si="55"/>
        <v>10,090</v>
      </c>
      <c r="AE21" s="11">
        <f t="shared" si="56"/>
        <v>0.36946944444444441</v>
      </c>
      <c r="AF21" s="14">
        <f t="shared" si="57"/>
        <v>27.106436406558959</v>
      </c>
      <c r="AG21" s="41">
        <f t="shared" si="58"/>
        <v>-100</v>
      </c>
      <c r="AH21" s="105">
        <f t="shared" si="42"/>
        <v>20.3</v>
      </c>
      <c r="AI21" s="105">
        <f t="shared" si="42"/>
        <v>1.5089999999999999</v>
      </c>
      <c r="AJ21" s="105">
        <f t="shared" si="42"/>
        <v>1.504</v>
      </c>
      <c r="AK21" s="53">
        <f t="shared" si="59"/>
        <v>0</v>
      </c>
      <c r="AL21" s="53"/>
      <c r="AM21" s="54">
        <f t="shared" ref="AM21:AN21" si="78">AM20</f>
        <v>5.0129999999999999</v>
      </c>
      <c r="AN21" s="101" t="str">
        <f t="shared" si="78"/>
        <v>17,59,050</v>
      </c>
      <c r="AO21" s="11" t="str">
        <f t="shared" si="61"/>
        <v>17</v>
      </c>
      <c r="AP21" s="11" t="str">
        <f t="shared" si="62"/>
        <v>59,050</v>
      </c>
      <c r="AQ21" s="11">
        <f t="shared" si="63"/>
        <v>0.29973611111111109</v>
      </c>
      <c r="AR21" s="14">
        <f t="shared" si="64"/>
        <v>16.724711551827998</v>
      </c>
      <c r="AS21" s="41">
        <f t="shared" si="65"/>
        <v>-100</v>
      </c>
      <c r="AT21" s="43" t="str">
        <f t="shared" si="66"/>
        <v>NO CONFORME</v>
      </c>
      <c r="AU21" s="8" t="b">
        <f t="shared" si="29"/>
        <v>1</v>
      </c>
      <c r="AV21" s="8" t="b">
        <f t="shared" si="30"/>
        <v>0</v>
      </c>
      <c r="AW21" s="8" t="b">
        <f t="shared" si="31"/>
        <v>1</v>
      </c>
      <c r="AX21" s="8" t="str">
        <f t="shared" si="32"/>
        <v>Qcorrecto</v>
      </c>
      <c r="AY21" s="22" t="str">
        <f t="shared" si="5"/>
        <v>aceptable</v>
      </c>
      <c r="AZ21" s="22" t="str">
        <f t="shared" si="6"/>
        <v>aceptable</v>
      </c>
      <c r="BA21" s="22" t="str">
        <f t="shared" si="33"/>
        <v>aceptable</v>
      </c>
      <c r="BB21" s="25" t="str">
        <f t="shared" si="34"/>
        <v>NO CONFORME</v>
      </c>
      <c r="BC21" s="5" t="str">
        <f t="shared" si="35"/>
        <v>NO CONFORME</v>
      </c>
      <c r="BD21" s="15">
        <f t="shared" si="7"/>
        <v>-1</v>
      </c>
      <c r="BE21" s="15">
        <f t="shared" si="8"/>
        <v>-1</v>
      </c>
      <c r="BF21" s="15">
        <f t="shared" si="9"/>
        <v>-1</v>
      </c>
      <c r="BG21" s="15" t="str">
        <f t="shared" si="10"/>
        <v>-1-1-1</v>
      </c>
      <c r="BH21" s="15" t="str">
        <f t="shared" si="11"/>
        <v>SD</v>
      </c>
      <c r="BI21" s="15" t="str">
        <f t="shared" si="12"/>
        <v>SI</v>
      </c>
      <c r="BJ21" s="15" t="b">
        <f t="shared" si="13"/>
        <v>1</v>
      </c>
      <c r="BK21" s="15" t="str">
        <f t="shared" si="14"/>
        <v>SIGIGUALES</v>
      </c>
      <c r="BL21" s="22" t="str">
        <f t="shared" si="15"/>
        <v>NO CONFORME</v>
      </c>
    </row>
    <row r="22" spans="1:64" ht="15.75" customHeight="1" thickBot="1" x14ac:dyDescent="0.3">
      <c r="A22" s="37">
        <v>14</v>
      </c>
      <c r="B22" s="93">
        <f t="shared" ref="B22:E22" si="79">B21</f>
        <v>45919</v>
      </c>
      <c r="C22" s="93">
        <f t="shared" si="79"/>
        <v>45919</v>
      </c>
      <c r="D22" s="94">
        <f t="shared" si="79"/>
        <v>6</v>
      </c>
      <c r="E22" s="95">
        <f t="shared" si="79"/>
        <v>15</v>
      </c>
      <c r="F22" s="52"/>
      <c r="G22" s="96"/>
      <c r="H22" s="97">
        <f t="shared" ref="H22:L22" si="80">H21</f>
        <v>25.6</v>
      </c>
      <c r="I22" s="98">
        <f t="shared" si="80"/>
        <v>0</v>
      </c>
      <c r="J22" s="99">
        <f t="shared" si="80"/>
        <v>20.9</v>
      </c>
      <c r="K22" s="99">
        <f t="shared" si="80"/>
        <v>7.883</v>
      </c>
      <c r="L22" s="99">
        <f t="shared" si="80"/>
        <v>0.55400000000000005</v>
      </c>
      <c r="M22" s="53"/>
      <c r="N22" s="53"/>
      <c r="O22" s="100">
        <f t="shared" ref="O22:P22" si="81">O21</f>
        <v>100.62</v>
      </c>
      <c r="P22" s="101" t="str">
        <f t="shared" si="81"/>
        <v>2,29,560</v>
      </c>
      <c r="Q22" s="11" t="str">
        <f t="shared" si="47"/>
        <v>2</v>
      </c>
      <c r="R22" s="11" t="str">
        <f t="shared" si="48"/>
        <v>29,560</v>
      </c>
      <c r="S22" s="11">
        <f t="shared" si="49"/>
        <v>4.1544444444444446E-2</v>
      </c>
      <c r="T22" s="14">
        <f t="shared" si="50"/>
        <v>2421.9844878309709</v>
      </c>
      <c r="U22" s="39">
        <f t="shared" si="51"/>
        <v>-100</v>
      </c>
      <c r="V22" s="105">
        <f t="shared" ref="V22:W22" si="82">V21</f>
        <v>20.399999999999999</v>
      </c>
      <c r="W22" s="105">
        <f t="shared" si="82"/>
        <v>1.5069999999999999</v>
      </c>
      <c r="X22" s="106">
        <f t="shared" si="20"/>
        <v>1.504</v>
      </c>
      <c r="Y22" s="53"/>
      <c r="Z22" s="53"/>
      <c r="AA22" s="107">
        <f t="shared" ref="AA22:AB22" si="83">AA21</f>
        <v>10.015000000000001</v>
      </c>
      <c r="AB22" s="108" t="str">
        <f t="shared" si="83"/>
        <v>22,10,090</v>
      </c>
      <c r="AC22" s="11" t="str">
        <f t="shared" si="54"/>
        <v>22</v>
      </c>
      <c r="AD22" s="11" t="str">
        <f t="shared" si="55"/>
        <v>10,090</v>
      </c>
      <c r="AE22" s="11">
        <f t="shared" si="56"/>
        <v>0.36946944444444441</v>
      </c>
      <c r="AF22" s="14">
        <f t="shared" si="57"/>
        <v>27.106436406558959</v>
      </c>
      <c r="AG22" s="41">
        <f t="shared" si="58"/>
        <v>-100</v>
      </c>
      <c r="AH22" s="105">
        <f t="shared" si="42"/>
        <v>20.3</v>
      </c>
      <c r="AI22" s="105">
        <f t="shared" si="42"/>
        <v>1.5089999999999999</v>
      </c>
      <c r="AJ22" s="105">
        <f t="shared" si="42"/>
        <v>1.504</v>
      </c>
      <c r="AK22" s="53">
        <f t="shared" si="59"/>
        <v>0</v>
      </c>
      <c r="AL22" s="53"/>
      <c r="AM22" s="54">
        <f t="shared" ref="AM22:AN22" si="84">AM21</f>
        <v>5.0129999999999999</v>
      </c>
      <c r="AN22" s="101" t="str">
        <f t="shared" si="84"/>
        <v>17,59,050</v>
      </c>
      <c r="AO22" s="11" t="str">
        <f t="shared" si="61"/>
        <v>17</v>
      </c>
      <c r="AP22" s="11" t="str">
        <f t="shared" si="62"/>
        <v>59,050</v>
      </c>
      <c r="AQ22" s="11">
        <f t="shared" si="63"/>
        <v>0.29973611111111109</v>
      </c>
      <c r="AR22" s="14">
        <f t="shared" si="64"/>
        <v>16.724711551827998</v>
      </c>
      <c r="AS22" s="41">
        <f t="shared" si="65"/>
        <v>-100</v>
      </c>
      <c r="AT22" s="43" t="str">
        <f t="shared" si="66"/>
        <v>NO CONFORME</v>
      </c>
      <c r="AU22" s="8" t="b">
        <f t="shared" si="29"/>
        <v>1</v>
      </c>
      <c r="AV22" s="8" t="b">
        <f t="shared" si="30"/>
        <v>0</v>
      </c>
      <c r="AW22" s="8" t="b">
        <f t="shared" si="31"/>
        <v>1</v>
      </c>
      <c r="AX22" s="8" t="str">
        <f t="shared" si="32"/>
        <v>Qcorrecto</v>
      </c>
      <c r="AY22" s="22" t="str">
        <f t="shared" si="5"/>
        <v>aceptable</v>
      </c>
      <c r="AZ22" s="22" t="str">
        <f t="shared" si="6"/>
        <v>aceptable</v>
      </c>
      <c r="BA22" s="22" t="str">
        <f t="shared" si="33"/>
        <v>aceptable</v>
      </c>
      <c r="BB22" s="25" t="str">
        <f t="shared" si="34"/>
        <v>NO CONFORME</v>
      </c>
      <c r="BC22" s="5" t="str">
        <f t="shared" si="35"/>
        <v>NO CONFORME</v>
      </c>
      <c r="BD22" s="15">
        <f t="shared" si="7"/>
        <v>-1</v>
      </c>
      <c r="BE22" s="15">
        <f t="shared" si="8"/>
        <v>-1</v>
      </c>
      <c r="BF22" s="15">
        <f t="shared" si="9"/>
        <v>-1</v>
      </c>
      <c r="BG22" s="15" t="str">
        <f t="shared" si="10"/>
        <v>-1-1-1</v>
      </c>
      <c r="BH22" s="15" t="str">
        <f t="shared" si="11"/>
        <v>SD</v>
      </c>
      <c r="BI22" s="15" t="str">
        <f t="shared" si="12"/>
        <v>SI</v>
      </c>
      <c r="BJ22" s="15" t="b">
        <f t="shared" si="13"/>
        <v>1</v>
      </c>
      <c r="BK22" s="15" t="str">
        <f t="shared" si="14"/>
        <v>SIGIGUALES</v>
      </c>
      <c r="BL22" s="22" t="str">
        <f t="shared" si="15"/>
        <v>NO CONFORME</v>
      </c>
    </row>
    <row r="23" spans="1:64" ht="15" customHeight="1" thickBot="1" x14ac:dyDescent="0.3">
      <c r="A23" s="37">
        <v>15</v>
      </c>
      <c r="B23" s="93">
        <f t="shared" ref="B23:E23" si="85">B22</f>
        <v>45919</v>
      </c>
      <c r="C23" s="93">
        <f t="shared" si="85"/>
        <v>45919</v>
      </c>
      <c r="D23" s="94">
        <f t="shared" si="85"/>
        <v>6</v>
      </c>
      <c r="E23" s="95">
        <f t="shared" si="85"/>
        <v>15</v>
      </c>
      <c r="F23" s="52"/>
      <c r="G23" s="96"/>
      <c r="H23" s="97">
        <f t="shared" ref="H23:L23" si="86">H22</f>
        <v>25.6</v>
      </c>
      <c r="I23" s="98">
        <f t="shared" si="86"/>
        <v>0</v>
      </c>
      <c r="J23" s="99">
        <f t="shared" si="86"/>
        <v>20.9</v>
      </c>
      <c r="K23" s="99">
        <f t="shared" si="86"/>
        <v>7.883</v>
      </c>
      <c r="L23" s="99">
        <f t="shared" si="86"/>
        <v>0.55400000000000005</v>
      </c>
      <c r="M23" s="53"/>
      <c r="N23" s="53"/>
      <c r="O23" s="100">
        <f t="shared" ref="O23:P23" si="87">O22</f>
        <v>100.62</v>
      </c>
      <c r="P23" s="101" t="str">
        <f t="shared" si="87"/>
        <v>2,29,560</v>
      </c>
      <c r="Q23" s="11" t="str">
        <f t="shared" si="47"/>
        <v>2</v>
      </c>
      <c r="R23" s="11" t="str">
        <f t="shared" si="48"/>
        <v>29,560</v>
      </c>
      <c r="S23" s="11">
        <f t="shared" si="49"/>
        <v>4.1544444444444446E-2</v>
      </c>
      <c r="T23" s="14">
        <f t="shared" si="50"/>
        <v>2421.9844878309709</v>
      </c>
      <c r="U23" s="39">
        <f t="shared" si="51"/>
        <v>-100</v>
      </c>
      <c r="V23" s="105">
        <f t="shared" ref="V23:W23" si="88">V22</f>
        <v>20.399999999999999</v>
      </c>
      <c r="W23" s="105">
        <f t="shared" si="88"/>
        <v>1.5069999999999999</v>
      </c>
      <c r="X23" s="106">
        <f t="shared" si="20"/>
        <v>1.504</v>
      </c>
      <c r="Y23" s="53"/>
      <c r="Z23" s="53"/>
      <c r="AA23" s="107">
        <f t="shared" ref="AA23:AB23" si="89">AA22</f>
        <v>10.015000000000001</v>
      </c>
      <c r="AB23" s="108" t="str">
        <f t="shared" si="89"/>
        <v>22,10,090</v>
      </c>
      <c r="AC23" s="11" t="str">
        <f t="shared" si="54"/>
        <v>22</v>
      </c>
      <c r="AD23" s="11" t="str">
        <f t="shared" si="55"/>
        <v>10,090</v>
      </c>
      <c r="AE23" s="11">
        <f t="shared" si="56"/>
        <v>0.36946944444444441</v>
      </c>
      <c r="AF23" s="14">
        <f t="shared" si="57"/>
        <v>27.106436406558959</v>
      </c>
      <c r="AG23" s="41">
        <f t="shared" si="58"/>
        <v>-100</v>
      </c>
      <c r="AH23" s="105">
        <f t="shared" si="42"/>
        <v>20.3</v>
      </c>
      <c r="AI23" s="105">
        <f t="shared" si="42"/>
        <v>1.5089999999999999</v>
      </c>
      <c r="AJ23" s="105">
        <f t="shared" si="42"/>
        <v>1.504</v>
      </c>
      <c r="AK23" s="53">
        <f t="shared" si="59"/>
        <v>0</v>
      </c>
      <c r="AL23" s="53"/>
      <c r="AM23" s="54">
        <f t="shared" ref="AM23:AN23" si="90">AM22</f>
        <v>5.0129999999999999</v>
      </c>
      <c r="AN23" s="101" t="str">
        <f t="shared" si="90"/>
        <v>17,59,050</v>
      </c>
      <c r="AO23" s="11" t="str">
        <f t="shared" si="61"/>
        <v>17</v>
      </c>
      <c r="AP23" s="11" t="str">
        <f t="shared" si="62"/>
        <v>59,050</v>
      </c>
      <c r="AQ23" s="11">
        <f t="shared" si="63"/>
        <v>0.29973611111111109</v>
      </c>
      <c r="AR23" s="14">
        <f t="shared" si="64"/>
        <v>16.724711551827998</v>
      </c>
      <c r="AS23" s="41">
        <f t="shared" si="65"/>
        <v>-100</v>
      </c>
      <c r="AT23" s="43" t="str">
        <f t="shared" si="66"/>
        <v>NO CONFORME</v>
      </c>
      <c r="AU23" s="8" t="b">
        <f t="shared" si="29"/>
        <v>1</v>
      </c>
      <c r="AV23" s="8" t="b">
        <f t="shared" si="30"/>
        <v>0</v>
      </c>
      <c r="AW23" s="8" t="b">
        <f t="shared" si="31"/>
        <v>1</v>
      </c>
      <c r="AX23" s="8" t="str">
        <f t="shared" si="32"/>
        <v>Qcorrecto</v>
      </c>
      <c r="AY23" s="22" t="str">
        <f t="shared" si="5"/>
        <v>aceptable</v>
      </c>
      <c r="AZ23" s="22" t="str">
        <f t="shared" si="6"/>
        <v>aceptable</v>
      </c>
      <c r="BA23" s="22" t="str">
        <f t="shared" si="33"/>
        <v>aceptable</v>
      </c>
      <c r="BB23" s="25" t="str">
        <f t="shared" si="34"/>
        <v>NO CONFORME</v>
      </c>
      <c r="BC23" s="5" t="str">
        <f t="shared" si="35"/>
        <v>NO CONFORME</v>
      </c>
      <c r="BD23" s="15">
        <f t="shared" si="7"/>
        <v>-1</v>
      </c>
      <c r="BE23" s="15">
        <f t="shared" si="8"/>
        <v>-1</v>
      </c>
      <c r="BF23" s="15">
        <f t="shared" si="9"/>
        <v>-1</v>
      </c>
      <c r="BG23" s="15" t="str">
        <f t="shared" si="10"/>
        <v>-1-1-1</v>
      </c>
      <c r="BH23" s="15" t="str">
        <f t="shared" si="11"/>
        <v>SD</v>
      </c>
      <c r="BI23" s="15" t="str">
        <f t="shared" si="12"/>
        <v>SI</v>
      </c>
      <c r="BJ23" s="15" t="b">
        <f t="shared" si="13"/>
        <v>1</v>
      </c>
      <c r="BK23" s="15" t="str">
        <f t="shared" si="14"/>
        <v>SIGIGUALES</v>
      </c>
      <c r="BL23" s="22" t="str">
        <f t="shared" si="15"/>
        <v>NO CONFORME</v>
      </c>
    </row>
    <row r="24" spans="1:64" ht="15" customHeight="1" thickBot="1" x14ac:dyDescent="0.3">
      <c r="A24" s="37">
        <v>16</v>
      </c>
      <c r="B24" s="93">
        <f t="shared" ref="B24:E24" si="91">B23</f>
        <v>45919</v>
      </c>
      <c r="C24" s="93">
        <f t="shared" si="91"/>
        <v>45919</v>
      </c>
      <c r="D24" s="94">
        <f t="shared" si="91"/>
        <v>6</v>
      </c>
      <c r="E24" s="95">
        <f t="shared" si="91"/>
        <v>15</v>
      </c>
      <c r="F24" s="52"/>
      <c r="G24" s="96"/>
      <c r="H24" s="97">
        <f t="shared" ref="H24:L24" si="92">H23</f>
        <v>25.6</v>
      </c>
      <c r="I24" s="98">
        <f t="shared" si="92"/>
        <v>0</v>
      </c>
      <c r="J24" s="99">
        <f t="shared" si="92"/>
        <v>20.9</v>
      </c>
      <c r="K24" s="99">
        <f t="shared" si="92"/>
        <v>7.883</v>
      </c>
      <c r="L24" s="99">
        <f t="shared" si="92"/>
        <v>0.55400000000000005</v>
      </c>
      <c r="M24" s="53"/>
      <c r="N24" s="53"/>
      <c r="O24" s="100">
        <f t="shared" ref="O24:P24" si="93">O23</f>
        <v>100.62</v>
      </c>
      <c r="P24" s="101" t="str">
        <f t="shared" si="93"/>
        <v>2,29,560</v>
      </c>
      <c r="Q24" s="11" t="str">
        <f t="shared" si="47"/>
        <v>2</v>
      </c>
      <c r="R24" s="11" t="str">
        <f t="shared" si="48"/>
        <v>29,560</v>
      </c>
      <c r="S24" s="11">
        <f t="shared" si="49"/>
        <v>4.1544444444444446E-2</v>
      </c>
      <c r="T24" s="14">
        <f t="shared" si="50"/>
        <v>2421.9844878309709</v>
      </c>
      <c r="U24" s="39">
        <f t="shared" si="51"/>
        <v>-100</v>
      </c>
      <c r="V24" s="105">
        <f t="shared" ref="V24:W24" si="94">V23</f>
        <v>20.399999999999999</v>
      </c>
      <c r="W24" s="105">
        <f t="shared" si="94"/>
        <v>1.5069999999999999</v>
      </c>
      <c r="X24" s="106">
        <f t="shared" si="20"/>
        <v>1.504</v>
      </c>
      <c r="Y24" s="53"/>
      <c r="Z24" s="53"/>
      <c r="AA24" s="107">
        <f t="shared" ref="AA24:AB24" si="95">AA23</f>
        <v>10.015000000000001</v>
      </c>
      <c r="AB24" s="108" t="str">
        <f t="shared" si="95"/>
        <v>22,10,090</v>
      </c>
      <c r="AC24" s="11" t="str">
        <f t="shared" si="54"/>
        <v>22</v>
      </c>
      <c r="AD24" s="11" t="str">
        <f t="shared" si="55"/>
        <v>10,090</v>
      </c>
      <c r="AE24" s="11">
        <f t="shared" si="56"/>
        <v>0.36946944444444441</v>
      </c>
      <c r="AF24" s="14">
        <f t="shared" si="57"/>
        <v>27.106436406558959</v>
      </c>
      <c r="AG24" s="41">
        <f t="shared" si="58"/>
        <v>-100</v>
      </c>
      <c r="AH24" s="105">
        <f t="shared" si="42"/>
        <v>20.3</v>
      </c>
      <c r="AI24" s="105">
        <f t="shared" si="42"/>
        <v>1.5089999999999999</v>
      </c>
      <c r="AJ24" s="105">
        <f t="shared" si="42"/>
        <v>1.504</v>
      </c>
      <c r="AK24" s="53">
        <f t="shared" si="59"/>
        <v>0</v>
      </c>
      <c r="AL24" s="53"/>
      <c r="AM24" s="54">
        <f t="shared" ref="AM24:AN24" si="96">AM23</f>
        <v>5.0129999999999999</v>
      </c>
      <c r="AN24" s="101" t="str">
        <f t="shared" si="96"/>
        <v>17,59,050</v>
      </c>
      <c r="AO24" s="11" t="str">
        <f t="shared" si="61"/>
        <v>17</v>
      </c>
      <c r="AP24" s="11" t="str">
        <f t="shared" si="62"/>
        <v>59,050</v>
      </c>
      <c r="AQ24" s="11">
        <f t="shared" si="63"/>
        <v>0.29973611111111109</v>
      </c>
      <c r="AR24" s="14">
        <f t="shared" si="64"/>
        <v>16.724711551827998</v>
      </c>
      <c r="AS24" s="41">
        <f t="shared" si="65"/>
        <v>-100</v>
      </c>
      <c r="AT24" s="43" t="str">
        <f t="shared" si="66"/>
        <v>NO CONFORME</v>
      </c>
      <c r="AU24" s="8" t="b">
        <f t="shared" si="29"/>
        <v>1</v>
      </c>
      <c r="AV24" s="8" t="b">
        <f t="shared" si="30"/>
        <v>0</v>
      </c>
      <c r="AW24" s="8" t="b">
        <f t="shared" si="31"/>
        <v>1</v>
      </c>
      <c r="AX24" s="8" t="str">
        <f t="shared" si="32"/>
        <v>Qcorrecto</v>
      </c>
      <c r="AY24" s="22" t="str">
        <f t="shared" si="5"/>
        <v>aceptable</v>
      </c>
      <c r="AZ24" s="22" t="str">
        <f t="shared" si="6"/>
        <v>aceptable</v>
      </c>
      <c r="BA24" s="22" t="str">
        <f t="shared" si="33"/>
        <v>aceptable</v>
      </c>
      <c r="BB24" s="25" t="str">
        <f t="shared" si="34"/>
        <v>NO CONFORME</v>
      </c>
      <c r="BC24" s="5" t="str">
        <f t="shared" si="35"/>
        <v>NO CONFORME</v>
      </c>
      <c r="BD24" s="15">
        <f t="shared" si="7"/>
        <v>-1</v>
      </c>
      <c r="BE24" s="15">
        <f t="shared" si="8"/>
        <v>-1</v>
      </c>
      <c r="BF24" s="15">
        <f t="shared" si="9"/>
        <v>-1</v>
      </c>
      <c r="BG24" s="15" t="str">
        <f t="shared" si="10"/>
        <v>-1-1-1</v>
      </c>
      <c r="BH24" s="15" t="str">
        <f t="shared" si="11"/>
        <v>SD</v>
      </c>
      <c r="BI24" s="15" t="str">
        <f t="shared" si="12"/>
        <v>SI</v>
      </c>
      <c r="BJ24" s="15" t="b">
        <f t="shared" si="13"/>
        <v>1</v>
      </c>
      <c r="BK24" s="15" t="str">
        <f t="shared" si="14"/>
        <v>SIGIGUALES</v>
      </c>
      <c r="BL24" s="22" t="str">
        <f t="shared" si="15"/>
        <v>NO CONFORME</v>
      </c>
    </row>
    <row r="25" spans="1:64" ht="15" customHeight="1" thickBot="1" x14ac:dyDescent="0.3">
      <c r="A25" s="37">
        <v>17</v>
      </c>
      <c r="B25" s="93">
        <f t="shared" ref="B25:E25" si="97">B24</f>
        <v>45919</v>
      </c>
      <c r="C25" s="93">
        <f t="shared" si="97"/>
        <v>45919</v>
      </c>
      <c r="D25" s="94">
        <f t="shared" si="97"/>
        <v>6</v>
      </c>
      <c r="E25" s="95">
        <f t="shared" si="97"/>
        <v>15</v>
      </c>
      <c r="F25" s="52"/>
      <c r="G25" s="96"/>
      <c r="H25" s="97">
        <f t="shared" ref="H25:L25" si="98">H24</f>
        <v>25.6</v>
      </c>
      <c r="I25" s="98">
        <f t="shared" si="98"/>
        <v>0</v>
      </c>
      <c r="J25" s="99">
        <f t="shared" si="98"/>
        <v>20.9</v>
      </c>
      <c r="K25" s="99">
        <f t="shared" si="98"/>
        <v>7.883</v>
      </c>
      <c r="L25" s="99">
        <f t="shared" si="98"/>
        <v>0.55400000000000005</v>
      </c>
      <c r="M25" s="53"/>
      <c r="N25" s="53"/>
      <c r="O25" s="100">
        <f t="shared" ref="O25:P25" si="99">O24</f>
        <v>100.62</v>
      </c>
      <c r="P25" s="101" t="str">
        <f t="shared" si="99"/>
        <v>2,29,560</v>
      </c>
      <c r="Q25" s="11" t="str">
        <f t="shared" si="47"/>
        <v>2</v>
      </c>
      <c r="R25" s="11" t="str">
        <f t="shared" si="48"/>
        <v>29,560</v>
      </c>
      <c r="S25" s="11">
        <f t="shared" si="49"/>
        <v>4.1544444444444446E-2</v>
      </c>
      <c r="T25" s="14">
        <f t="shared" si="50"/>
        <v>2421.9844878309709</v>
      </c>
      <c r="U25" s="39">
        <f t="shared" si="51"/>
        <v>-100</v>
      </c>
      <c r="V25" s="105">
        <f t="shared" ref="V25:W25" si="100">V24</f>
        <v>20.399999999999999</v>
      </c>
      <c r="W25" s="105">
        <f t="shared" si="100"/>
        <v>1.5069999999999999</v>
      </c>
      <c r="X25" s="106">
        <f t="shared" si="20"/>
        <v>1.504</v>
      </c>
      <c r="Y25" s="53"/>
      <c r="Z25" s="53"/>
      <c r="AA25" s="107">
        <f t="shared" ref="AA25:AB25" si="101">AA24</f>
        <v>10.015000000000001</v>
      </c>
      <c r="AB25" s="108" t="str">
        <f t="shared" si="101"/>
        <v>22,10,090</v>
      </c>
      <c r="AC25" s="11" t="str">
        <f t="shared" si="54"/>
        <v>22</v>
      </c>
      <c r="AD25" s="11" t="str">
        <f t="shared" si="55"/>
        <v>10,090</v>
      </c>
      <c r="AE25" s="11">
        <f t="shared" si="56"/>
        <v>0.36946944444444441</v>
      </c>
      <c r="AF25" s="14">
        <f t="shared" si="57"/>
        <v>27.106436406558959</v>
      </c>
      <c r="AG25" s="41">
        <f t="shared" si="58"/>
        <v>-100</v>
      </c>
      <c r="AH25" s="105">
        <f t="shared" si="42"/>
        <v>20.3</v>
      </c>
      <c r="AI25" s="105">
        <f t="shared" si="42"/>
        <v>1.5089999999999999</v>
      </c>
      <c r="AJ25" s="105">
        <f t="shared" si="42"/>
        <v>1.504</v>
      </c>
      <c r="AK25" s="53">
        <f t="shared" si="59"/>
        <v>0</v>
      </c>
      <c r="AL25" s="53"/>
      <c r="AM25" s="54">
        <f t="shared" ref="AM25:AN25" si="102">AM24</f>
        <v>5.0129999999999999</v>
      </c>
      <c r="AN25" s="101" t="str">
        <f t="shared" si="102"/>
        <v>17,59,050</v>
      </c>
      <c r="AO25" s="11" t="str">
        <f t="shared" si="61"/>
        <v>17</v>
      </c>
      <c r="AP25" s="11" t="str">
        <f t="shared" si="62"/>
        <v>59,050</v>
      </c>
      <c r="AQ25" s="11">
        <f t="shared" si="63"/>
        <v>0.29973611111111109</v>
      </c>
      <c r="AR25" s="14">
        <f t="shared" si="64"/>
        <v>16.724711551827998</v>
      </c>
      <c r="AS25" s="41">
        <f t="shared" si="65"/>
        <v>-100</v>
      </c>
      <c r="AT25" s="43" t="str">
        <f t="shared" si="66"/>
        <v>NO CONFORME</v>
      </c>
      <c r="AU25" s="8" t="b">
        <f t="shared" si="29"/>
        <v>1</v>
      </c>
      <c r="AV25" s="8" t="b">
        <f t="shared" si="30"/>
        <v>0</v>
      </c>
      <c r="AW25" s="8" t="b">
        <f t="shared" si="31"/>
        <v>1</v>
      </c>
      <c r="AX25" s="8" t="str">
        <f t="shared" si="32"/>
        <v>Qcorrecto</v>
      </c>
      <c r="AY25" s="22" t="str">
        <f t="shared" si="5"/>
        <v>aceptable</v>
      </c>
      <c r="AZ25" s="22" t="str">
        <f t="shared" si="6"/>
        <v>aceptable</v>
      </c>
      <c r="BA25" s="22" t="str">
        <f t="shared" si="33"/>
        <v>aceptable</v>
      </c>
      <c r="BB25" s="25" t="str">
        <f t="shared" si="34"/>
        <v>NO CONFORME</v>
      </c>
      <c r="BC25" s="5" t="str">
        <f t="shared" si="35"/>
        <v>NO CONFORME</v>
      </c>
      <c r="BD25" s="15">
        <f t="shared" si="7"/>
        <v>-1</v>
      </c>
      <c r="BE25" s="15">
        <f t="shared" si="8"/>
        <v>-1</v>
      </c>
      <c r="BF25" s="15">
        <f t="shared" si="9"/>
        <v>-1</v>
      </c>
      <c r="BG25" s="15" t="str">
        <f t="shared" si="10"/>
        <v>-1-1-1</v>
      </c>
      <c r="BH25" s="15" t="str">
        <f t="shared" si="11"/>
        <v>SD</v>
      </c>
      <c r="BI25" s="15" t="str">
        <f t="shared" si="12"/>
        <v>SI</v>
      </c>
      <c r="BJ25" s="15" t="b">
        <f t="shared" si="13"/>
        <v>1</v>
      </c>
      <c r="BK25" s="15" t="str">
        <f t="shared" si="14"/>
        <v>SIGIGUALES</v>
      </c>
      <c r="BL25" s="22" t="str">
        <f t="shared" si="15"/>
        <v>NO CONFORME</v>
      </c>
    </row>
    <row r="26" spans="1:64" ht="15" customHeight="1" thickBot="1" x14ac:dyDescent="0.3">
      <c r="A26" s="37">
        <v>18</v>
      </c>
      <c r="B26" s="93">
        <f t="shared" ref="B26:E26" si="103">B25</f>
        <v>45919</v>
      </c>
      <c r="C26" s="93">
        <f t="shared" si="103"/>
        <v>45919</v>
      </c>
      <c r="D26" s="94">
        <f t="shared" si="103"/>
        <v>6</v>
      </c>
      <c r="E26" s="95">
        <f t="shared" si="103"/>
        <v>15</v>
      </c>
      <c r="F26" s="52"/>
      <c r="G26" s="96"/>
      <c r="H26" s="97">
        <f t="shared" ref="H26:L26" si="104">H25</f>
        <v>25.6</v>
      </c>
      <c r="I26" s="98">
        <f t="shared" si="104"/>
        <v>0</v>
      </c>
      <c r="J26" s="99">
        <f t="shared" si="104"/>
        <v>20.9</v>
      </c>
      <c r="K26" s="99">
        <f t="shared" si="104"/>
        <v>7.883</v>
      </c>
      <c r="L26" s="99">
        <f t="shared" si="104"/>
        <v>0.55400000000000005</v>
      </c>
      <c r="M26" s="53"/>
      <c r="N26" s="53"/>
      <c r="O26" s="100">
        <f t="shared" ref="O26:P26" si="105">O25</f>
        <v>100.62</v>
      </c>
      <c r="P26" s="101" t="str">
        <f t="shared" si="105"/>
        <v>2,29,560</v>
      </c>
      <c r="Q26" s="11" t="str">
        <f t="shared" si="47"/>
        <v>2</v>
      </c>
      <c r="R26" s="11" t="str">
        <f t="shared" si="48"/>
        <v>29,560</v>
      </c>
      <c r="S26" s="11">
        <f t="shared" si="49"/>
        <v>4.1544444444444446E-2</v>
      </c>
      <c r="T26" s="14">
        <f t="shared" si="50"/>
        <v>2421.9844878309709</v>
      </c>
      <c r="U26" s="39">
        <f t="shared" si="51"/>
        <v>-100</v>
      </c>
      <c r="V26" s="105">
        <f t="shared" ref="V26:W26" si="106">V25</f>
        <v>20.399999999999999</v>
      </c>
      <c r="W26" s="105">
        <f t="shared" si="106"/>
        <v>1.5069999999999999</v>
      </c>
      <c r="X26" s="106">
        <f t="shared" si="20"/>
        <v>1.504</v>
      </c>
      <c r="Y26" s="53"/>
      <c r="Z26" s="53"/>
      <c r="AA26" s="107">
        <f t="shared" ref="AA26:AB26" si="107">AA25</f>
        <v>10.015000000000001</v>
      </c>
      <c r="AB26" s="108" t="str">
        <f t="shared" si="107"/>
        <v>22,10,090</v>
      </c>
      <c r="AC26" s="11" t="str">
        <f t="shared" si="54"/>
        <v>22</v>
      </c>
      <c r="AD26" s="11" t="str">
        <f t="shared" si="55"/>
        <v>10,090</v>
      </c>
      <c r="AE26" s="11">
        <f t="shared" si="56"/>
        <v>0.36946944444444441</v>
      </c>
      <c r="AF26" s="14">
        <f t="shared" si="57"/>
        <v>27.106436406558959</v>
      </c>
      <c r="AG26" s="41">
        <f t="shared" si="58"/>
        <v>-100</v>
      </c>
      <c r="AH26" s="105">
        <f t="shared" si="42"/>
        <v>20.3</v>
      </c>
      <c r="AI26" s="105">
        <f t="shared" si="42"/>
        <v>1.5089999999999999</v>
      </c>
      <c r="AJ26" s="105">
        <f t="shared" si="42"/>
        <v>1.504</v>
      </c>
      <c r="AK26" s="53">
        <f t="shared" si="59"/>
        <v>0</v>
      </c>
      <c r="AL26" s="53"/>
      <c r="AM26" s="54">
        <f t="shared" ref="AM26:AN26" si="108">AM25</f>
        <v>5.0129999999999999</v>
      </c>
      <c r="AN26" s="101" t="str">
        <f t="shared" si="108"/>
        <v>17,59,050</v>
      </c>
      <c r="AO26" s="11" t="str">
        <f t="shared" si="61"/>
        <v>17</v>
      </c>
      <c r="AP26" s="11" t="str">
        <f t="shared" si="62"/>
        <v>59,050</v>
      </c>
      <c r="AQ26" s="11">
        <f t="shared" si="63"/>
        <v>0.29973611111111109</v>
      </c>
      <c r="AR26" s="14">
        <f t="shared" si="64"/>
        <v>16.724711551827998</v>
      </c>
      <c r="AS26" s="41">
        <f t="shared" si="65"/>
        <v>-100</v>
      </c>
      <c r="AT26" s="43" t="str">
        <f t="shared" si="66"/>
        <v>NO CONFORME</v>
      </c>
      <c r="AU26" s="8" t="b">
        <f t="shared" si="29"/>
        <v>1</v>
      </c>
      <c r="AV26" s="8" t="b">
        <f t="shared" si="30"/>
        <v>0</v>
      </c>
      <c r="AW26" s="8" t="b">
        <f t="shared" si="31"/>
        <v>1</v>
      </c>
      <c r="AX26" s="8" t="str">
        <f t="shared" si="32"/>
        <v>Qcorrecto</v>
      </c>
      <c r="AY26" s="22" t="str">
        <f t="shared" si="5"/>
        <v>aceptable</v>
      </c>
      <c r="AZ26" s="22" t="str">
        <f t="shared" si="6"/>
        <v>aceptable</v>
      </c>
      <c r="BA26" s="22" t="str">
        <f t="shared" si="33"/>
        <v>aceptable</v>
      </c>
      <c r="BB26" s="25" t="str">
        <f t="shared" si="34"/>
        <v>NO CONFORME</v>
      </c>
      <c r="BC26" s="5" t="str">
        <f t="shared" si="35"/>
        <v>NO CONFORME</v>
      </c>
      <c r="BD26" s="15">
        <f t="shared" si="7"/>
        <v>-1</v>
      </c>
      <c r="BE26" s="15">
        <f t="shared" si="8"/>
        <v>-1</v>
      </c>
      <c r="BF26" s="15">
        <f t="shared" si="9"/>
        <v>-1</v>
      </c>
      <c r="BG26" s="15" t="str">
        <f t="shared" si="10"/>
        <v>-1-1-1</v>
      </c>
      <c r="BH26" s="15" t="str">
        <f t="shared" si="11"/>
        <v>SD</v>
      </c>
      <c r="BI26" s="15" t="str">
        <f t="shared" si="12"/>
        <v>SI</v>
      </c>
      <c r="BJ26" s="15" t="b">
        <f t="shared" si="13"/>
        <v>1</v>
      </c>
      <c r="BK26" s="15" t="str">
        <f t="shared" si="14"/>
        <v>SIGIGUALES</v>
      </c>
      <c r="BL26" s="22" t="str">
        <f t="shared" si="15"/>
        <v>NO CONFORME</v>
      </c>
    </row>
    <row r="27" spans="1:64" ht="15" customHeight="1" thickBot="1" x14ac:dyDescent="0.3">
      <c r="A27" s="37">
        <v>19</v>
      </c>
      <c r="B27" s="93">
        <f t="shared" ref="B27:E27" si="109">B26</f>
        <v>45919</v>
      </c>
      <c r="C27" s="93">
        <f t="shared" si="109"/>
        <v>45919</v>
      </c>
      <c r="D27" s="94">
        <f t="shared" si="109"/>
        <v>6</v>
      </c>
      <c r="E27" s="95">
        <f t="shared" si="109"/>
        <v>15</v>
      </c>
      <c r="F27" s="52"/>
      <c r="G27" s="96"/>
      <c r="H27" s="97">
        <f t="shared" ref="H27:L27" si="110">H26</f>
        <v>25.6</v>
      </c>
      <c r="I27" s="98">
        <f t="shared" si="110"/>
        <v>0</v>
      </c>
      <c r="J27" s="99">
        <f t="shared" si="110"/>
        <v>20.9</v>
      </c>
      <c r="K27" s="99">
        <f t="shared" si="110"/>
        <v>7.883</v>
      </c>
      <c r="L27" s="99">
        <f t="shared" si="110"/>
        <v>0.55400000000000005</v>
      </c>
      <c r="M27" s="53"/>
      <c r="N27" s="53"/>
      <c r="O27" s="100">
        <f t="shared" ref="O27:P27" si="111">O26</f>
        <v>100.62</v>
      </c>
      <c r="P27" s="101" t="str">
        <f t="shared" si="111"/>
        <v>2,29,560</v>
      </c>
      <c r="Q27" s="11" t="str">
        <f t="shared" si="47"/>
        <v>2</v>
      </c>
      <c r="R27" s="11" t="str">
        <f t="shared" si="48"/>
        <v>29,560</v>
      </c>
      <c r="S27" s="11">
        <f t="shared" si="49"/>
        <v>4.1544444444444446E-2</v>
      </c>
      <c r="T27" s="14">
        <f t="shared" si="50"/>
        <v>2421.9844878309709</v>
      </c>
      <c r="U27" s="39">
        <f t="shared" si="51"/>
        <v>-100</v>
      </c>
      <c r="V27" s="105">
        <f t="shared" ref="V27:W27" si="112">V26</f>
        <v>20.399999999999999</v>
      </c>
      <c r="W27" s="105">
        <f t="shared" si="112"/>
        <v>1.5069999999999999</v>
      </c>
      <c r="X27" s="106">
        <f t="shared" si="20"/>
        <v>1.504</v>
      </c>
      <c r="Y27" s="53"/>
      <c r="Z27" s="53"/>
      <c r="AA27" s="107">
        <f t="shared" ref="AA27:AB27" si="113">AA26</f>
        <v>10.015000000000001</v>
      </c>
      <c r="AB27" s="108" t="str">
        <f t="shared" si="113"/>
        <v>22,10,090</v>
      </c>
      <c r="AC27" s="11" t="str">
        <f t="shared" si="54"/>
        <v>22</v>
      </c>
      <c r="AD27" s="11" t="str">
        <f t="shared" si="55"/>
        <v>10,090</v>
      </c>
      <c r="AE27" s="11">
        <f t="shared" si="56"/>
        <v>0.36946944444444441</v>
      </c>
      <c r="AF27" s="14">
        <f t="shared" si="57"/>
        <v>27.106436406558959</v>
      </c>
      <c r="AG27" s="41">
        <f t="shared" si="58"/>
        <v>-100</v>
      </c>
      <c r="AH27" s="105">
        <f t="shared" ref="AH27:AJ42" si="114">AH26</f>
        <v>20.3</v>
      </c>
      <c r="AI27" s="105">
        <f t="shared" si="114"/>
        <v>1.5089999999999999</v>
      </c>
      <c r="AJ27" s="105">
        <f t="shared" si="114"/>
        <v>1.504</v>
      </c>
      <c r="AK27" s="53">
        <f t="shared" si="59"/>
        <v>0</v>
      </c>
      <c r="AL27" s="53"/>
      <c r="AM27" s="54">
        <f t="shared" ref="AM27:AN27" si="115">AM26</f>
        <v>5.0129999999999999</v>
      </c>
      <c r="AN27" s="101" t="str">
        <f t="shared" si="115"/>
        <v>17,59,050</v>
      </c>
      <c r="AO27" s="11" t="str">
        <f t="shared" si="61"/>
        <v>17</v>
      </c>
      <c r="AP27" s="11" t="str">
        <f t="shared" si="62"/>
        <v>59,050</v>
      </c>
      <c r="AQ27" s="11">
        <f t="shared" si="63"/>
        <v>0.29973611111111109</v>
      </c>
      <c r="AR27" s="14">
        <f t="shared" si="64"/>
        <v>16.724711551827998</v>
      </c>
      <c r="AS27" s="41">
        <f t="shared" si="65"/>
        <v>-100</v>
      </c>
      <c r="AT27" s="43" t="str">
        <f t="shared" si="66"/>
        <v>NO CONFORME</v>
      </c>
      <c r="AU27" s="8" t="b">
        <f t="shared" si="29"/>
        <v>1</v>
      </c>
      <c r="AV27" s="8" t="b">
        <f t="shared" si="30"/>
        <v>0</v>
      </c>
      <c r="AW27" s="8" t="b">
        <f t="shared" si="31"/>
        <v>1</v>
      </c>
      <c r="AX27" s="8" t="str">
        <f t="shared" si="32"/>
        <v>Qcorrecto</v>
      </c>
      <c r="AY27" s="22" t="str">
        <f t="shared" si="5"/>
        <v>aceptable</v>
      </c>
      <c r="AZ27" s="22" t="str">
        <f t="shared" si="6"/>
        <v>aceptable</v>
      </c>
      <c r="BA27" s="22" t="str">
        <f t="shared" si="33"/>
        <v>aceptable</v>
      </c>
      <c r="BB27" s="25" t="str">
        <f t="shared" si="34"/>
        <v>NO CONFORME</v>
      </c>
      <c r="BC27" s="5" t="str">
        <f t="shared" si="35"/>
        <v>NO CONFORME</v>
      </c>
      <c r="BD27" s="15">
        <f t="shared" si="7"/>
        <v>-1</v>
      </c>
      <c r="BE27" s="15">
        <f t="shared" si="8"/>
        <v>-1</v>
      </c>
      <c r="BF27" s="15">
        <f t="shared" si="9"/>
        <v>-1</v>
      </c>
      <c r="BG27" s="15" t="str">
        <f t="shared" si="10"/>
        <v>-1-1-1</v>
      </c>
      <c r="BH27" s="15" t="str">
        <f t="shared" si="11"/>
        <v>SD</v>
      </c>
      <c r="BI27" s="15" t="str">
        <f t="shared" si="12"/>
        <v>SI</v>
      </c>
      <c r="BJ27" s="15" t="b">
        <f t="shared" si="13"/>
        <v>1</v>
      </c>
      <c r="BK27" s="15" t="str">
        <f t="shared" si="14"/>
        <v>SIGIGUALES</v>
      </c>
      <c r="BL27" s="22" t="str">
        <f t="shared" si="15"/>
        <v>NO CONFORME</v>
      </c>
    </row>
    <row r="28" spans="1:64" ht="15" customHeight="1" thickBot="1" x14ac:dyDescent="0.3">
      <c r="A28" s="37">
        <v>20</v>
      </c>
      <c r="B28" s="93">
        <f t="shared" ref="B28:E28" si="116">B27</f>
        <v>45919</v>
      </c>
      <c r="C28" s="93">
        <f t="shared" si="116"/>
        <v>45919</v>
      </c>
      <c r="D28" s="94">
        <f t="shared" si="116"/>
        <v>6</v>
      </c>
      <c r="E28" s="95">
        <f t="shared" si="116"/>
        <v>15</v>
      </c>
      <c r="F28" s="52"/>
      <c r="G28" s="96"/>
      <c r="H28" s="97">
        <f t="shared" ref="H28:L28" si="117">H27</f>
        <v>25.6</v>
      </c>
      <c r="I28" s="98">
        <f t="shared" si="117"/>
        <v>0</v>
      </c>
      <c r="J28" s="99">
        <f t="shared" si="117"/>
        <v>20.9</v>
      </c>
      <c r="K28" s="99">
        <f t="shared" si="117"/>
        <v>7.883</v>
      </c>
      <c r="L28" s="99">
        <f t="shared" si="117"/>
        <v>0.55400000000000005</v>
      </c>
      <c r="M28" s="53"/>
      <c r="N28" s="53"/>
      <c r="O28" s="100">
        <f t="shared" ref="O28:P28" si="118">O27</f>
        <v>100.62</v>
      </c>
      <c r="P28" s="101" t="str">
        <f t="shared" si="118"/>
        <v>2,29,560</v>
      </c>
      <c r="Q28" s="11" t="str">
        <f t="shared" si="47"/>
        <v>2</v>
      </c>
      <c r="R28" s="11" t="str">
        <f t="shared" si="48"/>
        <v>29,560</v>
      </c>
      <c r="S28" s="11">
        <f t="shared" si="49"/>
        <v>4.1544444444444446E-2</v>
      </c>
      <c r="T28" s="14">
        <f t="shared" si="50"/>
        <v>2421.9844878309709</v>
      </c>
      <c r="U28" s="39">
        <f t="shared" si="51"/>
        <v>-100</v>
      </c>
      <c r="V28" s="105">
        <f t="shared" ref="V28:W28" si="119">V27</f>
        <v>20.399999999999999</v>
      </c>
      <c r="W28" s="105">
        <f t="shared" si="119"/>
        <v>1.5069999999999999</v>
      </c>
      <c r="X28" s="106">
        <f t="shared" si="20"/>
        <v>1.504</v>
      </c>
      <c r="Y28" s="53"/>
      <c r="Z28" s="53"/>
      <c r="AA28" s="107">
        <f t="shared" ref="AA28:AB28" si="120">AA27</f>
        <v>10.015000000000001</v>
      </c>
      <c r="AB28" s="108" t="str">
        <f t="shared" si="120"/>
        <v>22,10,090</v>
      </c>
      <c r="AC28" s="11" t="str">
        <f t="shared" si="54"/>
        <v>22</v>
      </c>
      <c r="AD28" s="11" t="str">
        <f t="shared" si="55"/>
        <v>10,090</v>
      </c>
      <c r="AE28" s="11">
        <f t="shared" si="56"/>
        <v>0.36946944444444441</v>
      </c>
      <c r="AF28" s="14">
        <f t="shared" si="57"/>
        <v>27.106436406558959</v>
      </c>
      <c r="AG28" s="41">
        <f t="shared" si="58"/>
        <v>-100</v>
      </c>
      <c r="AH28" s="105">
        <f t="shared" si="114"/>
        <v>20.3</v>
      </c>
      <c r="AI28" s="105">
        <f t="shared" si="114"/>
        <v>1.5089999999999999</v>
      </c>
      <c r="AJ28" s="105">
        <f t="shared" si="114"/>
        <v>1.504</v>
      </c>
      <c r="AK28" s="53">
        <f t="shared" si="59"/>
        <v>0</v>
      </c>
      <c r="AL28" s="53"/>
      <c r="AM28" s="54">
        <f t="shared" ref="AM28:AN28" si="121">AM27</f>
        <v>5.0129999999999999</v>
      </c>
      <c r="AN28" s="101" t="str">
        <f t="shared" si="121"/>
        <v>17,59,050</v>
      </c>
      <c r="AO28" s="11" t="str">
        <f t="shared" si="61"/>
        <v>17</v>
      </c>
      <c r="AP28" s="11" t="str">
        <f t="shared" si="62"/>
        <v>59,050</v>
      </c>
      <c r="AQ28" s="11">
        <f t="shared" si="63"/>
        <v>0.29973611111111109</v>
      </c>
      <c r="AR28" s="14">
        <f t="shared" si="64"/>
        <v>16.724711551827998</v>
      </c>
      <c r="AS28" s="41">
        <f t="shared" si="65"/>
        <v>-100</v>
      </c>
      <c r="AT28" s="43" t="str">
        <f t="shared" si="66"/>
        <v>NO CONFORME</v>
      </c>
      <c r="AU28" s="8" t="b">
        <f t="shared" si="29"/>
        <v>1</v>
      </c>
      <c r="AV28" s="8" t="b">
        <f t="shared" si="30"/>
        <v>0</v>
      </c>
      <c r="AW28" s="8" t="b">
        <f t="shared" si="31"/>
        <v>1</v>
      </c>
      <c r="AX28" s="8" t="str">
        <f t="shared" si="32"/>
        <v>Qcorrecto</v>
      </c>
      <c r="AY28" s="22" t="str">
        <f t="shared" si="5"/>
        <v>aceptable</v>
      </c>
      <c r="AZ28" s="22" t="str">
        <f t="shared" si="6"/>
        <v>aceptable</v>
      </c>
      <c r="BA28" s="22" t="str">
        <f t="shared" si="33"/>
        <v>aceptable</v>
      </c>
      <c r="BB28" s="25" t="str">
        <f t="shared" si="34"/>
        <v>NO CONFORME</v>
      </c>
      <c r="BC28" s="5" t="str">
        <f t="shared" si="35"/>
        <v>NO CONFORME</v>
      </c>
      <c r="BD28" s="15">
        <f t="shared" si="7"/>
        <v>-1</v>
      </c>
      <c r="BE28" s="15">
        <f t="shared" si="8"/>
        <v>-1</v>
      </c>
      <c r="BF28" s="15">
        <f t="shared" si="9"/>
        <v>-1</v>
      </c>
      <c r="BG28" s="15" t="str">
        <f t="shared" si="10"/>
        <v>-1-1-1</v>
      </c>
      <c r="BH28" s="15" t="str">
        <f t="shared" si="11"/>
        <v>SD</v>
      </c>
      <c r="BI28" s="15" t="str">
        <f t="shared" si="12"/>
        <v>SI</v>
      </c>
      <c r="BJ28" s="15" t="b">
        <f t="shared" si="13"/>
        <v>1</v>
      </c>
      <c r="BK28" s="15" t="str">
        <f t="shared" si="14"/>
        <v>SIGIGUALES</v>
      </c>
      <c r="BL28" s="22" t="str">
        <f t="shared" si="15"/>
        <v>NO CONFORME</v>
      </c>
    </row>
    <row r="29" spans="1:64" ht="15.75" customHeight="1" thickBot="1" x14ac:dyDescent="0.3">
      <c r="A29" s="37">
        <v>21</v>
      </c>
      <c r="B29" s="93">
        <f t="shared" ref="B29:E29" si="122">B28</f>
        <v>45919</v>
      </c>
      <c r="C29" s="93">
        <f t="shared" si="122"/>
        <v>45919</v>
      </c>
      <c r="D29" s="94">
        <f t="shared" si="122"/>
        <v>6</v>
      </c>
      <c r="E29" s="95">
        <f t="shared" si="122"/>
        <v>15</v>
      </c>
      <c r="F29" s="52"/>
      <c r="G29" s="96"/>
      <c r="H29" s="97">
        <f t="shared" ref="H29:L29" si="123">H28</f>
        <v>25.6</v>
      </c>
      <c r="I29" s="98">
        <f t="shared" si="123"/>
        <v>0</v>
      </c>
      <c r="J29" s="99">
        <f t="shared" si="123"/>
        <v>20.9</v>
      </c>
      <c r="K29" s="99">
        <f t="shared" si="123"/>
        <v>7.883</v>
      </c>
      <c r="L29" s="99">
        <f t="shared" si="123"/>
        <v>0.55400000000000005</v>
      </c>
      <c r="M29" s="53"/>
      <c r="N29" s="53"/>
      <c r="O29" s="100">
        <f t="shared" ref="O29:P29" si="124">O28</f>
        <v>100.62</v>
      </c>
      <c r="P29" s="101" t="str">
        <f t="shared" si="124"/>
        <v>2,29,560</v>
      </c>
      <c r="Q29" s="11" t="str">
        <f t="shared" si="47"/>
        <v>2</v>
      </c>
      <c r="R29" s="11" t="str">
        <f t="shared" si="48"/>
        <v>29,560</v>
      </c>
      <c r="S29" s="11">
        <f t="shared" si="49"/>
        <v>4.1544444444444446E-2</v>
      </c>
      <c r="T29" s="14">
        <f t="shared" si="50"/>
        <v>2421.9844878309709</v>
      </c>
      <c r="U29" s="39">
        <f t="shared" si="51"/>
        <v>-100</v>
      </c>
      <c r="V29" s="105">
        <f t="shared" ref="V29:W29" si="125">V28</f>
        <v>20.399999999999999</v>
      </c>
      <c r="W29" s="105">
        <f t="shared" si="125"/>
        <v>1.5069999999999999</v>
      </c>
      <c r="X29" s="106">
        <f t="shared" si="20"/>
        <v>1.504</v>
      </c>
      <c r="Y29" s="53"/>
      <c r="Z29" s="53"/>
      <c r="AA29" s="107">
        <f t="shared" ref="AA29:AB29" si="126">AA28</f>
        <v>10.015000000000001</v>
      </c>
      <c r="AB29" s="108" t="str">
        <f t="shared" si="126"/>
        <v>22,10,090</v>
      </c>
      <c r="AC29" s="11" t="str">
        <f t="shared" si="54"/>
        <v>22</v>
      </c>
      <c r="AD29" s="11" t="str">
        <f t="shared" si="55"/>
        <v>10,090</v>
      </c>
      <c r="AE29" s="11">
        <f t="shared" si="56"/>
        <v>0.36946944444444441</v>
      </c>
      <c r="AF29" s="14">
        <f t="shared" si="57"/>
        <v>27.106436406558959</v>
      </c>
      <c r="AG29" s="41">
        <f t="shared" si="58"/>
        <v>-100</v>
      </c>
      <c r="AH29" s="105">
        <f t="shared" si="114"/>
        <v>20.3</v>
      </c>
      <c r="AI29" s="105">
        <f t="shared" si="114"/>
        <v>1.5089999999999999</v>
      </c>
      <c r="AJ29" s="105">
        <f t="shared" si="114"/>
        <v>1.504</v>
      </c>
      <c r="AK29" s="53">
        <f t="shared" si="59"/>
        <v>0</v>
      </c>
      <c r="AL29" s="53"/>
      <c r="AM29" s="54">
        <f t="shared" ref="AM29:AN29" si="127">AM28</f>
        <v>5.0129999999999999</v>
      </c>
      <c r="AN29" s="101" t="str">
        <f t="shared" si="127"/>
        <v>17,59,050</v>
      </c>
      <c r="AO29" s="11" t="str">
        <f t="shared" si="61"/>
        <v>17</v>
      </c>
      <c r="AP29" s="11" t="str">
        <f t="shared" si="62"/>
        <v>59,050</v>
      </c>
      <c r="AQ29" s="11">
        <f t="shared" si="63"/>
        <v>0.29973611111111109</v>
      </c>
      <c r="AR29" s="14">
        <f t="shared" si="64"/>
        <v>16.724711551827998</v>
      </c>
      <c r="AS29" s="41">
        <f t="shared" si="65"/>
        <v>-100</v>
      </c>
      <c r="AT29" s="43" t="str">
        <f t="shared" si="66"/>
        <v>NO CONFORME</v>
      </c>
      <c r="AU29" s="8" t="b">
        <f t="shared" si="29"/>
        <v>1</v>
      </c>
      <c r="AV29" s="8" t="b">
        <f t="shared" si="30"/>
        <v>0</v>
      </c>
      <c r="AW29" s="8" t="b">
        <f t="shared" si="31"/>
        <v>1</v>
      </c>
      <c r="AX29" s="8" t="str">
        <f t="shared" si="32"/>
        <v>Qcorrecto</v>
      </c>
      <c r="AY29" s="22" t="str">
        <f t="shared" si="5"/>
        <v>aceptable</v>
      </c>
      <c r="AZ29" s="22" t="str">
        <f t="shared" si="6"/>
        <v>aceptable</v>
      </c>
      <c r="BA29" s="22" t="str">
        <f t="shared" si="33"/>
        <v>aceptable</v>
      </c>
      <c r="BB29" s="25" t="str">
        <f t="shared" si="34"/>
        <v>NO CONFORME</v>
      </c>
      <c r="BC29" s="5" t="str">
        <f t="shared" si="35"/>
        <v>NO CONFORME</v>
      </c>
      <c r="BD29" s="15">
        <f t="shared" si="7"/>
        <v>-1</v>
      </c>
      <c r="BE29" s="15">
        <f t="shared" si="8"/>
        <v>-1</v>
      </c>
      <c r="BF29" s="15">
        <f t="shared" si="9"/>
        <v>-1</v>
      </c>
      <c r="BG29" s="15" t="str">
        <f t="shared" si="10"/>
        <v>-1-1-1</v>
      </c>
      <c r="BH29" s="15" t="str">
        <f t="shared" si="11"/>
        <v>SD</v>
      </c>
      <c r="BI29" s="15" t="str">
        <f t="shared" si="12"/>
        <v>SI</v>
      </c>
      <c r="BJ29" s="15" t="b">
        <f t="shared" si="13"/>
        <v>1</v>
      </c>
      <c r="BK29" s="15" t="str">
        <f t="shared" si="14"/>
        <v>SIGIGUALES</v>
      </c>
      <c r="BL29" s="22" t="str">
        <f t="shared" si="15"/>
        <v>NO CONFORME</v>
      </c>
    </row>
    <row r="30" spans="1:64" ht="15" customHeight="1" thickBot="1" x14ac:dyDescent="0.3">
      <c r="A30" s="37">
        <v>22</v>
      </c>
      <c r="B30" s="93">
        <f t="shared" ref="B30:E30" si="128">B29</f>
        <v>45919</v>
      </c>
      <c r="C30" s="93">
        <f t="shared" si="128"/>
        <v>45919</v>
      </c>
      <c r="D30" s="94">
        <f t="shared" si="128"/>
        <v>6</v>
      </c>
      <c r="E30" s="95">
        <f t="shared" si="128"/>
        <v>15</v>
      </c>
      <c r="F30" s="52"/>
      <c r="G30" s="96"/>
      <c r="H30" s="97">
        <f t="shared" ref="H30:L30" si="129">H29</f>
        <v>25.6</v>
      </c>
      <c r="I30" s="98">
        <f t="shared" si="129"/>
        <v>0</v>
      </c>
      <c r="J30" s="99">
        <f t="shared" si="129"/>
        <v>20.9</v>
      </c>
      <c r="K30" s="99">
        <f t="shared" si="129"/>
        <v>7.883</v>
      </c>
      <c r="L30" s="99">
        <f t="shared" si="129"/>
        <v>0.55400000000000005</v>
      </c>
      <c r="M30" s="53"/>
      <c r="N30" s="53"/>
      <c r="O30" s="100">
        <f t="shared" ref="O30:P30" si="130">O29</f>
        <v>100.62</v>
      </c>
      <c r="P30" s="101" t="str">
        <f t="shared" si="130"/>
        <v>2,29,560</v>
      </c>
      <c r="Q30" s="11" t="str">
        <f t="shared" si="47"/>
        <v>2</v>
      </c>
      <c r="R30" s="11" t="str">
        <f t="shared" si="48"/>
        <v>29,560</v>
      </c>
      <c r="S30" s="11">
        <f t="shared" si="49"/>
        <v>4.1544444444444446E-2</v>
      </c>
      <c r="T30" s="14">
        <f t="shared" si="50"/>
        <v>2421.9844878309709</v>
      </c>
      <c r="U30" s="39">
        <f t="shared" si="51"/>
        <v>-100</v>
      </c>
      <c r="V30" s="105">
        <f t="shared" ref="V30:W30" si="131">V29</f>
        <v>20.399999999999999</v>
      </c>
      <c r="W30" s="105">
        <f t="shared" si="131"/>
        <v>1.5069999999999999</v>
      </c>
      <c r="X30" s="106">
        <f t="shared" si="20"/>
        <v>1.504</v>
      </c>
      <c r="Y30" s="53"/>
      <c r="Z30" s="53"/>
      <c r="AA30" s="107">
        <f t="shared" ref="AA30:AB30" si="132">AA29</f>
        <v>10.015000000000001</v>
      </c>
      <c r="AB30" s="108" t="str">
        <f t="shared" si="132"/>
        <v>22,10,090</v>
      </c>
      <c r="AC30" s="11" t="str">
        <f t="shared" si="54"/>
        <v>22</v>
      </c>
      <c r="AD30" s="11" t="str">
        <f t="shared" si="55"/>
        <v>10,090</v>
      </c>
      <c r="AE30" s="11">
        <f t="shared" si="56"/>
        <v>0.36946944444444441</v>
      </c>
      <c r="AF30" s="14">
        <f t="shared" si="57"/>
        <v>27.106436406558959</v>
      </c>
      <c r="AG30" s="41">
        <f t="shared" si="58"/>
        <v>-100</v>
      </c>
      <c r="AH30" s="105">
        <f t="shared" si="114"/>
        <v>20.3</v>
      </c>
      <c r="AI30" s="105">
        <f t="shared" si="114"/>
        <v>1.5089999999999999</v>
      </c>
      <c r="AJ30" s="105">
        <f t="shared" si="114"/>
        <v>1.504</v>
      </c>
      <c r="AK30" s="53">
        <f t="shared" si="59"/>
        <v>0</v>
      </c>
      <c r="AL30" s="53"/>
      <c r="AM30" s="54">
        <f t="shared" ref="AM30:AN30" si="133">AM29</f>
        <v>5.0129999999999999</v>
      </c>
      <c r="AN30" s="101" t="str">
        <f t="shared" si="133"/>
        <v>17,59,050</v>
      </c>
      <c r="AO30" s="11" t="str">
        <f t="shared" si="61"/>
        <v>17</v>
      </c>
      <c r="AP30" s="11" t="str">
        <f t="shared" si="62"/>
        <v>59,050</v>
      </c>
      <c r="AQ30" s="11">
        <f t="shared" si="63"/>
        <v>0.29973611111111109</v>
      </c>
      <c r="AR30" s="14">
        <f t="shared" si="64"/>
        <v>16.724711551827998</v>
      </c>
      <c r="AS30" s="41">
        <f t="shared" si="65"/>
        <v>-100</v>
      </c>
      <c r="AT30" s="43" t="str">
        <f t="shared" si="66"/>
        <v>NO CONFORME</v>
      </c>
      <c r="AU30" s="8" t="b">
        <f t="shared" si="29"/>
        <v>1</v>
      </c>
      <c r="AV30" s="8" t="b">
        <f t="shared" si="30"/>
        <v>0</v>
      </c>
      <c r="AW30" s="8" t="b">
        <f t="shared" si="31"/>
        <v>1</v>
      </c>
      <c r="AX30" s="8" t="str">
        <f t="shared" si="32"/>
        <v>Qcorrecto</v>
      </c>
      <c r="AY30" s="22" t="str">
        <f t="shared" si="5"/>
        <v>aceptable</v>
      </c>
      <c r="AZ30" s="22" t="str">
        <f t="shared" si="6"/>
        <v>aceptable</v>
      </c>
      <c r="BA30" s="22" t="str">
        <f t="shared" si="33"/>
        <v>aceptable</v>
      </c>
      <c r="BB30" s="25" t="str">
        <f t="shared" si="34"/>
        <v>NO CONFORME</v>
      </c>
      <c r="BC30" s="5" t="str">
        <f t="shared" si="35"/>
        <v>NO CONFORME</v>
      </c>
      <c r="BD30" s="15">
        <f t="shared" si="7"/>
        <v>-1</v>
      </c>
      <c r="BE30" s="15">
        <f t="shared" si="8"/>
        <v>-1</v>
      </c>
      <c r="BF30" s="15">
        <f t="shared" si="9"/>
        <v>-1</v>
      </c>
      <c r="BG30" s="15" t="str">
        <f t="shared" si="10"/>
        <v>-1-1-1</v>
      </c>
      <c r="BH30" s="15" t="str">
        <f t="shared" si="11"/>
        <v>SD</v>
      </c>
      <c r="BI30" s="15" t="str">
        <f t="shared" si="12"/>
        <v>SI</v>
      </c>
      <c r="BJ30" s="15" t="b">
        <f t="shared" si="13"/>
        <v>1</v>
      </c>
      <c r="BK30" s="15" t="str">
        <f t="shared" si="14"/>
        <v>SIGIGUALES</v>
      </c>
      <c r="BL30" s="22" t="str">
        <f t="shared" si="15"/>
        <v>NO CONFORME</v>
      </c>
    </row>
    <row r="31" spans="1:64" ht="15" customHeight="1" thickBot="1" x14ac:dyDescent="0.3">
      <c r="A31" s="37">
        <v>23</v>
      </c>
      <c r="B31" s="93">
        <f t="shared" ref="B31:E31" si="134">B30</f>
        <v>45919</v>
      </c>
      <c r="C31" s="93">
        <f t="shared" si="134"/>
        <v>45919</v>
      </c>
      <c r="D31" s="94">
        <f t="shared" si="134"/>
        <v>6</v>
      </c>
      <c r="E31" s="95">
        <f t="shared" si="134"/>
        <v>15</v>
      </c>
      <c r="F31" s="52"/>
      <c r="G31" s="96"/>
      <c r="H31" s="97">
        <f t="shared" ref="H31:L31" si="135">H30</f>
        <v>25.6</v>
      </c>
      <c r="I31" s="98">
        <f t="shared" si="135"/>
        <v>0</v>
      </c>
      <c r="J31" s="99">
        <f t="shared" si="135"/>
        <v>20.9</v>
      </c>
      <c r="K31" s="99">
        <f t="shared" si="135"/>
        <v>7.883</v>
      </c>
      <c r="L31" s="99">
        <f t="shared" si="135"/>
        <v>0.55400000000000005</v>
      </c>
      <c r="M31" s="53"/>
      <c r="N31" s="53"/>
      <c r="O31" s="100">
        <f t="shared" ref="O31:P31" si="136">O30</f>
        <v>100.62</v>
      </c>
      <c r="P31" s="101" t="str">
        <f t="shared" si="136"/>
        <v>2,29,560</v>
      </c>
      <c r="Q31" s="11" t="str">
        <f t="shared" si="47"/>
        <v>2</v>
      </c>
      <c r="R31" s="11" t="str">
        <f t="shared" si="48"/>
        <v>29,560</v>
      </c>
      <c r="S31" s="11">
        <f t="shared" si="49"/>
        <v>4.1544444444444446E-2</v>
      </c>
      <c r="T31" s="14">
        <f t="shared" si="50"/>
        <v>2421.9844878309709</v>
      </c>
      <c r="U31" s="39">
        <f t="shared" si="51"/>
        <v>-100</v>
      </c>
      <c r="V31" s="105">
        <f t="shared" ref="V31:W31" si="137">V30</f>
        <v>20.399999999999999</v>
      </c>
      <c r="W31" s="105">
        <f t="shared" si="137"/>
        <v>1.5069999999999999</v>
      </c>
      <c r="X31" s="106">
        <f t="shared" si="20"/>
        <v>1.504</v>
      </c>
      <c r="Y31" s="53"/>
      <c r="Z31" s="53"/>
      <c r="AA31" s="107">
        <f t="shared" ref="AA31:AB31" si="138">AA30</f>
        <v>10.015000000000001</v>
      </c>
      <c r="AB31" s="108" t="str">
        <f t="shared" si="138"/>
        <v>22,10,090</v>
      </c>
      <c r="AC31" s="11" t="str">
        <f t="shared" si="54"/>
        <v>22</v>
      </c>
      <c r="AD31" s="11" t="str">
        <f t="shared" si="55"/>
        <v>10,090</v>
      </c>
      <c r="AE31" s="11">
        <f t="shared" si="56"/>
        <v>0.36946944444444441</v>
      </c>
      <c r="AF31" s="14">
        <f t="shared" si="57"/>
        <v>27.106436406558959</v>
      </c>
      <c r="AG31" s="41">
        <f t="shared" si="58"/>
        <v>-100</v>
      </c>
      <c r="AH31" s="105">
        <f t="shared" si="114"/>
        <v>20.3</v>
      </c>
      <c r="AI31" s="105">
        <f t="shared" si="114"/>
        <v>1.5089999999999999</v>
      </c>
      <c r="AJ31" s="105">
        <f t="shared" si="114"/>
        <v>1.504</v>
      </c>
      <c r="AK31" s="53">
        <f t="shared" si="59"/>
        <v>0</v>
      </c>
      <c r="AL31" s="53"/>
      <c r="AM31" s="54">
        <f t="shared" ref="AM31:AN31" si="139">AM30</f>
        <v>5.0129999999999999</v>
      </c>
      <c r="AN31" s="101" t="str">
        <f t="shared" si="139"/>
        <v>17,59,050</v>
      </c>
      <c r="AO31" s="11" t="str">
        <f t="shared" si="61"/>
        <v>17</v>
      </c>
      <c r="AP31" s="11" t="str">
        <f t="shared" si="62"/>
        <v>59,050</v>
      </c>
      <c r="AQ31" s="11">
        <f t="shared" si="63"/>
        <v>0.29973611111111109</v>
      </c>
      <c r="AR31" s="14">
        <f t="shared" si="64"/>
        <v>16.724711551827998</v>
      </c>
      <c r="AS31" s="41">
        <f t="shared" si="65"/>
        <v>-100</v>
      </c>
      <c r="AT31" s="43" t="str">
        <f t="shared" si="66"/>
        <v>NO CONFORME</v>
      </c>
      <c r="AU31" s="8" t="b">
        <f t="shared" si="29"/>
        <v>1</v>
      </c>
      <c r="AV31" s="8" t="b">
        <f t="shared" si="30"/>
        <v>0</v>
      </c>
      <c r="AW31" s="8" t="b">
        <f t="shared" si="31"/>
        <v>1</v>
      </c>
      <c r="AX31" s="8" t="str">
        <f t="shared" si="32"/>
        <v>Qcorrecto</v>
      </c>
      <c r="AY31" s="22" t="str">
        <f t="shared" si="5"/>
        <v>aceptable</v>
      </c>
      <c r="AZ31" s="22" t="str">
        <f t="shared" si="6"/>
        <v>aceptable</v>
      </c>
      <c r="BA31" s="22" t="str">
        <f t="shared" si="33"/>
        <v>aceptable</v>
      </c>
      <c r="BB31" s="25" t="str">
        <f t="shared" si="34"/>
        <v>NO CONFORME</v>
      </c>
      <c r="BC31" s="5" t="str">
        <f t="shared" si="35"/>
        <v>NO CONFORME</v>
      </c>
      <c r="BD31" s="15">
        <f t="shared" si="7"/>
        <v>-1</v>
      </c>
      <c r="BE31" s="15">
        <f t="shared" si="8"/>
        <v>-1</v>
      </c>
      <c r="BF31" s="15">
        <f t="shared" si="9"/>
        <v>-1</v>
      </c>
      <c r="BG31" s="15" t="str">
        <f t="shared" si="10"/>
        <v>-1-1-1</v>
      </c>
      <c r="BH31" s="15" t="str">
        <f t="shared" si="11"/>
        <v>SD</v>
      </c>
      <c r="BI31" s="15" t="str">
        <f t="shared" si="12"/>
        <v>SI</v>
      </c>
      <c r="BJ31" s="15" t="b">
        <f t="shared" si="13"/>
        <v>1</v>
      </c>
      <c r="BK31" s="15" t="str">
        <f t="shared" si="14"/>
        <v>SIGIGUALES</v>
      </c>
      <c r="BL31" s="22" t="str">
        <f t="shared" si="15"/>
        <v>NO CONFORME</v>
      </c>
    </row>
    <row r="32" spans="1:64" ht="15" customHeight="1" thickBot="1" x14ac:dyDescent="0.3">
      <c r="A32" s="37">
        <v>24</v>
      </c>
      <c r="B32" s="93">
        <f t="shared" ref="B32:E32" si="140">B31</f>
        <v>45919</v>
      </c>
      <c r="C32" s="93">
        <f t="shared" si="140"/>
        <v>45919</v>
      </c>
      <c r="D32" s="94">
        <f t="shared" si="140"/>
        <v>6</v>
      </c>
      <c r="E32" s="95">
        <f t="shared" si="140"/>
        <v>15</v>
      </c>
      <c r="F32" s="52"/>
      <c r="G32" s="96"/>
      <c r="H32" s="97">
        <f t="shared" ref="H32:L32" si="141">H31</f>
        <v>25.6</v>
      </c>
      <c r="I32" s="98">
        <f t="shared" si="141"/>
        <v>0</v>
      </c>
      <c r="J32" s="99">
        <f t="shared" si="141"/>
        <v>20.9</v>
      </c>
      <c r="K32" s="99">
        <f t="shared" si="141"/>
        <v>7.883</v>
      </c>
      <c r="L32" s="99">
        <f t="shared" si="141"/>
        <v>0.55400000000000005</v>
      </c>
      <c r="M32" s="53"/>
      <c r="N32" s="53"/>
      <c r="O32" s="100">
        <f t="shared" ref="O32:P32" si="142">O31</f>
        <v>100.62</v>
      </c>
      <c r="P32" s="101" t="str">
        <f t="shared" si="142"/>
        <v>2,29,560</v>
      </c>
      <c r="Q32" s="11" t="str">
        <f t="shared" si="47"/>
        <v>2</v>
      </c>
      <c r="R32" s="11" t="str">
        <f t="shared" si="48"/>
        <v>29,560</v>
      </c>
      <c r="S32" s="11">
        <f t="shared" si="49"/>
        <v>4.1544444444444446E-2</v>
      </c>
      <c r="T32" s="14">
        <f t="shared" si="50"/>
        <v>2421.9844878309709</v>
      </c>
      <c r="U32" s="39">
        <f t="shared" si="51"/>
        <v>-100</v>
      </c>
      <c r="V32" s="105">
        <f t="shared" ref="V32:W32" si="143">V31</f>
        <v>20.399999999999999</v>
      </c>
      <c r="W32" s="105">
        <f t="shared" si="143"/>
        <v>1.5069999999999999</v>
      </c>
      <c r="X32" s="106">
        <f t="shared" si="20"/>
        <v>1.504</v>
      </c>
      <c r="Y32" s="53"/>
      <c r="Z32" s="53"/>
      <c r="AA32" s="107">
        <f t="shared" ref="AA32:AB32" si="144">AA31</f>
        <v>10.015000000000001</v>
      </c>
      <c r="AB32" s="108" t="str">
        <f t="shared" si="144"/>
        <v>22,10,090</v>
      </c>
      <c r="AC32" s="11" t="str">
        <f t="shared" si="54"/>
        <v>22</v>
      </c>
      <c r="AD32" s="11" t="str">
        <f t="shared" si="55"/>
        <v>10,090</v>
      </c>
      <c r="AE32" s="11">
        <f t="shared" si="56"/>
        <v>0.36946944444444441</v>
      </c>
      <c r="AF32" s="14">
        <f t="shared" si="57"/>
        <v>27.106436406558959</v>
      </c>
      <c r="AG32" s="41">
        <f t="shared" si="58"/>
        <v>-100</v>
      </c>
      <c r="AH32" s="105">
        <f t="shared" si="114"/>
        <v>20.3</v>
      </c>
      <c r="AI32" s="105">
        <f t="shared" si="114"/>
        <v>1.5089999999999999</v>
      </c>
      <c r="AJ32" s="105">
        <f t="shared" si="114"/>
        <v>1.504</v>
      </c>
      <c r="AK32" s="53">
        <f t="shared" si="59"/>
        <v>0</v>
      </c>
      <c r="AL32" s="53"/>
      <c r="AM32" s="54">
        <f t="shared" ref="AM32:AN32" si="145">AM31</f>
        <v>5.0129999999999999</v>
      </c>
      <c r="AN32" s="101" t="str">
        <f t="shared" si="145"/>
        <v>17,59,050</v>
      </c>
      <c r="AO32" s="11" t="str">
        <f t="shared" si="61"/>
        <v>17</v>
      </c>
      <c r="AP32" s="11" t="str">
        <f t="shared" si="62"/>
        <v>59,050</v>
      </c>
      <c r="AQ32" s="11">
        <f t="shared" si="63"/>
        <v>0.29973611111111109</v>
      </c>
      <c r="AR32" s="14">
        <f t="shared" si="64"/>
        <v>16.724711551827998</v>
      </c>
      <c r="AS32" s="41">
        <f t="shared" si="65"/>
        <v>-100</v>
      </c>
      <c r="AT32" s="43" t="str">
        <f t="shared" si="66"/>
        <v>NO CONFORME</v>
      </c>
      <c r="AU32" s="8" t="b">
        <f t="shared" si="29"/>
        <v>1</v>
      </c>
      <c r="AV32" s="8" t="b">
        <f t="shared" si="30"/>
        <v>0</v>
      </c>
      <c r="AW32" s="8" t="b">
        <f t="shared" si="31"/>
        <v>1</v>
      </c>
      <c r="AX32" s="8" t="str">
        <f t="shared" si="32"/>
        <v>Qcorrecto</v>
      </c>
      <c r="AY32" s="22" t="str">
        <f t="shared" si="5"/>
        <v>aceptable</v>
      </c>
      <c r="AZ32" s="22" t="str">
        <f t="shared" si="6"/>
        <v>aceptable</v>
      </c>
      <c r="BA32" s="22" t="str">
        <f t="shared" si="33"/>
        <v>aceptable</v>
      </c>
      <c r="BB32" s="25" t="str">
        <f t="shared" si="34"/>
        <v>NO CONFORME</v>
      </c>
      <c r="BC32" s="5" t="str">
        <f t="shared" si="35"/>
        <v>NO CONFORME</v>
      </c>
      <c r="BD32" s="15">
        <f t="shared" si="7"/>
        <v>-1</v>
      </c>
      <c r="BE32" s="15">
        <f t="shared" si="8"/>
        <v>-1</v>
      </c>
      <c r="BF32" s="15">
        <f t="shared" si="9"/>
        <v>-1</v>
      </c>
      <c r="BG32" s="15" t="str">
        <f t="shared" si="10"/>
        <v>-1-1-1</v>
      </c>
      <c r="BH32" s="15" t="str">
        <f t="shared" si="11"/>
        <v>SD</v>
      </c>
      <c r="BI32" s="15" t="str">
        <f t="shared" si="12"/>
        <v>SI</v>
      </c>
      <c r="BJ32" s="15" t="b">
        <f t="shared" si="13"/>
        <v>1</v>
      </c>
      <c r="BK32" s="15" t="str">
        <f t="shared" si="14"/>
        <v>SIGIGUALES</v>
      </c>
      <c r="BL32" s="22" t="str">
        <f t="shared" si="15"/>
        <v>NO CONFORME</v>
      </c>
    </row>
    <row r="33" spans="1:64" ht="15" customHeight="1" thickBot="1" x14ac:dyDescent="0.3">
      <c r="A33" s="37">
        <v>25</v>
      </c>
      <c r="B33" s="93">
        <f t="shared" ref="B33:E33" si="146">B32</f>
        <v>45919</v>
      </c>
      <c r="C33" s="93">
        <f t="shared" si="146"/>
        <v>45919</v>
      </c>
      <c r="D33" s="94">
        <f t="shared" si="146"/>
        <v>6</v>
      </c>
      <c r="E33" s="95">
        <f t="shared" si="146"/>
        <v>15</v>
      </c>
      <c r="F33" s="52"/>
      <c r="G33" s="96"/>
      <c r="H33" s="97">
        <f t="shared" ref="H33:L33" si="147">H32</f>
        <v>25.6</v>
      </c>
      <c r="I33" s="98">
        <f t="shared" si="147"/>
        <v>0</v>
      </c>
      <c r="J33" s="99">
        <f t="shared" si="147"/>
        <v>20.9</v>
      </c>
      <c r="K33" s="99">
        <f t="shared" si="147"/>
        <v>7.883</v>
      </c>
      <c r="L33" s="99">
        <f t="shared" si="147"/>
        <v>0.55400000000000005</v>
      </c>
      <c r="M33" s="53"/>
      <c r="N33" s="53"/>
      <c r="O33" s="100">
        <f t="shared" ref="O33:P33" si="148">O32</f>
        <v>100.62</v>
      </c>
      <c r="P33" s="101" t="str">
        <f t="shared" si="148"/>
        <v>2,29,560</v>
      </c>
      <c r="Q33" s="11" t="str">
        <f t="shared" si="47"/>
        <v>2</v>
      </c>
      <c r="R33" s="11" t="str">
        <f t="shared" si="48"/>
        <v>29,560</v>
      </c>
      <c r="S33" s="11">
        <f t="shared" si="49"/>
        <v>4.1544444444444446E-2</v>
      </c>
      <c r="T33" s="14">
        <f t="shared" si="50"/>
        <v>2421.9844878309709</v>
      </c>
      <c r="U33" s="39">
        <f t="shared" si="51"/>
        <v>-100</v>
      </c>
      <c r="V33" s="105">
        <f t="shared" ref="V33:W33" si="149">V32</f>
        <v>20.399999999999999</v>
      </c>
      <c r="W33" s="105">
        <f t="shared" si="149"/>
        <v>1.5069999999999999</v>
      </c>
      <c r="X33" s="106">
        <f t="shared" si="20"/>
        <v>1.504</v>
      </c>
      <c r="Y33" s="53"/>
      <c r="Z33" s="53"/>
      <c r="AA33" s="107">
        <f t="shared" ref="AA33:AB33" si="150">AA32</f>
        <v>10.015000000000001</v>
      </c>
      <c r="AB33" s="108" t="str">
        <f t="shared" si="150"/>
        <v>22,10,090</v>
      </c>
      <c r="AC33" s="11" t="str">
        <f t="shared" si="54"/>
        <v>22</v>
      </c>
      <c r="AD33" s="11" t="str">
        <f t="shared" si="55"/>
        <v>10,090</v>
      </c>
      <c r="AE33" s="11">
        <f t="shared" si="56"/>
        <v>0.36946944444444441</v>
      </c>
      <c r="AF33" s="14">
        <f t="shared" si="57"/>
        <v>27.106436406558959</v>
      </c>
      <c r="AG33" s="41">
        <f t="shared" si="58"/>
        <v>-100</v>
      </c>
      <c r="AH33" s="105">
        <f t="shared" si="114"/>
        <v>20.3</v>
      </c>
      <c r="AI33" s="105">
        <f t="shared" si="114"/>
        <v>1.5089999999999999</v>
      </c>
      <c r="AJ33" s="105">
        <f t="shared" si="114"/>
        <v>1.504</v>
      </c>
      <c r="AK33" s="53">
        <f t="shared" si="59"/>
        <v>0</v>
      </c>
      <c r="AL33" s="53"/>
      <c r="AM33" s="54">
        <f t="shared" ref="AM33:AN33" si="151">AM32</f>
        <v>5.0129999999999999</v>
      </c>
      <c r="AN33" s="101" t="str">
        <f t="shared" si="151"/>
        <v>17,59,050</v>
      </c>
      <c r="AO33" s="11" t="str">
        <f t="shared" si="61"/>
        <v>17</v>
      </c>
      <c r="AP33" s="11" t="str">
        <f t="shared" si="62"/>
        <v>59,050</v>
      </c>
      <c r="AQ33" s="11">
        <f t="shared" si="63"/>
        <v>0.29973611111111109</v>
      </c>
      <c r="AR33" s="14">
        <f t="shared" si="64"/>
        <v>16.724711551827998</v>
      </c>
      <c r="AS33" s="41">
        <f t="shared" si="65"/>
        <v>-100</v>
      </c>
      <c r="AT33" s="43" t="str">
        <f t="shared" si="66"/>
        <v>NO CONFORME</v>
      </c>
      <c r="AU33" s="8" t="b">
        <f t="shared" si="29"/>
        <v>1</v>
      </c>
      <c r="AV33" s="8" t="b">
        <f t="shared" si="30"/>
        <v>0</v>
      </c>
      <c r="AW33" s="8" t="b">
        <f t="shared" si="31"/>
        <v>1</v>
      </c>
      <c r="AX33" s="8" t="str">
        <f t="shared" si="32"/>
        <v>Qcorrecto</v>
      </c>
      <c r="AY33" s="22" t="str">
        <f t="shared" si="5"/>
        <v>aceptable</v>
      </c>
      <c r="AZ33" s="22" t="str">
        <f t="shared" si="6"/>
        <v>aceptable</v>
      </c>
      <c r="BA33" s="22" t="str">
        <f t="shared" si="33"/>
        <v>aceptable</v>
      </c>
      <c r="BB33" s="25" t="str">
        <f t="shared" si="34"/>
        <v>NO CONFORME</v>
      </c>
      <c r="BC33" s="5" t="str">
        <f t="shared" si="35"/>
        <v>NO CONFORME</v>
      </c>
      <c r="BD33" s="15">
        <f t="shared" si="7"/>
        <v>-1</v>
      </c>
      <c r="BE33" s="15">
        <f t="shared" si="8"/>
        <v>-1</v>
      </c>
      <c r="BF33" s="15">
        <f t="shared" si="9"/>
        <v>-1</v>
      </c>
      <c r="BG33" s="15" t="str">
        <f t="shared" si="10"/>
        <v>-1-1-1</v>
      </c>
      <c r="BH33" s="15" t="str">
        <f t="shared" si="11"/>
        <v>SD</v>
      </c>
      <c r="BI33" s="15" t="str">
        <f t="shared" si="12"/>
        <v>SI</v>
      </c>
      <c r="BJ33" s="15" t="b">
        <f t="shared" si="13"/>
        <v>1</v>
      </c>
      <c r="BK33" s="15" t="str">
        <f t="shared" si="14"/>
        <v>SIGIGUALES</v>
      </c>
      <c r="BL33" s="22" t="str">
        <f t="shared" si="15"/>
        <v>NO CONFORME</v>
      </c>
    </row>
    <row r="34" spans="1:64" ht="15" customHeight="1" thickBot="1" x14ac:dyDescent="0.3">
      <c r="A34" s="37">
        <v>26</v>
      </c>
      <c r="B34" s="93">
        <f t="shared" ref="B34:E34" si="152">B33</f>
        <v>45919</v>
      </c>
      <c r="C34" s="93">
        <f t="shared" si="152"/>
        <v>45919</v>
      </c>
      <c r="D34" s="94">
        <f t="shared" si="152"/>
        <v>6</v>
      </c>
      <c r="E34" s="95">
        <f t="shared" si="152"/>
        <v>15</v>
      </c>
      <c r="F34" s="52"/>
      <c r="G34" s="96"/>
      <c r="H34" s="97">
        <f t="shared" ref="H34:L34" si="153">H33</f>
        <v>25.6</v>
      </c>
      <c r="I34" s="98">
        <f t="shared" si="153"/>
        <v>0</v>
      </c>
      <c r="J34" s="99">
        <f t="shared" si="153"/>
        <v>20.9</v>
      </c>
      <c r="K34" s="99">
        <f t="shared" si="153"/>
        <v>7.883</v>
      </c>
      <c r="L34" s="99">
        <f t="shared" si="153"/>
        <v>0.55400000000000005</v>
      </c>
      <c r="M34" s="53"/>
      <c r="N34" s="53"/>
      <c r="O34" s="100">
        <f t="shared" ref="O34:P34" si="154">O33</f>
        <v>100.62</v>
      </c>
      <c r="P34" s="101" t="str">
        <f t="shared" si="154"/>
        <v>2,29,560</v>
      </c>
      <c r="Q34" s="11" t="str">
        <f t="shared" si="47"/>
        <v>2</v>
      </c>
      <c r="R34" s="11" t="str">
        <f t="shared" si="48"/>
        <v>29,560</v>
      </c>
      <c r="S34" s="11">
        <f t="shared" si="49"/>
        <v>4.1544444444444446E-2</v>
      </c>
      <c r="T34" s="14">
        <f t="shared" si="50"/>
        <v>2421.9844878309709</v>
      </c>
      <c r="U34" s="39">
        <f t="shared" si="51"/>
        <v>-100</v>
      </c>
      <c r="V34" s="105">
        <f t="shared" ref="V34:W34" si="155">V33</f>
        <v>20.399999999999999</v>
      </c>
      <c r="W34" s="105">
        <f t="shared" si="155"/>
        <v>1.5069999999999999</v>
      </c>
      <c r="X34" s="106">
        <f t="shared" si="20"/>
        <v>1.504</v>
      </c>
      <c r="Y34" s="53"/>
      <c r="Z34" s="53"/>
      <c r="AA34" s="107">
        <f t="shared" ref="AA34:AB34" si="156">AA33</f>
        <v>10.015000000000001</v>
      </c>
      <c r="AB34" s="108" t="str">
        <f t="shared" si="156"/>
        <v>22,10,090</v>
      </c>
      <c r="AC34" s="11" t="str">
        <f t="shared" si="54"/>
        <v>22</v>
      </c>
      <c r="AD34" s="11" t="str">
        <f t="shared" si="55"/>
        <v>10,090</v>
      </c>
      <c r="AE34" s="11">
        <f t="shared" si="56"/>
        <v>0.36946944444444441</v>
      </c>
      <c r="AF34" s="14">
        <f t="shared" si="57"/>
        <v>27.106436406558959</v>
      </c>
      <c r="AG34" s="41">
        <f t="shared" si="58"/>
        <v>-100</v>
      </c>
      <c r="AH34" s="105">
        <f t="shared" si="114"/>
        <v>20.3</v>
      </c>
      <c r="AI34" s="105">
        <f t="shared" si="114"/>
        <v>1.5089999999999999</v>
      </c>
      <c r="AJ34" s="105">
        <f t="shared" si="114"/>
        <v>1.504</v>
      </c>
      <c r="AK34" s="53">
        <f t="shared" si="59"/>
        <v>0</v>
      </c>
      <c r="AL34" s="53"/>
      <c r="AM34" s="54">
        <f t="shared" ref="AM34:AN34" si="157">AM33</f>
        <v>5.0129999999999999</v>
      </c>
      <c r="AN34" s="101" t="str">
        <f t="shared" si="157"/>
        <v>17,59,050</v>
      </c>
      <c r="AO34" s="11" t="str">
        <f t="shared" si="61"/>
        <v>17</v>
      </c>
      <c r="AP34" s="11" t="str">
        <f t="shared" si="62"/>
        <v>59,050</v>
      </c>
      <c r="AQ34" s="11">
        <f t="shared" si="63"/>
        <v>0.29973611111111109</v>
      </c>
      <c r="AR34" s="14">
        <f t="shared" si="64"/>
        <v>16.724711551827998</v>
      </c>
      <c r="AS34" s="41">
        <f t="shared" si="65"/>
        <v>-100</v>
      </c>
      <c r="AT34" s="43" t="str">
        <f t="shared" si="66"/>
        <v>NO CONFORME</v>
      </c>
      <c r="AU34" s="8" t="b">
        <f t="shared" si="29"/>
        <v>1</v>
      </c>
      <c r="AV34" s="8" t="b">
        <f t="shared" si="30"/>
        <v>0</v>
      </c>
      <c r="AW34" s="8" t="b">
        <f t="shared" si="31"/>
        <v>1</v>
      </c>
      <c r="AX34" s="8" t="str">
        <f t="shared" si="32"/>
        <v>Qcorrecto</v>
      </c>
      <c r="AY34" s="22" t="str">
        <f t="shared" si="5"/>
        <v>aceptable</v>
      </c>
      <c r="AZ34" s="22" t="str">
        <f t="shared" si="6"/>
        <v>aceptable</v>
      </c>
      <c r="BA34" s="22" t="str">
        <f t="shared" si="33"/>
        <v>aceptable</v>
      </c>
      <c r="BB34" s="25" t="str">
        <f t="shared" si="34"/>
        <v>NO CONFORME</v>
      </c>
      <c r="BC34" s="5" t="str">
        <f t="shared" si="35"/>
        <v>NO CONFORME</v>
      </c>
      <c r="BD34" s="15">
        <f t="shared" si="7"/>
        <v>-1</v>
      </c>
      <c r="BE34" s="15">
        <f t="shared" si="8"/>
        <v>-1</v>
      </c>
      <c r="BF34" s="15">
        <f t="shared" si="9"/>
        <v>-1</v>
      </c>
      <c r="BG34" s="15" t="str">
        <f t="shared" si="10"/>
        <v>-1-1-1</v>
      </c>
      <c r="BH34" s="15" t="str">
        <f t="shared" si="11"/>
        <v>SD</v>
      </c>
      <c r="BI34" s="15" t="str">
        <f t="shared" si="12"/>
        <v>SI</v>
      </c>
      <c r="BJ34" s="15" t="b">
        <f t="shared" si="13"/>
        <v>1</v>
      </c>
      <c r="BK34" s="15" t="str">
        <f t="shared" si="14"/>
        <v>SIGIGUALES</v>
      </c>
      <c r="BL34" s="22" t="str">
        <f t="shared" si="15"/>
        <v>NO CONFORME</v>
      </c>
    </row>
    <row r="35" spans="1:64" ht="15" customHeight="1" thickBot="1" x14ac:dyDescent="0.3">
      <c r="A35" s="37">
        <v>27</v>
      </c>
      <c r="B35" s="93">
        <f t="shared" ref="B35:E35" si="158">B34</f>
        <v>45919</v>
      </c>
      <c r="C35" s="93">
        <f t="shared" si="158"/>
        <v>45919</v>
      </c>
      <c r="D35" s="94">
        <f t="shared" si="158"/>
        <v>6</v>
      </c>
      <c r="E35" s="95">
        <f t="shared" si="158"/>
        <v>15</v>
      </c>
      <c r="F35" s="52"/>
      <c r="G35" s="96"/>
      <c r="H35" s="97">
        <f t="shared" ref="H35:L35" si="159">H34</f>
        <v>25.6</v>
      </c>
      <c r="I35" s="98">
        <f t="shared" si="159"/>
        <v>0</v>
      </c>
      <c r="J35" s="99">
        <f t="shared" si="159"/>
        <v>20.9</v>
      </c>
      <c r="K35" s="99">
        <f t="shared" si="159"/>
        <v>7.883</v>
      </c>
      <c r="L35" s="99">
        <f t="shared" si="159"/>
        <v>0.55400000000000005</v>
      </c>
      <c r="M35" s="53"/>
      <c r="N35" s="53"/>
      <c r="O35" s="100">
        <f t="shared" ref="O35:P35" si="160">O34</f>
        <v>100.62</v>
      </c>
      <c r="P35" s="101" t="str">
        <f t="shared" si="160"/>
        <v>2,29,560</v>
      </c>
      <c r="Q35" s="11" t="str">
        <f t="shared" si="47"/>
        <v>2</v>
      </c>
      <c r="R35" s="11" t="str">
        <f t="shared" si="48"/>
        <v>29,560</v>
      </c>
      <c r="S35" s="11">
        <f t="shared" si="49"/>
        <v>4.1544444444444446E-2</v>
      </c>
      <c r="T35" s="14">
        <f t="shared" si="50"/>
        <v>2421.9844878309709</v>
      </c>
      <c r="U35" s="39">
        <f t="shared" si="51"/>
        <v>-100</v>
      </c>
      <c r="V35" s="105">
        <f t="shared" ref="V35:W35" si="161">V34</f>
        <v>20.399999999999999</v>
      </c>
      <c r="W35" s="105">
        <f t="shared" si="161"/>
        <v>1.5069999999999999</v>
      </c>
      <c r="X35" s="106">
        <f t="shared" si="20"/>
        <v>1.504</v>
      </c>
      <c r="Y35" s="53"/>
      <c r="Z35" s="53"/>
      <c r="AA35" s="107">
        <f t="shared" ref="AA35:AB35" si="162">AA34</f>
        <v>10.015000000000001</v>
      </c>
      <c r="AB35" s="108" t="str">
        <f t="shared" si="162"/>
        <v>22,10,090</v>
      </c>
      <c r="AC35" s="11" t="str">
        <f t="shared" si="54"/>
        <v>22</v>
      </c>
      <c r="AD35" s="11" t="str">
        <f t="shared" si="55"/>
        <v>10,090</v>
      </c>
      <c r="AE35" s="11">
        <f t="shared" si="56"/>
        <v>0.36946944444444441</v>
      </c>
      <c r="AF35" s="14">
        <f t="shared" si="57"/>
        <v>27.106436406558959</v>
      </c>
      <c r="AG35" s="41">
        <f t="shared" si="58"/>
        <v>-100</v>
      </c>
      <c r="AH35" s="105">
        <f t="shared" si="114"/>
        <v>20.3</v>
      </c>
      <c r="AI35" s="105">
        <f t="shared" si="114"/>
        <v>1.5089999999999999</v>
      </c>
      <c r="AJ35" s="105">
        <f t="shared" si="114"/>
        <v>1.504</v>
      </c>
      <c r="AK35" s="53">
        <f t="shared" si="59"/>
        <v>0</v>
      </c>
      <c r="AL35" s="53"/>
      <c r="AM35" s="54">
        <f t="shared" ref="AM35:AN35" si="163">AM34</f>
        <v>5.0129999999999999</v>
      </c>
      <c r="AN35" s="101" t="str">
        <f t="shared" si="163"/>
        <v>17,59,050</v>
      </c>
      <c r="AO35" s="11" t="str">
        <f t="shared" si="61"/>
        <v>17</v>
      </c>
      <c r="AP35" s="11" t="str">
        <f t="shared" si="62"/>
        <v>59,050</v>
      </c>
      <c r="AQ35" s="11">
        <f t="shared" si="63"/>
        <v>0.29973611111111109</v>
      </c>
      <c r="AR35" s="14">
        <f t="shared" si="64"/>
        <v>16.724711551827998</v>
      </c>
      <c r="AS35" s="41">
        <f t="shared" si="65"/>
        <v>-100</v>
      </c>
      <c r="AT35" s="43" t="str">
        <f t="shared" si="66"/>
        <v>NO CONFORME</v>
      </c>
      <c r="AU35" s="8" t="b">
        <f t="shared" si="29"/>
        <v>1</v>
      </c>
      <c r="AV35" s="8" t="b">
        <f t="shared" si="30"/>
        <v>0</v>
      </c>
      <c r="AW35" s="8" t="b">
        <f t="shared" si="31"/>
        <v>1</v>
      </c>
      <c r="AX35" s="8" t="str">
        <f t="shared" si="32"/>
        <v>Qcorrecto</v>
      </c>
      <c r="AY35" s="22" t="str">
        <f t="shared" si="5"/>
        <v>aceptable</v>
      </c>
      <c r="AZ35" s="22" t="str">
        <f t="shared" si="6"/>
        <v>aceptable</v>
      </c>
      <c r="BA35" s="22" t="str">
        <f t="shared" si="33"/>
        <v>aceptable</v>
      </c>
      <c r="BB35" s="25" t="str">
        <f t="shared" si="34"/>
        <v>NO CONFORME</v>
      </c>
      <c r="BC35" s="5" t="str">
        <f t="shared" si="35"/>
        <v>NO CONFORME</v>
      </c>
      <c r="BD35" s="15">
        <f t="shared" si="7"/>
        <v>-1</v>
      </c>
      <c r="BE35" s="15">
        <f t="shared" si="8"/>
        <v>-1</v>
      </c>
      <c r="BF35" s="15">
        <f t="shared" si="9"/>
        <v>-1</v>
      </c>
      <c r="BG35" s="15" t="str">
        <f t="shared" si="10"/>
        <v>-1-1-1</v>
      </c>
      <c r="BH35" s="15" t="str">
        <f t="shared" si="11"/>
        <v>SD</v>
      </c>
      <c r="BI35" s="15" t="str">
        <f t="shared" si="12"/>
        <v>SI</v>
      </c>
      <c r="BJ35" s="15" t="b">
        <f t="shared" si="13"/>
        <v>1</v>
      </c>
      <c r="BK35" s="15" t="str">
        <f t="shared" si="14"/>
        <v>SIGIGUALES</v>
      </c>
      <c r="BL35" s="22" t="str">
        <f t="shared" si="15"/>
        <v>NO CONFORME</v>
      </c>
    </row>
    <row r="36" spans="1:64" ht="15.75" customHeight="1" thickBot="1" x14ac:dyDescent="0.3">
      <c r="A36" s="37">
        <v>28</v>
      </c>
      <c r="B36" s="93">
        <f t="shared" ref="B36:E36" si="164">B35</f>
        <v>45919</v>
      </c>
      <c r="C36" s="93">
        <f t="shared" si="164"/>
        <v>45919</v>
      </c>
      <c r="D36" s="94">
        <f t="shared" si="164"/>
        <v>6</v>
      </c>
      <c r="E36" s="95">
        <f t="shared" si="164"/>
        <v>15</v>
      </c>
      <c r="F36" s="52"/>
      <c r="G36" s="96"/>
      <c r="H36" s="97">
        <f t="shared" ref="H36:L36" si="165">H35</f>
        <v>25.6</v>
      </c>
      <c r="I36" s="98">
        <f t="shared" si="165"/>
        <v>0</v>
      </c>
      <c r="J36" s="99">
        <f t="shared" si="165"/>
        <v>20.9</v>
      </c>
      <c r="K36" s="99">
        <f t="shared" si="165"/>
        <v>7.883</v>
      </c>
      <c r="L36" s="99">
        <f t="shared" si="165"/>
        <v>0.55400000000000005</v>
      </c>
      <c r="M36" s="53"/>
      <c r="N36" s="53"/>
      <c r="O36" s="100">
        <f t="shared" ref="O36:P36" si="166">O35</f>
        <v>100.62</v>
      </c>
      <c r="P36" s="101" t="str">
        <f t="shared" si="166"/>
        <v>2,29,560</v>
      </c>
      <c r="Q36" s="11" t="str">
        <f t="shared" si="47"/>
        <v>2</v>
      </c>
      <c r="R36" s="11" t="str">
        <f t="shared" si="48"/>
        <v>29,560</v>
      </c>
      <c r="S36" s="11">
        <f t="shared" si="49"/>
        <v>4.1544444444444446E-2</v>
      </c>
      <c r="T36" s="14">
        <f t="shared" si="50"/>
        <v>2421.9844878309709</v>
      </c>
      <c r="U36" s="39">
        <f t="shared" si="51"/>
        <v>-100</v>
      </c>
      <c r="V36" s="105">
        <f t="shared" ref="V36:W36" si="167">V35</f>
        <v>20.399999999999999</v>
      </c>
      <c r="W36" s="105">
        <f t="shared" si="167"/>
        <v>1.5069999999999999</v>
      </c>
      <c r="X36" s="106">
        <f t="shared" si="20"/>
        <v>1.504</v>
      </c>
      <c r="Y36" s="53"/>
      <c r="Z36" s="53"/>
      <c r="AA36" s="107">
        <f t="shared" ref="AA36:AB36" si="168">AA35</f>
        <v>10.015000000000001</v>
      </c>
      <c r="AB36" s="108" t="str">
        <f t="shared" si="168"/>
        <v>22,10,090</v>
      </c>
      <c r="AC36" s="11" t="str">
        <f t="shared" si="54"/>
        <v>22</v>
      </c>
      <c r="AD36" s="11" t="str">
        <f t="shared" si="55"/>
        <v>10,090</v>
      </c>
      <c r="AE36" s="11">
        <f t="shared" si="56"/>
        <v>0.36946944444444441</v>
      </c>
      <c r="AF36" s="14">
        <f t="shared" si="57"/>
        <v>27.106436406558959</v>
      </c>
      <c r="AG36" s="41">
        <f t="shared" si="58"/>
        <v>-100</v>
      </c>
      <c r="AH36" s="105">
        <f t="shared" si="114"/>
        <v>20.3</v>
      </c>
      <c r="AI36" s="105">
        <f t="shared" si="114"/>
        <v>1.5089999999999999</v>
      </c>
      <c r="AJ36" s="105">
        <f t="shared" si="114"/>
        <v>1.504</v>
      </c>
      <c r="AK36" s="53">
        <f t="shared" si="59"/>
        <v>0</v>
      </c>
      <c r="AL36" s="53"/>
      <c r="AM36" s="54">
        <f t="shared" ref="AM36:AN36" si="169">AM35</f>
        <v>5.0129999999999999</v>
      </c>
      <c r="AN36" s="101" t="str">
        <f t="shared" si="169"/>
        <v>17,59,050</v>
      </c>
      <c r="AO36" s="11" t="str">
        <f t="shared" si="61"/>
        <v>17</v>
      </c>
      <c r="AP36" s="11" t="str">
        <f t="shared" si="62"/>
        <v>59,050</v>
      </c>
      <c r="AQ36" s="11">
        <f t="shared" si="63"/>
        <v>0.29973611111111109</v>
      </c>
      <c r="AR36" s="14">
        <f t="shared" si="64"/>
        <v>16.724711551827998</v>
      </c>
      <c r="AS36" s="41">
        <f t="shared" si="65"/>
        <v>-100</v>
      </c>
      <c r="AT36" s="43" t="str">
        <f t="shared" si="66"/>
        <v>NO CONFORME</v>
      </c>
      <c r="AU36" s="8" t="b">
        <f t="shared" si="29"/>
        <v>1</v>
      </c>
      <c r="AV36" s="8" t="b">
        <f t="shared" si="30"/>
        <v>0</v>
      </c>
      <c r="AW36" s="8" t="b">
        <f t="shared" si="31"/>
        <v>1</v>
      </c>
      <c r="AX36" s="8" t="str">
        <f t="shared" si="32"/>
        <v>Qcorrecto</v>
      </c>
      <c r="AY36" s="22" t="str">
        <f t="shared" si="5"/>
        <v>aceptable</v>
      </c>
      <c r="AZ36" s="22" t="str">
        <f t="shared" si="6"/>
        <v>aceptable</v>
      </c>
      <c r="BA36" s="22" t="str">
        <f t="shared" si="33"/>
        <v>aceptable</v>
      </c>
      <c r="BB36" s="25" t="str">
        <f t="shared" si="34"/>
        <v>NO CONFORME</v>
      </c>
      <c r="BC36" s="5" t="str">
        <f t="shared" si="35"/>
        <v>NO CONFORME</v>
      </c>
      <c r="BD36" s="15">
        <f t="shared" si="7"/>
        <v>-1</v>
      </c>
      <c r="BE36" s="15">
        <f t="shared" si="8"/>
        <v>-1</v>
      </c>
      <c r="BF36" s="15">
        <f t="shared" si="9"/>
        <v>-1</v>
      </c>
      <c r="BG36" s="15" t="str">
        <f t="shared" si="10"/>
        <v>-1-1-1</v>
      </c>
      <c r="BH36" s="15" t="str">
        <f t="shared" si="11"/>
        <v>SD</v>
      </c>
      <c r="BI36" s="15" t="str">
        <f t="shared" si="12"/>
        <v>SI</v>
      </c>
      <c r="BJ36" s="15" t="b">
        <f t="shared" si="13"/>
        <v>1</v>
      </c>
      <c r="BK36" s="15" t="str">
        <f t="shared" si="14"/>
        <v>SIGIGUALES</v>
      </c>
      <c r="BL36" s="22" t="str">
        <f t="shared" si="15"/>
        <v>NO CONFORME</v>
      </c>
    </row>
    <row r="37" spans="1:64" ht="15.75" thickBot="1" x14ac:dyDescent="0.3">
      <c r="A37" s="37">
        <v>29</v>
      </c>
      <c r="B37" s="93">
        <f t="shared" ref="B37:E37" si="170">B36</f>
        <v>45919</v>
      </c>
      <c r="C37" s="93">
        <f t="shared" si="170"/>
        <v>45919</v>
      </c>
      <c r="D37" s="94">
        <f t="shared" si="170"/>
        <v>6</v>
      </c>
      <c r="E37" s="95">
        <f t="shared" si="170"/>
        <v>15</v>
      </c>
      <c r="F37" s="52"/>
      <c r="G37" s="96"/>
      <c r="H37" s="97">
        <f t="shared" ref="H37:L37" si="171">H36</f>
        <v>25.6</v>
      </c>
      <c r="I37" s="98">
        <f t="shared" si="171"/>
        <v>0</v>
      </c>
      <c r="J37" s="99">
        <f t="shared" si="171"/>
        <v>20.9</v>
      </c>
      <c r="K37" s="99">
        <f t="shared" si="171"/>
        <v>7.883</v>
      </c>
      <c r="L37" s="99">
        <f t="shared" si="171"/>
        <v>0.55400000000000005</v>
      </c>
      <c r="M37" s="53"/>
      <c r="N37" s="53"/>
      <c r="O37" s="100">
        <f t="shared" ref="O37:P37" si="172">O36</f>
        <v>100.62</v>
      </c>
      <c r="P37" s="101" t="str">
        <f t="shared" si="172"/>
        <v>2,29,560</v>
      </c>
      <c r="Q37" s="11" t="str">
        <f t="shared" si="47"/>
        <v>2</v>
      </c>
      <c r="R37" s="11" t="str">
        <f t="shared" si="48"/>
        <v>29,560</v>
      </c>
      <c r="S37" s="11">
        <f t="shared" si="49"/>
        <v>4.1544444444444446E-2</v>
      </c>
      <c r="T37" s="14">
        <f t="shared" si="50"/>
        <v>2421.9844878309709</v>
      </c>
      <c r="U37" s="39">
        <f t="shared" si="51"/>
        <v>-100</v>
      </c>
      <c r="V37" s="105">
        <f t="shared" ref="V37:W37" si="173">V36</f>
        <v>20.399999999999999</v>
      </c>
      <c r="W37" s="105">
        <f t="shared" si="173"/>
        <v>1.5069999999999999</v>
      </c>
      <c r="X37" s="106">
        <f t="shared" si="20"/>
        <v>1.504</v>
      </c>
      <c r="Y37" s="53"/>
      <c r="Z37" s="53"/>
      <c r="AA37" s="107">
        <f t="shared" ref="AA37:AB37" si="174">AA36</f>
        <v>10.015000000000001</v>
      </c>
      <c r="AB37" s="108" t="str">
        <f t="shared" si="174"/>
        <v>22,10,090</v>
      </c>
      <c r="AC37" s="11" t="str">
        <f t="shared" si="54"/>
        <v>22</v>
      </c>
      <c r="AD37" s="11" t="str">
        <f t="shared" si="55"/>
        <v>10,090</v>
      </c>
      <c r="AE37" s="11">
        <f t="shared" si="56"/>
        <v>0.36946944444444441</v>
      </c>
      <c r="AF37" s="14">
        <f t="shared" si="57"/>
        <v>27.106436406558959</v>
      </c>
      <c r="AG37" s="41">
        <f t="shared" si="58"/>
        <v>-100</v>
      </c>
      <c r="AH37" s="105">
        <f t="shared" si="114"/>
        <v>20.3</v>
      </c>
      <c r="AI37" s="105">
        <f t="shared" si="114"/>
        <v>1.5089999999999999</v>
      </c>
      <c r="AJ37" s="105">
        <f t="shared" si="114"/>
        <v>1.504</v>
      </c>
      <c r="AK37" s="53">
        <f t="shared" si="59"/>
        <v>0</v>
      </c>
      <c r="AL37" s="53"/>
      <c r="AM37" s="54">
        <f t="shared" ref="AM37:AN37" si="175">AM36</f>
        <v>5.0129999999999999</v>
      </c>
      <c r="AN37" s="101" t="str">
        <f t="shared" si="175"/>
        <v>17,59,050</v>
      </c>
      <c r="AO37" s="11" t="str">
        <f t="shared" si="61"/>
        <v>17</v>
      </c>
      <c r="AP37" s="11" t="str">
        <f t="shared" si="62"/>
        <v>59,050</v>
      </c>
      <c r="AQ37" s="11">
        <f t="shared" si="63"/>
        <v>0.29973611111111109</v>
      </c>
      <c r="AR37" s="14">
        <f t="shared" si="64"/>
        <v>16.724711551827998</v>
      </c>
      <c r="AS37" s="41">
        <f t="shared" si="65"/>
        <v>-100</v>
      </c>
      <c r="AT37" s="43" t="str">
        <f t="shared" si="66"/>
        <v>NO CONFORME</v>
      </c>
      <c r="AU37" s="8" t="b">
        <f t="shared" si="29"/>
        <v>1</v>
      </c>
      <c r="AV37" s="8" t="b">
        <f t="shared" si="30"/>
        <v>0</v>
      </c>
      <c r="AW37" s="8" t="b">
        <f t="shared" si="31"/>
        <v>1</v>
      </c>
      <c r="AX37" s="8" t="str">
        <f t="shared" si="32"/>
        <v>Qcorrecto</v>
      </c>
      <c r="AY37" s="22" t="str">
        <f t="shared" si="5"/>
        <v>aceptable</v>
      </c>
      <c r="AZ37" s="22" t="str">
        <f t="shared" si="6"/>
        <v>aceptable</v>
      </c>
      <c r="BA37" s="22" t="str">
        <f t="shared" si="33"/>
        <v>aceptable</v>
      </c>
      <c r="BB37" s="25" t="str">
        <f t="shared" si="34"/>
        <v>NO CONFORME</v>
      </c>
      <c r="BC37" s="5" t="str">
        <f t="shared" si="35"/>
        <v>NO CONFORME</v>
      </c>
      <c r="BD37" s="15">
        <f t="shared" si="7"/>
        <v>-1</v>
      </c>
      <c r="BE37" s="15">
        <f t="shared" si="8"/>
        <v>-1</v>
      </c>
      <c r="BF37" s="15">
        <f t="shared" si="9"/>
        <v>-1</v>
      </c>
      <c r="BG37" s="15" t="str">
        <f t="shared" si="10"/>
        <v>-1-1-1</v>
      </c>
      <c r="BH37" s="15" t="str">
        <f t="shared" si="11"/>
        <v>SD</v>
      </c>
      <c r="BI37" s="15" t="str">
        <f t="shared" si="12"/>
        <v>SI</v>
      </c>
      <c r="BJ37" s="15" t="b">
        <f t="shared" si="13"/>
        <v>1</v>
      </c>
      <c r="BK37" s="15" t="str">
        <f t="shared" si="14"/>
        <v>SIGIGUALES</v>
      </c>
      <c r="BL37" s="22" t="str">
        <f t="shared" si="15"/>
        <v>NO CONFORME</v>
      </c>
    </row>
    <row r="38" spans="1:64" ht="15.75" thickBot="1" x14ac:dyDescent="0.3">
      <c r="A38" s="37">
        <v>30</v>
      </c>
      <c r="B38" s="93">
        <f t="shared" ref="B38:E38" si="176">B37</f>
        <v>45919</v>
      </c>
      <c r="C38" s="93">
        <f t="shared" si="176"/>
        <v>45919</v>
      </c>
      <c r="D38" s="94">
        <f t="shared" si="176"/>
        <v>6</v>
      </c>
      <c r="E38" s="95">
        <f t="shared" si="176"/>
        <v>15</v>
      </c>
      <c r="F38" s="52"/>
      <c r="G38" s="96"/>
      <c r="H38" s="97">
        <f t="shared" ref="H38:L38" si="177">H37</f>
        <v>25.6</v>
      </c>
      <c r="I38" s="98">
        <f t="shared" si="177"/>
        <v>0</v>
      </c>
      <c r="J38" s="99">
        <f t="shared" si="177"/>
        <v>20.9</v>
      </c>
      <c r="K38" s="99">
        <f t="shared" si="177"/>
        <v>7.883</v>
      </c>
      <c r="L38" s="99">
        <f t="shared" si="177"/>
        <v>0.55400000000000005</v>
      </c>
      <c r="M38" s="53"/>
      <c r="N38" s="53"/>
      <c r="O38" s="100">
        <f t="shared" ref="O38:P38" si="178">O37</f>
        <v>100.62</v>
      </c>
      <c r="P38" s="101" t="str">
        <f t="shared" si="178"/>
        <v>2,29,560</v>
      </c>
      <c r="Q38" s="11" t="str">
        <f t="shared" si="47"/>
        <v>2</v>
      </c>
      <c r="R38" s="11" t="str">
        <f t="shared" si="48"/>
        <v>29,560</v>
      </c>
      <c r="S38" s="11">
        <f t="shared" si="49"/>
        <v>4.1544444444444446E-2</v>
      </c>
      <c r="T38" s="14">
        <f t="shared" si="50"/>
        <v>2421.9844878309709</v>
      </c>
      <c r="U38" s="39">
        <f t="shared" si="51"/>
        <v>-100</v>
      </c>
      <c r="V38" s="105">
        <f t="shared" ref="V38:W38" si="179">V37</f>
        <v>20.399999999999999</v>
      </c>
      <c r="W38" s="105">
        <f t="shared" si="179"/>
        <v>1.5069999999999999</v>
      </c>
      <c r="X38" s="106">
        <f t="shared" si="20"/>
        <v>1.504</v>
      </c>
      <c r="Y38" s="53"/>
      <c r="Z38" s="53"/>
      <c r="AA38" s="107">
        <f t="shared" ref="AA38:AB38" si="180">AA37</f>
        <v>10.015000000000001</v>
      </c>
      <c r="AB38" s="108" t="str">
        <f t="shared" si="180"/>
        <v>22,10,090</v>
      </c>
      <c r="AC38" s="11" t="str">
        <f t="shared" si="54"/>
        <v>22</v>
      </c>
      <c r="AD38" s="11" t="str">
        <f t="shared" si="55"/>
        <v>10,090</v>
      </c>
      <c r="AE38" s="11">
        <f t="shared" si="56"/>
        <v>0.36946944444444441</v>
      </c>
      <c r="AF38" s="14">
        <f t="shared" si="57"/>
        <v>27.106436406558959</v>
      </c>
      <c r="AG38" s="41">
        <f t="shared" si="58"/>
        <v>-100</v>
      </c>
      <c r="AH38" s="105">
        <f t="shared" si="114"/>
        <v>20.3</v>
      </c>
      <c r="AI38" s="105">
        <f t="shared" si="114"/>
        <v>1.5089999999999999</v>
      </c>
      <c r="AJ38" s="105">
        <f t="shared" si="114"/>
        <v>1.504</v>
      </c>
      <c r="AK38" s="53">
        <f t="shared" si="59"/>
        <v>0</v>
      </c>
      <c r="AL38" s="53"/>
      <c r="AM38" s="54">
        <f t="shared" ref="AM38:AN38" si="181">AM37</f>
        <v>5.0129999999999999</v>
      </c>
      <c r="AN38" s="101" t="str">
        <f t="shared" si="181"/>
        <v>17,59,050</v>
      </c>
      <c r="AO38" s="11" t="str">
        <f t="shared" si="61"/>
        <v>17</v>
      </c>
      <c r="AP38" s="11" t="str">
        <f t="shared" si="62"/>
        <v>59,050</v>
      </c>
      <c r="AQ38" s="11">
        <f t="shared" si="63"/>
        <v>0.29973611111111109</v>
      </c>
      <c r="AR38" s="14">
        <f t="shared" si="64"/>
        <v>16.724711551827998</v>
      </c>
      <c r="AS38" s="41">
        <f t="shared" si="65"/>
        <v>-100</v>
      </c>
      <c r="AT38" s="43" t="str">
        <f t="shared" si="66"/>
        <v>NO CONFORME</v>
      </c>
      <c r="AU38" s="8" t="b">
        <f t="shared" si="29"/>
        <v>1</v>
      </c>
      <c r="AV38" s="8" t="b">
        <f t="shared" si="30"/>
        <v>0</v>
      </c>
      <c r="AW38" s="8" t="b">
        <f t="shared" si="31"/>
        <v>1</v>
      </c>
      <c r="AX38" s="8" t="str">
        <f t="shared" si="32"/>
        <v>Qcorrecto</v>
      </c>
      <c r="AY38" s="22" t="str">
        <f t="shared" si="5"/>
        <v>aceptable</v>
      </c>
      <c r="AZ38" s="22" t="str">
        <f t="shared" si="6"/>
        <v>aceptable</v>
      </c>
      <c r="BA38" s="22" t="str">
        <f t="shared" si="33"/>
        <v>aceptable</v>
      </c>
      <c r="BB38" s="25" t="str">
        <f t="shared" si="34"/>
        <v>NO CONFORME</v>
      </c>
      <c r="BC38" s="5" t="str">
        <f t="shared" si="35"/>
        <v>NO CONFORME</v>
      </c>
      <c r="BD38" s="15">
        <f t="shared" si="7"/>
        <v>-1</v>
      </c>
      <c r="BE38" s="15">
        <f t="shared" si="8"/>
        <v>-1</v>
      </c>
      <c r="BF38" s="15">
        <f t="shared" si="9"/>
        <v>-1</v>
      </c>
      <c r="BG38" s="15" t="str">
        <f t="shared" si="10"/>
        <v>-1-1-1</v>
      </c>
      <c r="BH38" s="15" t="str">
        <f t="shared" si="11"/>
        <v>SD</v>
      </c>
      <c r="BI38" s="15" t="str">
        <f t="shared" si="12"/>
        <v>SI</v>
      </c>
      <c r="BJ38" s="15" t="b">
        <f t="shared" si="13"/>
        <v>1</v>
      </c>
      <c r="BK38" s="15" t="str">
        <f t="shared" si="14"/>
        <v>SIGIGUALES</v>
      </c>
      <c r="BL38" s="22" t="str">
        <f t="shared" si="15"/>
        <v>NO CONFORME</v>
      </c>
    </row>
    <row r="39" spans="1:64" ht="15.75" thickBot="1" x14ac:dyDescent="0.3">
      <c r="A39" s="37">
        <v>31</v>
      </c>
      <c r="B39" s="93">
        <f t="shared" ref="B39:E39" si="182">B38</f>
        <v>45919</v>
      </c>
      <c r="C39" s="93">
        <f t="shared" si="182"/>
        <v>45919</v>
      </c>
      <c r="D39" s="94">
        <f t="shared" si="182"/>
        <v>6</v>
      </c>
      <c r="E39" s="95">
        <f t="shared" si="182"/>
        <v>15</v>
      </c>
      <c r="F39" s="52"/>
      <c r="G39" s="96"/>
      <c r="H39" s="97">
        <f t="shared" ref="H39:L39" si="183">H38</f>
        <v>25.6</v>
      </c>
      <c r="I39" s="98">
        <f t="shared" si="183"/>
        <v>0</v>
      </c>
      <c r="J39" s="99">
        <f t="shared" si="183"/>
        <v>20.9</v>
      </c>
      <c r="K39" s="99">
        <f t="shared" si="183"/>
        <v>7.883</v>
      </c>
      <c r="L39" s="99">
        <f t="shared" si="183"/>
        <v>0.55400000000000005</v>
      </c>
      <c r="M39" s="53"/>
      <c r="N39" s="53"/>
      <c r="O39" s="100">
        <f t="shared" ref="O39:P39" si="184">O38</f>
        <v>100.62</v>
      </c>
      <c r="P39" s="101" t="str">
        <f t="shared" si="184"/>
        <v>2,29,560</v>
      </c>
      <c r="Q39" s="11" t="str">
        <f t="shared" si="47"/>
        <v>2</v>
      </c>
      <c r="R39" s="11" t="str">
        <f t="shared" si="48"/>
        <v>29,560</v>
      </c>
      <c r="S39" s="11">
        <f t="shared" si="49"/>
        <v>4.1544444444444446E-2</v>
      </c>
      <c r="T39" s="14">
        <f t="shared" si="50"/>
        <v>2421.9844878309709</v>
      </c>
      <c r="U39" s="39">
        <f t="shared" si="51"/>
        <v>-100</v>
      </c>
      <c r="V39" s="105">
        <f t="shared" ref="V39:W39" si="185">V38</f>
        <v>20.399999999999999</v>
      </c>
      <c r="W39" s="105">
        <f t="shared" si="185"/>
        <v>1.5069999999999999</v>
      </c>
      <c r="X39" s="106">
        <f t="shared" si="20"/>
        <v>1.504</v>
      </c>
      <c r="Y39" s="53"/>
      <c r="Z39" s="53"/>
      <c r="AA39" s="107">
        <f t="shared" ref="AA39:AB39" si="186">AA38</f>
        <v>10.015000000000001</v>
      </c>
      <c r="AB39" s="108" t="str">
        <f t="shared" si="186"/>
        <v>22,10,090</v>
      </c>
      <c r="AC39" s="11" t="str">
        <f t="shared" si="54"/>
        <v>22</v>
      </c>
      <c r="AD39" s="11" t="str">
        <f t="shared" si="55"/>
        <v>10,090</v>
      </c>
      <c r="AE39" s="11">
        <f t="shared" si="56"/>
        <v>0.36946944444444441</v>
      </c>
      <c r="AF39" s="14">
        <f t="shared" si="57"/>
        <v>27.106436406558959</v>
      </c>
      <c r="AG39" s="41">
        <f t="shared" si="58"/>
        <v>-100</v>
      </c>
      <c r="AH39" s="105">
        <f t="shared" si="114"/>
        <v>20.3</v>
      </c>
      <c r="AI39" s="105">
        <f t="shared" si="114"/>
        <v>1.5089999999999999</v>
      </c>
      <c r="AJ39" s="105">
        <f t="shared" si="114"/>
        <v>1.504</v>
      </c>
      <c r="AK39" s="53">
        <f t="shared" si="59"/>
        <v>0</v>
      </c>
      <c r="AL39" s="53"/>
      <c r="AM39" s="54">
        <f t="shared" ref="AM39:AN39" si="187">AM38</f>
        <v>5.0129999999999999</v>
      </c>
      <c r="AN39" s="101" t="str">
        <f t="shared" si="187"/>
        <v>17,59,050</v>
      </c>
      <c r="AO39" s="11" t="str">
        <f t="shared" si="61"/>
        <v>17</v>
      </c>
      <c r="AP39" s="11" t="str">
        <f t="shared" si="62"/>
        <v>59,050</v>
      </c>
      <c r="AQ39" s="11">
        <f t="shared" si="63"/>
        <v>0.29973611111111109</v>
      </c>
      <c r="AR39" s="14">
        <f t="shared" si="64"/>
        <v>16.724711551827998</v>
      </c>
      <c r="AS39" s="41">
        <f t="shared" si="65"/>
        <v>-100</v>
      </c>
      <c r="AT39" s="43" t="str">
        <f t="shared" si="66"/>
        <v>NO CONFORME</v>
      </c>
      <c r="AU39" s="8" t="b">
        <f t="shared" si="29"/>
        <v>1</v>
      </c>
      <c r="AV39" s="8" t="b">
        <f t="shared" si="30"/>
        <v>0</v>
      </c>
      <c r="AW39" s="8" t="b">
        <f t="shared" si="31"/>
        <v>1</v>
      </c>
      <c r="AX39" s="8" t="str">
        <f t="shared" si="32"/>
        <v>Qcorrecto</v>
      </c>
      <c r="AY39" s="22" t="str">
        <f t="shared" si="5"/>
        <v>aceptable</v>
      </c>
      <c r="AZ39" s="22" t="str">
        <f t="shared" si="6"/>
        <v>aceptable</v>
      </c>
      <c r="BA39" s="22" t="str">
        <f t="shared" si="33"/>
        <v>aceptable</v>
      </c>
      <c r="BB39" s="25" t="str">
        <f t="shared" si="34"/>
        <v>NO CONFORME</v>
      </c>
      <c r="BC39" s="5" t="str">
        <f t="shared" si="35"/>
        <v>NO CONFORME</v>
      </c>
      <c r="BD39" s="15">
        <f t="shared" si="7"/>
        <v>-1</v>
      </c>
      <c r="BE39" s="15">
        <f t="shared" si="8"/>
        <v>-1</v>
      </c>
      <c r="BF39" s="15">
        <f t="shared" si="9"/>
        <v>-1</v>
      </c>
      <c r="BG39" s="15" t="str">
        <f t="shared" si="10"/>
        <v>-1-1-1</v>
      </c>
      <c r="BH39" s="15" t="str">
        <f t="shared" si="11"/>
        <v>SD</v>
      </c>
      <c r="BI39" s="15" t="str">
        <f t="shared" si="12"/>
        <v>SI</v>
      </c>
      <c r="BJ39" s="15" t="b">
        <f t="shared" si="13"/>
        <v>1</v>
      </c>
      <c r="BK39" s="15" t="str">
        <f t="shared" si="14"/>
        <v>SIGIGUALES</v>
      </c>
      <c r="BL39" s="22" t="str">
        <f t="shared" si="15"/>
        <v>NO CONFORME</v>
      </c>
    </row>
    <row r="40" spans="1:64" ht="15.75" thickBot="1" x14ac:dyDescent="0.3">
      <c r="A40" s="37">
        <v>32</v>
      </c>
      <c r="B40" s="93">
        <f t="shared" ref="B40:E40" si="188">B39</f>
        <v>45919</v>
      </c>
      <c r="C40" s="93">
        <f t="shared" si="188"/>
        <v>45919</v>
      </c>
      <c r="D40" s="94">
        <f t="shared" si="188"/>
        <v>6</v>
      </c>
      <c r="E40" s="95">
        <f t="shared" si="188"/>
        <v>15</v>
      </c>
      <c r="F40" s="52"/>
      <c r="G40" s="96"/>
      <c r="H40" s="97">
        <f t="shared" ref="H40:L40" si="189">H39</f>
        <v>25.6</v>
      </c>
      <c r="I40" s="98">
        <f t="shared" si="189"/>
        <v>0</v>
      </c>
      <c r="J40" s="99">
        <f t="shared" si="189"/>
        <v>20.9</v>
      </c>
      <c r="K40" s="99">
        <f t="shared" si="189"/>
        <v>7.883</v>
      </c>
      <c r="L40" s="99">
        <f t="shared" si="189"/>
        <v>0.55400000000000005</v>
      </c>
      <c r="M40" s="53"/>
      <c r="N40" s="53"/>
      <c r="O40" s="100">
        <f t="shared" ref="O40:P40" si="190">O39</f>
        <v>100.62</v>
      </c>
      <c r="P40" s="101" t="str">
        <f t="shared" si="190"/>
        <v>2,29,560</v>
      </c>
      <c r="Q40" s="11" t="str">
        <f t="shared" si="47"/>
        <v>2</v>
      </c>
      <c r="R40" s="11" t="str">
        <f t="shared" si="48"/>
        <v>29,560</v>
      </c>
      <c r="S40" s="11">
        <f t="shared" si="49"/>
        <v>4.1544444444444446E-2</v>
      </c>
      <c r="T40" s="14">
        <f t="shared" si="50"/>
        <v>2421.9844878309709</v>
      </c>
      <c r="U40" s="39">
        <f t="shared" si="51"/>
        <v>-100</v>
      </c>
      <c r="V40" s="105">
        <f t="shared" ref="V40:W40" si="191">V39</f>
        <v>20.399999999999999</v>
      </c>
      <c r="W40" s="105">
        <f t="shared" si="191"/>
        <v>1.5069999999999999</v>
      </c>
      <c r="X40" s="106">
        <f t="shared" si="20"/>
        <v>1.504</v>
      </c>
      <c r="Y40" s="53"/>
      <c r="Z40" s="53"/>
      <c r="AA40" s="107">
        <f t="shared" ref="AA40:AB40" si="192">AA39</f>
        <v>10.015000000000001</v>
      </c>
      <c r="AB40" s="108" t="str">
        <f t="shared" si="192"/>
        <v>22,10,090</v>
      </c>
      <c r="AC40" s="11" t="str">
        <f t="shared" si="54"/>
        <v>22</v>
      </c>
      <c r="AD40" s="11" t="str">
        <f t="shared" si="55"/>
        <v>10,090</v>
      </c>
      <c r="AE40" s="11">
        <f t="shared" si="56"/>
        <v>0.36946944444444441</v>
      </c>
      <c r="AF40" s="14">
        <f t="shared" si="57"/>
        <v>27.106436406558959</v>
      </c>
      <c r="AG40" s="41">
        <f t="shared" si="58"/>
        <v>-100</v>
      </c>
      <c r="AH40" s="105">
        <f t="shared" si="114"/>
        <v>20.3</v>
      </c>
      <c r="AI40" s="105">
        <f t="shared" si="114"/>
        <v>1.5089999999999999</v>
      </c>
      <c r="AJ40" s="105">
        <f t="shared" si="114"/>
        <v>1.504</v>
      </c>
      <c r="AK40" s="53">
        <f t="shared" si="59"/>
        <v>0</v>
      </c>
      <c r="AL40" s="53"/>
      <c r="AM40" s="54">
        <f t="shared" ref="AM40:AN40" si="193">AM39</f>
        <v>5.0129999999999999</v>
      </c>
      <c r="AN40" s="101" t="str">
        <f t="shared" si="193"/>
        <v>17,59,050</v>
      </c>
      <c r="AO40" s="11" t="str">
        <f t="shared" si="61"/>
        <v>17</v>
      </c>
      <c r="AP40" s="11" t="str">
        <f t="shared" si="62"/>
        <v>59,050</v>
      </c>
      <c r="AQ40" s="11">
        <f t="shared" si="63"/>
        <v>0.29973611111111109</v>
      </c>
      <c r="AR40" s="14">
        <f t="shared" si="64"/>
        <v>16.724711551827998</v>
      </c>
      <c r="AS40" s="41">
        <f t="shared" si="65"/>
        <v>-100</v>
      </c>
      <c r="AT40" s="43" t="str">
        <f t="shared" si="66"/>
        <v>NO CONFORME</v>
      </c>
      <c r="AU40" s="8" t="b">
        <f t="shared" si="29"/>
        <v>1</v>
      </c>
      <c r="AV40" s="8" t="b">
        <f t="shared" si="30"/>
        <v>0</v>
      </c>
      <c r="AW40" s="8" t="b">
        <f t="shared" si="31"/>
        <v>1</v>
      </c>
      <c r="AX40" s="8" t="str">
        <f t="shared" si="32"/>
        <v>Qcorrecto</v>
      </c>
      <c r="AY40" s="22" t="str">
        <f t="shared" si="5"/>
        <v>aceptable</v>
      </c>
      <c r="AZ40" s="22" t="str">
        <f t="shared" si="6"/>
        <v>aceptable</v>
      </c>
      <c r="BA40" s="22" t="str">
        <f t="shared" si="33"/>
        <v>aceptable</v>
      </c>
      <c r="BB40" s="25" t="str">
        <f t="shared" si="34"/>
        <v>NO CONFORME</v>
      </c>
      <c r="BC40" s="5" t="str">
        <f t="shared" si="35"/>
        <v>NO CONFORME</v>
      </c>
      <c r="BD40" s="15">
        <f t="shared" si="7"/>
        <v>-1</v>
      </c>
      <c r="BE40" s="15">
        <f t="shared" si="8"/>
        <v>-1</v>
      </c>
      <c r="BF40" s="15">
        <f t="shared" si="9"/>
        <v>-1</v>
      </c>
      <c r="BG40" s="15" t="str">
        <f t="shared" si="10"/>
        <v>-1-1-1</v>
      </c>
      <c r="BH40" s="15" t="str">
        <f t="shared" si="11"/>
        <v>SD</v>
      </c>
      <c r="BI40" s="15" t="str">
        <f t="shared" si="12"/>
        <v>SI</v>
      </c>
      <c r="BJ40" s="15" t="b">
        <f t="shared" si="13"/>
        <v>1</v>
      </c>
      <c r="BK40" s="15" t="str">
        <f t="shared" si="14"/>
        <v>SIGIGUALES</v>
      </c>
      <c r="BL40" s="22" t="str">
        <f t="shared" si="15"/>
        <v>NO CONFORME</v>
      </c>
    </row>
    <row r="41" spans="1:64" ht="15.75" thickBot="1" x14ac:dyDescent="0.3">
      <c r="A41" s="37">
        <v>33</v>
      </c>
      <c r="B41" s="93">
        <f t="shared" ref="B41:E41" si="194">B40</f>
        <v>45919</v>
      </c>
      <c r="C41" s="93">
        <f t="shared" si="194"/>
        <v>45919</v>
      </c>
      <c r="D41" s="94">
        <f t="shared" si="194"/>
        <v>6</v>
      </c>
      <c r="E41" s="95">
        <f t="shared" si="194"/>
        <v>15</v>
      </c>
      <c r="F41" s="52"/>
      <c r="G41" s="96"/>
      <c r="H41" s="97">
        <f t="shared" ref="H41:L41" si="195">H40</f>
        <v>25.6</v>
      </c>
      <c r="I41" s="98">
        <f t="shared" si="195"/>
        <v>0</v>
      </c>
      <c r="J41" s="99">
        <f t="shared" si="195"/>
        <v>20.9</v>
      </c>
      <c r="K41" s="99">
        <f t="shared" si="195"/>
        <v>7.883</v>
      </c>
      <c r="L41" s="99">
        <f t="shared" si="195"/>
        <v>0.55400000000000005</v>
      </c>
      <c r="M41" s="53"/>
      <c r="N41" s="53"/>
      <c r="O41" s="100">
        <f t="shared" ref="O41:P41" si="196">O40</f>
        <v>100.62</v>
      </c>
      <c r="P41" s="101" t="str">
        <f t="shared" si="196"/>
        <v>2,29,560</v>
      </c>
      <c r="Q41" s="11" t="str">
        <f t="shared" si="47"/>
        <v>2</v>
      </c>
      <c r="R41" s="11" t="str">
        <f t="shared" si="48"/>
        <v>29,560</v>
      </c>
      <c r="S41" s="11">
        <f t="shared" si="49"/>
        <v>4.1544444444444446E-2</v>
      </c>
      <c r="T41" s="14">
        <f t="shared" si="50"/>
        <v>2421.9844878309709</v>
      </c>
      <c r="U41" s="39">
        <f t="shared" si="51"/>
        <v>-100</v>
      </c>
      <c r="V41" s="105">
        <f t="shared" ref="V41:W41" si="197">V40</f>
        <v>20.399999999999999</v>
      </c>
      <c r="W41" s="105">
        <f t="shared" si="197"/>
        <v>1.5069999999999999</v>
      </c>
      <c r="X41" s="106">
        <f t="shared" si="20"/>
        <v>1.504</v>
      </c>
      <c r="Y41" s="53"/>
      <c r="Z41" s="53"/>
      <c r="AA41" s="107">
        <f t="shared" ref="AA41:AB41" si="198">AA40</f>
        <v>10.015000000000001</v>
      </c>
      <c r="AB41" s="108" t="str">
        <f t="shared" si="198"/>
        <v>22,10,090</v>
      </c>
      <c r="AC41" s="11" t="str">
        <f t="shared" si="54"/>
        <v>22</v>
      </c>
      <c r="AD41" s="11" t="str">
        <f t="shared" si="55"/>
        <v>10,090</v>
      </c>
      <c r="AE41" s="11">
        <f t="shared" si="56"/>
        <v>0.36946944444444441</v>
      </c>
      <c r="AF41" s="14">
        <f t="shared" si="57"/>
        <v>27.106436406558959</v>
      </c>
      <c r="AG41" s="41">
        <f t="shared" si="58"/>
        <v>-100</v>
      </c>
      <c r="AH41" s="105">
        <f t="shared" si="114"/>
        <v>20.3</v>
      </c>
      <c r="AI41" s="105">
        <f t="shared" si="114"/>
        <v>1.5089999999999999</v>
      </c>
      <c r="AJ41" s="105">
        <f t="shared" si="114"/>
        <v>1.504</v>
      </c>
      <c r="AK41" s="53">
        <f t="shared" si="59"/>
        <v>0</v>
      </c>
      <c r="AL41" s="53"/>
      <c r="AM41" s="54">
        <f t="shared" ref="AM41:AN41" si="199">AM40</f>
        <v>5.0129999999999999</v>
      </c>
      <c r="AN41" s="101" t="str">
        <f t="shared" si="199"/>
        <v>17,59,050</v>
      </c>
      <c r="AO41" s="11" t="str">
        <f t="shared" si="61"/>
        <v>17</v>
      </c>
      <c r="AP41" s="11" t="str">
        <f t="shared" si="62"/>
        <v>59,050</v>
      </c>
      <c r="AQ41" s="11">
        <f t="shared" si="63"/>
        <v>0.29973611111111109</v>
      </c>
      <c r="AR41" s="14">
        <f t="shared" si="64"/>
        <v>16.724711551827998</v>
      </c>
      <c r="AS41" s="41">
        <f t="shared" si="65"/>
        <v>-100</v>
      </c>
      <c r="AT41" s="43" t="str">
        <f t="shared" si="66"/>
        <v>NO CONFORME</v>
      </c>
      <c r="AU41" s="8" t="b">
        <f t="shared" si="29"/>
        <v>1</v>
      </c>
      <c r="AV41" s="8" t="b">
        <f t="shared" si="30"/>
        <v>0</v>
      </c>
      <c r="AW41" s="8" t="b">
        <f t="shared" si="31"/>
        <v>1</v>
      </c>
      <c r="AX41" s="8" t="str">
        <f t="shared" si="32"/>
        <v>Qcorrecto</v>
      </c>
      <c r="AY41" s="22" t="str">
        <f t="shared" si="5"/>
        <v>aceptable</v>
      </c>
      <c r="AZ41" s="22" t="str">
        <f t="shared" si="6"/>
        <v>aceptable</v>
      </c>
      <c r="BA41" s="22" t="str">
        <f t="shared" si="33"/>
        <v>aceptable</v>
      </c>
      <c r="BB41" s="25" t="str">
        <f t="shared" si="34"/>
        <v>NO CONFORME</v>
      </c>
      <c r="BC41" s="5" t="str">
        <f t="shared" si="35"/>
        <v>NO CONFORME</v>
      </c>
      <c r="BD41" s="15">
        <f t="shared" si="7"/>
        <v>-1</v>
      </c>
      <c r="BE41" s="15">
        <f t="shared" si="8"/>
        <v>-1</v>
      </c>
      <c r="BF41" s="15">
        <f t="shared" si="9"/>
        <v>-1</v>
      </c>
      <c r="BG41" s="15" t="str">
        <f t="shared" si="10"/>
        <v>-1-1-1</v>
      </c>
      <c r="BH41" s="15" t="str">
        <f t="shared" si="11"/>
        <v>SD</v>
      </c>
      <c r="BI41" s="15" t="str">
        <f t="shared" si="12"/>
        <v>SI</v>
      </c>
      <c r="BJ41" s="15" t="b">
        <f t="shared" si="13"/>
        <v>1</v>
      </c>
      <c r="BK41" s="15" t="str">
        <f t="shared" si="14"/>
        <v>SIGIGUALES</v>
      </c>
      <c r="BL41" s="22" t="str">
        <f t="shared" si="15"/>
        <v>NO CONFORME</v>
      </c>
    </row>
    <row r="42" spans="1:64" ht="15.75" thickBot="1" x14ac:dyDescent="0.3">
      <c r="A42" s="37">
        <v>34</v>
      </c>
      <c r="B42" s="93">
        <f t="shared" ref="B42:E42" si="200">B41</f>
        <v>45919</v>
      </c>
      <c r="C42" s="93">
        <f t="shared" si="200"/>
        <v>45919</v>
      </c>
      <c r="D42" s="94">
        <f t="shared" si="200"/>
        <v>6</v>
      </c>
      <c r="E42" s="95">
        <f t="shared" si="200"/>
        <v>15</v>
      </c>
      <c r="F42" s="52"/>
      <c r="G42" s="96"/>
      <c r="H42" s="97">
        <f t="shared" ref="H42:L42" si="201">H41</f>
        <v>25.6</v>
      </c>
      <c r="I42" s="98">
        <f t="shared" si="201"/>
        <v>0</v>
      </c>
      <c r="J42" s="99">
        <f t="shared" si="201"/>
        <v>20.9</v>
      </c>
      <c r="K42" s="99">
        <f t="shared" si="201"/>
        <v>7.883</v>
      </c>
      <c r="L42" s="99">
        <f t="shared" si="201"/>
        <v>0.55400000000000005</v>
      </c>
      <c r="M42" s="53"/>
      <c r="N42" s="53"/>
      <c r="O42" s="100">
        <f t="shared" ref="O42:P42" si="202">O41</f>
        <v>100.62</v>
      </c>
      <c r="P42" s="101" t="str">
        <f t="shared" si="202"/>
        <v>2,29,560</v>
      </c>
      <c r="Q42" s="11" t="str">
        <f t="shared" si="47"/>
        <v>2</v>
      </c>
      <c r="R42" s="11" t="str">
        <f t="shared" si="48"/>
        <v>29,560</v>
      </c>
      <c r="S42" s="11">
        <f t="shared" si="49"/>
        <v>4.1544444444444446E-2</v>
      </c>
      <c r="T42" s="14">
        <f t="shared" si="50"/>
        <v>2421.9844878309709</v>
      </c>
      <c r="U42" s="39">
        <f t="shared" si="51"/>
        <v>-100</v>
      </c>
      <c r="V42" s="105">
        <f t="shared" ref="V42:W42" si="203">V41</f>
        <v>20.399999999999999</v>
      </c>
      <c r="W42" s="105">
        <f t="shared" si="203"/>
        <v>1.5069999999999999</v>
      </c>
      <c r="X42" s="106">
        <f t="shared" si="20"/>
        <v>1.504</v>
      </c>
      <c r="Y42" s="53"/>
      <c r="Z42" s="53"/>
      <c r="AA42" s="107">
        <f t="shared" ref="AA42:AB42" si="204">AA41</f>
        <v>10.015000000000001</v>
      </c>
      <c r="AB42" s="108" t="str">
        <f t="shared" si="204"/>
        <v>22,10,090</v>
      </c>
      <c r="AC42" s="11" t="str">
        <f t="shared" si="54"/>
        <v>22</v>
      </c>
      <c r="AD42" s="11" t="str">
        <f t="shared" si="55"/>
        <v>10,090</v>
      </c>
      <c r="AE42" s="11">
        <f t="shared" si="56"/>
        <v>0.36946944444444441</v>
      </c>
      <c r="AF42" s="14">
        <f t="shared" si="57"/>
        <v>27.106436406558959</v>
      </c>
      <c r="AG42" s="41">
        <f t="shared" si="58"/>
        <v>-100</v>
      </c>
      <c r="AH42" s="105">
        <f t="shared" si="114"/>
        <v>20.3</v>
      </c>
      <c r="AI42" s="105">
        <f t="shared" si="114"/>
        <v>1.5089999999999999</v>
      </c>
      <c r="AJ42" s="105">
        <f t="shared" si="114"/>
        <v>1.504</v>
      </c>
      <c r="AK42" s="53">
        <f t="shared" si="59"/>
        <v>0</v>
      </c>
      <c r="AL42" s="53"/>
      <c r="AM42" s="54">
        <f t="shared" ref="AM42:AN42" si="205">AM41</f>
        <v>5.0129999999999999</v>
      </c>
      <c r="AN42" s="101" t="str">
        <f t="shared" si="205"/>
        <v>17,59,050</v>
      </c>
      <c r="AO42" s="11" t="str">
        <f t="shared" si="61"/>
        <v>17</v>
      </c>
      <c r="AP42" s="11" t="str">
        <f t="shared" si="62"/>
        <v>59,050</v>
      </c>
      <c r="AQ42" s="11">
        <f t="shared" si="63"/>
        <v>0.29973611111111109</v>
      </c>
      <c r="AR42" s="14">
        <f t="shared" si="64"/>
        <v>16.724711551827998</v>
      </c>
      <c r="AS42" s="41">
        <f t="shared" si="65"/>
        <v>-100</v>
      </c>
      <c r="AT42" s="43" t="str">
        <f t="shared" si="66"/>
        <v>NO CONFORME</v>
      </c>
      <c r="AU42" s="8" t="b">
        <f t="shared" si="29"/>
        <v>1</v>
      </c>
      <c r="AV42" s="8" t="b">
        <f t="shared" si="30"/>
        <v>0</v>
      </c>
      <c r="AW42" s="8" t="b">
        <f t="shared" si="31"/>
        <v>1</v>
      </c>
      <c r="AX42" s="8" t="str">
        <f t="shared" si="32"/>
        <v>Qcorrecto</v>
      </c>
      <c r="AY42" s="22" t="str">
        <f t="shared" si="5"/>
        <v>aceptable</v>
      </c>
      <c r="AZ42" s="22" t="str">
        <f t="shared" si="6"/>
        <v>aceptable</v>
      </c>
      <c r="BA42" s="22" t="str">
        <f t="shared" si="33"/>
        <v>aceptable</v>
      </c>
      <c r="BB42" s="25" t="str">
        <f t="shared" si="34"/>
        <v>NO CONFORME</v>
      </c>
      <c r="BC42" s="5" t="str">
        <f t="shared" si="35"/>
        <v>NO CONFORME</v>
      </c>
      <c r="BD42" s="15">
        <f t="shared" si="7"/>
        <v>-1</v>
      </c>
      <c r="BE42" s="15">
        <f t="shared" si="8"/>
        <v>-1</v>
      </c>
      <c r="BF42" s="15">
        <f t="shared" si="9"/>
        <v>-1</v>
      </c>
      <c r="BG42" s="15" t="str">
        <f t="shared" si="10"/>
        <v>-1-1-1</v>
      </c>
      <c r="BH42" s="15" t="str">
        <f t="shared" si="11"/>
        <v>SD</v>
      </c>
      <c r="BI42" s="15" t="str">
        <f t="shared" si="12"/>
        <v>SI</v>
      </c>
      <c r="BJ42" s="15" t="b">
        <f t="shared" si="13"/>
        <v>1</v>
      </c>
      <c r="BK42" s="15" t="str">
        <f t="shared" si="14"/>
        <v>SIGIGUALES</v>
      </c>
      <c r="BL42" s="22" t="str">
        <f t="shared" si="15"/>
        <v>NO CONFORME</v>
      </c>
    </row>
    <row r="43" spans="1:64" ht="15.75" thickBot="1" x14ac:dyDescent="0.3">
      <c r="A43" s="37">
        <v>35</v>
      </c>
      <c r="B43" s="93">
        <f t="shared" ref="B43:E43" si="206">B42</f>
        <v>45919</v>
      </c>
      <c r="C43" s="93">
        <f t="shared" si="206"/>
        <v>45919</v>
      </c>
      <c r="D43" s="94">
        <f t="shared" si="206"/>
        <v>6</v>
      </c>
      <c r="E43" s="95">
        <f t="shared" si="206"/>
        <v>15</v>
      </c>
      <c r="F43" s="52"/>
      <c r="G43" s="96"/>
      <c r="H43" s="97">
        <f t="shared" ref="H43:L43" si="207">H42</f>
        <v>25.6</v>
      </c>
      <c r="I43" s="98">
        <f t="shared" si="207"/>
        <v>0</v>
      </c>
      <c r="J43" s="99">
        <f t="shared" si="207"/>
        <v>20.9</v>
      </c>
      <c r="K43" s="99">
        <f t="shared" si="207"/>
        <v>7.883</v>
      </c>
      <c r="L43" s="99">
        <f t="shared" si="207"/>
        <v>0.55400000000000005</v>
      </c>
      <c r="M43" s="53"/>
      <c r="N43" s="53"/>
      <c r="O43" s="100">
        <f t="shared" ref="O43:P43" si="208">O42</f>
        <v>100.62</v>
      </c>
      <c r="P43" s="101" t="str">
        <f t="shared" si="208"/>
        <v>2,29,560</v>
      </c>
      <c r="Q43" s="11" t="str">
        <f t="shared" si="47"/>
        <v>2</v>
      </c>
      <c r="R43" s="11" t="str">
        <f t="shared" si="48"/>
        <v>29,560</v>
      </c>
      <c r="S43" s="11">
        <f t="shared" si="49"/>
        <v>4.1544444444444446E-2</v>
      </c>
      <c r="T43" s="14">
        <f t="shared" si="50"/>
        <v>2421.9844878309709</v>
      </c>
      <c r="U43" s="39">
        <f t="shared" si="51"/>
        <v>-100</v>
      </c>
      <c r="V43" s="105">
        <f t="shared" ref="V43:W43" si="209">V42</f>
        <v>20.399999999999999</v>
      </c>
      <c r="W43" s="105">
        <f t="shared" si="209"/>
        <v>1.5069999999999999</v>
      </c>
      <c r="X43" s="106">
        <f t="shared" si="20"/>
        <v>1.504</v>
      </c>
      <c r="Y43" s="53"/>
      <c r="Z43" s="53"/>
      <c r="AA43" s="107">
        <f t="shared" ref="AA43:AB43" si="210">AA42</f>
        <v>10.015000000000001</v>
      </c>
      <c r="AB43" s="108" t="str">
        <f t="shared" si="210"/>
        <v>22,10,090</v>
      </c>
      <c r="AC43" s="11" t="str">
        <f t="shared" si="54"/>
        <v>22</v>
      </c>
      <c r="AD43" s="11" t="str">
        <f t="shared" si="55"/>
        <v>10,090</v>
      </c>
      <c r="AE43" s="11">
        <f t="shared" si="56"/>
        <v>0.36946944444444441</v>
      </c>
      <c r="AF43" s="14">
        <f t="shared" si="57"/>
        <v>27.106436406558959</v>
      </c>
      <c r="AG43" s="41">
        <f t="shared" si="58"/>
        <v>-100</v>
      </c>
      <c r="AH43" s="105">
        <f t="shared" ref="AH43:AJ58" si="211">AH42</f>
        <v>20.3</v>
      </c>
      <c r="AI43" s="105">
        <f t="shared" si="211"/>
        <v>1.5089999999999999</v>
      </c>
      <c r="AJ43" s="105">
        <f t="shared" si="211"/>
        <v>1.504</v>
      </c>
      <c r="AK43" s="53">
        <f t="shared" si="59"/>
        <v>0</v>
      </c>
      <c r="AL43" s="53"/>
      <c r="AM43" s="54">
        <f t="shared" ref="AM43:AN43" si="212">AM42</f>
        <v>5.0129999999999999</v>
      </c>
      <c r="AN43" s="101" t="str">
        <f t="shared" si="212"/>
        <v>17,59,050</v>
      </c>
      <c r="AO43" s="11" t="str">
        <f t="shared" si="61"/>
        <v>17</v>
      </c>
      <c r="AP43" s="11" t="str">
        <f t="shared" si="62"/>
        <v>59,050</v>
      </c>
      <c r="AQ43" s="11">
        <f t="shared" si="63"/>
        <v>0.29973611111111109</v>
      </c>
      <c r="AR43" s="14">
        <f t="shared" si="64"/>
        <v>16.724711551827998</v>
      </c>
      <c r="AS43" s="41">
        <f t="shared" si="65"/>
        <v>-100</v>
      </c>
      <c r="AT43" s="43" t="str">
        <f t="shared" si="66"/>
        <v>NO CONFORME</v>
      </c>
      <c r="AU43" s="8" t="b">
        <f t="shared" si="29"/>
        <v>1</v>
      </c>
      <c r="AV43" s="8" t="b">
        <f t="shared" si="30"/>
        <v>0</v>
      </c>
      <c r="AW43" s="8" t="b">
        <f t="shared" si="31"/>
        <v>1</v>
      </c>
      <c r="AX43" s="8" t="str">
        <f t="shared" si="32"/>
        <v>Qcorrecto</v>
      </c>
      <c r="AY43" s="22" t="str">
        <f t="shared" si="5"/>
        <v>aceptable</v>
      </c>
      <c r="AZ43" s="22" t="str">
        <f t="shared" si="6"/>
        <v>aceptable</v>
      </c>
      <c r="BA43" s="22" t="str">
        <f t="shared" si="33"/>
        <v>aceptable</v>
      </c>
      <c r="BB43" s="25" t="str">
        <f t="shared" si="34"/>
        <v>NO CONFORME</v>
      </c>
      <c r="BC43" s="5" t="str">
        <f t="shared" si="35"/>
        <v>NO CONFORME</v>
      </c>
      <c r="BD43" s="15">
        <f t="shared" si="7"/>
        <v>-1</v>
      </c>
      <c r="BE43" s="15">
        <f t="shared" si="8"/>
        <v>-1</v>
      </c>
      <c r="BF43" s="15">
        <f t="shared" si="9"/>
        <v>-1</v>
      </c>
      <c r="BG43" s="15" t="str">
        <f t="shared" si="10"/>
        <v>-1-1-1</v>
      </c>
      <c r="BH43" s="15" t="str">
        <f t="shared" si="11"/>
        <v>SD</v>
      </c>
      <c r="BI43" s="15" t="str">
        <f t="shared" si="12"/>
        <v>SI</v>
      </c>
      <c r="BJ43" s="15" t="b">
        <f t="shared" si="13"/>
        <v>1</v>
      </c>
      <c r="BK43" s="15" t="str">
        <f t="shared" si="14"/>
        <v>SIGIGUALES</v>
      </c>
      <c r="BL43" s="22" t="str">
        <f t="shared" si="15"/>
        <v>NO CONFORME</v>
      </c>
    </row>
    <row r="44" spans="1:64" ht="15.75" thickBot="1" x14ac:dyDescent="0.3">
      <c r="A44" s="37">
        <v>36</v>
      </c>
      <c r="B44" s="93">
        <f t="shared" ref="B44:E44" si="213">B43</f>
        <v>45919</v>
      </c>
      <c r="C44" s="93">
        <f t="shared" si="213"/>
        <v>45919</v>
      </c>
      <c r="D44" s="94">
        <f t="shared" si="213"/>
        <v>6</v>
      </c>
      <c r="E44" s="95">
        <f t="shared" si="213"/>
        <v>15</v>
      </c>
      <c r="F44" s="52"/>
      <c r="G44" s="96"/>
      <c r="H44" s="97">
        <f t="shared" ref="H44:L44" si="214">H43</f>
        <v>25.6</v>
      </c>
      <c r="I44" s="98">
        <f t="shared" si="214"/>
        <v>0</v>
      </c>
      <c r="J44" s="99">
        <f t="shared" si="214"/>
        <v>20.9</v>
      </c>
      <c r="K44" s="99">
        <f t="shared" si="214"/>
        <v>7.883</v>
      </c>
      <c r="L44" s="99">
        <f t="shared" si="214"/>
        <v>0.55400000000000005</v>
      </c>
      <c r="M44" s="53"/>
      <c r="N44" s="53"/>
      <c r="O44" s="100">
        <f t="shared" ref="O44:P44" si="215">O43</f>
        <v>100.62</v>
      </c>
      <c r="P44" s="101" t="str">
        <f t="shared" si="215"/>
        <v>2,29,560</v>
      </c>
      <c r="Q44" s="11" t="str">
        <f t="shared" si="47"/>
        <v>2</v>
      </c>
      <c r="R44" s="11" t="str">
        <f t="shared" si="48"/>
        <v>29,560</v>
      </c>
      <c r="S44" s="11">
        <f t="shared" si="49"/>
        <v>4.1544444444444446E-2</v>
      </c>
      <c r="T44" s="14">
        <f t="shared" si="50"/>
        <v>2421.9844878309709</v>
      </c>
      <c r="U44" s="39">
        <f t="shared" si="51"/>
        <v>-100</v>
      </c>
      <c r="V44" s="105">
        <f t="shared" ref="V44:W44" si="216">V43</f>
        <v>20.399999999999999</v>
      </c>
      <c r="W44" s="105">
        <f t="shared" si="216"/>
        <v>1.5069999999999999</v>
      </c>
      <c r="X44" s="106">
        <f t="shared" si="20"/>
        <v>1.504</v>
      </c>
      <c r="Y44" s="53"/>
      <c r="Z44" s="53"/>
      <c r="AA44" s="107">
        <f t="shared" ref="AA44:AB44" si="217">AA43</f>
        <v>10.015000000000001</v>
      </c>
      <c r="AB44" s="108" t="str">
        <f t="shared" si="217"/>
        <v>22,10,090</v>
      </c>
      <c r="AC44" s="11" t="str">
        <f t="shared" si="54"/>
        <v>22</v>
      </c>
      <c r="AD44" s="11" t="str">
        <f t="shared" si="55"/>
        <v>10,090</v>
      </c>
      <c r="AE44" s="11">
        <f t="shared" si="56"/>
        <v>0.36946944444444441</v>
      </c>
      <c r="AF44" s="14">
        <f t="shared" si="57"/>
        <v>27.106436406558959</v>
      </c>
      <c r="AG44" s="41">
        <f t="shared" si="58"/>
        <v>-100</v>
      </c>
      <c r="AH44" s="105">
        <f t="shared" si="211"/>
        <v>20.3</v>
      </c>
      <c r="AI44" s="105">
        <f t="shared" si="211"/>
        <v>1.5089999999999999</v>
      </c>
      <c r="AJ44" s="105">
        <f t="shared" si="211"/>
        <v>1.504</v>
      </c>
      <c r="AK44" s="53">
        <f t="shared" si="59"/>
        <v>0</v>
      </c>
      <c r="AL44" s="53"/>
      <c r="AM44" s="54">
        <f t="shared" ref="AM44:AN44" si="218">AM43</f>
        <v>5.0129999999999999</v>
      </c>
      <c r="AN44" s="101" t="str">
        <f t="shared" si="218"/>
        <v>17,59,050</v>
      </c>
      <c r="AO44" s="11" t="str">
        <f t="shared" si="61"/>
        <v>17</v>
      </c>
      <c r="AP44" s="11" t="str">
        <f t="shared" si="62"/>
        <v>59,050</v>
      </c>
      <c r="AQ44" s="11">
        <f t="shared" si="63"/>
        <v>0.29973611111111109</v>
      </c>
      <c r="AR44" s="14">
        <f t="shared" si="64"/>
        <v>16.724711551827998</v>
      </c>
      <c r="AS44" s="41">
        <f t="shared" si="65"/>
        <v>-100</v>
      </c>
      <c r="AT44" s="43" t="str">
        <f t="shared" si="66"/>
        <v>NO CONFORME</v>
      </c>
      <c r="AU44" s="8" t="b">
        <f t="shared" si="29"/>
        <v>1</v>
      </c>
      <c r="AV44" s="8" t="b">
        <f t="shared" si="30"/>
        <v>0</v>
      </c>
      <c r="AW44" s="8" t="b">
        <f t="shared" si="31"/>
        <v>1</v>
      </c>
      <c r="AX44" s="8" t="str">
        <f t="shared" si="32"/>
        <v>Qcorrecto</v>
      </c>
      <c r="AY44" s="22" t="str">
        <f t="shared" si="5"/>
        <v>aceptable</v>
      </c>
      <c r="AZ44" s="22" t="str">
        <f t="shared" si="6"/>
        <v>aceptable</v>
      </c>
      <c r="BA44" s="22" t="str">
        <f t="shared" si="33"/>
        <v>aceptable</v>
      </c>
      <c r="BB44" s="25" t="str">
        <f t="shared" si="34"/>
        <v>NO CONFORME</v>
      </c>
      <c r="BC44" s="5" t="str">
        <f t="shared" si="35"/>
        <v>NO CONFORME</v>
      </c>
      <c r="BD44" s="15">
        <f t="shared" si="7"/>
        <v>-1</v>
      </c>
      <c r="BE44" s="15">
        <f t="shared" si="8"/>
        <v>-1</v>
      </c>
      <c r="BF44" s="15">
        <f t="shared" si="9"/>
        <v>-1</v>
      </c>
      <c r="BG44" s="15" t="str">
        <f t="shared" si="10"/>
        <v>-1-1-1</v>
      </c>
      <c r="BH44" s="15" t="str">
        <f t="shared" si="11"/>
        <v>SD</v>
      </c>
      <c r="BI44" s="15" t="str">
        <f t="shared" si="12"/>
        <v>SI</v>
      </c>
      <c r="BJ44" s="15" t="b">
        <f t="shared" si="13"/>
        <v>1</v>
      </c>
      <c r="BK44" s="15" t="str">
        <f t="shared" si="14"/>
        <v>SIGIGUALES</v>
      </c>
      <c r="BL44" s="22" t="str">
        <f t="shared" si="15"/>
        <v>NO CONFORME</v>
      </c>
    </row>
    <row r="45" spans="1:64" ht="15.75" thickBot="1" x14ac:dyDescent="0.3">
      <c r="A45" s="37">
        <v>37</v>
      </c>
      <c r="B45" s="93">
        <f t="shared" ref="B45:E45" si="219">B44</f>
        <v>45919</v>
      </c>
      <c r="C45" s="93">
        <f t="shared" si="219"/>
        <v>45919</v>
      </c>
      <c r="D45" s="94">
        <f t="shared" si="219"/>
        <v>6</v>
      </c>
      <c r="E45" s="95">
        <f t="shared" si="219"/>
        <v>15</v>
      </c>
      <c r="F45" s="52"/>
      <c r="G45" s="96"/>
      <c r="H45" s="97">
        <f t="shared" ref="H45:L45" si="220">H44</f>
        <v>25.6</v>
      </c>
      <c r="I45" s="98">
        <f t="shared" si="220"/>
        <v>0</v>
      </c>
      <c r="J45" s="99">
        <f t="shared" si="220"/>
        <v>20.9</v>
      </c>
      <c r="K45" s="99">
        <f t="shared" si="220"/>
        <v>7.883</v>
      </c>
      <c r="L45" s="99">
        <f t="shared" si="220"/>
        <v>0.55400000000000005</v>
      </c>
      <c r="M45" s="53"/>
      <c r="N45" s="53"/>
      <c r="O45" s="100">
        <f t="shared" ref="O45:P45" si="221">O44</f>
        <v>100.62</v>
      </c>
      <c r="P45" s="101" t="str">
        <f t="shared" si="221"/>
        <v>2,29,560</v>
      </c>
      <c r="Q45" s="11" t="str">
        <f t="shared" si="47"/>
        <v>2</v>
      </c>
      <c r="R45" s="11" t="str">
        <f t="shared" si="48"/>
        <v>29,560</v>
      </c>
      <c r="S45" s="11">
        <f t="shared" si="49"/>
        <v>4.1544444444444446E-2</v>
      </c>
      <c r="T45" s="14">
        <f t="shared" si="50"/>
        <v>2421.9844878309709</v>
      </c>
      <c r="U45" s="39">
        <f t="shared" si="51"/>
        <v>-100</v>
      </c>
      <c r="V45" s="105">
        <f t="shared" ref="V45:W45" si="222">V44</f>
        <v>20.399999999999999</v>
      </c>
      <c r="W45" s="105">
        <f t="shared" si="222"/>
        <v>1.5069999999999999</v>
      </c>
      <c r="X45" s="106">
        <f t="shared" si="20"/>
        <v>1.504</v>
      </c>
      <c r="Y45" s="53"/>
      <c r="Z45" s="53"/>
      <c r="AA45" s="107">
        <f t="shared" ref="AA45:AB45" si="223">AA44</f>
        <v>10.015000000000001</v>
      </c>
      <c r="AB45" s="108" t="str">
        <f t="shared" si="223"/>
        <v>22,10,090</v>
      </c>
      <c r="AC45" s="11" t="str">
        <f t="shared" si="54"/>
        <v>22</v>
      </c>
      <c r="AD45" s="11" t="str">
        <f t="shared" si="55"/>
        <v>10,090</v>
      </c>
      <c r="AE45" s="11">
        <f t="shared" si="56"/>
        <v>0.36946944444444441</v>
      </c>
      <c r="AF45" s="14">
        <f t="shared" si="57"/>
        <v>27.106436406558959</v>
      </c>
      <c r="AG45" s="41">
        <f t="shared" si="58"/>
        <v>-100</v>
      </c>
      <c r="AH45" s="105">
        <f t="shared" si="211"/>
        <v>20.3</v>
      </c>
      <c r="AI45" s="105">
        <f t="shared" si="211"/>
        <v>1.5089999999999999</v>
      </c>
      <c r="AJ45" s="105">
        <f t="shared" si="211"/>
        <v>1.504</v>
      </c>
      <c r="AK45" s="53">
        <f t="shared" si="59"/>
        <v>0</v>
      </c>
      <c r="AL45" s="53"/>
      <c r="AM45" s="54">
        <f t="shared" ref="AM45:AN45" si="224">AM44</f>
        <v>5.0129999999999999</v>
      </c>
      <c r="AN45" s="101" t="str">
        <f t="shared" si="224"/>
        <v>17,59,050</v>
      </c>
      <c r="AO45" s="11" t="str">
        <f t="shared" si="61"/>
        <v>17</v>
      </c>
      <c r="AP45" s="11" t="str">
        <f t="shared" si="62"/>
        <v>59,050</v>
      </c>
      <c r="AQ45" s="11">
        <f t="shared" si="63"/>
        <v>0.29973611111111109</v>
      </c>
      <c r="AR45" s="14">
        <f t="shared" si="64"/>
        <v>16.724711551827998</v>
      </c>
      <c r="AS45" s="41">
        <f t="shared" si="65"/>
        <v>-100</v>
      </c>
      <c r="AT45" s="43" t="str">
        <f t="shared" si="66"/>
        <v>NO CONFORME</v>
      </c>
      <c r="AU45" s="8" t="b">
        <f t="shared" si="29"/>
        <v>1</v>
      </c>
      <c r="AV45" s="8" t="b">
        <f t="shared" si="30"/>
        <v>0</v>
      </c>
      <c r="AW45" s="8" t="b">
        <f t="shared" si="31"/>
        <v>1</v>
      </c>
      <c r="AX45" s="8" t="str">
        <f t="shared" si="32"/>
        <v>Qcorrecto</v>
      </c>
      <c r="AY45" s="22" t="str">
        <f t="shared" si="5"/>
        <v>aceptable</v>
      </c>
      <c r="AZ45" s="22" t="str">
        <f t="shared" si="6"/>
        <v>aceptable</v>
      </c>
      <c r="BA45" s="22" t="str">
        <f t="shared" si="33"/>
        <v>aceptable</v>
      </c>
      <c r="BB45" s="25" t="str">
        <f t="shared" si="34"/>
        <v>NO CONFORME</v>
      </c>
      <c r="BC45" s="5" t="str">
        <f t="shared" si="35"/>
        <v>NO CONFORME</v>
      </c>
      <c r="BD45" s="15">
        <f t="shared" si="7"/>
        <v>-1</v>
      </c>
      <c r="BE45" s="15">
        <f t="shared" si="8"/>
        <v>-1</v>
      </c>
      <c r="BF45" s="15">
        <f t="shared" si="9"/>
        <v>-1</v>
      </c>
      <c r="BG45" s="15" t="str">
        <f t="shared" si="10"/>
        <v>-1-1-1</v>
      </c>
      <c r="BH45" s="15" t="str">
        <f t="shared" si="11"/>
        <v>SD</v>
      </c>
      <c r="BI45" s="15" t="str">
        <f t="shared" si="12"/>
        <v>SI</v>
      </c>
      <c r="BJ45" s="15" t="b">
        <f t="shared" si="13"/>
        <v>1</v>
      </c>
      <c r="BK45" s="15" t="str">
        <f t="shared" si="14"/>
        <v>SIGIGUALES</v>
      </c>
      <c r="BL45" s="22" t="str">
        <f t="shared" si="15"/>
        <v>NO CONFORME</v>
      </c>
    </row>
    <row r="46" spans="1:64" ht="15.75" thickBot="1" x14ac:dyDescent="0.3">
      <c r="A46" s="37">
        <v>38</v>
      </c>
      <c r="B46" s="93">
        <f t="shared" ref="B46:E46" si="225">B45</f>
        <v>45919</v>
      </c>
      <c r="C46" s="93">
        <f t="shared" si="225"/>
        <v>45919</v>
      </c>
      <c r="D46" s="94">
        <f t="shared" si="225"/>
        <v>6</v>
      </c>
      <c r="E46" s="95">
        <f t="shared" si="225"/>
        <v>15</v>
      </c>
      <c r="F46" s="52"/>
      <c r="G46" s="96"/>
      <c r="H46" s="97">
        <f t="shared" ref="H46:L46" si="226">H45</f>
        <v>25.6</v>
      </c>
      <c r="I46" s="98">
        <f t="shared" si="226"/>
        <v>0</v>
      </c>
      <c r="J46" s="99">
        <f t="shared" si="226"/>
        <v>20.9</v>
      </c>
      <c r="K46" s="99">
        <f t="shared" si="226"/>
        <v>7.883</v>
      </c>
      <c r="L46" s="99">
        <f t="shared" si="226"/>
        <v>0.55400000000000005</v>
      </c>
      <c r="M46" s="53"/>
      <c r="N46" s="53"/>
      <c r="O46" s="100">
        <f t="shared" ref="O46:P46" si="227">O45</f>
        <v>100.62</v>
      </c>
      <c r="P46" s="101" t="str">
        <f t="shared" si="227"/>
        <v>2,29,560</v>
      </c>
      <c r="Q46" s="11" t="str">
        <f t="shared" si="47"/>
        <v>2</v>
      </c>
      <c r="R46" s="11" t="str">
        <f t="shared" si="48"/>
        <v>29,560</v>
      </c>
      <c r="S46" s="11">
        <f t="shared" si="49"/>
        <v>4.1544444444444446E-2</v>
      </c>
      <c r="T46" s="14">
        <f t="shared" si="50"/>
        <v>2421.9844878309709</v>
      </c>
      <c r="U46" s="39">
        <f t="shared" si="51"/>
        <v>-100</v>
      </c>
      <c r="V46" s="105">
        <f t="shared" ref="V46:W46" si="228">V45</f>
        <v>20.399999999999999</v>
      </c>
      <c r="W46" s="105">
        <f t="shared" si="228"/>
        <v>1.5069999999999999</v>
      </c>
      <c r="X46" s="106">
        <f t="shared" si="20"/>
        <v>1.504</v>
      </c>
      <c r="Y46" s="53"/>
      <c r="Z46" s="53"/>
      <c r="AA46" s="107">
        <f t="shared" ref="AA46:AB46" si="229">AA45</f>
        <v>10.015000000000001</v>
      </c>
      <c r="AB46" s="108" t="str">
        <f t="shared" si="229"/>
        <v>22,10,090</v>
      </c>
      <c r="AC46" s="11" t="str">
        <f t="shared" si="54"/>
        <v>22</v>
      </c>
      <c r="AD46" s="11" t="str">
        <f t="shared" si="55"/>
        <v>10,090</v>
      </c>
      <c r="AE46" s="11">
        <f t="shared" si="56"/>
        <v>0.36946944444444441</v>
      </c>
      <c r="AF46" s="14">
        <f t="shared" si="57"/>
        <v>27.106436406558959</v>
      </c>
      <c r="AG46" s="41">
        <f t="shared" si="58"/>
        <v>-100</v>
      </c>
      <c r="AH46" s="105">
        <f t="shared" si="211"/>
        <v>20.3</v>
      </c>
      <c r="AI46" s="105">
        <f t="shared" si="211"/>
        <v>1.5089999999999999</v>
      </c>
      <c r="AJ46" s="105">
        <f t="shared" si="211"/>
        <v>1.504</v>
      </c>
      <c r="AK46" s="53">
        <f t="shared" si="59"/>
        <v>0</v>
      </c>
      <c r="AL46" s="53"/>
      <c r="AM46" s="54">
        <f t="shared" ref="AM46:AN46" si="230">AM45</f>
        <v>5.0129999999999999</v>
      </c>
      <c r="AN46" s="101" t="str">
        <f t="shared" si="230"/>
        <v>17,59,050</v>
      </c>
      <c r="AO46" s="11" t="str">
        <f t="shared" si="61"/>
        <v>17</v>
      </c>
      <c r="AP46" s="11" t="str">
        <f t="shared" si="62"/>
        <v>59,050</v>
      </c>
      <c r="AQ46" s="11">
        <f t="shared" si="63"/>
        <v>0.29973611111111109</v>
      </c>
      <c r="AR46" s="14">
        <f t="shared" si="64"/>
        <v>16.724711551827998</v>
      </c>
      <c r="AS46" s="41">
        <f t="shared" si="65"/>
        <v>-100</v>
      </c>
      <c r="AT46" s="43" t="str">
        <f t="shared" si="66"/>
        <v>NO CONFORME</v>
      </c>
      <c r="AU46" s="8" t="b">
        <f t="shared" si="29"/>
        <v>1</v>
      </c>
      <c r="AV46" s="8" t="b">
        <f t="shared" si="30"/>
        <v>0</v>
      </c>
      <c r="AW46" s="8" t="b">
        <f t="shared" si="31"/>
        <v>1</v>
      </c>
      <c r="AX46" s="8" t="str">
        <f t="shared" si="32"/>
        <v>Qcorrecto</v>
      </c>
      <c r="AY46" s="22" t="str">
        <f t="shared" si="5"/>
        <v>aceptable</v>
      </c>
      <c r="AZ46" s="22" t="str">
        <f t="shared" si="6"/>
        <v>aceptable</v>
      </c>
      <c r="BA46" s="22" t="str">
        <f t="shared" si="33"/>
        <v>aceptable</v>
      </c>
      <c r="BB46" s="25" t="str">
        <f t="shared" si="34"/>
        <v>NO CONFORME</v>
      </c>
      <c r="BC46" s="5" t="str">
        <f t="shared" si="35"/>
        <v>NO CONFORME</v>
      </c>
      <c r="BD46" s="15">
        <f t="shared" si="7"/>
        <v>-1</v>
      </c>
      <c r="BE46" s="15">
        <f t="shared" si="8"/>
        <v>-1</v>
      </c>
      <c r="BF46" s="15">
        <f t="shared" si="9"/>
        <v>-1</v>
      </c>
      <c r="BG46" s="15" t="str">
        <f t="shared" si="10"/>
        <v>-1-1-1</v>
      </c>
      <c r="BH46" s="15" t="str">
        <f t="shared" si="11"/>
        <v>SD</v>
      </c>
      <c r="BI46" s="15" t="str">
        <f t="shared" si="12"/>
        <v>SI</v>
      </c>
      <c r="BJ46" s="15" t="b">
        <f t="shared" si="13"/>
        <v>1</v>
      </c>
      <c r="BK46" s="15" t="str">
        <f t="shared" si="14"/>
        <v>SIGIGUALES</v>
      </c>
      <c r="BL46" s="22" t="str">
        <f t="shared" si="15"/>
        <v>NO CONFORME</v>
      </c>
    </row>
    <row r="47" spans="1:64" ht="15.75" thickBot="1" x14ac:dyDescent="0.3">
      <c r="A47" s="37">
        <v>39</v>
      </c>
      <c r="B47" s="93">
        <f t="shared" ref="B47:E47" si="231">B46</f>
        <v>45919</v>
      </c>
      <c r="C47" s="93">
        <f t="shared" si="231"/>
        <v>45919</v>
      </c>
      <c r="D47" s="94">
        <f t="shared" si="231"/>
        <v>6</v>
      </c>
      <c r="E47" s="95">
        <f t="shared" si="231"/>
        <v>15</v>
      </c>
      <c r="F47" s="52"/>
      <c r="G47" s="96"/>
      <c r="H47" s="97">
        <f t="shared" ref="H47:L47" si="232">H46</f>
        <v>25.6</v>
      </c>
      <c r="I47" s="98">
        <f t="shared" si="232"/>
        <v>0</v>
      </c>
      <c r="J47" s="99">
        <f t="shared" si="232"/>
        <v>20.9</v>
      </c>
      <c r="K47" s="99">
        <f t="shared" si="232"/>
        <v>7.883</v>
      </c>
      <c r="L47" s="99">
        <f t="shared" si="232"/>
        <v>0.55400000000000005</v>
      </c>
      <c r="M47" s="53"/>
      <c r="N47" s="53"/>
      <c r="O47" s="100">
        <f t="shared" ref="O47:P47" si="233">O46</f>
        <v>100.62</v>
      </c>
      <c r="P47" s="101" t="str">
        <f t="shared" si="233"/>
        <v>2,29,560</v>
      </c>
      <c r="Q47" s="11" t="str">
        <f t="shared" si="47"/>
        <v>2</v>
      </c>
      <c r="R47" s="11" t="str">
        <f t="shared" si="48"/>
        <v>29,560</v>
      </c>
      <c r="S47" s="11">
        <f t="shared" si="49"/>
        <v>4.1544444444444446E-2</v>
      </c>
      <c r="T47" s="14">
        <f t="shared" si="50"/>
        <v>2421.9844878309709</v>
      </c>
      <c r="U47" s="39">
        <f t="shared" si="51"/>
        <v>-100</v>
      </c>
      <c r="V47" s="105">
        <f t="shared" ref="V47:W47" si="234">V46</f>
        <v>20.399999999999999</v>
      </c>
      <c r="W47" s="105">
        <f t="shared" si="234"/>
        <v>1.5069999999999999</v>
      </c>
      <c r="X47" s="106">
        <f t="shared" si="20"/>
        <v>1.504</v>
      </c>
      <c r="Y47" s="53"/>
      <c r="Z47" s="53"/>
      <c r="AA47" s="107">
        <f t="shared" ref="AA47:AB47" si="235">AA46</f>
        <v>10.015000000000001</v>
      </c>
      <c r="AB47" s="108" t="str">
        <f t="shared" si="235"/>
        <v>22,10,090</v>
      </c>
      <c r="AC47" s="11" t="str">
        <f t="shared" si="54"/>
        <v>22</v>
      </c>
      <c r="AD47" s="11" t="str">
        <f t="shared" si="55"/>
        <v>10,090</v>
      </c>
      <c r="AE47" s="11">
        <f t="shared" si="56"/>
        <v>0.36946944444444441</v>
      </c>
      <c r="AF47" s="14">
        <f t="shared" si="57"/>
        <v>27.106436406558959</v>
      </c>
      <c r="AG47" s="41">
        <f t="shared" si="58"/>
        <v>-100</v>
      </c>
      <c r="AH47" s="105">
        <f t="shared" si="211"/>
        <v>20.3</v>
      </c>
      <c r="AI47" s="105">
        <f t="shared" si="211"/>
        <v>1.5089999999999999</v>
      </c>
      <c r="AJ47" s="105">
        <f t="shared" si="211"/>
        <v>1.504</v>
      </c>
      <c r="AK47" s="53">
        <f t="shared" si="59"/>
        <v>0</v>
      </c>
      <c r="AL47" s="53"/>
      <c r="AM47" s="54">
        <f t="shared" ref="AM47:AN47" si="236">AM46</f>
        <v>5.0129999999999999</v>
      </c>
      <c r="AN47" s="101" t="str">
        <f t="shared" si="236"/>
        <v>17,59,050</v>
      </c>
      <c r="AO47" s="11" t="str">
        <f t="shared" si="61"/>
        <v>17</v>
      </c>
      <c r="AP47" s="11" t="str">
        <f t="shared" si="62"/>
        <v>59,050</v>
      </c>
      <c r="AQ47" s="11">
        <f t="shared" si="63"/>
        <v>0.29973611111111109</v>
      </c>
      <c r="AR47" s="14">
        <f t="shared" si="64"/>
        <v>16.724711551827998</v>
      </c>
      <c r="AS47" s="41">
        <f t="shared" si="65"/>
        <v>-100</v>
      </c>
      <c r="AT47" s="43" t="str">
        <f t="shared" si="66"/>
        <v>NO CONFORME</v>
      </c>
      <c r="AU47" s="8" t="b">
        <f t="shared" si="29"/>
        <v>1</v>
      </c>
      <c r="AV47" s="8" t="b">
        <f t="shared" si="30"/>
        <v>0</v>
      </c>
      <c r="AW47" s="8" t="b">
        <f t="shared" si="31"/>
        <v>1</v>
      </c>
      <c r="AX47" s="8" t="str">
        <f t="shared" si="32"/>
        <v>Qcorrecto</v>
      </c>
      <c r="AY47" s="22" t="str">
        <f t="shared" si="5"/>
        <v>aceptable</v>
      </c>
      <c r="AZ47" s="22" t="str">
        <f t="shared" si="6"/>
        <v>aceptable</v>
      </c>
      <c r="BA47" s="22" t="str">
        <f t="shared" si="33"/>
        <v>aceptable</v>
      </c>
      <c r="BB47" s="25" t="str">
        <f t="shared" si="34"/>
        <v>NO CONFORME</v>
      </c>
      <c r="BC47" s="5" t="str">
        <f t="shared" si="35"/>
        <v>NO CONFORME</v>
      </c>
      <c r="BD47" s="15">
        <f t="shared" si="7"/>
        <v>-1</v>
      </c>
      <c r="BE47" s="15">
        <f t="shared" si="8"/>
        <v>-1</v>
      </c>
      <c r="BF47" s="15">
        <f t="shared" si="9"/>
        <v>-1</v>
      </c>
      <c r="BG47" s="15" t="str">
        <f t="shared" si="10"/>
        <v>-1-1-1</v>
      </c>
      <c r="BH47" s="15" t="str">
        <f t="shared" si="11"/>
        <v>SD</v>
      </c>
      <c r="BI47" s="15" t="str">
        <f t="shared" si="12"/>
        <v>SI</v>
      </c>
      <c r="BJ47" s="15" t="b">
        <f t="shared" si="13"/>
        <v>1</v>
      </c>
      <c r="BK47" s="15" t="str">
        <f t="shared" si="14"/>
        <v>SIGIGUALES</v>
      </c>
      <c r="BL47" s="22" t="str">
        <f t="shared" si="15"/>
        <v>NO CONFORME</v>
      </c>
    </row>
    <row r="48" spans="1:64" ht="15.75" thickBot="1" x14ac:dyDescent="0.3">
      <c r="A48" s="37">
        <v>40</v>
      </c>
      <c r="B48" s="93">
        <f t="shared" ref="B48:E48" si="237">B47</f>
        <v>45919</v>
      </c>
      <c r="C48" s="93">
        <f t="shared" si="237"/>
        <v>45919</v>
      </c>
      <c r="D48" s="94">
        <f t="shared" si="237"/>
        <v>6</v>
      </c>
      <c r="E48" s="95">
        <f t="shared" si="237"/>
        <v>15</v>
      </c>
      <c r="F48" s="52"/>
      <c r="G48" s="96"/>
      <c r="H48" s="97">
        <f t="shared" ref="H48:L48" si="238">H47</f>
        <v>25.6</v>
      </c>
      <c r="I48" s="98">
        <f t="shared" si="238"/>
        <v>0</v>
      </c>
      <c r="J48" s="99">
        <f t="shared" si="238"/>
        <v>20.9</v>
      </c>
      <c r="K48" s="99">
        <f t="shared" si="238"/>
        <v>7.883</v>
      </c>
      <c r="L48" s="99">
        <f t="shared" si="238"/>
        <v>0.55400000000000005</v>
      </c>
      <c r="M48" s="53"/>
      <c r="N48" s="53"/>
      <c r="O48" s="100">
        <f t="shared" ref="O48:P48" si="239">O47</f>
        <v>100.62</v>
      </c>
      <c r="P48" s="101" t="str">
        <f t="shared" si="239"/>
        <v>2,29,560</v>
      </c>
      <c r="Q48" s="11" t="str">
        <f t="shared" si="47"/>
        <v>2</v>
      </c>
      <c r="R48" s="11" t="str">
        <f t="shared" si="48"/>
        <v>29,560</v>
      </c>
      <c r="S48" s="11">
        <f t="shared" si="49"/>
        <v>4.1544444444444446E-2</v>
      </c>
      <c r="T48" s="14">
        <f t="shared" si="50"/>
        <v>2421.9844878309709</v>
      </c>
      <c r="U48" s="39">
        <f t="shared" si="51"/>
        <v>-100</v>
      </c>
      <c r="V48" s="105">
        <f t="shared" ref="V48:W48" si="240">V47</f>
        <v>20.399999999999999</v>
      </c>
      <c r="W48" s="105">
        <f t="shared" si="240"/>
        <v>1.5069999999999999</v>
      </c>
      <c r="X48" s="106">
        <f t="shared" si="20"/>
        <v>1.504</v>
      </c>
      <c r="Y48" s="53"/>
      <c r="Z48" s="53"/>
      <c r="AA48" s="107">
        <f t="shared" ref="AA48:AB48" si="241">AA47</f>
        <v>10.015000000000001</v>
      </c>
      <c r="AB48" s="108" t="str">
        <f t="shared" si="241"/>
        <v>22,10,090</v>
      </c>
      <c r="AC48" s="11" t="str">
        <f t="shared" si="54"/>
        <v>22</v>
      </c>
      <c r="AD48" s="11" t="str">
        <f t="shared" si="55"/>
        <v>10,090</v>
      </c>
      <c r="AE48" s="11">
        <f t="shared" si="56"/>
        <v>0.36946944444444441</v>
      </c>
      <c r="AF48" s="14">
        <f t="shared" si="57"/>
        <v>27.106436406558959</v>
      </c>
      <c r="AG48" s="41">
        <f t="shared" si="58"/>
        <v>-100</v>
      </c>
      <c r="AH48" s="105">
        <f t="shared" si="211"/>
        <v>20.3</v>
      </c>
      <c r="AI48" s="105">
        <f t="shared" si="211"/>
        <v>1.5089999999999999</v>
      </c>
      <c r="AJ48" s="105">
        <f t="shared" si="211"/>
        <v>1.504</v>
      </c>
      <c r="AK48" s="53">
        <f t="shared" si="59"/>
        <v>0</v>
      </c>
      <c r="AL48" s="53"/>
      <c r="AM48" s="54">
        <f t="shared" ref="AM48:AN48" si="242">AM47</f>
        <v>5.0129999999999999</v>
      </c>
      <c r="AN48" s="101" t="str">
        <f t="shared" si="242"/>
        <v>17,59,050</v>
      </c>
      <c r="AO48" s="11" t="str">
        <f t="shared" si="61"/>
        <v>17</v>
      </c>
      <c r="AP48" s="11" t="str">
        <f t="shared" si="62"/>
        <v>59,050</v>
      </c>
      <c r="AQ48" s="11">
        <f t="shared" si="63"/>
        <v>0.29973611111111109</v>
      </c>
      <c r="AR48" s="14">
        <f t="shared" si="64"/>
        <v>16.724711551827998</v>
      </c>
      <c r="AS48" s="41">
        <f t="shared" si="65"/>
        <v>-100</v>
      </c>
      <c r="AT48" s="43" t="str">
        <f t="shared" si="66"/>
        <v>NO CONFORME</v>
      </c>
      <c r="AU48" s="8" t="b">
        <f t="shared" si="29"/>
        <v>1</v>
      </c>
      <c r="AV48" s="8" t="b">
        <f t="shared" si="30"/>
        <v>0</v>
      </c>
      <c r="AW48" s="8" t="b">
        <f t="shared" si="31"/>
        <v>1</v>
      </c>
      <c r="AX48" s="8" t="str">
        <f t="shared" si="32"/>
        <v>Qcorrecto</v>
      </c>
      <c r="AY48" s="22" t="str">
        <f t="shared" si="5"/>
        <v>aceptable</v>
      </c>
      <c r="AZ48" s="22" t="str">
        <f t="shared" si="6"/>
        <v>aceptable</v>
      </c>
      <c r="BA48" s="22" t="str">
        <f t="shared" si="33"/>
        <v>aceptable</v>
      </c>
      <c r="BB48" s="25" t="str">
        <f t="shared" si="34"/>
        <v>NO CONFORME</v>
      </c>
      <c r="BC48" s="5" t="str">
        <f t="shared" si="35"/>
        <v>NO CONFORME</v>
      </c>
      <c r="BD48" s="15">
        <f t="shared" si="7"/>
        <v>-1</v>
      </c>
      <c r="BE48" s="15">
        <f t="shared" si="8"/>
        <v>-1</v>
      </c>
      <c r="BF48" s="15">
        <f t="shared" si="9"/>
        <v>-1</v>
      </c>
      <c r="BG48" s="15" t="str">
        <f t="shared" si="10"/>
        <v>-1-1-1</v>
      </c>
      <c r="BH48" s="15" t="str">
        <f t="shared" si="11"/>
        <v>SD</v>
      </c>
      <c r="BI48" s="15" t="str">
        <f t="shared" si="12"/>
        <v>SI</v>
      </c>
      <c r="BJ48" s="15" t="b">
        <f t="shared" si="13"/>
        <v>1</v>
      </c>
      <c r="BK48" s="15" t="str">
        <f t="shared" si="14"/>
        <v>SIGIGUALES</v>
      </c>
      <c r="BL48" s="22" t="str">
        <f t="shared" si="15"/>
        <v>NO CONFORME</v>
      </c>
    </row>
    <row r="49" spans="1:64" ht="15.75" thickBot="1" x14ac:dyDescent="0.3">
      <c r="A49" s="37">
        <v>41</v>
      </c>
      <c r="B49" s="93">
        <f t="shared" ref="B49:E49" si="243">B48</f>
        <v>45919</v>
      </c>
      <c r="C49" s="93">
        <f t="shared" si="243"/>
        <v>45919</v>
      </c>
      <c r="D49" s="94">
        <f t="shared" si="243"/>
        <v>6</v>
      </c>
      <c r="E49" s="95">
        <f t="shared" si="243"/>
        <v>15</v>
      </c>
      <c r="F49" s="52"/>
      <c r="G49" s="96"/>
      <c r="H49" s="97">
        <f t="shared" ref="H49:L49" si="244">H48</f>
        <v>25.6</v>
      </c>
      <c r="I49" s="98">
        <f t="shared" si="244"/>
        <v>0</v>
      </c>
      <c r="J49" s="99">
        <f t="shared" si="244"/>
        <v>20.9</v>
      </c>
      <c r="K49" s="99">
        <f t="shared" si="244"/>
        <v>7.883</v>
      </c>
      <c r="L49" s="99">
        <f t="shared" si="244"/>
        <v>0.55400000000000005</v>
      </c>
      <c r="M49" s="53"/>
      <c r="N49" s="53"/>
      <c r="O49" s="100">
        <f t="shared" ref="O49:P49" si="245">O48</f>
        <v>100.62</v>
      </c>
      <c r="P49" s="101" t="str">
        <f t="shared" si="245"/>
        <v>2,29,560</v>
      </c>
      <c r="Q49" s="11" t="str">
        <f t="shared" si="47"/>
        <v>2</v>
      </c>
      <c r="R49" s="11" t="str">
        <f t="shared" si="48"/>
        <v>29,560</v>
      </c>
      <c r="S49" s="11">
        <f t="shared" si="49"/>
        <v>4.1544444444444446E-2</v>
      </c>
      <c r="T49" s="14">
        <f t="shared" si="50"/>
        <v>2421.9844878309709</v>
      </c>
      <c r="U49" s="39">
        <f t="shared" si="51"/>
        <v>-100</v>
      </c>
      <c r="V49" s="105">
        <f t="shared" ref="V49:W49" si="246">V48</f>
        <v>20.399999999999999</v>
      </c>
      <c r="W49" s="105">
        <f t="shared" si="246"/>
        <v>1.5069999999999999</v>
      </c>
      <c r="X49" s="106">
        <f t="shared" si="20"/>
        <v>1.504</v>
      </c>
      <c r="Y49" s="53"/>
      <c r="Z49" s="53"/>
      <c r="AA49" s="107">
        <f t="shared" ref="AA49:AB49" si="247">AA48</f>
        <v>10.015000000000001</v>
      </c>
      <c r="AB49" s="108" t="str">
        <f t="shared" si="247"/>
        <v>22,10,090</v>
      </c>
      <c r="AC49" s="11" t="str">
        <f t="shared" si="54"/>
        <v>22</v>
      </c>
      <c r="AD49" s="11" t="str">
        <f t="shared" si="55"/>
        <v>10,090</v>
      </c>
      <c r="AE49" s="11">
        <f t="shared" si="56"/>
        <v>0.36946944444444441</v>
      </c>
      <c r="AF49" s="14">
        <f t="shared" si="57"/>
        <v>27.106436406558959</v>
      </c>
      <c r="AG49" s="41">
        <f t="shared" si="58"/>
        <v>-100</v>
      </c>
      <c r="AH49" s="105">
        <f t="shared" si="211"/>
        <v>20.3</v>
      </c>
      <c r="AI49" s="105">
        <f t="shared" si="211"/>
        <v>1.5089999999999999</v>
      </c>
      <c r="AJ49" s="105">
        <f t="shared" si="211"/>
        <v>1.504</v>
      </c>
      <c r="AK49" s="53">
        <f t="shared" si="59"/>
        <v>0</v>
      </c>
      <c r="AL49" s="53"/>
      <c r="AM49" s="54">
        <f t="shared" ref="AM49:AN49" si="248">AM48</f>
        <v>5.0129999999999999</v>
      </c>
      <c r="AN49" s="101" t="str">
        <f t="shared" si="248"/>
        <v>17,59,050</v>
      </c>
      <c r="AO49" s="11" t="str">
        <f t="shared" si="61"/>
        <v>17</v>
      </c>
      <c r="AP49" s="11" t="str">
        <f t="shared" si="62"/>
        <v>59,050</v>
      </c>
      <c r="AQ49" s="11">
        <f t="shared" si="63"/>
        <v>0.29973611111111109</v>
      </c>
      <c r="AR49" s="14">
        <f t="shared" si="64"/>
        <v>16.724711551827998</v>
      </c>
      <c r="AS49" s="41">
        <f t="shared" si="65"/>
        <v>-100</v>
      </c>
      <c r="AT49" s="43" t="str">
        <f t="shared" si="66"/>
        <v>NO CONFORME</v>
      </c>
      <c r="AU49" s="8" t="b">
        <f t="shared" si="29"/>
        <v>1</v>
      </c>
      <c r="AV49" s="8" t="b">
        <f t="shared" si="30"/>
        <v>0</v>
      </c>
      <c r="AW49" s="8" t="b">
        <f t="shared" si="31"/>
        <v>1</v>
      </c>
      <c r="AX49" s="8" t="str">
        <f t="shared" si="32"/>
        <v>Qcorrecto</v>
      </c>
      <c r="AY49" s="22" t="str">
        <f t="shared" si="5"/>
        <v>aceptable</v>
      </c>
      <c r="AZ49" s="22" t="str">
        <f t="shared" si="6"/>
        <v>aceptable</v>
      </c>
      <c r="BA49" s="22" t="str">
        <f t="shared" si="33"/>
        <v>aceptable</v>
      </c>
      <c r="BB49" s="25" t="str">
        <f t="shared" si="34"/>
        <v>NO CONFORME</v>
      </c>
      <c r="BC49" s="5" t="str">
        <f t="shared" si="35"/>
        <v>NO CONFORME</v>
      </c>
      <c r="BD49" s="15">
        <f t="shared" si="7"/>
        <v>-1</v>
      </c>
      <c r="BE49" s="15">
        <f t="shared" si="8"/>
        <v>-1</v>
      </c>
      <c r="BF49" s="15">
        <f t="shared" si="9"/>
        <v>-1</v>
      </c>
      <c r="BG49" s="15" t="str">
        <f t="shared" si="10"/>
        <v>-1-1-1</v>
      </c>
      <c r="BH49" s="15" t="str">
        <f t="shared" si="11"/>
        <v>SD</v>
      </c>
      <c r="BI49" s="15" t="str">
        <f t="shared" si="12"/>
        <v>SI</v>
      </c>
      <c r="BJ49" s="15" t="b">
        <f t="shared" si="13"/>
        <v>1</v>
      </c>
      <c r="BK49" s="15" t="str">
        <f t="shared" si="14"/>
        <v>SIGIGUALES</v>
      </c>
      <c r="BL49" s="22" t="str">
        <f t="shared" si="15"/>
        <v>NO CONFORME</v>
      </c>
    </row>
    <row r="50" spans="1:64" ht="15.75" thickBot="1" x14ac:dyDescent="0.3">
      <c r="A50" s="37">
        <v>42</v>
      </c>
      <c r="B50" s="93">
        <f t="shared" ref="B50:E50" si="249">B49</f>
        <v>45919</v>
      </c>
      <c r="C50" s="93">
        <f t="shared" si="249"/>
        <v>45919</v>
      </c>
      <c r="D50" s="94">
        <f t="shared" si="249"/>
        <v>6</v>
      </c>
      <c r="E50" s="95">
        <f t="shared" si="249"/>
        <v>15</v>
      </c>
      <c r="F50" s="52"/>
      <c r="G50" s="96"/>
      <c r="H50" s="97">
        <f t="shared" ref="H50:L50" si="250">H49</f>
        <v>25.6</v>
      </c>
      <c r="I50" s="98">
        <f t="shared" si="250"/>
        <v>0</v>
      </c>
      <c r="J50" s="99">
        <f t="shared" si="250"/>
        <v>20.9</v>
      </c>
      <c r="K50" s="99">
        <f t="shared" si="250"/>
        <v>7.883</v>
      </c>
      <c r="L50" s="99">
        <f t="shared" si="250"/>
        <v>0.55400000000000005</v>
      </c>
      <c r="M50" s="53"/>
      <c r="N50" s="53"/>
      <c r="O50" s="100">
        <f t="shared" ref="O50:P50" si="251">O49</f>
        <v>100.62</v>
      </c>
      <c r="P50" s="101" t="str">
        <f t="shared" si="251"/>
        <v>2,29,560</v>
      </c>
      <c r="Q50" s="11" t="str">
        <f t="shared" si="47"/>
        <v>2</v>
      </c>
      <c r="R50" s="11" t="str">
        <f t="shared" si="48"/>
        <v>29,560</v>
      </c>
      <c r="S50" s="11">
        <f t="shared" si="49"/>
        <v>4.1544444444444446E-2</v>
      </c>
      <c r="T50" s="14">
        <f t="shared" si="50"/>
        <v>2421.9844878309709</v>
      </c>
      <c r="U50" s="39">
        <f t="shared" si="51"/>
        <v>-100</v>
      </c>
      <c r="V50" s="105">
        <f t="shared" ref="V50:W50" si="252">V49</f>
        <v>20.399999999999999</v>
      </c>
      <c r="W50" s="105">
        <f t="shared" si="252"/>
        <v>1.5069999999999999</v>
      </c>
      <c r="X50" s="106">
        <f t="shared" si="20"/>
        <v>1.504</v>
      </c>
      <c r="Y50" s="53"/>
      <c r="Z50" s="53"/>
      <c r="AA50" s="107">
        <f t="shared" ref="AA50:AB50" si="253">AA49</f>
        <v>10.015000000000001</v>
      </c>
      <c r="AB50" s="108" t="str">
        <f t="shared" si="253"/>
        <v>22,10,090</v>
      </c>
      <c r="AC50" s="11" t="str">
        <f t="shared" si="54"/>
        <v>22</v>
      </c>
      <c r="AD50" s="11" t="str">
        <f t="shared" si="55"/>
        <v>10,090</v>
      </c>
      <c r="AE50" s="11">
        <f t="shared" si="56"/>
        <v>0.36946944444444441</v>
      </c>
      <c r="AF50" s="14">
        <f t="shared" si="57"/>
        <v>27.106436406558959</v>
      </c>
      <c r="AG50" s="41">
        <f t="shared" si="58"/>
        <v>-100</v>
      </c>
      <c r="AH50" s="105">
        <f t="shared" si="211"/>
        <v>20.3</v>
      </c>
      <c r="AI50" s="105">
        <f t="shared" si="211"/>
        <v>1.5089999999999999</v>
      </c>
      <c r="AJ50" s="105">
        <f t="shared" si="211"/>
        <v>1.504</v>
      </c>
      <c r="AK50" s="53">
        <f t="shared" si="59"/>
        <v>0</v>
      </c>
      <c r="AL50" s="53"/>
      <c r="AM50" s="54">
        <f t="shared" ref="AM50:AN50" si="254">AM49</f>
        <v>5.0129999999999999</v>
      </c>
      <c r="AN50" s="101" t="str">
        <f t="shared" si="254"/>
        <v>17,59,050</v>
      </c>
      <c r="AO50" s="11" t="str">
        <f t="shared" si="61"/>
        <v>17</v>
      </c>
      <c r="AP50" s="11" t="str">
        <f t="shared" si="62"/>
        <v>59,050</v>
      </c>
      <c r="AQ50" s="11">
        <f t="shared" si="63"/>
        <v>0.29973611111111109</v>
      </c>
      <c r="AR50" s="14">
        <f t="shared" si="64"/>
        <v>16.724711551827998</v>
      </c>
      <c r="AS50" s="41">
        <f t="shared" si="65"/>
        <v>-100</v>
      </c>
      <c r="AT50" s="43" t="str">
        <f t="shared" si="66"/>
        <v>NO CONFORME</v>
      </c>
      <c r="AU50" s="8" t="b">
        <f t="shared" si="29"/>
        <v>1</v>
      </c>
      <c r="AV50" s="8" t="b">
        <f t="shared" si="30"/>
        <v>0</v>
      </c>
      <c r="AW50" s="8" t="b">
        <f t="shared" si="31"/>
        <v>1</v>
      </c>
      <c r="AX50" s="8" t="str">
        <f t="shared" si="32"/>
        <v>Qcorrecto</v>
      </c>
      <c r="AY50" s="22" t="str">
        <f t="shared" si="5"/>
        <v>aceptable</v>
      </c>
      <c r="AZ50" s="22" t="str">
        <f t="shared" si="6"/>
        <v>aceptable</v>
      </c>
      <c r="BA50" s="22" t="str">
        <f t="shared" si="33"/>
        <v>aceptable</v>
      </c>
      <c r="BB50" s="25" t="str">
        <f t="shared" si="34"/>
        <v>NO CONFORME</v>
      </c>
      <c r="BC50" s="5" t="str">
        <f t="shared" si="35"/>
        <v>NO CONFORME</v>
      </c>
      <c r="BD50" s="15">
        <f t="shared" si="7"/>
        <v>-1</v>
      </c>
      <c r="BE50" s="15">
        <f t="shared" si="8"/>
        <v>-1</v>
      </c>
      <c r="BF50" s="15">
        <f t="shared" si="9"/>
        <v>-1</v>
      </c>
      <c r="BG50" s="15" t="str">
        <f t="shared" si="10"/>
        <v>-1-1-1</v>
      </c>
      <c r="BH50" s="15" t="str">
        <f t="shared" si="11"/>
        <v>SD</v>
      </c>
      <c r="BI50" s="15" t="str">
        <f t="shared" si="12"/>
        <v>SI</v>
      </c>
      <c r="BJ50" s="15" t="b">
        <f t="shared" si="13"/>
        <v>1</v>
      </c>
      <c r="BK50" s="15" t="str">
        <f t="shared" si="14"/>
        <v>SIGIGUALES</v>
      </c>
      <c r="BL50" s="22" t="str">
        <f t="shared" si="15"/>
        <v>NO CONFORME</v>
      </c>
    </row>
    <row r="51" spans="1:64" ht="15.75" thickBot="1" x14ac:dyDescent="0.3">
      <c r="A51" s="37">
        <v>43</v>
      </c>
      <c r="B51" s="93">
        <f t="shared" ref="B51:E51" si="255">B50</f>
        <v>45919</v>
      </c>
      <c r="C51" s="93">
        <f t="shared" si="255"/>
        <v>45919</v>
      </c>
      <c r="D51" s="94">
        <f t="shared" si="255"/>
        <v>6</v>
      </c>
      <c r="E51" s="95">
        <f t="shared" si="255"/>
        <v>15</v>
      </c>
      <c r="F51" s="52"/>
      <c r="G51" s="96"/>
      <c r="H51" s="97">
        <f t="shared" ref="H51:L51" si="256">H50</f>
        <v>25.6</v>
      </c>
      <c r="I51" s="98">
        <f t="shared" si="256"/>
        <v>0</v>
      </c>
      <c r="J51" s="99">
        <f t="shared" si="256"/>
        <v>20.9</v>
      </c>
      <c r="K51" s="99">
        <f t="shared" si="256"/>
        <v>7.883</v>
      </c>
      <c r="L51" s="99">
        <f t="shared" si="256"/>
        <v>0.55400000000000005</v>
      </c>
      <c r="M51" s="53"/>
      <c r="N51" s="53"/>
      <c r="O51" s="100">
        <f t="shared" ref="O51:P51" si="257">O50</f>
        <v>100.62</v>
      </c>
      <c r="P51" s="101" t="str">
        <f t="shared" si="257"/>
        <v>2,29,560</v>
      </c>
      <c r="Q51" s="11" t="str">
        <f t="shared" si="47"/>
        <v>2</v>
      </c>
      <c r="R51" s="11" t="str">
        <f t="shared" si="48"/>
        <v>29,560</v>
      </c>
      <c r="S51" s="11">
        <f t="shared" si="49"/>
        <v>4.1544444444444446E-2</v>
      </c>
      <c r="T51" s="14">
        <f t="shared" si="50"/>
        <v>2421.9844878309709</v>
      </c>
      <c r="U51" s="39">
        <f t="shared" si="51"/>
        <v>-100</v>
      </c>
      <c r="V51" s="105">
        <f t="shared" ref="V51:W51" si="258">V50</f>
        <v>20.399999999999999</v>
      </c>
      <c r="W51" s="105">
        <f t="shared" si="258"/>
        <v>1.5069999999999999</v>
      </c>
      <c r="X51" s="106">
        <f t="shared" si="20"/>
        <v>1.504</v>
      </c>
      <c r="Y51" s="53"/>
      <c r="Z51" s="53"/>
      <c r="AA51" s="107">
        <f t="shared" ref="AA51:AB51" si="259">AA50</f>
        <v>10.015000000000001</v>
      </c>
      <c r="AB51" s="108" t="str">
        <f t="shared" si="259"/>
        <v>22,10,090</v>
      </c>
      <c r="AC51" s="11" t="str">
        <f t="shared" si="54"/>
        <v>22</v>
      </c>
      <c r="AD51" s="11" t="str">
        <f t="shared" si="55"/>
        <v>10,090</v>
      </c>
      <c r="AE51" s="11">
        <f t="shared" si="56"/>
        <v>0.36946944444444441</v>
      </c>
      <c r="AF51" s="14">
        <f t="shared" si="57"/>
        <v>27.106436406558959</v>
      </c>
      <c r="AG51" s="41">
        <f t="shared" si="58"/>
        <v>-100</v>
      </c>
      <c r="AH51" s="105">
        <f t="shared" si="211"/>
        <v>20.3</v>
      </c>
      <c r="AI51" s="105">
        <f t="shared" si="211"/>
        <v>1.5089999999999999</v>
      </c>
      <c r="AJ51" s="105">
        <f t="shared" si="211"/>
        <v>1.504</v>
      </c>
      <c r="AK51" s="53">
        <f t="shared" si="59"/>
        <v>0</v>
      </c>
      <c r="AL51" s="53"/>
      <c r="AM51" s="54">
        <f t="shared" ref="AM51:AN51" si="260">AM50</f>
        <v>5.0129999999999999</v>
      </c>
      <c r="AN51" s="101" t="str">
        <f t="shared" si="260"/>
        <v>17,59,050</v>
      </c>
      <c r="AO51" s="11" t="str">
        <f t="shared" si="61"/>
        <v>17</v>
      </c>
      <c r="AP51" s="11" t="str">
        <f t="shared" si="62"/>
        <v>59,050</v>
      </c>
      <c r="AQ51" s="11">
        <f t="shared" si="63"/>
        <v>0.29973611111111109</v>
      </c>
      <c r="AR51" s="14">
        <f t="shared" si="64"/>
        <v>16.724711551827998</v>
      </c>
      <c r="AS51" s="41">
        <f t="shared" si="65"/>
        <v>-100</v>
      </c>
      <c r="AT51" s="43" t="str">
        <f t="shared" si="66"/>
        <v>NO CONFORME</v>
      </c>
      <c r="AU51" s="8" t="b">
        <f t="shared" si="29"/>
        <v>1</v>
      </c>
      <c r="AV51" s="8" t="b">
        <f t="shared" si="30"/>
        <v>0</v>
      </c>
      <c r="AW51" s="8" t="b">
        <f t="shared" si="31"/>
        <v>1</v>
      </c>
      <c r="AX51" s="8" t="str">
        <f t="shared" si="32"/>
        <v>Qcorrecto</v>
      </c>
      <c r="AY51" s="22" t="str">
        <f t="shared" si="5"/>
        <v>aceptable</v>
      </c>
      <c r="AZ51" s="22" t="str">
        <f t="shared" si="6"/>
        <v>aceptable</v>
      </c>
      <c r="BA51" s="22" t="str">
        <f t="shared" si="33"/>
        <v>aceptable</v>
      </c>
      <c r="BB51" s="25" t="str">
        <f t="shared" si="34"/>
        <v>NO CONFORME</v>
      </c>
      <c r="BC51" s="5" t="str">
        <f t="shared" si="35"/>
        <v>NO CONFORME</v>
      </c>
      <c r="BD51" s="15">
        <f t="shared" si="7"/>
        <v>-1</v>
      </c>
      <c r="BE51" s="15">
        <f t="shared" si="8"/>
        <v>-1</v>
      </c>
      <c r="BF51" s="15">
        <f t="shared" si="9"/>
        <v>-1</v>
      </c>
      <c r="BG51" s="15" t="str">
        <f t="shared" si="10"/>
        <v>-1-1-1</v>
      </c>
      <c r="BH51" s="15" t="str">
        <f t="shared" si="11"/>
        <v>SD</v>
      </c>
      <c r="BI51" s="15" t="str">
        <f t="shared" si="12"/>
        <v>SI</v>
      </c>
      <c r="BJ51" s="15" t="b">
        <f t="shared" si="13"/>
        <v>1</v>
      </c>
      <c r="BK51" s="15" t="str">
        <f t="shared" si="14"/>
        <v>SIGIGUALES</v>
      </c>
      <c r="BL51" s="22" t="str">
        <f t="shared" si="15"/>
        <v>NO CONFORME</v>
      </c>
    </row>
    <row r="52" spans="1:64" ht="15.75" thickBot="1" x14ac:dyDescent="0.3">
      <c r="A52" s="37">
        <v>44</v>
      </c>
      <c r="B52" s="93">
        <f t="shared" ref="B52:E52" si="261">B51</f>
        <v>45919</v>
      </c>
      <c r="C52" s="93">
        <f t="shared" si="261"/>
        <v>45919</v>
      </c>
      <c r="D52" s="94">
        <f t="shared" si="261"/>
        <v>6</v>
      </c>
      <c r="E52" s="95">
        <f t="shared" si="261"/>
        <v>15</v>
      </c>
      <c r="F52" s="52"/>
      <c r="G52" s="96"/>
      <c r="H52" s="97">
        <f t="shared" ref="H52:L52" si="262">H51</f>
        <v>25.6</v>
      </c>
      <c r="I52" s="98">
        <f t="shared" si="262"/>
        <v>0</v>
      </c>
      <c r="J52" s="99">
        <f t="shared" si="262"/>
        <v>20.9</v>
      </c>
      <c r="K52" s="99">
        <f t="shared" si="262"/>
        <v>7.883</v>
      </c>
      <c r="L52" s="99">
        <f t="shared" si="262"/>
        <v>0.55400000000000005</v>
      </c>
      <c r="M52" s="53"/>
      <c r="N52" s="53"/>
      <c r="O52" s="100">
        <f t="shared" ref="O52:P52" si="263">O51</f>
        <v>100.62</v>
      </c>
      <c r="P52" s="101" t="str">
        <f t="shared" si="263"/>
        <v>2,29,560</v>
      </c>
      <c r="Q52" s="11" t="str">
        <f t="shared" si="47"/>
        <v>2</v>
      </c>
      <c r="R52" s="11" t="str">
        <f t="shared" si="48"/>
        <v>29,560</v>
      </c>
      <c r="S52" s="11">
        <f t="shared" si="49"/>
        <v>4.1544444444444446E-2</v>
      </c>
      <c r="T52" s="14">
        <f t="shared" si="50"/>
        <v>2421.9844878309709</v>
      </c>
      <c r="U52" s="39">
        <f t="shared" si="51"/>
        <v>-100</v>
      </c>
      <c r="V52" s="105">
        <f t="shared" ref="V52:W52" si="264">V51</f>
        <v>20.399999999999999</v>
      </c>
      <c r="W52" s="105">
        <f t="shared" si="264"/>
        <v>1.5069999999999999</v>
      </c>
      <c r="X52" s="106">
        <f t="shared" si="20"/>
        <v>1.504</v>
      </c>
      <c r="Y52" s="53"/>
      <c r="Z52" s="53"/>
      <c r="AA52" s="107">
        <f t="shared" ref="AA52:AB52" si="265">AA51</f>
        <v>10.015000000000001</v>
      </c>
      <c r="AB52" s="108" t="str">
        <f t="shared" si="265"/>
        <v>22,10,090</v>
      </c>
      <c r="AC52" s="11" t="str">
        <f t="shared" si="54"/>
        <v>22</v>
      </c>
      <c r="AD52" s="11" t="str">
        <f t="shared" si="55"/>
        <v>10,090</v>
      </c>
      <c r="AE52" s="11">
        <f t="shared" si="56"/>
        <v>0.36946944444444441</v>
      </c>
      <c r="AF52" s="14">
        <f t="shared" si="57"/>
        <v>27.106436406558959</v>
      </c>
      <c r="AG52" s="41">
        <f t="shared" si="58"/>
        <v>-100</v>
      </c>
      <c r="AH52" s="105">
        <f t="shared" si="211"/>
        <v>20.3</v>
      </c>
      <c r="AI52" s="105">
        <f t="shared" si="211"/>
        <v>1.5089999999999999</v>
      </c>
      <c r="AJ52" s="105">
        <f t="shared" si="211"/>
        <v>1.504</v>
      </c>
      <c r="AK52" s="53">
        <f t="shared" si="59"/>
        <v>0</v>
      </c>
      <c r="AL52" s="53"/>
      <c r="AM52" s="54">
        <f t="shared" ref="AM52:AN52" si="266">AM51</f>
        <v>5.0129999999999999</v>
      </c>
      <c r="AN52" s="101" t="str">
        <f t="shared" si="266"/>
        <v>17,59,050</v>
      </c>
      <c r="AO52" s="11" t="str">
        <f t="shared" si="61"/>
        <v>17</v>
      </c>
      <c r="AP52" s="11" t="str">
        <f t="shared" si="62"/>
        <v>59,050</v>
      </c>
      <c r="AQ52" s="11">
        <f t="shared" si="63"/>
        <v>0.29973611111111109</v>
      </c>
      <c r="AR52" s="14">
        <f t="shared" si="64"/>
        <v>16.724711551827998</v>
      </c>
      <c r="AS52" s="41">
        <f t="shared" si="65"/>
        <v>-100</v>
      </c>
      <c r="AT52" s="43" t="str">
        <f t="shared" si="66"/>
        <v>NO CONFORME</v>
      </c>
      <c r="AU52" s="8" t="b">
        <f t="shared" si="29"/>
        <v>1</v>
      </c>
      <c r="AV52" s="8" t="b">
        <f t="shared" si="30"/>
        <v>0</v>
      </c>
      <c r="AW52" s="8" t="b">
        <f t="shared" si="31"/>
        <v>1</v>
      </c>
      <c r="AX52" s="8" t="str">
        <f t="shared" si="32"/>
        <v>Qcorrecto</v>
      </c>
      <c r="AY52" s="22" t="str">
        <f t="shared" si="5"/>
        <v>aceptable</v>
      </c>
      <c r="AZ52" s="22" t="str">
        <f t="shared" si="6"/>
        <v>aceptable</v>
      </c>
      <c r="BA52" s="22" t="str">
        <f t="shared" si="33"/>
        <v>aceptable</v>
      </c>
      <c r="BB52" s="25" t="str">
        <f t="shared" si="34"/>
        <v>NO CONFORME</v>
      </c>
      <c r="BC52" s="5" t="str">
        <f t="shared" si="35"/>
        <v>NO CONFORME</v>
      </c>
      <c r="BD52" s="15">
        <f t="shared" si="7"/>
        <v>-1</v>
      </c>
      <c r="BE52" s="15">
        <f t="shared" si="8"/>
        <v>-1</v>
      </c>
      <c r="BF52" s="15">
        <f t="shared" si="9"/>
        <v>-1</v>
      </c>
      <c r="BG52" s="15" t="str">
        <f t="shared" si="10"/>
        <v>-1-1-1</v>
      </c>
      <c r="BH52" s="15" t="str">
        <f t="shared" si="11"/>
        <v>SD</v>
      </c>
      <c r="BI52" s="15" t="str">
        <f t="shared" si="12"/>
        <v>SI</v>
      </c>
      <c r="BJ52" s="15" t="b">
        <f t="shared" si="13"/>
        <v>1</v>
      </c>
      <c r="BK52" s="15" t="str">
        <f t="shared" si="14"/>
        <v>SIGIGUALES</v>
      </c>
      <c r="BL52" s="22" t="str">
        <f t="shared" si="15"/>
        <v>NO CONFORME</v>
      </c>
    </row>
    <row r="53" spans="1:64" ht="15.75" thickBot="1" x14ac:dyDescent="0.3">
      <c r="A53" s="37">
        <v>45</v>
      </c>
      <c r="B53" s="93">
        <f t="shared" ref="B53:E53" si="267">B52</f>
        <v>45919</v>
      </c>
      <c r="C53" s="93">
        <f t="shared" si="267"/>
        <v>45919</v>
      </c>
      <c r="D53" s="94">
        <f t="shared" si="267"/>
        <v>6</v>
      </c>
      <c r="E53" s="95">
        <f t="shared" si="267"/>
        <v>15</v>
      </c>
      <c r="F53" s="52"/>
      <c r="G53" s="96"/>
      <c r="H53" s="97">
        <f t="shared" ref="H53:L53" si="268">H52</f>
        <v>25.6</v>
      </c>
      <c r="I53" s="98">
        <f t="shared" si="268"/>
        <v>0</v>
      </c>
      <c r="J53" s="99">
        <f t="shared" si="268"/>
        <v>20.9</v>
      </c>
      <c r="K53" s="99">
        <f t="shared" si="268"/>
        <v>7.883</v>
      </c>
      <c r="L53" s="99">
        <f t="shared" si="268"/>
        <v>0.55400000000000005</v>
      </c>
      <c r="M53" s="53"/>
      <c r="N53" s="53"/>
      <c r="O53" s="100">
        <f t="shared" ref="O53:P53" si="269">O52</f>
        <v>100.62</v>
      </c>
      <c r="P53" s="101" t="str">
        <f t="shared" si="269"/>
        <v>2,29,560</v>
      </c>
      <c r="Q53" s="11" t="str">
        <f t="shared" si="47"/>
        <v>2</v>
      </c>
      <c r="R53" s="11" t="str">
        <f t="shared" si="48"/>
        <v>29,560</v>
      </c>
      <c r="S53" s="11">
        <f t="shared" si="49"/>
        <v>4.1544444444444446E-2</v>
      </c>
      <c r="T53" s="14">
        <f t="shared" si="50"/>
        <v>2421.9844878309709</v>
      </c>
      <c r="U53" s="39">
        <f t="shared" si="51"/>
        <v>-100</v>
      </c>
      <c r="V53" s="105">
        <f t="shared" ref="V53:W53" si="270">V52</f>
        <v>20.399999999999999</v>
      </c>
      <c r="W53" s="105">
        <f t="shared" si="270"/>
        <v>1.5069999999999999</v>
      </c>
      <c r="X53" s="106">
        <f t="shared" si="20"/>
        <v>1.504</v>
      </c>
      <c r="Y53" s="53"/>
      <c r="Z53" s="53"/>
      <c r="AA53" s="107">
        <f t="shared" ref="AA53:AB53" si="271">AA52</f>
        <v>10.015000000000001</v>
      </c>
      <c r="AB53" s="108" t="str">
        <f t="shared" si="271"/>
        <v>22,10,090</v>
      </c>
      <c r="AC53" s="11" t="str">
        <f t="shared" si="54"/>
        <v>22</v>
      </c>
      <c r="AD53" s="11" t="str">
        <f t="shared" si="55"/>
        <v>10,090</v>
      </c>
      <c r="AE53" s="11">
        <f t="shared" si="56"/>
        <v>0.36946944444444441</v>
      </c>
      <c r="AF53" s="14">
        <f t="shared" si="57"/>
        <v>27.106436406558959</v>
      </c>
      <c r="AG53" s="41">
        <f t="shared" si="58"/>
        <v>-100</v>
      </c>
      <c r="AH53" s="105">
        <f t="shared" si="211"/>
        <v>20.3</v>
      </c>
      <c r="AI53" s="105">
        <f t="shared" si="211"/>
        <v>1.5089999999999999</v>
      </c>
      <c r="AJ53" s="105">
        <f t="shared" si="211"/>
        <v>1.504</v>
      </c>
      <c r="AK53" s="53">
        <f t="shared" si="59"/>
        <v>0</v>
      </c>
      <c r="AL53" s="53"/>
      <c r="AM53" s="54">
        <f t="shared" ref="AM53:AN53" si="272">AM52</f>
        <v>5.0129999999999999</v>
      </c>
      <c r="AN53" s="101" t="str">
        <f t="shared" si="272"/>
        <v>17,59,050</v>
      </c>
      <c r="AO53" s="11" t="str">
        <f t="shared" si="61"/>
        <v>17</v>
      </c>
      <c r="AP53" s="11" t="str">
        <f t="shared" si="62"/>
        <v>59,050</v>
      </c>
      <c r="AQ53" s="11">
        <f t="shared" si="63"/>
        <v>0.29973611111111109</v>
      </c>
      <c r="AR53" s="14">
        <f t="shared" si="64"/>
        <v>16.724711551827998</v>
      </c>
      <c r="AS53" s="41">
        <f t="shared" si="65"/>
        <v>-100</v>
      </c>
      <c r="AT53" s="43" t="str">
        <f t="shared" si="66"/>
        <v>NO CONFORME</v>
      </c>
      <c r="AU53" s="8" t="b">
        <f t="shared" si="29"/>
        <v>1</v>
      </c>
      <c r="AV53" s="8" t="b">
        <f t="shared" si="30"/>
        <v>0</v>
      </c>
      <c r="AW53" s="8" t="b">
        <f t="shared" si="31"/>
        <v>1</v>
      </c>
      <c r="AX53" s="8" t="str">
        <f t="shared" si="32"/>
        <v>Qcorrecto</v>
      </c>
      <c r="AY53" s="22" t="str">
        <f t="shared" si="5"/>
        <v>aceptable</v>
      </c>
      <c r="AZ53" s="22" t="str">
        <f t="shared" si="6"/>
        <v>aceptable</v>
      </c>
      <c r="BA53" s="22" t="str">
        <f t="shared" si="33"/>
        <v>aceptable</v>
      </c>
      <c r="BB53" s="25" t="str">
        <f t="shared" si="34"/>
        <v>NO CONFORME</v>
      </c>
      <c r="BC53" s="5" t="str">
        <f t="shared" si="35"/>
        <v>NO CONFORME</v>
      </c>
      <c r="BD53" s="15">
        <f t="shared" si="7"/>
        <v>-1</v>
      </c>
      <c r="BE53" s="15">
        <f t="shared" si="8"/>
        <v>-1</v>
      </c>
      <c r="BF53" s="15">
        <f t="shared" si="9"/>
        <v>-1</v>
      </c>
      <c r="BG53" s="15" t="str">
        <f t="shared" si="10"/>
        <v>-1-1-1</v>
      </c>
      <c r="BH53" s="15" t="str">
        <f t="shared" si="11"/>
        <v>SD</v>
      </c>
      <c r="BI53" s="15" t="str">
        <f t="shared" si="12"/>
        <v>SI</v>
      </c>
      <c r="BJ53" s="15" t="b">
        <f t="shared" si="13"/>
        <v>1</v>
      </c>
      <c r="BK53" s="15" t="str">
        <f t="shared" si="14"/>
        <v>SIGIGUALES</v>
      </c>
      <c r="BL53" s="22" t="str">
        <f t="shared" si="15"/>
        <v>NO CONFORME</v>
      </c>
    </row>
    <row r="54" spans="1:64" ht="15.75" thickBot="1" x14ac:dyDescent="0.3">
      <c r="A54" s="37">
        <v>46</v>
      </c>
      <c r="B54" s="93">
        <f t="shared" ref="B54:E54" si="273">B53</f>
        <v>45919</v>
      </c>
      <c r="C54" s="93">
        <f t="shared" si="273"/>
        <v>45919</v>
      </c>
      <c r="D54" s="94">
        <f t="shared" si="273"/>
        <v>6</v>
      </c>
      <c r="E54" s="95">
        <f t="shared" si="273"/>
        <v>15</v>
      </c>
      <c r="F54" s="52"/>
      <c r="G54" s="96"/>
      <c r="H54" s="97">
        <f t="shared" ref="H54:L54" si="274">H53</f>
        <v>25.6</v>
      </c>
      <c r="I54" s="98">
        <f t="shared" si="274"/>
        <v>0</v>
      </c>
      <c r="J54" s="99">
        <f t="shared" si="274"/>
        <v>20.9</v>
      </c>
      <c r="K54" s="99">
        <f t="shared" si="274"/>
        <v>7.883</v>
      </c>
      <c r="L54" s="99">
        <f t="shared" si="274"/>
        <v>0.55400000000000005</v>
      </c>
      <c r="M54" s="53"/>
      <c r="N54" s="53"/>
      <c r="O54" s="100">
        <f t="shared" ref="O54:P54" si="275">O53</f>
        <v>100.62</v>
      </c>
      <c r="P54" s="101" t="str">
        <f t="shared" si="275"/>
        <v>2,29,560</v>
      </c>
      <c r="Q54" s="11" t="str">
        <f t="shared" si="47"/>
        <v>2</v>
      </c>
      <c r="R54" s="11" t="str">
        <f t="shared" si="48"/>
        <v>29,560</v>
      </c>
      <c r="S54" s="11">
        <f t="shared" si="49"/>
        <v>4.1544444444444446E-2</v>
      </c>
      <c r="T54" s="14">
        <f t="shared" si="50"/>
        <v>2421.9844878309709</v>
      </c>
      <c r="U54" s="39">
        <f t="shared" si="51"/>
        <v>-100</v>
      </c>
      <c r="V54" s="105">
        <f t="shared" ref="V54:W54" si="276">V53</f>
        <v>20.399999999999999</v>
      </c>
      <c r="W54" s="105">
        <f t="shared" si="276"/>
        <v>1.5069999999999999</v>
      </c>
      <c r="X54" s="106">
        <f t="shared" si="20"/>
        <v>1.504</v>
      </c>
      <c r="Y54" s="53"/>
      <c r="Z54" s="53"/>
      <c r="AA54" s="107">
        <f t="shared" ref="AA54:AB54" si="277">AA53</f>
        <v>10.015000000000001</v>
      </c>
      <c r="AB54" s="108" t="str">
        <f t="shared" si="277"/>
        <v>22,10,090</v>
      </c>
      <c r="AC54" s="11" t="str">
        <f t="shared" si="54"/>
        <v>22</v>
      </c>
      <c r="AD54" s="11" t="str">
        <f t="shared" si="55"/>
        <v>10,090</v>
      </c>
      <c r="AE54" s="11">
        <f t="shared" si="56"/>
        <v>0.36946944444444441</v>
      </c>
      <c r="AF54" s="14">
        <f t="shared" si="57"/>
        <v>27.106436406558959</v>
      </c>
      <c r="AG54" s="41">
        <f t="shared" si="58"/>
        <v>-100</v>
      </c>
      <c r="AH54" s="105">
        <f t="shared" si="211"/>
        <v>20.3</v>
      </c>
      <c r="AI54" s="105">
        <f t="shared" si="211"/>
        <v>1.5089999999999999</v>
      </c>
      <c r="AJ54" s="105">
        <f t="shared" si="211"/>
        <v>1.504</v>
      </c>
      <c r="AK54" s="53">
        <f t="shared" si="59"/>
        <v>0</v>
      </c>
      <c r="AL54" s="53"/>
      <c r="AM54" s="54">
        <f t="shared" ref="AM54:AN54" si="278">AM53</f>
        <v>5.0129999999999999</v>
      </c>
      <c r="AN54" s="101" t="str">
        <f t="shared" si="278"/>
        <v>17,59,050</v>
      </c>
      <c r="AO54" s="11" t="str">
        <f t="shared" si="61"/>
        <v>17</v>
      </c>
      <c r="AP54" s="11" t="str">
        <f t="shared" si="62"/>
        <v>59,050</v>
      </c>
      <c r="AQ54" s="11">
        <f t="shared" si="63"/>
        <v>0.29973611111111109</v>
      </c>
      <c r="AR54" s="14">
        <f t="shared" si="64"/>
        <v>16.724711551827998</v>
      </c>
      <c r="AS54" s="41">
        <f t="shared" si="65"/>
        <v>-100</v>
      </c>
      <c r="AT54" s="43" t="str">
        <f t="shared" si="66"/>
        <v>NO CONFORME</v>
      </c>
      <c r="AU54" s="8" t="b">
        <f t="shared" si="29"/>
        <v>1</v>
      </c>
      <c r="AV54" s="8" t="b">
        <f t="shared" si="30"/>
        <v>0</v>
      </c>
      <c r="AW54" s="8" t="b">
        <f t="shared" si="31"/>
        <v>1</v>
      </c>
      <c r="AX54" s="8" t="str">
        <f t="shared" si="32"/>
        <v>Qcorrecto</v>
      </c>
      <c r="AY54" s="22" t="str">
        <f t="shared" si="5"/>
        <v>aceptable</v>
      </c>
      <c r="AZ54" s="22" t="str">
        <f t="shared" si="6"/>
        <v>aceptable</v>
      </c>
      <c r="BA54" s="22" t="str">
        <f t="shared" si="33"/>
        <v>aceptable</v>
      </c>
      <c r="BB54" s="25" t="str">
        <f t="shared" si="34"/>
        <v>NO CONFORME</v>
      </c>
      <c r="BC54" s="5" t="str">
        <f t="shared" si="35"/>
        <v>NO CONFORME</v>
      </c>
      <c r="BD54" s="15">
        <f t="shared" si="7"/>
        <v>-1</v>
      </c>
      <c r="BE54" s="15">
        <f t="shared" si="8"/>
        <v>-1</v>
      </c>
      <c r="BF54" s="15">
        <f t="shared" si="9"/>
        <v>-1</v>
      </c>
      <c r="BG54" s="15" t="str">
        <f t="shared" si="10"/>
        <v>-1-1-1</v>
      </c>
      <c r="BH54" s="15" t="str">
        <f t="shared" si="11"/>
        <v>SD</v>
      </c>
      <c r="BI54" s="15" t="str">
        <f t="shared" si="12"/>
        <v>SI</v>
      </c>
      <c r="BJ54" s="15" t="b">
        <f t="shared" si="13"/>
        <v>1</v>
      </c>
      <c r="BK54" s="15" t="str">
        <f t="shared" si="14"/>
        <v>SIGIGUALES</v>
      </c>
      <c r="BL54" s="22" t="str">
        <f t="shared" si="15"/>
        <v>NO CONFORME</v>
      </c>
    </row>
    <row r="55" spans="1:64" ht="15.75" thickBot="1" x14ac:dyDescent="0.3">
      <c r="A55" s="37">
        <v>47</v>
      </c>
      <c r="B55" s="93">
        <f t="shared" ref="B55:E55" si="279">B54</f>
        <v>45919</v>
      </c>
      <c r="C55" s="93">
        <f t="shared" si="279"/>
        <v>45919</v>
      </c>
      <c r="D55" s="94">
        <f t="shared" si="279"/>
        <v>6</v>
      </c>
      <c r="E55" s="95">
        <f t="shared" si="279"/>
        <v>15</v>
      </c>
      <c r="F55" s="52"/>
      <c r="G55" s="96"/>
      <c r="H55" s="97">
        <f t="shared" ref="H55:L55" si="280">H54</f>
        <v>25.6</v>
      </c>
      <c r="I55" s="98">
        <f t="shared" si="280"/>
        <v>0</v>
      </c>
      <c r="J55" s="99">
        <f t="shared" si="280"/>
        <v>20.9</v>
      </c>
      <c r="K55" s="99">
        <f t="shared" si="280"/>
        <v>7.883</v>
      </c>
      <c r="L55" s="99">
        <f t="shared" si="280"/>
        <v>0.55400000000000005</v>
      </c>
      <c r="M55" s="53"/>
      <c r="N55" s="53"/>
      <c r="O55" s="100">
        <f t="shared" ref="O55:P55" si="281">O54</f>
        <v>100.62</v>
      </c>
      <c r="P55" s="101" t="str">
        <f t="shared" si="281"/>
        <v>2,29,560</v>
      </c>
      <c r="Q55" s="11" t="str">
        <f t="shared" si="47"/>
        <v>2</v>
      </c>
      <c r="R55" s="11" t="str">
        <f t="shared" si="48"/>
        <v>29,560</v>
      </c>
      <c r="S55" s="11">
        <f t="shared" si="49"/>
        <v>4.1544444444444446E-2</v>
      </c>
      <c r="T55" s="14">
        <f t="shared" si="50"/>
        <v>2421.9844878309709</v>
      </c>
      <c r="U55" s="39">
        <f t="shared" si="51"/>
        <v>-100</v>
      </c>
      <c r="V55" s="105">
        <f t="shared" ref="V55:W55" si="282">V54</f>
        <v>20.399999999999999</v>
      </c>
      <c r="W55" s="105">
        <f t="shared" si="282"/>
        <v>1.5069999999999999</v>
      </c>
      <c r="X55" s="106">
        <f t="shared" si="20"/>
        <v>1.504</v>
      </c>
      <c r="Y55" s="53"/>
      <c r="Z55" s="53"/>
      <c r="AA55" s="107">
        <f t="shared" ref="AA55:AB55" si="283">AA54</f>
        <v>10.015000000000001</v>
      </c>
      <c r="AB55" s="108" t="str">
        <f t="shared" si="283"/>
        <v>22,10,090</v>
      </c>
      <c r="AC55" s="11" t="str">
        <f t="shared" si="54"/>
        <v>22</v>
      </c>
      <c r="AD55" s="11" t="str">
        <f t="shared" si="55"/>
        <v>10,090</v>
      </c>
      <c r="AE55" s="11">
        <f t="shared" si="56"/>
        <v>0.36946944444444441</v>
      </c>
      <c r="AF55" s="14">
        <f t="shared" si="57"/>
        <v>27.106436406558959</v>
      </c>
      <c r="AG55" s="41">
        <f t="shared" si="58"/>
        <v>-100</v>
      </c>
      <c r="AH55" s="105">
        <f t="shared" si="211"/>
        <v>20.3</v>
      </c>
      <c r="AI55" s="105">
        <f t="shared" si="211"/>
        <v>1.5089999999999999</v>
      </c>
      <c r="AJ55" s="105">
        <f t="shared" si="211"/>
        <v>1.504</v>
      </c>
      <c r="AK55" s="53">
        <f t="shared" si="59"/>
        <v>0</v>
      </c>
      <c r="AL55" s="53"/>
      <c r="AM55" s="54">
        <f t="shared" ref="AM55:AN55" si="284">AM54</f>
        <v>5.0129999999999999</v>
      </c>
      <c r="AN55" s="101" t="str">
        <f t="shared" si="284"/>
        <v>17,59,050</v>
      </c>
      <c r="AO55" s="11" t="str">
        <f t="shared" si="61"/>
        <v>17</v>
      </c>
      <c r="AP55" s="11" t="str">
        <f t="shared" si="62"/>
        <v>59,050</v>
      </c>
      <c r="AQ55" s="11">
        <f t="shared" si="63"/>
        <v>0.29973611111111109</v>
      </c>
      <c r="AR55" s="14">
        <f t="shared" si="64"/>
        <v>16.724711551827998</v>
      </c>
      <c r="AS55" s="41">
        <f t="shared" si="65"/>
        <v>-100</v>
      </c>
      <c r="AT55" s="43" t="str">
        <f t="shared" si="66"/>
        <v>NO CONFORME</v>
      </c>
      <c r="AU55" s="8" t="b">
        <f t="shared" si="29"/>
        <v>1</v>
      </c>
      <c r="AV55" s="8" t="b">
        <f t="shared" si="30"/>
        <v>0</v>
      </c>
      <c r="AW55" s="8" t="b">
        <f t="shared" si="31"/>
        <v>1</v>
      </c>
      <c r="AX55" s="8" t="str">
        <f t="shared" si="32"/>
        <v>Qcorrecto</v>
      </c>
      <c r="AY55" s="22" t="str">
        <f t="shared" si="5"/>
        <v>aceptable</v>
      </c>
      <c r="AZ55" s="22" t="str">
        <f t="shared" si="6"/>
        <v>aceptable</v>
      </c>
      <c r="BA55" s="22" t="str">
        <f t="shared" si="33"/>
        <v>aceptable</v>
      </c>
      <c r="BB55" s="25" t="str">
        <f t="shared" si="34"/>
        <v>NO CONFORME</v>
      </c>
      <c r="BC55" s="5" t="str">
        <f t="shared" si="35"/>
        <v>NO CONFORME</v>
      </c>
      <c r="BD55" s="15">
        <f t="shared" si="7"/>
        <v>-1</v>
      </c>
      <c r="BE55" s="15">
        <f t="shared" si="8"/>
        <v>-1</v>
      </c>
      <c r="BF55" s="15">
        <f t="shared" si="9"/>
        <v>-1</v>
      </c>
      <c r="BG55" s="15" t="str">
        <f t="shared" si="10"/>
        <v>-1-1-1</v>
      </c>
      <c r="BH55" s="15" t="str">
        <f t="shared" si="11"/>
        <v>SD</v>
      </c>
      <c r="BI55" s="15" t="str">
        <f t="shared" si="12"/>
        <v>SI</v>
      </c>
      <c r="BJ55" s="15" t="b">
        <f t="shared" si="13"/>
        <v>1</v>
      </c>
      <c r="BK55" s="15" t="str">
        <f t="shared" si="14"/>
        <v>SIGIGUALES</v>
      </c>
      <c r="BL55" s="22" t="str">
        <f t="shared" si="15"/>
        <v>NO CONFORME</v>
      </c>
    </row>
    <row r="56" spans="1:64" ht="15.75" thickBot="1" x14ac:dyDescent="0.3">
      <c r="A56" s="37">
        <v>48</v>
      </c>
      <c r="B56" s="93">
        <f t="shared" ref="B56:E56" si="285">B55</f>
        <v>45919</v>
      </c>
      <c r="C56" s="93">
        <f t="shared" si="285"/>
        <v>45919</v>
      </c>
      <c r="D56" s="94">
        <f t="shared" si="285"/>
        <v>6</v>
      </c>
      <c r="E56" s="95">
        <f t="shared" si="285"/>
        <v>15</v>
      </c>
      <c r="F56" s="52"/>
      <c r="G56" s="96"/>
      <c r="H56" s="97">
        <f t="shared" ref="H56:L56" si="286">H55</f>
        <v>25.6</v>
      </c>
      <c r="I56" s="98">
        <f t="shared" si="286"/>
        <v>0</v>
      </c>
      <c r="J56" s="99">
        <f t="shared" si="286"/>
        <v>20.9</v>
      </c>
      <c r="K56" s="99">
        <f t="shared" si="286"/>
        <v>7.883</v>
      </c>
      <c r="L56" s="99">
        <f t="shared" si="286"/>
        <v>0.55400000000000005</v>
      </c>
      <c r="M56" s="53"/>
      <c r="N56" s="53"/>
      <c r="O56" s="100">
        <f t="shared" ref="O56:P56" si="287">O55</f>
        <v>100.62</v>
      </c>
      <c r="P56" s="101" t="str">
        <f t="shared" si="287"/>
        <v>2,29,560</v>
      </c>
      <c r="Q56" s="11" t="str">
        <f t="shared" si="47"/>
        <v>2</v>
      </c>
      <c r="R56" s="11" t="str">
        <f t="shared" si="48"/>
        <v>29,560</v>
      </c>
      <c r="S56" s="11">
        <f t="shared" si="49"/>
        <v>4.1544444444444446E-2</v>
      </c>
      <c r="T56" s="14">
        <f t="shared" si="50"/>
        <v>2421.9844878309709</v>
      </c>
      <c r="U56" s="39">
        <f t="shared" si="51"/>
        <v>-100</v>
      </c>
      <c r="V56" s="105">
        <f t="shared" ref="V56:W56" si="288">V55</f>
        <v>20.399999999999999</v>
      </c>
      <c r="W56" s="105">
        <f t="shared" si="288"/>
        <v>1.5069999999999999</v>
      </c>
      <c r="X56" s="106">
        <f t="shared" si="20"/>
        <v>1.504</v>
      </c>
      <c r="Y56" s="53"/>
      <c r="Z56" s="53"/>
      <c r="AA56" s="107">
        <f t="shared" ref="AA56:AB56" si="289">AA55</f>
        <v>10.015000000000001</v>
      </c>
      <c r="AB56" s="108" t="str">
        <f t="shared" si="289"/>
        <v>22,10,090</v>
      </c>
      <c r="AC56" s="11" t="str">
        <f t="shared" si="54"/>
        <v>22</v>
      </c>
      <c r="AD56" s="11" t="str">
        <f t="shared" si="55"/>
        <v>10,090</v>
      </c>
      <c r="AE56" s="11">
        <f t="shared" si="56"/>
        <v>0.36946944444444441</v>
      </c>
      <c r="AF56" s="14">
        <f t="shared" si="57"/>
        <v>27.106436406558959</v>
      </c>
      <c r="AG56" s="41">
        <f t="shared" si="58"/>
        <v>-100</v>
      </c>
      <c r="AH56" s="105">
        <f t="shared" si="211"/>
        <v>20.3</v>
      </c>
      <c r="AI56" s="105">
        <f t="shared" si="211"/>
        <v>1.5089999999999999</v>
      </c>
      <c r="AJ56" s="105">
        <f t="shared" si="211"/>
        <v>1.504</v>
      </c>
      <c r="AK56" s="53">
        <f t="shared" si="59"/>
        <v>0</v>
      </c>
      <c r="AL56" s="53"/>
      <c r="AM56" s="54">
        <f t="shared" ref="AM56:AN56" si="290">AM55</f>
        <v>5.0129999999999999</v>
      </c>
      <c r="AN56" s="101" t="str">
        <f t="shared" si="290"/>
        <v>17,59,050</v>
      </c>
      <c r="AO56" s="11" t="str">
        <f t="shared" si="61"/>
        <v>17</v>
      </c>
      <c r="AP56" s="11" t="str">
        <f t="shared" si="62"/>
        <v>59,050</v>
      </c>
      <c r="AQ56" s="11">
        <f t="shared" si="63"/>
        <v>0.29973611111111109</v>
      </c>
      <c r="AR56" s="14">
        <f t="shared" si="64"/>
        <v>16.724711551827998</v>
      </c>
      <c r="AS56" s="41">
        <f t="shared" si="65"/>
        <v>-100</v>
      </c>
      <c r="AT56" s="43" t="str">
        <f t="shared" si="66"/>
        <v>NO CONFORME</v>
      </c>
      <c r="AU56" s="8" t="b">
        <f t="shared" si="29"/>
        <v>1</v>
      </c>
      <c r="AV56" s="8" t="b">
        <f t="shared" si="30"/>
        <v>0</v>
      </c>
      <c r="AW56" s="8" t="b">
        <f t="shared" si="31"/>
        <v>1</v>
      </c>
      <c r="AX56" s="8" t="str">
        <f t="shared" si="32"/>
        <v>Qcorrecto</v>
      </c>
      <c r="AY56" s="22" t="str">
        <f t="shared" si="5"/>
        <v>aceptable</v>
      </c>
      <c r="AZ56" s="22" t="str">
        <f t="shared" si="6"/>
        <v>aceptable</v>
      </c>
      <c r="BA56" s="22" t="str">
        <f t="shared" si="33"/>
        <v>aceptable</v>
      </c>
      <c r="BB56" s="25" t="str">
        <f t="shared" si="34"/>
        <v>NO CONFORME</v>
      </c>
      <c r="BC56" s="5" t="str">
        <f t="shared" si="35"/>
        <v>NO CONFORME</v>
      </c>
      <c r="BD56" s="15">
        <f t="shared" si="7"/>
        <v>-1</v>
      </c>
      <c r="BE56" s="15">
        <f t="shared" si="8"/>
        <v>-1</v>
      </c>
      <c r="BF56" s="15">
        <f t="shared" si="9"/>
        <v>-1</v>
      </c>
      <c r="BG56" s="15" t="str">
        <f t="shared" si="10"/>
        <v>-1-1-1</v>
      </c>
      <c r="BH56" s="15" t="str">
        <f t="shared" si="11"/>
        <v>SD</v>
      </c>
      <c r="BI56" s="15" t="str">
        <f t="shared" si="12"/>
        <v>SI</v>
      </c>
      <c r="BJ56" s="15" t="b">
        <f t="shared" si="13"/>
        <v>1</v>
      </c>
      <c r="BK56" s="15" t="str">
        <f t="shared" si="14"/>
        <v>SIGIGUALES</v>
      </c>
      <c r="BL56" s="22" t="str">
        <f t="shared" si="15"/>
        <v>NO CONFORME</v>
      </c>
    </row>
    <row r="57" spans="1:64" ht="15.75" thickBot="1" x14ac:dyDescent="0.3">
      <c r="A57" s="37">
        <v>49</v>
      </c>
      <c r="B57" s="93">
        <f t="shared" ref="B57:E57" si="291">B56</f>
        <v>45919</v>
      </c>
      <c r="C57" s="93">
        <f t="shared" si="291"/>
        <v>45919</v>
      </c>
      <c r="D57" s="94">
        <f t="shared" si="291"/>
        <v>6</v>
      </c>
      <c r="E57" s="95">
        <f t="shared" si="291"/>
        <v>15</v>
      </c>
      <c r="F57" s="52"/>
      <c r="G57" s="96"/>
      <c r="H57" s="97">
        <f t="shared" ref="H57:L57" si="292">H56</f>
        <v>25.6</v>
      </c>
      <c r="I57" s="98">
        <f t="shared" si="292"/>
        <v>0</v>
      </c>
      <c r="J57" s="99">
        <f t="shared" si="292"/>
        <v>20.9</v>
      </c>
      <c r="K57" s="99">
        <f t="shared" si="292"/>
        <v>7.883</v>
      </c>
      <c r="L57" s="99">
        <f t="shared" si="292"/>
        <v>0.55400000000000005</v>
      </c>
      <c r="M57" s="53"/>
      <c r="N57" s="53"/>
      <c r="O57" s="100">
        <f t="shared" ref="O57:P57" si="293">O56</f>
        <v>100.62</v>
      </c>
      <c r="P57" s="101" t="str">
        <f t="shared" si="293"/>
        <v>2,29,560</v>
      </c>
      <c r="Q57" s="11" t="str">
        <f t="shared" si="47"/>
        <v>2</v>
      </c>
      <c r="R57" s="11" t="str">
        <f t="shared" si="48"/>
        <v>29,560</v>
      </c>
      <c r="S57" s="11">
        <f t="shared" si="49"/>
        <v>4.1544444444444446E-2</v>
      </c>
      <c r="T57" s="14">
        <f t="shared" si="50"/>
        <v>2421.9844878309709</v>
      </c>
      <c r="U57" s="39">
        <f t="shared" si="51"/>
        <v>-100</v>
      </c>
      <c r="V57" s="105">
        <f t="shared" ref="V57:W57" si="294">V56</f>
        <v>20.399999999999999</v>
      </c>
      <c r="W57" s="105">
        <f t="shared" si="294"/>
        <v>1.5069999999999999</v>
      </c>
      <c r="X57" s="106">
        <f t="shared" si="20"/>
        <v>1.504</v>
      </c>
      <c r="Y57" s="53"/>
      <c r="Z57" s="53"/>
      <c r="AA57" s="107">
        <f t="shared" ref="AA57:AB57" si="295">AA56</f>
        <v>10.015000000000001</v>
      </c>
      <c r="AB57" s="108" t="str">
        <f t="shared" si="295"/>
        <v>22,10,090</v>
      </c>
      <c r="AC57" s="11" t="str">
        <f t="shared" si="54"/>
        <v>22</v>
      </c>
      <c r="AD57" s="11" t="str">
        <f t="shared" si="55"/>
        <v>10,090</v>
      </c>
      <c r="AE57" s="11">
        <f t="shared" si="56"/>
        <v>0.36946944444444441</v>
      </c>
      <c r="AF57" s="14">
        <f t="shared" si="57"/>
        <v>27.106436406558959</v>
      </c>
      <c r="AG57" s="41">
        <f t="shared" si="58"/>
        <v>-100</v>
      </c>
      <c r="AH57" s="105">
        <f t="shared" si="211"/>
        <v>20.3</v>
      </c>
      <c r="AI57" s="105">
        <f t="shared" si="211"/>
        <v>1.5089999999999999</v>
      </c>
      <c r="AJ57" s="105">
        <f t="shared" si="211"/>
        <v>1.504</v>
      </c>
      <c r="AK57" s="53">
        <f t="shared" si="59"/>
        <v>0</v>
      </c>
      <c r="AL57" s="53"/>
      <c r="AM57" s="54">
        <f t="shared" ref="AM57:AN57" si="296">AM56</f>
        <v>5.0129999999999999</v>
      </c>
      <c r="AN57" s="101" t="str">
        <f t="shared" si="296"/>
        <v>17,59,050</v>
      </c>
      <c r="AO57" s="11" t="str">
        <f t="shared" si="61"/>
        <v>17</v>
      </c>
      <c r="AP57" s="11" t="str">
        <f t="shared" si="62"/>
        <v>59,050</v>
      </c>
      <c r="AQ57" s="11">
        <f t="shared" si="63"/>
        <v>0.29973611111111109</v>
      </c>
      <c r="AR57" s="14">
        <f t="shared" si="64"/>
        <v>16.724711551827998</v>
      </c>
      <c r="AS57" s="41">
        <f t="shared" si="65"/>
        <v>-100</v>
      </c>
      <c r="AT57" s="43" t="str">
        <f t="shared" si="66"/>
        <v>NO CONFORME</v>
      </c>
      <c r="AU57" s="8" t="b">
        <f t="shared" si="29"/>
        <v>1</v>
      </c>
      <c r="AV57" s="8" t="b">
        <f t="shared" si="30"/>
        <v>0</v>
      </c>
      <c r="AW57" s="8" t="b">
        <f t="shared" si="31"/>
        <v>1</v>
      </c>
      <c r="AX57" s="8" t="str">
        <f t="shared" si="32"/>
        <v>Qcorrecto</v>
      </c>
      <c r="AY57" s="22" t="str">
        <f t="shared" si="5"/>
        <v>aceptable</v>
      </c>
      <c r="AZ57" s="22" t="str">
        <f t="shared" si="6"/>
        <v>aceptable</v>
      </c>
      <c r="BA57" s="22" t="str">
        <f t="shared" si="33"/>
        <v>aceptable</v>
      </c>
      <c r="BB57" s="25" t="str">
        <f t="shared" si="34"/>
        <v>NO CONFORME</v>
      </c>
      <c r="BC57" s="5" t="str">
        <f t="shared" si="35"/>
        <v>NO CONFORME</v>
      </c>
      <c r="BD57" s="15">
        <f t="shared" si="7"/>
        <v>-1</v>
      </c>
      <c r="BE57" s="15">
        <f t="shared" si="8"/>
        <v>-1</v>
      </c>
      <c r="BF57" s="15">
        <f t="shared" si="9"/>
        <v>-1</v>
      </c>
      <c r="BG57" s="15" t="str">
        <f t="shared" si="10"/>
        <v>-1-1-1</v>
      </c>
      <c r="BH57" s="15" t="str">
        <f t="shared" si="11"/>
        <v>SD</v>
      </c>
      <c r="BI57" s="15" t="str">
        <f t="shared" si="12"/>
        <v>SI</v>
      </c>
      <c r="BJ57" s="15" t="b">
        <f t="shared" si="13"/>
        <v>1</v>
      </c>
      <c r="BK57" s="15" t="str">
        <f t="shared" si="14"/>
        <v>SIGIGUALES</v>
      </c>
      <c r="BL57" s="22" t="str">
        <f t="shared" si="15"/>
        <v>NO CONFORME</v>
      </c>
    </row>
    <row r="58" spans="1:64" ht="15.75" thickBot="1" x14ac:dyDescent="0.3">
      <c r="A58" s="37">
        <v>50</v>
      </c>
      <c r="B58" s="93">
        <f t="shared" ref="B58:E58" si="297">B57</f>
        <v>45919</v>
      </c>
      <c r="C58" s="93">
        <f t="shared" si="297"/>
        <v>45919</v>
      </c>
      <c r="D58" s="94">
        <f t="shared" si="297"/>
        <v>6</v>
      </c>
      <c r="E58" s="95">
        <f t="shared" si="297"/>
        <v>15</v>
      </c>
      <c r="F58" s="52"/>
      <c r="G58" s="96"/>
      <c r="H58" s="97">
        <f t="shared" ref="H58:L58" si="298">H57</f>
        <v>25.6</v>
      </c>
      <c r="I58" s="98">
        <f t="shared" si="298"/>
        <v>0</v>
      </c>
      <c r="J58" s="99">
        <f t="shared" si="298"/>
        <v>20.9</v>
      </c>
      <c r="K58" s="99">
        <f t="shared" si="298"/>
        <v>7.883</v>
      </c>
      <c r="L58" s="99">
        <f t="shared" si="298"/>
        <v>0.55400000000000005</v>
      </c>
      <c r="M58" s="53"/>
      <c r="N58" s="53"/>
      <c r="O58" s="100">
        <f t="shared" ref="O58:P58" si="299">O57</f>
        <v>100.62</v>
      </c>
      <c r="P58" s="101" t="str">
        <f t="shared" si="299"/>
        <v>2,29,560</v>
      </c>
      <c r="Q58" s="11" t="str">
        <f t="shared" si="47"/>
        <v>2</v>
      </c>
      <c r="R58" s="11" t="str">
        <f t="shared" si="48"/>
        <v>29,560</v>
      </c>
      <c r="S58" s="11">
        <f t="shared" si="49"/>
        <v>4.1544444444444446E-2</v>
      </c>
      <c r="T58" s="14">
        <f t="shared" si="50"/>
        <v>2421.9844878309709</v>
      </c>
      <c r="U58" s="39">
        <f t="shared" si="51"/>
        <v>-100</v>
      </c>
      <c r="V58" s="105">
        <f t="shared" ref="V58:W58" si="300">V57</f>
        <v>20.399999999999999</v>
      </c>
      <c r="W58" s="105">
        <f t="shared" si="300"/>
        <v>1.5069999999999999</v>
      </c>
      <c r="X58" s="106">
        <f t="shared" si="20"/>
        <v>1.504</v>
      </c>
      <c r="Y58" s="53"/>
      <c r="Z58" s="53"/>
      <c r="AA58" s="107">
        <f t="shared" ref="AA58:AB58" si="301">AA57</f>
        <v>10.015000000000001</v>
      </c>
      <c r="AB58" s="108" t="str">
        <f t="shared" si="301"/>
        <v>22,10,090</v>
      </c>
      <c r="AC58" s="11" t="str">
        <f t="shared" si="54"/>
        <v>22</v>
      </c>
      <c r="AD58" s="11" t="str">
        <f t="shared" si="55"/>
        <v>10,090</v>
      </c>
      <c r="AE58" s="11">
        <f t="shared" si="56"/>
        <v>0.36946944444444441</v>
      </c>
      <c r="AF58" s="14">
        <f t="shared" si="57"/>
        <v>27.106436406558959</v>
      </c>
      <c r="AG58" s="41">
        <f t="shared" si="58"/>
        <v>-100</v>
      </c>
      <c r="AH58" s="105">
        <f t="shared" si="211"/>
        <v>20.3</v>
      </c>
      <c r="AI58" s="105">
        <f t="shared" si="211"/>
        <v>1.5089999999999999</v>
      </c>
      <c r="AJ58" s="105">
        <f t="shared" si="211"/>
        <v>1.504</v>
      </c>
      <c r="AK58" s="53">
        <f t="shared" si="59"/>
        <v>0</v>
      </c>
      <c r="AL58" s="53"/>
      <c r="AM58" s="54">
        <f t="shared" ref="AM58:AN58" si="302">AM57</f>
        <v>5.0129999999999999</v>
      </c>
      <c r="AN58" s="101" t="str">
        <f t="shared" si="302"/>
        <v>17,59,050</v>
      </c>
      <c r="AO58" s="11" t="str">
        <f t="shared" si="61"/>
        <v>17</v>
      </c>
      <c r="AP58" s="11" t="str">
        <f t="shared" si="62"/>
        <v>59,050</v>
      </c>
      <c r="AQ58" s="11">
        <f t="shared" si="63"/>
        <v>0.29973611111111109</v>
      </c>
      <c r="AR58" s="14">
        <f t="shared" si="64"/>
        <v>16.724711551827998</v>
      </c>
      <c r="AS58" s="41">
        <f t="shared" si="65"/>
        <v>-100</v>
      </c>
      <c r="AT58" s="43" t="str">
        <f t="shared" si="66"/>
        <v>NO CONFORME</v>
      </c>
      <c r="AU58" s="8" t="b">
        <f t="shared" si="29"/>
        <v>1</v>
      </c>
      <c r="AV58" s="8" t="b">
        <f t="shared" si="30"/>
        <v>0</v>
      </c>
      <c r="AW58" s="8" t="b">
        <f t="shared" si="31"/>
        <v>1</v>
      </c>
      <c r="AX58" s="8" t="str">
        <f t="shared" si="32"/>
        <v>Qcorrecto</v>
      </c>
      <c r="AY58" s="22" t="str">
        <f t="shared" si="5"/>
        <v>aceptable</v>
      </c>
      <c r="AZ58" s="22" t="str">
        <f t="shared" si="6"/>
        <v>aceptable</v>
      </c>
      <c r="BA58" s="22" t="str">
        <f t="shared" si="33"/>
        <v>aceptable</v>
      </c>
      <c r="BB58" s="25" t="str">
        <f t="shared" si="34"/>
        <v>NO CONFORME</v>
      </c>
      <c r="BC58" s="5" t="str">
        <f t="shared" si="35"/>
        <v>NO CONFORME</v>
      </c>
      <c r="BD58" s="15">
        <f t="shared" si="7"/>
        <v>-1</v>
      </c>
      <c r="BE58" s="15">
        <f t="shared" si="8"/>
        <v>-1</v>
      </c>
      <c r="BF58" s="15">
        <f t="shared" si="9"/>
        <v>-1</v>
      </c>
      <c r="BG58" s="15" t="str">
        <f t="shared" si="10"/>
        <v>-1-1-1</v>
      </c>
      <c r="BH58" s="15" t="str">
        <f t="shared" si="11"/>
        <v>SD</v>
      </c>
      <c r="BI58" s="15" t="str">
        <f t="shared" si="12"/>
        <v>SI</v>
      </c>
      <c r="BJ58" s="15" t="b">
        <f t="shared" si="13"/>
        <v>1</v>
      </c>
      <c r="BK58" s="15" t="str">
        <f t="shared" si="14"/>
        <v>SIGIGUALES</v>
      </c>
      <c r="BL58" s="22" t="str">
        <f t="shared" si="15"/>
        <v>NO CONFORME</v>
      </c>
    </row>
    <row r="59" spans="1:64" ht="15.75" thickBot="1" x14ac:dyDescent="0.3">
      <c r="A59" s="37">
        <v>51</v>
      </c>
      <c r="B59" s="93">
        <f t="shared" ref="B59:E59" si="303">B58</f>
        <v>45919</v>
      </c>
      <c r="C59" s="93">
        <f t="shared" si="303"/>
        <v>45919</v>
      </c>
      <c r="D59" s="94">
        <f t="shared" si="303"/>
        <v>6</v>
      </c>
      <c r="E59" s="95">
        <f t="shared" si="303"/>
        <v>15</v>
      </c>
      <c r="F59" s="52"/>
      <c r="G59" s="96"/>
      <c r="H59" s="97">
        <f t="shared" ref="H59:L59" si="304">H58</f>
        <v>25.6</v>
      </c>
      <c r="I59" s="98">
        <f t="shared" si="304"/>
        <v>0</v>
      </c>
      <c r="J59" s="99">
        <f t="shared" si="304"/>
        <v>20.9</v>
      </c>
      <c r="K59" s="99">
        <f t="shared" si="304"/>
        <v>7.883</v>
      </c>
      <c r="L59" s="99">
        <f t="shared" si="304"/>
        <v>0.55400000000000005</v>
      </c>
      <c r="M59" s="53"/>
      <c r="N59" s="53"/>
      <c r="O59" s="100">
        <f t="shared" ref="O59:P59" si="305">O58</f>
        <v>100.62</v>
      </c>
      <c r="P59" s="101" t="str">
        <f t="shared" si="305"/>
        <v>2,29,560</v>
      </c>
      <c r="Q59" s="11" t="str">
        <f t="shared" si="47"/>
        <v>2</v>
      </c>
      <c r="R59" s="11" t="str">
        <f t="shared" si="48"/>
        <v>29,560</v>
      </c>
      <c r="S59" s="11">
        <f t="shared" si="49"/>
        <v>4.1544444444444446E-2</v>
      </c>
      <c r="T59" s="14">
        <f t="shared" si="50"/>
        <v>2421.9844878309709</v>
      </c>
      <c r="U59" s="39">
        <f t="shared" si="51"/>
        <v>-100</v>
      </c>
      <c r="V59" s="105">
        <f t="shared" ref="V59:W59" si="306">V58</f>
        <v>20.399999999999999</v>
      </c>
      <c r="W59" s="105">
        <f t="shared" si="306"/>
        <v>1.5069999999999999</v>
      </c>
      <c r="X59" s="106">
        <f t="shared" si="20"/>
        <v>1.504</v>
      </c>
      <c r="Y59" s="53"/>
      <c r="Z59" s="53"/>
      <c r="AA59" s="107">
        <f t="shared" ref="AA59:AB59" si="307">AA58</f>
        <v>10.015000000000001</v>
      </c>
      <c r="AB59" s="108" t="str">
        <f t="shared" si="307"/>
        <v>22,10,090</v>
      </c>
      <c r="AC59" s="11" t="str">
        <f t="shared" si="54"/>
        <v>22</v>
      </c>
      <c r="AD59" s="11" t="str">
        <f t="shared" si="55"/>
        <v>10,090</v>
      </c>
      <c r="AE59" s="11">
        <f t="shared" si="56"/>
        <v>0.36946944444444441</v>
      </c>
      <c r="AF59" s="14">
        <f t="shared" si="57"/>
        <v>27.106436406558959</v>
      </c>
      <c r="AG59" s="41">
        <f t="shared" si="58"/>
        <v>-100</v>
      </c>
      <c r="AH59" s="105">
        <f t="shared" ref="AH59:AJ74" si="308">AH58</f>
        <v>20.3</v>
      </c>
      <c r="AI59" s="105">
        <f t="shared" si="308"/>
        <v>1.5089999999999999</v>
      </c>
      <c r="AJ59" s="105">
        <f t="shared" si="308"/>
        <v>1.504</v>
      </c>
      <c r="AK59" s="53">
        <f t="shared" si="59"/>
        <v>0</v>
      </c>
      <c r="AL59" s="53"/>
      <c r="AM59" s="54">
        <f t="shared" ref="AM59:AN59" si="309">AM58</f>
        <v>5.0129999999999999</v>
      </c>
      <c r="AN59" s="101" t="str">
        <f t="shared" si="309"/>
        <v>17,59,050</v>
      </c>
      <c r="AO59" s="11" t="str">
        <f t="shared" si="61"/>
        <v>17</v>
      </c>
      <c r="AP59" s="11" t="str">
        <f t="shared" si="62"/>
        <v>59,050</v>
      </c>
      <c r="AQ59" s="11">
        <f t="shared" si="63"/>
        <v>0.29973611111111109</v>
      </c>
      <c r="AR59" s="14">
        <f t="shared" si="64"/>
        <v>16.724711551827998</v>
      </c>
      <c r="AS59" s="41">
        <f t="shared" si="65"/>
        <v>-100</v>
      </c>
      <c r="AT59" s="43" t="str">
        <f t="shared" si="66"/>
        <v>NO CONFORME</v>
      </c>
      <c r="AU59" s="8" t="b">
        <f t="shared" si="29"/>
        <v>1</v>
      </c>
      <c r="AV59" s="8" t="b">
        <f t="shared" si="30"/>
        <v>0</v>
      </c>
      <c r="AW59" s="8" t="b">
        <f t="shared" si="31"/>
        <v>1</v>
      </c>
      <c r="AX59" s="8" t="str">
        <f t="shared" si="32"/>
        <v>Qcorrecto</v>
      </c>
      <c r="AY59" s="22" t="str">
        <f t="shared" si="5"/>
        <v>aceptable</v>
      </c>
      <c r="AZ59" s="22" t="str">
        <f t="shared" si="6"/>
        <v>aceptable</v>
      </c>
      <c r="BA59" s="22" t="str">
        <f t="shared" si="33"/>
        <v>aceptable</v>
      </c>
      <c r="BB59" s="25" t="str">
        <f t="shared" si="34"/>
        <v>NO CONFORME</v>
      </c>
      <c r="BC59" s="5" t="str">
        <f t="shared" si="35"/>
        <v>NO CONFORME</v>
      </c>
      <c r="BD59" s="15">
        <f t="shared" si="7"/>
        <v>-1</v>
      </c>
      <c r="BE59" s="15">
        <f t="shared" si="8"/>
        <v>-1</v>
      </c>
      <c r="BF59" s="15">
        <f t="shared" si="9"/>
        <v>-1</v>
      </c>
      <c r="BG59" s="15" t="str">
        <f t="shared" si="10"/>
        <v>-1-1-1</v>
      </c>
      <c r="BH59" s="15" t="str">
        <f t="shared" si="11"/>
        <v>SD</v>
      </c>
      <c r="BI59" s="15" t="str">
        <f t="shared" si="12"/>
        <v>SI</v>
      </c>
      <c r="BJ59" s="15" t="b">
        <f t="shared" si="13"/>
        <v>1</v>
      </c>
      <c r="BK59" s="15" t="str">
        <f t="shared" si="14"/>
        <v>SIGIGUALES</v>
      </c>
      <c r="BL59" s="22" t="str">
        <f t="shared" si="15"/>
        <v>NO CONFORME</v>
      </c>
    </row>
    <row r="60" spans="1:64" ht="15.75" thickBot="1" x14ac:dyDescent="0.3">
      <c r="A60" s="37">
        <v>52</v>
      </c>
      <c r="B60" s="93">
        <f t="shared" ref="B60:E60" si="310">B59</f>
        <v>45919</v>
      </c>
      <c r="C60" s="93">
        <f t="shared" si="310"/>
        <v>45919</v>
      </c>
      <c r="D60" s="94">
        <f t="shared" si="310"/>
        <v>6</v>
      </c>
      <c r="E60" s="95">
        <f t="shared" si="310"/>
        <v>15</v>
      </c>
      <c r="F60" s="52"/>
      <c r="G60" s="96"/>
      <c r="H60" s="97">
        <f t="shared" ref="H60:L60" si="311">H59</f>
        <v>25.6</v>
      </c>
      <c r="I60" s="98">
        <f t="shared" si="311"/>
        <v>0</v>
      </c>
      <c r="J60" s="99">
        <f t="shared" si="311"/>
        <v>20.9</v>
      </c>
      <c r="K60" s="99">
        <f t="shared" si="311"/>
        <v>7.883</v>
      </c>
      <c r="L60" s="99">
        <f t="shared" si="311"/>
        <v>0.55400000000000005</v>
      </c>
      <c r="M60" s="53"/>
      <c r="N60" s="53"/>
      <c r="O60" s="100">
        <f t="shared" ref="O60:P60" si="312">O59</f>
        <v>100.62</v>
      </c>
      <c r="P60" s="101" t="str">
        <f t="shared" si="312"/>
        <v>2,29,560</v>
      </c>
      <c r="Q60" s="11" t="str">
        <f t="shared" si="47"/>
        <v>2</v>
      </c>
      <c r="R60" s="11" t="str">
        <f t="shared" si="48"/>
        <v>29,560</v>
      </c>
      <c r="S60" s="11">
        <f t="shared" si="49"/>
        <v>4.1544444444444446E-2</v>
      </c>
      <c r="T60" s="14">
        <f t="shared" si="50"/>
        <v>2421.9844878309709</v>
      </c>
      <c r="U60" s="39">
        <f t="shared" si="51"/>
        <v>-100</v>
      </c>
      <c r="V60" s="105">
        <f t="shared" ref="V60:W60" si="313">V59</f>
        <v>20.399999999999999</v>
      </c>
      <c r="W60" s="105">
        <f t="shared" si="313"/>
        <v>1.5069999999999999</v>
      </c>
      <c r="X60" s="106">
        <f t="shared" si="20"/>
        <v>1.504</v>
      </c>
      <c r="Y60" s="53"/>
      <c r="Z60" s="53"/>
      <c r="AA60" s="107">
        <f t="shared" ref="AA60:AB60" si="314">AA59</f>
        <v>10.015000000000001</v>
      </c>
      <c r="AB60" s="108" t="str">
        <f t="shared" si="314"/>
        <v>22,10,090</v>
      </c>
      <c r="AC60" s="11" t="str">
        <f t="shared" si="54"/>
        <v>22</v>
      </c>
      <c r="AD60" s="11" t="str">
        <f t="shared" si="55"/>
        <v>10,090</v>
      </c>
      <c r="AE60" s="11">
        <f t="shared" si="56"/>
        <v>0.36946944444444441</v>
      </c>
      <c r="AF60" s="14">
        <f t="shared" si="57"/>
        <v>27.106436406558959</v>
      </c>
      <c r="AG60" s="41">
        <f t="shared" si="58"/>
        <v>-100</v>
      </c>
      <c r="AH60" s="105">
        <f t="shared" si="308"/>
        <v>20.3</v>
      </c>
      <c r="AI60" s="105">
        <f t="shared" si="308"/>
        <v>1.5089999999999999</v>
      </c>
      <c r="AJ60" s="105">
        <f t="shared" si="308"/>
        <v>1.504</v>
      </c>
      <c r="AK60" s="53">
        <f t="shared" si="59"/>
        <v>0</v>
      </c>
      <c r="AL60" s="53"/>
      <c r="AM60" s="54">
        <f t="shared" ref="AM60:AN60" si="315">AM59</f>
        <v>5.0129999999999999</v>
      </c>
      <c r="AN60" s="101" t="str">
        <f t="shared" si="315"/>
        <v>17,59,050</v>
      </c>
      <c r="AO60" s="11" t="str">
        <f t="shared" si="61"/>
        <v>17</v>
      </c>
      <c r="AP60" s="11" t="str">
        <f t="shared" si="62"/>
        <v>59,050</v>
      </c>
      <c r="AQ60" s="11">
        <f t="shared" si="63"/>
        <v>0.29973611111111109</v>
      </c>
      <c r="AR60" s="14">
        <f t="shared" si="64"/>
        <v>16.724711551827998</v>
      </c>
      <c r="AS60" s="41">
        <f t="shared" si="65"/>
        <v>-100</v>
      </c>
      <c r="AT60" s="43" t="str">
        <f t="shared" si="66"/>
        <v>NO CONFORME</v>
      </c>
      <c r="AU60" s="8" t="b">
        <f t="shared" si="29"/>
        <v>1</v>
      </c>
      <c r="AV60" s="8" t="b">
        <f t="shared" si="30"/>
        <v>0</v>
      </c>
      <c r="AW60" s="8" t="b">
        <f t="shared" si="31"/>
        <v>1</v>
      </c>
      <c r="AX60" s="8" t="str">
        <f t="shared" si="32"/>
        <v>Qcorrecto</v>
      </c>
      <c r="AY60" s="22" t="str">
        <f t="shared" si="5"/>
        <v>aceptable</v>
      </c>
      <c r="AZ60" s="22" t="str">
        <f t="shared" si="6"/>
        <v>aceptable</v>
      </c>
      <c r="BA60" s="22" t="str">
        <f t="shared" si="33"/>
        <v>aceptable</v>
      </c>
      <c r="BB60" s="25" t="str">
        <f t="shared" si="34"/>
        <v>NO CONFORME</v>
      </c>
      <c r="BC60" s="5" t="str">
        <f t="shared" si="35"/>
        <v>NO CONFORME</v>
      </c>
      <c r="BD60" s="15">
        <f t="shared" si="7"/>
        <v>-1</v>
      </c>
      <c r="BE60" s="15">
        <f t="shared" si="8"/>
        <v>-1</v>
      </c>
      <c r="BF60" s="15">
        <f t="shared" si="9"/>
        <v>-1</v>
      </c>
      <c r="BG60" s="15" t="str">
        <f t="shared" si="10"/>
        <v>-1-1-1</v>
      </c>
      <c r="BH60" s="15" t="str">
        <f t="shared" si="11"/>
        <v>SD</v>
      </c>
      <c r="BI60" s="15" t="str">
        <f t="shared" si="12"/>
        <v>SI</v>
      </c>
      <c r="BJ60" s="15" t="b">
        <f t="shared" si="13"/>
        <v>1</v>
      </c>
      <c r="BK60" s="15" t="str">
        <f t="shared" si="14"/>
        <v>SIGIGUALES</v>
      </c>
      <c r="BL60" s="22" t="str">
        <f t="shared" si="15"/>
        <v>NO CONFORME</v>
      </c>
    </row>
    <row r="61" spans="1:64" ht="15.75" thickBot="1" x14ac:dyDescent="0.3">
      <c r="A61" s="37">
        <v>53</v>
      </c>
      <c r="B61" s="93">
        <f t="shared" ref="B61:E61" si="316">B60</f>
        <v>45919</v>
      </c>
      <c r="C61" s="93">
        <f t="shared" si="316"/>
        <v>45919</v>
      </c>
      <c r="D61" s="94">
        <f t="shared" si="316"/>
        <v>6</v>
      </c>
      <c r="E61" s="95">
        <f t="shared" si="316"/>
        <v>15</v>
      </c>
      <c r="F61" s="52"/>
      <c r="G61" s="96"/>
      <c r="H61" s="97">
        <f t="shared" ref="H61:L61" si="317">H60</f>
        <v>25.6</v>
      </c>
      <c r="I61" s="98">
        <f t="shared" si="317"/>
        <v>0</v>
      </c>
      <c r="J61" s="99">
        <f t="shared" si="317"/>
        <v>20.9</v>
      </c>
      <c r="K61" s="99">
        <f t="shared" si="317"/>
        <v>7.883</v>
      </c>
      <c r="L61" s="99">
        <f t="shared" si="317"/>
        <v>0.55400000000000005</v>
      </c>
      <c r="M61" s="53"/>
      <c r="N61" s="53"/>
      <c r="O61" s="100">
        <f t="shared" ref="O61:P61" si="318">O60</f>
        <v>100.62</v>
      </c>
      <c r="P61" s="101" t="str">
        <f t="shared" si="318"/>
        <v>2,29,560</v>
      </c>
      <c r="Q61" s="11" t="str">
        <f t="shared" si="47"/>
        <v>2</v>
      </c>
      <c r="R61" s="11" t="str">
        <f t="shared" si="48"/>
        <v>29,560</v>
      </c>
      <c r="S61" s="11">
        <f t="shared" si="49"/>
        <v>4.1544444444444446E-2</v>
      </c>
      <c r="T61" s="14">
        <f t="shared" si="50"/>
        <v>2421.9844878309709</v>
      </c>
      <c r="U61" s="39">
        <f t="shared" si="51"/>
        <v>-100</v>
      </c>
      <c r="V61" s="105">
        <f t="shared" ref="V61:W61" si="319">V60</f>
        <v>20.399999999999999</v>
      </c>
      <c r="W61" s="105">
        <f t="shared" si="319"/>
        <v>1.5069999999999999</v>
      </c>
      <c r="X61" s="106">
        <f t="shared" si="20"/>
        <v>1.504</v>
      </c>
      <c r="Y61" s="53"/>
      <c r="Z61" s="53"/>
      <c r="AA61" s="107">
        <f t="shared" ref="AA61:AB61" si="320">AA60</f>
        <v>10.015000000000001</v>
      </c>
      <c r="AB61" s="108" t="str">
        <f t="shared" si="320"/>
        <v>22,10,090</v>
      </c>
      <c r="AC61" s="11" t="str">
        <f t="shared" si="54"/>
        <v>22</v>
      </c>
      <c r="AD61" s="11" t="str">
        <f t="shared" si="55"/>
        <v>10,090</v>
      </c>
      <c r="AE61" s="11">
        <f t="shared" si="56"/>
        <v>0.36946944444444441</v>
      </c>
      <c r="AF61" s="14">
        <f t="shared" si="57"/>
        <v>27.106436406558959</v>
      </c>
      <c r="AG61" s="41">
        <f t="shared" si="58"/>
        <v>-100</v>
      </c>
      <c r="AH61" s="105">
        <f t="shared" si="308"/>
        <v>20.3</v>
      </c>
      <c r="AI61" s="105">
        <f t="shared" si="308"/>
        <v>1.5089999999999999</v>
      </c>
      <c r="AJ61" s="105">
        <f t="shared" si="308"/>
        <v>1.504</v>
      </c>
      <c r="AK61" s="53">
        <f t="shared" si="59"/>
        <v>0</v>
      </c>
      <c r="AL61" s="53"/>
      <c r="AM61" s="54">
        <f t="shared" ref="AM61:AN61" si="321">AM60</f>
        <v>5.0129999999999999</v>
      </c>
      <c r="AN61" s="101" t="str">
        <f t="shared" si="321"/>
        <v>17,59,050</v>
      </c>
      <c r="AO61" s="11" t="str">
        <f t="shared" si="61"/>
        <v>17</v>
      </c>
      <c r="AP61" s="11" t="str">
        <f t="shared" si="62"/>
        <v>59,050</v>
      </c>
      <c r="AQ61" s="11">
        <f t="shared" si="63"/>
        <v>0.29973611111111109</v>
      </c>
      <c r="AR61" s="14">
        <f t="shared" si="64"/>
        <v>16.724711551827998</v>
      </c>
      <c r="AS61" s="41">
        <f t="shared" si="65"/>
        <v>-100</v>
      </c>
      <c r="AT61" s="43" t="str">
        <f t="shared" si="66"/>
        <v>NO CONFORME</v>
      </c>
      <c r="AU61" s="8" t="b">
        <f t="shared" si="29"/>
        <v>1</v>
      </c>
      <c r="AV61" s="8" t="b">
        <f t="shared" si="30"/>
        <v>0</v>
      </c>
      <c r="AW61" s="8" t="b">
        <f t="shared" si="31"/>
        <v>1</v>
      </c>
      <c r="AX61" s="8" t="str">
        <f t="shared" si="32"/>
        <v>Qcorrecto</v>
      </c>
      <c r="AY61" s="22" t="str">
        <f t="shared" si="5"/>
        <v>aceptable</v>
      </c>
      <c r="AZ61" s="22" t="str">
        <f t="shared" si="6"/>
        <v>aceptable</v>
      </c>
      <c r="BA61" s="22" t="str">
        <f t="shared" si="33"/>
        <v>aceptable</v>
      </c>
      <c r="BB61" s="25" t="str">
        <f t="shared" si="34"/>
        <v>NO CONFORME</v>
      </c>
      <c r="BC61" s="5" t="str">
        <f t="shared" si="35"/>
        <v>NO CONFORME</v>
      </c>
      <c r="BD61" s="15">
        <f t="shared" si="7"/>
        <v>-1</v>
      </c>
      <c r="BE61" s="15">
        <f t="shared" si="8"/>
        <v>-1</v>
      </c>
      <c r="BF61" s="15">
        <f t="shared" si="9"/>
        <v>-1</v>
      </c>
      <c r="BG61" s="15" t="str">
        <f t="shared" si="10"/>
        <v>-1-1-1</v>
      </c>
      <c r="BH61" s="15" t="str">
        <f t="shared" si="11"/>
        <v>SD</v>
      </c>
      <c r="BI61" s="15" t="str">
        <f t="shared" si="12"/>
        <v>SI</v>
      </c>
      <c r="BJ61" s="15" t="b">
        <f t="shared" si="13"/>
        <v>1</v>
      </c>
      <c r="BK61" s="15" t="str">
        <f t="shared" si="14"/>
        <v>SIGIGUALES</v>
      </c>
      <c r="BL61" s="22" t="str">
        <f t="shared" si="15"/>
        <v>NO CONFORME</v>
      </c>
    </row>
    <row r="62" spans="1:64" ht="15.75" thickBot="1" x14ac:dyDescent="0.3">
      <c r="A62" s="37">
        <v>54</v>
      </c>
      <c r="B62" s="93">
        <f t="shared" ref="B62:E62" si="322">B61</f>
        <v>45919</v>
      </c>
      <c r="C62" s="93">
        <f t="shared" si="322"/>
        <v>45919</v>
      </c>
      <c r="D62" s="94">
        <f t="shared" si="322"/>
        <v>6</v>
      </c>
      <c r="E62" s="95">
        <f t="shared" si="322"/>
        <v>15</v>
      </c>
      <c r="F62" s="52"/>
      <c r="G62" s="96"/>
      <c r="H62" s="97">
        <f t="shared" ref="H62:L62" si="323">H61</f>
        <v>25.6</v>
      </c>
      <c r="I62" s="98">
        <f t="shared" si="323"/>
        <v>0</v>
      </c>
      <c r="J62" s="99">
        <f t="shared" si="323"/>
        <v>20.9</v>
      </c>
      <c r="K62" s="99">
        <f t="shared" si="323"/>
        <v>7.883</v>
      </c>
      <c r="L62" s="99">
        <f t="shared" si="323"/>
        <v>0.55400000000000005</v>
      </c>
      <c r="M62" s="53"/>
      <c r="N62" s="53"/>
      <c r="O62" s="100">
        <f t="shared" ref="O62:P62" si="324">O61</f>
        <v>100.62</v>
      </c>
      <c r="P62" s="101" t="str">
        <f t="shared" si="324"/>
        <v>2,29,560</v>
      </c>
      <c r="Q62" s="11" t="str">
        <f t="shared" si="47"/>
        <v>2</v>
      </c>
      <c r="R62" s="11" t="str">
        <f t="shared" si="48"/>
        <v>29,560</v>
      </c>
      <c r="S62" s="11">
        <f t="shared" si="49"/>
        <v>4.1544444444444446E-2</v>
      </c>
      <c r="T62" s="14">
        <f t="shared" si="50"/>
        <v>2421.9844878309709</v>
      </c>
      <c r="U62" s="39">
        <f t="shared" si="51"/>
        <v>-100</v>
      </c>
      <c r="V62" s="105">
        <f t="shared" ref="V62:W62" si="325">V61</f>
        <v>20.399999999999999</v>
      </c>
      <c r="W62" s="105">
        <f t="shared" si="325"/>
        <v>1.5069999999999999</v>
      </c>
      <c r="X62" s="106">
        <f t="shared" si="20"/>
        <v>1.504</v>
      </c>
      <c r="Y62" s="53"/>
      <c r="Z62" s="53"/>
      <c r="AA62" s="107">
        <f t="shared" ref="AA62:AB62" si="326">AA61</f>
        <v>10.015000000000001</v>
      </c>
      <c r="AB62" s="108" t="str">
        <f t="shared" si="326"/>
        <v>22,10,090</v>
      </c>
      <c r="AC62" s="11" t="str">
        <f t="shared" si="54"/>
        <v>22</v>
      </c>
      <c r="AD62" s="11" t="str">
        <f t="shared" si="55"/>
        <v>10,090</v>
      </c>
      <c r="AE62" s="11">
        <f t="shared" si="56"/>
        <v>0.36946944444444441</v>
      </c>
      <c r="AF62" s="14">
        <f t="shared" si="57"/>
        <v>27.106436406558959</v>
      </c>
      <c r="AG62" s="41">
        <f t="shared" si="58"/>
        <v>-100</v>
      </c>
      <c r="AH62" s="105">
        <f t="shared" si="308"/>
        <v>20.3</v>
      </c>
      <c r="AI62" s="105">
        <f t="shared" si="308"/>
        <v>1.5089999999999999</v>
      </c>
      <c r="AJ62" s="105">
        <f t="shared" si="308"/>
        <v>1.504</v>
      </c>
      <c r="AK62" s="53">
        <f t="shared" si="59"/>
        <v>0</v>
      </c>
      <c r="AL62" s="53"/>
      <c r="AM62" s="54">
        <f t="shared" ref="AM62:AN62" si="327">AM61</f>
        <v>5.0129999999999999</v>
      </c>
      <c r="AN62" s="101" t="str">
        <f t="shared" si="327"/>
        <v>17,59,050</v>
      </c>
      <c r="AO62" s="11" t="str">
        <f t="shared" si="61"/>
        <v>17</v>
      </c>
      <c r="AP62" s="11" t="str">
        <f t="shared" si="62"/>
        <v>59,050</v>
      </c>
      <c r="AQ62" s="11">
        <f t="shared" si="63"/>
        <v>0.29973611111111109</v>
      </c>
      <c r="AR62" s="14">
        <f t="shared" si="64"/>
        <v>16.724711551827998</v>
      </c>
      <c r="AS62" s="41">
        <f t="shared" si="65"/>
        <v>-100</v>
      </c>
      <c r="AT62" s="43" t="str">
        <f t="shared" si="66"/>
        <v>NO CONFORME</v>
      </c>
      <c r="AU62" s="8" t="b">
        <f t="shared" si="29"/>
        <v>1</v>
      </c>
      <c r="AV62" s="8" t="b">
        <f t="shared" si="30"/>
        <v>0</v>
      </c>
      <c r="AW62" s="8" t="b">
        <f t="shared" si="31"/>
        <v>1</v>
      </c>
      <c r="AX62" s="8" t="str">
        <f t="shared" si="32"/>
        <v>Qcorrecto</v>
      </c>
      <c r="AY62" s="22" t="str">
        <f t="shared" si="5"/>
        <v>aceptable</v>
      </c>
      <c r="AZ62" s="22" t="str">
        <f t="shared" si="6"/>
        <v>aceptable</v>
      </c>
      <c r="BA62" s="22" t="str">
        <f t="shared" si="33"/>
        <v>aceptable</v>
      </c>
      <c r="BB62" s="25" t="str">
        <f t="shared" si="34"/>
        <v>NO CONFORME</v>
      </c>
      <c r="BC62" s="5" t="str">
        <f t="shared" si="35"/>
        <v>NO CONFORME</v>
      </c>
      <c r="BD62" s="15">
        <f t="shared" si="7"/>
        <v>-1</v>
      </c>
      <c r="BE62" s="15">
        <f t="shared" si="8"/>
        <v>-1</v>
      </c>
      <c r="BF62" s="15">
        <f t="shared" si="9"/>
        <v>-1</v>
      </c>
      <c r="BG62" s="15" t="str">
        <f t="shared" si="10"/>
        <v>-1-1-1</v>
      </c>
      <c r="BH62" s="15" t="str">
        <f t="shared" si="11"/>
        <v>SD</v>
      </c>
      <c r="BI62" s="15" t="str">
        <f t="shared" si="12"/>
        <v>SI</v>
      </c>
      <c r="BJ62" s="15" t="b">
        <f t="shared" si="13"/>
        <v>1</v>
      </c>
      <c r="BK62" s="15" t="str">
        <f t="shared" si="14"/>
        <v>SIGIGUALES</v>
      </c>
      <c r="BL62" s="22" t="str">
        <f t="shared" si="15"/>
        <v>NO CONFORME</v>
      </c>
    </row>
    <row r="63" spans="1:64" ht="15.75" thickBot="1" x14ac:dyDescent="0.3">
      <c r="A63" s="37">
        <v>55</v>
      </c>
      <c r="B63" s="93">
        <f t="shared" ref="B63:E63" si="328">B62</f>
        <v>45919</v>
      </c>
      <c r="C63" s="93">
        <f t="shared" si="328"/>
        <v>45919</v>
      </c>
      <c r="D63" s="94">
        <f t="shared" si="328"/>
        <v>6</v>
      </c>
      <c r="E63" s="95">
        <f t="shared" si="328"/>
        <v>15</v>
      </c>
      <c r="F63" s="52"/>
      <c r="G63" s="96"/>
      <c r="H63" s="97">
        <f t="shared" ref="H63:L63" si="329">H62</f>
        <v>25.6</v>
      </c>
      <c r="I63" s="98">
        <f t="shared" si="329"/>
        <v>0</v>
      </c>
      <c r="J63" s="99">
        <f t="shared" si="329"/>
        <v>20.9</v>
      </c>
      <c r="K63" s="99">
        <f t="shared" si="329"/>
        <v>7.883</v>
      </c>
      <c r="L63" s="99">
        <f t="shared" si="329"/>
        <v>0.55400000000000005</v>
      </c>
      <c r="M63" s="53"/>
      <c r="N63" s="53"/>
      <c r="O63" s="100">
        <f t="shared" ref="O63:P63" si="330">O62</f>
        <v>100.62</v>
      </c>
      <c r="P63" s="101" t="str">
        <f t="shared" si="330"/>
        <v>2,29,560</v>
      </c>
      <c r="Q63" s="11" t="str">
        <f t="shared" si="47"/>
        <v>2</v>
      </c>
      <c r="R63" s="11" t="str">
        <f t="shared" si="48"/>
        <v>29,560</v>
      </c>
      <c r="S63" s="11">
        <f t="shared" si="49"/>
        <v>4.1544444444444446E-2</v>
      </c>
      <c r="T63" s="14">
        <f t="shared" si="50"/>
        <v>2421.9844878309709</v>
      </c>
      <c r="U63" s="39">
        <f t="shared" si="51"/>
        <v>-100</v>
      </c>
      <c r="V63" s="105">
        <f t="shared" ref="V63:W63" si="331">V62</f>
        <v>20.399999999999999</v>
      </c>
      <c r="W63" s="105">
        <f t="shared" si="331"/>
        <v>1.5069999999999999</v>
      </c>
      <c r="X63" s="106">
        <f t="shared" si="20"/>
        <v>1.504</v>
      </c>
      <c r="Y63" s="53"/>
      <c r="Z63" s="53"/>
      <c r="AA63" s="107">
        <f t="shared" ref="AA63:AB63" si="332">AA62</f>
        <v>10.015000000000001</v>
      </c>
      <c r="AB63" s="108" t="str">
        <f t="shared" si="332"/>
        <v>22,10,090</v>
      </c>
      <c r="AC63" s="11" t="str">
        <f t="shared" si="54"/>
        <v>22</v>
      </c>
      <c r="AD63" s="11" t="str">
        <f t="shared" si="55"/>
        <v>10,090</v>
      </c>
      <c r="AE63" s="11">
        <f t="shared" si="56"/>
        <v>0.36946944444444441</v>
      </c>
      <c r="AF63" s="14">
        <f t="shared" si="57"/>
        <v>27.106436406558959</v>
      </c>
      <c r="AG63" s="41">
        <f t="shared" si="58"/>
        <v>-100</v>
      </c>
      <c r="AH63" s="105">
        <f t="shared" si="308"/>
        <v>20.3</v>
      </c>
      <c r="AI63" s="105">
        <f t="shared" si="308"/>
        <v>1.5089999999999999</v>
      </c>
      <c r="AJ63" s="105">
        <f t="shared" si="308"/>
        <v>1.504</v>
      </c>
      <c r="AK63" s="53">
        <f t="shared" si="59"/>
        <v>0</v>
      </c>
      <c r="AL63" s="53"/>
      <c r="AM63" s="54">
        <f t="shared" ref="AM63:AN63" si="333">AM62</f>
        <v>5.0129999999999999</v>
      </c>
      <c r="AN63" s="101" t="str">
        <f t="shared" si="333"/>
        <v>17,59,050</v>
      </c>
      <c r="AO63" s="11" t="str">
        <f t="shared" si="61"/>
        <v>17</v>
      </c>
      <c r="AP63" s="11" t="str">
        <f t="shared" si="62"/>
        <v>59,050</v>
      </c>
      <c r="AQ63" s="11">
        <f t="shared" si="63"/>
        <v>0.29973611111111109</v>
      </c>
      <c r="AR63" s="14">
        <f t="shared" si="64"/>
        <v>16.724711551827998</v>
      </c>
      <c r="AS63" s="41">
        <f t="shared" si="65"/>
        <v>-100</v>
      </c>
      <c r="AT63" s="43" t="str">
        <f t="shared" si="66"/>
        <v>NO CONFORME</v>
      </c>
      <c r="AU63" s="8" t="b">
        <f t="shared" si="29"/>
        <v>1</v>
      </c>
      <c r="AV63" s="8" t="b">
        <f t="shared" si="30"/>
        <v>0</v>
      </c>
      <c r="AW63" s="8" t="b">
        <f t="shared" si="31"/>
        <v>1</v>
      </c>
      <c r="AX63" s="8" t="str">
        <f t="shared" si="32"/>
        <v>Qcorrecto</v>
      </c>
      <c r="AY63" s="22" t="str">
        <f t="shared" si="5"/>
        <v>aceptable</v>
      </c>
      <c r="AZ63" s="22" t="str">
        <f t="shared" si="6"/>
        <v>aceptable</v>
      </c>
      <c r="BA63" s="22" t="str">
        <f t="shared" si="33"/>
        <v>aceptable</v>
      </c>
      <c r="BB63" s="25" t="str">
        <f t="shared" si="34"/>
        <v>NO CONFORME</v>
      </c>
      <c r="BC63" s="5" t="str">
        <f t="shared" si="35"/>
        <v>NO CONFORME</v>
      </c>
      <c r="BD63" s="15">
        <f t="shared" si="7"/>
        <v>-1</v>
      </c>
      <c r="BE63" s="15">
        <f t="shared" si="8"/>
        <v>-1</v>
      </c>
      <c r="BF63" s="15">
        <f t="shared" si="9"/>
        <v>-1</v>
      </c>
      <c r="BG63" s="15" t="str">
        <f t="shared" si="10"/>
        <v>-1-1-1</v>
      </c>
      <c r="BH63" s="15" t="str">
        <f t="shared" si="11"/>
        <v>SD</v>
      </c>
      <c r="BI63" s="15" t="str">
        <f t="shared" si="12"/>
        <v>SI</v>
      </c>
      <c r="BJ63" s="15" t="b">
        <f t="shared" si="13"/>
        <v>1</v>
      </c>
      <c r="BK63" s="15" t="str">
        <f t="shared" si="14"/>
        <v>SIGIGUALES</v>
      </c>
      <c r="BL63" s="22" t="str">
        <f t="shared" si="15"/>
        <v>NO CONFORME</v>
      </c>
    </row>
    <row r="64" spans="1:64" ht="15.75" thickBot="1" x14ac:dyDescent="0.3">
      <c r="A64" s="37">
        <v>56</v>
      </c>
      <c r="B64" s="93">
        <f t="shared" ref="B64:E64" si="334">B63</f>
        <v>45919</v>
      </c>
      <c r="C64" s="93">
        <f t="shared" si="334"/>
        <v>45919</v>
      </c>
      <c r="D64" s="94">
        <f t="shared" si="334"/>
        <v>6</v>
      </c>
      <c r="E64" s="95">
        <f t="shared" si="334"/>
        <v>15</v>
      </c>
      <c r="F64" s="52"/>
      <c r="G64" s="96"/>
      <c r="H64" s="97">
        <f t="shared" ref="H64:L64" si="335">H63</f>
        <v>25.6</v>
      </c>
      <c r="I64" s="98">
        <f t="shared" si="335"/>
        <v>0</v>
      </c>
      <c r="J64" s="99">
        <f t="shared" si="335"/>
        <v>20.9</v>
      </c>
      <c r="K64" s="99">
        <f t="shared" si="335"/>
        <v>7.883</v>
      </c>
      <c r="L64" s="99">
        <f t="shared" si="335"/>
        <v>0.55400000000000005</v>
      </c>
      <c r="M64" s="53"/>
      <c r="N64" s="53"/>
      <c r="O64" s="100">
        <f t="shared" ref="O64:P64" si="336">O63</f>
        <v>100.62</v>
      </c>
      <c r="P64" s="101" t="str">
        <f t="shared" si="336"/>
        <v>2,29,560</v>
      </c>
      <c r="Q64" s="11" t="str">
        <f t="shared" si="47"/>
        <v>2</v>
      </c>
      <c r="R64" s="11" t="str">
        <f t="shared" si="48"/>
        <v>29,560</v>
      </c>
      <c r="S64" s="11">
        <f t="shared" si="49"/>
        <v>4.1544444444444446E-2</v>
      </c>
      <c r="T64" s="14">
        <f t="shared" si="50"/>
        <v>2421.9844878309709</v>
      </c>
      <c r="U64" s="39">
        <f t="shared" si="51"/>
        <v>-100</v>
      </c>
      <c r="V64" s="105">
        <f t="shared" ref="V64:W64" si="337">V63</f>
        <v>20.399999999999999</v>
      </c>
      <c r="W64" s="105">
        <f t="shared" si="337"/>
        <v>1.5069999999999999</v>
      </c>
      <c r="X64" s="106">
        <f t="shared" si="20"/>
        <v>1.504</v>
      </c>
      <c r="Y64" s="53"/>
      <c r="Z64" s="53"/>
      <c r="AA64" s="107">
        <f t="shared" ref="AA64:AB64" si="338">AA63</f>
        <v>10.015000000000001</v>
      </c>
      <c r="AB64" s="108" t="str">
        <f t="shared" si="338"/>
        <v>22,10,090</v>
      </c>
      <c r="AC64" s="11" t="str">
        <f t="shared" si="54"/>
        <v>22</v>
      </c>
      <c r="AD64" s="11" t="str">
        <f t="shared" si="55"/>
        <v>10,090</v>
      </c>
      <c r="AE64" s="11">
        <f t="shared" si="56"/>
        <v>0.36946944444444441</v>
      </c>
      <c r="AF64" s="14">
        <f t="shared" si="57"/>
        <v>27.106436406558959</v>
      </c>
      <c r="AG64" s="41">
        <f t="shared" si="58"/>
        <v>-100</v>
      </c>
      <c r="AH64" s="105">
        <f t="shared" si="308"/>
        <v>20.3</v>
      </c>
      <c r="AI64" s="105">
        <f t="shared" si="308"/>
        <v>1.5089999999999999</v>
      </c>
      <c r="AJ64" s="105">
        <f t="shared" si="308"/>
        <v>1.504</v>
      </c>
      <c r="AK64" s="53">
        <f t="shared" si="59"/>
        <v>0</v>
      </c>
      <c r="AL64" s="53"/>
      <c r="AM64" s="54">
        <f t="shared" ref="AM64:AN64" si="339">AM63</f>
        <v>5.0129999999999999</v>
      </c>
      <c r="AN64" s="101" t="str">
        <f t="shared" si="339"/>
        <v>17,59,050</v>
      </c>
      <c r="AO64" s="11" t="str">
        <f t="shared" si="61"/>
        <v>17</v>
      </c>
      <c r="AP64" s="11" t="str">
        <f t="shared" si="62"/>
        <v>59,050</v>
      </c>
      <c r="AQ64" s="11">
        <f t="shared" si="63"/>
        <v>0.29973611111111109</v>
      </c>
      <c r="AR64" s="14">
        <f t="shared" si="64"/>
        <v>16.724711551827998</v>
      </c>
      <c r="AS64" s="41">
        <f t="shared" si="65"/>
        <v>-100</v>
      </c>
      <c r="AT64" s="43" t="str">
        <f t="shared" si="66"/>
        <v>NO CONFORME</v>
      </c>
      <c r="AU64" s="8" t="b">
        <f t="shared" si="29"/>
        <v>1</v>
      </c>
      <c r="AV64" s="8" t="b">
        <f t="shared" si="30"/>
        <v>0</v>
      </c>
      <c r="AW64" s="8" t="b">
        <f t="shared" si="31"/>
        <v>1</v>
      </c>
      <c r="AX64" s="8" t="str">
        <f t="shared" si="32"/>
        <v>Qcorrecto</v>
      </c>
      <c r="AY64" s="22" t="str">
        <f t="shared" si="5"/>
        <v>aceptable</v>
      </c>
      <c r="AZ64" s="22" t="str">
        <f t="shared" si="6"/>
        <v>aceptable</v>
      </c>
      <c r="BA64" s="22" t="str">
        <f t="shared" si="33"/>
        <v>aceptable</v>
      </c>
      <c r="BB64" s="25" t="str">
        <f t="shared" si="34"/>
        <v>NO CONFORME</v>
      </c>
      <c r="BC64" s="5" t="str">
        <f t="shared" si="35"/>
        <v>NO CONFORME</v>
      </c>
      <c r="BD64" s="15">
        <f t="shared" si="7"/>
        <v>-1</v>
      </c>
      <c r="BE64" s="15">
        <f t="shared" si="8"/>
        <v>-1</v>
      </c>
      <c r="BF64" s="15">
        <f t="shared" si="9"/>
        <v>-1</v>
      </c>
      <c r="BG64" s="15" t="str">
        <f t="shared" si="10"/>
        <v>-1-1-1</v>
      </c>
      <c r="BH64" s="15" t="str">
        <f t="shared" si="11"/>
        <v>SD</v>
      </c>
      <c r="BI64" s="15" t="str">
        <f t="shared" si="12"/>
        <v>SI</v>
      </c>
      <c r="BJ64" s="15" t="b">
        <f t="shared" si="13"/>
        <v>1</v>
      </c>
      <c r="BK64" s="15" t="str">
        <f t="shared" si="14"/>
        <v>SIGIGUALES</v>
      </c>
      <c r="BL64" s="22" t="str">
        <f t="shared" si="15"/>
        <v>NO CONFORME</v>
      </c>
    </row>
    <row r="65" spans="1:64" ht="15.75" thickBot="1" x14ac:dyDescent="0.3">
      <c r="A65" s="37">
        <v>57</v>
      </c>
      <c r="B65" s="93">
        <f t="shared" ref="B65:E65" si="340">B64</f>
        <v>45919</v>
      </c>
      <c r="C65" s="93">
        <f t="shared" si="340"/>
        <v>45919</v>
      </c>
      <c r="D65" s="94">
        <f t="shared" si="340"/>
        <v>6</v>
      </c>
      <c r="E65" s="95">
        <f t="shared" si="340"/>
        <v>15</v>
      </c>
      <c r="F65" s="52"/>
      <c r="G65" s="96"/>
      <c r="H65" s="97">
        <f t="shared" ref="H65:L65" si="341">H64</f>
        <v>25.6</v>
      </c>
      <c r="I65" s="98">
        <f t="shared" si="341"/>
        <v>0</v>
      </c>
      <c r="J65" s="99">
        <f t="shared" si="341"/>
        <v>20.9</v>
      </c>
      <c r="K65" s="99">
        <f t="shared" si="341"/>
        <v>7.883</v>
      </c>
      <c r="L65" s="99">
        <f t="shared" si="341"/>
        <v>0.55400000000000005</v>
      </c>
      <c r="M65" s="53"/>
      <c r="N65" s="53"/>
      <c r="O65" s="100">
        <f t="shared" ref="O65:P65" si="342">O64</f>
        <v>100.62</v>
      </c>
      <c r="P65" s="101" t="str">
        <f t="shared" si="342"/>
        <v>2,29,560</v>
      </c>
      <c r="Q65" s="11" t="str">
        <f t="shared" si="47"/>
        <v>2</v>
      </c>
      <c r="R65" s="11" t="str">
        <f t="shared" si="48"/>
        <v>29,560</v>
      </c>
      <c r="S65" s="11">
        <f t="shared" si="49"/>
        <v>4.1544444444444446E-2</v>
      </c>
      <c r="T65" s="14">
        <f t="shared" si="50"/>
        <v>2421.9844878309709</v>
      </c>
      <c r="U65" s="39">
        <f t="shared" si="51"/>
        <v>-100</v>
      </c>
      <c r="V65" s="105">
        <f t="shared" ref="V65:W65" si="343">V64</f>
        <v>20.399999999999999</v>
      </c>
      <c r="W65" s="105">
        <f t="shared" si="343"/>
        <v>1.5069999999999999</v>
      </c>
      <c r="X65" s="106">
        <f t="shared" si="20"/>
        <v>1.504</v>
      </c>
      <c r="Y65" s="53"/>
      <c r="Z65" s="53"/>
      <c r="AA65" s="107">
        <f t="shared" ref="AA65:AB65" si="344">AA64</f>
        <v>10.015000000000001</v>
      </c>
      <c r="AB65" s="108" t="str">
        <f t="shared" si="344"/>
        <v>22,10,090</v>
      </c>
      <c r="AC65" s="11" t="str">
        <f t="shared" si="54"/>
        <v>22</v>
      </c>
      <c r="AD65" s="11" t="str">
        <f t="shared" si="55"/>
        <v>10,090</v>
      </c>
      <c r="AE65" s="11">
        <f t="shared" si="56"/>
        <v>0.36946944444444441</v>
      </c>
      <c r="AF65" s="14">
        <f t="shared" si="57"/>
        <v>27.106436406558959</v>
      </c>
      <c r="AG65" s="41">
        <f t="shared" si="58"/>
        <v>-100</v>
      </c>
      <c r="AH65" s="105">
        <f t="shared" si="308"/>
        <v>20.3</v>
      </c>
      <c r="AI65" s="105">
        <f t="shared" si="308"/>
        <v>1.5089999999999999</v>
      </c>
      <c r="AJ65" s="105">
        <f t="shared" si="308"/>
        <v>1.504</v>
      </c>
      <c r="AK65" s="53">
        <f t="shared" si="59"/>
        <v>0</v>
      </c>
      <c r="AL65" s="53"/>
      <c r="AM65" s="54">
        <f t="shared" ref="AM65:AN65" si="345">AM64</f>
        <v>5.0129999999999999</v>
      </c>
      <c r="AN65" s="101" t="str">
        <f t="shared" si="345"/>
        <v>17,59,050</v>
      </c>
      <c r="AO65" s="11" t="str">
        <f t="shared" si="61"/>
        <v>17</v>
      </c>
      <c r="AP65" s="11" t="str">
        <f t="shared" si="62"/>
        <v>59,050</v>
      </c>
      <c r="AQ65" s="11">
        <f t="shared" si="63"/>
        <v>0.29973611111111109</v>
      </c>
      <c r="AR65" s="14">
        <f t="shared" si="64"/>
        <v>16.724711551827998</v>
      </c>
      <c r="AS65" s="41">
        <f t="shared" si="65"/>
        <v>-100</v>
      </c>
      <c r="AT65" s="43" t="str">
        <f t="shared" si="66"/>
        <v>NO CONFORME</v>
      </c>
      <c r="AU65" s="8" t="b">
        <f t="shared" si="29"/>
        <v>1</v>
      </c>
      <c r="AV65" s="8" t="b">
        <f t="shared" si="30"/>
        <v>0</v>
      </c>
      <c r="AW65" s="8" t="b">
        <f t="shared" si="31"/>
        <v>1</v>
      </c>
      <c r="AX65" s="8" t="str">
        <f t="shared" si="32"/>
        <v>Qcorrecto</v>
      </c>
      <c r="AY65" s="22" t="str">
        <f t="shared" si="5"/>
        <v>aceptable</v>
      </c>
      <c r="AZ65" s="22" t="str">
        <f t="shared" si="6"/>
        <v>aceptable</v>
      </c>
      <c r="BA65" s="22" t="str">
        <f t="shared" si="33"/>
        <v>aceptable</v>
      </c>
      <c r="BB65" s="25" t="str">
        <f t="shared" si="34"/>
        <v>NO CONFORME</v>
      </c>
      <c r="BC65" s="5" t="str">
        <f t="shared" si="35"/>
        <v>NO CONFORME</v>
      </c>
      <c r="BD65" s="15">
        <f t="shared" si="7"/>
        <v>-1</v>
      </c>
      <c r="BE65" s="15">
        <f t="shared" si="8"/>
        <v>-1</v>
      </c>
      <c r="BF65" s="15">
        <f t="shared" si="9"/>
        <v>-1</v>
      </c>
      <c r="BG65" s="15" t="str">
        <f t="shared" si="10"/>
        <v>-1-1-1</v>
      </c>
      <c r="BH65" s="15" t="str">
        <f t="shared" si="11"/>
        <v>SD</v>
      </c>
      <c r="BI65" s="15" t="str">
        <f t="shared" si="12"/>
        <v>SI</v>
      </c>
      <c r="BJ65" s="15" t="b">
        <f t="shared" si="13"/>
        <v>1</v>
      </c>
      <c r="BK65" s="15" t="str">
        <f t="shared" si="14"/>
        <v>SIGIGUALES</v>
      </c>
      <c r="BL65" s="22" t="str">
        <f t="shared" si="15"/>
        <v>NO CONFORME</v>
      </c>
    </row>
    <row r="66" spans="1:64" ht="15.75" thickBot="1" x14ac:dyDescent="0.3">
      <c r="A66" s="37">
        <v>58</v>
      </c>
      <c r="B66" s="93">
        <f t="shared" ref="B66:E66" si="346">B65</f>
        <v>45919</v>
      </c>
      <c r="C66" s="93">
        <f t="shared" si="346"/>
        <v>45919</v>
      </c>
      <c r="D66" s="94">
        <f t="shared" si="346"/>
        <v>6</v>
      </c>
      <c r="E66" s="95">
        <f t="shared" si="346"/>
        <v>15</v>
      </c>
      <c r="F66" s="52"/>
      <c r="G66" s="96"/>
      <c r="H66" s="97">
        <f t="shared" ref="H66:L66" si="347">H65</f>
        <v>25.6</v>
      </c>
      <c r="I66" s="98">
        <f t="shared" si="347"/>
        <v>0</v>
      </c>
      <c r="J66" s="99">
        <f t="shared" si="347"/>
        <v>20.9</v>
      </c>
      <c r="K66" s="99">
        <f t="shared" si="347"/>
        <v>7.883</v>
      </c>
      <c r="L66" s="99">
        <f t="shared" si="347"/>
        <v>0.55400000000000005</v>
      </c>
      <c r="M66" s="53"/>
      <c r="N66" s="53"/>
      <c r="O66" s="100">
        <f t="shared" ref="O66:P66" si="348">O65</f>
        <v>100.62</v>
      </c>
      <c r="P66" s="101" t="str">
        <f t="shared" si="348"/>
        <v>2,29,560</v>
      </c>
      <c r="Q66" s="11" t="str">
        <f t="shared" si="47"/>
        <v>2</v>
      </c>
      <c r="R66" s="11" t="str">
        <f t="shared" si="48"/>
        <v>29,560</v>
      </c>
      <c r="S66" s="11">
        <f t="shared" si="49"/>
        <v>4.1544444444444446E-2</v>
      </c>
      <c r="T66" s="14">
        <f t="shared" si="50"/>
        <v>2421.9844878309709</v>
      </c>
      <c r="U66" s="39">
        <f t="shared" si="51"/>
        <v>-100</v>
      </c>
      <c r="V66" s="105">
        <f t="shared" ref="V66:W66" si="349">V65</f>
        <v>20.399999999999999</v>
      </c>
      <c r="W66" s="105">
        <f t="shared" si="349"/>
        <v>1.5069999999999999</v>
      </c>
      <c r="X66" s="106">
        <f t="shared" si="20"/>
        <v>1.504</v>
      </c>
      <c r="Y66" s="53"/>
      <c r="Z66" s="53"/>
      <c r="AA66" s="107">
        <f t="shared" ref="AA66:AB66" si="350">AA65</f>
        <v>10.015000000000001</v>
      </c>
      <c r="AB66" s="108" t="str">
        <f t="shared" si="350"/>
        <v>22,10,090</v>
      </c>
      <c r="AC66" s="11" t="str">
        <f t="shared" si="54"/>
        <v>22</v>
      </c>
      <c r="AD66" s="11" t="str">
        <f t="shared" si="55"/>
        <v>10,090</v>
      </c>
      <c r="AE66" s="11">
        <f t="shared" si="56"/>
        <v>0.36946944444444441</v>
      </c>
      <c r="AF66" s="14">
        <f t="shared" si="57"/>
        <v>27.106436406558959</v>
      </c>
      <c r="AG66" s="41">
        <f t="shared" si="58"/>
        <v>-100</v>
      </c>
      <c r="AH66" s="105">
        <f t="shared" si="308"/>
        <v>20.3</v>
      </c>
      <c r="AI66" s="105">
        <f t="shared" si="308"/>
        <v>1.5089999999999999</v>
      </c>
      <c r="AJ66" s="105">
        <f t="shared" si="308"/>
        <v>1.504</v>
      </c>
      <c r="AK66" s="53">
        <f t="shared" si="59"/>
        <v>0</v>
      </c>
      <c r="AL66" s="53"/>
      <c r="AM66" s="54">
        <f t="shared" ref="AM66:AN66" si="351">AM65</f>
        <v>5.0129999999999999</v>
      </c>
      <c r="AN66" s="101" t="str">
        <f t="shared" si="351"/>
        <v>17,59,050</v>
      </c>
      <c r="AO66" s="11" t="str">
        <f t="shared" si="61"/>
        <v>17</v>
      </c>
      <c r="AP66" s="11" t="str">
        <f t="shared" si="62"/>
        <v>59,050</v>
      </c>
      <c r="AQ66" s="11">
        <f t="shared" si="63"/>
        <v>0.29973611111111109</v>
      </c>
      <c r="AR66" s="14">
        <f t="shared" si="64"/>
        <v>16.724711551827998</v>
      </c>
      <c r="AS66" s="41">
        <f t="shared" si="65"/>
        <v>-100</v>
      </c>
      <c r="AT66" s="43" t="str">
        <f t="shared" si="66"/>
        <v>NO CONFORME</v>
      </c>
      <c r="AU66" s="8" t="b">
        <f t="shared" si="29"/>
        <v>1</v>
      </c>
      <c r="AV66" s="8" t="b">
        <f t="shared" si="30"/>
        <v>0</v>
      </c>
      <c r="AW66" s="8" t="b">
        <f t="shared" si="31"/>
        <v>1</v>
      </c>
      <c r="AX66" s="8" t="str">
        <f t="shared" si="32"/>
        <v>Qcorrecto</v>
      </c>
      <c r="AY66" s="22" t="str">
        <f t="shared" si="5"/>
        <v>aceptable</v>
      </c>
      <c r="AZ66" s="22" t="str">
        <f t="shared" si="6"/>
        <v>aceptable</v>
      </c>
      <c r="BA66" s="22" t="str">
        <f t="shared" si="33"/>
        <v>aceptable</v>
      </c>
      <c r="BB66" s="25" t="str">
        <f t="shared" si="34"/>
        <v>NO CONFORME</v>
      </c>
      <c r="BC66" s="5" t="str">
        <f t="shared" si="35"/>
        <v>NO CONFORME</v>
      </c>
      <c r="BD66" s="15">
        <f t="shared" si="7"/>
        <v>-1</v>
      </c>
      <c r="BE66" s="15">
        <f t="shared" si="8"/>
        <v>-1</v>
      </c>
      <c r="BF66" s="15">
        <f t="shared" si="9"/>
        <v>-1</v>
      </c>
      <c r="BG66" s="15" t="str">
        <f t="shared" si="10"/>
        <v>-1-1-1</v>
      </c>
      <c r="BH66" s="15" t="str">
        <f t="shared" si="11"/>
        <v>SD</v>
      </c>
      <c r="BI66" s="15" t="str">
        <f t="shared" si="12"/>
        <v>SI</v>
      </c>
      <c r="BJ66" s="15" t="b">
        <f t="shared" si="13"/>
        <v>1</v>
      </c>
      <c r="BK66" s="15" t="str">
        <f t="shared" si="14"/>
        <v>SIGIGUALES</v>
      </c>
      <c r="BL66" s="22" t="str">
        <f t="shared" si="15"/>
        <v>NO CONFORME</v>
      </c>
    </row>
    <row r="67" spans="1:64" ht="15.75" thickBot="1" x14ac:dyDescent="0.3">
      <c r="A67" s="37">
        <v>59</v>
      </c>
      <c r="B67" s="93">
        <f t="shared" ref="B67:E67" si="352">B66</f>
        <v>45919</v>
      </c>
      <c r="C67" s="93">
        <f t="shared" si="352"/>
        <v>45919</v>
      </c>
      <c r="D67" s="94">
        <f t="shared" si="352"/>
        <v>6</v>
      </c>
      <c r="E67" s="95">
        <f t="shared" si="352"/>
        <v>15</v>
      </c>
      <c r="F67" s="52"/>
      <c r="G67" s="96"/>
      <c r="H67" s="97">
        <f t="shared" ref="H67:L67" si="353">H66</f>
        <v>25.6</v>
      </c>
      <c r="I67" s="98">
        <f t="shared" si="353"/>
        <v>0</v>
      </c>
      <c r="J67" s="99">
        <f t="shared" si="353"/>
        <v>20.9</v>
      </c>
      <c r="K67" s="99">
        <f t="shared" si="353"/>
        <v>7.883</v>
      </c>
      <c r="L67" s="99">
        <f t="shared" si="353"/>
        <v>0.55400000000000005</v>
      </c>
      <c r="M67" s="53"/>
      <c r="N67" s="53"/>
      <c r="O67" s="100">
        <f t="shared" ref="O67:P67" si="354">O66</f>
        <v>100.62</v>
      </c>
      <c r="P67" s="101" t="str">
        <f t="shared" si="354"/>
        <v>2,29,560</v>
      </c>
      <c r="Q67" s="11" t="str">
        <f t="shared" si="47"/>
        <v>2</v>
      </c>
      <c r="R67" s="11" t="str">
        <f t="shared" si="48"/>
        <v>29,560</v>
      </c>
      <c r="S67" s="11">
        <f t="shared" si="49"/>
        <v>4.1544444444444446E-2</v>
      </c>
      <c r="T67" s="14">
        <f t="shared" si="50"/>
        <v>2421.9844878309709</v>
      </c>
      <c r="U67" s="39">
        <f t="shared" si="51"/>
        <v>-100</v>
      </c>
      <c r="V67" s="105">
        <f t="shared" ref="V67:W67" si="355">V66</f>
        <v>20.399999999999999</v>
      </c>
      <c r="W67" s="105">
        <f t="shared" si="355"/>
        <v>1.5069999999999999</v>
      </c>
      <c r="X67" s="106">
        <f t="shared" si="20"/>
        <v>1.504</v>
      </c>
      <c r="Y67" s="53"/>
      <c r="Z67" s="53"/>
      <c r="AA67" s="107">
        <f t="shared" ref="AA67:AB67" si="356">AA66</f>
        <v>10.015000000000001</v>
      </c>
      <c r="AB67" s="108" t="str">
        <f t="shared" si="356"/>
        <v>22,10,090</v>
      </c>
      <c r="AC67" s="11" t="str">
        <f t="shared" si="54"/>
        <v>22</v>
      </c>
      <c r="AD67" s="11" t="str">
        <f t="shared" si="55"/>
        <v>10,090</v>
      </c>
      <c r="AE67" s="11">
        <f t="shared" si="56"/>
        <v>0.36946944444444441</v>
      </c>
      <c r="AF67" s="14">
        <f t="shared" si="57"/>
        <v>27.106436406558959</v>
      </c>
      <c r="AG67" s="41">
        <f t="shared" si="58"/>
        <v>-100</v>
      </c>
      <c r="AH67" s="105">
        <f t="shared" si="308"/>
        <v>20.3</v>
      </c>
      <c r="AI67" s="105">
        <f t="shared" si="308"/>
        <v>1.5089999999999999</v>
      </c>
      <c r="AJ67" s="105">
        <f t="shared" si="308"/>
        <v>1.504</v>
      </c>
      <c r="AK67" s="53">
        <f t="shared" si="59"/>
        <v>0</v>
      </c>
      <c r="AL67" s="53"/>
      <c r="AM67" s="54">
        <f t="shared" ref="AM67:AN67" si="357">AM66</f>
        <v>5.0129999999999999</v>
      </c>
      <c r="AN67" s="101" t="str">
        <f t="shared" si="357"/>
        <v>17,59,050</v>
      </c>
      <c r="AO67" s="11" t="str">
        <f t="shared" si="61"/>
        <v>17</v>
      </c>
      <c r="AP67" s="11" t="str">
        <f t="shared" si="62"/>
        <v>59,050</v>
      </c>
      <c r="AQ67" s="11">
        <f t="shared" si="63"/>
        <v>0.29973611111111109</v>
      </c>
      <c r="AR67" s="14">
        <f t="shared" si="64"/>
        <v>16.724711551827998</v>
      </c>
      <c r="AS67" s="41">
        <f t="shared" si="65"/>
        <v>-100</v>
      </c>
      <c r="AT67" s="43" t="str">
        <f t="shared" si="66"/>
        <v>NO CONFORME</v>
      </c>
      <c r="AU67" s="8" t="b">
        <f t="shared" si="29"/>
        <v>1</v>
      </c>
      <c r="AV67" s="8" t="b">
        <f t="shared" si="30"/>
        <v>0</v>
      </c>
      <c r="AW67" s="8" t="b">
        <f t="shared" si="31"/>
        <v>1</v>
      </c>
      <c r="AX67" s="8" t="str">
        <f t="shared" si="32"/>
        <v>Qcorrecto</v>
      </c>
      <c r="AY67" s="22" t="str">
        <f t="shared" si="5"/>
        <v>aceptable</v>
      </c>
      <c r="AZ67" s="22" t="str">
        <f t="shared" si="6"/>
        <v>aceptable</v>
      </c>
      <c r="BA67" s="22" t="str">
        <f t="shared" si="33"/>
        <v>aceptable</v>
      </c>
      <c r="BB67" s="25" t="str">
        <f t="shared" si="34"/>
        <v>NO CONFORME</v>
      </c>
      <c r="BC67" s="5" t="str">
        <f t="shared" si="35"/>
        <v>NO CONFORME</v>
      </c>
      <c r="BD67" s="15">
        <f t="shared" si="7"/>
        <v>-1</v>
      </c>
      <c r="BE67" s="15">
        <f t="shared" si="8"/>
        <v>-1</v>
      </c>
      <c r="BF67" s="15">
        <f t="shared" si="9"/>
        <v>-1</v>
      </c>
      <c r="BG67" s="15" t="str">
        <f t="shared" si="10"/>
        <v>-1-1-1</v>
      </c>
      <c r="BH67" s="15" t="str">
        <f t="shared" si="11"/>
        <v>SD</v>
      </c>
      <c r="BI67" s="15" t="str">
        <f t="shared" si="12"/>
        <v>SI</v>
      </c>
      <c r="BJ67" s="15" t="b">
        <f t="shared" si="13"/>
        <v>1</v>
      </c>
      <c r="BK67" s="15" t="str">
        <f t="shared" si="14"/>
        <v>SIGIGUALES</v>
      </c>
      <c r="BL67" s="22" t="str">
        <f t="shared" si="15"/>
        <v>NO CONFORME</v>
      </c>
    </row>
    <row r="68" spans="1:64" ht="15.75" thickBot="1" x14ac:dyDescent="0.3">
      <c r="A68" s="37">
        <v>60</v>
      </c>
      <c r="B68" s="93">
        <f t="shared" ref="B68:E68" si="358">B67</f>
        <v>45919</v>
      </c>
      <c r="C68" s="93">
        <f t="shared" si="358"/>
        <v>45919</v>
      </c>
      <c r="D68" s="94">
        <f t="shared" si="358"/>
        <v>6</v>
      </c>
      <c r="E68" s="95">
        <f t="shared" si="358"/>
        <v>15</v>
      </c>
      <c r="F68" s="52"/>
      <c r="G68" s="96"/>
      <c r="H68" s="97">
        <f t="shared" ref="H68:L68" si="359">H67</f>
        <v>25.6</v>
      </c>
      <c r="I68" s="98">
        <f t="shared" si="359"/>
        <v>0</v>
      </c>
      <c r="J68" s="99">
        <f t="shared" si="359"/>
        <v>20.9</v>
      </c>
      <c r="K68" s="99">
        <f t="shared" si="359"/>
        <v>7.883</v>
      </c>
      <c r="L68" s="99">
        <f t="shared" si="359"/>
        <v>0.55400000000000005</v>
      </c>
      <c r="M68" s="53"/>
      <c r="N68" s="53"/>
      <c r="O68" s="100">
        <f t="shared" ref="O68:P68" si="360">O67</f>
        <v>100.62</v>
      </c>
      <c r="P68" s="101" t="str">
        <f t="shared" si="360"/>
        <v>2,29,560</v>
      </c>
      <c r="Q68" s="11" t="str">
        <f t="shared" si="47"/>
        <v>2</v>
      </c>
      <c r="R68" s="11" t="str">
        <f t="shared" si="48"/>
        <v>29,560</v>
      </c>
      <c r="S68" s="11">
        <f t="shared" si="49"/>
        <v>4.1544444444444446E-2</v>
      </c>
      <c r="T68" s="14">
        <f t="shared" si="50"/>
        <v>2421.9844878309709</v>
      </c>
      <c r="U68" s="39">
        <f t="shared" si="51"/>
        <v>-100</v>
      </c>
      <c r="V68" s="105">
        <f t="shared" ref="V68:W68" si="361">V67</f>
        <v>20.399999999999999</v>
      </c>
      <c r="W68" s="105">
        <f t="shared" si="361"/>
        <v>1.5069999999999999</v>
      </c>
      <c r="X68" s="106">
        <f t="shared" si="20"/>
        <v>1.504</v>
      </c>
      <c r="Y68" s="53"/>
      <c r="Z68" s="53"/>
      <c r="AA68" s="107">
        <f t="shared" ref="AA68:AB68" si="362">AA67</f>
        <v>10.015000000000001</v>
      </c>
      <c r="AB68" s="108" t="str">
        <f t="shared" si="362"/>
        <v>22,10,090</v>
      </c>
      <c r="AC68" s="11" t="str">
        <f t="shared" si="54"/>
        <v>22</v>
      </c>
      <c r="AD68" s="11" t="str">
        <f t="shared" si="55"/>
        <v>10,090</v>
      </c>
      <c r="AE68" s="11">
        <f t="shared" si="56"/>
        <v>0.36946944444444441</v>
      </c>
      <c r="AF68" s="14">
        <f t="shared" si="57"/>
        <v>27.106436406558959</v>
      </c>
      <c r="AG68" s="41">
        <f t="shared" si="58"/>
        <v>-100</v>
      </c>
      <c r="AH68" s="105">
        <f t="shared" si="308"/>
        <v>20.3</v>
      </c>
      <c r="AI68" s="105">
        <f t="shared" si="308"/>
        <v>1.5089999999999999</v>
      </c>
      <c r="AJ68" s="105">
        <f t="shared" si="308"/>
        <v>1.504</v>
      </c>
      <c r="AK68" s="53">
        <f t="shared" si="59"/>
        <v>0</v>
      </c>
      <c r="AL68" s="53"/>
      <c r="AM68" s="54">
        <f t="shared" ref="AM68:AN68" si="363">AM67</f>
        <v>5.0129999999999999</v>
      </c>
      <c r="AN68" s="101" t="str">
        <f t="shared" si="363"/>
        <v>17,59,050</v>
      </c>
      <c r="AO68" s="11" t="str">
        <f t="shared" si="61"/>
        <v>17</v>
      </c>
      <c r="AP68" s="11" t="str">
        <f t="shared" si="62"/>
        <v>59,050</v>
      </c>
      <c r="AQ68" s="11">
        <f t="shared" si="63"/>
        <v>0.29973611111111109</v>
      </c>
      <c r="AR68" s="14">
        <f t="shared" si="64"/>
        <v>16.724711551827998</v>
      </c>
      <c r="AS68" s="41">
        <f t="shared" si="65"/>
        <v>-100</v>
      </c>
      <c r="AT68" s="43" t="str">
        <f t="shared" si="66"/>
        <v>NO CONFORME</v>
      </c>
      <c r="AU68" s="8" t="b">
        <f t="shared" si="29"/>
        <v>1</v>
      </c>
      <c r="AV68" s="8" t="b">
        <f t="shared" si="30"/>
        <v>0</v>
      </c>
      <c r="AW68" s="8" t="b">
        <f t="shared" si="31"/>
        <v>1</v>
      </c>
      <c r="AX68" s="8" t="str">
        <f t="shared" si="32"/>
        <v>Qcorrecto</v>
      </c>
      <c r="AY68" s="22" t="str">
        <f t="shared" si="5"/>
        <v>aceptable</v>
      </c>
      <c r="AZ68" s="22" t="str">
        <f t="shared" si="6"/>
        <v>aceptable</v>
      </c>
      <c r="BA68" s="22" t="str">
        <f t="shared" si="33"/>
        <v>aceptable</v>
      </c>
      <c r="BB68" s="25" t="str">
        <f t="shared" si="34"/>
        <v>NO CONFORME</v>
      </c>
      <c r="BC68" s="5" t="str">
        <f t="shared" si="35"/>
        <v>NO CONFORME</v>
      </c>
      <c r="BD68" s="15">
        <f t="shared" si="7"/>
        <v>-1</v>
      </c>
      <c r="BE68" s="15">
        <f t="shared" si="8"/>
        <v>-1</v>
      </c>
      <c r="BF68" s="15">
        <f t="shared" si="9"/>
        <v>-1</v>
      </c>
      <c r="BG68" s="15" t="str">
        <f t="shared" si="10"/>
        <v>-1-1-1</v>
      </c>
      <c r="BH68" s="15" t="str">
        <f t="shared" si="11"/>
        <v>SD</v>
      </c>
      <c r="BI68" s="15" t="str">
        <f t="shared" si="12"/>
        <v>SI</v>
      </c>
      <c r="BJ68" s="15" t="b">
        <f t="shared" si="13"/>
        <v>1</v>
      </c>
      <c r="BK68" s="15" t="str">
        <f t="shared" si="14"/>
        <v>SIGIGUALES</v>
      </c>
      <c r="BL68" s="22" t="str">
        <f t="shared" si="15"/>
        <v>NO CONFORME</v>
      </c>
    </row>
    <row r="69" spans="1:64" ht="15.75" thickBot="1" x14ac:dyDescent="0.3">
      <c r="A69" s="37">
        <v>61</v>
      </c>
      <c r="B69" s="93">
        <f t="shared" ref="B69:E69" si="364">B68</f>
        <v>45919</v>
      </c>
      <c r="C69" s="93">
        <f t="shared" si="364"/>
        <v>45919</v>
      </c>
      <c r="D69" s="94">
        <f t="shared" si="364"/>
        <v>6</v>
      </c>
      <c r="E69" s="95">
        <f t="shared" si="364"/>
        <v>15</v>
      </c>
      <c r="F69" s="52"/>
      <c r="G69" s="96"/>
      <c r="H69" s="97">
        <f t="shared" ref="H69:L69" si="365">H68</f>
        <v>25.6</v>
      </c>
      <c r="I69" s="98">
        <f t="shared" si="365"/>
        <v>0</v>
      </c>
      <c r="J69" s="99">
        <f t="shared" si="365"/>
        <v>20.9</v>
      </c>
      <c r="K69" s="99">
        <f t="shared" si="365"/>
        <v>7.883</v>
      </c>
      <c r="L69" s="99">
        <f t="shared" si="365"/>
        <v>0.55400000000000005</v>
      </c>
      <c r="M69" s="53"/>
      <c r="N69" s="53"/>
      <c r="O69" s="100">
        <f t="shared" ref="O69:P69" si="366">O68</f>
        <v>100.62</v>
      </c>
      <c r="P69" s="101" t="str">
        <f t="shared" si="366"/>
        <v>2,29,560</v>
      </c>
      <c r="Q69" s="11" t="str">
        <f t="shared" si="47"/>
        <v>2</v>
      </c>
      <c r="R69" s="11" t="str">
        <f t="shared" si="48"/>
        <v>29,560</v>
      </c>
      <c r="S69" s="11">
        <f t="shared" si="49"/>
        <v>4.1544444444444446E-2</v>
      </c>
      <c r="T69" s="14">
        <f t="shared" si="50"/>
        <v>2421.9844878309709</v>
      </c>
      <c r="U69" s="39">
        <f t="shared" si="51"/>
        <v>-100</v>
      </c>
      <c r="V69" s="105">
        <f t="shared" ref="V69:W69" si="367">V68</f>
        <v>20.399999999999999</v>
      </c>
      <c r="W69" s="105">
        <f t="shared" si="367"/>
        <v>1.5069999999999999</v>
      </c>
      <c r="X69" s="106">
        <f t="shared" si="20"/>
        <v>1.504</v>
      </c>
      <c r="Y69" s="53"/>
      <c r="Z69" s="53"/>
      <c r="AA69" s="107">
        <f t="shared" ref="AA69:AB69" si="368">AA68</f>
        <v>10.015000000000001</v>
      </c>
      <c r="AB69" s="108" t="str">
        <f t="shared" si="368"/>
        <v>22,10,090</v>
      </c>
      <c r="AC69" s="11" t="str">
        <f t="shared" si="54"/>
        <v>22</v>
      </c>
      <c r="AD69" s="11" t="str">
        <f t="shared" si="55"/>
        <v>10,090</v>
      </c>
      <c r="AE69" s="11">
        <f t="shared" si="56"/>
        <v>0.36946944444444441</v>
      </c>
      <c r="AF69" s="14">
        <f t="shared" si="57"/>
        <v>27.106436406558959</v>
      </c>
      <c r="AG69" s="41">
        <f t="shared" si="58"/>
        <v>-100</v>
      </c>
      <c r="AH69" s="105">
        <f t="shared" si="308"/>
        <v>20.3</v>
      </c>
      <c r="AI69" s="105">
        <f t="shared" si="308"/>
        <v>1.5089999999999999</v>
      </c>
      <c r="AJ69" s="105">
        <f t="shared" si="308"/>
        <v>1.504</v>
      </c>
      <c r="AK69" s="53">
        <f t="shared" si="59"/>
        <v>0</v>
      </c>
      <c r="AL69" s="53"/>
      <c r="AM69" s="54">
        <f t="shared" ref="AM69:AN69" si="369">AM68</f>
        <v>5.0129999999999999</v>
      </c>
      <c r="AN69" s="101" t="str">
        <f t="shared" si="369"/>
        <v>17,59,050</v>
      </c>
      <c r="AO69" s="11" t="str">
        <f t="shared" si="61"/>
        <v>17</v>
      </c>
      <c r="AP69" s="11" t="str">
        <f t="shared" si="62"/>
        <v>59,050</v>
      </c>
      <c r="AQ69" s="11">
        <f t="shared" si="63"/>
        <v>0.29973611111111109</v>
      </c>
      <c r="AR69" s="14">
        <f t="shared" si="64"/>
        <v>16.724711551827998</v>
      </c>
      <c r="AS69" s="41">
        <f t="shared" si="65"/>
        <v>-100</v>
      </c>
      <c r="AT69" s="43" t="str">
        <f t="shared" si="66"/>
        <v>NO CONFORME</v>
      </c>
      <c r="AU69" s="8" t="b">
        <f t="shared" si="29"/>
        <v>1</v>
      </c>
      <c r="AV69" s="8" t="b">
        <f t="shared" si="30"/>
        <v>0</v>
      </c>
      <c r="AW69" s="8" t="b">
        <f t="shared" si="31"/>
        <v>1</v>
      </c>
      <c r="AX69" s="8" t="str">
        <f t="shared" si="32"/>
        <v>Qcorrecto</v>
      </c>
      <c r="AY69" s="22" t="str">
        <f t="shared" si="5"/>
        <v>aceptable</v>
      </c>
      <c r="AZ69" s="22" t="str">
        <f t="shared" si="6"/>
        <v>aceptable</v>
      </c>
      <c r="BA69" s="22" t="str">
        <f t="shared" si="33"/>
        <v>aceptable</v>
      </c>
      <c r="BB69" s="25" t="str">
        <f t="shared" si="34"/>
        <v>NO CONFORME</v>
      </c>
      <c r="BC69" s="5" t="str">
        <f t="shared" si="35"/>
        <v>NO CONFORME</v>
      </c>
      <c r="BD69" s="15">
        <f t="shared" si="7"/>
        <v>-1</v>
      </c>
      <c r="BE69" s="15">
        <f t="shared" si="8"/>
        <v>-1</v>
      </c>
      <c r="BF69" s="15">
        <f t="shared" si="9"/>
        <v>-1</v>
      </c>
      <c r="BG69" s="15" t="str">
        <f t="shared" si="10"/>
        <v>-1-1-1</v>
      </c>
      <c r="BH69" s="15" t="str">
        <f t="shared" si="11"/>
        <v>SD</v>
      </c>
      <c r="BI69" s="15" t="str">
        <f t="shared" si="12"/>
        <v>SI</v>
      </c>
      <c r="BJ69" s="15" t="b">
        <f t="shared" si="13"/>
        <v>1</v>
      </c>
      <c r="BK69" s="15" t="str">
        <f t="shared" si="14"/>
        <v>SIGIGUALES</v>
      </c>
      <c r="BL69" s="22" t="str">
        <f t="shared" si="15"/>
        <v>NO CONFORME</v>
      </c>
    </row>
    <row r="70" spans="1:64" ht="15.75" thickBot="1" x14ac:dyDescent="0.3">
      <c r="A70" s="37">
        <v>62</v>
      </c>
      <c r="B70" s="93">
        <f t="shared" ref="B70:E70" si="370">B69</f>
        <v>45919</v>
      </c>
      <c r="C70" s="93">
        <f t="shared" si="370"/>
        <v>45919</v>
      </c>
      <c r="D70" s="94">
        <f t="shared" si="370"/>
        <v>6</v>
      </c>
      <c r="E70" s="95">
        <f t="shared" si="370"/>
        <v>15</v>
      </c>
      <c r="F70" s="52"/>
      <c r="G70" s="96"/>
      <c r="H70" s="97">
        <f t="shared" ref="H70:L70" si="371">H69</f>
        <v>25.6</v>
      </c>
      <c r="I70" s="98">
        <f t="shared" si="371"/>
        <v>0</v>
      </c>
      <c r="J70" s="99">
        <f t="shared" si="371"/>
        <v>20.9</v>
      </c>
      <c r="K70" s="99">
        <f t="shared" si="371"/>
        <v>7.883</v>
      </c>
      <c r="L70" s="99">
        <f t="shared" si="371"/>
        <v>0.55400000000000005</v>
      </c>
      <c r="M70" s="53"/>
      <c r="N70" s="53"/>
      <c r="O70" s="100">
        <f t="shared" ref="O70:P70" si="372">O69</f>
        <v>100.62</v>
      </c>
      <c r="P70" s="101" t="str">
        <f t="shared" si="372"/>
        <v>2,29,560</v>
      </c>
      <c r="Q70" s="11" t="str">
        <f t="shared" si="47"/>
        <v>2</v>
      </c>
      <c r="R70" s="11" t="str">
        <f t="shared" si="48"/>
        <v>29,560</v>
      </c>
      <c r="S70" s="11">
        <f t="shared" si="49"/>
        <v>4.1544444444444446E-2</v>
      </c>
      <c r="T70" s="14">
        <f t="shared" si="50"/>
        <v>2421.9844878309709</v>
      </c>
      <c r="U70" s="39">
        <f t="shared" si="51"/>
        <v>-100</v>
      </c>
      <c r="V70" s="105">
        <f t="shared" ref="V70:W70" si="373">V69</f>
        <v>20.399999999999999</v>
      </c>
      <c r="W70" s="105">
        <f t="shared" si="373"/>
        <v>1.5069999999999999</v>
      </c>
      <c r="X70" s="106">
        <f t="shared" si="20"/>
        <v>1.504</v>
      </c>
      <c r="Y70" s="53"/>
      <c r="Z70" s="53"/>
      <c r="AA70" s="107">
        <f t="shared" ref="AA70:AB70" si="374">AA69</f>
        <v>10.015000000000001</v>
      </c>
      <c r="AB70" s="108" t="str">
        <f t="shared" si="374"/>
        <v>22,10,090</v>
      </c>
      <c r="AC70" s="11" t="str">
        <f t="shared" si="54"/>
        <v>22</v>
      </c>
      <c r="AD70" s="11" t="str">
        <f t="shared" si="55"/>
        <v>10,090</v>
      </c>
      <c r="AE70" s="11">
        <f t="shared" si="56"/>
        <v>0.36946944444444441</v>
      </c>
      <c r="AF70" s="14">
        <f t="shared" si="57"/>
        <v>27.106436406558959</v>
      </c>
      <c r="AG70" s="41">
        <f t="shared" si="58"/>
        <v>-100</v>
      </c>
      <c r="AH70" s="105">
        <f t="shared" si="308"/>
        <v>20.3</v>
      </c>
      <c r="AI70" s="105">
        <f t="shared" si="308"/>
        <v>1.5089999999999999</v>
      </c>
      <c r="AJ70" s="105">
        <f t="shared" si="308"/>
        <v>1.504</v>
      </c>
      <c r="AK70" s="53">
        <f t="shared" si="59"/>
        <v>0</v>
      </c>
      <c r="AL70" s="53"/>
      <c r="AM70" s="54">
        <f t="shared" ref="AM70:AN70" si="375">AM69</f>
        <v>5.0129999999999999</v>
      </c>
      <c r="AN70" s="101" t="str">
        <f t="shared" si="375"/>
        <v>17,59,050</v>
      </c>
      <c r="AO70" s="11" t="str">
        <f t="shared" si="61"/>
        <v>17</v>
      </c>
      <c r="AP70" s="11" t="str">
        <f t="shared" si="62"/>
        <v>59,050</v>
      </c>
      <c r="AQ70" s="11">
        <f t="shared" si="63"/>
        <v>0.29973611111111109</v>
      </c>
      <c r="AR70" s="14">
        <f t="shared" si="64"/>
        <v>16.724711551827998</v>
      </c>
      <c r="AS70" s="41">
        <f t="shared" si="65"/>
        <v>-100</v>
      </c>
      <c r="AT70" s="43" t="str">
        <f t="shared" si="66"/>
        <v>NO CONFORME</v>
      </c>
      <c r="AU70" s="8" t="b">
        <f t="shared" si="29"/>
        <v>1</v>
      </c>
      <c r="AV70" s="8" t="b">
        <f t="shared" si="30"/>
        <v>0</v>
      </c>
      <c r="AW70" s="8" t="b">
        <f t="shared" si="31"/>
        <v>1</v>
      </c>
      <c r="AX70" s="8" t="str">
        <f t="shared" si="32"/>
        <v>Qcorrecto</v>
      </c>
      <c r="AY70" s="22" t="str">
        <f t="shared" si="5"/>
        <v>aceptable</v>
      </c>
      <c r="AZ70" s="22" t="str">
        <f t="shared" si="6"/>
        <v>aceptable</v>
      </c>
      <c r="BA70" s="22" t="str">
        <f t="shared" si="33"/>
        <v>aceptable</v>
      </c>
      <c r="BB70" s="25" t="str">
        <f t="shared" si="34"/>
        <v>NO CONFORME</v>
      </c>
      <c r="BC70" s="5" t="str">
        <f t="shared" si="35"/>
        <v>NO CONFORME</v>
      </c>
      <c r="BD70" s="15">
        <f t="shared" si="7"/>
        <v>-1</v>
      </c>
      <c r="BE70" s="15">
        <f t="shared" si="8"/>
        <v>-1</v>
      </c>
      <c r="BF70" s="15">
        <f t="shared" si="9"/>
        <v>-1</v>
      </c>
      <c r="BG70" s="15" t="str">
        <f t="shared" si="10"/>
        <v>-1-1-1</v>
      </c>
      <c r="BH70" s="15" t="str">
        <f t="shared" si="11"/>
        <v>SD</v>
      </c>
      <c r="BI70" s="15" t="str">
        <f t="shared" si="12"/>
        <v>SI</v>
      </c>
      <c r="BJ70" s="15" t="b">
        <f t="shared" si="13"/>
        <v>1</v>
      </c>
      <c r="BK70" s="15" t="str">
        <f t="shared" si="14"/>
        <v>SIGIGUALES</v>
      </c>
      <c r="BL70" s="22" t="str">
        <f t="shared" si="15"/>
        <v>NO CONFORME</v>
      </c>
    </row>
    <row r="71" spans="1:64" ht="15.75" thickBot="1" x14ac:dyDescent="0.3">
      <c r="A71" s="37">
        <v>63</v>
      </c>
      <c r="B71" s="93">
        <f t="shared" ref="B71:E71" si="376">B70</f>
        <v>45919</v>
      </c>
      <c r="C71" s="93">
        <f t="shared" si="376"/>
        <v>45919</v>
      </c>
      <c r="D71" s="94">
        <f t="shared" si="376"/>
        <v>6</v>
      </c>
      <c r="E71" s="95">
        <f t="shared" si="376"/>
        <v>15</v>
      </c>
      <c r="F71" s="52"/>
      <c r="G71" s="96"/>
      <c r="H71" s="97">
        <f t="shared" ref="H71:L71" si="377">H70</f>
        <v>25.6</v>
      </c>
      <c r="I71" s="98">
        <f t="shared" si="377"/>
        <v>0</v>
      </c>
      <c r="J71" s="99">
        <f t="shared" si="377"/>
        <v>20.9</v>
      </c>
      <c r="K71" s="99">
        <f t="shared" si="377"/>
        <v>7.883</v>
      </c>
      <c r="L71" s="99">
        <f t="shared" si="377"/>
        <v>0.55400000000000005</v>
      </c>
      <c r="M71" s="53"/>
      <c r="N71" s="53"/>
      <c r="O71" s="100">
        <f t="shared" ref="O71:P71" si="378">O70</f>
        <v>100.62</v>
      </c>
      <c r="P71" s="101" t="str">
        <f t="shared" si="378"/>
        <v>2,29,560</v>
      </c>
      <c r="Q71" s="11" t="str">
        <f t="shared" si="47"/>
        <v>2</v>
      </c>
      <c r="R71" s="11" t="str">
        <f t="shared" si="48"/>
        <v>29,560</v>
      </c>
      <c r="S71" s="11">
        <f t="shared" si="49"/>
        <v>4.1544444444444446E-2</v>
      </c>
      <c r="T71" s="14">
        <f t="shared" si="50"/>
        <v>2421.9844878309709</v>
      </c>
      <c r="U71" s="39">
        <f t="shared" si="51"/>
        <v>-100</v>
      </c>
      <c r="V71" s="105">
        <f t="shared" ref="V71:W71" si="379">V70</f>
        <v>20.399999999999999</v>
      </c>
      <c r="W71" s="105">
        <f t="shared" si="379"/>
        <v>1.5069999999999999</v>
      </c>
      <c r="X71" s="106">
        <f t="shared" si="20"/>
        <v>1.504</v>
      </c>
      <c r="Y71" s="53"/>
      <c r="Z71" s="53"/>
      <c r="AA71" s="107">
        <f t="shared" ref="AA71:AB71" si="380">AA70</f>
        <v>10.015000000000001</v>
      </c>
      <c r="AB71" s="108" t="str">
        <f t="shared" si="380"/>
        <v>22,10,090</v>
      </c>
      <c r="AC71" s="11" t="str">
        <f t="shared" si="54"/>
        <v>22</v>
      </c>
      <c r="AD71" s="11" t="str">
        <f t="shared" si="55"/>
        <v>10,090</v>
      </c>
      <c r="AE71" s="11">
        <f t="shared" si="56"/>
        <v>0.36946944444444441</v>
      </c>
      <c r="AF71" s="14">
        <f t="shared" si="57"/>
        <v>27.106436406558959</v>
      </c>
      <c r="AG71" s="41">
        <f t="shared" si="58"/>
        <v>-100</v>
      </c>
      <c r="AH71" s="105">
        <f t="shared" si="308"/>
        <v>20.3</v>
      </c>
      <c r="AI71" s="105">
        <f t="shared" si="308"/>
        <v>1.5089999999999999</v>
      </c>
      <c r="AJ71" s="105">
        <f t="shared" si="308"/>
        <v>1.504</v>
      </c>
      <c r="AK71" s="53">
        <f t="shared" si="59"/>
        <v>0</v>
      </c>
      <c r="AL71" s="53"/>
      <c r="AM71" s="54">
        <f t="shared" ref="AM71:AN71" si="381">AM70</f>
        <v>5.0129999999999999</v>
      </c>
      <c r="AN71" s="101" t="str">
        <f t="shared" si="381"/>
        <v>17,59,050</v>
      </c>
      <c r="AO71" s="11" t="str">
        <f t="shared" si="61"/>
        <v>17</v>
      </c>
      <c r="AP71" s="11" t="str">
        <f t="shared" si="62"/>
        <v>59,050</v>
      </c>
      <c r="AQ71" s="11">
        <f t="shared" si="63"/>
        <v>0.29973611111111109</v>
      </c>
      <c r="AR71" s="14">
        <f t="shared" si="64"/>
        <v>16.724711551827998</v>
      </c>
      <c r="AS71" s="41">
        <f t="shared" si="65"/>
        <v>-100</v>
      </c>
      <c r="AT71" s="43" t="str">
        <f t="shared" si="66"/>
        <v>NO CONFORME</v>
      </c>
      <c r="AU71" s="8" t="b">
        <f t="shared" si="29"/>
        <v>1</v>
      </c>
      <c r="AV71" s="8" t="b">
        <f t="shared" si="30"/>
        <v>0</v>
      </c>
      <c r="AW71" s="8" t="b">
        <f t="shared" si="31"/>
        <v>1</v>
      </c>
      <c r="AX71" s="8" t="str">
        <f t="shared" si="32"/>
        <v>Qcorrecto</v>
      </c>
      <c r="AY71" s="22" t="str">
        <f t="shared" si="5"/>
        <v>aceptable</v>
      </c>
      <c r="AZ71" s="22" t="str">
        <f t="shared" si="6"/>
        <v>aceptable</v>
      </c>
      <c r="BA71" s="22" t="str">
        <f t="shared" si="33"/>
        <v>aceptable</v>
      </c>
      <c r="BB71" s="25" t="str">
        <f t="shared" si="34"/>
        <v>NO CONFORME</v>
      </c>
      <c r="BC71" s="5" t="str">
        <f t="shared" si="35"/>
        <v>NO CONFORME</v>
      </c>
      <c r="BD71" s="15">
        <f t="shared" si="7"/>
        <v>-1</v>
      </c>
      <c r="BE71" s="15">
        <f t="shared" si="8"/>
        <v>-1</v>
      </c>
      <c r="BF71" s="15">
        <f t="shared" si="9"/>
        <v>-1</v>
      </c>
      <c r="BG71" s="15" t="str">
        <f t="shared" si="10"/>
        <v>-1-1-1</v>
      </c>
      <c r="BH71" s="15" t="str">
        <f t="shared" si="11"/>
        <v>SD</v>
      </c>
      <c r="BI71" s="15" t="str">
        <f t="shared" si="12"/>
        <v>SI</v>
      </c>
      <c r="BJ71" s="15" t="b">
        <f t="shared" si="13"/>
        <v>1</v>
      </c>
      <c r="BK71" s="15" t="str">
        <f t="shared" si="14"/>
        <v>SIGIGUALES</v>
      </c>
      <c r="BL71" s="22" t="str">
        <f t="shared" si="15"/>
        <v>NO CONFORME</v>
      </c>
    </row>
    <row r="72" spans="1:64" ht="15.75" thickBot="1" x14ac:dyDescent="0.3">
      <c r="A72" s="37">
        <v>64</v>
      </c>
      <c r="B72" s="93">
        <f t="shared" ref="B72:E72" si="382">B71</f>
        <v>45919</v>
      </c>
      <c r="C72" s="93">
        <f t="shared" si="382"/>
        <v>45919</v>
      </c>
      <c r="D72" s="94">
        <f t="shared" si="382"/>
        <v>6</v>
      </c>
      <c r="E72" s="95">
        <f t="shared" si="382"/>
        <v>15</v>
      </c>
      <c r="F72" s="52"/>
      <c r="G72" s="96"/>
      <c r="H72" s="97">
        <f t="shared" ref="H72:L72" si="383">H71</f>
        <v>25.6</v>
      </c>
      <c r="I72" s="98">
        <f t="shared" si="383"/>
        <v>0</v>
      </c>
      <c r="J72" s="99">
        <f t="shared" si="383"/>
        <v>20.9</v>
      </c>
      <c r="K72" s="99">
        <f t="shared" si="383"/>
        <v>7.883</v>
      </c>
      <c r="L72" s="99">
        <f t="shared" si="383"/>
        <v>0.55400000000000005</v>
      </c>
      <c r="M72" s="53"/>
      <c r="N72" s="53"/>
      <c r="O72" s="100">
        <f t="shared" ref="O72:P72" si="384">O71</f>
        <v>100.62</v>
      </c>
      <c r="P72" s="101" t="str">
        <f t="shared" si="384"/>
        <v>2,29,560</v>
      </c>
      <c r="Q72" s="11" t="str">
        <f t="shared" si="47"/>
        <v>2</v>
      </c>
      <c r="R72" s="11" t="str">
        <f t="shared" si="48"/>
        <v>29,560</v>
      </c>
      <c r="S72" s="11">
        <f t="shared" si="49"/>
        <v>4.1544444444444446E-2</v>
      </c>
      <c r="T72" s="14">
        <f t="shared" si="50"/>
        <v>2421.9844878309709</v>
      </c>
      <c r="U72" s="39">
        <f t="shared" si="51"/>
        <v>-100</v>
      </c>
      <c r="V72" s="105">
        <f t="shared" ref="V72:W72" si="385">V71</f>
        <v>20.399999999999999</v>
      </c>
      <c r="W72" s="105">
        <f t="shared" si="385"/>
        <v>1.5069999999999999</v>
      </c>
      <c r="X72" s="106">
        <f t="shared" si="20"/>
        <v>1.504</v>
      </c>
      <c r="Y72" s="53"/>
      <c r="Z72" s="53"/>
      <c r="AA72" s="107">
        <f t="shared" ref="AA72:AB72" si="386">AA71</f>
        <v>10.015000000000001</v>
      </c>
      <c r="AB72" s="108" t="str">
        <f t="shared" si="386"/>
        <v>22,10,090</v>
      </c>
      <c r="AC72" s="11" t="str">
        <f t="shared" si="54"/>
        <v>22</v>
      </c>
      <c r="AD72" s="11" t="str">
        <f t="shared" si="55"/>
        <v>10,090</v>
      </c>
      <c r="AE72" s="11">
        <f t="shared" si="56"/>
        <v>0.36946944444444441</v>
      </c>
      <c r="AF72" s="14">
        <f t="shared" si="57"/>
        <v>27.106436406558959</v>
      </c>
      <c r="AG72" s="41">
        <f t="shared" si="58"/>
        <v>-100</v>
      </c>
      <c r="AH72" s="105">
        <f t="shared" si="308"/>
        <v>20.3</v>
      </c>
      <c r="AI72" s="105">
        <f t="shared" si="308"/>
        <v>1.5089999999999999</v>
      </c>
      <c r="AJ72" s="105">
        <f t="shared" si="308"/>
        <v>1.504</v>
      </c>
      <c r="AK72" s="53">
        <f t="shared" si="59"/>
        <v>0</v>
      </c>
      <c r="AL72" s="53"/>
      <c r="AM72" s="54">
        <f t="shared" ref="AM72:AN72" si="387">AM71</f>
        <v>5.0129999999999999</v>
      </c>
      <c r="AN72" s="101" t="str">
        <f t="shared" si="387"/>
        <v>17,59,050</v>
      </c>
      <c r="AO72" s="11" t="str">
        <f t="shared" si="61"/>
        <v>17</v>
      </c>
      <c r="AP72" s="11" t="str">
        <f t="shared" si="62"/>
        <v>59,050</v>
      </c>
      <c r="AQ72" s="11">
        <f t="shared" si="63"/>
        <v>0.29973611111111109</v>
      </c>
      <c r="AR72" s="14">
        <f t="shared" si="64"/>
        <v>16.724711551827998</v>
      </c>
      <c r="AS72" s="41">
        <f t="shared" si="65"/>
        <v>-100</v>
      </c>
      <c r="AT72" s="43" t="str">
        <f t="shared" si="66"/>
        <v>NO CONFORME</v>
      </c>
      <c r="AU72" s="8" t="b">
        <f t="shared" si="29"/>
        <v>1</v>
      </c>
      <c r="AV72" s="8" t="b">
        <f t="shared" si="30"/>
        <v>0</v>
      </c>
      <c r="AW72" s="8" t="b">
        <f t="shared" si="31"/>
        <v>1</v>
      </c>
      <c r="AX72" s="8" t="str">
        <f t="shared" si="32"/>
        <v>Qcorrecto</v>
      </c>
      <c r="AY72" s="22" t="str">
        <f t="shared" si="5"/>
        <v>aceptable</v>
      </c>
      <c r="AZ72" s="22" t="str">
        <f t="shared" si="6"/>
        <v>aceptable</v>
      </c>
      <c r="BA72" s="22" t="str">
        <f t="shared" si="33"/>
        <v>aceptable</v>
      </c>
      <c r="BB72" s="25" t="str">
        <f t="shared" si="34"/>
        <v>NO CONFORME</v>
      </c>
      <c r="BC72" s="5" t="str">
        <f t="shared" si="35"/>
        <v>NO CONFORME</v>
      </c>
      <c r="BD72" s="15">
        <f t="shared" si="7"/>
        <v>-1</v>
      </c>
      <c r="BE72" s="15">
        <f t="shared" si="8"/>
        <v>-1</v>
      </c>
      <c r="BF72" s="15">
        <f t="shared" si="9"/>
        <v>-1</v>
      </c>
      <c r="BG72" s="15" t="str">
        <f t="shared" si="10"/>
        <v>-1-1-1</v>
      </c>
      <c r="BH72" s="15" t="str">
        <f t="shared" si="11"/>
        <v>SD</v>
      </c>
      <c r="BI72" s="15" t="str">
        <f t="shared" si="12"/>
        <v>SI</v>
      </c>
      <c r="BJ72" s="15" t="b">
        <f t="shared" si="13"/>
        <v>1</v>
      </c>
      <c r="BK72" s="15" t="str">
        <f t="shared" si="14"/>
        <v>SIGIGUALES</v>
      </c>
      <c r="BL72" s="22" t="str">
        <f t="shared" si="15"/>
        <v>NO CONFORME</v>
      </c>
    </row>
    <row r="73" spans="1:64" ht="15.75" thickBot="1" x14ac:dyDescent="0.3">
      <c r="A73" s="37">
        <v>65</v>
      </c>
      <c r="B73" s="93">
        <f t="shared" ref="B73:E73" si="388">B72</f>
        <v>45919</v>
      </c>
      <c r="C73" s="93">
        <f t="shared" si="388"/>
        <v>45919</v>
      </c>
      <c r="D73" s="94">
        <f t="shared" si="388"/>
        <v>6</v>
      </c>
      <c r="E73" s="95">
        <f t="shared" si="388"/>
        <v>15</v>
      </c>
      <c r="F73" s="52"/>
      <c r="G73" s="96"/>
      <c r="H73" s="97">
        <f t="shared" ref="H73:L73" si="389">H72</f>
        <v>25.6</v>
      </c>
      <c r="I73" s="98">
        <f t="shared" si="389"/>
        <v>0</v>
      </c>
      <c r="J73" s="99">
        <f t="shared" si="389"/>
        <v>20.9</v>
      </c>
      <c r="K73" s="99">
        <f t="shared" si="389"/>
        <v>7.883</v>
      </c>
      <c r="L73" s="99">
        <f t="shared" si="389"/>
        <v>0.55400000000000005</v>
      </c>
      <c r="M73" s="53"/>
      <c r="N73" s="53"/>
      <c r="O73" s="100">
        <f t="shared" ref="O73:P73" si="390">O72</f>
        <v>100.62</v>
      </c>
      <c r="P73" s="101" t="str">
        <f t="shared" si="390"/>
        <v>2,29,560</v>
      </c>
      <c r="Q73" s="11" t="str">
        <f t="shared" si="47"/>
        <v>2</v>
      </c>
      <c r="R73" s="11" t="str">
        <f t="shared" si="48"/>
        <v>29,560</v>
      </c>
      <c r="S73" s="11">
        <f t="shared" si="49"/>
        <v>4.1544444444444446E-2</v>
      </c>
      <c r="T73" s="14">
        <f t="shared" si="50"/>
        <v>2421.9844878309709</v>
      </c>
      <c r="U73" s="39">
        <f t="shared" si="51"/>
        <v>-100</v>
      </c>
      <c r="V73" s="105">
        <f t="shared" ref="V73:W73" si="391">V72</f>
        <v>20.399999999999999</v>
      </c>
      <c r="W73" s="105">
        <f t="shared" si="391"/>
        <v>1.5069999999999999</v>
      </c>
      <c r="X73" s="106">
        <f t="shared" si="20"/>
        <v>1.504</v>
      </c>
      <c r="Y73" s="53"/>
      <c r="Z73" s="53"/>
      <c r="AA73" s="107">
        <f t="shared" ref="AA73:AB73" si="392">AA72</f>
        <v>10.015000000000001</v>
      </c>
      <c r="AB73" s="108" t="str">
        <f t="shared" si="392"/>
        <v>22,10,090</v>
      </c>
      <c r="AC73" s="11" t="str">
        <f t="shared" si="54"/>
        <v>22</v>
      </c>
      <c r="AD73" s="11" t="str">
        <f t="shared" si="55"/>
        <v>10,090</v>
      </c>
      <c r="AE73" s="11">
        <f t="shared" si="56"/>
        <v>0.36946944444444441</v>
      </c>
      <c r="AF73" s="14">
        <f t="shared" si="57"/>
        <v>27.106436406558959</v>
      </c>
      <c r="AG73" s="41">
        <f t="shared" si="58"/>
        <v>-100</v>
      </c>
      <c r="AH73" s="105">
        <f t="shared" si="308"/>
        <v>20.3</v>
      </c>
      <c r="AI73" s="105">
        <f t="shared" si="308"/>
        <v>1.5089999999999999</v>
      </c>
      <c r="AJ73" s="105">
        <f t="shared" si="308"/>
        <v>1.504</v>
      </c>
      <c r="AK73" s="53">
        <f t="shared" si="59"/>
        <v>0</v>
      </c>
      <c r="AL73" s="53"/>
      <c r="AM73" s="54">
        <f t="shared" ref="AM73:AN73" si="393">AM72</f>
        <v>5.0129999999999999</v>
      </c>
      <c r="AN73" s="101" t="str">
        <f t="shared" si="393"/>
        <v>17,59,050</v>
      </c>
      <c r="AO73" s="11" t="str">
        <f t="shared" si="61"/>
        <v>17</v>
      </c>
      <c r="AP73" s="11" t="str">
        <f t="shared" si="62"/>
        <v>59,050</v>
      </c>
      <c r="AQ73" s="11">
        <f t="shared" si="63"/>
        <v>0.29973611111111109</v>
      </c>
      <c r="AR73" s="14">
        <f t="shared" si="64"/>
        <v>16.724711551827998</v>
      </c>
      <c r="AS73" s="41">
        <f t="shared" si="65"/>
        <v>-100</v>
      </c>
      <c r="AT73" s="43" t="str">
        <f t="shared" si="66"/>
        <v>NO CONFORME</v>
      </c>
      <c r="AU73" s="8" t="b">
        <f t="shared" si="29"/>
        <v>1</v>
      </c>
      <c r="AV73" s="8" t="b">
        <f t="shared" si="30"/>
        <v>0</v>
      </c>
      <c r="AW73" s="8" t="b">
        <f t="shared" si="31"/>
        <v>1</v>
      </c>
      <c r="AX73" s="8" t="str">
        <f t="shared" si="32"/>
        <v>Qcorrecto</v>
      </c>
      <c r="AY73" s="22" t="str">
        <f t="shared" ref="AY73:AY136" si="394">IF(AR73&lt;$AH$6,"error",IF(AR73&gt;$AH$6*1.1,"error","aceptable"))</f>
        <v>aceptable</v>
      </c>
      <c r="AZ73" s="22" t="str">
        <f t="shared" ref="AZ73:AZ136" si="395">IF(AF73&lt;$V$6,"error",IF(AF73&gt;$V$6*1.1,"error","aceptable"))</f>
        <v>aceptable</v>
      </c>
      <c r="BA73" s="22" t="str">
        <f t="shared" si="33"/>
        <v>aceptable</v>
      </c>
      <c r="BB73" s="25" t="str">
        <f t="shared" si="34"/>
        <v>NO CONFORME</v>
      </c>
      <c r="BC73" s="5" t="str">
        <f t="shared" si="35"/>
        <v>NO CONFORME</v>
      </c>
      <c r="BD73" s="15">
        <f t="shared" ref="BD73:BD136" si="396">SIGN(U73)</f>
        <v>-1</v>
      </c>
      <c r="BE73" s="15">
        <f t="shared" ref="BE73:BE136" si="397">SIGN(AG73)</f>
        <v>-1</v>
      </c>
      <c r="BF73" s="15">
        <f t="shared" ref="BF73:BF136" si="398">SIGN(AS73)</f>
        <v>-1</v>
      </c>
      <c r="BG73" s="15" t="str">
        <f t="shared" ref="BG73:BG136" si="399">CONCATENATE(BD73,BE73,BF73)</f>
        <v>-1-1-1</v>
      </c>
      <c r="BH73" s="15" t="str">
        <f t="shared" ref="BH73:BH136" si="400">IF(BG73="111","SI","SD")</f>
        <v>SD</v>
      </c>
      <c r="BI73" s="15" t="str">
        <f t="shared" ref="BI73:BI136" si="401">IF(BG73="-1-1-1","SI","SD")</f>
        <v>SI</v>
      </c>
      <c r="BJ73" s="15" t="b">
        <f t="shared" ref="BJ73:BJ136" si="402">OR(BH73="SI",BI73="SI")</f>
        <v>1</v>
      </c>
      <c r="BK73" s="15" t="str">
        <f t="shared" ref="BK73:BK136" si="403">IF(BJ73=FALSE,"SIGDIFERENTES","SIGIGUALES")</f>
        <v>SIGIGUALES</v>
      </c>
      <c r="BL73" s="22" t="str">
        <f t="shared" ref="BL73:BL136" si="404">IF(BC73="NO CONFORME","NO CONFORME",IF(BB73="CONFORME","CONFORME","NO CONFORME"))</f>
        <v>NO CONFORME</v>
      </c>
    </row>
    <row r="74" spans="1:64" ht="15.75" thickBot="1" x14ac:dyDescent="0.3">
      <c r="A74" s="37">
        <v>66</v>
      </c>
      <c r="B74" s="93">
        <f t="shared" ref="B74:E74" si="405">B73</f>
        <v>45919</v>
      </c>
      <c r="C74" s="93">
        <f t="shared" si="405"/>
        <v>45919</v>
      </c>
      <c r="D74" s="94">
        <f t="shared" si="405"/>
        <v>6</v>
      </c>
      <c r="E74" s="95">
        <f t="shared" si="405"/>
        <v>15</v>
      </c>
      <c r="F74" s="52"/>
      <c r="G74" s="96"/>
      <c r="H74" s="97">
        <f t="shared" ref="H74:L74" si="406">H73</f>
        <v>25.6</v>
      </c>
      <c r="I74" s="98">
        <f t="shared" si="406"/>
        <v>0</v>
      </c>
      <c r="J74" s="99">
        <f t="shared" si="406"/>
        <v>20.9</v>
      </c>
      <c r="K74" s="99">
        <f t="shared" si="406"/>
        <v>7.883</v>
      </c>
      <c r="L74" s="99">
        <f t="shared" si="406"/>
        <v>0.55400000000000005</v>
      </c>
      <c r="M74" s="53"/>
      <c r="N74" s="53"/>
      <c r="O74" s="100">
        <f t="shared" ref="O74:P74" si="407">O73</f>
        <v>100.62</v>
      </c>
      <c r="P74" s="101" t="str">
        <f t="shared" si="407"/>
        <v>2,29,560</v>
      </c>
      <c r="Q74" s="11" t="str">
        <f t="shared" si="47"/>
        <v>2</v>
      </c>
      <c r="R74" s="11" t="str">
        <f t="shared" si="48"/>
        <v>29,560</v>
      </c>
      <c r="S74" s="11">
        <f t="shared" si="49"/>
        <v>4.1544444444444446E-2</v>
      </c>
      <c r="T74" s="14">
        <f t="shared" si="50"/>
        <v>2421.9844878309709</v>
      </c>
      <c r="U74" s="39">
        <f t="shared" si="51"/>
        <v>-100</v>
      </c>
      <c r="V74" s="105">
        <f t="shared" ref="V74:X89" si="408">V73</f>
        <v>20.399999999999999</v>
      </c>
      <c r="W74" s="105">
        <f t="shared" si="408"/>
        <v>1.5069999999999999</v>
      </c>
      <c r="X74" s="106">
        <f t="shared" si="408"/>
        <v>1.504</v>
      </c>
      <c r="Y74" s="53"/>
      <c r="Z74" s="53"/>
      <c r="AA74" s="107">
        <f t="shared" ref="AA74:AB74" si="409">AA73</f>
        <v>10.015000000000001</v>
      </c>
      <c r="AB74" s="108" t="str">
        <f t="shared" si="409"/>
        <v>22,10,090</v>
      </c>
      <c r="AC74" s="11" t="str">
        <f t="shared" si="54"/>
        <v>22</v>
      </c>
      <c r="AD74" s="11" t="str">
        <f t="shared" si="55"/>
        <v>10,090</v>
      </c>
      <c r="AE74" s="11">
        <f t="shared" si="56"/>
        <v>0.36946944444444441</v>
      </c>
      <c r="AF74" s="14">
        <f t="shared" si="57"/>
        <v>27.106436406558959</v>
      </c>
      <c r="AG74" s="41">
        <f t="shared" si="58"/>
        <v>-100</v>
      </c>
      <c r="AH74" s="105">
        <f t="shared" si="308"/>
        <v>20.3</v>
      </c>
      <c r="AI74" s="105">
        <f t="shared" si="308"/>
        <v>1.5089999999999999</v>
      </c>
      <c r="AJ74" s="105">
        <f t="shared" si="308"/>
        <v>1.504</v>
      </c>
      <c r="AK74" s="53">
        <f t="shared" si="59"/>
        <v>0</v>
      </c>
      <c r="AL74" s="53"/>
      <c r="AM74" s="54">
        <f t="shared" ref="AM74:AN74" si="410">AM73</f>
        <v>5.0129999999999999</v>
      </c>
      <c r="AN74" s="101" t="str">
        <f t="shared" si="410"/>
        <v>17,59,050</v>
      </c>
      <c r="AO74" s="11" t="str">
        <f t="shared" si="61"/>
        <v>17</v>
      </c>
      <c r="AP74" s="11" t="str">
        <f t="shared" si="62"/>
        <v>59,050</v>
      </c>
      <c r="AQ74" s="11">
        <f t="shared" si="63"/>
        <v>0.29973611111111109</v>
      </c>
      <c r="AR74" s="14">
        <f t="shared" si="64"/>
        <v>16.724711551827998</v>
      </c>
      <c r="AS74" s="41">
        <f t="shared" si="65"/>
        <v>-100</v>
      </c>
      <c r="AT74" s="43" t="str">
        <f t="shared" si="66"/>
        <v>NO CONFORME</v>
      </c>
      <c r="AU74" s="8" t="b">
        <f t="shared" ref="AU74:AU137" si="411">B74=C74</f>
        <v>1</v>
      </c>
      <c r="AV74" s="8" t="b">
        <f t="shared" ref="AV74:AV137" si="412">N74&lt;Y74</f>
        <v>0</v>
      </c>
      <c r="AW74" s="8" t="b">
        <f t="shared" ref="AW74:AW137" si="413">Z74&lt;=AK74</f>
        <v>1</v>
      </c>
      <c r="AX74" s="8" t="str">
        <f t="shared" ref="AX74:AX137" si="414">IF(I74&gt;=1,"Qcorrecto",IF(AND(AY74="aceptable",AZ74="aceptable",BA74="aceptable"),"Qcorrecto","Qincorrecto"))</f>
        <v>Qcorrecto</v>
      </c>
      <c r="AY74" s="22" t="str">
        <f t="shared" si="394"/>
        <v>aceptable</v>
      </c>
      <c r="AZ74" s="22" t="str">
        <f t="shared" si="395"/>
        <v>aceptable</v>
      </c>
      <c r="BA74" s="22" t="str">
        <f t="shared" ref="BA74:BA137" si="415">IF(T74&lt;$J$6*0.9,"error",IF(T74&gt;$J$6,"error","aceptable"))</f>
        <v>aceptable</v>
      </c>
      <c r="BB74" s="25" t="str">
        <f t="shared" ref="BB74:BB137" si="416">(IF(ABS(U74)&lt;1.05,"CONFORME",IF(ABS(AG74)&lt;1.05,"CONFORME",IF(ABS(AS74)&lt;2.55,"CONFORME","NO CONFORME"))))</f>
        <v>NO CONFORME</v>
      </c>
      <c r="BC74" s="5" t="str">
        <f t="shared" ref="BC74:BC137" si="417">(IF(ABS(U74)&gt;2.05,"NO CONFORME",IF(ABS(AG74)&gt;2.05,"NO CONFORME",IF(ABS(AS74)&gt;5.05,"NO CONFORME","CONFORME"))))</f>
        <v>NO CONFORME</v>
      </c>
      <c r="BD74" s="15">
        <f t="shared" si="396"/>
        <v>-1</v>
      </c>
      <c r="BE74" s="15">
        <f t="shared" si="397"/>
        <v>-1</v>
      </c>
      <c r="BF74" s="15">
        <f t="shared" si="398"/>
        <v>-1</v>
      </c>
      <c r="BG74" s="15" t="str">
        <f t="shared" si="399"/>
        <v>-1-1-1</v>
      </c>
      <c r="BH74" s="15" t="str">
        <f t="shared" si="400"/>
        <v>SD</v>
      </c>
      <c r="BI74" s="15" t="str">
        <f t="shared" si="401"/>
        <v>SI</v>
      </c>
      <c r="BJ74" s="15" t="b">
        <f t="shared" si="402"/>
        <v>1</v>
      </c>
      <c r="BK74" s="15" t="str">
        <f t="shared" si="403"/>
        <v>SIGIGUALES</v>
      </c>
      <c r="BL74" s="22" t="str">
        <f t="shared" si="404"/>
        <v>NO CONFORME</v>
      </c>
    </row>
    <row r="75" spans="1:64" ht="15.75" thickBot="1" x14ac:dyDescent="0.3">
      <c r="A75" s="37">
        <v>67</v>
      </c>
      <c r="B75" s="93">
        <f t="shared" ref="B75:E75" si="418">B74</f>
        <v>45919</v>
      </c>
      <c r="C75" s="93">
        <f t="shared" si="418"/>
        <v>45919</v>
      </c>
      <c r="D75" s="94">
        <f t="shared" si="418"/>
        <v>6</v>
      </c>
      <c r="E75" s="95">
        <f t="shared" si="418"/>
        <v>15</v>
      </c>
      <c r="F75" s="52"/>
      <c r="G75" s="96"/>
      <c r="H75" s="97">
        <f t="shared" ref="H75:L75" si="419">H74</f>
        <v>25.6</v>
      </c>
      <c r="I75" s="98">
        <f t="shared" si="419"/>
        <v>0</v>
      </c>
      <c r="J75" s="99">
        <f t="shared" si="419"/>
        <v>20.9</v>
      </c>
      <c r="K75" s="99">
        <f t="shared" si="419"/>
        <v>7.883</v>
      </c>
      <c r="L75" s="99">
        <f t="shared" si="419"/>
        <v>0.55400000000000005</v>
      </c>
      <c r="M75" s="53"/>
      <c r="N75" s="53"/>
      <c r="O75" s="100">
        <f t="shared" ref="O75:P75" si="420">O74</f>
        <v>100.62</v>
      </c>
      <c r="P75" s="101" t="str">
        <f t="shared" si="420"/>
        <v>2,29,560</v>
      </c>
      <c r="Q75" s="11" t="str">
        <f t="shared" si="47"/>
        <v>2</v>
      </c>
      <c r="R75" s="11" t="str">
        <f t="shared" si="48"/>
        <v>29,560</v>
      </c>
      <c r="S75" s="11">
        <f t="shared" si="49"/>
        <v>4.1544444444444446E-2</v>
      </c>
      <c r="T75" s="14">
        <f t="shared" si="50"/>
        <v>2421.9844878309709</v>
      </c>
      <c r="U75" s="39">
        <f t="shared" si="51"/>
        <v>-100</v>
      </c>
      <c r="V75" s="105">
        <f t="shared" ref="V75:W75" si="421">V74</f>
        <v>20.399999999999999</v>
      </c>
      <c r="W75" s="105">
        <f t="shared" si="421"/>
        <v>1.5069999999999999</v>
      </c>
      <c r="X75" s="106">
        <f t="shared" si="408"/>
        <v>1.504</v>
      </c>
      <c r="Y75" s="53"/>
      <c r="Z75" s="53"/>
      <c r="AA75" s="107">
        <f t="shared" ref="AA75:AB75" si="422">AA74</f>
        <v>10.015000000000001</v>
      </c>
      <c r="AB75" s="108" t="str">
        <f t="shared" si="422"/>
        <v>22,10,090</v>
      </c>
      <c r="AC75" s="11" t="str">
        <f t="shared" si="54"/>
        <v>22</v>
      </c>
      <c r="AD75" s="11" t="str">
        <f t="shared" si="55"/>
        <v>10,090</v>
      </c>
      <c r="AE75" s="11">
        <f t="shared" si="56"/>
        <v>0.36946944444444441</v>
      </c>
      <c r="AF75" s="14">
        <f t="shared" si="57"/>
        <v>27.106436406558959</v>
      </c>
      <c r="AG75" s="41">
        <f t="shared" si="58"/>
        <v>-100</v>
      </c>
      <c r="AH75" s="105">
        <f t="shared" ref="AH75:AJ90" si="423">AH74</f>
        <v>20.3</v>
      </c>
      <c r="AI75" s="105">
        <f t="shared" si="423"/>
        <v>1.5089999999999999</v>
      </c>
      <c r="AJ75" s="105">
        <f t="shared" si="423"/>
        <v>1.504</v>
      </c>
      <c r="AK75" s="53">
        <f t="shared" si="59"/>
        <v>0</v>
      </c>
      <c r="AL75" s="53"/>
      <c r="AM75" s="54">
        <f t="shared" ref="AM75:AN75" si="424">AM74</f>
        <v>5.0129999999999999</v>
      </c>
      <c r="AN75" s="101" t="str">
        <f t="shared" si="424"/>
        <v>17,59,050</v>
      </c>
      <c r="AO75" s="11" t="str">
        <f t="shared" si="61"/>
        <v>17</v>
      </c>
      <c r="AP75" s="11" t="str">
        <f t="shared" si="62"/>
        <v>59,050</v>
      </c>
      <c r="AQ75" s="11">
        <f t="shared" si="63"/>
        <v>0.29973611111111109</v>
      </c>
      <c r="AR75" s="14">
        <f t="shared" si="64"/>
        <v>16.724711551827998</v>
      </c>
      <c r="AS75" s="41">
        <f t="shared" si="65"/>
        <v>-100</v>
      </c>
      <c r="AT75" s="43" t="str">
        <f t="shared" si="66"/>
        <v>NO CONFORME</v>
      </c>
      <c r="AU75" s="8" t="b">
        <f t="shared" si="411"/>
        <v>1</v>
      </c>
      <c r="AV75" s="8" t="b">
        <f t="shared" si="412"/>
        <v>0</v>
      </c>
      <c r="AW75" s="8" t="b">
        <f t="shared" si="413"/>
        <v>1</v>
      </c>
      <c r="AX75" s="8" t="str">
        <f t="shared" si="414"/>
        <v>Qcorrecto</v>
      </c>
      <c r="AY75" s="22" t="str">
        <f t="shared" si="394"/>
        <v>aceptable</v>
      </c>
      <c r="AZ75" s="22" t="str">
        <f t="shared" si="395"/>
        <v>aceptable</v>
      </c>
      <c r="BA75" s="22" t="str">
        <f t="shared" si="415"/>
        <v>aceptable</v>
      </c>
      <c r="BB75" s="25" t="str">
        <f t="shared" si="416"/>
        <v>NO CONFORME</v>
      </c>
      <c r="BC75" s="5" t="str">
        <f t="shared" si="417"/>
        <v>NO CONFORME</v>
      </c>
      <c r="BD75" s="15">
        <f t="shared" si="396"/>
        <v>-1</v>
      </c>
      <c r="BE75" s="15">
        <f t="shared" si="397"/>
        <v>-1</v>
      </c>
      <c r="BF75" s="15">
        <f t="shared" si="398"/>
        <v>-1</v>
      </c>
      <c r="BG75" s="15" t="str">
        <f t="shared" si="399"/>
        <v>-1-1-1</v>
      </c>
      <c r="BH75" s="15" t="str">
        <f t="shared" si="400"/>
        <v>SD</v>
      </c>
      <c r="BI75" s="15" t="str">
        <f t="shared" si="401"/>
        <v>SI</v>
      </c>
      <c r="BJ75" s="15" t="b">
        <f t="shared" si="402"/>
        <v>1</v>
      </c>
      <c r="BK75" s="15" t="str">
        <f t="shared" si="403"/>
        <v>SIGIGUALES</v>
      </c>
      <c r="BL75" s="22" t="str">
        <f t="shared" si="404"/>
        <v>NO CONFORME</v>
      </c>
    </row>
    <row r="76" spans="1:64" ht="15.75" thickBot="1" x14ac:dyDescent="0.3">
      <c r="A76" s="37">
        <v>68</v>
      </c>
      <c r="B76" s="93">
        <f t="shared" ref="B76:E76" si="425">B75</f>
        <v>45919</v>
      </c>
      <c r="C76" s="93">
        <f t="shared" si="425"/>
        <v>45919</v>
      </c>
      <c r="D76" s="94">
        <f t="shared" si="425"/>
        <v>6</v>
      </c>
      <c r="E76" s="95">
        <f t="shared" si="425"/>
        <v>15</v>
      </c>
      <c r="F76" s="52"/>
      <c r="G76" s="96"/>
      <c r="H76" s="97">
        <f t="shared" ref="H76:L76" si="426">H75</f>
        <v>25.6</v>
      </c>
      <c r="I76" s="98">
        <f t="shared" si="426"/>
        <v>0</v>
      </c>
      <c r="J76" s="99">
        <f t="shared" si="426"/>
        <v>20.9</v>
      </c>
      <c r="K76" s="99">
        <f t="shared" si="426"/>
        <v>7.883</v>
      </c>
      <c r="L76" s="99">
        <f t="shared" si="426"/>
        <v>0.55400000000000005</v>
      </c>
      <c r="M76" s="53"/>
      <c r="N76" s="53"/>
      <c r="O76" s="100">
        <f t="shared" ref="O76:P76" si="427">O75</f>
        <v>100.62</v>
      </c>
      <c r="P76" s="101" t="str">
        <f t="shared" si="427"/>
        <v>2,29,560</v>
      </c>
      <c r="Q76" s="11" t="str">
        <f t="shared" si="47"/>
        <v>2</v>
      </c>
      <c r="R76" s="11" t="str">
        <f t="shared" si="48"/>
        <v>29,560</v>
      </c>
      <c r="S76" s="11">
        <f t="shared" si="49"/>
        <v>4.1544444444444446E-2</v>
      </c>
      <c r="T76" s="14">
        <f t="shared" si="50"/>
        <v>2421.9844878309709</v>
      </c>
      <c r="U76" s="39">
        <f t="shared" si="51"/>
        <v>-100</v>
      </c>
      <c r="V76" s="105">
        <f t="shared" ref="V76:W76" si="428">V75</f>
        <v>20.399999999999999</v>
      </c>
      <c r="W76" s="105">
        <f t="shared" si="428"/>
        <v>1.5069999999999999</v>
      </c>
      <c r="X76" s="106">
        <f t="shared" si="408"/>
        <v>1.504</v>
      </c>
      <c r="Y76" s="53"/>
      <c r="Z76" s="53"/>
      <c r="AA76" s="107">
        <f t="shared" ref="AA76:AB76" si="429">AA75</f>
        <v>10.015000000000001</v>
      </c>
      <c r="AB76" s="108" t="str">
        <f t="shared" si="429"/>
        <v>22,10,090</v>
      </c>
      <c r="AC76" s="11" t="str">
        <f t="shared" si="54"/>
        <v>22</v>
      </c>
      <c r="AD76" s="11" t="str">
        <f t="shared" si="55"/>
        <v>10,090</v>
      </c>
      <c r="AE76" s="11">
        <f t="shared" si="56"/>
        <v>0.36946944444444441</v>
      </c>
      <c r="AF76" s="14">
        <f t="shared" si="57"/>
        <v>27.106436406558959</v>
      </c>
      <c r="AG76" s="41">
        <f t="shared" si="58"/>
        <v>-100</v>
      </c>
      <c r="AH76" s="105">
        <f t="shared" si="423"/>
        <v>20.3</v>
      </c>
      <c r="AI76" s="105">
        <f t="shared" si="423"/>
        <v>1.5089999999999999</v>
      </c>
      <c r="AJ76" s="105">
        <f t="shared" si="423"/>
        <v>1.504</v>
      </c>
      <c r="AK76" s="53">
        <f t="shared" si="59"/>
        <v>0</v>
      </c>
      <c r="AL76" s="53"/>
      <c r="AM76" s="54">
        <f t="shared" ref="AM76:AN76" si="430">AM75</f>
        <v>5.0129999999999999</v>
      </c>
      <c r="AN76" s="101" t="str">
        <f t="shared" si="430"/>
        <v>17,59,050</v>
      </c>
      <c r="AO76" s="11" t="str">
        <f t="shared" si="61"/>
        <v>17</v>
      </c>
      <c r="AP76" s="11" t="str">
        <f t="shared" si="62"/>
        <v>59,050</v>
      </c>
      <c r="AQ76" s="11">
        <f t="shared" si="63"/>
        <v>0.29973611111111109</v>
      </c>
      <c r="AR76" s="14">
        <f t="shared" si="64"/>
        <v>16.724711551827998</v>
      </c>
      <c r="AS76" s="41">
        <f t="shared" si="65"/>
        <v>-100</v>
      </c>
      <c r="AT76" s="43" t="str">
        <f t="shared" si="66"/>
        <v>NO CONFORME</v>
      </c>
      <c r="AU76" s="8" t="b">
        <f t="shared" si="411"/>
        <v>1</v>
      </c>
      <c r="AV76" s="8" t="b">
        <f t="shared" si="412"/>
        <v>0</v>
      </c>
      <c r="AW76" s="8" t="b">
        <f t="shared" si="413"/>
        <v>1</v>
      </c>
      <c r="AX76" s="8" t="str">
        <f t="shared" si="414"/>
        <v>Qcorrecto</v>
      </c>
      <c r="AY76" s="22" t="str">
        <f t="shared" si="394"/>
        <v>aceptable</v>
      </c>
      <c r="AZ76" s="22" t="str">
        <f t="shared" si="395"/>
        <v>aceptable</v>
      </c>
      <c r="BA76" s="22" t="str">
        <f t="shared" si="415"/>
        <v>aceptable</v>
      </c>
      <c r="BB76" s="25" t="str">
        <f t="shared" si="416"/>
        <v>NO CONFORME</v>
      </c>
      <c r="BC76" s="5" t="str">
        <f t="shared" si="417"/>
        <v>NO CONFORME</v>
      </c>
      <c r="BD76" s="15">
        <f t="shared" si="396"/>
        <v>-1</v>
      </c>
      <c r="BE76" s="15">
        <f t="shared" si="397"/>
        <v>-1</v>
      </c>
      <c r="BF76" s="15">
        <f t="shared" si="398"/>
        <v>-1</v>
      </c>
      <c r="BG76" s="15" t="str">
        <f t="shared" si="399"/>
        <v>-1-1-1</v>
      </c>
      <c r="BH76" s="15" t="str">
        <f t="shared" si="400"/>
        <v>SD</v>
      </c>
      <c r="BI76" s="15" t="str">
        <f t="shared" si="401"/>
        <v>SI</v>
      </c>
      <c r="BJ76" s="15" t="b">
        <f t="shared" si="402"/>
        <v>1</v>
      </c>
      <c r="BK76" s="15" t="str">
        <f t="shared" si="403"/>
        <v>SIGIGUALES</v>
      </c>
      <c r="BL76" s="22" t="str">
        <f t="shared" si="404"/>
        <v>NO CONFORME</v>
      </c>
    </row>
    <row r="77" spans="1:64" ht="15.75" thickBot="1" x14ac:dyDescent="0.3">
      <c r="A77" s="37">
        <v>69</v>
      </c>
      <c r="B77" s="93">
        <f t="shared" ref="B77:E77" si="431">B76</f>
        <v>45919</v>
      </c>
      <c r="C77" s="93">
        <f t="shared" si="431"/>
        <v>45919</v>
      </c>
      <c r="D77" s="94">
        <f t="shared" si="431"/>
        <v>6</v>
      </c>
      <c r="E77" s="95">
        <f t="shared" si="431"/>
        <v>15</v>
      </c>
      <c r="F77" s="52"/>
      <c r="G77" s="96"/>
      <c r="H77" s="97">
        <f t="shared" ref="H77:L77" si="432">H76</f>
        <v>25.6</v>
      </c>
      <c r="I77" s="98">
        <f t="shared" si="432"/>
        <v>0</v>
      </c>
      <c r="J77" s="99">
        <f t="shared" si="432"/>
        <v>20.9</v>
      </c>
      <c r="K77" s="99">
        <f t="shared" si="432"/>
        <v>7.883</v>
      </c>
      <c r="L77" s="99">
        <f t="shared" si="432"/>
        <v>0.55400000000000005</v>
      </c>
      <c r="M77" s="53"/>
      <c r="N77" s="53"/>
      <c r="O77" s="100">
        <f t="shared" ref="O77:P77" si="433">O76</f>
        <v>100.62</v>
      </c>
      <c r="P77" s="101" t="str">
        <f t="shared" si="433"/>
        <v>2,29,560</v>
      </c>
      <c r="Q77" s="11" t="str">
        <f t="shared" si="47"/>
        <v>2</v>
      </c>
      <c r="R77" s="11" t="str">
        <f t="shared" si="48"/>
        <v>29,560</v>
      </c>
      <c r="S77" s="11">
        <f t="shared" si="49"/>
        <v>4.1544444444444446E-2</v>
      </c>
      <c r="T77" s="14">
        <f t="shared" si="50"/>
        <v>2421.9844878309709</v>
      </c>
      <c r="U77" s="39">
        <f t="shared" si="51"/>
        <v>-100</v>
      </c>
      <c r="V77" s="105">
        <f t="shared" ref="V77:W77" si="434">V76</f>
        <v>20.399999999999999</v>
      </c>
      <c r="W77" s="105">
        <f t="shared" si="434"/>
        <v>1.5069999999999999</v>
      </c>
      <c r="X77" s="106">
        <f t="shared" si="408"/>
        <v>1.504</v>
      </c>
      <c r="Y77" s="53"/>
      <c r="Z77" s="53"/>
      <c r="AA77" s="107">
        <f t="shared" ref="AA77:AB77" si="435">AA76</f>
        <v>10.015000000000001</v>
      </c>
      <c r="AB77" s="108" t="str">
        <f t="shared" si="435"/>
        <v>22,10,090</v>
      </c>
      <c r="AC77" s="11" t="str">
        <f t="shared" si="54"/>
        <v>22</v>
      </c>
      <c r="AD77" s="11" t="str">
        <f t="shared" si="55"/>
        <v>10,090</v>
      </c>
      <c r="AE77" s="11">
        <f t="shared" si="56"/>
        <v>0.36946944444444441</v>
      </c>
      <c r="AF77" s="14">
        <f t="shared" si="57"/>
        <v>27.106436406558959</v>
      </c>
      <c r="AG77" s="41">
        <f t="shared" si="58"/>
        <v>-100</v>
      </c>
      <c r="AH77" s="105">
        <f t="shared" si="423"/>
        <v>20.3</v>
      </c>
      <c r="AI77" s="105">
        <f t="shared" si="423"/>
        <v>1.5089999999999999</v>
      </c>
      <c r="AJ77" s="105">
        <f t="shared" si="423"/>
        <v>1.504</v>
      </c>
      <c r="AK77" s="53">
        <f t="shared" si="59"/>
        <v>0</v>
      </c>
      <c r="AL77" s="53"/>
      <c r="AM77" s="54">
        <f t="shared" ref="AM77:AN77" si="436">AM76</f>
        <v>5.0129999999999999</v>
      </c>
      <c r="AN77" s="101" t="str">
        <f t="shared" si="436"/>
        <v>17,59,050</v>
      </c>
      <c r="AO77" s="11" t="str">
        <f t="shared" si="61"/>
        <v>17</v>
      </c>
      <c r="AP77" s="11" t="str">
        <f t="shared" si="62"/>
        <v>59,050</v>
      </c>
      <c r="AQ77" s="11">
        <f t="shared" si="63"/>
        <v>0.29973611111111109</v>
      </c>
      <c r="AR77" s="14">
        <f t="shared" si="64"/>
        <v>16.724711551827998</v>
      </c>
      <c r="AS77" s="41">
        <f t="shared" si="65"/>
        <v>-100</v>
      </c>
      <c r="AT77" s="43" t="str">
        <f t="shared" si="66"/>
        <v>NO CONFORME</v>
      </c>
      <c r="AU77" s="8" t="b">
        <f t="shared" si="411"/>
        <v>1</v>
      </c>
      <c r="AV77" s="8" t="b">
        <f t="shared" si="412"/>
        <v>0</v>
      </c>
      <c r="AW77" s="8" t="b">
        <f t="shared" si="413"/>
        <v>1</v>
      </c>
      <c r="AX77" s="8" t="str">
        <f t="shared" si="414"/>
        <v>Qcorrecto</v>
      </c>
      <c r="AY77" s="22" t="str">
        <f t="shared" si="394"/>
        <v>aceptable</v>
      </c>
      <c r="AZ77" s="22" t="str">
        <f t="shared" si="395"/>
        <v>aceptable</v>
      </c>
      <c r="BA77" s="22" t="str">
        <f t="shared" si="415"/>
        <v>aceptable</v>
      </c>
      <c r="BB77" s="25" t="str">
        <f t="shared" si="416"/>
        <v>NO CONFORME</v>
      </c>
      <c r="BC77" s="5" t="str">
        <f t="shared" si="417"/>
        <v>NO CONFORME</v>
      </c>
      <c r="BD77" s="15">
        <f t="shared" si="396"/>
        <v>-1</v>
      </c>
      <c r="BE77" s="15">
        <f t="shared" si="397"/>
        <v>-1</v>
      </c>
      <c r="BF77" s="15">
        <f t="shared" si="398"/>
        <v>-1</v>
      </c>
      <c r="BG77" s="15" t="str">
        <f t="shared" si="399"/>
        <v>-1-1-1</v>
      </c>
      <c r="BH77" s="15" t="str">
        <f t="shared" si="400"/>
        <v>SD</v>
      </c>
      <c r="BI77" s="15" t="str">
        <f t="shared" si="401"/>
        <v>SI</v>
      </c>
      <c r="BJ77" s="15" t="b">
        <f t="shared" si="402"/>
        <v>1</v>
      </c>
      <c r="BK77" s="15" t="str">
        <f t="shared" si="403"/>
        <v>SIGIGUALES</v>
      </c>
      <c r="BL77" s="22" t="str">
        <f t="shared" si="404"/>
        <v>NO CONFORME</v>
      </c>
    </row>
    <row r="78" spans="1:64" ht="15.75" thickBot="1" x14ac:dyDescent="0.3">
      <c r="A78" s="37">
        <v>70</v>
      </c>
      <c r="B78" s="93">
        <f t="shared" ref="B78:E78" si="437">B77</f>
        <v>45919</v>
      </c>
      <c r="C78" s="93">
        <f t="shared" si="437"/>
        <v>45919</v>
      </c>
      <c r="D78" s="94">
        <f t="shared" si="437"/>
        <v>6</v>
      </c>
      <c r="E78" s="95">
        <f t="shared" si="437"/>
        <v>15</v>
      </c>
      <c r="F78" s="52"/>
      <c r="G78" s="96"/>
      <c r="H78" s="97">
        <f t="shared" ref="H78:L78" si="438">H77</f>
        <v>25.6</v>
      </c>
      <c r="I78" s="98">
        <f t="shared" si="438"/>
        <v>0</v>
      </c>
      <c r="J78" s="99">
        <f t="shared" si="438"/>
        <v>20.9</v>
      </c>
      <c r="K78" s="99">
        <f t="shared" si="438"/>
        <v>7.883</v>
      </c>
      <c r="L78" s="99">
        <f t="shared" si="438"/>
        <v>0.55400000000000005</v>
      </c>
      <c r="M78" s="53"/>
      <c r="N78" s="53"/>
      <c r="O78" s="100">
        <f t="shared" ref="O78:P78" si="439">O77</f>
        <v>100.62</v>
      </c>
      <c r="P78" s="101" t="str">
        <f t="shared" si="439"/>
        <v>2,29,560</v>
      </c>
      <c r="Q78" s="11" t="str">
        <f t="shared" si="47"/>
        <v>2</v>
      </c>
      <c r="R78" s="11" t="str">
        <f t="shared" si="48"/>
        <v>29,560</v>
      </c>
      <c r="S78" s="11">
        <f t="shared" si="49"/>
        <v>4.1544444444444446E-2</v>
      </c>
      <c r="T78" s="14">
        <f t="shared" si="50"/>
        <v>2421.9844878309709</v>
      </c>
      <c r="U78" s="39">
        <f t="shared" si="51"/>
        <v>-100</v>
      </c>
      <c r="V78" s="105">
        <f t="shared" ref="V78:W78" si="440">V77</f>
        <v>20.399999999999999</v>
      </c>
      <c r="W78" s="105">
        <f t="shared" si="440"/>
        <v>1.5069999999999999</v>
      </c>
      <c r="X78" s="106">
        <f t="shared" si="408"/>
        <v>1.504</v>
      </c>
      <c r="Y78" s="53"/>
      <c r="Z78" s="53"/>
      <c r="AA78" s="107">
        <f t="shared" ref="AA78:AB78" si="441">AA77</f>
        <v>10.015000000000001</v>
      </c>
      <c r="AB78" s="108" t="str">
        <f t="shared" si="441"/>
        <v>22,10,090</v>
      </c>
      <c r="AC78" s="11" t="str">
        <f t="shared" si="54"/>
        <v>22</v>
      </c>
      <c r="AD78" s="11" t="str">
        <f t="shared" si="55"/>
        <v>10,090</v>
      </c>
      <c r="AE78" s="11">
        <f t="shared" si="56"/>
        <v>0.36946944444444441</v>
      </c>
      <c r="AF78" s="14">
        <f t="shared" si="57"/>
        <v>27.106436406558959</v>
      </c>
      <c r="AG78" s="41">
        <f t="shared" si="58"/>
        <v>-100</v>
      </c>
      <c r="AH78" s="105">
        <f t="shared" si="423"/>
        <v>20.3</v>
      </c>
      <c r="AI78" s="105">
        <f t="shared" si="423"/>
        <v>1.5089999999999999</v>
      </c>
      <c r="AJ78" s="105">
        <f t="shared" si="423"/>
        <v>1.504</v>
      </c>
      <c r="AK78" s="53">
        <f t="shared" si="59"/>
        <v>0</v>
      </c>
      <c r="AL78" s="53"/>
      <c r="AM78" s="54">
        <f t="shared" ref="AM78:AN78" si="442">AM77</f>
        <v>5.0129999999999999</v>
      </c>
      <c r="AN78" s="101" t="str">
        <f t="shared" si="442"/>
        <v>17,59,050</v>
      </c>
      <c r="AO78" s="11" t="str">
        <f t="shared" si="61"/>
        <v>17</v>
      </c>
      <c r="AP78" s="11" t="str">
        <f t="shared" si="62"/>
        <v>59,050</v>
      </c>
      <c r="AQ78" s="11">
        <f t="shared" si="63"/>
        <v>0.29973611111111109</v>
      </c>
      <c r="AR78" s="14">
        <f t="shared" si="64"/>
        <v>16.724711551827998</v>
      </c>
      <c r="AS78" s="41">
        <f t="shared" si="65"/>
        <v>-100</v>
      </c>
      <c r="AT78" s="43" t="str">
        <f t="shared" si="66"/>
        <v>NO CONFORME</v>
      </c>
      <c r="AU78" s="8" t="b">
        <f t="shared" si="411"/>
        <v>1</v>
      </c>
      <c r="AV78" s="8" t="b">
        <f t="shared" si="412"/>
        <v>0</v>
      </c>
      <c r="AW78" s="8" t="b">
        <f t="shared" si="413"/>
        <v>1</v>
      </c>
      <c r="AX78" s="8" t="str">
        <f t="shared" si="414"/>
        <v>Qcorrecto</v>
      </c>
      <c r="AY78" s="22" t="str">
        <f t="shared" si="394"/>
        <v>aceptable</v>
      </c>
      <c r="AZ78" s="22" t="str">
        <f t="shared" si="395"/>
        <v>aceptable</v>
      </c>
      <c r="BA78" s="22" t="str">
        <f t="shared" si="415"/>
        <v>aceptable</v>
      </c>
      <c r="BB78" s="25" t="str">
        <f t="shared" si="416"/>
        <v>NO CONFORME</v>
      </c>
      <c r="BC78" s="5" t="str">
        <f t="shared" si="417"/>
        <v>NO CONFORME</v>
      </c>
      <c r="BD78" s="15">
        <f t="shared" si="396"/>
        <v>-1</v>
      </c>
      <c r="BE78" s="15">
        <f t="shared" si="397"/>
        <v>-1</v>
      </c>
      <c r="BF78" s="15">
        <f t="shared" si="398"/>
        <v>-1</v>
      </c>
      <c r="BG78" s="15" t="str">
        <f t="shared" si="399"/>
        <v>-1-1-1</v>
      </c>
      <c r="BH78" s="15" t="str">
        <f t="shared" si="400"/>
        <v>SD</v>
      </c>
      <c r="BI78" s="15" t="str">
        <f t="shared" si="401"/>
        <v>SI</v>
      </c>
      <c r="BJ78" s="15" t="b">
        <f t="shared" si="402"/>
        <v>1</v>
      </c>
      <c r="BK78" s="15" t="str">
        <f t="shared" si="403"/>
        <v>SIGIGUALES</v>
      </c>
      <c r="BL78" s="22" t="str">
        <f t="shared" si="404"/>
        <v>NO CONFORME</v>
      </c>
    </row>
    <row r="79" spans="1:64" ht="15.75" thickBot="1" x14ac:dyDescent="0.3">
      <c r="A79" s="37">
        <v>71</v>
      </c>
      <c r="B79" s="93">
        <f t="shared" ref="B79:E79" si="443">B78</f>
        <v>45919</v>
      </c>
      <c r="C79" s="93">
        <f t="shared" si="443"/>
        <v>45919</v>
      </c>
      <c r="D79" s="94">
        <f t="shared" si="443"/>
        <v>6</v>
      </c>
      <c r="E79" s="95">
        <f t="shared" si="443"/>
        <v>15</v>
      </c>
      <c r="F79" s="52"/>
      <c r="G79" s="96"/>
      <c r="H79" s="97">
        <f t="shared" ref="H79:L79" si="444">H78</f>
        <v>25.6</v>
      </c>
      <c r="I79" s="98">
        <f t="shared" si="444"/>
        <v>0</v>
      </c>
      <c r="J79" s="99">
        <f t="shared" si="444"/>
        <v>20.9</v>
      </c>
      <c r="K79" s="99">
        <f t="shared" si="444"/>
        <v>7.883</v>
      </c>
      <c r="L79" s="99">
        <f t="shared" si="444"/>
        <v>0.55400000000000005</v>
      </c>
      <c r="M79" s="53"/>
      <c r="N79" s="53"/>
      <c r="O79" s="100">
        <f t="shared" ref="O79:P79" si="445">O78</f>
        <v>100.62</v>
      </c>
      <c r="P79" s="101" t="str">
        <f t="shared" si="445"/>
        <v>2,29,560</v>
      </c>
      <c r="Q79" s="11" t="str">
        <f t="shared" si="47"/>
        <v>2</v>
      </c>
      <c r="R79" s="11" t="str">
        <f t="shared" si="48"/>
        <v>29,560</v>
      </c>
      <c r="S79" s="11">
        <f t="shared" si="49"/>
        <v>4.1544444444444446E-2</v>
      </c>
      <c r="T79" s="14">
        <f t="shared" si="50"/>
        <v>2421.9844878309709</v>
      </c>
      <c r="U79" s="39">
        <f t="shared" si="51"/>
        <v>-100</v>
      </c>
      <c r="V79" s="105">
        <f t="shared" ref="V79:W79" si="446">V78</f>
        <v>20.399999999999999</v>
      </c>
      <c r="W79" s="105">
        <f t="shared" si="446"/>
        <v>1.5069999999999999</v>
      </c>
      <c r="X79" s="106">
        <f t="shared" si="408"/>
        <v>1.504</v>
      </c>
      <c r="Y79" s="53"/>
      <c r="Z79" s="53"/>
      <c r="AA79" s="107">
        <f t="shared" ref="AA79:AB79" si="447">AA78</f>
        <v>10.015000000000001</v>
      </c>
      <c r="AB79" s="108" t="str">
        <f t="shared" si="447"/>
        <v>22,10,090</v>
      </c>
      <c r="AC79" s="11" t="str">
        <f t="shared" si="54"/>
        <v>22</v>
      </c>
      <c r="AD79" s="11" t="str">
        <f t="shared" si="55"/>
        <v>10,090</v>
      </c>
      <c r="AE79" s="11">
        <f t="shared" si="56"/>
        <v>0.36946944444444441</v>
      </c>
      <c r="AF79" s="14">
        <f t="shared" si="57"/>
        <v>27.106436406558959</v>
      </c>
      <c r="AG79" s="41">
        <f t="shared" si="58"/>
        <v>-100</v>
      </c>
      <c r="AH79" s="105">
        <f t="shared" si="423"/>
        <v>20.3</v>
      </c>
      <c r="AI79" s="105">
        <f t="shared" si="423"/>
        <v>1.5089999999999999</v>
      </c>
      <c r="AJ79" s="105">
        <f t="shared" si="423"/>
        <v>1.504</v>
      </c>
      <c r="AK79" s="53">
        <f t="shared" si="59"/>
        <v>0</v>
      </c>
      <c r="AL79" s="53"/>
      <c r="AM79" s="54">
        <f t="shared" ref="AM79:AN79" si="448">AM78</f>
        <v>5.0129999999999999</v>
      </c>
      <c r="AN79" s="101" t="str">
        <f t="shared" si="448"/>
        <v>17,59,050</v>
      </c>
      <c r="AO79" s="11" t="str">
        <f t="shared" si="61"/>
        <v>17</v>
      </c>
      <c r="AP79" s="11" t="str">
        <f t="shared" si="62"/>
        <v>59,050</v>
      </c>
      <c r="AQ79" s="11">
        <f t="shared" si="63"/>
        <v>0.29973611111111109</v>
      </c>
      <c r="AR79" s="14">
        <f t="shared" si="64"/>
        <v>16.724711551827998</v>
      </c>
      <c r="AS79" s="41">
        <f t="shared" si="65"/>
        <v>-100</v>
      </c>
      <c r="AT79" s="43" t="str">
        <f t="shared" si="66"/>
        <v>NO CONFORME</v>
      </c>
      <c r="AU79" s="8" t="b">
        <f t="shared" si="411"/>
        <v>1</v>
      </c>
      <c r="AV79" s="8" t="b">
        <f t="shared" si="412"/>
        <v>0</v>
      </c>
      <c r="AW79" s="8" t="b">
        <f t="shared" si="413"/>
        <v>1</v>
      </c>
      <c r="AX79" s="8" t="str">
        <f t="shared" si="414"/>
        <v>Qcorrecto</v>
      </c>
      <c r="AY79" s="22" t="str">
        <f t="shared" si="394"/>
        <v>aceptable</v>
      </c>
      <c r="AZ79" s="22" t="str">
        <f t="shared" si="395"/>
        <v>aceptable</v>
      </c>
      <c r="BA79" s="22" t="str">
        <f t="shared" si="415"/>
        <v>aceptable</v>
      </c>
      <c r="BB79" s="25" t="str">
        <f t="shared" si="416"/>
        <v>NO CONFORME</v>
      </c>
      <c r="BC79" s="5" t="str">
        <f t="shared" si="417"/>
        <v>NO CONFORME</v>
      </c>
      <c r="BD79" s="15">
        <f t="shared" si="396"/>
        <v>-1</v>
      </c>
      <c r="BE79" s="15">
        <f t="shared" si="397"/>
        <v>-1</v>
      </c>
      <c r="BF79" s="15">
        <f t="shared" si="398"/>
        <v>-1</v>
      </c>
      <c r="BG79" s="15" t="str">
        <f t="shared" si="399"/>
        <v>-1-1-1</v>
      </c>
      <c r="BH79" s="15" t="str">
        <f t="shared" si="400"/>
        <v>SD</v>
      </c>
      <c r="BI79" s="15" t="str">
        <f t="shared" si="401"/>
        <v>SI</v>
      </c>
      <c r="BJ79" s="15" t="b">
        <f t="shared" si="402"/>
        <v>1</v>
      </c>
      <c r="BK79" s="15" t="str">
        <f t="shared" si="403"/>
        <v>SIGIGUALES</v>
      </c>
      <c r="BL79" s="22" t="str">
        <f t="shared" si="404"/>
        <v>NO CONFORME</v>
      </c>
    </row>
    <row r="80" spans="1:64" ht="15.75" thickBot="1" x14ac:dyDescent="0.3">
      <c r="A80" s="37">
        <v>72</v>
      </c>
      <c r="B80" s="93">
        <f t="shared" ref="B80:E80" si="449">B79</f>
        <v>45919</v>
      </c>
      <c r="C80" s="93">
        <f t="shared" si="449"/>
        <v>45919</v>
      </c>
      <c r="D80" s="94">
        <f t="shared" si="449"/>
        <v>6</v>
      </c>
      <c r="E80" s="95">
        <f t="shared" si="449"/>
        <v>15</v>
      </c>
      <c r="F80" s="52"/>
      <c r="G80" s="96"/>
      <c r="H80" s="97">
        <f t="shared" ref="H80:L80" si="450">H79</f>
        <v>25.6</v>
      </c>
      <c r="I80" s="98">
        <f t="shared" si="450"/>
        <v>0</v>
      </c>
      <c r="J80" s="99">
        <f t="shared" si="450"/>
        <v>20.9</v>
      </c>
      <c r="K80" s="99">
        <f t="shared" si="450"/>
        <v>7.883</v>
      </c>
      <c r="L80" s="99">
        <f t="shared" si="450"/>
        <v>0.55400000000000005</v>
      </c>
      <c r="M80" s="53"/>
      <c r="N80" s="53"/>
      <c r="O80" s="100">
        <f t="shared" ref="O80:P80" si="451">O79</f>
        <v>100.62</v>
      </c>
      <c r="P80" s="101" t="str">
        <f t="shared" si="451"/>
        <v>2,29,560</v>
      </c>
      <c r="Q80" s="11" t="str">
        <f t="shared" si="47"/>
        <v>2</v>
      </c>
      <c r="R80" s="11" t="str">
        <f t="shared" si="48"/>
        <v>29,560</v>
      </c>
      <c r="S80" s="11">
        <f t="shared" si="49"/>
        <v>4.1544444444444446E-2</v>
      </c>
      <c r="T80" s="14">
        <f t="shared" si="50"/>
        <v>2421.9844878309709</v>
      </c>
      <c r="U80" s="39">
        <f t="shared" si="51"/>
        <v>-100</v>
      </c>
      <c r="V80" s="105">
        <f t="shared" ref="V80:W80" si="452">V79</f>
        <v>20.399999999999999</v>
      </c>
      <c r="W80" s="105">
        <f t="shared" si="452"/>
        <v>1.5069999999999999</v>
      </c>
      <c r="X80" s="106">
        <f t="shared" si="408"/>
        <v>1.504</v>
      </c>
      <c r="Y80" s="53"/>
      <c r="Z80" s="53"/>
      <c r="AA80" s="107">
        <f t="shared" ref="AA80:AB80" si="453">AA79</f>
        <v>10.015000000000001</v>
      </c>
      <c r="AB80" s="108" t="str">
        <f t="shared" si="453"/>
        <v>22,10,090</v>
      </c>
      <c r="AC80" s="11" t="str">
        <f t="shared" si="54"/>
        <v>22</v>
      </c>
      <c r="AD80" s="11" t="str">
        <f t="shared" si="55"/>
        <v>10,090</v>
      </c>
      <c r="AE80" s="11">
        <f t="shared" si="56"/>
        <v>0.36946944444444441</v>
      </c>
      <c r="AF80" s="14">
        <f t="shared" si="57"/>
        <v>27.106436406558959</v>
      </c>
      <c r="AG80" s="41">
        <f t="shared" si="58"/>
        <v>-100</v>
      </c>
      <c r="AH80" s="105">
        <f t="shared" si="423"/>
        <v>20.3</v>
      </c>
      <c r="AI80" s="105">
        <f t="shared" si="423"/>
        <v>1.5089999999999999</v>
      </c>
      <c r="AJ80" s="105">
        <f t="shared" si="423"/>
        <v>1.504</v>
      </c>
      <c r="AK80" s="53">
        <f t="shared" si="59"/>
        <v>0</v>
      </c>
      <c r="AL80" s="53"/>
      <c r="AM80" s="54">
        <f t="shared" ref="AM80:AN80" si="454">AM79</f>
        <v>5.0129999999999999</v>
      </c>
      <c r="AN80" s="101" t="str">
        <f t="shared" si="454"/>
        <v>17,59,050</v>
      </c>
      <c r="AO80" s="11" t="str">
        <f t="shared" si="61"/>
        <v>17</v>
      </c>
      <c r="AP80" s="11" t="str">
        <f t="shared" si="62"/>
        <v>59,050</v>
      </c>
      <c r="AQ80" s="11">
        <f t="shared" si="63"/>
        <v>0.29973611111111109</v>
      </c>
      <c r="AR80" s="14">
        <f t="shared" si="64"/>
        <v>16.724711551827998</v>
      </c>
      <c r="AS80" s="41">
        <f t="shared" si="65"/>
        <v>-100</v>
      </c>
      <c r="AT80" s="43" t="str">
        <f t="shared" si="66"/>
        <v>NO CONFORME</v>
      </c>
      <c r="AU80" s="8" t="b">
        <f t="shared" si="411"/>
        <v>1</v>
      </c>
      <c r="AV80" s="8" t="b">
        <f t="shared" si="412"/>
        <v>0</v>
      </c>
      <c r="AW80" s="8" t="b">
        <f t="shared" si="413"/>
        <v>1</v>
      </c>
      <c r="AX80" s="8" t="str">
        <f t="shared" si="414"/>
        <v>Qcorrecto</v>
      </c>
      <c r="AY80" s="22" t="str">
        <f t="shared" si="394"/>
        <v>aceptable</v>
      </c>
      <c r="AZ80" s="22" t="str">
        <f t="shared" si="395"/>
        <v>aceptable</v>
      </c>
      <c r="BA80" s="22" t="str">
        <f t="shared" si="415"/>
        <v>aceptable</v>
      </c>
      <c r="BB80" s="25" t="str">
        <f t="shared" si="416"/>
        <v>NO CONFORME</v>
      </c>
      <c r="BC80" s="5" t="str">
        <f t="shared" si="417"/>
        <v>NO CONFORME</v>
      </c>
      <c r="BD80" s="15">
        <f t="shared" si="396"/>
        <v>-1</v>
      </c>
      <c r="BE80" s="15">
        <f t="shared" si="397"/>
        <v>-1</v>
      </c>
      <c r="BF80" s="15">
        <f t="shared" si="398"/>
        <v>-1</v>
      </c>
      <c r="BG80" s="15" t="str">
        <f t="shared" si="399"/>
        <v>-1-1-1</v>
      </c>
      <c r="BH80" s="15" t="str">
        <f t="shared" si="400"/>
        <v>SD</v>
      </c>
      <c r="BI80" s="15" t="str">
        <f t="shared" si="401"/>
        <v>SI</v>
      </c>
      <c r="BJ80" s="15" t="b">
        <f t="shared" si="402"/>
        <v>1</v>
      </c>
      <c r="BK80" s="15" t="str">
        <f t="shared" si="403"/>
        <v>SIGIGUALES</v>
      </c>
      <c r="BL80" s="22" t="str">
        <f t="shared" si="404"/>
        <v>NO CONFORME</v>
      </c>
    </row>
    <row r="81" spans="1:64" ht="15.75" thickBot="1" x14ac:dyDescent="0.3">
      <c r="A81" s="37">
        <v>73</v>
      </c>
      <c r="B81" s="93">
        <f t="shared" ref="B81:E81" si="455">B80</f>
        <v>45919</v>
      </c>
      <c r="C81" s="93">
        <f t="shared" si="455"/>
        <v>45919</v>
      </c>
      <c r="D81" s="94">
        <f t="shared" si="455"/>
        <v>6</v>
      </c>
      <c r="E81" s="95">
        <f t="shared" si="455"/>
        <v>15</v>
      </c>
      <c r="F81" s="52"/>
      <c r="G81" s="96"/>
      <c r="H81" s="97">
        <f t="shared" ref="H81:L81" si="456">H80</f>
        <v>25.6</v>
      </c>
      <c r="I81" s="98">
        <f t="shared" si="456"/>
        <v>0</v>
      </c>
      <c r="J81" s="99">
        <f t="shared" si="456"/>
        <v>20.9</v>
      </c>
      <c r="K81" s="99">
        <f t="shared" si="456"/>
        <v>7.883</v>
      </c>
      <c r="L81" s="99">
        <f t="shared" si="456"/>
        <v>0.55400000000000005</v>
      </c>
      <c r="M81" s="53"/>
      <c r="N81" s="53"/>
      <c r="O81" s="100">
        <f t="shared" ref="O81:P81" si="457">O80</f>
        <v>100.62</v>
      </c>
      <c r="P81" s="101" t="str">
        <f t="shared" si="457"/>
        <v>2,29,560</v>
      </c>
      <c r="Q81" s="11" t="str">
        <f t="shared" si="47"/>
        <v>2</v>
      </c>
      <c r="R81" s="11" t="str">
        <f t="shared" si="48"/>
        <v>29,560</v>
      </c>
      <c r="S81" s="11">
        <f t="shared" si="49"/>
        <v>4.1544444444444446E-2</v>
      </c>
      <c r="T81" s="14">
        <f t="shared" si="50"/>
        <v>2421.9844878309709</v>
      </c>
      <c r="U81" s="39">
        <f t="shared" si="51"/>
        <v>-100</v>
      </c>
      <c r="V81" s="105">
        <f t="shared" ref="V81:W81" si="458">V80</f>
        <v>20.399999999999999</v>
      </c>
      <c r="W81" s="105">
        <f t="shared" si="458"/>
        <v>1.5069999999999999</v>
      </c>
      <c r="X81" s="106">
        <f t="shared" si="408"/>
        <v>1.504</v>
      </c>
      <c r="Y81" s="53"/>
      <c r="Z81" s="53"/>
      <c r="AA81" s="107">
        <f t="shared" ref="AA81:AB81" si="459">AA80</f>
        <v>10.015000000000001</v>
      </c>
      <c r="AB81" s="108" t="str">
        <f t="shared" si="459"/>
        <v>22,10,090</v>
      </c>
      <c r="AC81" s="11" t="str">
        <f t="shared" si="54"/>
        <v>22</v>
      </c>
      <c r="AD81" s="11" t="str">
        <f t="shared" si="55"/>
        <v>10,090</v>
      </c>
      <c r="AE81" s="11">
        <f t="shared" si="56"/>
        <v>0.36946944444444441</v>
      </c>
      <c r="AF81" s="14">
        <f t="shared" si="57"/>
        <v>27.106436406558959</v>
      </c>
      <c r="AG81" s="41">
        <f t="shared" si="58"/>
        <v>-100</v>
      </c>
      <c r="AH81" s="105">
        <f t="shared" si="423"/>
        <v>20.3</v>
      </c>
      <c r="AI81" s="105">
        <f t="shared" si="423"/>
        <v>1.5089999999999999</v>
      </c>
      <c r="AJ81" s="105">
        <f t="shared" si="423"/>
        <v>1.504</v>
      </c>
      <c r="AK81" s="53">
        <f t="shared" si="59"/>
        <v>0</v>
      </c>
      <c r="AL81" s="53"/>
      <c r="AM81" s="54">
        <f t="shared" ref="AM81:AN81" si="460">AM80</f>
        <v>5.0129999999999999</v>
      </c>
      <c r="AN81" s="101" t="str">
        <f t="shared" si="460"/>
        <v>17,59,050</v>
      </c>
      <c r="AO81" s="11" t="str">
        <f t="shared" si="61"/>
        <v>17</v>
      </c>
      <c r="AP81" s="11" t="str">
        <f t="shared" si="62"/>
        <v>59,050</v>
      </c>
      <c r="AQ81" s="11">
        <f t="shared" si="63"/>
        <v>0.29973611111111109</v>
      </c>
      <c r="AR81" s="14">
        <f t="shared" si="64"/>
        <v>16.724711551827998</v>
      </c>
      <c r="AS81" s="41">
        <f t="shared" si="65"/>
        <v>-100</v>
      </c>
      <c r="AT81" s="43" t="str">
        <f t="shared" si="66"/>
        <v>NO CONFORME</v>
      </c>
      <c r="AU81" s="8" t="b">
        <f t="shared" si="411"/>
        <v>1</v>
      </c>
      <c r="AV81" s="8" t="b">
        <f t="shared" si="412"/>
        <v>0</v>
      </c>
      <c r="AW81" s="8" t="b">
        <f t="shared" si="413"/>
        <v>1</v>
      </c>
      <c r="AX81" s="8" t="str">
        <f t="shared" si="414"/>
        <v>Qcorrecto</v>
      </c>
      <c r="AY81" s="22" t="str">
        <f t="shared" si="394"/>
        <v>aceptable</v>
      </c>
      <c r="AZ81" s="22" t="str">
        <f t="shared" si="395"/>
        <v>aceptable</v>
      </c>
      <c r="BA81" s="22" t="str">
        <f t="shared" si="415"/>
        <v>aceptable</v>
      </c>
      <c r="BB81" s="25" t="str">
        <f t="shared" si="416"/>
        <v>NO CONFORME</v>
      </c>
      <c r="BC81" s="5" t="str">
        <f t="shared" si="417"/>
        <v>NO CONFORME</v>
      </c>
      <c r="BD81" s="15">
        <f t="shared" si="396"/>
        <v>-1</v>
      </c>
      <c r="BE81" s="15">
        <f t="shared" si="397"/>
        <v>-1</v>
      </c>
      <c r="BF81" s="15">
        <f t="shared" si="398"/>
        <v>-1</v>
      </c>
      <c r="BG81" s="15" t="str">
        <f t="shared" si="399"/>
        <v>-1-1-1</v>
      </c>
      <c r="BH81" s="15" t="str">
        <f t="shared" si="400"/>
        <v>SD</v>
      </c>
      <c r="BI81" s="15" t="str">
        <f t="shared" si="401"/>
        <v>SI</v>
      </c>
      <c r="BJ81" s="15" t="b">
        <f t="shared" si="402"/>
        <v>1</v>
      </c>
      <c r="BK81" s="15" t="str">
        <f t="shared" si="403"/>
        <v>SIGIGUALES</v>
      </c>
      <c r="BL81" s="22" t="str">
        <f t="shared" si="404"/>
        <v>NO CONFORME</v>
      </c>
    </row>
    <row r="82" spans="1:64" ht="15.75" thickBot="1" x14ac:dyDescent="0.3">
      <c r="A82" s="37">
        <v>74</v>
      </c>
      <c r="B82" s="93">
        <f t="shared" ref="B82:E82" si="461">B81</f>
        <v>45919</v>
      </c>
      <c r="C82" s="93">
        <f t="shared" si="461"/>
        <v>45919</v>
      </c>
      <c r="D82" s="94">
        <f t="shared" si="461"/>
        <v>6</v>
      </c>
      <c r="E82" s="95">
        <f t="shared" si="461"/>
        <v>15</v>
      </c>
      <c r="F82" s="52"/>
      <c r="G82" s="96"/>
      <c r="H82" s="97">
        <f t="shared" ref="H82:L82" si="462">H81</f>
        <v>25.6</v>
      </c>
      <c r="I82" s="98">
        <f t="shared" si="462"/>
        <v>0</v>
      </c>
      <c r="J82" s="99">
        <f t="shared" si="462"/>
        <v>20.9</v>
      </c>
      <c r="K82" s="99">
        <f t="shared" si="462"/>
        <v>7.883</v>
      </c>
      <c r="L82" s="99">
        <f t="shared" si="462"/>
        <v>0.55400000000000005</v>
      </c>
      <c r="M82" s="53"/>
      <c r="N82" s="53"/>
      <c r="O82" s="100">
        <f t="shared" ref="O82:P82" si="463">O81</f>
        <v>100.62</v>
      </c>
      <c r="P82" s="101" t="str">
        <f t="shared" si="463"/>
        <v>2,29,560</v>
      </c>
      <c r="Q82" s="11" t="str">
        <f t="shared" si="47"/>
        <v>2</v>
      </c>
      <c r="R82" s="11" t="str">
        <f t="shared" si="48"/>
        <v>29,560</v>
      </c>
      <c r="S82" s="11">
        <f t="shared" si="49"/>
        <v>4.1544444444444446E-2</v>
      </c>
      <c r="T82" s="14">
        <f t="shared" si="50"/>
        <v>2421.9844878309709</v>
      </c>
      <c r="U82" s="39">
        <f t="shared" si="51"/>
        <v>-100</v>
      </c>
      <c r="V82" s="105">
        <f t="shared" ref="V82:W82" si="464">V81</f>
        <v>20.399999999999999</v>
      </c>
      <c r="W82" s="105">
        <f t="shared" si="464"/>
        <v>1.5069999999999999</v>
      </c>
      <c r="X82" s="106">
        <f t="shared" si="408"/>
        <v>1.504</v>
      </c>
      <c r="Y82" s="53"/>
      <c r="Z82" s="53"/>
      <c r="AA82" s="107">
        <f t="shared" ref="AA82:AB82" si="465">AA81</f>
        <v>10.015000000000001</v>
      </c>
      <c r="AB82" s="108" t="str">
        <f t="shared" si="465"/>
        <v>22,10,090</v>
      </c>
      <c r="AC82" s="11" t="str">
        <f t="shared" si="54"/>
        <v>22</v>
      </c>
      <c r="AD82" s="11" t="str">
        <f t="shared" si="55"/>
        <v>10,090</v>
      </c>
      <c r="AE82" s="11">
        <f t="shared" si="56"/>
        <v>0.36946944444444441</v>
      </c>
      <c r="AF82" s="14">
        <f t="shared" si="57"/>
        <v>27.106436406558959</v>
      </c>
      <c r="AG82" s="41">
        <f t="shared" si="58"/>
        <v>-100</v>
      </c>
      <c r="AH82" s="105">
        <f t="shared" si="423"/>
        <v>20.3</v>
      </c>
      <c r="AI82" s="105">
        <f t="shared" si="423"/>
        <v>1.5089999999999999</v>
      </c>
      <c r="AJ82" s="105">
        <f t="shared" si="423"/>
        <v>1.504</v>
      </c>
      <c r="AK82" s="53">
        <f t="shared" si="59"/>
        <v>0</v>
      </c>
      <c r="AL82" s="53"/>
      <c r="AM82" s="54">
        <f t="shared" ref="AM82:AN82" si="466">AM81</f>
        <v>5.0129999999999999</v>
      </c>
      <c r="AN82" s="101" t="str">
        <f t="shared" si="466"/>
        <v>17,59,050</v>
      </c>
      <c r="AO82" s="11" t="str">
        <f t="shared" si="61"/>
        <v>17</v>
      </c>
      <c r="AP82" s="11" t="str">
        <f t="shared" si="62"/>
        <v>59,050</v>
      </c>
      <c r="AQ82" s="11">
        <f t="shared" si="63"/>
        <v>0.29973611111111109</v>
      </c>
      <c r="AR82" s="14">
        <f t="shared" si="64"/>
        <v>16.724711551827998</v>
      </c>
      <c r="AS82" s="41">
        <f t="shared" si="65"/>
        <v>-100</v>
      </c>
      <c r="AT82" s="43" t="str">
        <f t="shared" si="66"/>
        <v>NO CONFORME</v>
      </c>
      <c r="AU82" s="8" t="b">
        <f t="shared" si="411"/>
        <v>1</v>
      </c>
      <c r="AV82" s="8" t="b">
        <f t="shared" si="412"/>
        <v>0</v>
      </c>
      <c r="AW82" s="8" t="b">
        <f t="shared" si="413"/>
        <v>1</v>
      </c>
      <c r="AX82" s="8" t="str">
        <f t="shared" si="414"/>
        <v>Qcorrecto</v>
      </c>
      <c r="AY82" s="22" t="str">
        <f t="shared" si="394"/>
        <v>aceptable</v>
      </c>
      <c r="AZ82" s="22" t="str">
        <f t="shared" si="395"/>
        <v>aceptable</v>
      </c>
      <c r="BA82" s="22" t="str">
        <f t="shared" si="415"/>
        <v>aceptable</v>
      </c>
      <c r="BB82" s="25" t="str">
        <f t="shared" si="416"/>
        <v>NO CONFORME</v>
      </c>
      <c r="BC82" s="5" t="str">
        <f t="shared" si="417"/>
        <v>NO CONFORME</v>
      </c>
      <c r="BD82" s="15">
        <f t="shared" si="396"/>
        <v>-1</v>
      </c>
      <c r="BE82" s="15">
        <f t="shared" si="397"/>
        <v>-1</v>
      </c>
      <c r="BF82" s="15">
        <f t="shared" si="398"/>
        <v>-1</v>
      </c>
      <c r="BG82" s="15" t="str">
        <f t="shared" si="399"/>
        <v>-1-1-1</v>
      </c>
      <c r="BH82" s="15" t="str">
        <f t="shared" si="400"/>
        <v>SD</v>
      </c>
      <c r="BI82" s="15" t="str">
        <f t="shared" si="401"/>
        <v>SI</v>
      </c>
      <c r="BJ82" s="15" t="b">
        <f t="shared" si="402"/>
        <v>1</v>
      </c>
      <c r="BK82" s="15" t="str">
        <f t="shared" si="403"/>
        <v>SIGIGUALES</v>
      </c>
      <c r="BL82" s="22" t="str">
        <f t="shared" si="404"/>
        <v>NO CONFORME</v>
      </c>
    </row>
    <row r="83" spans="1:64" ht="15.75" thickBot="1" x14ac:dyDescent="0.3">
      <c r="A83" s="37">
        <v>75</v>
      </c>
      <c r="B83" s="93">
        <f t="shared" ref="B83:E83" si="467">B82</f>
        <v>45919</v>
      </c>
      <c r="C83" s="93">
        <f t="shared" si="467"/>
        <v>45919</v>
      </c>
      <c r="D83" s="94">
        <f t="shared" si="467"/>
        <v>6</v>
      </c>
      <c r="E83" s="95">
        <f t="shared" si="467"/>
        <v>15</v>
      </c>
      <c r="F83" s="52"/>
      <c r="G83" s="96"/>
      <c r="H83" s="97">
        <f t="shared" ref="H83:L83" si="468">H82</f>
        <v>25.6</v>
      </c>
      <c r="I83" s="98">
        <f t="shared" si="468"/>
        <v>0</v>
      </c>
      <c r="J83" s="99">
        <f t="shared" si="468"/>
        <v>20.9</v>
      </c>
      <c r="K83" s="99">
        <f t="shared" si="468"/>
        <v>7.883</v>
      </c>
      <c r="L83" s="99">
        <f t="shared" si="468"/>
        <v>0.55400000000000005</v>
      </c>
      <c r="M83" s="53"/>
      <c r="N83" s="53"/>
      <c r="O83" s="100">
        <f t="shared" ref="O83:P83" si="469">O82</f>
        <v>100.62</v>
      </c>
      <c r="P83" s="101" t="str">
        <f t="shared" si="469"/>
        <v>2,29,560</v>
      </c>
      <c r="Q83" s="11" t="str">
        <f t="shared" ref="Q83:Q146" si="470">LEFT(P83,1)</f>
        <v>2</v>
      </c>
      <c r="R83" s="11" t="str">
        <f t="shared" ref="R83:R146" si="471">RIGHT(P83,6)</f>
        <v>29,560</v>
      </c>
      <c r="S83" s="11">
        <f t="shared" ref="S83:S146" si="472">+(Q83*60+R83)/(60*60)</f>
        <v>4.1544444444444446E-2</v>
      </c>
      <c r="T83" s="14">
        <f t="shared" ref="T83:T146" si="473">+O83/S83</f>
        <v>2421.9844878309709</v>
      </c>
      <c r="U83" s="39">
        <f t="shared" ref="U83:U146" si="474">+(((N83-M83-O83)/O83)*100)</f>
        <v>-100</v>
      </c>
      <c r="V83" s="105">
        <f t="shared" ref="V83:W83" si="475">V82</f>
        <v>20.399999999999999</v>
      </c>
      <c r="W83" s="105">
        <f t="shared" si="475"/>
        <v>1.5069999999999999</v>
      </c>
      <c r="X83" s="106">
        <f t="shared" si="408"/>
        <v>1.504</v>
      </c>
      <c r="Y83" s="53"/>
      <c r="Z83" s="53"/>
      <c r="AA83" s="107">
        <f t="shared" ref="AA83:AB83" si="476">AA82</f>
        <v>10.015000000000001</v>
      </c>
      <c r="AB83" s="108" t="str">
        <f t="shared" si="476"/>
        <v>22,10,090</v>
      </c>
      <c r="AC83" s="11" t="str">
        <f t="shared" ref="AC83:AC146" si="477">LEFT(AB83,2)</f>
        <v>22</v>
      </c>
      <c r="AD83" s="11" t="str">
        <f t="shared" ref="AD83:AD146" si="478">RIGHT(AB83,6)</f>
        <v>10,090</v>
      </c>
      <c r="AE83" s="11">
        <f t="shared" ref="AE83:AE146" si="479">+(AC83*60+AD83)/(60*60)</f>
        <v>0.36946944444444441</v>
      </c>
      <c r="AF83" s="14">
        <f t="shared" ref="AF83:AF146" si="480">+AA83/AE83</f>
        <v>27.106436406558959</v>
      </c>
      <c r="AG83" s="41">
        <f t="shared" ref="AG83:AG146" si="481">+(((Z83-Y83-AA83)/AA83)*100)</f>
        <v>-100</v>
      </c>
      <c r="AH83" s="105">
        <f t="shared" si="423"/>
        <v>20.3</v>
      </c>
      <c r="AI83" s="105">
        <f t="shared" si="423"/>
        <v>1.5089999999999999</v>
      </c>
      <c r="AJ83" s="105">
        <f t="shared" si="423"/>
        <v>1.504</v>
      </c>
      <c r="AK83" s="53">
        <f t="shared" ref="AK83:AK146" si="482">Z83</f>
        <v>0</v>
      </c>
      <c r="AL83" s="53"/>
      <c r="AM83" s="54">
        <f t="shared" ref="AM83:AN83" si="483">AM82</f>
        <v>5.0129999999999999</v>
      </c>
      <c r="AN83" s="101" t="str">
        <f t="shared" si="483"/>
        <v>17,59,050</v>
      </c>
      <c r="AO83" s="11" t="str">
        <f t="shared" ref="AO83:AO146" si="484">LEFT(AN83,2)</f>
        <v>17</v>
      </c>
      <c r="AP83" s="11" t="str">
        <f t="shared" ref="AP83:AP146" si="485">RIGHT(AN83,6)</f>
        <v>59,050</v>
      </c>
      <c r="AQ83" s="11">
        <f t="shared" ref="AQ83:AQ146" si="486">+(AO83*60+AP83)/(60*60)</f>
        <v>0.29973611111111109</v>
      </c>
      <c r="AR83" s="14">
        <f t="shared" ref="AR83:AR146" si="487">+AM83/AQ83</f>
        <v>16.724711551827998</v>
      </c>
      <c r="AS83" s="41">
        <f t="shared" ref="AS83:AS146" si="488">+(((AL83-AK83-AM83)/AM83)*100)</f>
        <v>-100</v>
      </c>
      <c r="AT83" s="43" t="str">
        <f t="shared" ref="AT83:AT146" si="489">IF(I83&gt;=1,"NO CONFORME",IF(BK83="SIGDIFERENTES",BC83,BL83))</f>
        <v>NO CONFORME</v>
      </c>
      <c r="AU83" s="8" t="b">
        <f t="shared" si="411"/>
        <v>1</v>
      </c>
      <c r="AV83" s="8" t="b">
        <f t="shared" si="412"/>
        <v>0</v>
      </c>
      <c r="AW83" s="8" t="b">
        <f t="shared" si="413"/>
        <v>1</v>
      </c>
      <c r="AX83" s="8" t="str">
        <f t="shared" si="414"/>
        <v>Qcorrecto</v>
      </c>
      <c r="AY83" s="22" t="str">
        <f t="shared" si="394"/>
        <v>aceptable</v>
      </c>
      <c r="AZ83" s="22" t="str">
        <f t="shared" si="395"/>
        <v>aceptable</v>
      </c>
      <c r="BA83" s="22" t="str">
        <f t="shared" si="415"/>
        <v>aceptable</v>
      </c>
      <c r="BB83" s="25" t="str">
        <f t="shared" si="416"/>
        <v>NO CONFORME</v>
      </c>
      <c r="BC83" s="5" t="str">
        <f t="shared" si="417"/>
        <v>NO CONFORME</v>
      </c>
      <c r="BD83" s="15">
        <f t="shared" si="396"/>
        <v>-1</v>
      </c>
      <c r="BE83" s="15">
        <f t="shared" si="397"/>
        <v>-1</v>
      </c>
      <c r="BF83" s="15">
        <f t="shared" si="398"/>
        <v>-1</v>
      </c>
      <c r="BG83" s="15" t="str">
        <f t="shared" si="399"/>
        <v>-1-1-1</v>
      </c>
      <c r="BH83" s="15" t="str">
        <f t="shared" si="400"/>
        <v>SD</v>
      </c>
      <c r="BI83" s="15" t="str">
        <f t="shared" si="401"/>
        <v>SI</v>
      </c>
      <c r="BJ83" s="15" t="b">
        <f t="shared" si="402"/>
        <v>1</v>
      </c>
      <c r="BK83" s="15" t="str">
        <f t="shared" si="403"/>
        <v>SIGIGUALES</v>
      </c>
      <c r="BL83" s="22" t="str">
        <f t="shared" si="404"/>
        <v>NO CONFORME</v>
      </c>
    </row>
    <row r="84" spans="1:64" ht="15.75" thickBot="1" x14ac:dyDescent="0.3">
      <c r="A84" s="37">
        <v>76</v>
      </c>
      <c r="B84" s="93">
        <f t="shared" ref="B84:E84" si="490">B83</f>
        <v>45919</v>
      </c>
      <c r="C84" s="93">
        <f t="shared" si="490"/>
        <v>45919</v>
      </c>
      <c r="D84" s="94">
        <f t="shared" si="490"/>
        <v>6</v>
      </c>
      <c r="E84" s="95">
        <f t="shared" si="490"/>
        <v>15</v>
      </c>
      <c r="F84" s="52"/>
      <c r="G84" s="96"/>
      <c r="H84" s="97">
        <f t="shared" ref="H84:L84" si="491">H83</f>
        <v>25.6</v>
      </c>
      <c r="I84" s="98">
        <f t="shared" si="491"/>
        <v>0</v>
      </c>
      <c r="J84" s="99">
        <f t="shared" si="491"/>
        <v>20.9</v>
      </c>
      <c r="K84" s="99">
        <f t="shared" si="491"/>
        <v>7.883</v>
      </c>
      <c r="L84" s="99">
        <f t="shared" si="491"/>
        <v>0.55400000000000005</v>
      </c>
      <c r="M84" s="53"/>
      <c r="N84" s="53"/>
      <c r="O84" s="100">
        <f t="shared" ref="O84:P84" si="492">O83</f>
        <v>100.62</v>
      </c>
      <c r="P84" s="101" t="str">
        <f t="shared" si="492"/>
        <v>2,29,560</v>
      </c>
      <c r="Q84" s="11" t="str">
        <f t="shared" si="470"/>
        <v>2</v>
      </c>
      <c r="R84" s="11" t="str">
        <f t="shared" si="471"/>
        <v>29,560</v>
      </c>
      <c r="S84" s="11">
        <f t="shared" si="472"/>
        <v>4.1544444444444446E-2</v>
      </c>
      <c r="T84" s="14">
        <f t="shared" si="473"/>
        <v>2421.9844878309709</v>
      </c>
      <c r="U84" s="39">
        <f t="shared" si="474"/>
        <v>-100</v>
      </c>
      <c r="V84" s="105">
        <f t="shared" ref="V84:W84" si="493">V83</f>
        <v>20.399999999999999</v>
      </c>
      <c r="W84" s="105">
        <f t="shared" si="493"/>
        <v>1.5069999999999999</v>
      </c>
      <c r="X84" s="106">
        <f t="shared" si="408"/>
        <v>1.504</v>
      </c>
      <c r="Y84" s="53"/>
      <c r="Z84" s="53"/>
      <c r="AA84" s="107">
        <f t="shared" ref="AA84:AB84" si="494">AA83</f>
        <v>10.015000000000001</v>
      </c>
      <c r="AB84" s="108" t="str">
        <f t="shared" si="494"/>
        <v>22,10,090</v>
      </c>
      <c r="AC84" s="11" t="str">
        <f t="shared" si="477"/>
        <v>22</v>
      </c>
      <c r="AD84" s="11" t="str">
        <f t="shared" si="478"/>
        <v>10,090</v>
      </c>
      <c r="AE84" s="11">
        <f t="shared" si="479"/>
        <v>0.36946944444444441</v>
      </c>
      <c r="AF84" s="14">
        <f t="shared" si="480"/>
        <v>27.106436406558959</v>
      </c>
      <c r="AG84" s="41">
        <f t="shared" si="481"/>
        <v>-100</v>
      </c>
      <c r="AH84" s="105">
        <f t="shared" si="423"/>
        <v>20.3</v>
      </c>
      <c r="AI84" s="105">
        <f t="shared" si="423"/>
        <v>1.5089999999999999</v>
      </c>
      <c r="AJ84" s="105">
        <f t="shared" si="423"/>
        <v>1.504</v>
      </c>
      <c r="AK84" s="53">
        <f t="shared" si="482"/>
        <v>0</v>
      </c>
      <c r="AL84" s="53"/>
      <c r="AM84" s="54">
        <f t="shared" ref="AM84:AN84" si="495">AM83</f>
        <v>5.0129999999999999</v>
      </c>
      <c r="AN84" s="101" t="str">
        <f t="shared" si="495"/>
        <v>17,59,050</v>
      </c>
      <c r="AO84" s="11" t="str">
        <f t="shared" si="484"/>
        <v>17</v>
      </c>
      <c r="AP84" s="11" t="str">
        <f t="shared" si="485"/>
        <v>59,050</v>
      </c>
      <c r="AQ84" s="11">
        <f t="shared" si="486"/>
        <v>0.29973611111111109</v>
      </c>
      <c r="AR84" s="14">
        <f t="shared" si="487"/>
        <v>16.724711551827998</v>
      </c>
      <c r="AS84" s="41">
        <f t="shared" si="488"/>
        <v>-100</v>
      </c>
      <c r="AT84" s="43" t="str">
        <f t="shared" si="489"/>
        <v>NO CONFORME</v>
      </c>
      <c r="AU84" s="8" t="b">
        <f t="shared" si="411"/>
        <v>1</v>
      </c>
      <c r="AV84" s="8" t="b">
        <f t="shared" si="412"/>
        <v>0</v>
      </c>
      <c r="AW84" s="8" t="b">
        <f t="shared" si="413"/>
        <v>1</v>
      </c>
      <c r="AX84" s="8" t="str">
        <f t="shared" si="414"/>
        <v>Qcorrecto</v>
      </c>
      <c r="AY84" s="22" t="str">
        <f t="shared" si="394"/>
        <v>aceptable</v>
      </c>
      <c r="AZ84" s="22" t="str">
        <f t="shared" si="395"/>
        <v>aceptable</v>
      </c>
      <c r="BA84" s="22" t="str">
        <f t="shared" si="415"/>
        <v>aceptable</v>
      </c>
      <c r="BB84" s="25" t="str">
        <f t="shared" si="416"/>
        <v>NO CONFORME</v>
      </c>
      <c r="BC84" s="5" t="str">
        <f t="shared" si="417"/>
        <v>NO CONFORME</v>
      </c>
      <c r="BD84" s="15">
        <f t="shared" si="396"/>
        <v>-1</v>
      </c>
      <c r="BE84" s="15">
        <f t="shared" si="397"/>
        <v>-1</v>
      </c>
      <c r="BF84" s="15">
        <f t="shared" si="398"/>
        <v>-1</v>
      </c>
      <c r="BG84" s="15" t="str">
        <f t="shared" si="399"/>
        <v>-1-1-1</v>
      </c>
      <c r="BH84" s="15" t="str">
        <f t="shared" si="400"/>
        <v>SD</v>
      </c>
      <c r="BI84" s="15" t="str">
        <f t="shared" si="401"/>
        <v>SI</v>
      </c>
      <c r="BJ84" s="15" t="b">
        <f t="shared" si="402"/>
        <v>1</v>
      </c>
      <c r="BK84" s="15" t="str">
        <f t="shared" si="403"/>
        <v>SIGIGUALES</v>
      </c>
      <c r="BL84" s="22" t="str">
        <f t="shared" si="404"/>
        <v>NO CONFORME</v>
      </c>
    </row>
    <row r="85" spans="1:64" ht="15.75" thickBot="1" x14ac:dyDescent="0.3">
      <c r="A85" s="37">
        <v>77</v>
      </c>
      <c r="B85" s="93">
        <f t="shared" ref="B85:E85" si="496">B84</f>
        <v>45919</v>
      </c>
      <c r="C85" s="93">
        <f t="shared" si="496"/>
        <v>45919</v>
      </c>
      <c r="D85" s="94">
        <f t="shared" si="496"/>
        <v>6</v>
      </c>
      <c r="E85" s="95">
        <f t="shared" si="496"/>
        <v>15</v>
      </c>
      <c r="F85" s="52"/>
      <c r="G85" s="96"/>
      <c r="H85" s="97">
        <f t="shared" ref="H85:L85" si="497">H84</f>
        <v>25.6</v>
      </c>
      <c r="I85" s="98">
        <f t="shared" si="497"/>
        <v>0</v>
      </c>
      <c r="J85" s="99">
        <f t="shared" si="497"/>
        <v>20.9</v>
      </c>
      <c r="K85" s="99">
        <f t="shared" si="497"/>
        <v>7.883</v>
      </c>
      <c r="L85" s="99">
        <f t="shared" si="497"/>
        <v>0.55400000000000005</v>
      </c>
      <c r="M85" s="53"/>
      <c r="N85" s="53"/>
      <c r="O85" s="100">
        <f t="shared" ref="O85:P85" si="498">O84</f>
        <v>100.62</v>
      </c>
      <c r="P85" s="101" t="str">
        <f t="shared" si="498"/>
        <v>2,29,560</v>
      </c>
      <c r="Q85" s="11" t="str">
        <f t="shared" si="470"/>
        <v>2</v>
      </c>
      <c r="R85" s="11" t="str">
        <f t="shared" si="471"/>
        <v>29,560</v>
      </c>
      <c r="S85" s="11">
        <f t="shared" si="472"/>
        <v>4.1544444444444446E-2</v>
      </c>
      <c r="T85" s="14">
        <f t="shared" si="473"/>
        <v>2421.9844878309709</v>
      </c>
      <c r="U85" s="39">
        <f t="shared" si="474"/>
        <v>-100</v>
      </c>
      <c r="V85" s="105">
        <f t="shared" ref="V85:W85" si="499">V84</f>
        <v>20.399999999999999</v>
      </c>
      <c r="W85" s="105">
        <f t="shared" si="499"/>
        <v>1.5069999999999999</v>
      </c>
      <c r="X85" s="106">
        <f t="shared" si="408"/>
        <v>1.504</v>
      </c>
      <c r="Y85" s="53"/>
      <c r="Z85" s="53"/>
      <c r="AA85" s="107">
        <f t="shared" ref="AA85:AB85" si="500">AA84</f>
        <v>10.015000000000001</v>
      </c>
      <c r="AB85" s="108" t="str">
        <f t="shared" si="500"/>
        <v>22,10,090</v>
      </c>
      <c r="AC85" s="11" t="str">
        <f t="shared" si="477"/>
        <v>22</v>
      </c>
      <c r="AD85" s="11" t="str">
        <f t="shared" si="478"/>
        <v>10,090</v>
      </c>
      <c r="AE85" s="11">
        <f t="shared" si="479"/>
        <v>0.36946944444444441</v>
      </c>
      <c r="AF85" s="14">
        <f t="shared" si="480"/>
        <v>27.106436406558959</v>
      </c>
      <c r="AG85" s="41">
        <f t="shared" si="481"/>
        <v>-100</v>
      </c>
      <c r="AH85" s="105">
        <f t="shared" si="423"/>
        <v>20.3</v>
      </c>
      <c r="AI85" s="105">
        <f t="shared" si="423"/>
        <v>1.5089999999999999</v>
      </c>
      <c r="AJ85" s="105">
        <f t="shared" si="423"/>
        <v>1.504</v>
      </c>
      <c r="AK85" s="53">
        <f t="shared" si="482"/>
        <v>0</v>
      </c>
      <c r="AL85" s="53"/>
      <c r="AM85" s="54">
        <f t="shared" ref="AM85:AN85" si="501">AM84</f>
        <v>5.0129999999999999</v>
      </c>
      <c r="AN85" s="101" t="str">
        <f t="shared" si="501"/>
        <v>17,59,050</v>
      </c>
      <c r="AO85" s="11" t="str">
        <f t="shared" si="484"/>
        <v>17</v>
      </c>
      <c r="AP85" s="11" t="str">
        <f t="shared" si="485"/>
        <v>59,050</v>
      </c>
      <c r="AQ85" s="11">
        <f t="shared" si="486"/>
        <v>0.29973611111111109</v>
      </c>
      <c r="AR85" s="14">
        <f t="shared" si="487"/>
        <v>16.724711551827998</v>
      </c>
      <c r="AS85" s="41">
        <f t="shared" si="488"/>
        <v>-100</v>
      </c>
      <c r="AT85" s="43" t="str">
        <f t="shared" si="489"/>
        <v>NO CONFORME</v>
      </c>
      <c r="AU85" s="8" t="b">
        <f t="shared" si="411"/>
        <v>1</v>
      </c>
      <c r="AV85" s="8" t="b">
        <f t="shared" si="412"/>
        <v>0</v>
      </c>
      <c r="AW85" s="8" t="b">
        <f t="shared" si="413"/>
        <v>1</v>
      </c>
      <c r="AX85" s="8" t="str">
        <f t="shared" si="414"/>
        <v>Qcorrecto</v>
      </c>
      <c r="AY85" s="22" t="str">
        <f t="shared" si="394"/>
        <v>aceptable</v>
      </c>
      <c r="AZ85" s="22" t="str">
        <f t="shared" si="395"/>
        <v>aceptable</v>
      </c>
      <c r="BA85" s="22" t="str">
        <f t="shared" si="415"/>
        <v>aceptable</v>
      </c>
      <c r="BB85" s="25" t="str">
        <f t="shared" si="416"/>
        <v>NO CONFORME</v>
      </c>
      <c r="BC85" s="5" t="str">
        <f t="shared" si="417"/>
        <v>NO CONFORME</v>
      </c>
      <c r="BD85" s="15">
        <f t="shared" si="396"/>
        <v>-1</v>
      </c>
      <c r="BE85" s="15">
        <f t="shared" si="397"/>
        <v>-1</v>
      </c>
      <c r="BF85" s="15">
        <f t="shared" si="398"/>
        <v>-1</v>
      </c>
      <c r="BG85" s="15" t="str">
        <f t="shared" si="399"/>
        <v>-1-1-1</v>
      </c>
      <c r="BH85" s="15" t="str">
        <f t="shared" si="400"/>
        <v>SD</v>
      </c>
      <c r="BI85" s="15" t="str">
        <f t="shared" si="401"/>
        <v>SI</v>
      </c>
      <c r="BJ85" s="15" t="b">
        <f t="shared" si="402"/>
        <v>1</v>
      </c>
      <c r="BK85" s="15" t="str">
        <f t="shared" si="403"/>
        <v>SIGIGUALES</v>
      </c>
      <c r="BL85" s="22" t="str">
        <f t="shared" si="404"/>
        <v>NO CONFORME</v>
      </c>
    </row>
    <row r="86" spans="1:64" ht="15.75" thickBot="1" x14ac:dyDescent="0.3">
      <c r="A86" s="37">
        <v>78</v>
      </c>
      <c r="B86" s="93">
        <f t="shared" ref="B86:E86" si="502">B85</f>
        <v>45919</v>
      </c>
      <c r="C86" s="93">
        <f t="shared" si="502"/>
        <v>45919</v>
      </c>
      <c r="D86" s="94">
        <f t="shared" si="502"/>
        <v>6</v>
      </c>
      <c r="E86" s="95">
        <f t="shared" si="502"/>
        <v>15</v>
      </c>
      <c r="F86" s="52"/>
      <c r="G86" s="96"/>
      <c r="H86" s="97">
        <f t="shared" ref="H86:L86" si="503">H85</f>
        <v>25.6</v>
      </c>
      <c r="I86" s="98">
        <f t="shared" si="503"/>
        <v>0</v>
      </c>
      <c r="J86" s="99">
        <f t="shared" si="503"/>
        <v>20.9</v>
      </c>
      <c r="K86" s="99">
        <f t="shared" si="503"/>
        <v>7.883</v>
      </c>
      <c r="L86" s="99">
        <f t="shared" si="503"/>
        <v>0.55400000000000005</v>
      </c>
      <c r="M86" s="53"/>
      <c r="N86" s="53"/>
      <c r="O86" s="100">
        <f t="shared" ref="O86:P86" si="504">O85</f>
        <v>100.62</v>
      </c>
      <c r="P86" s="101" t="str">
        <f t="shared" si="504"/>
        <v>2,29,560</v>
      </c>
      <c r="Q86" s="11" t="str">
        <f t="shared" si="470"/>
        <v>2</v>
      </c>
      <c r="R86" s="11" t="str">
        <f t="shared" si="471"/>
        <v>29,560</v>
      </c>
      <c r="S86" s="11">
        <f t="shared" si="472"/>
        <v>4.1544444444444446E-2</v>
      </c>
      <c r="T86" s="14">
        <f t="shared" si="473"/>
        <v>2421.9844878309709</v>
      </c>
      <c r="U86" s="39">
        <f t="shared" si="474"/>
        <v>-100</v>
      </c>
      <c r="V86" s="105">
        <f t="shared" ref="V86:W86" si="505">V85</f>
        <v>20.399999999999999</v>
      </c>
      <c r="W86" s="105">
        <f t="shared" si="505"/>
        <v>1.5069999999999999</v>
      </c>
      <c r="X86" s="106">
        <f t="shared" si="408"/>
        <v>1.504</v>
      </c>
      <c r="Y86" s="53"/>
      <c r="Z86" s="53"/>
      <c r="AA86" s="107">
        <f t="shared" ref="AA86:AB86" si="506">AA85</f>
        <v>10.015000000000001</v>
      </c>
      <c r="AB86" s="108" t="str">
        <f t="shared" si="506"/>
        <v>22,10,090</v>
      </c>
      <c r="AC86" s="11" t="str">
        <f t="shared" si="477"/>
        <v>22</v>
      </c>
      <c r="AD86" s="11" t="str">
        <f t="shared" si="478"/>
        <v>10,090</v>
      </c>
      <c r="AE86" s="11">
        <f t="shared" si="479"/>
        <v>0.36946944444444441</v>
      </c>
      <c r="AF86" s="14">
        <f t="shared" si="480"/>
        <v>27.106436406558959</v>
      </c>
      <c r="AG86" s="41">
        <f t="shared" si="481"/>
        <v>-100</v>
      </c>
      <c r="AH86" s="105">
        <f t="shared" si="423"/>
        <v>20.3</v>
      </c>
      <c r="AI86" s="105">
        <f t="shared" si="423"/>
        <v>1.5089999999999999</v>
      </c>
      <c r="AJ86" s="105">
        <f t="shared" si="423"/>
        <v>1.504</v>
      </c>
      <c r="AK86" s="53">
        <f t="shared" si="482"/>
        <v>0</v>
      </c>
      <c r="AL86" s="53"/>
      <c r="AM86" s="54">
        <f t="shared" ref="AM86:AN86" si="507">AM85</f>
        <v>5.0129999999999999</v>
      </c>
      <c r="AN86" s="101" t="str">
        <f t="shared" si="507"/>
        <v>17,59,050</v>
      </c>
      <c r="AO86" s="11" t="str">
        <f t="shared" si="484"/>
        <v>17</v>
      </c>
      <c r="AP86" s="11" t="str">
        <f t="shared" si="485"/>
        <v>59,050</v>
      </c>
      <c r="AQ86" s="11">
        <f t="shared" si="486"/>
        <v>0.29973611111111109</v>
      </c>
      <c r="AR86" s="14">
        <f t="shared" si="487"/>
        <v>16.724711551827998</v>
      </c>
      <c r="AS86" s="41">
        <f t="shared" si="488"/>
        <v>-100</v>
      </c>
      <c r="AT86" s="43" t="str">
        <f t="shared" si="489"/>
        <v>NO CONFORME</v>
      </c>
      <c r="AU86" s="8" t="b">
        <f t="shared" si="411"/>
        <v>1</v>
      </c>
      <c r="AV86" s="8" t="b">
        <f t="shared" si="412"/>
        <v>0</v>
      </c>
      <c r="AW86" s="8" t="b">
        <f t="shared" si="413"/>
        <v>1</v>
      </c>
      <c r="AX86" s="8" t="str">
        <f t="shared" si="414"/>
        <v>Qcorrecto</v>
      </c>
      <c r="AY86" s="22" t="str">
        <f t="shared" si="394"/>
        <v>aceptable</v>
      </c>
      <c r="AZ86" s="22" t="str">
        <f t="shared" si="395"/>
        <v>aceptable</v>
      </c>
      <c r="BA86" s="22" t="str">
        <f t="shared" si="415"/>
        <v>aceptable</v>
      </c>
      <c r="BB86" s="25" t="str">
        <f t="shared" si="416"/>
        <v>NO CONFORME</v>
      </c>
      <c r="BC86" s="5" t="str">
        <f t="shared" si="417"/>
        <v>NO CONFORME</v>
      </c>
      <c r="BD86" s="15">
        <f t="shared" si="396"/>
        <v>-1</v>
      </c>
      <c r="BE86" s="15">
        <f t="shared" si="397"/>
        <v>-1</v>
      </c>
      <c r="BF86" s="15">
        <f t="shared" si="398"/>
        <v>-1</v>
      </c>
      <c r="BG86" s="15" t="str">
        <f t="shared" si="399"/>
        <v>-1-1-1</v>
      </c>
      <c r="BH86" s="15" t="str">
        <f t="shared" si="400"/>
        <v>SD</v>
      </c>
      <c r="BI86" s="15" t="str">
        <f t="shared" si="401"/>
        <v>SI</v>
      </c>
      <c r="BJ86" s="15" t="b">
        <f t="shared" si="402"/>
        <v>1</v>
      </c>
      <c r="BK86" s="15" t="str">
        <f t="shared" si="403"/>
        <v>SIGIGUALES</v>
      </c>
      <c r="BL86" s="22" t="str">
        <f t="shared" si="404"/>
        <v>NO CONFORME</v>
      </c>
    </row>
    <row r="87" spans="1:64" ht="15.75" thickBot="1" x14ac:dyDescent="0.3">
      <c r="A87" s="37">
        <v>79</v>
      </c>
      <c r="B87" s="93">
        <f t="shared" ref="B87:E87" si="508">B86</f>
        <v>45919</v>
      </c>
      <c r="C87" s="93">
        <f t="shared" si="508"/>
        <v>45919</v>
      </c>
      <c r="D87" s="94">
        <f t="shared" si="508"/>
        <v>6</v>
      </c>
      <c r="E87" s="95">
        <f t="shared" si="508"/>
        <v>15</v>
      </c>
      <c r="F87" s="52"/>
      <c r="G87" s="96"/>
      <c r="H87" s="97">
        <f t="shared" ref="H87:L87" si="509">H86</f>
        <v>25.6</v>
      </c>
      <c r="I87" s="98">
        <f t="shared" si="509"/>
        <v>0</v>
      </c>
      <c r="J87" s="99">
        <f t="shared" si="509"/>
        <v>20.9</v>
      </c>
      <c r="K87" s="99">
        <f t="shared" si="509"/>
        <v>7.883</v>
      </c>
      <c r="L87" s="99">
        <f t="shared" si="509"/>
        <v>0.55400000000000005</v>
      </c>
      <c r="M87" s="53"/>
      <c r="N87" s="53"/>
      <c r="O87" s="100">
        <f t="shared" ref="O87:P87" si="510">O86</f>
        <v>100.62</v>
      </c>
      <c r="P87" s="101" t="str">
        <f t="shared" si="510"/>
        <v>2,29,560</v>
      </c>
      <c r="Q87" s="11" t="str">
        <f t="shared" si="470"/>
        <v>2</v>
      </c>
      <c r="R87" s="11" t="str">
        <f t="shared" si="471"/>
        <v>29,560</v>
      </c>
      <c r="S87" s="11">
        <f t="shared" si="472"/>
        <v>4.1544444444444446E-2</v>
      </c>
      <c r="T87" s="14">
        <f t="shared" si="473"/>
        <v>2421.9844878309709</v>
      </c>
      <c r="U87" s="39">
        <f t="shared" si="474"/>
        <v>-100</v>
      </c>
      <c r="V87" s="105">
        <f t="shared" ref="V87:W87" si="511">V86</f>
        <v>20.399999999999999</v>
      </c>
      <c r="W87" s="105">
        <f t="shared" si="511"/>
        <v>1.5069999999999999</v>
      </c>
      <c r="X87" s="106">
        <f t="shared" si="408"/>
        <v>1.504</v>
      </c>
      <c r="Y87" s="53"/>
      <c r="Z87" s="53"/>
      <c r="AA87" s="107">
        <f t="shared" ref="AA87:AB87" si="512">AA86</f>
        <v>10.015000000000001</v>
      </c>
      <c r="AB87" s="108" t="str">
        <f t="shared" si="512"/>
        <v>22,10,090</v>
      </c>
      <c r="AC87" s="11" t="str">
        <f t="shared" si="477"/>
        <v>22</v>
      </c>
      <c r="AD87" s="11" t="str">
        <f t="shared" si="478"/>
        <v>10,090</v>
      </c>
      <c r="AE87" s="11">
        <f t="shared" si="479"/>
        <v>0.36946944444444441</v>
      </c>
      <c r="AF87" s="14">
        <f t="shared" si="480"/>
        <v>27.106436406558959</v>
      </c>
      <c r="AG87" s="41">
        <f t="shared" si="481"/>
        <v>-100</v>
      </c>
      <c r="AH87" s="105">
        <f t="shared" si="423"/>
        <v>20.3</v>
      </c>
      <c r="AI87" s="105">
        <f t="shared" si="423"/>
        <v>1.5089999999999999</v>
      </c>
      <c r="AJ87" s="105">
        <f t="shared" si="423"/>
        <v>1.504</v>
      </c>
      <c r="AK87" s="53">
        <f t="shared" si="482"/>
        <v>0</v>
      </c>
      <c r="AL87" s="53"/>
      <c r="AM87" s="54">
        <f t="shared" ref="AM87:AN87" si="513">AM86</f>
        <v>5.0129999999999999</v>
      </c>
      <c r="AN87" s="101" t="str">
        <f t="shared" si="513"/>
        <v>17,59,050</v>
      </c>
      <c r="AO87" s="11" t="str">
        <f t="shared" si="484"/>
        <v>17</v>
      </c>
      <c r="AP87" s="11" t="str">
        <f t="shared" si="485"/>
        <v>59,050</v>
      </c>
      <c r="AQ87" s="11">
        <f t="shared" si="486"/>
        <v>0.29973611111111109</v>
      </c>
      <c r="AR87" s="14">
        <f t="shared" si="487"/>
        <v>16.724711551827998</v>
      </c>
      <c r="AS87" s="41">
        <f t="shared" si="488"/>
        <v>-100</v>
      </c>
      <c r="AT87" s="43" t="str">
        <f t="shared" si="489"/>
        <v>NO CONFORME</v>
      </c>
      <c r="AU87" s="8" t="b">
        <f t="shared" si="411"/>
        <v>1</v>
      </c>
      <c r="AV87" s="8" t="b">
        <f t="shared" si="412"/>
        <v>0</v>
      </c>
      <c r="AW87" s="8" t="b">
        <f t="shared" si="413"/>
        <v>1</v>
      </c>
      <c r="AX87" s="8" t="str">
        <f t="shared" si="414"/>
        <v>Qcorrecto</v>
      </c>
      <c r="AY87" s="22" t="str">
        <f t="shared" si="394"/>
        <v>aceptable</v>
      </c>
      <c r="AZ87" s="22" t="str">
        <f t="shared" si="395"/>
        <v>aceptable</v>
      </c>
      <c r="BA87" s="22" t="str">
        <f t="shared" si="415"/>
        <v>aceptable</v>
      </c>
      <c r="BB87" s="25" t="str">
        <f t="shared" si="416"/>
        <v>NO CONFORME</v>
      </c>
      <c r="BC87" s="5" t="str">
        <f t="shared" si="417"/>
        <v>NO CONFORME</v>
      </c>
      <c r="BD87" s="15">
        <f t="shared" si="396"/>
        <v>-1</v>
      </c>
      <c r="BE87" s="15">
        <f t="shared" si="397"/>
        <v>-1</v>
      </c>
      <c r="BF87" s="15">
        <f t="shared" si="398"/>
        <v>-1</v>
      </c>
      <c r="BG87" s="15" t="str">
        <f t="shared" si="399"/>
        <v>-1-1-1</v>
      </c>
      <c r="BH87" s="15" t="str">
        <f t="shared" si="400"/>
        <v>SD</v>
      </c>
      <c r="BI87" s="15" t="str">
        <f t="shared" si="401"/>
        <v>SI</v>
      </c>
      <c r="BJ87" s="15" t="b">
        <f t="shared" si="402"/>
        <v>1</v>
      </c>
      <c r="BK87" s="15" t="str">
        <f t="shared" si="403"/>
        <v>SIGIGUALES</v>
      </c>
      <c r="BL87" s="22" t="str">
        <f t="shared" si="404"/>
        <v>NO CONFORME</v>
      </c>
    </row>
    <row r="88" spans="1:64" ht="15.75" thickBot="1" x14ac:dyDescent="0.3">
      <c r="A88" s="37">
        <v>80</v>
      </c>
      <c r="B88" s="93">
        <f t="shared" ref="B88:E88" si="514">B87</f>
        <v>45919</v>
      </c>
      <c r="C88" s="93">
        <f t="shared" si="514"/>
        <v>45919</v>
      </c>
      <c r="D88" s="94">
        <f t="shared" si="514"/>
        <v>6</v>
      </c>
      <c r="E88" s="95">
        <f t="shared" si="514"/>
        <v>15</v>
      </c>
      <c r="F88" s="52"/>
      <c r="G88" s="96"/>
      <c r="H88" s="97">
        <f t="shared" ref="H88:L88" si="515">H87</f>
        <v>25.6</v>
      </c>
      <c r="I88" s="98">
        <f t="shared" si="515"/>
        <v>0</v>
      </c>
      <c r="J88" s="99">
        <f t="shared" si="515"/>
        <v>20.9</v>
      </c>
      <c r="K88" s="99">
        <f t="shared" si="515"/>
        <v>7.883</v>
      </c>
      <c r="L88" s="99">
        <f t="shared" si="515"/>
        <v>0.55400000000000005</v>
      </c>
      <c r="M88" s="53"/>
      <c r="N88" s="53"/>
      <c r="O88" s="100">
        <f t="shared" ref="O88:P88" si="516">O87</f>
        <v>100.62</v>
      </c>
      <c r="P88" s="101" t="str">
        <f t="shared" si="516"/>
        <v>2,29,560</v>
      </c>
      <c r="Q88" s="11" t="str">
        <f t="shared" si="470"/>
        <v>2</v>
      </c>
      <c r="R88" s="11" t="str">
        <f t="shared" si="471"/>
        <v>29,560</v>
      </c>
      <c r="S88" s="11">
        <f t="shared" si="472"/>
        <v>4.1544444444444446E-2</v>
      </c>
      <c r="T88" s="14">
        <f t="shared" si="473"/>
        <v>2421.9844878309709</v>
      </c>
      <c r="U88" s="39">
        <f t="shared" si="474"/>
        <v>-100</v>
      </c>
      <c r="V88" s="105">
        <f t="shared" ref="V88:W88" si="517">V87</f>
        <v>20.399999999999999</v>
      </c>
      <c r="W88" s="105">
        <f t="shared" si="517"/>
        <v>1.5069999999999999</v>
      </c>
      <c r="X88" s="106">
        <f t="shared" si="408"/>
        <v>1.504</v>
      </c>
      <c r="Y88" s="53"/>
      <c r="Z88" s="53"/>
      <c r="AA88" s="107">
        <f t="shared" ref="AA88:AB88" si="518">AA87</f>
        <v>10.015000000000001</v>
      </c>
      <c r="AB88" s="108" t="str">
        <f t="shared" si="518"/>
        <v>22,10,090</v>
      </c>
      <c r="AC88" s="11" t="str">
        <f t="shared" si="477"/>
        <v>22</v>
      </c>
      <c r="AD88" s="11" t="str">
        <f t="shared" si="478"/>
        <v>10,090</v>
      </c>
      <c r="AE88" s="11">
        <f t="shared" si="479"/>
        <v>0.36946944444444441</v>
      </c>
      <c r="AF88" s="14">
        <f t="shared" si="480"/>
        <v>27.106436406558959</v>
      </c>
      <c r="AG88" s="41">
        <f t="shared" si="481"/>
        <v>-100</v>
      </c>
      <c r="AH88" s="105">
        <f t="shared" si="423"/>
        <v>20.3</v>
      </c>
      <c r="AI88" s="105">
        <f t="shared" si="423"/>
        <v>1.5089999999999999</v>
      </c>
      <c r="AJ88" s="105">
        <f t="shared" si="423"/>
        <v>1.504</v>
      </c>
      <c r="AK88" s="53">
        <f t="shared" si="482"/>
        <v>0</v>
      </c>
      <c r="AL88" s="53"/>
      <c r="AM88" s="54">
        <f t="shared" ref="AM88:AN88" si="519">AM87</f>
        <v>5.0129999999999999</v>
      </c>
      <c r="AN88" s="101" t="str">
        <f t="shared" si="519"/>
        <v>17,59,050</v>
      </c>
      <c r="AO88" s="11" t="str">
        <f t="shared" si="484"/>
        <v>17</v>
      </c>
      <c r="AP88" s="11" t="str">
        <f t="shared" si="485"/>
        <v>59,050</v>
      </c>
      <c r="AQ88" s="11">
        <f t="shared" si="486"/>
        <v>0.29973611111111109</v>
      </c>
      <c r="AR88" s="14">
        <f t="shared" si="487"/>
        <v>16.724711551827998</v>
      </c>
      <c r="AS88" s="41">
        <f t="shared" si="488"/>
        <v>-100</v>
      </c>
      <c r="AT88" s="43" t="str">
        <f t="shared" si="489"/>
        <v>NO CONFORME</v>
      </c>
      <c r="AU88" s="8" t="b">
        <f t="shared" si="411"/>
        <v>1</v>
      </c>
      <c r="AV88" s="8" t="b">
        <f t="shared" si="412"/>
        <v>0</v>
      </c>
      <c r="AW88" s="8" t="b">
        <f t="shared" si="413"/>
        <v>1</v>
      </c>
      <c r="AX88" s="8" t="str">
        <f t="shared" si="414"/>
        <v>Qcorrecto</v>
      </c>
      <c r="AY88" s="22" t="str">
        <f t="shared" si="394"/>
        <v>aceptable</v>
      </c>
      <c r="AZ88" s="22" t="str">
        <f t="shared" si="395"/>
        <v>aceptable</v>
      </c>
      <c r="BA88" s="22" t="str">
        <f t="shared" si="415"/>
        <v>aceptable</v>
      </c>
      <c r="BB88" s="25" t="str">
        <f t="shared" si="416"/>
        <v>NO CONFORME</v>
      </c>
      <c r="BC88" s="5" t="str">
        <f t="shared" si="417"/>
        <v>NO CONFORME</v>
      </c>
      <c r="BD88" s="15">
        <f t="shared" si="396"/>
        <v>-1</v>
      </c>
      <c r="BE88" s="15">
        <f t="shared" si="397"/>
        <v>-1</v>
      </c>
      <c r="BF88" s="15">
        <f t="shared" si="398"/>
        <v>-1</v>
      </c>
      <c r="BG88" s="15" t="str">
        <f t="shared" si="399"/>
        <v>-1-1-1</v>
      </c>
      <c r="BH88" s="15" t="str">
        <f t="shared" si="400"/>
        <v>SD</v>
      </c>
      <c r="BI88" s="15" t="str">
        <f t="shared" si="401"/>
        <v>SI</v>
      </c>
      <c r="BJ88" s="15" t="b">
        <f t="shared" si="402"/>
        <v>1</v>
      </c>
      <c r="BK88" s="15" t="str">
        <f t="shared" si="403"/>
        <v>SIGIGUALES</v>
      </c>
      <c r="BL88" s="22" t="str">
        <f t="shared" si="404"/>
        <v>NO CONFORME</v>
      </c>
    </row>
    <row r="89" spans="1:64" ht="15.75" thickBot="1" x14ac:dyDescent="0.3">
      <c r="A89" s="37">
        <v>81</v>
      </c>
      <c r="B89" s="93">
        <f t="shared" ref="B89:E89" si="520">B88</f>
        <v>45919</v>
      </c>
      <c r="C89" s="93">
        <f t="shared" si="520"/>
        <v>45919</v>
      </c>
      <c r="D89" s="94">
        <f t="shared" si="520"/>
        <v>6</v>
      </c>
      <c r="E89" s="95">
        <f t="shared" si="520"/>
        <v>15</v>
      </c>
      <c r="F89" s="52"/>
      <c r="G89" s="96"/>
      <c r="H89" s="97">
        <f t="shared" ref="H89:L89" si="521">H88</f>
        <v>25.6</v>
      </c>
      <c r="I89" s="98">
        <f t="shared" si="521"/>
        <v>0</v>
      </c>
      <c r="J89" s="99">
        <f t="shared" si="521"/>
        <v>20.9</v>
      </c>
      <c r="K89" s="99">
        <f t="shared" si="521"/>
        <v>7.883</v>
      </c>
      <c r="L89" s="99">
        <f t="shared" si="521"/>
        <v>0.55400000000000005</v>
      </c>
      <c r="M89" s="53"/>
      <c r="N89" s="53"/>
      <c r="O89" s="100">
        <f t="shared" ref="O89:P89" si="522">O88</f>
        <v>100.62</v>
      </c>
      <c r="P89" s="101" t="str">
        <f t="shared" si="522"/>
        <v>2,29,560</v>
      </c>
      <c r="Q89" s="11" t="str">
        <f t="shared" si="470"/>
        <v>2</v>
      </c>
      <c r="R89" s="11" t="str">
        <f t="shared" si="471"/>
        <v>29,560</v>
      </c>
      <c r="S89" s="11">
        <f t="shared" si="472"/>
        <v>4.1544444444444446E-2</v>
      </c>
      <c r="T89" s="14">
        <f t="shared" si="473"/>
        <v>2421.9844878309709</v>
      </c>
      <c r="U89" s="39">
        <f t="shared" si="474"/>
        <v>-100</v>
      </c>
      <c r="V89" s="105">
        <f t="shared" ref="V89:W89" si="523">V88</f>
        <v>20.399999999999999</v>
      </c>
      <c r="W89" s="105">
        <f t="shared" si="523"/>
        <v>1.5069999999999999</v>
      </c>
      <c r="X89" s="106">
        <f t="shared" si="408"/>
        <v>1.504</v>
      </c>
      <c r="Y89" s="53"/>
      <c r="Z89" s="53"/>
      <c r="AA89" s="107">
        <f t="shared" ref="AA89:AB89" si="524">AA88</f>
        <v>10.015000000000001</v>
      </c>
      <c r="AB89" s="108" t="str">
        <f t="shared" si="524"/>
        <v>22,10,090</v>
      </c>
      <c r="AC89" s="11" t="str">
        <f t="shared" si="477"/>
        <v>22</v>
      </c>
      <c r="AD89" s="11" t="str">
        <f t="shared" si="478"/>
        <v>10,090</v>
      </c>
      <c r="AE89" s="11">
        <f t="shared" si="479"/>
        <v>0.36946944444444441</v>
      </c>
      <c r="AF89" s="14">
        <f t="shared" si="480"/>
        <v>27.106436406558959</v>
      </c>
      <c r="AG89" s="41">
        <f t="shared" si="481"/>
        <v>-100</v>
      </c>
      <c r="AH89" s="105">
        <f t="shared" si="423"/>
        <v>20.3</v>
      </c>
      <c r="AI89" s="105">
        <f t="shared" si="423"/>
        <v>1.5089999999999999</v>
      </c>
      <c r="AJ89" s="105">
        <f t="shared" si="423"/>
        <v>1.504</v>
      </c>
      <c r="AK89" s="53">
        <f t="shared" si="482"/>
        <v>0</v>
      </c>
      <c r="AL89" s="53"/>
      <c r="AM89" s="54">
        <f t="shared" ref="AM89:AN89" si="525">AM88</f>
        <v>5.0129999999999999</v>
      </c>
      <c r="AN89" s="101" t="str">
        <f t="shared" si="525"/>
        <v>17,59,050</v>
      </c>
      <c r="AO89" s="11" t="str">
        <f t="shared" si="484"/>
        <v>17</v>
      </c>
      <c r="AP89" s="11" t="str">
        <f t="shared" si="485"/>
        <v>59,050</v>
      </c>
      <c r="AQ89" s="11">
        <f t="shared" si="486"/>
        <v>0.29973611111111109</v>
      </c>
      <c r="AR89" s="14">
        <f t="shared" si="487"/>
        <v>16.724711551827998</v>
      </c>
      <c r="AS89" s="41">
        <f t="shared" si="488"/>
        <v>-100</v>
      </c>
      <c r="AT89" s="43" t="str">
        <f t="shared" si="489"/>
        <v>NO CONFORME</v>
      </c>
      <c r="AU89" s="8" t="b">
        <f t="shared" si="411"/>
        <v>1</v>
      </c>
      <c r="AV89" s="8" t="b">
        <f t="shared" si="412"/>
        <v>0</v>
      </c>
      <c r="AW89" s="8" t="b">
        <f t="shared" si="413"/>
        <v>1</v>
      </c>
      <c r="AX89" s="8" t="str">
        <f t="shared" si="414"/>
        <v>Qcorrecto</v>
      </c>
      <c r="AY89" s="22" t="str">
        <f t="shared" si="394"/>
        <v>aceptable</v>
      </c>
      <c r="AZ89" s="22" t="str">
        <f t="shared" si="395"/>
        <v>aceptable</v>
      </c>
      <c r="BA89" s="22" t="str">
        <f t="shared" si="415"/>
        <v>aceptable</v>
      </c>
      <c r="BB89" s="25" t="str">
        <f t="shared" si="416"/>
        <v>NO CONFORME</v>
      </c>
      <c r="BC89" s="5" t="str">
        <f t="shared" si="417"/>
        <v>NO CONFORME</v>
      </c>
      <c r="BD89" s="15">
        <f t="shared" si="396"/>
        <v>-1</v>
      </c>
      <c r="BE89" s="15">
        <f t="shared" si="397"/>
        <v>-1</v>
      </c>
      <c r="BF89" s="15">
        <f t="shared" si="398"/>
        <v>-1</v>
      </c>
      <c r="BG89" s="15" t="str">
        <f t="shared" si="399"/>
        <v>-1-1-1</v>
      </c>
      <c r="BH89" s="15" t="str">
        <f t="shared" si="400"/>
        <v>SD</v>
      </c>
      <c r="BI89" s="15" t="str">
        <f t="shared" si="401"/>
        <v>SI</v>
      </c>
      <c r="BJ89" s="15" t="b">
        <f t="shared" si="402"/>
        <v>1</v>
      </c>
      <c r="BK89" s="15" t="str">
        <f t="shared" si="403"/>
        <v>SIGIGUALES</v>
      </c>
      <c r="BL89" s="22" t="str">
        <f t="shared" si="404"/>
        <v>NO CONFORME</v>
      </c>
    </row>
    <row r="90" spans="1:64" ht="15.75" thickBot="1" x14ac:dyDescent="0.3">
      <c r="A90" s="37">
        <v>82</v>
      </c>
      <c r="B90" s="93">
        <f t="shared" ref="B90:E90" si="526">B89</f>
        <v>45919</v>
      </c>
      <c r="C90" s="93">
        <f t="shared" si="526"/>
        <v>45919</v>
      </c>
      <c r="D90" s="94">
        <f t="shared" si="526"/>
        <v>6</v>
      </c>
      <c r="E90" s="95">
        <f t="shared" si="526"/>
        <v>15</v>
      </c>
      <c r="F90" s="52"/>
      <c r="G90" s="96"/>
      <c r="H90" s="97">
        <f t="shared" ref="H90:L90" si="527">H89</f>
        <v>25.6</v>
      </c>
      <c r="I90" s="98">
        <f t="shared" si="527"/>
        <v>0</v>
      </c>
      <c r="J90" s="99">
        <f t="shared" si="527"/>
        <v>20.9</v>
      </c>
      <c r="K90" s="99">
        <f t="shared" si="527"/>
        <v>7.883</v>
      </c>
      <c r="L90" s="99">
        <f t="shared" si="527"/>
        <v>0.55400000000000005</v>
      </c>
      <c r="M90" s="53"/>
      <c r="N90" s="53"/>
      <c r="O90" s="100">
        <f t="shared" ref="O90:P90" si="528">O89</f>
        <v>100.62</v>
      </c>
      <c r="P90" s="101" t="str">
        <f t="shared" si="528"/>
        <v>2,29,560</v>
      </c>
      <c r="Q90" s="11" t="str">
        <f t="shared" si="470"/>
        <v>2</v>
      </c>
      <c r="R90" s="11" t="str">
        <f t="shared" si="471"/>
        <v>29,560</v>
      </c>
      <c r="S90" s="11">
        <f t="shared" si="472"/>
        <v>4.1544444444444446E-2</v>
      </c>
      <c r="T90" s="14">
        <f t="shared" si="473"/>
        <v>2421.9844878309709</v>
      </c>
      <c r="U90" s="39">
        <f t="shared" si="474"/>
        <v>-100</v>
      </c>
      <c r="V90" s="105">
        <f t="shared" ref="V90:X105" si="529">V89</f>
        <v>20.399999999999999</v>
      </c>
      <c r="W90" s="105">
        <f t="shared" si="529"/>
        <v>1.5069999999999999</v>
      </c>
      <c r="X90" s="106">
        <f t="shared" si="529"/>
        <v>1.504</v>
      </c>
      <c r="Y90" s="53"/>
      <c r="Z90" s="53"/>
      <c r="AA90" s="107">
        <f t="shared" ref="AA90:AB90" si="530">AA89</f>
        <v>10.015000000000001</v>
      </c>
      <c r="AB90" s="108" t="str">
        <f t="shared" si="530"/>
        <v>22,10,090</v>
      </c>
      <c r="AC90" s="11" t="str">
        <f t="shared" si="477"/>
        <v>22</v>
      </c>
      <c r="AD90" s="11" t="str">
        <f t="shared" si="478"/>
        <v>10,090</v>
      </c>
      <c r="AE90" s="11">
        <f t="shared" si="479"/>
        <v>0.36946944444444441</v>
      </c>
      <c r="AF90" s="14">
        <f t="shared" si="480"/>
        <v>27.106436406558959</v>
      </c>
      <c r="AG90" s="41">
        <f t="shared" si="481"/>
        <v>-100</v>
      </c>
      <c r="AH90" s="105">
        <f t="shared" si="423"/>
        <v>20.3</v>
      </c>
      <c r="AI90" s="105">
        <f t="shared" si="423"/>
        <v>1.5089999999999999</v>
      </c>
      <c r="AJ90" s="105">
        <f t="shared" si="423"/>
        <v>1.504</v>
      </c>
      <c r="AK90" s="53">
        <f t="shared" si="482"/>
        <v>0</v>
      </c>
      <c r="AL90" s="53"/>
      <c r="AM90" s="54">
        <f t="shared" ref="AM90:AN90" si="531">AM89</f>
        <v>5.0129999999999999</v>
      </c>
      <c r="AN90" s="101" t="str">
        <f t="shared" si="531"/>
        <v>17,59,050</v>
      </c>
      <c r="AO90" s="11" t="str">
        <f t="shared" si="484"/>
        <v>17</v>
      </c>
      <c r="AP90" s="11" t="str">
        <f t="shared" si="485"/>
        <v>59,050</v>
      </c>
      <c r="AQ90" s="11">
        <f t="shared" si="486"/>
        <v>0.29973611111111109</v>
      </c>
      <c r="AR90" s="14">
        <f t="shared" si="487"/>
        <v>16.724711551827998</v>
      </c>
      <c r="AS90" s="41">
        <f t="shared" si="488"/>
        <v>-100</v>
      </c>
      <c r="AT90" s="43" t="str">
        <f t="shared" si="489"/>
        <v>NO CONFORME</v>
      </c>
      <c r="AU90" s="8" t="b">
        <f t="shared" si="411"/>
        <v>1</v>
      </c>
      <c r="AV90" s="8" t="b">
        <f t="shared" si="412"/>
        <v>0</v>
      </c>
      <c r="AW90" s="8" t="b">
        <f t="shared" si="413"/>
        <v>1</v>
      </c>
      <c r="AX90" s="8" t="str">
        <f t="shared" si="414"/>
        <v>Qcorrecto</v>
      </c>
      <c r="AY90" s="22" t="str">
        <f t="shared" si="394"/>
        <v>aceptable</v>
      </c>
      <c r="AZ90" s="22" t="str">
        <f t="shared" si="395"/>
        <v>aceptable</v>
      </c>
      <c r="BA90" s="22" t="str">
        <f t="shared" si="415"/>
        <v>aceptable</v>
      </c>
      <c r="BB90" s="25" t="str">
        <f t="shared" si="416"/>
        <v>NO CONFORME</v>
      </c>
      <c r="BC90" s="5" t="str">
        <f t="shared" si="417"/>
        <v>NO CONFORME</v>
      </c>
      <c r="BD90" s="15">
        <f t="shared" si="396"/>
        <v>-1</v>
      </c>
      <c r="BE90" s="15">
        <f t="shared" si="397"/>
        <v>-1</v>
      </c>
      <c r="BF90" s="15">
        <f t="shared" si="398"/>
        <v>-1</v>
      </c>
      <c r="BG90" s="15" t="str">
        <f t="shared" si="399"/>
        <v>-1-1-1</v>
      </c>
      <c r="BH90" s="15" t="str">
        <f t="shared" si="400"/>
        <v>SD</v>
      </c>
      <c r="BI90" s="15" t="str">
        <f t="shared" si="401"/>
        <v>SI</v>
      </c>
      <c r="BJ90" s="15" t="b">
        <f t="shared" si="402"/>
        <v>1</v>
      </c>
      <c r="BK90" s="15" t="str">
        <f t="shared" si="403"/>
        <v>SIGIGUALES</v>
      </c>
      <c r="BL90" s="22" t="str">
        <f t="shared" si="404"/>
        <v>NO CONFORME</v>
      </c>
    </row>
    <row r="91" spans="1:64" ht="15.75" thickBot="1" x14ac:dyDescent="0.3">
      <c r="A91" s="37">
        <v>83</v>
      </c>
      <c r="B91" s="93">
        <f t="shared" ref="B91:E91" si="532">B90</f>
        <v>45919</v>
      </c>
      <c r="C91" s="93">
        <f t="shared" si="532"/>
        <v>45919</v>
      </c>
      <c r="D91" s="94">
        <f t="shared" si="532"/>
        <v>6</v>
      </c>
      <c r="E91" s="95">
        <f t="shared" si="532"/>
        <v>15</v>
      </c>
      <c r="F91" s="52"/>
      <c r="G91" s="96"/>
      <c r="H91" s="97">
        <f t="shared" ref="H91:L91" si="533">H90</f>
        <v>25.6</v>
      </c>
      <c r="I91" s="98">
        <f t="shared" si="533"/>
        <v>0</v>
      </c>
      <c r="J91" s="99">
        <f t="shared" si="533"/>
        <v>20.9</v>
      </c>
      <c r="K91" s="99">
        <f t="shared" si="533"/>
        <v>7.883</v>
      </c>
      <c r="L91" s="99">
        <f t="shared" si="533"/>
        <v>0.55400000000000005</v>
      </c>
      <c r="M91" s="53"/>
      <c r="N91" s="53"/>
      <c r="O91" s="100">
        <f t="shared" ref="O91:P91" si="534">O90</f>
        <v>100.62</v>
      </c>
      <c r="P91" s="101" t="str">
        <f t="shared" si="534"/>
        <v>2,29,560</v>
      </c>
      <c r="Q91" s="11" t="str">
        <f t="shared" si="470"/>
        <v>2</v>
      </c>
      <c r="R91" s="11" t="str">
        <f t="shared" si="471"/>
        <v>29,560</v>
      </c>
      <c r="S91" s="11">
        <f t="shared" si="472"/>
        <v>4.1544444444444446E-2</v>
      </c>
      <c r="T91" s="14">
        <f t="shared" si="473"/>
        <v>2421.9844878309709</v>
      </c>
      <c r="U91" s="39">
        <f t="shared" si="474"/>
        <v>-100</v>
      </c>
      <c r="V91" s="105">
        <f t="shared" ref="V91:W91" si="535">V90</f>
        <v>20.399999999999999</v>
      </c>
      <c r="W91" s="105">
        <f t="shared" si="535"/>
        <v>1.5069999999999999</v>
      </c>
      <c r="X91" s="106">
        <f t="shared" si="529"/>
        <v>1.504</v>
      </c>
      <c r="Y91" s="53"/>
      <c r="Z91" s="53"/>
      <c r="AA91" s="107">
        <f t="shared" ref="AA91:AB91" si="536">AA90</f>
        <v>10.015000000000001</v>
      </c>
      <c r="AB91" s="108" t="str">
        <f t="shared" si="536"/>
        <v>22,10,090</v>
      </c>
      <c r="AC91" s="11" t="str">
        <f t="shared" si="477"/>
        <v>22</v>
      </c>
      <c r="AD91" s="11" t="str">
        <f t="shared" si="478"/>
        <v>10,090</v>
      </c>
      <c r="AE91" s="11">
        <f t="shared" si="479"/>
        <v>0.36946944444444441</v>
      </c>
      <c r="AF91" s="14">
        <f t="shared" si="480"/>
        <v>27.106436406558959</v>
      </c>
      <c r="AG91" s="41">
        <f t="shared" si="481"/>
        <v>-100</v>
      </c>
      <c r="AH91" s="105">
        <f t="shared" ref="AH91:AJ106" si="537">AH90</f>
        <v>20.3</v>
      </c>
      <c r="AI91" s="105">
        <f t="shared" si="537"/>
        <v>1.5089999999999999</v>
      </c>
      <c r="AJ91" s="105">
        <f t="shared" si="537"/>
        <v>1.504</v>
      </c>
      <c r="AK91" s="53">
        <f t="shared" si="482"/>
        <v>0</v>
      </c>
      <c r="AL91" s="53"/>
      <c r="AM91" s="54">
        <f t="shared" ref="AM91:AN91" si="538">AM90</f>
        <v>5.0129999999999999</v>
      </c>
      <c r="AN91" s="101" t="str">
        <f t="shared" si="538"/>
        <v>17,59,050</v>
      </c>
      <c r="AO91" s="11" t="str">
        <f t="shared" si="484"/>
        <v>17</v>
      </c>
      <c r="AP91" s="11" t="str">
        <f t="shared" si="485"/>
        <v>59,050</v>
      </c>
      <c r="AQ91" s="11">
        <f t="shared" si="486"/>
        <v>0.29973611111111109</v>
      </c>
      <c r="AR91" s="14">
        <f t="shared" si="487"/>
        <v>16.724711551827998</v>
      </c>
      <c r="AS91" s="41">
        <f t="shared" si="488"/>
        <v>-100</v>
      </c>
      <c r="AT91" s="43" t="str">
        <f t="shared" si="489"/>
        <v>NO CONFORME</v>
      </c>
      <c r="AU91" s="8" t="b">
        <f t="shared" si="411"/>
        <v>1</v>
      </c>
      <c r="AV91" s="8" t="b">
        <f t="shared" si="412"/>
        <v>0</v>
      </c>
      <c r="AW91" s="8" t="b">
        <f t="shared" si="413"/>
        <v>1</v>
      </c>
      <c r="AX91" s="8" t="str">
        <f t="shared" si="414"/>
        <v>Qcorrecto</v>
      </c>
      <c r="AY91" s="22" t="str">
        <f t="shared" si="394"/>
        <v>aceptable</v>
      </c>
      <c r="AZ91" s="22" t="str">
        <f t="shared" si="395"/>
        <v>aceptable</v>
      </c>
      <c r="BA91" s="22" t="str">
        <f t="shared" si="415"/>
        <v>aceptable</v>
      </c>
      <c r="BB91" s="25" t="str">
        <f t="shared" si="416"/>
        <v>NO CONFORME</v>
      </c>
      <c r="BC91" s="5" t="str">
        <f t="shared" si="417"/>
        <v>NO CONFORME</v>
      </c>
      <c r="BD91" s="15">
        <f t="shared" si="396"/>
        <v>-1</v>
      </c>
      <c r="BE91" s="15">
        <f t="shared" si="397"/>
        <v>-1</v>
      </c>
      <c r="BF91" s="15">
        <f t="shared" si="398"/>
        <v>-1</v>
      </c>
      <c r="BG91" s="15" t="str">
        <f t="shared" si="399"/>
        <v>-1-1-1</v>
      </c>
      <c r="BH91" s="15" t="str">
        <f t="shared" si="400"/>
        <v>SD</v>
      </c>
      <c r="BI91" s="15" t="str">
        <f t="shared" si="401"/>
        <v>SI</v>
      </c>
      <c r="BJ91" s="15" t="b">
        <f t="shared" si="402"/>
        <v>1</v>
      </c>
      <c r="BK91" s="15" t="str">
        <f t="shared" si="403"/>
        <v>SIGIGUALES</v>
      </c>
      <c r="BL91" s="22" t="str">
        <f t="shared" si="404"/>
        <v>NO CONFORME</v>
      </c>
    </row>
    <row r="92" spans="1:64" ht="15.75" thickBot="1" x14ac:dyDescent="0.3">
      <c r="A92" s="37">
        <v>84</v>
      </c>
      <c r="B92" s="93">
        <f t="shared" ref="B92:E92" si="539">B91</f>
        <v>45919</v>
      </c>
      <c r="C92" s="93">
        <f t="shared" si="539"/>
        <v>45919</v>
      </c>
      <c r="D92" s="94">
        <f t="shared" si="539"/>
        <v>6</v>
      </c>
      <c r="E92" s="95">
        <f t="shared" si="539"/>
        <v>15</v>
      </c>
      <c r="F92" s="52"/>
      <c r="G92" s="96"/>
      <c r="H92" s="97">
        <f t="shared" ref="H92:L92" si="540">H91</f>
        <v>25.6</v>
      </c>
      <c r="I92" s="98">
        <f t="shared" si="540"/>
        <v>0</v>
      </c>
      <c r="J92" s="99">
        <f t="shared" si="540"/>
        <v>20.9</v>
      </c>
      <c r="K92" s="99">
        <f t="shared" si="540"/>
        <v>7.883</v>
      </c>
      <c r="L92" s="99">
        <f t="shared" si="540"/>
        <v>0.55400000000000005</v>
      </c>
      <c r="M92" s="53"/>
      <c r="N92" s="53"/>
      <c r="O92" s="100">
        <f t="shared" ref="O92:P92" si="541">O91</f>
        <v>100.62</v>
      </c>
      <c r="P92" s="101" t="str">
        <f t="shared" si="541"/>
        <v>2,29,560</v>
      </c>
      <c r="Q92" s="11" t="str">
        <f t="shared" si="470"/>
        <v>2</v>
      </c>
      <c r="R92" s="11" t="str">
        <f t="shared" si="471"/>
        <v>29,560</v>
      </c>
      <c r="S92" s="11">
        <f t="shared" si="472"/>
        <v>4.1544444444444446E-2</v>
      </c>
      <c r="T92" s="14">
        <f t="shared" si="473"/>
        <v>2421.9844878309709</v>
      </c>
      <c r="U92" s="39">
        <f t="shared" si="474"/>
        <v>-100</v>
      </c>
      <c r="V92" s="105">
        <f t="shared" ref="V92:W92" si="542">V91</f>
        <v>20.399999999999999</v>
      </c>
      <c r="W92" s="105">
        <f t="shared" si="542"/>
        <v>1.5069999999999999</v>
      </c>
      <c r="X92" s="106">
        <f t="shared" si="529"/>
        <v>1.504</v>
      </c>
      <c r="Y92" s="53"/>
      <c r="Z92" s="53"/>
      <c r="AA92" s="107">
        <f t="shared" ref="AA92:AB92" si="543">AA91</f>
        <v>10.015000000000001</v>
      </c>
      <c r="AB92" s="108" t="str">
        <f t="shared" si="543"/>
        <v>22,10,090</v>
      </c>
      <c r="AC92" s="11" t="str">
        <f t="shared" si="477"/>
        <v>22</v>
      </c>
      <c r="AD92" s="11" t="str">
        <f t="shared" si="478"/>
        <v>10,090</v>
      </c>
      <c r="AE92" s="11">
        <f t="shared" si="479"/>
        <v>0.36946944444444441</v>
      </c>
      <c r="AF92" s="14">
        <f t="shared" si="480"/>
        <v>27.106436406558959</v>
      </c>
      <c r="AG92" s="41">
        <f t="shared" si="481"/>
        <v>-100</v>
      </c>
      <c r="AH92" s="105">
        <f t="shared" si="537"/>
        <v>20.3</v>
      </c>
      <c r="AI92" s="105">
        <f t="shared" si="537"/>
        <v>1.5089999999999999</v>
      </c>
      <c r="AJ92" s="105">
        <f t="shared" si="537"/>
        <v>1.504</v>
      </c>
      <c r="AK92" s="53">
        <f t="shared" si="482"/>
        <v>0</v>
      </c>
      <c r="AL92" s="53"/>
      <c r="AM92" s="54">
        <f t="shared" ref="AM92:AN92" si="544">AM91</f>
        <v>5.0129999999999999</v>
      </c>
      <c r="AN92" s="101" t="str">
        <f t="shared" si="544"/>
        <v>17,59,050</v>
      </c>
      <c r="AO92" s="11" t="str">
        <f t="shared" si="484"/>
        <v>17</v>
      </c>
      <c r="AP92" s="11" t="str">
        <f t="shared" si="485"/>
        <v>59,050</v>
      </c>
      <c r="AQ92" s="11">
        <f t="shared" si="486"/>
        <v>0.29973611111111109</v>
      </c>
      <c r="AR92" s="14">
        <f t="shared" si="487"/>
        <v>16.724711551827998</v>
      </c>
      <c r="AS92" s="41">
        <f t="shared" si="488"/>
        <v>-100</v>
      </c>
      <c r="AT92" s="43" t="str">
        <f t="shared" si="489"/>
        <v>NO CONFORME</v>
      </c>
      <c r="AU92" s="8" t="b">
        <f t="shared" si="411"/>
        <v>1</v>
      </c>
      <c r="AV92" s="8" t="b">
        <f t="shared" si="412"/>
        <v>0</v>
      </c>
      <c r="AW92" s="8" t="b">
        <f t="shared" si="413"/>
        <v>1</v>
      </c>
      <c r="AX92" s="8" t="str">
        <f t="shared" si="414"/>
        <v>Qcorrecto</v>
      </c>
      <c r="AY92" s="22" t="str">
        <f t="shared" si="394"/>
        <v>aceptable</v>
      </c>
      <c r="AZ92" s="22" t="str">
        <f t="shared" si="395"/>
        <v>aceptable</v>
      </c>
      <c r="BA92" s="22" t="str">
        <f t="shared" si="415"/>
        <v>aceptable</v>
      </c>
      <c r="BB92" s="25" t="str">
        <f t="shared" si="416"/>
        <v>NO CONFORME</v>
      </c>
      <c r="BC92" s="5" t="str">
        <f t="shared" si="417"/>
        <v>NO CONFORME</v>
      </c>
      <c r="BD92" s="15">
        <f t="shared" si="396"/>
        <v>-1</v>
      </c>
      <c r="BE92" s="15">
        <f t="shared" si="397"/>
        <v>-1</v>
      </c>
      <c r="BF92" s="15">
        <f t="shared" si="398"/>
        <v>-1</v>
      </c>
      <c r="BG92" s="15" t="str">
        <f t="shared" si="399"/>
        <v>-1-1-1</v>
      </c>
      <c r="BH92" s="15" t="str">
        <f t="shared" si="400"/>
        <v>SD</v>
      </c>
      <c r="BI92" s="15" t="str">
        <f t="shared" si="401"/>
        <v>SI</v>
      </c>
      <c r="BJ92" s="15" t="b">
        <f t="shared" si="402"/>
        <v>1</v>
      </c>
      <c r="BK92" s="15" t="str">
        <f t="shared" si="403"/>
        <v>SIGIGUALES</v>
      </c>
      <c r="BL92" s="22" t="str">
        <f t="shared" si="404"/>
        <v>NO CONFORME</v>
      </c>
    </row>
    <row r="93" spans="1:64" ht="15.75" thickBot="1" x14ac:dyDescent="0.3">
      <c r="A93" s="37">
        <v>85</v>
      </c>
      <c r="B93" s="93">
        <f t="shared" ref="B93:E93" si="545">B92</f>
        <v>45919</v>
      </c>
      <c r="C93" s="93">
        <f t="shared" si="545"/>
        <v>45919</v>
      </c>
      <c r="D93" s="94">
        <f t="shared" si="545"/>
        <v>6</v>
      </c>
      <c r="E93" s="95">
        <f t="shared" si="545"/>
        <v>15</v>
      </c>
      <c r="F93" s="52"/>
      <c r="G93" s="96"/>
      <c r="H93" s="97">
        <f t="shared" ref="H93:L93" si="546">H92</f>
        <v>25.6</v>
      </c>
      <c r="I93" s="98">
        <f t="shared" si="546"/>
        <v>0</v>
      </c>
      <c r="J93" s="99">
        <f t="shared" si="546"/>
        <v>20.9</v>
      </c>
      <c r="K93" s="99">
        <f t="shared" si="546"/>
        <v>7.883</v>
      </c>
      <c r="L93" s="99">
        <f t="shared" si="546"/>
        <v>0.55400000000000005</v>
      </c>
      <c r="M93" s="53"/>
      <c r="N93" s="53"/>
      <c r="O93" s="100">
        <f t="shared" ref="O93:P93" si="547">O92</f>
        <v>100.62</v>
      </c>
      <c r="P93" s="101" t="str">
        <f t="shared" si="547"/>
        <v>2,29,560</v>
      </c>
      <c r="Q93" s="11" t="str">
        <f t="shared" si="470"/>
        <v>2</v>
      </c>
      <c r="R93" s="11" t="str">
        <f t="shared" si="471"/>
        <v>29,560</v>
      </c>
      <c r="S93" s="11">
        <f t="shared" si="472"/>
        <v>4.1544444444444446E-2</v>
      </c>
      <c r="T93" s="14">
        <f t="shared" si="473"/>
        <v>2421.9844878309709</v>
      </c>
      <c r="U93" s="39">
        <f t="shared" si="474"/>
        <v>-100</v>
      </c>
      <c r="V93" s="105">
        <f t="shared" ref="V93:W93" si="548">V92</f>
        <v>20.399999999999999</v>
      </c>
      <c r="W93" s="105">
        <f t="shared" si="548"/>
        <v>1.5069999999999999</v>
      </c>
      <c r="X93" s="106">
        <f t="shared" si="529"/>
        <v>1.504</v>
      </c>
      <c r="Y93" s="53"/>
      <c r="Z93" s="53"/>
      <c r="AA93" s="107">
        <f t="shared" ref="AA93:AB93" si="549">AA92</f>
        <v>10.015000000000001</v>
      </c>
      <c r="AB93" s="108" t="str">
        <f t="shared" si="549"/>
        <v>22,10,090</v>
      </c>
      <c r="AC93" s="11" t="str">
        <f t="shared" si="477"/>
        <v>22</v>
      </c>
      <c r="AD93" s="11" t="str">
        <f t="shared" si="478"/>
        <v>10,090</v>
      </c>
      <c r="AE93" s="11">
        <f t="shared" si="479"/>
        <v>0.36946944444444441</v>
      </c>
      <c r="AF93" s="14">
        <f t="shared" si="480"/>
        <v>27.106436406558959</v>
      </c>
      <c r="AG93" s="41">
        <f t="shared" si="481"/>
        <v>-100</v>
      </c>
      <c r="AH93" s="105">
        <f t="shared" si="537"/>
        <v>20.3</v>
      </c>
      <c r="AI93" s="105">
        <f t="shared" si="537"/>
        <v>1.5089999999999999</v>
      </c>
      <c r="AJ93" s="105">
        <f t="shared" si="537"/>
        <v>1.504</v>
      </c>
      <c r="AK93" s="53">
        <f t="shared" si="482"/>
        <v>0</v>
      </c>
      <c r="AL93" s="53"/>
      <c r="AM93" s="54">
        <f t="shared" ref="AM93:AN93" si="550">AM92</f>
        <v>5.0129999999999999</v>
      </c>
      <c r="AN93" s="101" t="str">
        <f t="shared" si="550"/>
        <v>17,59,050</v>
      </c>
      <c r="AO93" s="11" t="str">
        <f t="shared" si="484"/>
        <v>17</v>
      </c>
      <c r="AP93" s="11" t="str">
        <f t="shared" si="485"/>
        <v>59,050</v>
      </c>
      <c r="AQ93" s="11">
        <f t="shared" si="486"/>
        <v>0.29973611111111109</v>
      </c>
      <c r="AR93" s="14">
        <f t="shared" si="487"/>
        <v>16.724711551827998</v>
      </c>
      <c r="AS93" s="41">
        <f t="shared" si="488"/>
        <v>-100</v>
      </c>
      <c r="AT93" s="43" t="str">
        <f t="shared" si="489"/>
        <v>NO CONFORME</v>
      </c>
      <c r="AU93" s="8" t="b">
        <f t="shared" si="411"/>
        <v>1</v>
      </c>
      <c r="AV93" s="8" t="b">
        <f t="shared" si="412"/>
        <v>0</v>
      </c>
      <c r="AW93" s="8" t="b">
        <f t="shared" si="413"/>
        <v>1</v>
      </c>
      <c r="AX93" s="8" t="str">
        <f t="shared" si="414"/>
        <v>Qcorrecto</v>
      </c>
      <c r="AY93" s="22" t="str">
        <f t="shared" si="394"/>
        <v>aceptable</v>
      </c>
      <c r="AZ93" s="22" t="str">
        <f t="shared" si="395"/>
        <v>aceptable</v>
      </c>
      <c r="BA93" s="22" t="str">
        <f t="shared" si="415"/>
        <v>aceptable</v>
      </c>
      <c r="BB93" s="25" t="str">
        <f t="shared" si="416"/>
        <v>NO CONFORME</v>
      </c>
      <c r="BC93" s="5" t="str">
        <f t="shared" si="417"/>
        <v>NO CONFORME</v>
      </c>
      <c r="BD93" s="15">
        <f t="shared" si="396"/>
        <v>-1</v>
      </c>
      <c r="BE93" s="15">
        <f t="shared" si="397"/>
        <v>-1</v>
      </c>
      <c r="BF93" s="15">
        <f t="shared" si="398"/>
        <v>-1</v>
      </c>
      <c r="BG93" s="15" t="str">
        <f t="shared" si="399"/>
        <v>-1-1-1</v>
      </c>
      <c r="BH93" s="15" t="str">
        <f t="shared" si="400"/>
        <v>SD</v>
      </c>
      <c r="BI93" s="15" t="str">
        <f t="shared" si="401"/>
        <v>SI</v>
      </c>
      <c r="BJ93" s="15" t="b">
        <f t="shared" si="402"/>
        <v>1</v>
      </c>
      <c r="BK93" s="15" t="str">
        <f t="shared" si="403"/>
        <v>SIGIGUALES</v>
      </c>
      <c r="BL93" s="22" t="str">
        <f t="shared" si="404"/>
        <v>NO CONFORME</v>
      </c>
    </row>
    <row r="94" spans="1:64" ht="15.75" thickBot="1" x14ac:dyDescent="0.3">
      <c r="A94" s="37">
        <v>86</v>
      </c>
      <c r="B94" s="93">
        <f t="shared" ref="B94:E94" si="551">B93</f>
        <v>45919</v>
      </c>
      <c r="C94" s="93">
        <f t="shared" si="551"/>
        <v>45919</v>
      </c>
      <c r="D94" s="94">
        <f t="shared" si="551"/>
        <v>6</v>
      </c>
      <c r="E94" s="95">
        <f t="shared" si="551"/>
        <v>15</v>
      </c>
      <c r="F94" s="52"/>
      <c r="G94" s="96"/>
      <c r="H94" s="97">
        <f t="shared" ref="H94:L94" si="552">H93</f>
        <v>25.6</v>
      </c>
      <c r="I94" s="98">
        <f t="shared" si="552"/>
        <v>0</v>
      </c>
      <c r="J94" s="99">
        <f t="shared" si="552"/>
        <v>20.9</v>
      </c>
      <c r="K94" s="99">
        <f t="shared" si="552"/>
        <v>7.883</v>
      </c>
      <c r="L94" s="99">
        <f t="shared" si="552"/>
        <v>0.55400000000000005</v>
      </c>
      <c r="M94" s="53"/>
      <c r="N94" s="53"/>
      <c r="O94" s="100">
        <f t="shared" ref="O94:P94" si="553">O93</f>
        <v>100.62</v>
      </c>
      <c r="P94" s="101" t="str">
        <f t="shared" si="553"/>
        <v>2,29,560</v>
      </c>
      <c r="Q94" s="11" t="str">
        <f t="shared" si="470"/>
        <v>2</v>
      </c>
      <c r="R94" s="11" t="str">
        <f t="shared" si="471"/>
        <v>29,560</v>
      </c>
      <c r="S94" s="11">
        <f t="shared" si="472"/>
        <v>4.1544444444444446E-2</v>
      </c>
      <c r="T94" s="14">
        <f t="shared" si="473"/>
        <v>2421.9844878309709</v>
      </c>
      <c r="U94" s="39">
        <f t="shared" si="474"/>
        <v>-100</v>
      </c>
      <c r="V94" s="105">
        <f t="shared" ref="V94:W94" si="554">V93</f>
        <v>20.399999999999999</v>
      </c>
      <c r="W94" s="105">
        <f t="shared" si="554"/>
        <v>1.5069999999999999</v>
      </c>
      <c r="X94" s="106">
        <f t="shared" si="529"/>
        <v>1.504</v>
      </c>
      <c r="Y94" s="53"/>
      <c r="Z94" s="53"/>
      <c r="AA94" s="107">
        <f t="shared" ref="AA94:AB94" si="555">AA93</f>
        <v>10.015000000000001</v>
      </c>
      <c r="AB94" s="108" t="str">
        <f t="shared" si="555"/>
        <v>22,10,090</v>
      </c>
      <c r="AC94" s="11" t="str">
        <f t="shared" si="477"/>
        <v>22</v>
      </c>
      <c r="AD94" s="11" t="str">
        <f t="shared" si="478"/>
        <v>10,090</v>
      </c>
      <c r="AE94" s="11">
        <f t="shared" si="479"/>
        <v>0.36946944444444441</v>
      </c>
      <c r="AF94" s="14">
        <f t="shared" si="480"/>
        <v>27.106436406558959</v>
      </c>
      <c r="AG94" s="41">
        <f t="shared" si="481"/>
        <v>-100</v>
      </c>
      <c r="AH94" s="105">
        <f t="shared" si="537"/>
        <v>20.3</v>
      </c>
      <c r="AI94" s="105">
        <f t="shared" si="537"/>
        <v>1.5089999999999999</v>
      </c>
      <c r="AJ94" s="105">
        <f t="shared" si="537"/>
        <v>1.504</v>
      </c>
      <c r="AK94" s="53">
        <f t="shared" si="482"/>
        <v>0</v>
      </c>
      <c r="AL94" s="53"/>
      <c r="AM94" s="54">
        <f t="shared" ref="AM94:AN94" si="556">AM93</f>
        <v>5.0129999999999999</v>
      </c>
      <c r="AN94" s="101" t="str">
        <f t="shared" si="556"/>
        <v>17,59,050</v>
      </c>
      <c r="AO94" s="11" t="str">
        <f t="shared" si="484"/>
        <v>17</v>
      </c>
      <c r="AP94" s="11" t="str">
        <f t="shared" si="485"/>
        <v>59,050</v>
      </c>
      <c r="AQ94" s="11">
        <f t="shared" si="486"/>
        <v>0.29973611111111109</v>
      </c>
      <c r="AR94" s="14">
        <f t="shared" si="487"/>
        <v>16.724711551827998</v>
      </c>
      <c r="AS94" s="41">
        <f t="shared" si="488"/>
        <v>-100</v>
      </c>
      <c r="AT94" s="43" t="str">
        <f t="shared" si="489"/>
        <v>NO CONFORME</v>
      </c>
      <c r="AU94" s="8" t="b">
        <f t="shared" si="411"/>
        <v>1</v>
      </c>
      <c r="AV94" s="8" t="b">
        <f t="shared" si="412"/>
        <v>0</v>
      </c>
      <c r="AW94" s="8" t="b">
        <f t="shared" si="413"/>
        <v>1</v>
      </c>
      <c r="AX94" s="8" t="str">
        <f t="shared" si="414"/>
        <v>Qcorrecto</v>
      </c>
      <c r="AY94" s="22" t="str">
        <f t="shared" si="394"/>
        <v>aceptable</v>
      </c>
      <c r="AZ94" s="22" t="str">
        <f t="shared" si="395"/>
        <v>aceptable</v>
      </c>
      <c r="BA94" s="22" t="str">
        <f t="shared" si="415"/>
        <v>aceptable</v>
      </c>
      <c r="BB94" s="25" t="str">
        <f t="shared" si="416"/>
        <v>NO CONFORME</v>
      </c>
      <c r="BC94" s="5" t="str">
        <f t="shared" si="417"/>
        <v>NO CONFORME</v>
      </c>
      <c r="BD94" s="15">
        <f t="shared" si="396"/>
        <v>-1</v>
      </c>
      <c r="BE94" s="15">
        <f t="shared" si="397"/>
        <v>-1</v>
      </c>
      <c r="BF94" s="15">
        <f t="shared" si="398"/>
        <v>-1</v>
      </c>
      <c r="BG94" s="15" t="str">
        <f t="shared" si="399"/>
        <v>-1-1-1</v>
      </c>
      <c r="BH94" s="15" t="str">
        <f t="shared" si="400"/>
        <v>SD</v>
      </c>
      <c r="BI94" s="15" t="str">
        <f t="shared" si="401"/>
        <v>SI</v>
      </c>
      <c r="BJ94" s="15" t="b">
        <f t="shared" si="402"/>
        <v>1</v>
      </c>
      <c r="BK94" s="15" t="str">
        <f t="shared" si="403"/>
        <v>SIGIGUALES</v>
      </c>
      <c r="BL94" s="22" t="str">
        <f t="shared" si="404"/>
        <v>NO CONFORME</v>
      </c>
    </row>
    <row r="95" spans="1:64" ht="15.75" thickBot="1" x14ac:dyDescent="0.3">
      <c r="A95" s="37">
        <v>87</v>
      </c>
      <c r="B95" s="93">
        <f t="shared" ref="B95:E95" si="557">B94</f>
        <v>45919</v>
      </c>
      <c r="C95" s="93">
        <f t="shared" si="557"/>
        <v>45919</v>
      </c>
      <c r="D95" s="94">
        <f t="shared" si="557"/>
        <v>6</v>
      </c>
      <c r="E95" s="95">
        <f t="shared" si="557"/>
        <v>15</v>
      </c>
      <c r="F95" s="52"/>
      <c r="G95" s="96"/>
      <c r="H95" s="97">
        <f t="shared" ref="H95:L95" si="558">H94</f>
        <v>25.6</v>
      </c>
      <c r="I95" s="98">
        <f t="shared" si="558"/>
        <v>0</v>
      </c>
      <c r="J95" s="99">
        <f t="shared" si="558"/>
        <v>20.9</v>
      </c>
      <c r="K95" s="99">
        <f t="shared" si="558"/>
        <v>7.883</v>
      </c>
      <c r="L95" s="99">
        <f t="shared" si="558"/>
        <v>0.55400000000000005</v>
      </c>
      <c r="M95" s="53"/>
      <c r="N95" s="53"/>
      <c r="O95" s="100">
        <f t="shared" ref="O95:P95" si="559">O94</f>
        <v>100.62</v>
      </c>
      <c r="P95" s="101" t="str">
        <f t="shared" si="559"/>
        <v>2,29,560</v>
      </c>
      <c r="Q95" s="11" t="str">
        <f t="shared" si="470"/>
        <v>2</v>
      </c>
      <c r="R95" s="11" t="str">
        <f t="shared" si="471"/>
        <v>29,560</v>
      </c>
      <c r="S95" s="11">
        <f t="shared" si="472"/>
        <v>4.1544444444444446E-2</v>
      </c>
      <c r="T95" s="14">
        <f t="shared" si="473"/>
        <v>2421.9844878309709</v>
      </c>
      <c r="U95" s="39">
        <f t="shared" si="474"/>
        <v>-100</v>
      </c>
      <c r="V95" s="105">
        <f t="shared" ref="V95:W95" si="560">V94</f>
        <v>20.399999999999999</v>
      </c>
      <c r="W95" s="105">
        <f t="shared" si="560"/>
        <v>1.5069999999999999</v>
      </c>
      <c r="X95" s="106">
        <f t="shared" si="529"/>
        <v>1.504</v>
      </c>
      <c r="Y95" s="53"/>
      <c r="Z95" s="53"/>
      <c r="AA95" s="107">
        <f t="shared" ref="AA95:AB95" si="561">AA94</f>
        <v>10.015000000000001</v>
      </c>
      <c r="AB95" s="108" t="str">
        <f t="shared" si="561"/>
        <v>22,10,090</v>
      </c>
      <c r="AC95" s="11" t="str">
        <f t="shared" si="477"/>
        <v>22</v>
      </c>
      <c r="AD95" s="11" t="str">
        <f t="shared" si="478"/>
        <v>10,090</v>
      </c>
      <c r="AE95" s="11">
        <f t="shared" si="479"/>
        <v>0.36946944444444441</v>
      </c>
      <c r="AF95" s="14">
        <f t="shared" si="480"/>
        <v>27.106436406558959</v>
      </c>
      <c r="AG95" s="41">
        <f t="shared" si="481"/>
        <v>-100</v>
      </c>
      <c r="AH95" s="105">
        <f t="shared" si="537"/>
        <v>20.3</v>
      </c>
      <c r="AI95" s="105">
        <f t="shared" si="537"/>
        <v>1.5089999999999999</v>
      </c>
      <c r="AJ95" s="105">
        <f t="shared" si="537"/>
        <v>1.504</v>
      </c>
      <c r="AK95" s="53">
        <f t="shared" si="482"/>
        <v>0</v>
      </c>
      <c r="AL95" s="53"/>
      <c r="AM95" s="54">
        <f t="shared" ref="AM95:AN95" si="562">AM94</f>
        <v>5.0129999999999999</v>
      </c>
      <c r="AN95" s="101" t="str">
        <f t="shared" si="562"/>
        <v>17,59,050</v>
      </c>
      <c r="AO95" s="11" t="str">
        <f t="shared" si="484"/>
        <v>17</v>
      </c>
      <c r="AP95" s="11" t="str">
        <f t="shared" si="485"/>
        <v>59,050</v>
      </c>
      <c r="AQ95" s="11">
        <f t="shared" si="486"/>
        <v>0.29973611111111109</v>
      </c>
      <c r="AR95" s="14">
        <f t="shared" si="487"/>
        <v>16.724711551827998</v>
      </c>
      <c r="AS95" s="41">
        <f t="shared" si="488"/>
        <v>-100</v>
      </c>
      <c r="AT95" s="43" t="str">
        <f t="shared" si="489"/>
        <v>NO CONFORME</v>
      </c>
      <c r="AU95" s="8" t="b">
        <f t="shared" si="411"/>
        <v>1</v>
      </c>
      <c r="AV95" s="8" t="b">
        <f t="shared" si="412"/>
        <v>0</v>
      </c>
      <c r="AW95" s="8" t="b">
        <f t="shared" si="413"/>
        <v>1</v>
      </c>
      <c r="AX95" s="8" t="str">
        <f t="shared" si="414"/>
        <v>Qcorrecto</v>
      </c>
      <c r="AY95" s="22" t="str">
        <f t="shared" si="394"/>
        <v>aceptable</v>
      </c>
      <c r="AZ95" s="22" t="str">
        <f t="shared" si="395"/>
        <v>aceptable</v>
      </c>
      <c r="BA95" s="22" t="str">
        <f t="shared" si="415"/>
        <v>aceptable</v>
      </c>
      <c r="BB95" s="25" t="str">
        <f t="shared" si="416"/>
        <v>NO CONFORME</v>
      </c>
      <c r="BC95" s="5" t="str">
        <f t="shared" si="417"/>
        <v>NO CONFORME</v>
      </c>
      <c r="BD95" s="15">
        <f t="shared" si="396"/>
        <v>-1</v>
      </c>
      <c r="BE95" s="15">
        <f t="shared" si="397"/>
        <v>-1</v>
      </c>
      <c r="BF95" s="15">
        <f t="shared" si="398"/>
        <v>-1</v>
      </c>
      <c r="BG95" s="15" t="str">
        <f t="shared" si="399"/>
        <v>-1-1-1</v>
      </c>
      <c r="BH95" s="15" t="str">
        <f t="shared" si="400"/>
        <v>SD</v>
      </c>
      <c r="BI95" s="15" t="str">
        <f t="shared" si="401"/>
        <v>SI</v>
      </c>
      <c r="BJ95" s="15" t="b">
        <f t="shared" si="402"/>
        <v>1</v>
      </c>
      <c r="BK95" s="15" t="str">
        <f t="shared" si="403"/>
        <v>SIGIGUALES</v>
      </c>
      <c r="BL95" s="22" t="str">
        <f t="shared" si="404"/>
        <v>NO CONFORME</v>
      </c>
    </row>
    <row r="96" spans="1:64" ht="15.75" thickBot="1" x14ac:dyDescent="0.3">
      <c r="A96" s="37">
        <v>88</v>
      </c>
      <c r="B96" s="93">
        <f t="shared" ref="B96:E96" si="563">B95</f>
        <v>45919</v>
      </c>
      <c r="C96" s="93">
        <f t="shared" si="563"/>
        <v>45919</v>
      </c>
      <c r="D96" s="94">
        <f t="shared" si="563"/>
        <v>6</v>
      </c>
      <c r="E96" s="95">
        <f t="shared" si="563"/>
        <v>15</v>
      </c>
      <c r="F96" s="52"/>
      <c r="G96" s="96"/>
      <c r="H96" s="97">
        <f t="shared" ref="H96:L96" si="564">H95</f>
        <v>25.6</v>
      </c>
      <c r="I96" s="98">
        <f t="shared" si="564"/>
        <v>0</v>
      </c>
      <c r="J96" s="99">
        <f t="shared" si="564"/>
        <v>20.9</v>
      </c>
      <c r="K96" s="99">
        <f t="shared" si="564"/>
        <v>7.883</v>
      </c>
      <c r="L96" s="99">
        <f t="shared" si="564"/>
        <v>0.55400000000000005</v>
      </c>
      <c r="M96" s="53"/>
      <c r="N96" s="53"/>
      <c r="O96" s="100">
        <f t="shared" ref="O96:P96" si="565">O95</f>
        <v>100.62</v>
      </c>
      <c r="P96" s="101" t="str">
        <f t="shared" si="565"/>
        <v>2,29,560</v>
      </c>
      <c r="Q96" s="11" t="str">
        <f t="shared" si="470"/>
        <v>2</v>
      </c>
      <c r="R96" s="11" t="str">
        <f t="shared" si="471"/>
        <v>29,560</v>
      </c>
      <c r="S96" s="11">
        <f t="shared" si="472"/>
        <v>4.1544444444444446E-2</v>
      </c>
      <c r="T96" s="14">
        <f t="shared" si="473"/>
        <v>2421.9844878309709</v>
      </c>
      <c r="U96" s="39">
        <f t="shared" si="474"/>
        <v>-100</v>
      </c>
      <c r="V96" s="105">
        <f t="shared" ref="V96:W96" si="566">V95</f>
        <v>20.399999999999999</v>
      </c>
      <c r="W96" s="105">
        <f t="shared" si="566"/>
        <v>1.5069999999999999</v>
      </c>
      <c r="X96" s="106">
        <f t="shared" si="529"/>
        <v>1.504</v>
      </c>
      <c r="Y96" s="53"/>
      <c r="Z96" s="53"/>
      <c r="AA96" s="107">
        <f t="shared" ref="AA96:AB96" si="567">AA95</f>
        <v>10.015000000000001</v>
      </c>
      <c r="AB96" s="108" t="str">
        <f t="shared" si="567"/>
        <v>22,10,090</v>
      </c>
      <c r="AC96" s="11" t="str">
        <f t="shared" si="477"/>
        <v>22</v>
      </c>
      <c r="AD96" s="11" t="str">
        <f t="shared" si="478"/>
        <v>10,090</v>
      </c>
      <c r="AE96" s="11">
        <f t="shared" si="479"/>
        <v>0.36946944444444441</v>
      </c>
      <c r="AF96" s="14">
        <f t="shared" si="480"/>
        <v>27.106436406558959</v>
      </c>
      <c r="AG96" s="41">
        <f t="shared" si="481"/>
        <v>-100</v>
      </c>
      <c r="AH96" s="105">
        <f t="shared" si="537"/>
        <v>20.3</v>
      </c>
      <c r="AI96" s="105">
        <f t="shared" si="537"/>
        <v>1.5089999999999999</v>
      </c>
      <c r="AJ96" s="105">
        <f t="shared" si="537"/>
        <v>1.504</v>
      </c>
      <c r="AK96" s="53">
        <f t="shared" si="482"/>
        <v>0</v>
      </c>
      <c r="AL96" s="53"/>
      <c r="AM96" s="54">
        <f t="shared" ref="AM96:AN96" si="568">AM95</f>
        <v>5.0129999999999999</v>
      </c>
      <c r="AN96" s="101" t="str">
        <f t="shared" si="568"/>
        <v>17,59,050</v>
      </c>
      <c r="AO96" s="11" t="str">
        <f t="shared" si="484"/>
        <v>17</v>
      </c>
      <c r="AP96" s="11" t="str">
        <f t="shared" si="485"/>
        <v>59,050</v>
      </c>
      <c r="AQ96" s="11">
        <f t="shared" si="486"/>
        <v>0.29973611111111109</v>
      </c>
      <c r="AR96" s="14">
        <f t="shared" si="487"/>
        <v>16.724711551827998</v>
      </c>
      <c r="AS96" s="41">
        <f t="shared" si="488"/>
        <v>-100</v>
      </c>
      <c r="AT96" s="43" t="str">
        <f t="shared" si="489"/>
        <v>NO CONFORME</v>
      </c>
      <c r="AU96" s="8" t="b">
        <f t="shared" si="411"/>
        <v>1</v>
      </c>
      <c r="AV96" s="8" t="b">
        <f t="shared" si="412"/>
        <v>0</v>
      </c>
      <c r="AW96" s="8" t="b">
        <f t="shared" si="413"/>
        <v>1</v>
      </c>
      <c r="AX96" s="8" t="str">
        <f t="shared" si="414"/>
        <v>Qcorrecto</v>
      </c>
      <c r="AY96" s="22" t="str">
        <f t="shared" si="394"/>
        <v>aceptable</v>
      </c>
      <c r="AZ96" s="22" t="str">
        <f t="shared" si="395"/>
        <v>aceptable</v>
      </c>
      <c r="BA96" s="22" t="str">
        <f t="shared" si="415"/>
        <v>aceptable</v>
      </c>
      <c r="BB96" s="25" t="str">
        <f t="shared" si="416"/>
        <v>NO CONFORME</v>
      </c>
      <c r="BC96" s="5" t="str">
        <f t="shared" si="417"/>
        <v>NO CONFORME</v>
      </c>
      <c r="BD96" s="15">
        <f t="shared" si="396"/>
        <v>-1</v>
      </c>
      <c r="BE96" s="15">
        <f t="shared" si="397"/>
        <v>-1</v>
      </c>
      <c r="BF96" s="15">
        <f t="shared" si="398"/>
        <v>-1</v>
      </c>
      <c r="BG96" s="15" t="str">
        <f t="shared" si="399"/>
        <v>-1-1-1</v>
      </c>
      <c r="BH96" s="15" t="str">
        <f t="shared" si="400"/>
        <v>SD</v>
      </c>
      <c r="BI96" s="15" t="str">
        <f t="shared" si="401"/>
        <v>SI</v>
      </c>
      <c r="BJ96" s="15" t="b">
        <f t="shared" si="402"/>
        <v>1</v>
      </c>
      <c r="BK96" s="15" t="str">
        <f t="shared" si="403"/>
        <v>SIGIGUALES</v>
      </c>
      <c r="BL96" s="22" t="str">
        <f t="shared" si="404"/>
        <v>NO CONFORME</v>
      </c>
    </row>
    <row r="97" spans="1:64" ht="15.75" thickBot="1" x14ac:dyDescent="0.3">
      <c r="A97" s="37">
        <v>89</v>
      </c>
      <c r="B97" s="93">
        <f t="shared" ref="B97:E97" si="569">B96</f>
        <v>45919</v>
      </c>
      <c r="C97" s="93">
        <f t="shared" si="569"/>
        <v>45919</v>
      </c>
      <c r="D97" s="94">
        <f t="shared" si="569"/>
        <v>6</v>
      </c>
      <c r="E97" s="95">
        <f t="shared" si="569"/>
        <v>15</v>
      </c>
      <c r="F97" s="52"/>
      <c r="G97" s="96"/>
      <c r="H97" s="97">
        <f t="shared" ref="H97:L97" si="570">H96</f>
        <v>25.6</v>
      </c>
      <c r="I97" s="98">
        <f t="shared" si="570"/>
        <v>0</v>
      </c>
      <c r="J97" s="99">
        <f t="shared" si="570"/>
        <v>20.9</v>
      </c>
      <c r="K97" s="99">
        <f t="shared" si="570"/>
        <v>7.883</v>
      </c>
      <c r="L97" s="99">
        <f t="shared" si="570"/>
        <v>0.55400000000000005</v>
      </c>
      <c r="M97" s="53"/>
      <c r="N97" s="53"/>
      <c r="O97" s="100">
        <f t="shared" ref="O97:P97" si="571">O96</f>
        <v>100.62</v>
      </c>
      <c r="P97" s="101" t="str">
        <f t="shared" si="571"/>
        <v>2,29,560</v>
      </c>
      <c r="Q97" s="11" t="str">
        <f t="shared" si="470"/>
        <v>2</v>
      </c>
      <c r="R97" s="11" t="str">
        <f t="shared" si="471"/>
        <v>29,560</v>
      </c>
      <c r="S97" s="11">
        <f t="shared" si="472"/>
        <v>4.1544444444444446E-2</v>
      </c>
      <c r="T97" s="14">
        <f t="shared" si="473"/>
        <v>2421.9844878309709</v>
      </c>
      <c r="U97" s="39">
        <f t="shared" si="474"/>
        <v>-100</v>
      </c>
      <c r="V97" s="105">
        <f t="shared" ref="V97:W97" si="572">V96</f>
        <v>20.399999999999999</v>
      </c>
      <c r="W97" s="105">
        <f t="shared" si="572"/>
        <v>1.5069999999999999</v>
      </c>
      <c r="X97" s="106">
        <f t="shared" si="529"/>
        <v>1.504</v>
      </c>
      <c r="Y97" s="53"/>
      <c r="Z97" s="53"/>
      <c r="AA97" s="107">
        <f t="shared" ref="AA97:AB97" si="573">AA96</f>
        <v>10.015000000000001</v>
      </c>
      <c r="AB97" s="108" t="str">
        <f t="shared" si="573"/>
        <v>22,10,090</v>
      </c>
      <c r="AC97" s="11" t="str">
        <f t="shared" si="477"/>
        <v>22</v>
      </c>
      <c r="AD97" s="11" t="str">
        <f t="shared" si="478"/>
        <v>10,090</v>
      </c>
      <c r="AE97" s="11">
        <f t="shared" si="479"/>
        <v>0.36946944444444441</v>
      </c>
      <c r="AF97" s="14">
        <f t="shared" si="480"/>
        <v>27.106436406558959</v>
      </c>
      <c r="AG97" s="41">
        <f t="shared" si="481"/>
        <v>-100</v>
      </c>
      <c r="AH97" s="105">
        <f t="shared" si="537"/>
        <v>20.3</v>
      </c>
      <c r="AI97" s="105">
        <f t="shared" si="537"/>
        <v>1.5089999999999999</v>
      </c>
      <c r="AJ97" s="105">
        <f t="shared" si="537"/>
        <v>1.504</v>
      </c>
      <c r="AK97" s="53">
        <f t="shared" si="482"/>
        <v>0</v>
      </c>
      <c r="AL97" s="53"/>
      <c r="AM97" s="54">
        <f t="shared" ref="AM97:AN97" si="574">AM96</f>
        <v>5.0129999999999999</v>
      </c>
      <c r="AN97" s="101" t="str">
        <f t="shared" si="574"/>
        <v>17,59,050</v>
      </c>
      <c r="AO97" s="11" t="str">
        <f t="shared" si="484"/>
        <v>17</v>
      </c>
      <c r="AP97" s="11" t="str">
        <f t="shared" si="485"/>
        <v>59,050</v>
      </c>
      <c r="AQ97" s="11">
        <f t="shared" si="486"/>
        <v>0.29973611111111109</v>
      </c>
      <c r="AR97" s="14">
        <f t="shared" si="487"/>
        <v>16.724711551827998</v>
      </c>
      <c r="AS97" s="41">
        <f t="shared" si="488"/>
        <v>-100</v>
      </c>
      <c r="AT97" s="43" t="str">
        <f t="shared" si="489"/>
        <v>NO CONFORME</v>
      </c>
      <c r="AU97" s="8" t="b">
        <f t="shared" si="411"/>
        <v>1</v>
      </c>
      <c r="AV97" s="8" t="b">
        <f t="shared" si="412"/>
        <v>0</v>
      </c>
      <c r="AW97" s="8" t="b">
        <f t="shared" si="413"/>
        <v>1</v>
      </c>
      <c r="AX97" s="8" t="str">
        <f t="shared" si="414"/>
        <v>Qcorrecto</v>
      </c>
      <c r="AY97" s="22" t="str">
        <f t="shared" si="394"/>
        <v>aceptable</v>
      </c>
      <c r="AZ97" s="22" t="str">
        <f t="shared" si="395"/>
        <v>aceptable</v>
      </c>
      <c r="BA97" s="22" t="str">
        <f t="shared" si="415"/>
        <v>aceptable</v>
      </c>
      <c r="BB97" s="25" t="str">
        <f t="shared" si="416"/>
        <v>NO CONFORME</v>
      </c>
      <c r="BC97" s="5" t="str">
        <f t="shared" si="417"/>
        <v>NO CONFORME</v>
      </c>
      <c r="BD97" s="15">
        <f t="shared" si="396"/>
        <v>-1</v>
      </c>
      <c r="BE97" s="15">
        <f t="shared" si="397"/>
        <v>-1</v>
      </c>
      <c r="BF97" s="15">
        <f t="shared" si="398"/>
        <v>-1</v>
      </c>
      <c r="BG97" s="15" t="str">
        <f t="shared" si="399"/>
        <v>-1-1-1</v>
      </c>
      <c r="BH97" s="15" t="str">
        <f t="shared" si="400"/>
        <v>SD</v>
      </c>
      <c r="BI97" s="15" t="str">
        <f t="shared" si="401"/>
        <v>SI</v>
      </c>
      <c r="BJ97" s="15" t="b">
        <f t="shared" si="402"/>
        <v>1</v>
      </c>
      <c r="BK97" s="15" t="str">
        <f t="shared" si="403"/>
        <v>SIGIGUALES</v>
      </c>
      <c r="BL97" s="22" t="str">
        <f t="shared" si="404"/>
        <v>NO CONFORME</v>
      </c>
    </row>
    <row r="98" spans="1:64" ht="15.75" thickBot="1" x14ac:dyDescent="0.3">
      <c r="A98" s="37">
        <v>90</v>
      </c>
      <c r="B98" s="93">
        <f t="shared" ref="B98:E98" si="575">B97</f>
        <v>45919</v>
      </c>
      <c r="C98" s="93">
        <f t="shared" si="575"/>
        <v>45919</v>
      </c>
      <c r="D98" s="94">
        <f t="shared" si="575"/>
        <v>6</v>
      </c>
      <c r="E98" s="95">
        <f t="shared" si="575"/>
        <v>15</v>
      </c>
      <c r="F98" s="52"/>
      <c r="G98" s="96"/>
      <c r="H98" s="97">
        <f t="shared" ref="H98:L98" si="576">H97</f>
        <v>25.6</v>
      </c>
      <c r="I98" s="98">
        <f t="shared" si="576"/>
        <v>0</v>
      </c>
      <c r="J98" s="99">
        <f t="shared" si="576"/>
        <v>20.9</v>
      </c>
      <c r="K98" s="99">
        <f t="shared" si="576"/>
        <v>7.883</v>
      </c>
      <c r="L98" s="99">
        <f t="shared" si="576"/>
        <v>0.55400000000000005</v>
      </c>
      <c r="M98" s="53"/>
      <c r="N98" s="53"/>
      <c r="O98" s="100">
        <f t="shared" ref="O98:P98" si="577">O97</f>
        <v>100.62</v>
      </c>
      <c r="P98" s="101" t="str">
        <f t="shared" si="577"/>
        <v>2,29,560</v>
      </c>
      <c r="Q98" s="11" t="str">
        <f t="shared" si="470"/>
        <v>2</v>
      </c>
      <c r="R98" s="11" t="str">
        <f t="shared" si="471"/>
        <v>29,560</v>
      </c>
      <c r="S98" s="11">
        <f t="shared" si="472"/>
        <v>4.1544444444444446E-2</v>
      </c>
      <c r="T98" s="14">
        <f t="shared" si="473"/>
        <v>2421.9844878309709</v>
      </c>
      <c r="U98" s="39">
        <f t="shared" si="474"/>
        <v>-100</v>
      </c>
      <c r="V98" s="105">
        <f t="shared" ref="V98:W98" si="578">V97</f>
        <v>20.399999999999999</v>
      </c>
      <c r="W98" s="105">
        <f t="shared" si="578"/>
        <v>1.5069999999999999</v>
      </c>
      <c r="X98" s="106">
        <f t="shared" si="529"/>
        <v>1.504</v>
      </c>
      <c r="Y98" s="53"/>
      <c r="Z98" s="53"/>
      <c r="AA98" s="107">
        <f t="shared" ref="AA98:AB98" si="579">AA97</f>
        <v>10.015000000000001</v>
      </c>
      <c r="AB98" s="108" t="str">
        <f t="shared" si="579"/>
        <v>22,10,090</v>
      </c>
      <c r="AC98" s="11" t="str">
        <f t="shared" si="477"/>
        <v>22</v>
      </c>
      <c r="AD98" s="11" t="str">
        <f t="shared" si="478"/>
        <v>10,090</v>
      </c>
      <c r="AE98" s="11">
        <f t="shared" si="479"/>
        <v>0.36946944444444441</v>
      </c>
      <c r="AF98" s="14">
        <f t="shared" si="480"/>
        <v>27.106436406558959</v>
      </c>
      <c r="AG98" s="41">
        <f t="shared" si="481"/>
        <v>-100</v>
      </c>
      <c r="AH98" s="105">
        <f t="shared" si="537"/>
        <v>20.3</v>
      </c>
      <c r="AI98" s="105">
        <f t="shared" si="537"/>
        <v>1.5089999999999999</v>
      </c>
      <c r="AJ98" s="105">
        <f t="shared" si="537"/>
        <v>1.504</v>
      </c>
      <c r="AK98" s="53">
        <f t="shared" si="482"/>
        <v>0</v>
      </c>
      <c r="AL98" s="53"/>
      <c r="AM98" s="54">
        <f t="shared" ref="AM98:AN98" si="580">AM97</f>
        <v>5.0129999999999999</v>
      </c>
      <c r="AN98" s="101" t="str">
        <f t="shared" si="580"/>
        <v>17,59,050</v>
      </c>
      <c r="AO98" s="11" t="str">
        <f t="shared" si="484"/>
        <v>17</v>
      </c>
      <c r="AP98" s="11" t="str">
        <f t="shared" si="485"/>
        <v>59,050</v>
      </c>
      <c r="AQ98" s="11">
        <f t="shared" si="486"/>
        <v>0.29973611111111109</v>
      </c>
      <c r="AR98" s="14">
        <f t="shared" si="487"/>
        <v>16.724711551827998</v>
      </c>
      <c r="AS98" s="41">
        <f t="shared" si="488"/>
        <v>-100</v>
      </c>
      <c r="AT98" s="43" t="str">
        <f t="shared" si="489"/>
        <v>NO CONFORME</v>
      </c>
      <c r="AU98" s="8" t="b">
        <f t="shared" si="411"/>
        <v>1</v>
      </c>
      <c r="AV98" s="8" t="b">
        <f t="shared" si="412"/>
        <v>0</v>
      </c>
      <c r="AW98" s="8" t="b">
        <f t="shared" si="413"/>
        <v>1</v>
      </c>
      <c r="AX98" s="8" t="str">
        <f t="shared" si="414"/>
        <v>Qcorrecto</v>
      </c>
      <c r="AY98" s="22" t="str">
        <f t="shared" si="394"/>
        <v>aceptable</v>
      </c>
      <c r="AZ98" s="22" t="str">
        <f t="shared" si="395"/>
        <v>aceptable</v>
      </c>
      <c r="BA98" s="22" t="str">
        <f t="shared" si="415"/>
        <v>aceptable</v>
      </c>
      <c r="BB98" s="25" t="str">
        <f t="shared" si="416"/>
        <v>NO CONFORME</v>
      </c>
      <c r="BC98" s="5" t="str">
        <f t="shared" si="417"/>
        <v>NO CONFORME</v>
      </c>
      <c r="BD98" s="15">
        <f t="shared" si="396"/>
        <v>-1</v>
      </c>
      <c r="BE98" s="15">
        <f t="shared" si="397"/>
        <v>-1</v>
      </c>
      <c r="BF98" s="15">
        <f t="shared" si="398"/>
        <v>-1</v>
      </c>
      <c r="BG98" s="15" t="str">
        <f t="shared" si="399"/>
        <v>-1-1-1</v>
      </c>
      <c r="BH98" s="15" t="str">
        <f t="shared" si="400"/>
        <v>SD</v>
      </c>
      <c r="BI98" s="15" t="str">
        <f t="shared" si="401"/>
        <v>SI</v>
      </c>
      <c r="BJ98" s="15" t="b">
        <f t="shared" si="402"/>
        <v>1</v>
      </c>
      <c r="BK98" s="15" t="str">
        <f t="shared" si="403"/>
        <v>SIGIGUALES</v>
      </c>
      <c r="BL98" s="22" t="str">
        <f t="shared" si="404"/>
        <v>NO CONFORME</v>
      </c>
    </row>
    <row r="99" spans="1:64" ht="15.75" thickBot="1" x14ac:dyDescent="0.3">
      <c r="A99" s="37">
        <v>91</v>
      </c>
      <c r="B99" s="93">
        <f t="shared" ref="B99:E99" si="581">B98</f>
        <v>45919</v>
      </c>
      <c r="C99" s="93">
        <f t="shared" si="581"/>
        <v>45919</v>
      </c>
      <c r="D99" s="94">
        <f t="shared" si="581"/>
        <v>6</v>
      </c>
      <c r="E99" s="95">
        <f t="shared" si="581"/>
        <v>15</v>
      </c>
      <c r="F99" s="52"/>
      <c r="G99" s="96"/>
      <c r="H99" s="97">
        <f t="shared" ref="H99:L99" si="582">H98</f>
        <v>25.6</v>
      </c>
      <c r="I99" s="98">
        <f t="shared" si="582"/>
        <v>0</v>
      </c>
      <c r="J99" s="99">
        <f t="shared" si="582"/>
        <v>20.9</v>
      </c>
      <c r="K99" s="99">
        <f t="shared" si="582"/>
        <v>7.883</v>
      </c>
      <c r="L99" s="99">
        <f t="shared" si="582"/>
        <v>0.55400000000000005</v>
      </c>
      <c r="M99" s="53"/>
      <c r="N99" s="53"/>
      <c r="O99" s="100">
        <f t="shared" ref="O99:P99" si="583">O98</f>
        <v>100.62</v>
      </c>
      <c r="P99" s="101" t="str">
        <f t="shared" si="583"/>
        <v>2,29,560</v>
      </c>
      <c r="Q99" s="11" t="str">
        <f t="shared" si="470"/>
        <v>2</v>
      </c>
      <c r="R99" s="11" t="str">
        <f t="shared" si="471"/>
        <v>29,560</v>
      </c>
      <c r="S99" s="11">
        <f t="shared" si="472"/>
        <v>4.1544444444444446E-2</v>
      </c>
      <c r="T99" s="14">
        <f t="shared" si="473"/>
        <v>2421.9844878309709</v>
      </c>
      <c r="U99" s="39">
        <f t="shared" si="474"/>
        <v>-100</v>
      </c>
      <c r="V99" s="105">
        <f t="shared" ref="V99:W99" si="584">V98</f>
        <v>20.399999999999999</v>
      </c>
      <c r="W99" s="105">
        <f t="shared" si="584"/>
        <v>1.5069999999999999</v>
      </c>
      <c r="X99" s="106">
        <f t="shared" si="529"/>
        <v>1.504</v>
      </c>
      <c r="Y99" s="53"/>
      <c r="Z99" s="53"/>
      <c r="AA99" s="107">
        <f t="shared" ref="AA99:AB99" si="585">AA98</f>
        <v>10.015000000000001</v>
      </c>
      <c r="AB99" s="108" t="str">
        <f t="shared" si="585"/>
        <v>22,10,090</v>
      </c>
      <c r="AC99" s="11" t="str">
        <f t="shared" si="477"/>
        <v>22</v>
      </c>
      <c r="AD99" s="11" t="str">
        <f t="shared" si="478"/>
        <v>10,090</v>
      </c>
      <c r="AE99" s="11">
        <f t="shared" si="479"/>
        <v>0.36946944444444441</v>
      </c>
      <c r="AF99" s="14">
        <f t="shared" si="480"/>
        <v>27.106436406558959</v>
      </c>
      <c r="AG99" s="41">
        <f t="shared" si="481"/>
        <v>-100</v>
      </c>
      <c r="AH99" s="105">
        <f t="shared" si="537"/>
        <v>20.3</v>
      </c>
      <c r="AI99" s="105">
        <f t="shared" si="537"/>
        <v>1.5089999999999999</v>
      </c>
      <c r="AJ99" s="105">
        <f t="shared" si="537"/>
        <v>1.504</v>
      </c>
      <c r="AK99" s="53">
        <f t="shared" si="482"/>
        <v>0</v>
      </c>
      <c r="AL99" s="53"/>
      <c r="AM99" s="54">
        <f t="shared" ref="AM99:AN99" si="586">AM98</f>
        <v>5.0129999999999999</v>
      </c>
      <c r="AN99" s="101" t="str">
        <f t="shared" si="586"/>
        <v>17,59,050</v>
      </c>
      <c r="AO99" s="11" t="str">
        <f t="shared" si="484"/>
        <v>17</v>
      </c>
      <c r="AP99" s="11" t="str">
        <f t="shared" si="485"/>
        <v>59,050</v>
      </c>
      <c r="AQ99" s="11">
        <f t="shared" si="486"/>
        <v>0.29973611111111109</v>
      </c>
      <c r="AR99" s="14">
        <f t="shared" si="487"/>
        <v>16.724711551827998</v>
      </c>
      <c r="AS99" s="41">
        <f t="shared" si="488"/>
        <v>-100</v>
      </c>
      <c r="AT99" s="43" t="str">
        <f t="shared" si="489"/>
        <v>NO CONFORME</v>
      </c>
      <c r="AU99" s="8" t="b">
        <f t="shared" si="411"/>
        <v>1</v>
      </c>
      <c r="AV99" s="8" t="b">
        <f t="shared" si="412"/>
        <v>0</v>
      </c>
      <c r="AW99" s="8" t="b">
        <f t="shared" si="413"/>
        <v>1</v>
      </c>
      <c r="AX99" s="8" t="str">
        <f t="shared" si="414"/>
        <v>Qcorrecto</v>
      </c>
      <c r="AY99" s="22" t="str">
        <f t="shared" si="394"/>
        <v>aceptable</v>
      </c>
      <c r="AZ99" s="22" t="str">
        <f t="shared" si="395"/>
        <v>aceptable</v>
      </c>
      <c r="BA99" s="22" t="str">
        <f t="shared" si="415"/>
        <v>aceptable</v>
      </c>
      <c r="BB99" s="25" t="str">
        <f t="shared" si="416"/>
        <v>NO CONFORME</v>
      </c>
      <c r="BC99" s="5" t="str">
        <f t="shared" si="417"/>
        <v>NO CONFORME</v>
      </c>
      <c r="BD99" s="15">
        <f t="shared" si="396"/>
        <v>-1</v>
      </c>
      <c r="BE99" s="15">
        <f t="shared" si="397"/>
        <v>-1</v>
      </c>
      <c r="BF99" s="15">
        <f t="shared" si="398"/>
        <v>-1</v>
      </c>
      <c r="BG99" s="15" t="str">
        <f t="shared" si="399"/>
        <v>-1-1-1</v>
      </c>
      <c r="BH99" s="15" t="str">
        <f t="shared" si="400"/>
        <v>SD</v>
      </c>
      <c r="BI99" s="15" t="str">
        <f t="shared" si="401"/>
        <v>SI</v>
      </c>
      <c r="BJ99" s="15" t="b">
        <f t="shared" si="402"/>
        <v>1</v>
      </c>
      <c r="BK99" s="15" t="str">
        <f t="shared" si="403"/>
        <v>SIGIGUALES</v>
      </c>
      <c r="BL99" s="22" t="str">
        <f t="shared" si="404"/>
        <v>NO CONFORME</v>
      </c>
    </row>
    <row r="100" spans="1:64" ht="15.75" thickBot="1" x14ac:dyDescent="0.3">
      <c r="A100" s="37">
        <v>92</v>
      </c>
      <c r="B100" s="93">
        <f t="shared" ref="B100:E100" si="587">B99</f>
        <v>45919</v>
      </c>
      <c r="C100" s="93">
        <f t="shared" si="587"/>
        <v>45919</v>
      </c>
      <c r="D100" s="94">
        <f t="shared" si="587"/>
        <v>6</v>
      </c>
      <c r="E100" s="95">
        <f t="shared" si="587"/>
        <v>15</v>
      </c>
      <c r="F100" s="52"/>
      <c r="G100" s="96"/>
      <c r="H100" s="97">
        <f t="shared" ref="H100:L100" si="588">H99</f>
        <v>25.6</v>
      </c>
      <c r="I100" s="98">
        <f t="shared" si="588"/>
        <v>0</v>
      </c>
      <c r="J100" s="99">
        <f t="shared" si="588"/>
        <v>20.9</v>
      </c>
      <c r="K100" s="99">
        <f t="shared" si="588"/>
        <v>7.883</v>
      </c>
      <c r="L100" s="99">
        <f t="shared" si="588"/>
        <v>0.55400000000000005</v>
      </c>
      <c r="M100" s="53"/>
      <c r="N100" s="53"/>
      <c r="O100" s="100">
        <f t="shared" ref="O100:P100" si="589">O99</f>
        <v>100.62</v>
      </c>
      <c r="P100" s="101" t="str">
        <f t="shared" si="589"/>
        <v>2,29,560</v>
      </c>
      <c r="Q100" s="11" t="str">
        <f t="shared" si="470"/>
        <v>2</v>
      </c>
      <c r="R100" s="11" t="str">
        <f t="shared" si="471"/>
        <v>29,560</v>
      </c>
      <c r="S100" s="11">
        <f t="shared" si="472"/>
        <v>4.1544444444444446E-2</v>
      </c>
      <c r="T100" s="14">
        <f t="shared" si="473"/>
        <v>2421.9844878309709</v>
      </c>
      <c r="U100" s="39">
        <f t="shared" si="474"/>
        <v>-100</v>
      </c>
      <c r="V100" s="105">
        <f t="shared" ref="V100:W100" si="590">V99</f>
        <v>20.399999999999999</v>
      </c>
      <c r="W100" s="105">
        <f t="shared" si="590"/>
        <v>1.5069999999999999</v>
      </c>
      <c r="X100" s="106">
        <f t="shared" si="529"/>
        <v>1.504</v>
      </c>
      <c r="Y100" s="53"/>
      <c r="Z100" s="53"/>
      <c r="AA100" s="107">
        <f t="shared" ref="AA100:AB100" si="591">AA99</f>
        <v>10.015000000000001</v>
      </c>
      <c r="AB100" s="108" t="str">
        <f t="shared" si="591"/>
        <v>22,10,090</v>
      </c>
      <c r="AC100" s="11" t="str">
        <f t="shared" si="477"/>
        <v>22</v>
      </c>
      <c r="AD100" s="11" t="str">
        <f t="shared" si="478"/>
        <v>10,090</v>
      </c>
      <c r="AE100" s="11">
        <f t="shared" si="479"/>
        <v>0.36946944444444441</v>
      </c>
      <c r="AF100" s="14">
        <f t="shared" si="480"/>
        <v>27.106436406558959</v>
      </c>
      <c r="AG100" s="41">
        <f t="shared" si="481"/>
        <v>-100</v>
      </c>
      <c r="AH100" s="105">
        <f t="shared" si="537"/>
        <v>20.3</v>
      </c>
      <c r="AI100" s="105">
        <f t="shared" si="537"/>
        <v>1.5089999999999999</v>
      </c>
      <c r="AJ100" s="105">
        <f t="shared" si="537"/>
        <v>1.504</v>
      </c>
      <c r="AK100" s="53">
        <f t="shared" si="482"/>
        <v>0</v>
      </c>
      <c r="AL100" s="53"/>
      <c r="AM100" s="54">
        <f t="shared" ref="AM100:AN100" si="592">AM99</f>
        <v>5.0129999999999999</v>
      </c>
      <c r="AN100" s="101" t="str">
        <f t="shared" si="592"/>
        <v>17,59,050</v>
      </c>
      <c r="AO100" s="11" t="str">
        <f t="shared" si="484"/>
        <v>17</v>
      </c>
      <c r="AP100" s="11" t="str">
        <f t="shared" si="485"/>
        <v>59,050</v>
      </c>
      <c r="AQ100" s="11">
        <f t="shared" si="486"/>
        <v>0.29973611111111109</v>
      </c>
      <c r="AR100" s="14">
        <f t="shared" si="487"/>
        <v>16.724711551827998</v>
      </c>
      <c r="AS100" s="41">
        <f t="shared" si="488"/>
        <v>-100</v>
      </c>
      <c r="AT100" s="43" t="str">
        <f t="shared" si="489"/>
        <v>NO CONFORME</v>
      </c>
      <c r="AU100" s="8" t="b">
        <f t="shared" si="411"/>
        <v>1</v>
      </c>
      <c r="AV100" s="8" t="b">
        <f t="shared" si="412"/>
        <v>0</v>
      </c>
      <c r="AW100" s="8" t="b">
        <f t="shared" si="413"/>
        <v>1</v>
      </c>
      <c r="AX100" s="8" t="str">
        <f t="shared" si="414"/>
        <v>Qcorrecto</v>
      </c>
      <c r="AY100" s="22" t="str">
        <f t="shared" si="394"/>
        <v>aceptable</v>
      </c>
      <c r="AZ100" s="22" t="str">
        <f t="shared" si="395"/>
        <v>aceptable</v>
      </c>
      <c r="BA100" s="22" t="str">
        <f t="shared" si="415"/>
        <v>aceptable</v>
      </c>
      <c r="BB100" s="25" t="str">
        <f t="shared" si="416"/>
        <v>NO CONFORME</v>
      </c>
      <c r="BC100" s="5" t="str">
        <f t="shared" si="417"/>
        <v>NO CONFORME</v>
      </c>
      <c r="BD100" s="15">
        <f t="shared" si="396"/>
        <v>-1</v>
      </c>
      <c r="BE100" s="15">
        <f t="shared" si="397"/>
        <v>-1</v>
      </c>
      <c r="BF100" s="15">
        <f t="shared" si="398"/>
        <v>-1</v>
      </c>
      <c r="BG100" s="15" t="str">
        <f t="shared" si="399"/>
        <v>-1-1-1</v>
      </c>
      <c r="BH100" s="15" t="str">
        <f t="shared" si="400"/>
        <v>SD</v>
      </c>
      <c r="BI100" s="15" t="str">
        <f t="shared" si="401"/>
        <v>SI</v>
      </c>
      <c r="BJ100" s="15" t="b">
        <f t="shared" si="402"/>
        <v>1</v>
      </c>
      <c r="BK100" s="15" t="str">
        <f t="shared" si="403"/>
        <v>SIGIGUALES</v>
      </c>
      <c r="BL100" s="22" t="str">
        <f t="shared" si="404"/>
        <v>NO CONFORME</v>
      </c>
    </row>
    <row r="101" spans="1:64" ht="15.75" thickBot="1" x14ac:dyDescent="0.3">
      <c r="A101" s="37">
        <v>93</v>
      </c>
      <c r="B101" s="93">
        <f t="shared" ref="B101:E101" si="593">B100</f>
        <v>45919</v>
      </c>
      <c r="C101" s="93">
        <f t="shared" si="593"/>
        <v>45919</v>
      </c>
      <c r="D101" s="94">
        <f t="shared" si="593"/>
        <v>6</v>
      </c>
      <c r="E101" s="95">
        <f t="shared" si="593"/>
        <v>15</v>
      </c>
      <c r="F101" s="52"/>
      <c r="G101" s="96"/>
      <c r="H101" s="97">
        <f t="shared" ref="H101:L101" si="594">H100</f>
        <v>25.6</v>
      </c>
      <c r="I101" s="98">
        <f t="shared" si="594"/>
        <v>0</v>
      </c>
      <c r="J101" s="99">
        <f t="shared" si="594"/>
        <v>20.9</v>
      </c>
      <c r="K101" s="99">
        <f t="shared" si="594"/>
        <v>7.883</v>
      </c>
      <c r="L101" s="99">
        <f t="shared" si="594"/>
        <v>0.55400000000000005</v>
      </c>
      <c r="M101" s="53"/>
      <c r="N101" s="53"/>
      <c r="O101" s="100">
        <f t="shared" ref="O101:P101" si="595">O100</f>
        <v>100.62</v>
      </c>
      <c r="P101" s="101" t="str">
        <f t="shared" si="595"/>
        <v>2,29,560</v>
      </c>
      <c r="Q101" s="11" t="str">
        <f t="shared" si="470"/>
        <v>2</v>
      </c>
      <c r="R101" s="11" t="str">
        <f t="shared" si="471"/>
        <v>29,560</v>
      </c>
      <c r="S101" s="11">
        <f t="shared" si="472"/>
        <v>4.1544444444444446E-2</v>
      </c>
      <c r="T101" s="14">
        <f t="shared" si="473"/>
        <v>2421.9844878309709</v>
      </c>
      <c r="U101" s="39">
        <f t="shared" si="474"/>
        <v>-100</v>
      </c>
      <c r="V101" s="105">
        <f t="shared" ref="V101:W101" si="596">V100</f>
        <v>20.399999999999999</v>
      </c>
      <c r="W101" s="105">
        <f t="shared" si="596"/>
        <v>1.5069999999999999</v>
      </c>
      <c r="X101" s="106">
        <f t="shared" si="529"/>
        <v>1.504</v>
      </c>
      <c r="Y101" s="53"/>
      <c r="Z101" s="53"/>
      <c r="AA101" s="107">
        <f t="shared" ref="AA101:AB101" si="597">AA100</f>
        <v>10.015000000000001</v>
      </c>
      <c r="AB101" s="108" t="str">
        <f t="shared" si="597"/>
        <v>22,10,090</v>
      </c>
      <c r="AC101" s="11" t="str">
        <f t="shared" si="477"/>
        <v>22</v>
      </c>
      <c r="AD101" s="11" t="str">
        <f t="shared" si="478"/>
        <v>10,090</v>
      </c>
      <c r="AE101" s="11">
        <f t="shared" si="479"/>
        <v>0.36946944444444441</v>
      </c>
      <c r="AF101" s="14">
        <f t="shared" si="480"/>
        <v>27.106436406558959</v>
      </c>
      <c r="AG101" s="41">
        <f t="shared" si="481"/>
        <v>-100</v>
      </c>
      <c r="AH101" s="105">
        <f t="shared" si="537"/>
        <v>20.3</v>
      </c>
      <c r="AI101" s="105">
        <f t="shared" si="537"/>
        <v>1.5089999999999999</v>
      </c>
      <c r="AJ101" s="105">
        <f t="shared" si="537"/>
        <v>1.504</v>
      </c>
      <c r="AK101" s="53">
        <f t="shared" si="482"/>
        <v>0</v>
      </c>
      <c r="AL101" s="53"/>
      <c r="AM101" s="54">
        <f t="shared" ref="AM101:AN101" si="598">AM100</f>
        <v>5.0129999999999999</v>
      </c>
      <c r="AN101" s="101" t="str">
        <f t="shared" si="598"/>
        <v>17,59,050</v>
      </c>
      <c r="AO101" s="11" t="str">
        <f t="shared" si="484"/>
        <v>17</v>
      </c>
      <c r="AP101" s="11" t="str">
        <f t="shared" si="485"/>
        <v>59,050</v>
      </c>
      <c r="AQ101" s="11">
        <f t="shared" si="486"/>
        <v>0.29973611111111109</v>
      </c>
      <c r="AR101" s="14">
        <f t="shared" si="487"/>
        <v>16.724711551827998</v>
      </c>
      <c r="AS101" s="41">
        <f t="shared" si="488"/>
        <v>-100</v>
      </c>
      <c r="AT101" s="43" t="str">
        <f t="shared" si="489"/>
        <v>NO CONFORME</v>
      </c>
      <c r="AU101" s="8" t="b">
        <f t="shared" si="411"/>
        <v>1</v>
      </c>
      <c r="AV101" s="8" t="b">
        <f t="shared" si="412"/>
        <v>0</v>
      </c>
      <c r="AW101" s="8" t="b">
        <f t="shared" si="413"/>
        <v>1</v>
      </c>
      <c r="AX101" s="8" t="str">
        <f t="shared" si="414"/>
        <v>Qcorrecto</v>
      </c>
      <c r="AY101" s="22" t="str">
        <f t="shared" si="394"/>
        <v>aceptable</v>
      </c>
      <c r="AZ101" s="22" t="str">
        <f t="shared" si="395"/>
        <v>aceptable</v>
      </c>
      <c r="BA101" s="22" t="str">
        <f t="shared" si="415"/>
        <v>aceptable</v>
      </c>
      <c r="BB101" s="25" t="str">
        <f t="shared" si="416"/>
        <v>NO CONFORME</v>
      </c>
      <c r="BC101" s="5" t="str">
        <f t="shared" si="417"/>
        <v>NO CONFORME</v>
      </c>
      <c r="BD101" s="15">
        <f t="shared" si="396"/>
        <v>-1</v>
      </c>
      <c r="BE101" s="15">
        <f t="shared" si="397"/>
        <v>-1</v>
      </c>
      <c r="BF101" s="15">
        <f t="shared" si="398"/>
        <v>-1</v>
      </c>
      <c r="BG101" s="15" t="str">
        <f t="shared" si="399"/>
        <v>-1-1-1</v>
      </c>
      <c r="BH101" s="15" t="str">
        <f t="shared" si="400"/>
        <v>SD</v>
      </c>
      <c r="BI101" s="15" t="str">
        <f t="shared" si="401"/>
        <v>SI</v>
      </c>
      <c r="BJ101" s="15" t="b">
        <f t="shared" si="402"/>
        <v>1</v>
      </c>
      <c r="BK101" s="15" t="str">
        <f t="shared" si="403"/>
        <v>SIGIGUALES</v>
      </c>
      <c r="BL101" s="22" t="str">
        <f t="shared" si="404"/>
        <v>NO CONFORME</v>
      </c>
    </row>
    <row r="102" spans="1:64" ht="15.75" thickBot="1" x14ac:dyDescent="0.3">
      <c r="A102" s="37">
        <v>94</v>
      </c>
      <c r="B102" s="93">
        <f t="shared" ref="B102:E102" si="599">B101</f>
        <v>45919</v>
      </c>
      <c r="C102" s="93">
        <f t="shared" si="599"/>
        <v>45919</v>
      </c>
      <c r="D102" s="94">
        <f t="shared" si="599"/>
        <v>6</v>
      </c>
      <c r="E102" s="95">
        <f t="shared" si="599"/>
        <v>15</v>
      </c>
      <c r="F102" s="52"/>
      <c r="G102" s="96"/>
      <c r="H102" s="97">
        <f t="shared" ref="H102:L102" si="600">H101</f>
        <v>25.6</v>
      </c>
      <c r="I102" s="98">
        <f t="shared" si="600"/>
        <v>0</v>
      </c>
      <c r="J102" s="99">
        <f t="shared" si="600"/>
        <v>20.9</v>
      </c>
      <c r="K102" s="99">
        <f t="shared" si="600"/>
        <v>7.883</v>
      </c>
      <c r="L102" s="99">
        <f t="shared" si="600"/>
        <v>0.55400000000000005</v>
      </c>
      <c r="M102" s="53"/>
      <c r="N102" s="53"/>
      <c r="O102" s="100">
        <f t="shared" ref="O102:P102" si="601">O101</f>
        <v>100.62</v>
      </c>
      <c r="P102" s="101" t="str">
        <f t="shared" si="601"/>
        <v>2,29,560</v>
      </c>
      <c r="Q102" s="11" t="str">
        <f t="shared" si="470"/>
        <v>2</v>
      </c>
      <c r="R102" s="11" t="str">
        <f t="shared" si="471"/>
        <v>29,560</v>
      </c>
      <c r="S102" s="11">
        <f t="shared" si="472"/>
        <v>4.1544444444444446E-2</v>
      </c>
      <c r="T102" s="14">
        <f t="shared" si="473"/>
        <v>2421.9844878309709</v>
      </c>
      <c r="U102" s="39">
        <f t="shared" si="474"/>
        <v>-100</v>
      </c>
      <c r="V102" s="105">
        <f t="shared" ref="V102:W102" si="602">V101</f>
        <v>20.399999999999999</v>
      </c>
      <c r="W102" s="105">
        <f t="shared" si="602"/>
        <v>1.5069999999999999</v>
      </c>
      <c r="X102" s="106">
        <f t="shared" si="529"/>
        <v>1.504</v>
      </c>
      <c r="Y102" s="53"/>
      <c r="Z102" s="53"/>
      <c r="AA102" s="107">
        <f t="shared" ref="AA102:AB102" si="603">AA101</f>
        <v>10.015000000000001</v>
      </c>
      <c r="AB102" s="108" t="str">
        <f t="shared" si="603"/>
        <v>22,10,090</v>
      </c>
      <c r="AC102" s="11" t="str">
        <f t="shared" si="477"/>
        <v>22</v>
      </c>
      <c r="AD102" s="11" t="str">
        <f t="shared" si="478"/>
        <v>10,090</v>
      </c>
      <c r="AE102" s="11">
        <f t="shared" si="479"/>
        <v>0.36946944444444441</v>
      </c>
      <c r="AF102" s="14">
        <f t="shared" si="480"/>
        <v>27.106436406558959</v>
      </c>
      <c r="AG102" s="41">
        <f t="shared" si="481"/>
        <v>-100</v>
      </c>
      <c r="AH102" s="105">
        <f t="shared" si="537"/>
        <v>20.3</v>
      </c>
      <c r="AI102" s="105">
        <f t="shared" si="537"/>
        <v>1.5089999999999999</v>
      </c>
      <c r="AJ102" s="105">
        <f t="shared" si="537"/>
        <v>1.504</v>
      </c>
      <c r="AK102" s="53">
        <f t="shared" si="482"/>
        <v>0</v>
      </c>
      <c r="AL102" s="53"/>
      <c r="AM102" s="54">
        <f t="shared" ref="AM102:AN102" si="604">AM101</f>
        <v>5.0129999999999999</v>
      </c>
      <c r="AN102" s="101" t="str">
        <f t="shared" si="604"/>
        <v>17,59,050</v>
      </c>
      <c r="AO102" s="11" t="str">
        <f t="shared" si="484"/>
        <v>17</v>
      </c>
      <c r="AP102" s="11" t="str">
        <f t="shared" si="485"/>
        <v>59,050</v>
      </c>
      <c r="AQ102" s="11">
        <f t="shared" si="486"/>
        <v>0.29973611111111109</v>
      </c>
      <c r="AR102" s="14">
        <f t="shared" si="487"/>
        <v>16.724711551827998</v>
      </c>
      <c r="AS102" s="41">
        <f t="shared" si="488"/>
        <v>-100</v>
      </c>
      <c r="AT102" s="43" t="str">
        <f t="shared" si="489"/>
        <v>NO CONFORME</v>
      </c>
      <c r="AU102" s="8" t="b">
        <f t="shared" si="411"/>
        <v>1</v>
      </c>
      <c r="AV102" s="8" t="b">
        <f t="shared" si="412"/>
        <v>0</v>
      </c>
      <c r="AW102" s="8" t="b">
        <f t="shared" si="413"/>
        <v>1</v>
      </c>
      <c r="AX102" s="8" t="str">
        <f t="shared" si="414"/>
        <v>Qcorrecto</v>
      </c>
      <c r="AY102" s="22" t="str">
        <f t="shared" si="394"/>
        <v>aceptable</v>
      </c>
      <c r="AZ102" s="22" t="str">
        <f t="shared" si="395"/>
        <v>aceptable</v>
      </c>
      <c r="BA102" s="22" t="str">
        <f t="shared" si="415"/>
        <v>aceptable</v>
      </c>
      <c r="BB102" s="25" t="str">
        <f t="shared" si="416"/>
        <v>NO CONFORME</v>
      </c>
      <c r="BC102" s="5" t="str">
        <f t="shared" si="417"/>
        <v>NO CONFORME</v>
      </c>
      <c r="BD102" s="15">
        <f t="shared" si="396"/>
        <v>-1</v>
      </c>
      <c r="BE102" s="15">
        <f t="shared" si="397"/>
        <v>-1</v>
      </c>
      <c r="BF102" s="15">
        <f t="shared" si="398"/>
        <v>-1</v>
      </c>
      <c r="BG102" s="15" t="str">
        <f t="shared" si="399"/>
        <v>-1-1-1</v>
      </c>
      <c r="BH102" s="15" t="str">
        <f t="shared" si="400"/>
        <v>SD</v>
      </c>
      <c r="BI102" s="15" t="str">
        <f t="shared" si="401"/>
        <v>SI</v>
      </c>
      <c r="BJ102" s="15" t="b">
        <f t="shared" si="402"/>
        <v>1</v>
      </c>
      <c r="BK102" s="15" t="str">
        <f t="shared" si="403"/>
        <v>SIGIGUALES</v>
      </c>
      <c r="BL102" s="22" t="str">
        <f t="shared" si="404"/>
        <v>NO CONFORME</v>
      </c>
    </row>
    <row r="103" spans="1:64" ht="15.75" thickBot="1" x14ac:dyDescent="0.3">
      <c r="A103" s="37">
        <v>95</v>
      </c>
      <c r="B103" s="93">
        <f t="shared" ref="B103:E103" si="605">B102</f>
        <v>45919</v>
      </c>
      <c r="C103" s="93">
        <f t="shared" si="605"/>
        <v>45919</v>
      </c>
      <c r="D103" s="94">
        <f t="shared" si="605"/>
        <v>6</v>
      </c>
      <c r="E103" s="95">
        <f t="shared" si="605"/>
        <v>15</v>
      </c>
      <c r="F103" s="52"/>
      <c r="G103" s="96"/>
      <c r="H103" s="97">
        <f t="shared" ref="H103:L103" si="606">H102</f>
        <v>25.6</v>
      </c>
      <c r="I103" s="98">
        <f t="shared" si="606"/>
        <v>0</v>
      </c>
      <c r="J103" s="99">
        <f t="shared" si="606"/>
        <v>20.9</v>
      </c>
      <c r="K103" s="99">
        <f t="shared" si="606"/>
        <v>7.883</v>
      </c>
      <c r="L103" s="99">
        <f t="shared" si="606"/>
        <v>0.55400000000000005</v>
      </c>
      <c r="M103" s="53"/>
      <c r="N103" s="53"/>
      <c r="O103" s="100">
        <f t="shared" ref="O103:P103" si="607">O102</f>
        <v>100.62</v>
      </c>
      <c r="P103" s="101" t="str">
        <f t="shared" si="607"/>
        <v>2,29,560</v>
      </c>
      <c r="Q103" s="11" t="str">
        <f t="shared" si="470"/>
        <v>2</v>
      </c>
      <c r="R103" s="11" t="str">
        <f t="shared" si="471"/>
        <v>29,560</v>
      </c>
      <c r="S103" s="11">
        <f t="shared" si="472"/>
        <v>4.1544444444444446E-2</v>
      </c>
      <c r="T103" s="14">
        <f t="shared" si="473"/>
        <v>2421.9844878309709</v>
      </c>
      <c r="U103" s="39">
        <f t="shared" si="474"/>
        <v>-100</v>
      </c>
      <c r="V103" s="105">
        <f t="shared" ref="V103:W103" si="608">V102</f>
        <v>20.399999999999999</v>
      </c>
      <c r="W103" s="105">
        <f t="shared" si="608"/>
        <v>1.5069999999999999</v>
      </c>
      <c r="X103" s="106">
        <f t="shared" si="529"/>
        <v>1.504</v>
      </c>
      <c r="Y103" s="53"/>
      <c r="Z103" s="53"/>
      <c r="AA103" s="107">
        <f t="shared" ref="AA103:AB103" si="609">AA102</f>
        <v>10.015000000000001</v>
      </c>
      <c r="AB103" s="108" t="str">
        <f t="shared" si="609"/>
        <v>22,10,090</v>
      </c>
      <c r="AC103" s="11" t="str">
        <f t="shared" si="477"/>
        <v>22</v>
      </c>
      <c r="AD103" s="11" t="str">
        <f t="shared" si="478"/>
        <v>10,090</v>
      </c>
      <c r="AE103" s="11">
        <f t="shared" si="479"/>
        <v>0.36946944444444441</v>
      </c>
      <c r="AF103" s="14">
        <f t="shared" si="480"/>
        <v>27.106436406558959</v>
      </c>
      <c r="AG103" s="41">
        <f t="shared" si="481"/>
        <v>-100</v>
      </c>
      <c r="AH103" s="105">
        <f t="shared" si="537"/>
        <v>20.3</v>
      </c>
      <c r="AI103" s="105">
        <f t="shared" si="537"/>
        <v>1.5089999999999999</v>
      </c>
      <c r="AJ103" s="105">
        <f t="shared" si="537"/>
        <v>1.504</v>
      </c>
      <c r="AK103" s="53">
        <f t="shared" si="482"/>
        <v>0</v>
      </c>
      <c r="AL103" s="53"/>
      <c r="AM103" s="54">
        <f t="shared" ref="AM103:AN103" si="610">AM102</f>
        <v>5.0129999999999999</v>
      </c>
      <c r="AN103" s="101" t="str">
        <f t="shared" si="610"/>
        <v>17,59,050</v>
      </c>
      <c r="AO103" s="11" t="str">
        <f t="shared" si="484"/>
        <v>17</v>
      </c>
      <c r="AP103" s="11" t="str">
        <f t="shared" si="485"/>
        <v>59,050</v>
      </c>
      <c r="AQ103" s="11">
        <f t="shared" si="486"/>
        <v>0.29973611111111109</v>
      </c>
      <c r="AR103" s="14">
        <f t="shared" si="487"/>
        <v>16.724711551827998</v>
      </c>
      <c r="AS103" s="41">
        <f t="shared" si="488"/>
        <v>-100</v>
      </c>
      <c r="AT103" s="43" t="str">
        <f t="shared" si="489"/>
        <v>NO CONFORME</v>
      </c>
      <c r="AU103" s="8" t="b">
        <f t="shared" si="411"/>
        <v>1</v>
      </c>
      <c r="AV103" s="8" t="b">
        <f t="shared" si="412"/>
        <v>0</v>
      </c>
      <c r="AW103" s="8" t="b">
        <f t="shared" si="413"/>
        <v>1</v>
      </c>
      <c r="AX103" s="8" t="str">
        <f t="shared" si="414"/>
        <v>Qcorrecto</v>
      </c>
      <c r="AY103" s="22" t="str">
        <f t="shared" si="394"/>
        <v>aceptable</v>
      </c>
      <c r="AZ103" s="22" t="str">
        <f t="shared" si="395"/>
        <v>aceptable</v>
      </c>
      <c r="BA103" s="22" t="str">
        <f t="shared" si="415"/>
        <v>aceptable</v>
      </c>
      <c r="BB103" s="25" t="str">
        <f t="shared" si="416"/>
        <v>NO CONFORME</v>
      </c>
      <c r="BC103" s="5" t="str">
        <f t="shared" si="417"/>
        <v>NO CONFORME</v>
      </c>
      <c r="BD103" s="15">
        <f t="shared" si="396"/>
        <v>-1</v>
      </c>
      <c r="BE103" s="15">
        <f t="shared" si="397"/>
        <v>-1</v>
      </c>
      <c r="BF103" s="15">
        <f t="shared" si="398"/>
        <v>-1</v>
      </c>
      <c r="BG103" s="15" t="str">
        <f t="shared" si="399"/>
        <v>-1-1-1</v>
      </c>
      <c r="BH103" s="15" t="str">
        <f t="shared" si="400"/>
        <v>SD</v>
      </c>
      <c r="BI103" s="15" t="str">
        <f t="shared" si="401"/>
        <v>SI</v>
      </c>
      <c r="BJ103" s="15" t="b">
        <f t="shared" si="402"/>
        <v>1</v>
      </c>
      <c r="BK103" s="15" t="str">
        <f t="shared" si="403"/>
        <v>SIGIGUALES</v>
      </c>
      <c r="BL103" s="22" t="str">
        <f t="shared" si="404"/>
        <v>NO CONFORME</v>
      </c>
    </row>
    <row r="104" spans="1:64" ht="15.75" thickBot="1" x14ac:dyDescent="0.3">
      <c r="A104" s="37">
        <v>96</v>
      </c>
      <c r="B104" s="93">
        <f t="shared" ref="B104:E104" si="611">B103</f>
        <v>45919</v>
      </c>
      <c r="C104" s="93">
        <f t="shared" si="611"/>
        <v>45919</v>
      </c>
      <c r="D104" s="94">
        <f t="shared" si="611"/>
        <v>6</v>
      </c>
      <c r="E104" s="95">
        <f t="shared" si="611"/>
        <v>15</v>
      </c>
      <c r="F104" s="52"/>
      <c r="G104" s="96"/>
      <c r="H104" s="97">
        <f t="shared" ref="H104:L104" si="612">H103</f>
        <v>25.6</v>
      </c>
      <c r="I104" s="98">
        <f t="shared" si="612"/>
        <v>0</v>
      </c>
      <c r="J104" s="99">
        <f t="shared" si="612"/>
        <v>20.9</v>
      </c>
      <c r="K104" s="99">
        <f t="shared" si="612"/>
        <v>7.883</v>
      </c>
      <c r="L104" s="99">
        <f t="shared" si="612"/>
        <v>0.55400000000000005</v>
      </c>
      <c r="M104" s="53"/>
      <c r="N104" s="53"/>
      <c r="O104" s="100">
        <f t="shared" ref="O104:P104" si="613">O103</f>
        <v>100.62</v>
      </c>
      <c r="P104" s="101" t="str">
        <f t="shared" si="613"/>
        <v>2,29,560</v>
      </c>
      <c r="Q104" s="11" t="str">
        <f t="shared" si="470"/>
        <v>2</v>
      </c>
      <c r="R104" s="11" t="str">
        <f t="shared" si="471"/>
        <v>29,560</v>
      </c>
      <c r="S104" s="11">
        <f t="shared" si="472"/>
        <v>4.1544444444444446E-2</v>
      </c>
      <c r="T104" s="14">
        <f t="shared" si="473"/>
        <v>2421.9844878309709</v>
      </c>
      <c r="U104" s="39">
        <f t="shared" si="474"/>
        <v>-100</v>
      </c>
      <c r="V104" s="105">
        <f t="shared" ref="V104:W104" si="614">V103</f>
        <v>20.399999999999999</v>
      </c>
      <c r="W104" s="105">
        <f t="shared" si="614"/>
        <v>1.5069999999999999</v>
      </c>
      <c r="X104" s="106">
        <f t="shared" si="529"/>
        <v>1.504</v>
      </c>
      <c r="Y104" s="53"/>
      <c r="Z104" s="53"/>
      <c r="AA104" s="107">
        <f t="shared" ref="AA104:AB104" si="615">AA103</f>
        <v>10.015000000000001</v>
      </c>
      <c r="AB104" s="108" t="str">
        <f t="shared" si="615"/>
        <v>22,10,090</v>
      </c>
      <c r="AC104" s="11" t="str">
        <f t="shared" si="477"/>
        <v>22</v>
      </c>
      <c r="AD104" s="11" t="str">
        <f t="shared" si="478"/>
        <v>10,090</v>
      </c>
      <c r="AE104" s="11">
        <f t="shared" si="479"/>
        <v>0.36946944444444441</v>
      </c>
      <c r="AF104" s="14">
        <f t="shared" si="480"/>
        <v>27.106436406558959</v>
      </c>
      <c r="AG104" s="41">
        <f t="shared" si="481"/>
        <v>-100</v>
      </c>
      <c r="AH104" s="105">
        <f t="shared" si="537"/>
        <v>20.3</v>
      </c>
      <c r="AI104" s="105">
        <f t="shared" si="537"/>
        <v>1.5089999999999999</v>
      </c>
      <c r="AJ104" s="105">
        <f t="shared" si="537"/>
        <v>1.504</v>
      </c>
      <c r="AK104" s="53">
        <f t="shared" si="482"/>
        <v>0</v>
      </c>
      <c r="AL104" s="53"/>
      <c r="AM104" s="54">
        <f t="shared" ref="AM104:AN104" si="616">AM103</f>
        <v>5.0129999999999999</v>
      </c>
      <c r="AN104" s="101" t="str">
        <f t="shared" si="616"/>
        <v>17,59,050</v>
      </c>
      <c r="AO104" s="11" t="str">
        <f t="shared" si="484"/>
        <v>17</v>
      </c>
      <c r="AP104" s="11" t="str">
        <f t="shared" si="485"/>
        <v>59,050</v>
      </c>
      <c r="AQ104" s="11">
        <f t="shared" si="486"/>
        <v>0.29973611111111109</v>
      </c>
      <c r="AR104" s="14">
        <f t="shared" si="487"/>
        <v>16.724711551827998</v>
      </c>
      <c r="AS104" s="41">
        <f t="shared" si="488"/>
        <v>-100</v>
      </c>
      <c r="AT104" s="43" t="str">
        <f t="shared" si="489"/>
        <v>NO CONFORME</v>
      </c>
      <c r="AU104" s="8" t="b">
        <f t="shared" si="411"/>
        <v>1</v>
      </c>
      <c r="AV104" s="8" t="b">
        <f t="shared" si="412"/>
        <v>0</v>
      </c>
      <c r="AW104" s="8" t="b">
        <f t="shared" si="413"/>
        <v>1</v>
      </c>
      <c r="AX104" s="8" t="str">
        <f t="shared" si="414"/>
        <v>Qcorrecto</v>
      </c>
      <c r="AY104" s="22" t="str">
        <f t="shared" si="394"/>
        <v>aceptable</v>
      </c>
      <c r="AZ104" s="22" t="str">
        <f t="shared" si="395"/>
        <v>aceptable</v>
      </c>
      <c r="BA104" s="22" t="str">
        <f t="shared" si="415"/>
        <v>aceptable</v>
      </c>
      <c r="BB104" s="25" t="str">
        <f t="shared" si="416"/>
        <v>NO CONFORME</v>
      </c>
      <c r="BC104" s="5" t="str">
        <f t="shared" si="417"/>
        <v>NO CONFORME</v>
      </c>
      <c r="BD104" s="15">
        <f t="shared" si="396"/>
        <v>-1</v>
      </c>
      <c r="BE104" s="15">
        <f t="shared" si="397"/>
        <v>-1</v>
      </c>
      <c r="BF104" s="15">
        <f t="shared" si="398"/>
        <v>-1</v>
      </c>
      <c r="BG104" s="15" t="str">
        <f t="shared" si="399"/>
        <v>-1-1-1</v>
      </c>
      <c r="BH104" s="15" t="str">
        <f t="shared" si="400"/>
        <v>SD</v>
      </c>
      <c r="BI104" s="15" t="str">
        <f t="shared" si="401"/>
        <v>SI</v>
      </c>
      <c r="BJ104" s="15" t="b">
        <f t="shared" si="402"/>
        <v>1</v>
      </c>
      <c r="BK104" s="15" t="str">
        <f t="shared" si="403"/>
        <v>SIGIGUALES</v>
      </c>
      <c r="BL104" s="22" t="str">
        <f t="shared" si="404"/>
        <v>NO CONFORME</v>
      </c>
    </row>
    <row r="105" spans="1:64" ht="15.75" thickBot="1" x14ac:dyDescent="0.3">
      <c r="A105" s="37">
        <v>97</v>
      </c>
      <c r="B105" s="93">
        <f t="shared" ref="B105:E105" si="617">B104</f>
        <v>45919</v>
      </c>
      <c r="C105" s="93">
        <f t="shared" si="617"/>
        <v>45919</v>
      </c>
      <c r="D105" s="94">
        <f t="shared" si="617"/>
        <v>6</v>
      </c>
      <c r="E105" s="95">
        <f t="shared" si="617"/>
        <v>15</v>
      </c>
      <c r="F105" s="52"/>
      <c r="G105" s="96"/>
      <c r="H105" s="97">
        <f t="shared" ref="H105:L105" si="618">H104</f>
        <v>25.6</v>
      </c>
      <c r="I105" s="98">
        <f t="shared" si="618"/>
        <v>0</v>
      </c>
      <c r="J105" s="99">
        <f t="shared" si="618"/>
        <v>20.9</v>
      </c>
      <c r="K105" s="99">
        <f t="shared" si="618"/>
        <v>7.883</v>
      </c>
      <c r="L105" s="99">
        <f t="shared" si="618"/>
        <v>0.55400000000000005</v>
      </c>
      <c r="M105" s="53"/>
      <c r="N105" s="53"/>
      <c r="O105" s="100">
        <f t="shared" ref="O105:P105" si="619">O104</f>
        <v>100.62</v>
      </c>
      <c r="P105" s="101" t="str">
        <f t="shared" si="619"/>
        <v>2,29,560</v>
      </c>
      <c r="Q105" s="11" t="str">
        <f t="shared" si="470"/>
        <v>2</v>
      </c>
      <c r="R105" s="11" t="str">
        <f t="shared" si="471"/>
        <v>29,560</v>
      </c>
      <c r="S105" s="11">
        <f t="shared" si="472"/>
        <v>4.1544444444444446E-2</v>
      </c>
      <c r="T105" s="14">
        <f t="shared" si="473"/>
        <v>2421.9844878309709</v>
      </c>
      <c r="U105" s="39">
        <f t="shared" si="474"/>
        <v>-100</v>
      </c>
      <c r="V105" s="105">
        <f t="shared" ref="V105:W105" si="620">V104</f>
        <v>20.399999999999999</v>
      </c>
      <c r="W105" s="105">
        <f t="shared" si="620"/>
        <v>1.5069999999999999</v>
      </c>
      <c r="X105" s="106">
        <f t="shared" si="529"/>
        <v>1.504</v>
      </c>
      <c r="Y105" s="53"/>
      <c r="Z105" s="53"/>
      <c r="AA105" s="107">
        <f t="shared" ref="AA105:AB105" si="621">AA104</f>
        <v>10.015000000000001</v>
      </c>
      <c r="AB105" s="108" t="str">
        <f t="shared" si="621"/>
        <v>22,10,090</v>
      </c>
      <c r="AC105" s="11" t="str">
        <f t="shared" si="477"/>
        <v>22</v>
      </c>
      <c r="AD105" s="11" t="str">
        <f t="shared" si="478"/>
        <v>10,090</v>
      </c>
      <c r="AE105" s="11">
        <f t="shared" si="479"/>
        <v>0.36946944444444441</v>
      </c>
      <c r="AF105" s="14">
        <f t="shared" si="480"/>
        <v>27.106436406558959</v>
      </c>
      <c r="AG105" s="41">
        <f t="shared" si="481"/>
        <v>-100</v>
      </c>
      <c r="AH105" s="105">
        <f t="shared" si="537"/>
        <v>20.3</v>
      </c>
      <c r="AI105" s="105">
        <f t="shared" si="537"/>
        <v>1.5089999999999999</v>
      </c>
      <c r="AJ105" s="105">
        <f t="shared" si="537"/>
        <v>1.504</v>
      </c>
      <c r="AK105" s="53">
        <f t="shared" si="482"/>
        <v>0</v>
      </c>
      <c r="AL105" s="53"/>
      <c r="AM105" s="54">
        <f t="shared" ref="AM105:AN105" si="622">AM104</f>
        <v>5.0129999999999999</v>
      </c>
      <c r="AN105" s="101" t="str">
        <f t="shared" si="622"/>
        <v>17,59,050</v>
      </c>
      <c r="AO105" s="11" t="str">
        <f t="shared" si="484"/>
        <v>17</v>
      </c>
      <c r="AP105" s="11" t="str">
        <f t="shared" si="485"/>
        <v>59,050</v>
      </c>
      <c r="AQ105" s="11">
        <f t="shared" si="486"/>
        <v>0.29973611111111109</v>
      </c>
      <c r="AR105" s="14">
        <f t="shared" si="487"/>
        <v>16.724711551827998</v>
      </c>
      <c r="AS105" s="41">
        <f t="shared" si="488"/>
        <v>-100</v>
      </c>
      <c r="AT105" s="43" t="str">
        <f t="shared" si="489"/>
        <v>NO CONFORME</v>
      </c>
      <c r="AU105" s="8" t="b">
        <f t="shared" si="411"/>
        <v>1</v>
      </c>
      <c r="AV105" s="8" t="b">
        <f t="shared" si="412"/>
        <v>0</v>
      </c>
      <c r="AW105" s="8" t="b">
        <f t="shared" si="413"/>
        <v>1</v>
      </c>
      <c r="AX105" s="8" t="str">
        <f t="shared" si="414"/>
        <v>Qcorrecto</v>
      </c>
      <c r="AY105" s="22" t="str">
        <f t="shared" si="394"/>
        <v>aceptable</v>
      </c>
      <c r="AZ105" s="22" t="str">
        <f t="shared" si="395"/>
        <v>aceptable</v>
      </c>
      <c r="BA105" s="22" t="str">
        <f t="shared" si="415"/>
        <v>aceptable</v>
      </c>
      <c r="BB105" s="25" t="str">
        <f t="shared" si="416"/>
        <v>NO CONFORME</v>
      </c>
      <c r="BC105" s="5" t="str">
        <f t="shared" si="417"/>
        <v>NO CONFORME</v>
      </c>
      <c r="BD105" s="15">
        <f t="shared" si="396"/>
        <v>-1</v>
      </c>
      <c r="BE105" s="15">
        <f t="shared" si="397"/>
        <v>-1</v>
      </c>
      <c r="BF105" s="15">
        <f t="shared" si="398"/>
        <v>-1</v>
      </c>
      <c r="BG105" s="15" t="str">
        <f t="shared" si="399"/>
        <v>-1-1-1</v>
      </c>
      <c r="BH105" s="15" t="str">
        <f t="shared" si="400"/>
        <v>SD</v>
      </c>
      <c r="BI105" s="15" t="str">
        <f t="shared" si="401"/>
        <v>SI</v>
      </c>
      <c r="BJ105" s="15" t="b">
        <f t="shared" si="402"/>
        <v>1</v>
      </c>
      <c r="BK105" s="15" t="str">
        <f t="shared" si="403"/>
        <v>SIGIGUALES</v>
      </c>
      <c r="BL105" s="22" t="str">
        <f t="shared" si="404"/>
        <v>NO CONFORME</v>
      </c>
    </row>
    <row r="106" spans="1:64" ht="15.75" thickBot="1" x14ac:dyDescent="0.3">
      <c r="A106" s="37">
        <v>98</v>
      </c>
      <c r="B106" s="93">
        <f t="shared" ref="B106:E106" si="623">B105</f>
        <v>45919</v>
      </c>
      <c r="C106" s="93">
        <f t="shared" si="623"/>
        <v>45919</v>
      </c>
      <c r="D106" s="94">
        <f t="shared" si="623"/>
        <v>6</v>
      </c>
      <c r="E106" s="95">
        <f t="shared" si="623"/>
        <v>15</v>
      </c>
      <c r="F106" s="52"/>
      <c r="G106" s="96"/>
      <c r="H106" s="97">
        <f t="shared" ref="H106:L106" si="624">H105</f>
        <v>25.6</v>
      </c>
      <c r="I106" s="98">
        <f t="shared" si="624"/>
        <v>0</v>
      </c>
      <c r="J106" s="99">
        <f t="shared" si="624"/>
        <v>20.9</v>
      </c>
      <c r="K106" s="99">
        <f t="shared" si="624"/>
        <v>7.883</v>
      </c>
      <c r="L106" s="99">
        <f t="shared" si="624"/>
        <v>0.55400000000000005</v>
      </c>
      <c r="M106" s="53"/>
      <c r="N106" s="53"/>
      <c r="O106" s="100">
        <f t="shared" ref="O106:P106" si="625">O105</f>
        <v>100.62</v>
      </c>
      <c r="P106" s="101" t="str">
        <f t="shared" si="625"/>
        <v>2,29,560</v>
      </c>
      <c r="Q106" s="11" t="str">
        <f t="shared" si="470"/>
        <v>2</v>
      </c>
      <c r="R106" s="11" t="str">
        <f t="shared" si="471"/>
        <v>29,560</v>
      </c>
      <c r="S106" s="11">
        <f t="shared" si="472"/>
        <v>4.1544444444444446E-2</v>
      </c>
      <c r="T106" s="14">
        <f t="shared" si="473"/>
        <v>2421.9844878309709</v>
      </c>
      <c r="U106" s="39">
        <f t="shared" si="474"/>
        <v>-100</v>
      </c>
      <c r="V106" s="105">
        <f t="shared" ref="V106:X121" si="626">V105</f>
        <v>20.399999999999999</v>
      </c>
      <c r="W106" s="105">
        <f t="shared" si="626"/>
        <v>1.5069999999999999</v>
      </c>
      <c r="X106" s="106">
        <f t="shared" si="626"/>
        <v>1.504</v>
      </c>
      <c r="Y106" s="53"/>
      <c r="Z106" s="53"/>
      <c r="AA106" s="107">
        <f t="shared" ref="AA106:AB106" si="627">AA105</f>
        <v>10.015000000000001</v>
      </c>
      <c r="AB106" s="108" t="str">
        <f t="shared" si="627"/>
        <v>22,10,090</v>
      </c>
      <c r="AC106" s="11" t="str">
        <f t="shared" si="477"/>
        <v>22</v>
      </c>
      <c r="AD106" s="11" t="str">
        <f t="shared" si="478"/>
        <v>10,090</v>
      </c>
      <c r="AE106" s="11">
        <f t="shared" si="479"/>
        <v>0.36946944444444441</v>
      </c>
      <c r="AF106" s="14">
        <f t="shared" si="480"/>
        <v>27.106436406558959</v>
      </c>
      <c r="AG106" s="41">
        <f t="shared" si="481"/>
        <v>-100</v>
      </c>
      <c r="AH106" s="105">
        <f t="shared" si="537"/>
        <v>20.3</v>
      </c>
      <c r="AI106" s="105">
        <f t="shared" si="537"/>
        <v>1.5089999999999999</v>
      </c>
      <c r="AJ106" s="105">
        <f t="shared" si="537"/>
        <v>1.504</v>
      </c>
      <c r="AK106" s="53">
        <f t="shared" si="482"/>
        <v>0</v>
      </c>
      <c r="AL106" s="53"/>
      <c r="AM106" s="54">
        <f t="shared" ref="AM106:AN106" si="628">AM105</f>
        <v>5.0129999999999999</v>
      </c>
      <c r="AN106" s="101" t="str">
        <f t="shared" si="628"/>
        <v>17,59,050</v>
      </c>
      <c r="AO106" s="11" t="str">
        <f t="shared" si="484"/>
        <v>17</v>
      </c>
      <c r="AP106" s="11" t="str">
        <f t="shared" si="485"/>
        <v>59,050</v>
      </c>
      <c r="AQ106" s="11">
        <f t="shared" si="486"/>
        <v>0.29973611111111109</v>
      </c>
      <c r="AR106" s="14">
        <f t="shared" si="487"/>
        <v>16.724711551827998</v>
      </c>
      <c r="AS106" s="41">
        <f t="shared" si="488"/>
        <v>-100</v>
      </c>
      <c r="AT106" s="43" t="str">
        <f t="shared" si="489"/>
        <v>NO CONFORME</v>
      </c>
      <c r="AU106" s="8" t="b">
        <f t="shared" si="411"/>
        <v>1</v>
      </c>
      <c r="AV106" s="8" t="b">
        <f t="shared" si="412"/>
        <v>0</v>
      </c>
      <c r="AW106" s="8" t="b">
        <f t="shared" si="413"/>
        <v>1</v>
      </c>
      <c r="AX106" s="8" t="str">
        <f t="shared" si="414"/>
        <v>Qcorrecto</v>
      </c>
      <c r="AY106" s="22" t="str">
        <f t="shared" si="394"/>
        <v>aceptable</v>
      </c>
      <c r="AZ106" s="22" t="str">
        <f t="shared" si="395"/>
        <v>aceptable</v>
      </c>
      <c r="BA106" s="22" t="str">
        <f t="shared" si="415"/>
        <v>aceptable</v>
      </c>
      <c r="BB106" s="25" t="str">
        <f t="shared" si="416"/>
        <v>NO CONFORME</v>
      </c>
      <c r="BC106" s="5" t="str">
        <f t="shared" si="417"/>
        <v>NO CONFORME</v>
      </c>
      <c r="BD106" s="15">
        <f t="shared" si="396"/>
        <v>-1</v>
      </c>
      <c r="BE106" s="15">
        <f t="shared" si="397"/>
        <v>-1</v>
      </c>
      <c r="BF106" s="15">
        <f t="shared" si="398"/>
        <v>-1</v>
      </c>
      <c r="BG106" s="15" t="str">
        <f t="shared" si="399"/>
        <v>-1-1-1</v>
      </c>
      <c r="BH106" s="15" t="str">
        <f t="shared" si="400"/>
        <v>SD</v>
      </c>
      <c r="BI106" s="15" t="str">
        <f t="shared" si="401"/>
        <v>SI</v>
      </c>
      <c r="BJ106" s="15" t="b">
        <f t="shared" si="402"/>
        <v>1</v>
      </c>
      <c r="BK106" s="15" t="str">
        <f t="shared" si="403"/>
        <v>SIGIGUALES</v>
      </c>
      <c r="BL106" s="22" t="str">
        <f t="shared" si="404"/>
        <v>NO CONFORME</v>
      </c>
    </row>
    <row r="107" spans="1:64" ht="15.75" thickBot="1" x14ac:dyDescent="0.3">
      <c r="A107" s="37">
        <v>99</v>
      </c>
      <c r="B107" s="93">
        <f t="shared" ref="B107:E107" si="629">B106</f>
        <v>45919</v>
      </c>
      <c r="C107" s="93">
        <f t="shared" si="629"/>
        <v>45919</v>
      </c>
      <c r="D107" s="94">
        <f t="shared" si="629"/>
        <v>6</v>
      </c>
      <c r="E107" s="95">
        <f t="shared" si="629"/>
        <v>15</v>
      </c>
      <c r="F107" s="52"/>
      <c r="G107" s="96"/>
      <c r="H107" s="97">
        <f t="shared" ref="H107:L107" si="630">H106</f>
        <v>25.6</v>
      </c>
      <c r="I107" s="98">
        <f t="shared" si="630"/>
        <v>0</v>
      </c>
      <c r="J107" s="99">
        <f t="shared" si="630"/>
        <v>20.9</v>
      </c>
      <c r="K107" s="99">
        <f t="shared" si="630"/>
        <v>7.883</v>
      </c>
      <c r="L107" s="99">
        <f t="shared" si="630"/>
        <v>0.55400000000000005</v>
      </c>
      <c r="M107" s="53"/>
      <c r="N107" s="53"/>
      <c r="O107" s="100">
        <f t="shared" ref="O107:P107" si="631">O106</f>
        <v>100.62</v>
      </c>
      <c r="P107" s="101" t="str">
        <f t="shared" si="631"/>
        <v>2,29,560</v>
      </c>
      <c r="Q107" s="11" t="str">
        <f t="shared" si="470"/>
        <v>2</v>
      </c>
      <c r="R107" s="11" t="str">
        <f t="shared" si="471"/>
        <v>29,560</v>
      </c>
      <c r="S107" s="11">
        <f t="shared" si="472"/>
        <v>4.1544444444444446E-2</v>
      </c>
      <c r="T107" s="14">
        <f t="shared" si="473"/>
        <v>2421.9844878309709</v>
      </c>
      <c r="U107" s="39">
        <f t="shared" si="474"/>
        <v>-100</v>
      </c>
      <c r="V107" s="105">
        <f t="shared" ref="V107:W107" si="632">V106</f>
        <v>20.399999999999999</v>
      </c>
      <c r="W107" s="105">
        <f t="shared" si="632"/>
        <v>1.5069999999999999</v>
      </c>
      <c r="X107" s="106">
        <f t="shared" si="626"/>
        <v>1.504</v>
      </c>
      <c r="Y107" s="53"/>
      <c r="Z107" s="53"/>
      <c r="AA107" s="107">
        <f t="shared" ref="AA107:AB107" si="633">AA106</f>
        <v>10.015000000000001</v>
      </c>
      <c r="AB107" s="108" t="str">
        <f t="shared" si="633"/>
        <v>22,10,090</v>
      </c>
      <c r="AC107" s="11" t="str">
        <f t="shared" si="477"/>
        <v>22</v>
      </c>
      <c r="AD107" s="11" t="str">
        <f t="shared" si="478"/>
        <v>10,090</v>
      </c>
      <c r="AE107" s="11">
        <f t="shared" si="479"/>
        <v>0.36946944444444441</v>
      </c>
      <c r="AF107" s="14">
        <f t="shared" si="480"/>
        <v>27.106436406558959</v>
      </c>
      <c r="AG107" s="41">
        <f t="shared" si="481"/>
        <v>-100</v>
      </c>
      <c r="AH107" s="105">
        <f t="shared" ref="AH107:AJ122" si="634">AH106</f>
        <v>20.3</v>
      </c>
      <c r="AI107" s="105">
        <f t="shared" si="634"/>
        <v>1.5089999999999999</v>
      </c>
      <c r="AJ107" s="105">
        <f t="shared" si="634"/>
        <v>1.504</v>
      </c>
      <c r="AK107" s="53">
        <f t="shared" si="482"/>
        <v>0</v>
      </c>
      <c r="AL107" s="53"/>
      <c r="AM107" s="54">
        <f t="shared" ref="AM107:AN107" si="635">AM106</f>
        <v>5.0129999999999999</v>
      </c>
      <c r="AN107" s="101" t="str">
        <f t="shared" si="635"/>
        <v>17,59,050</v>
      </c>
      <c r="AO107" s="11" t="str">
        <f t="shared" si="484"/>
        <v>17</v>
      </c>
      <c r="AP107" s="11" t="str">
        <f t="shared" si="485"/>
        <v>59,050</v>
      </c>
      <c r="AQ107" s="11">
        <f t="shared" si="486"/>
        <v>0.29973611111111109</v>
      </c>
      <c r="AR107" s="14">
        <f t="shared" si="487"/>
        <v>16.724711551827998</v>
      </c>
      <c r="AS107" s="41">
        <f t="shared" si="488"/>
        <v>-100</v>
      </c>
      <c r="AT107" s="43" t="str">
        <f t="shared" si="489"/>
        <v>NO CONFORME</v>
      </c>
      <c r="AU107" s="8" t="b">
        <f t="shared" si="411"/>
        <v>1</v>
      </c>
      <c r="AV107" s="8" t="b">
        <f t="shared" si="412"/>
        <v>0</v>
      </c>
      <c r="AW107" s="8" t="b">
        <f t="shared" si="413"/>
        <v>1</v>
      </c>
      <c r="AX107" s="8" t="str">
        <f t="shared" si="414"/>
        <v>Qcorrecto</v>
      </c>
      <c r="AY107" s="22" t="str">
        <f t="shared" si="394"/>
        <v>aceptable</v>
      </c>
      <c r="AZ107" s="22" t="str">
        <f t="shared" si="395"/>
        <v>aceptable</v>
      </c>
      <c r="BA107" s="22" t="str">
        <f t="shared" si="415"/>
        <v>aceptable</v>
      </c>
      <c r="BB107" s="25" t="str">
        <f t="shared" si="416"/>
        <v>NO CONFORME</v>
      </c>
      <c r="BC107" s="5" t="str">
        <f t="shared" si="417"/>
        <v>NO CONFORME</v>
      </c>
      <c r="BD107" s="15">
        <f t="shared" si="396"/>
        <v>-1</v>
      </c>
      <c r="BE107" s="15">
        <f t="shared" si="397"/>
        <v>-1</v>
      </c>
      <c r="BF107" s="15">
        <f t="shared" si="398"/>
        <v>-1</v>
      </c>
      <c r="BG107" s="15" t="str">
        <f t="shared" si="399"/>
        <v>-1-1-1</v>
      </c>
      <c r="BH107" s="15" t="str">
        <f t="shared" si="400"/>
        <v>SD</v>
      </c>
      <c r="BI107" s="15" t="str">
        <f t="shared" si="401"/>
        <v>SI</v>
      </c>
      <c r="BJ107" s="15" t="b">
        <f t="shared" si="402"/>
        <v>1</v>
      </c>
      <c r="BK107" s="15" t="str">
        <f t="shared" si="403"/>
        <v>SIGIGUALES</v>
      </c>
      <c r="BL107" s="22" t="str">
        <f t="shared" si="404"/>
        <v>NO CONFORME</v>
      </c>
    </row>
    <row r="108" spans="1:64" ht="15.75" thickBot="1" x14ac:dyDescent="0.3">
      <c r="A108" s="37">
        <v>100</v>
      </c>
      <c r="B108" s="93">
        <f t="shared" ref="B108:E108" si="636">B107</f>
        <v>45919</v>
      </c>
      <c r="C108" s="93">
        <f t="shared" si="636"/>
        <v>45919</v>
      </c>
      <c r="D108" s="94">
        <f t="shared" si="636"/>
        <v>6</v>
      </c>
      <c r="E108" s="95">
        <f t="shared" si="636"/>
        <v>15</v>
      </c>
      <c r="F108" s="52"/>
      <c r="G108" s="96"/>
      <c r="H108" s="97">
        <f t="shared" ref="H108:L108" si="637">H107</f>
        <v>25.6</v>
      </c>
      <c r="I108" s="98">
        <f t="shared" si="637"/>
        <v>0</v>
      </c>
      <c r="J108" s="99">
        <f t="shared" si="637"/>
        <v>20.9</v>
      </c>
      <c r="K108" s="99">
        <f t="shared" si="637"/>
        <v>7.883</v>
      </c>
      <c r="L108" s="99">
        <f t="shared" si="637"/>
        <v>0.55400000000000005</v>
      </c>
      <c r="M108" s="53"/>
      <c r="N108" s="53"/>
      <c r="O108" s="100">
        <f t="shared" ref="O108:P108" si="638">O107</f>
        <v>100.62</v>
      </c>
      <c r="P108" s="101" t="str">
        <f t="shared" si="638"/>
        <v>2,29,560</v>
      </c>
      <c r="Q108" s="11" t="str">
        <f t="shared" si="470"/>
        <v>2</v>
      </c>
      <c r="R108" s="11" t="str">
        <f t="shared" si="471"/>
        <v>29,560</v>
      </c>
      <c r="S108" s="11">
        <f t="shared" si="472"/>
        <v>4.1544444444444446E-2</v>
      </c>
      <c r="T108" s="14">
        <f t="shared" si="473"/>
        <v>2421.9844878309709</v>
      </c>
      <c r="U108" s="39">
        <f t="shared" si="474"/>
        <v>-100</v>
      </c>
      <c r="V108" s="105">
        <f t="shared" ref="V108:W108" si="639">V107</f>
        <v>20.399999999999999</v>
      </c>
      <c r="W108" s="105">
        <f t="shared" si="639"/>
        <v>1.5069999999999999</v>
      </c>
      <c r="X108" s="106">
        <f t="shared" si="626"/>
        <v>1.504</v>
      </c>
      <c r="Y108" s="53"/>
      <c r="Z108" s="53"/>
      <c r="AA108" s="107">
        <f t="shared" ref="AA108:AB108" si="640">AA107</f>
        <v>10.015000000000001</v>
      </c>
      <c r="AB108" s="108" t="str">
        <f t="shared" si="640"/>
        <v>22,10,090</v>
      </c>
      <c r="AC108" s="11" t="str">
        <f t="shared" si="477"/>
        <v>22</v>
      </c>
      <c r="AD108" s="11" t="str">
        <f t="shared" si="478"/>
        <v>10,090</v>
      </c>
      <c r="AE108" s="11">
        <f t="shared" si="479"/>
        <v>0.36946944444444441</v>
      </c>
      <c r="AF108" s="14">
        <f t="shared" si="480"/>
        <v>27.106436406558959</v>
      </c>
      <c r="AG108" s="41">
        <f t="shared" si="481"/>
        <v>-100</v>
      </c>
      <c r="AH108" s="105">
        <f t="shared" si="634"/>
        <v>20.3</v>
      </c>
      <c r="AI108" s="105">
        <f t="shared" si="634"/>
        <v>1.5089999999999999</v>
      </c>
      <c r="AJ108" s="105">
        <f t="shared" si="634"/>
        <v>1.504</v>
      </c>
      <c r="AK108" s="53">
        <f t="shared" si="482"/>
        <v>0</v>
      </c>
      <c r="AL108" s="53"/>
      <c r="AM108" s="54">
        <f t="shared" ref="AM108:AN108" si="641">AM107</f>
        <v>5.0129999999999999</v>
      </c>
      <c r="AN108" s="101" t="str">
        <f t="shared" si="641"/>
        <v>17,59,050</v>
      </c>
      <c r="AO108" s="11" t="str">
        <f t="shared" si="484"/>
        <v>17</v>
      </c>
      <c r="AP108" s="11" t="str">
        <f t="shared" si="485"/>
        <v>59,050</v>
      </c>
      <c r="AQ108" s="11">
        <f t="shared" si="486"/>
        <v>0.29973611111111109</v>
      </c>
      <c r="AR108" s="14">
        <f t="shared" si="487"/>
        <v>16.724711551827998</v>
      </c>
      <c r="AS108" s="41">
        <f t="shared" si="488"/>
        <v>-100</v>
      </c>
      <c r="AT108" s="43" t="str">
        <f t="shared" si="489"/>
        <v>NO CONFORME</v>
      </c>
      <c r="AU108" s="8" t="b">
        <f t="shared" si="411"/>
        <v>1</v>
      </c>
      <c r="AV108" s="8" t="b">
        <f t="shared" si="412"/>
        <v>0</v>
      </c>
      <c r="AW108" s="8" t="b">
        <f t="shared" si="413"/>
        <v>1</v>
      </c>
      <c r="AX108" s="8" t="str">
        <f t="shared" si="414"/>
        <v>Qcorrecto</v>
      </c>
      <c r="AY108" s="22" t="str">
        <f t="shared" si="394"/>
        <v>aceptable</v>
      </c>
      <c r="AZ108" s="22" t="str">
        <f t="shared" si="395"/>
        <v>aceptable</v>
      </c>
      <c r="BA108" s="22" t="str">
        <f t="shared" si="415"/>
        <v>aceptable</v>
      </c>
      <c r="BB108" s="25" t="str">
        <f t="shared" si="416"/>
        <v>NO CONFORME</v>
      </c>
      <c r="BC108" s="5" t="str">
        <f t="shared" si="417"/>
        <v>NO CONFORME</v>
      </c>
      <c r="BD108" s="15">
        <f t="shared" si="396"/>
        <v>-1</v>
      </c>
      <c r="BE108" s="15">
        <f t="shared" si="397"/>
        <v>-1</v>
      </c>
      <c r="BF108" s="15">
        <f t="shared" si="398"/>
        <v>-1</v>
      </c>
      <c r="BG108" s="15" t="str">
        <f t="shared" si="399"/>
        <v>-1-1-1</v>
      </c>
      <c r="BH108" s="15" t="str">
        <f t="shared" si="400"/>
        <v>SD</v>
      </c>
      <c r="BI108" s="15" t="str">
        <f t="shared" si="401"/>
        <v>SI</v>
      </c>
      <c r="BJ108" s="15" t="b">
        <f t="shared" si="402"/>
        <v>1</v>
      </c>
      <c r="BK108" s="15" t="str">
        <f t="shared" si="403"/>
        <v>SIGIGUALES</v>
      </c>
      <c r="BL108" s="22" t="str">
        <f t="shared" si="404"/>
        <v>NO CONFORME</v>
      </c>
    </row>
    <row r="109" spans="1:64" ht="15.75" thickBot="1" x14ac:dyDescent="0.3">
      <c r="A109" s="37">
        <v>101</v>
      </c>
      <c r="B109" s="93">
        <f t="shared" ref="B109:E109" si="642">B108</f>
        <v>45919</v>
      </c>
      <c r="C109" s="93">
        <f t="shared" si="642"/>
        <v>45919</v>
      </c>
      <c r="D109" s="94">
        <f t="shared" si="642"/>
        <v>6</v>
      </c>
      <c r="E109" s="95">
        <f t="shared" si="642"/>
        <v>15</v>
      </c>
      <c r="F109" s="52"/>
      <c r="G109" s="96"/>
      <c r="H109" s="97">
        <f t="shared" ref="H109:L109" si="643">H108</f>
        <v>25.6</v>
      </c>
      <c r="I109" s="98">
        <f t="shared" si="643"/>
        <v>0</v>
      </c>
      <c r="J109" s="99">
        <f t="shared" si="643"/>
        <v>20.9</v>
      </c>
      <c r="K109" s="99">
        <f t="shared" si="643"/>
        <v>7.883</v>
      </c>
      <c r="L109" s="99">
        <f t="shared" si="643"/>
        <v>0.55400000000000005</v>
      </c>
      <c r="M109" s="53"/>
      <c r="N109" s="53"/>
      <c r="O109" s="100">
        <f t="shared" ref="O109:P109" si="644">O108</f>
        <v>100.62</v>
      </c>
      <c r="P109" s="101" t="str">
        <f t="shared" si="644"/>
        <v>2,29,560</v>
      </c>
      <c r="Q109" s="11" t="str">
        <f t="shared" si="470"/>
        <v>2</v>
      </c>
      <c r="R109" s="11" t="str">
        <f t="shared" si="471"/>
        <v>29,560</v>
      </c>
      <c r="S109" s="11">
        <f t="shared" si="472"/>
        <v>4.1544444444444446E-2</v>
      </c>
      <c r="T109" s="14">
        <f t="shared" si="473"/>
        <v>2421.9844878309709</v>
      </c>
      <c r="U109" s="39">
        <f t="shared" si="474"/>
        <v>-100</v>
      </c>
      <c r="V109" s="105">
        <f t="shared" ref="V109:W109" si="645">V108</f>
        <v>20.399999999999999</v>
      </c>
      <c r="W109" s="105">
        <f t="shared" si="645"/>
        <v>1.5069999999999999</v>
      </c>
      <c r="X109" s="106">
        <f t="shared" si="626"/>
        <v>1.504</v>
      </c>
      <c r="Y109" s="53"/>
      <c r="Z109" s="53"/>
      <c r="AA109" s="107">
        <f t="shared" ref="AA109:AB109" si="646">AA108</f>
        <v>10.015000000000001</v>
      </c>
      <c r="AB109" s="108" t="str">
        <f t="shared" si="646"/>
        <v>22,10,090</v>
      </c>
      <c r="AC109" s="11" t="str">
        <f t="shared" si="477"/>
        <v>22</v>
      </c>
      <c r="AD109" s="11" t="str">
        <f t="shared" si="478"/>
        <v>10,090</v>
      </c>
      <c r="AE109" s="11">
        <f t="shared" si="479"/>
        <v>0.36946944444444441</v>
      </c>
      <c r="AF109" s="14">
        <f t="shared" si="480"/>
        <v>27.106436406558959</v>
      </c>
      <c r="AG109" s="41">
        <f t="shared" si="481"/>
        <v>-100</v>
      </c>
      <c r="AH109" s="105">
        <f t="shared" si="634"/>
        <v>20.3</v>
      </c>
      <c r="AI109" s="105">
        <f t="shared" si="634"/>
        <v>1.5089999999999999</v>
      </c>
      <c r="AJ109" s="105">
        <f t="shared" si="634"/>
        <v>1.504</v>
      </c>
      <c r="AK109" s="53">
        <f t="shared" si="482"/>
        <v>0</v>
      </c>
      <c r="AL109" s="53"/>
      <c r="AM109" s="54">
        <f t="shared" ref="AM109:AN109" si="647">AM108</f>
        <v>5.0129999999999999</v>
      </c>
      <c r="AN109" s="101" t="str">
        <f t="shared" si="647"/>
        <v>17,59,050</v>
      </c>
      <c r="AO109" s="11" t="str">
        <f t="shared" si="484"/>
        <v>17</v>
      </c>
      <c r="AP109" s="11" t="str">
        <f t="shared" si="485"/>
        <v>59,050</v>
      </c>
      <c r="AQ109" s="11">
        <f t="shared" si="486"/>
        <v>0.29973611111111109</v>
      </c>
      <c r="AR109" s="14">
        <f t="shared" si="487"/>
        <v>16.724711551827998</v>
      </c>
      <c r="AS109" s="41">
        <f t="shared" si="488"/>
        <v>-100</v>
      </c>
      <c r="AT109" s="43" t="str">
        <f t="shared" si="489"/>
        <v>NO CONFORME</v>
      </c>
      <c r="AU109" s="8" t="b">
        <f t="shared" si="411"/>
        <v>1</v>
      </c>
      <c r="AV109" s="8" t="b">
        <f t="shared" si="412"/>
        <v>0</v>
      </c>
      <c r="AW109" s="8" t="b">
        <f t="shared" si="413"/>
        <v>1</v>
      </c>
      <c r="AX109" s="8" t="str">
        <f t="shared" si="414"/>
        <v>Qcorrecto</v>
      </c>
      <c r="AY109" s="22" t="str">
        <f t="shared" si="394"/>
        <v>aceptable</v>
      </c>
      <c r="AZ109" s="22" t="str">
        <f t="shared" si="395"/>
        <v>aceptable</v>
      </c>
      <c r="BA109" s="22" t="str">
        <f t="shared" si="415"/>
        <v>aceptable</v>
      </c>
      <c r="BB109" s="25" t="str">
        <f t="shared" si="416"/>
        <v>NO CONFORME</v>
      </c>
      <c r="BC109" s="5" t="str">
        <f t="shared" si="417"/>
        <v>NO CONFORME</v>
      </c>
      <c r="BD109" s="15">
        <f t="shared" si="396"/>
        <v>-1</v>
      </c>
      <c r="BE109" s="15">
        <f t="shared" si="397"/>
        <v>-1</v>
      </c>
      <c r="BF109" s="15">
        <f t="shared" si="398"/>
        <v>-1</v>
      </c>
      <c r="BG109" s="15" t="str">
        <f t="shared" si="399"/>
        <v>-1-1-1</v>
      </c>
      <c r="BH109" s="15" t="str">
        <f t="shared" si="400"/>
        <v>SD</v>
      </c>
      <c r="BI109" s="15" t="str">
        <f t="shared" si="401"/>
        <v>SI</v>
      </c>
      <c r="BJ109" s="15" t="b">
        <f t="shared" si="402"/>
        <v>1</v>
      </c>
      <c r="BK109" s="15" t="str">
        <f t="shared" si="403"/>
        <v>SIGIGUALES</v>
      </c>
      <c r="BL109" s="22" t="str">
        <f t="shared" si="404"/>
        <v>NO CONFORME</v>
      </c>
    </row>
    <row r="110" spans="1:64" ht="15.75" thickBot="1" x14ac:dyDescent="0.3">
      <c r="A110" s="37">
        <v>102</v>
      </c>
      <c r="B110" s="93">
        <f t="shared" ref="B110:E110" si="648">B109</f>
        <v>45919</v>
      </c>
      <c r="C110" s="93">
        <f t="shared" si="648"/>
        <v>45919</v>
      </c>
      <c r="D110" s="94">
        <f t="shared" si="648"/>
        <v>6</v>
      </c>
      <c r="E110" s="95">
        <f t="shared" si="648"/>
        <v>15</v>
      </c>
      <c r="F110" s="52"/>
      <c r="G110" s="96"/>
      <c r="H110" s="97">
        <f t="shared" ref="H110:L110" si="649">H109</f>
        <v>25.6</v>
      </c>
      <c r="I110" s="98">
        <f t="shared" si="649"/>
        <v>0</v>
      </c>
      <c r="J110" s="99">
        <f t="shared" si="649"/>
        <v>20.9</v>
      </c>
      <c r="K110" s="99">
        <f t="shared" si="649"/>
        <v>7.883</v>
      </c>
      <c r="L110" s="99">
        <f t="shared" si="649"/>
        <v>0.55400000000000005</v>
      </c>
      <c r="M110" s="53"/>
      <c r="N110" s="53"/>
      <c r="O110" s="100">
        <f t="shared" ref="O110:P110" si="650">O109</f>
        <v>100.62</v>
      </c>
      <c r="P110" s="101" t="str">
        <f t="shared" si="650"/>
        <v>2,29,560</v>
      </c>
      <c r="Q110" s="11" t="str">
        <f t="shared" si="470"/>
        <v>2</v>
      </c>
      <c r="R110" s="11" t="str">
        <f t="shared" si="471"/>
        <v>29,560</v>
      </c>
      <c r="S110" s="11">
        <f t="shared" si="472"/>
        <v>4.1544444444444446E-2</v>
      </c>
      <c r="T110" s="14">
        <f t="shared" si="473"/>
        <v>2421.9844878309709</v>
      </c>
      <c r="U110" s="39">
        <f t="shared" si="474"/>
        <v>-100</v>
      </c>
      <c r="V110" s="105">
        <f t="shared" ref="V110:W110" si="651">V109</f>
        <v>20.399999999999999</v>
      </c>
      <c r="W110" s="105">
        <f t="shared" si="651"/>
        <v>1.5069999999999999</v>
      </c>
      <c r="X110" s="106">
        <f t="shared" si="626"/>
        <v>1.504</v>
      </c>
      <c r="Y110" s="53"/>
      <c r="Z110" s="53"/>
      <c r="AA110" s="107">
        <f t="shared" ref="AA110:AB110" si="652">AA109</f>
        <v>10.015000000000001</v>
      </c>
      <c r="AB110" s="108" t="str">
        <f t="shared" si="652"/>
        <v>22,10,090</v>
      </c>
      <c r="AC110" s="11" t="str">
        <f t="shared" si="477"/>
        <v>22</v>
      </c>
      <c r="AD110" s="11" t="str">
        <f t="shared" si="478"/>
        <v>10,090</v>
      </c>
      <c r="AE110" s="11">
        <f t="shared" si="479"/>
        <v>0.36946944444444441</v>
      </c>
      <c r="AF110" s="14">
        <f t="shared" si="480"/>
        <v>27.106436406558959</v>
      </c>
      <c r="AG110" s="41">
        <f t="shared" si="481"/>
        <v>-100</v>
      </c>
      <c r="AH110" s="105">
        <f t="shared" si="634"/>
        <v>20.3</v>
      </c>
      <c r="AI110" s="105">
        <f t="shared" si="634"/>
        <v>1.5089999999999999</v>
      </c>
      <c r="AJ110" s="105">
        <f t="shared" si="634"/>
        <v>1.504</v>
      </c>
      <c r="AK110" s="53">
        <f t="shared" si="482"/>
        <v>0</v>
      </c>
      <c r="AL110" s="53"/>
      <c r="AM110" s="54">
        <f t="shared" ref="AM110:AN110" si="653">AM109</f>
        <v>5.0129999999999999</v>
      </c>
      <c r="AN110" s="101" t="str">
        <f t="shared" si="653"/>
        <v>17,59,050</v>
      </c>
      <c r="AO110" s="11" t="str">
        <f t="shared" si="484"/>
        <v>17</v>
      </c>
      <c r="AP110" s="11" t="str">
        <f t="shared" si="485"/>
        <v>59,050</v>
      </c>
      <c r="AQ110" s="11">
        <f t="shared" si="486"/>
        <v>0.29973611111111109</v>
      </c>
      <c r="AR110" s="14">
        <f t="shared" si="487"/>
        <v>16.724711551827998</v>
      </c>
      <c r="AS110" s="41">
        <f t="shared" si="488"/>
        <v>-100</v>
      </c>
      <c r="AT110" s="43" t="str">
        <f t="shared" si="489"/>
        <v>NO CONFORME</v>
      </c>
      <c r="AU110" s="8" t="b">
        <f t="shared" si="411"/>
        <v>1</v>
      </c>
      <c r="AV110" s="8" t="b">
        <f t="shared" si="412"/>
        <v>0</v>
      </c>
      <c r="AW110" s="8" t="b">
        <f t="shared" si="413"/>
        <v>1</v>
      </c>
      <c r="AX110" s="8" t="str">
        <f t="shared" si="414"/>
        <v>Qcorrecto</v>
      </c>
      <c r="AY110" s="22" t="str">
        <f t="shared" si="394"/>
        <v>aceptable</v>
      </c>
      <c r="AZ110" s="22" t="str">
        <f t="shared" si="395"/>
        <v>aceptable</v>
      </c>
      <c r="BA110" s="22" t="str">
        <f t="shared" si="415"/>
        <v>aceptable</v>
      </c>
      <c r="BB110" s="25" t="str">
        <f t="shared" si="416"/>
        <v>NO CONFORME</v>
      </c>
      <c r="BC110" s="5" t="str">
        <f t="shared" si="417"/>
        <v>NO CONFORME</v>
      </c>
      <c r="BD110" s="15">
        <f t="shared" si="396"/>
        <v>-1</v>
      </c>
      <c r="BE110" s="15">
        <f t="shared" si="397"/>
        <v>-1</v>
      </c>
      <c r="BF110" s="15">
        <f t="shared" si="398"/>
        <v>-1</v>
      </c>
      <c r="BG110" s="15" t="str">
        <f t="shared" si="399"/>
        <v>-1-1-1</v>
      </c>
      <c r="BH110" s="15" t="str">
        <f t="shared" si="400"/>
        <v>SD</v>
      </c>
      <c r="BI110" s="15" t="str">
        <f t="shared" si="401"/>
        <v>SI</v>
      </c>
      <c r="BJ110" s="15" t="b">
        <f t="shared" si="402"/>
        <v>1</v>
      </c>
      <c r="BK110" s="15" t="str">
        <f t="shared" si="403"/>
        <v>SIGIGUALES</v>
      </c>
      <c r="BL110" s="22" t="str">
        <f t="shared" si="404"/>
        <v>NO CONFORME</v>
      </c>
    </row>
    <row r="111" spans="1:64" ht="15.75" thickBot="1" x14ac:dyDescent="0.3">
      <c r="A111" s="37">
        <v>103</v>
      </c>
      <c r="B111" s="93">
        <f t="shared" ref="B111:E111" si="654">B110</f>
        <v>45919</v>
      </c>
      <c r="C111" s="93">
        <f t="shared" si="654"/>
        <v>45919</v>
      </c>
      <c r="D111" s="94">
        <f t="shared" si="654"/>
        <v>6</v>
      </c>
      <c r="E111" s="95">
        <f t="shared" si="654"/>
        <v>15</v>
      </c>
      <c r="F111" s="52"/>
      <c r="G111" s="96"/>
      <c r="H111" s="97">
        <f t="shared" ref="H111:L111" si="655">H110</f>
        <v>25.6</v>
      </c>
      <c r="I111" s="98">
        <f t="shared" si="655"/>
        <v>0</v>
      </c>
      <c r="J111" s="99">
        <f t="shared" si="655"/>
        <v>20.9</v>
      </c>
      <c r="K111" s="99">
        <f t="shared" si="655"/>
        <v>7.883</v>
      </c>
      <c r="L111" s="99">
        <f t="shared" si="655"/>
        <v>0.55400000000000005</v>
      </c>
      <c r="M111" s="53"/>
      <c r="N111" s="53"/>
      <c r="O111" s="100">
        <f t="shared" ref="O111:P111" si="656">O110</f>
        <v>100.62</v>
      </c>
      <c r="P111" s="101" t="str">
        <f t="shared" si="656"/>
        <v>2,29,560</v>
      </c>
      <c r="Q111" s="11" t="str">
        <f t="shared" si="470"/>
        <v>2</v>
      </c>
      <c r="R111" s="11" t="str">
        <f t="shared" si="471"/>
        <v>29,560</v>
      </c>
      <c r="S111" s="11">
        <f t="shared" si="472"/>
        <v>4.1544444444444446E-2</v>
      </c>
      <c r="T111" s="14">
        <f t="shared" si="473"/>
        <v>2421.9844878309709</v>
      </c>
      <c r="U111" s="39">
        <f t="shared" si="474"/>
        <v>-100</v>
      </c>
      <c r="V111" s="105">
        <f t="shared" ref="V111:W111" si="657">V110</f>
        <v>20.399999999999999</v>
      </c>
      <c r="W111" s="105">
        <f t="shared" si="657"/>
        <v>1.5069999999999999</v>
      </c>
      <c r="X111" s="106">
        <f t="shared" si="626"/>
        <v>1.504</v>
      </c>
      <c r="Y111" s="53"/>
      <c r="Z111" s="53"/>
      <c r="AA111" s="107">
        <f t="shared" ref="AA111:AB111" si="658">AA110</f>
        <v>10.015000000000001</v>
      </c>
      <c r="AB111" s="108" t="str">
        <f t="shared" si="658"/>
        <v>22,10,090</v>
      </c>
      <c r="AC111" s="11" t="str">
        <f t="shared" si="477"/>
        <v>22</v>
      </c>
      <c r="AD111" s="11" t="str">
        <f t="shared" si="478"/>
        <v>10,090</v>
      </c>
      <c r="AE111" s="11">
        <f t="shared" si="479"/>
        <v>0.36946944444444441</v>
      </c>
      <c r="AF111" s="14">
        <f t="shared" si="480"/>
        <v>27.106436406558959</v>
      </c>
      <c r="AG111" s="41">
        <f t="shared" si="481"/>
        <v>-100</v>
      </c>
      <c r="AH111" s="105">
        <f t="shared" si="634"/>
        <v>20.3</v>
      </c>
      <c r="AI111" s="105">
        <f t="shared" si="634"/>
        <v>1.5089999999999999</v>
      </c>
      <c r="AJ111" s="105">
        <f t="shared" si="634"/>
        <v>1.504</v>
      </c>
      <c r="AK111" s="53">
        <f t="shared" si="482"/>
        <v>0</v>
      </c>
      <c r="AL111" s="53"/>
      <c r="AM111" s="54">
        <f t="shared" ref="AM111:AN111" si="659">AM110</f>
        <v>5.0129999999999999</v>
      </c>
      <c r="AN111" s="101" t="str">
        <f t="shared" si="659"/>
        <v>17,59,050</v>
      </c>
      <c r="AO111" s="11" t="str">
        <f t="shared" si="484"/>
        <v>17</v>
      </c>
      <c r="AP111" s="11" t="str">
        <f t="shared" si="485"/>
        <v>59,050</v>
      </c>
      <c r="AQ111" s="11">
        <f t="shared" si="486"/>
        <v>0.29973611111111109</v>
      </c>
      <c r="AR111" s="14">
        <f t="shared" si="487"/>
        <v>16.724711551827998</v>
      </c>
      <c r="AS111" s="41">
        <f t="shared" si="488"/>
        <v>-100</v>
      </c>
      <c r="AT111" s="43" t="str">
        <f t="shared" si="489"/>
        <v>NO CONFORME</v>
      </c>
      <c r="AU111" s="8" t="b">
        <f t="shared" si="411"/>
        <v>1</v>
      </c>
      <c r="AV111" s="8" t="b">
        <f t="shared" si="412"/>
        <v>0</v>
      </c>
      <c r="AW111" s="8" t="b">
        <f t="shared" si="413"/>
        <v>1</v>
      </c>
      <c r="AX111" s="8" t="str">
        <f t="shared" si="414"/>
        <v>Qcorrecto</v>
      </c>
      <c r="AY111" s="22" t="str">
        <f t="shared" si="394"/>
        <v>aceptable</v>
      </c>
      <c r="AZ111" s="22" t="str">
        <f t="shared" si="395"/>
        <v>aceptable</v>
      </c>
      <c r="BA111" s="22" t="str">
        <f t="shared" si="415"/>
        <v>aceptable</v>
      </c>
      <c r="BB111" s="25" t="str">
        <f t="shared" si="416"/>
        <v>NO CONFORME</v>
      </c>
      <c r="BC111" s="5" t="str">
        <f t="shared" si="417"/>
        <v>NO CONFORME</v>
      </c>
      <c r="BD111" s="15">
        <f t="shared" si="396"/>
        <v>-1</v>
      </c>
      <c r="BE111" s="15">
        <f t="shared" si="397"/>
        <v>-1</v>
      </c>
      <c r="BF111" s="15">
        <f t="shared" si="398"/>
        <v>-1</v>
      </c>
      <c r="BG111" s="15" t="str">
        <f t="shared" si="399"/>
        <v>-1-1-1</v>
      </c>
      <c r="BH111" s="15" t="str">
        <f t="shared" si="400"/>
        <v>SD</v>
      </c>
      <c r="BI111" s="15" t="str">
        <f t="shared" si="401"/>
        <v>SI</v>
      </c>
      <c r="BJ111" s="15" t="b">
        <f t="shared" si="402"/>
        <v>1</v>
      </c>
      <c r="BK111" s="15" t="str">
        <f t="shared" si="403"/>
        <v>SIGIGUALES</v>
      </c>
      <c r="BL111" s="22" t="str">
        <f t="shared" si="404"/>
        <v>NO CONFORME</v>
      </c>
    </row>
    <row r="112" spans="1:64" ht="15.75" thickBot="1" x14ac:dyDescent="0.3">
      <c r="A112" s="37">
        <v>104</v>
      </c>
      <c r="B112" s="93">
        <f t="shared" ref="B112:E112" si="660">B111</f>
        <v>45919</v>
      </c>
      <c r="C112" s="93">
        <f t="shared" si="660"/>
        <v>45919</v>
      </c>
      <c r="D112" s="94">
        <f t="shared" si="660"/>
        <v>6</v>
      </c>
      <c r="E112" s="95">
        <f t="shared" si="660"/>
        <v>15</v>
      </c>
      <c r="F112" s="52"/>
      <c r="G112" s="96"/>
      <c r="H112" s="97">
        <f t="shared" ref="H112:L112" si="661">H111</f>
        <v>25.6</v>
      </c>
      <c r="I112" s="98">
        <f t="shared" si="661"/>
        <v>0</v>
      </c>
      <c r="J112" s="99">
        <f t="shared" si="661"/>
        <v>20.9</v>
      </c>
      <c r="K112" s="99">
        <f t="shared" si="661"/>
        <v>7.883</v>
      </c>
      <c r="L112" s="99">
        <f t="shared" si="661"/>
        <v>0.55400000000000005</v>
      </c>
      <c r="M112" s="53"/>
      <c r="N112" s="53"/>
      <c r="O112" s="100">
        <f t="shared" ref="O112:P112" si="662">O111</f>
        <v>100.62</v>
      </c>
      <c r="P112" s="101" t="str">
        <f t="shared" si="662"/>
        <v>2,29,560</v>
      </c>
      <c r="Q112" s="11" t="str">
        <f t="shared" si="470"/>
        <v>2</v>
      </c>
      <c r="R112" s="11" t="str">
        <f t="shared" si="471"/>
        <v>29,560</v>
      </c>
      <c r="S112" s="11">
        <f t="shared" si="472"/>
        <v>4.1544444444444446E-2</v>
      </c>
      <c r="T112" s="14">
        <f t="shared" si="473"/>
        <v>2421.9844878309709</v>
      </c>
      <c r="U112" s="39">
        <f t="shared" si="474"/>
        <v>-100</v>
      </c>
      <c r="V112" s="105">
        <f t="shared" ref="V112:W112" si="663">V111</f>
        <v>20.399999999999999</v>
      </c>
      <c r="W112" s="105">
        <f t="shared" si="663"/>
        <v>1.5069999999999999</v>
      </c>
      <c r="X112" s="106">
        <f t="shared" si="626"/>
        <v>1.504</v>
      </c>
      <c r="Y112" s="53"/>
      <c r="Z112" s="53"/>
      <c r="AA112" s="107">
        <f t="shared" ref="AA112:AB112" si="664">AA111</f>
        <v>10.015000000000001</v>
      </c>
      <c r="AB112" s="108" t="str">
        <f t="shared" si="664"/>
        <v>22,10,090</v>
      </c>
      <c r="AC112" s="11" t="str">
        <f t="shared" si="477"/>
        <v>22</v>
      </c>
      <c r="AD112" s="11" t="str">
        <f t="shared" si="478"/>
        <v>10,090</v>
      </c>
      <c r="AE112" s="11">
        <f t="shared" si="479"/>
        <v>0.36946944444444441</v>
      </c>
      <c r="AF112" s="14">
        <f t="shared" si="480"/>
        <v>27.106436406558959</v>
      </c>
      <c r="AG112" s="41">
        <f t="shared" si="481"/>
        <v>-100</v>
      </c>
      <c r="AH112" s="105">
        <f t="shared" si="634"/>
        <v>20.3</v>
      </c>
      <c r="AI112" s="105">
        <f t="shared" si="634"/>
        <v>1.5089999999999999</v>
      </c>
      <c r="AJ112" s="105">
        <f t="shared" si="634"/>
        <v>1.504</v>
      </c>
      <c r="AK112" s="53">
        <f t="shared" si="482"/>
        <v>0</v>
      </c>
      <c r="AL112" s="53"/>
      <c r="AM112" s="54">
        <f t="shared" ref="AM112:AN112" si="665">AM111</f>
        <v>5.0129999999999999</v>
      </c>
      <c r="AN112" s="101" t="str">
        <f t="shared" si="665"/>
        <v>17,59,050</v>
      </c>
      <c r="AO112" s="11" t="str">
        <f t="shared" si="484"/>
        <v>17</v>
      </c>
      <c r="AP112" s="11" t="str">
        <f t="shared" si="485"/>
        <v>59,050</v>
      </c>
      <c r="AQ112" s="11">
        <f t="shared" si="486"/>
        <v>0.29973611111111109</v>
      </c>
      <c r="AR112" s="14">
        <f t="shared" si="487"/>
        <v>16.724711551827998</v>
      </c>
      <c r="AS112" s="41">
        <f t="shared" si="488"/>
        <v>-100</v>
      </c>
      <c r="AT112" s="43" t="str">
        <f t="shared" si="489"/>
        <v>NO CONFORME</v>
      </c>
      <c r="AU112" s="8" t="b">
        <f t="shared" si="411"/>
        <v>1</v>
      </c>
      <c r="AV112" s="8" t="b">
        <f t="shared" si="412"/>
        <v>0</v>
      </c>
      <c r="AW112" s="8" t="b">
        <f t="shared" si="413"/>
        <v>1</v>
      </c>
      <c r="AX112" s="8" t="str">
        <f t="shared" si="414"/>
        <v>Qcorrecto</v>
      </c>
      <c r="AY112" s="22" t="str">
        <f t="shared" si="394"/>
        <v>aceptable</v>
      </c>
      <c r="AZ112" s="22" t="str">
        <f t="shared" si="395"/>
        <v>aceptable</v>
      </c>
      <c r="BA112" s="22" t="str">
        <f t="shared" si="415"/>
        <v>aceptable</v>
      </c>
      <c r="BB112" s="25" t="str">
        <f t="shared" si="416"/>
        <v>NO CONFORME</v>
      </c>
      <c r="BC112" s="5" t="str">
        <f t="shared" si="417"/>
        <v>NO CONFORME</v>
      </c>
      <c r="BD112" s="15">
        <f t="shared" si="396"/>
        <v>-1</v>
      </c>
      <c r="BE112" s="15">
        <f t="shared" si="397"/>
        <v>-1</v>
      </c>
      <c r="BF112" s="15">
        <f t="shared" si="398"/>
        <v>-1</v>
      </c>
      <c r="BG112" s="15" t="str">
        <f t="shared" si="399"/>
        <v>-1-1-1</v>
      </c>
      <c r="BH112" s="15" t="str">
        <f t="shared" si="400"/>
        <v>SD</v>
      </c>
      <c r="BI112" s="15" t="str">
        <f t="shared" si="401"/>
        <v>SI</v>
      </c>
      <c r="BJ112" s="15" t="b">
        <f t="shared" si="402"/>
        <v>1</v>
      </c>
      <c r="BK112" s="15" t="str">
        <f t="shared" si="403"/>
        <v>SIGIGUALES</v>
      </c>
      <c r="BL112" s="22" t="str">
        <f t="shared" si="404"/>
        <v>NO CONFORME</v>
      </c>
    </row>
    <row r="113" spans="1:64" ht="15.75" thickBot="1" x14ac:dyDescent="0.3">
      <c r="A113" s="37">
        <v>105</v>
      </c>
      <c r="B113" s="93">
        <f t="shared" ref="B113:E113" si="666">B112</f>
        <v>45919</v>
      </c>
      <c r="C113" s="93">
        <f t="shared" si="666"/>
        <v>45919</v>
      </c>
      <c r="D113" s="94">
        <f t="shared" si="666"/>
        <v>6</v>
      </c>
      <c r="E113" s="95">
        <f t="shared" si="666"/>
        <v>15</v>
      </c>
      <c r="F113" s="52"/>
      <c r="G113" s="96"/>
      <c r="H113" s="97">
        <f t="shared" ref="H113:L113" si="667">H112</f>
        <v>25.6</v>
      </c>
      <c r="I113" s="98">
        <f t="shared" si="667"/>
        <v>0</v>
      </c>
      <c r="J113" s="99">
        <f t="shared" si="667"/>
        <v>20.9</v>
      </c>
      <c r="K113" s="99">
        <f t="shared" si="667"/>
        <v>7.883</v>
      </c>
      <c r="L113" s="99">
        <f t="shared" si="667"/>
        <v>0.55400000000000005</v>
      </c>
      <c r="M113" s="53"/>
      <c r="N113" s="53"/>
      <c r="O113" s="100">
        <f t="shared" ref="O113:P113" si="668">O112</f>
        <v>100.62</v>
      </c>
      <c r="P113" s="101" t="str">
        <f t="shared" si="668"/>
        <v>2,29,560</v>
      </c>
      <c r="Q113" s="11" t="str">
        <f t="shared" si="470"/>
        <v>2</v>
      </c>
      <c r="R113" s="11" t="str">
        <f t="shared" si="471"/>
        <v>29,560</v>
      </c>
      <c r="S113" s="11">
        <f t="shared" si="472"/>
        <v>4.1544444444444446E-2</v>
      </c>
      <c r="T113" s="14">
        <f t="shared" si="473"/>
        <v>2421.9844878309709</v>
      </c>
      <c r="U113" s="39">
        <f t="shared" si="474"/>
        <v>-100</v>
      </c>
      <c r="V113" s="105">
        <f t="shared" ref="V113:W113" si="669">V112</f>
        <v>20.399999999999999</v>
      </c>
      <c r="W113" s="105">
        <f t="shared" si="669"/>
        <v>1.5069999999999999</v>
      </c>
      <c r="X113" s="106">
        <f t="shared" si="626"/>
        <v>1.504</v>
      </c>
      <c r="Y113" s="53"/>
      <c r="Z113" s="53"/>
      <c r="AA113" s="107">
        <f t="shared" ref="AA113:AB113" si="670">AA112</f>
        <v>10.015000000000001</v>
      </c>
      <c r="AB113" s="108" t="str">
        <f t="shared" si="670"/>
        <v>22,10,090</v>
      </c>
      <c r="AC113" s="11" t="str">
        <f t="shared" si="477"/>
        <v>22</v>
      </c>
      <c r="AD113" s="11" t="str">
        <f t="shared" si="478"/>
        <v>10,090</v>
      </c>
      <c r="AE113" s="11">
        <f t="shared" si="479"/>
        <v>0.36946944444444441</v>
      </c>
      <c r="AF113" s="14">
        <f t="shared" si="480"/>
        <v>27.106436406558959</v>
      </c>
      <c r="AG113" s="41">
        <f t="shared" si="481"/>
        <v>-100</v>
      </c>
      <c r="AH113" s="105">
        <f t="shared" si="634"/>
        <v>20.3</v>
      </c>
      <c r="AI113" s="105">
        <f t="shared" si="634"/>
        <v>1.5089999999999999</v>
      </c>
      <c r="AJ113" s="105">
        <f t="shared" si="634"/>
        <v>1.504</v>
      </c>
      <c r="AK113" s="53">
        <f t="shared" si="482"/>
        <v>0</v>
      </c>
      <c r="AL113" s="53"/>
      <c r="AM113" s="54">
        <f t="shared" ref="AM113:AN113" si="671">AM112</f>
        <v>5.0129999999999999</v>
      </c>
      <c r="AN113" s="101" t="str">
        <f t="shared" si="671"/>
        <v>17,59,050</v>
      </c>
      <c r="AO113" s="11" t="str">
        <f t="shared" si="484"/>
        <v>17</v>
      </c>
      <c r="AP113" s="11" t="str">
        <f t="shared" si="485"/>
        <v>59,050</v>
      </c>
      <c r="AQ113" s="11">
        <f t="shared" si="486"/>
        <v>0.29973611111111109</v>
      </c>
      <c r="AR113" s="14">
        <f t="shared" si="487"/>
        <v>16.724711551827998</v>
      </c>
      <c r="AS113" s="41">
        <f t="shared" si="488"/>
        <v>-100</v>
      </c>
      <c r="AT113" s="43" t="str">
        <f t="shared" si="489"/>
        <v>NO CONFORME</v>
      </c>
      <c r="AU113" s="8" t="b">
        <f t="shared" si="411"/>
        <v>1</v>
      </c>
      <c r="AV113" s="8" t="b">
        <f t="shared" si="412"/>
        <v>0</v>
      </c>
      <c r="AW113" s="8" t="b">
        <f t="shared" si="413"/>
        <v>1</v>
      </c>
      <c r="AX113" s="8" t="str">
        <f t="shared" si="414"/>
        <v>Qcorrecto</v>
      </c>
      <c r="AY113" s="22" t="str">
        <f t="shared" si="394"/>
        <v>aceptable</v>
      </c>
      <c r="AZ113" s="22" t="str">
        <f t="shared" si="395"/>
        <v>aceptable</v>
      </c>
      <c r="BA113" s="22" t="str">
        <f t="shared" si="415"/>
        <v>aceptable</v>
      </c>
      <c r="BB113" s="25" t="str">
        <f t="shared" si="416"/>
        <v>NO CONFORME</v>
      </c>
      <c r="BC113" s="5" t="str">
        <f t="shared" si="417"/>
        <v>NO CONFORME</v>
      </c>
      <c r="BD113" s="15">
        <f t="shared" si="396"/>
        <v>-1</v>
      </c>
      <c r="BE113" s="15">
        <f t="shared" si="397"/>
        <v>-1</v>
      </c>
      <c r="BF113" s="15">
        <f t="shared" si="398"/>
        <v>-1</v>
      </c>
      <c r="BG113" s="15" t="str">
        <f t="shared" si="399"/>
        <v>-1-1-1</v>
      </c>
      <c r="BH113" s="15" t="str">
        <f t="shared" si="400"/>
        <v>SD</v>
      </c>
      <c r="BI113" s="15" t="str">
        <f t="shared" si="401"/>
        <v>SI</v>
      </c>
      <c r="BJ113" s="15" t="b">
        <f t="shared" si="402"/>
        <v>1</v>
      </c>
      <c r="BK113" s="15" t="str">
        <f t="shared" si="403"/>
        <v>SIGIGUALES</v>
      </c>
      <c r="BL113" s="22" t="str">
        <f t="shared" si="404"/>
        <v>NO CONFORME</v>
      </c>
    </row>
    <row r="114" spans="1:64" ht="15.75" thickBot="1" x14ac:dyDescent="0.3">
      <c r="A114" s="37">
        <v>106</v>
      </c>
      <c r="B114" s="93">
        <f t="shared" ref="B114:E114" si="672">B113</f>
        <v>45919</v>
      </c>
      <c r="C114" s="93">
        <f t="shared" si="672"/>
        <v>45919</v>
      </c>
      <c r="D114" s="94">
        <f t="shared" si="672"/>
        <v>6</v>
      </c>
      <c r="E114" s="95">
        <f t="shared" si="672"/>
        <v>15</v>
      </c>
      <c r="F114" s="52"/>
      <c r="G114" s="96"/>
      <c r="H114" s="97">
        <f t="shared" ref="H114:L114" si="673">H113</f>
        <v>25.6</v>
      </c>
      <c r="I114" s="98">
        <f t="shared" si="673"/>
        <v>0</v>
      </c>
      <c r="J114" s="99">
        <f t="shared" si="673"/>
        <v>20.9</v>
      </c>
      <c r="K114" s="99">
        <f t="shared" si="673"/>
        <v>7.883</v>
      </c>
      <c r="L114" s="99">
        <f t="shared" si="673"/>
        <v>0.55400000000000005</v>
      </c>
      <c r="M114" s="53"/>
      <c r="N114" s="53"/>
      <c r="O114" s="100">
        <f t="shared" ref="O114:P114" si="674">O113</f>
        <v>100.62</v>
      </c>
      <c r="P114" s="101" t="str">
        <f t="shared" si="674"/>
        <v>2,29,560</v>
      </c>
      <c r="Q114" s="11" t="str">
        <f t="shared" si="470"/>
        <v>2</v>
      </c>
      <c r="R114" s="11" t="str">
        <f t="shared" si="471"/>
        <v>29,560</v>
      </c>
      <c r="S114" s="11">
        <f t="shared" si="472"/>
        <v>4.1544444444444446E-2</v>
      </c>
      <c r="T114" s="14">
        <f t="shared" si="473"/>
        <v>2421.9844878309709</v>
      </c>
      <c r="U114" s="39">
        <f t="shared" si="474"/>
        <v>-100</v>
      </c>
      <c r="V114" s="105">
        <f t="shared" ref="V114:W114" si="675">V113</f>
        <v>20.399999999999999</v>
      </c>
      <c r="W114" s="105">
        <f t="shared" si="675"/>
        <v>1.5069999999999999</v>
      </c>
      <c r="X114" s="106">
        <f t="shared" si="626"/>
        <v>1.504</v>
      </c>
      <c r="Y114" s="53"/>
      <c r="Z114" s="53"/>
      <c r="AA114" s="107">
        <f t="shared" ref="AA114:AB114" si="676">AA113</f>
        <v>10.015000000000001</v>
      </c>
      <c r="AB114" s="108" t="str">
        <f t="shared" si="676"/>
        <v>22,10,090</v>
      </c>
      <c r="AC114" s="11" t="str">
        <f t="shared" si="477"/>
        <v>22</v>
      </c>
      <c r="AD114" s="11" t="str">
        <f t="shared" si="478"/>
        <v>10,090</v>
      </c>
      <c r="AE114" s="11">
        <f t="shared" si="479"/>
        <v>0.36946944444444441</v>
      </c>
      <c r="AF114" s="14">
        <f t="shared" si="480"/>
        <v>27.106436406558959</v>
      </c>
      <c r="AG114" s="41">
        <f t="shared" si="481"/>
        <v>-100</v>
      </c>
      <c r="AH114" s="105">
        <f t="shared" si="634"/>
        <v>20.3</v>
      </c>
      <c r="AI114" s="105">
        <f t="shared" si="634"/>
        <v>1.5089999999999999</v>
      </c>
      <c r="AJ114" s="105">
        <f t="shared" si="634"/>
        <v>1.504</v>
      </c>
      <c r="AK114" s="53">
        <f t="shared" si="482"/>
        <v>0</v>
      </c>
      <c r="AL114" s="53"/>
      <c r="AM114" s="54">
        <f t="shared" ref="AM114:AN114" si="677">AM113</f>
        <v>5.0129999999999999</v>
      </c>
      <c r="AN114" s="101" t="str">
        <f t="shared" si="677"/>
        <v>17,59,050</v>
      </c>
      <c r="AO114" s="11" t="str">
        <f t="shared" si="484"/>
        <v>17</v>
      </c>
      <c r="AP114" s="11" t="str">
        <f t="shared" si="485"/>
        <v>59,050</v>
      </c>
      <c r="AQ114" s="11">
        <f t="shared" si="486"/>
        <v>0.29973611111111109</v>
      </c>
      <c r="AR114" s="14">
        <f t="shared" si="487"/>
        <v>16.724711551827998</v>
      </c>
      <c r="AS114" s="41">
        <f t="shared" si="488"/>
        <v>-100</v>
      </c>
      <c r="AT114" s="43" t="str">
        <f t="shared" si="489"/>
        <v>NO CONFORME</v>
      </c>
      <c r="AU114" s="8" t="b">
        <f t="shared" si="411"/>
        <v>1</v>
      </c>
      <c r="AV114" s="8" t="b">
        <f t="shared" si="412"/>
        <v>0</v>
      </c>
      <c r="AW114" s="8" t="b">
        <f t="shared" si="413"/>
        <v>1</v>
      </c>
      <c r="AX114" s="8" t="str">
        <f t="shared" si="414"/>
        <v>Qcorrecto</v>
      </c>
      <c r="AY114" s="22" t="str">
        <f t="shared" si="394"/>
        <v>aceptable</v>
      </c>
      <c r="AZ114" s="22" t="str">
        <f t="shared" si="395"/>
        <v>aceptable</v>
      </c>
      <c r="BA114" s="22" t="str">
        <f t="shared" si="415"/>
        <v>aceptable</v>
      </c>
      <c r="BB114" s="25" t="str">
        <f t="shared" si="416"/>
        <v>NO CONFORME</v>
      </c>
      <c r="BC114" s="5" t="str">
        <f t="shared" si="417"/>
        <v>NO CONFORME</v>
      </c>
      <c r="BD114" s="15">
        <f t="shared" si="396"/>
        <v>-1</v>
      </c>
      <c r="BE114" s="15">
        <f t="shared" si="397"/>
        <v>-1</v>
      </c>
      <c r="BF114" s="15">
        <f t="shared" si="398"/>
        <v>-1</v>
      </c>
      <c r="BG114" s="15" t="str">
        <f t="shared" si="399"/>
        <v>-1-1-1</v>
      </c>
      <c r="BH114" s="15" t="str">
        <f t="shared" si="400"/>
        <v>SD</v>
      </c>
      <c r="BI114" s="15" t="str">
        <f t="shared" si="401"/>
        <v>SI</v>
      </c>
      <c r="BJ114" s="15" t="b">
        <f t="shared" si="402"/>
        <v>1</v>
      </c>
      <c r="BK114" s="15" t="str">
        <f t="shared" si="403"/>
        <v>SIGIGUALES</v>
      </c>
      <c r="BL114" s="22" t="str">
        <f t="shared" si="404"/>
        <v>NO CONFORME</v>
      </c>
    </row>
    <row r="115" spans="1:64" ht="15.75" thickBot="1" x14ac:dyDescent="0.3">
      <c r="A115" s="37">
        <v>107</v>
      </c>
      <c r="B115" s="93">
        <f t="shared" ref="B115:E115" si="678">B114</f>
        <v>45919</v>
      </c>
      <c r="C115" s="93">
        <f t="shared" si="678"/>
        <v>45919</v>
      </c>
      <c r="D115" s="94">
        <f t="shared" si="678"/>
        <v>6</v>
      </c>
      <c r="E115" s="95">
        <f t="shared" si="678"/>
        <v>15</v>
      </c>
      <c r="F115" s="52"/>
      <c r="G115" s="96"/>
      <c r="H115" s="97">
        <f t="shared" ref="H115:L115" si="679">H114</f>
        <v>25.6</v>
      </c>
      <c r="I115" s="98">
        <f t="shared" si="679"/>
        <v>0</v>
      </c>
      <c r="J115" s="99">
        <f t="shared" si="679"/>
        <v>20.9</v>
      </c>
      <c r="K115" s="99">
        <f t="shared" si="679"/>
        <v>7.883</v>
      </c>
      <c r="L115" s="99">
        <f t="shared" si="679"/>
        <v>0.55400000000000005</v>
      </c>
      <c r="M115" s="53"/>
      <c r="N115" s="53"/>
      <c r="O115" s="100">
        <f t="shared" ref="O115:P115" si="680">O114</f>
        <v>100.62</v>
      </c>
      <c r="P115" s="101" t="str">
        <f t="shared" si="680"/>
        <v>2,29,560</v>
      </c>
      <c r="Q115" s="11" t="str">
        <f t="shared" si="470"/>
        <v>2</v>
      </c>
      <c r="R115" s="11" t="str">
        <f t="shared" si="471"/>
        <v>29,560</v>
      </c>
      <c r="S115" s="11">
        <f t="shared" si="472"/>
        <v>4.1544444444444446E-2</v>
      </c>
      <c r="T115" s="14">
        <f t="shared" si="473"/>
        <v>2421.9844878309709</v>
      </c>
      <c r="U115" s="39">
        <f t="shared" si="474"/>
        <v>-100</v>
      </c>
      <c r="V115" s="105">
        <f t="shared" ref="V115:W115" si="681">V114</f>
        <v>20.399999999999999</v>
      </c>
      <c r="W115" s="105">
        <f t="shared" si="681"/>
        <v>1.5069999999999999</v>
      </c>
      <c r="X115" s="106">
        <f t="shared" si="626"/>
        <v>1.504</v>
      </c>
      <c r="Y115" s="53"/>
      <c r="Z115" s="53"/>
      <c r="AA115" s="107">
        <f t="shared" ref="AA115:AB115" si="682">AA114</f>
        <v>10.015000000000001</v>
      </c>
      <c r="AB115" s="108" t="str">
        <f t="shared" si="682"/>
        <v>22,10,090</v>
      </c>
      <c r="AC115" s="11" t="str">
        <f t="shared" si="477"/>
        <v>22</v>
      </c>
      <c r="AD115" s="11" t="str">
        <f t="shared" si="478"/>
        <v>10,090</v>
      </c>
      <c r="AE115" s="11">
        <f t="shared" si="479"/>
        <v>0.36946944444444441</v>
      </c>
      <c r="AF115" s="14">
        <f t="shared" si="480"/>
        <v>27.106436406558959</v>
      </c>
      <c r="AG115" s="41">
        <f t="shared" si="481"/>
        <v>-100</v>
      </c>
      <c r="AH115" s="105">
        <f t="shared" si="634"/>
        <v>20.3</v>
      </c>
      <c r="AI115" s="105">
        <f t="shared" si="634"/>
        <v>1.5089999999999999</v>
      </c>
      <c r="AJ115" s="105">
        <f t="shared" si="634"/>
        <v>1.504</v>
      </c>
      <c r="AK115" s="53">
        <f t="shared" si="482"/>
        <v>0</v>
      </c>
      <c r="AL115" s="53"/>
      <c r="AM115" s="54">
        <f t="shared" ref="AM115:AN115" si="683">AM114</f>
        <v>5.0129999999999999</v>
      </c>
      <c r="AN115" s="101" t="str">
        <f t="shared" si="683"/>
        <v>17,59,050</v>
      </c>
      <c r="AO115" s="11" t="str">
        <f t="shared" si="484"/>
        <v>17</v>
      </c>
      <c r="AP115" s="11" t="str">
        <f t="shared" si="485"/>
        <v>59,050</v>
      </c>
      <c r="AQ115" s="11">
        <f t="shared" si="486"/>
        <v>0.29973611111111109</v>
      </c>
      <c r="AR115" s="14">
        <f t="shared" si="487"/>
        <v>16.724711551827998</v>
      </c>
      <c r="AS115" s="41">
        <f t="shared" si="488"/>
        <v>-100</v>
      </c>
      <c r="AT115" s="43" t="str">
        <f t="shared" si="489"/>
        <v>NO CONFORME</v>
      </c>
      <c r="AU115" s="8" t="b">
        <f t="shared" si="411"/>
        <v>1</v>
      </c>
      <c r="AV115" s="8" t="b">
        <f t="shared" si="412"/>
        <v>0</v>
      </c>
      <c r="AW115" s="8" t="b">
        <f t="shared" si="413"/>
        <v>1</v>
      </c>
      <c r="AX115" s="8" t="str">
        <f t="shared" si="414"/>
        <v>Qcorrecto</v>
      </c>
      <c r="AY115" s="22" t="str">
        <f t="shared" si="394"/>
        <v>aceptable</v>
      </c>
      <c r="AZ115" s="22" t="str">
        <f t="shared" si="395"/>
        <v>aceptable</v>
      </c>
      <c r="BA115" s="22" t="str">
        <f t="shared" si="415"/>
        <v>aceptable</v>
      </c>
      <c r="BB115" s="25" t="str">
        <f t="shared" si="416"/>
        <v>NO CONFORME</v>
      </c>
      <c r="BC115" s="5" t="str">
        <f t="shared" si="417"/>
        <v>NO CONFORME</v>
      </c>
      <c r="BD115" s="15">
        <f t="shared" si="396"/>
        <v>-1</v>
      </c>
      <c r="BE115" s="15">
        <f t="shared" si="397"/>
        <v>-1</v>
      </c>
      <c r="BF115" s="15">
        <f t="shared" si="398"/>
        <v>-1</v>
      </c>
      <c r="BG115" s="15" t="str">
        <f t="shared" si="399"/>
        <v>-1-1-1</v>
      </c>
      <c r="BH115" s="15" t="str">
        <f t="shared" si="400"/>
        <v>SD</v>
      </c>
      <c r="BI115" s="15" t="str">
        <f t="shared" si="401"/>
        <v>SI</v>
      </c>
      <c r="BJ115" s="15" t="b">
        <f t="shared" si="402"/>
        <v>1</v>
      </c>
      <c r="BK115" s="15" t="str">
        <f t="shared" si="403"/>
        <v>SIGIGUALES</v>
      </c>
      <c r="BL115" s="22" t="str">
        <f t="shared" si="404"/>
        <v>NO CONFORME</v>
      </c>
    </row>
    <row r="116" spans="1:64" ht="15.75" thickBot="1" x14ac:dyDescent="0.3">
      <c r="A116" s="37">
        <v>108</v>
      </c>
      <c r="B116" s="93">
        <f t="shared" ref="B116:E116" si="684">B115</f>
        <v>45919</v>
      </c>
      <c r="C116" s="93">
        <f t="shared" si="684"/>
        <v>45919</v>
      </c>
      <c r="D116" s="94">
        <f t="shared" si="684"/>
        <v>6</v>
      </c>
      <c r="E116" s="95">
        <f t="shared" si="684"/>
        <v>15</v>
      </c>
      <c r="F116" s="52"/>
      <c r="G116" s="96"/>
      <c r="H116" s="97">
        <f t="shared" ref="H116:L116" si="685">H115</f>
        <v>25.6</v>
      </c>
      <c r="I116" s="98">
        <f t="shared" si="685"/>
        <v>0</v>
      </c>
      <c r="J116" s="99">
        <f t="shared" si="685"/>
        <v>20.9</v>
      </c>
      <c r="K116" s="99">
        <f t="shared" si="685"/>
        <v>7.883</v>
      </c>
      <c r="L116" s="99">
        <f t="shared" si="685"/>
        <v>0.55400000000000005</v>
      </c>
      <c r="M116" s="53"/>
      <c r="N116" s="53"/>
      <c r="O116" s="100">
        <f t="shared" ref="O116:P116" si="686">O115</f>
        <v>100.62</v>
      </c>
      <c r="P116" s="101" t="str">
        <f t="shared" si="686"/>
        <v>2,29,560</v>
      </c>
      <c r="Q116" s="11" t="str">
        <f t="shared" si="470"/>
        <v>2</v>
      </c>
      <c r="R116" s="11" t="str">
        <f t="shared" si="471"/>
        <v>29,560</v>
      </c>
      <c r="S116" s="11">
        <f t="shared" si="472"/>
        <v>4.1544444444444446E-2</v>
      </c>
      <c r="T116" s="14">
        <f t="shared" si="473"/>
        <v>2421.9844878309709</v>
      </c>
      <c r="U116" s="39">
        <f t="shared" si="474"/>
        <v>-100</v>
      </c>
      <c r="V116" s="105">
        <f t="shared" ref="V116:W116" si="687">V115</f>
        <v>20.399999999999999</v>
      </c>
      <c r="W116" s="105">
        <f t="shared" si="687"/>
        <v>1.5069999999999999</v>
      </c>
      <c r="X116" s="106">
        <f t="shared" si="626"/>
        <v>1.504</v>
      </c>
      <c r="Y116" s="53"/>
      <c r="Z116" s="53"/>
      <c r="AA116" s="107">
        <f t="shared" ref="AA116:AB116" si="688">AA115</f>
        <v>10.015000000000001</v>
      </c>
      <c r="AB116" s="108" t="str">
        <f t="shared" si="688"/>
        <v>22,10,090</v>
      </c>
      <c r="AC116" s="11" t="str">
        <f t="shared" si="477"/>
        <v>22</v>
      </c>
      <c r="AD116" s="11" t="str">
        <f t="shared" si="478"/>
        <v>10,090</v>
      </c>
      <c r="AE116" s="11">
        <f t="shared" si="479"/>
        <v>0.36946944444444441</v>
      </c>
      <c r="AF116" s="14">
        <f t="shared" si="480"/>
        <v>27.106436406558959</v>
      </c>
      <c r="AG116" s="41">
        <f t="shared" si="481"/>
        <v>-100</v>
      </c>
      <c r="AH116" s="105">
        <f t="shared" si="634"/>
        <v>20.3</v>
      </c>
      <c r="AI116" s="105">
        <f t="shared" si="634"/>
        <v>1.5089999999999999</v>
      </c>
      <c r="AJ116" s="105">
        <f t="shared" si="634"/>
        <v>1.504</v>
      </c>
      <c r="AK116" s="53">
        <f t="shared" si="482"/>
        <v>0</v>
      </c>
      <c r="AL116" s="53"/>
      <c r="AM116" s="54">
        <f t="shared" ref="AM116:AN116" si="689">AM115</f>
        <v>5.0129999999999999</v>
      </c>
      <c r="AN116" s="101" t="str">
        <f t="shared" si="689"/>
        <v>17,59,050</v>
      </c>
      <c r="AO116" s="11" t="str">
        <f t="shared" si="484"/>
        <v>17</v>
      </c>
      <c r="AP116" s="11" t="str">
        <f t="shared" si="485"/>
        <v>59,050</v>
      </c>
      <c r="AQ116" s="11">
        <f t="shared" si="486"/>
        <v>0.29973611111111109</v>
      </c>
      <c r="AR116" s="14">
        <f t="shared" si="487"/>
        <v>16.724711551827998</v>
      </c>
      <c r="AS116" s="41">
        <f t="shared" si="488"/>
        <v>-100</v>
      </c>
      <c r="AT116" s="43" t="str">
        <f t="shared" si="489"/>
        <v>NO CONFORME</v>
      </c>
      <c r="AU116" s="8" t="b">
        <f t="shared" si="411"/>
        <v>1</v>
      </c>
      <c r="AV116" s="8" t="b">
        <f t="shared" si="412"/>
        <v>0</v>
      </c>
      <c r="AW116" s="8" t="b">
        <f t="shared" si="413"/>
        <v>1</v>
      </c>
      <c r="AX116" s="8" t="str">
        <f t="shared" si="414"/>
        <v>Qcorrecto</v>
      </c>
      <c r="AY116" s="22" t="str">
        <f t="shared" si="394"/>
        <v>aceptable</v>
      </c>
      <c r="AZ116" s="22" t="str">
        <f t="shared" si="395"/>
        <v>aceptable</v>
      </c>
      <c r="BA116" s="22" t="str">
        <f t="shared" si="415"/>
        <v>aceptable</v>
      </c>
      <c r="BB116" s="25" t="str">
        <f t="shared" si="416"/>
        <v>NO CONFORME</v>
      </c>
      <c r="BC116" s="5" t="str">
        <f t="shared" si="417"/>
        <v>NO CONFORME</v>
      </c>
      <c r="BD116" s="15">
        <f t="shared" si="396"/>
        <v>-1</v>
      </c>
      <c r="BE116" s="15">
        <f t="shared" si="397"/>
        <v>-1</v>
      </c>
      <c r="BF116" s="15">
        <f t="shared" si="398"/>
        <v>-1</v>
      </c>
      <c r="BG116" s="15" t="str">
        <f t="shared" si="399"/>
        <v>-1-1-1</v>
      </c>
      <c r="BH116" s="15" t="str">
        <f t="shared" si="400"/>
        <v>SD</v>
      </c>
      <c r="BI116" s="15" t="str">
        <f t="shared" si="401"/>
        <v>SI</v>
      </c>
      <c r="BJ116" s="15" t="b">
        <f t="shared" si="402"/>
        <v>1</v>
      </c>
      <c r="BK116" s="15" t="str">
        <f t="shared" si="403"/>
        <v>SIGIGUALES</v>
      </c>
      <c r="BL116" s="22" t="str">
        <f t="shared" si="404"/>
        <v>NO CONFORME</v>
      </c>
    </row>
    <row r="117" spans="1:64" ht="15.75" thickBot="1" x14ac:dyDescent="0.3">
      <c r="A117" s="37">
        <v>109</v>
      </c>
      <c r="B117" s="93">
        <f t="shared" ref="B117:E117" si="690">B116</f>
        <v>45919</v>
      </c>
      <c r="C117" s="93">
        <f t="shared" si="690"/>
        <v>45919</v>
      </c>
      <c r="D117" s="94">
        <f t="shared" si="690"/>
        <v>6</v>
      </c>
      <c r="E117" s="95">
        <f t="shared" si="690"/>
        <v>15</v>
      </c>
      <c r="F117" s="52"/>
      <c r="G117" s="96"/>
      <c r="H117" s="97">
        <f t="shared" ref="H117:L117" si="691">H116</f>
        <v>25.6</v>
      </c>
      <c r="I117" s="98">
        <f t="shared" si="691"/>
        <v>0</v>
      </c>
      <c r="J117" s="99">
        <f t="shared" si="691"/>
        <v>20.9</v>
      </c>
      <c r="K117" s="99">
        <f t="shared" si="691"/>
        <v>7.883</v>
      </c>
      <c r="L117" s="99">
        <f t="shared" si="691"/>
        <v>0.55400000000000005</v>
      </c>
      <c r="M117" s="53"/>
      <c r="N117" s="53"/>
      <c r="O117" s="100">
        <f t="shared" ref="O117:P117" si="692">O116</f>
        <v>100.62</v>
      </c>
      <c r="P117" s="101" t="str">
        <f t="shared" si="692"/>
        <v>2,29,560</v>
      </c>
      <c r="Q117" s="11" t="str">
        <f t="shared" si="470"/>
        <v>2</v>
      </c>
      <c r="R117" s="11" t="str">
        <f t="shared" si="471"/>
        <v>29,560</v>
      </c>
      <c r="S117" s="11">
        <f t="shared" si="472"/>
        <v>4.1544444444444446E-2</v>
      </c>
      <c r="T117" s="14">
        <f t="shared" si="473"/>
        <v>2421.9844878309709</v>
      </c>
      <c r="U117" s="39">
        <f t="shared" si="474"/>
        <v>-100</v>
      </c>
      <c r="V117" s="105">
        <f t="shared" ref="V117:W117" si="693">V116</f>
        <v>20.399999999999999</v>
      </c>
      <c r="W117" s="105">
        <f t="shared" si="693"/>
        <v>1.5069999999999999</v>
      </c>
      <c r="X117" s="106">
        <f t="shared" si="626"/>
        <v>1.504</v>
      </c>
      <c r="Y117" s="53"/>
      <c r="Z117" s="53"/>
      <c r="AA117" s="107">
        <f t="shared" ref="AA117:AB117" si="694">AA116</f>
        <v>10.015000000000001</v>
      </c>
      <c r="AB117" s="108" t="str">
        <f t="shared" si="694"/>
        <v>22,10,090</v>
      </c>
      <c r="AC117" s="11" t="str">
        <f t="shared" si="477"/>
        <v>22</v>
      </c>
      <c r="AD117" s="11" t="str">
        <f t="shared" si="478"/>
        <v>10,090</v>
      </c>
      <c r="AE117" s="11">
        <f t="shared" si="479"/>
        <v>0.36946944444444441</v>
      </c>
      <c r="AF117" s="14">
        <f t="shared" si="480"/>
        <v>27.106436406558959</v>
      </c>
      <c r="AG117" s="41">
        <f t="shared" si="481"/>
        <v>-100</v>
      </c>
      <c r="AH117" s="105">
        <f t="shared" si="634"/>
        <v>20.3</v>
      </c>
      <c r="AI117" s="105">
        <f t="shared" si="634"/>
        <v>1.5089999999999999</v>
      </c>
      <c r="AJ117" s="105">
        <f t="shared" si="634"/>
        <v>1.504</v>
      </c>
      <c r="AK117" s="53">
        <f t="shared" si="482"/>
        <v>0</v>
      </c>
      <c r="AL117" s="53"/>
      <c r="AM117" s="54">
        <f t="shared" ref="AM117:AN117" si="695">AM116</f>
        <v>5.0129999999999999</v>
      </c>
      <c r="AN117" s="101" t="str">
        <f t="shared" si="695"/>
        <v>17,59,050</v>
      </c>
      <c r="AO117" s="11" t="str">
        <f t="shared" si="484"/>
        <v>17</v>
      </c>
      <c r="AP117" s="11" t="str">
        <f t="shared" si="485"/>
        <v>59,050</v>
      </c>
      <c r="AQ117" s="11">
        <f t="shared" si="486"/>
        <v>0.29973611111111109</v>
      </c>
      <c r="AR117" s="14">
        <f t="shared" si="487"/>
        <v>16.724711551827998</v>
      </c>
      <c r="AS117" s="41">
        <f t="shared" si="488"/>
        <v>-100</v>
      </c>
      <c r="AT117" s="43" t="str">
        <f t="shared" si="489"/>
        <v>NO CONFORME</v>
      </c>
      <c r="AU117" s="8" t="b">
        <f t="shared" si="411"/>
        <v>1</v>
      </c>
      <c r="AV117" s="8" t="b">
        <f t="shared" si="412"/>
        <v>0</v>
      </c>
      <c r="AW117" s="8" t="b">
        <f t="shared" si="413"/>
        <v>1</v>
      </c>
      <c r="AX117" s="8" t="str">
        <f t="shared" si="414"/>
        <v>Qcorrecto</v>
      </c>
      <c r="AY117" s="22" t="str">
        <f t="shared" si="394"/>
        <v>aceptable</v>
      </c>
      <c r="AZ117" s="22" t="str">
        <f t="shared" si="395"/>
        <v>aceptable</v>
      </c>
      <c r="BA117" s="22" t="str">
        <f t="shared" si="415"/>
        <v>aceptable</v>
      </c>
      <c r="BB117" s="25" t="str">
        <f t="shared" si="416"/>
        <v>NO CONFORME</v>
      </c>
      <c r="BC117" s="5" t="str">
        <f t="shared" si="417"/>
        <v>NO CONFORME</v>
      </c>
      <c r="BD117" s="15">
        <f t="shared" si="396"/>
        <v>-1</v>
      </c>
      <c r="BE117" s="15">
        <f t="shared" si="397"/>
        <v>-1</v>
      </c>
      <c r="BF117" s="15">
        <f t="shared" si="398"/>
        <v>-1</v>
      </c>
      <c r="BG117" s="15" t="str">
        <f t="shared" si="399"/>
        <v>-1-1-1</v>
      </c>
      <c r="BH117" s="15" t="str">
        <f t="shared" si="400"/>
        <v>SD</v>
      </c>
      <c r="BI117" s="15" t="str">
        <f t="shared" si="401"/>
        <v>SI</v>
      </c>
      <c r="BJ117" s="15" t="b">
        <f t="shared" si="402"/>
        <v>1</v>
      </c>
      <c r="BK117" s="15" t="str">
        <f t="shared" si="403"/>
        <v>SIGIGUALES</v>
      </c>
      <c r="BL117" s="22" t="str">
        <f t="shared" si="404"/>
        <v>NO CONFORME</v>
      </c>
    </row>
    <row r="118" spans="1:64" ht="15.75" thickBot="1" x14ac:dyDescent="0.3">
      <c r="A118" s="37">
        <v>110</v>
      </c>
      <c r="B118" s="93">
        <f t="shared" ref="B118:E118" si="696">B117</f>
        <v>45919</v>
      </c>
      <c r="C118" s="93">
        <f t="shared" si="696"/>
        <v>45919</v>
      </c>
      <c r="D118" s="94">
        <f t="shared" si="696"/>
        <v>6</v>
      </c>
      <c r="E118" s="95">
        <f t="shared" si="696"/>
        <v>15</v>
      </c>
      <c r="F118" s="52"/>
      <c r="G118" s="96"/>
      <c r="H118" s="97">
        <f t="shared" ref="H118:L118" si="697">H117</f>
        <v>25.6</v>
      </c>
      <c r="I118" s="98">
        <f t="shared" si="697"/>
        <v>0</v>
      </c>
      <c r="J118" s="99">
        <f t="shared" si="697"/>
        <v>20.9</v>
      </c>
      <c r="K118" s="99">
        <f t="shared" si="697"/>
        <v>7.883</v>
      </c>
      <c r="L118" s="99">
        <f t="shared" si="697"/>
        <v>0.55400000000000005</v>
      </c>
      <c r="M118" s="53"/>
      <c r="N118" s="53"/>
      <c r="O118" s="100">
        <f t="shared" ref="O118:P118" si="698">O117</f>
        <v>100.62</v>
      </c>
      <c r="P118" s="101" t="str">
        <f t="shared" si="698"/>
        <v>2,29,560</v>
      </c>
      <c r="Q118" s="11" t="str">
        <f t="shared" si="470"/>
        <v>2</v>
      </c>
      <c r="R118" s="11" t="str">
        <f t="shared" si="471"/>
        <v>29,560</v>
      </c>
      <c r="S118" s="11">
        <f t="shared" si="472"/>
        <v>4.1544444444444446E-2</v>
      </c>
      <c r="T118" s="14">
        <f t="shared" si="473"/>
        <v>2421.9844878309709</v>
      </c>
      <c r="U118" s="39">
        <f t="shared" si="474"/>
        <v>-100</v>
      </c>
      <c r="V118" s="105">
        <f t="shared" ref="V118:W118" si="699">V117</f>
        <v>20.399999999999999</v>
      </c>
      <c r="W118" s="105">
        <f t="shared" si="699"/>
        <v>1.5069999999999999</v>
      </c>
      <c r="X118" s="106">
        <f t="shared" si="626"/>
        <v>1.504</v>
      </c>
      <c r="Y118" s="53"/>
      <c r="Z118" s="53"/>
      <c r="AA118" s="107">
        <f t="shared" ref="AA118:AB118" si="700">AA117</f>
        <v>10.015000000000001</v>
      </c>
      <c r="AB118" s="108" t="str">
        <f t="shared" si="700"/>
        <v>22,10,090</v>
      </c>
      <c r="AC118" s="11" t="str">
        <f t="shared" si="477"/>
        <v>22</v>
      </c>
      <c r="AD118" s="11" t="str">
        <f t="shared" si="478"/>
        <v>10,090</v>
      </c>
      <c r="AE118" s="11">
        <f t="shared" si="479"/>
        <v>0.36946944444444441</v>
      </c>
      <c r="AF118" s="14">
        <f t="shared" si="480"/>
        <v>27.106436406558959</v>
      </c>
      <c r="AG118" s="41">
        <f t="shared" si="481"/>
        <v>-100</v>
      </c>
      <c r="AH118" s="105">
        <f t="shared" si="634"/>
        <v>20.3</v>
      </c>
      <c r="AI118" s="105">
        <f t="shared" si="634"/>
        <v>1.5089999999999999</v>
      </c>
      <c r="AJ118" s="105">
        <f t="shared" si="634"/>
        <v>1.504</v>
      </c>
      <c r="AK118" s="53">
        <f t="shared" si="482"/>
        <v>0</v>
      </c>
      <c r="AL118" s="53"/>
      <c r="AM118" s="54">
        <f t="shared" ref="AM118:AN118" si="701">AM117</f>
        <v>5.0129999999999999</v>
      </c>
      <c r="AN118" s="101" t="str">
        <f t="shared" si="701"/>
        <v>17,59,050</v>
      </c>
      <c r="AO118" s="11" t="str">
        <f t="shared" si="484"/>
        <v>17</v>
      </c>
      <c r="AP118" s="11" t="str">
        <f t="shared" si="485"/>
        <v>59,050</v>
      </c>
      <c r="AQ118" s="11">
        <f t="shared" si="486"/>
        <v>0.29973611111111109</v>
      </c>
      <c r="AR118" s="14">
        <f t="shared" si="487"/>
        <v>16.724711551827998</v>
      </c>
      <c r="AS118" s="41">
        <f t="shared" si="488"/>
        <v>-100</v>
      </c>
      <c r="AT118" s="43" t="str">
        <f t="shared" si="489"/>
        <v>NO CONFORME</v>
      </c>
      <c r="AU118" s="8" t="b">
        <f t="shared" si="411"/>
        <v>1</v>
      </c>
      <c r="AV118" s="8" t="b">
        <f t="shared" si="412"/>
        <v>0</v>
      </c>
      <c r="AW118" s="8" t="b">
        <f t="shared" si="413"/>
        <v>1</v>
      </c>
      <c r="AX118" s="8" t="str">
        <f t="shared" si="414"/>
        <v>Qcorrecto</v>
      </c>
      <c r="AY118" s="22" t="str">
        <f t="shared" si="394"/>
        <v>aceptable</v>
      </c>
      <c r="AZ118" s="22" t="str">
        <f t="shared" si="395"/>
        <v>aceptable</v>
      </c>
      <c r="BA118" s="22" t="str">
        <f t="shared" si="415"/>
        <v>aceptable</v>
      </c>
      <c r="BB118" s="25" t="str">
        <f t="shared" si="416"/>
        <v>NO CONFORME</v>
      </c>
      <c r="BC118" s="5" t="str">
        <f t="shared" si="417"/>
        <v>NO CONFORME</v>
      </c>
      <c r="BD118" s="15">
        <f t="shared" si="396"/>
        <v>-1</v>
      </c>
      <c r="BE118" s="15">
        <f t="shared" si="397"/>
        <v>-1</v>
      </c>
      <c r="BF118" s="15">
        <f t="shared" si="398"/>
        <v>-1</v>
      </c>
      <c r="BG118" s="15" t="str">
        <f t="shared" si="399"/>
        <v>-1-1-1</v>
      </c>
      <c r="BH118" s="15" t="str">
        <f t="shared" si="400"/>
        <v>SD</v>
      </c>
      <c r="BI118" s="15" t="str">
        <f t="shared" si="401"/>
        <v>SI</v>
      </c>
      <c r="BJ118" s="15" t="b">
        <f t="shared" si="402"/>
        <v>1</v>
      </c>
      <c r="BK118" s="15" t="str">
        <f t="shared" si="403"/>
        <v>SIGIGUALES</v>
      </c>
      <c r="BL118" s="22" t="str">
        <f t="shared" si="404"/>
        <v>NO CONFORME</v>
      </c>
    </row>
    <row r="119" spans="1:64" ht="15.75" thickBot="1" x14ac:dyDescent="0.3">
      <c r="A119" s="37">
        <v>111</v>
      </c>
      <c r="B119" s="93">
        <f t="shared" ref="B119:E119" si="702">B118</f>
        <v>45919</v>
      </c>
      <c r="C119" s="93">
        <f t="shared" si="702"/>
        <v>45919</v>
      </c>
      <c r="D119" s="94">
        <f t="shared" si="702"/>
        <v>6</v>
      </c>
      <c r="E119" s="95">
        <f t="shared" si="702"/>
        <v>15</v>
      </c>
      <c r="F119" s="52"/>
      <c r="G119" s="96"/>
      <c r="H119" s="97">
        <f t="shared" ref="H119:L119" si="703">H118</f>
        <v>25.6</v>
      </c>
      <c r="I119" s="98">
        <f t="shared" si="703"/>
        <v>0</v>
      </c>
      <c r="J119" s="99">
        <f t="shared" si="703"/>
        <v>20.9</v>
      </c>
      <c r="K119" s="99">
        <f t="shared" si="703"/>
        <v>7.883</v>
      </c>
      <c r="L119" s="99">
        <f t="shared" si="703"/>
        <v>0.55400000000000005</v>
      </c>
      <c r="M119" s="53"/>
      <c r="N119" s="53"/>
      <c r="O119" s="100">
        <f t="shared" ref="O119:P119" si="704">O118</f>
        <v>100.62</v>
      </c>
      <c r="P119" s="101" t="str">
        <f t="shared" si="704"/>
        <v>2,29,560</v>
      </c>
      <c r="Q119" s="11" t="str">
        <f t="shared" si="470"/>
        <v>2</v>
      </c>
      <c r="R119" s="11" t="str">
        <f t="shared" si="471"/>
        <v>29,560</v>
      </c>
      <c r="S119" s="11">
        <f t="shared" si="472"/>
        <v>4.1544444444444446E-2</v>
      </c>
      <c r="T119" s="14">
        <f t="shared" si="473"/>
        <v>2421.9844878309709</v>
      </c>
      <c r="U119" s="39">
        <f t="shared" si="474"/>
        <v>-100</v>
      </c>
      <c r="V119" s="105">
        <f t="shared" ref="V119:W119" si="705">V118</f>
        <v>20.399999999999999</v>
      </c>
      <c r="W119" s="105">
        <f t="shared" si="705"/>
        <v>1.5069999999999999</v>
      </c>
      <c r="X119" s="106">
        <f t="shared" si="626"/>
        <v>1.504</v>
      </c>
      <c r="Y119" s="53"/>
      <c r="Z119" s="53"/>
      <c r="AA119" s="107">
        <f t="shared" ref="AA119:AB119" si="706">AA118</f>
        <v>10.015000000000001</v>
      </c>
      <c r="AB119" s="108" t="str">
        <f t="shared" si="706"/>
        <v>22,10,090</v>
      </c>
      <c r="AC119" s="11" t="str">
        <f t="shared" si="477"/>
        <v>22</v>
      </c>
      <c r="AD119" s="11" t="str">
        <f t="shared" si="478"/>
        <v>10,090</v>
      </c>
      <c r="AE119" s="11">
        <f t="shared" si="479"/>
        <v>0.36946944444444441</v>
      </c>
      <c r="AF119" s="14">
        <f t="shared" si="480"/>
        <v>27.106436406558959</v>
      </c>
      <c r="AG119" s="41">
        <f t="shared" si="481"/>
        <v>-100</v>
      </c>
      <c r="AH119" s="105">
        <f t="shared" si="634"/>
        <v>20.3</v>
      </c>
      <c r="AI119" s="105">
        <f t="shared" si="634"/>
        <v>1.5089999999999999</v>
      </c>
      <c r="AJ119" s="105">
        <f t="shared" si="634"/>
        <v>1.504</v>
      </c>
      <c r="AK119" s="53">
        <f t="shared" si="482"/>
        <v>0</v>
      </c>
      <c r="AL119" s="53"/>
      <c r="AM119" s="54">
        <f t="shared" ref="AM119:AN119" si="707">AM118</f>
        <v>5.0129999999999999</v>
      </c>
      <c r="AN119" s="101" t="str">
        <f t="shared" si="707"/>
        <v>17,59,050</v>
      </c>
      <c r="AO119" s="11" t="str">
        <f t="shared" si="484"/>
        <v>17</v>
      </c>
      <c r="AP119" s="11" t="str">
        <f t="shared" si="485"/>
        <v>59,050</v>
      </c>
      <c r="AQ119" s="11">
        <f t="shared" si="486"/>
        <v>0.29973611111111109</v>
      </c>
      <c r="AR119" s="14">
        <f t="shared" si="487"/>
        <v>16.724711551827998</v>
      </c>
      <c r="AS119" s="41">
        <f t="shared" si="488"/>
        <v>-100</v>
      </c>
      <c r="AT119" s="43" t="str">
        <f t="shared" si="489"/>
        <v>NO CONFORME</v>
      </c>
      <c r="AU119" s="8" t="b">
        <f t="shared" si="411"/>
        <v>1</v>
      </c>
      <c r="AV119" s="8" t="b">
        <f t="shared" si="412"/>
        <v>0</v>
      </c>
      <c r="AW119" s="8" t="b">
        <f t="shared" si="413"/>
        <v>1</v>
      </c>
      <c r="AX119" s="8" t="str">
        <f t="shared" si="414"/>
        <v>Qcorrecto</v>
      </c>
      <c r="AY119" s="22" t="str">
        <f t="shared" si="394"/>
        <v>aceptable</v>
      </c>
      <c r="AZ119" s="22" t="str">
        <f t="shared" si="395"/>
        <v>aceptable</v>
      </c>
      <c r="BA119" s="22" t="str">
        <f t="shared" si="415"/>
        <v>aceptable</v>
      </c>
      <c r="BB119" s="25" t="str">
        <f t="shared" si="416"/>
        <v>NO CONFORME</v>
      </c>
      <c r="BC119" s="5" t="str">
        <f t="shared" si="417"/>
        <v>NO CONFORME</v>
      </c>
      <c r="BD119" s="15">
        <f t="shared" si="396"/>
        <v>-1</v>
      </c>
      <c r="BE119" s="15">
        <f t="shared" si="397"/>
        <v>-1</v>
      </c>
      <c r="BF119" s="15">
        <f t="shared" si="398"/>
        <v>-1</v>
      </c>
      <c r="BG119" s="15" t="str">
        <f t="shared" si="399"/>
        <v>-1-1-1</v>
      </c>
      <c r="BH119" s="15" t="str">
        <f t="shared" si="400"/>
        <v>SD</v>
      </c>
      <c r="BI119" s="15" t="str">
        <f t="shared" si="401"/>
        <v>SI</v>
      </c>
      <c r="BJ119" s="15" t="b">
        <f t="shared" si="402"/>
        <v>1</v>
      </c>
      <c r="BK119" s="15" t="str">
        <f t="shared" si="403"/>
        <v>SIGIGUALES</v>
      </c>
      <c r="BL119" s="22" t="str">
        <f t="shared" si="404"/>
        <v>NO CONFORME</v>
      </c>
    </row>
    <row r="120" spans="1:64" ht="15.75" thickBot="1" x14ac:dyDescent="0.3">
      <c r="A120" s="37">
        <v>112</v>
      </c>
      <c r="B120" s="93">
        <f t="shared" ref="B120:E120" si="708">B119</f>
        <v>45919</v>
      </c>
      <c r="C120" s="93">
        <f t="shared" si="708"/>
        <v>45919</v>
      </c>
      <c r="D120" s="94">
        <f t="shared" si="708"/>
        <v>6</v>
      </c>
      <c r="E120" s="95">
        <f t="shared" si="708"/>
        <v>15</v>
      </c>
      <c r="F120" s="52"/>
      <c r="G120" s="96"/>
      <c r="H120" s="97">
        <f t="shared" ref="H120:L120" si="709">H119</f>
        <v>25.6</v>
      </c>
      <c r="I120" s="98">
        <f t="shared" si="709"/>
        <v>0</v>
      </c>
      <c r="J120" s="99">
        <f t="shared" si="709"/>
        <v>20.9</v>
      </c>
      <c r="K120" s="99">
        <f t="shared" si="709"/>
        <v>7.883</v>
      </c>
      <c r="L120" s="99">
        <f t="shared" si="709"/>
        <v>0.55400000000000005</v>
      </c>
      <c r="M120" s="53"/>
      <c r="N120" s="53"/>
      <c r="O120" s="100">
        <f t="shared" ref="O120:P120" si="710">O119</f>
        <v>100.62</v>
      </c>
      <c r="P120" s="101" t="str">
        <f t="shared" si="710"/>
        <v>2,29,560</v>
      </c>
      <c r="Q120" s="11" t="str">
        <f t="shared" si="470"/>
        <v>2</v>
      </c>
      <c r="R120" s="11" t="str">
        <f t="shared" si="471"/>
        <v>29,560</v>
      </c>
      <c r="S120" s="11">
        <f t="shared" si="472"/>
        <v>4.1544444444444446E-2</v>
      </c>
      <c r="T120" s="14">
        <f t="shared" si="473"/>
        <v>2421.9844878309709</v>
      </c>
      <c r="U120" s="39">
        <f t="shared" si="474"/>
        <v>-100</v>
      </c>
      <c r="V120" s="105">
        <f t="shared" ref="V120:W120" si="711">V119</f>
        <v>20.399999999999999</v>
      </c>
      <c r="W120" s="105">
        <f t="shared" si="711"/>
        <v>1.5069999999999999</v>
      </c>
      <c r="X120" s="106">
        <f t="shared" si="626"/>
        <v>1.504</v>
      </c>
      <c r="Y120" s="53"/>
      <c r="Z120" s="53"/>
      <c r="AA120" s="107">
        <f t="shared" ref="AA120:AB120" si="712">AA119</f>
        <v>10.015000000000001</v>
      </c>
      <c r="AB120" s="108" t="str">
        <f t="shared" si="712"/>
        <v>22,10,090</v>
      </c>
      <c r="AC120" s="11" t="str">
        <f t="shared" si="477"/>
        <v>22</v>
      </c>
      <c r="AD120" s="11" t="str">
        <f t="shared" si="478"/>
        <v>10,090</v>
      </c>
      <c r="AE120" s="11">
        <f t="shared" si="479"/>
        <v>0.36946944444444441</v>
      </c>
      <c r="AF120" s="14">
        <f t="shared" si="480"/>
        <v>27.106436406558959</v>
      </c>
      <c r="AG120" s="41">
        <f t="shared" si="481"/>
        <v>-100</v>
      </c>
      <c r="AH120" s="105">
        <f t="shared" si="634"/>
        <v>20.3</v>
      </c>
      <c r="AI120" s="105">
        <f t="shared" si="634"/>
        <v>1.5089999999999999</v>
      </c>
      <c r="AJ120" s="105">
        <f t="shared" si="634"/>
        <v>1.504</v>
      </c>
      <c r="AK120" s="53">
        <f t="shared" si="482"/>
        <v>0</v>
      </c>
      <c r="AL120" s="53"/>
      <c r="AM120" s="54">
        <f t="shared" ref="AM120:AN120" si="713">AM119</f>
        <v>5.0129999999999999</v>
      </c>
      <c r="AN120" s="101" t="str">
        <f t="shared" si="713"/>
        <v>17,59,050</v>
      </c>
      <c r="AO120" s="11" t="str">
        <f t="shared" si="484"/>
        <v>17</v>
      </c>
      <c r="AP120" s="11" t="str">
        <f t="shared" si="485"/>
        <v>59,050</v>
      </c>
      <c r="AQ120" s="11">
        <f t="shared" si="486"/>
        <v>0.29973611111111109</v>
      </c>
      <c r="AR120" s="14">
        <f t="shared" si="487"/>
        <v>16.724711551827998</v>
      </c>
      <c r="AS120" s="41">
        <f t="shared" si="488"/>
        <v>-100</v>
      </c>
      <c r="AT120" s="43" t="str">
        <f t="shared" si="489"/>
        <v>NO CONFORME</v>
      </c>
      <c r="AU120" s="8" t="b">
        <f t="shared" si="411"/>
        <v>1</v>
      </c>
      <c r="AV120" s="8" t="b">
        <f t="shared" si="412"/>
        <v>0</v>
      </c>
      <c r="AW120" s="8" t="b">
        <f t="shared" si="413"/>
        <v>1</v>
      </c>
      <c r="AX120" s="8" t="str">
        <f t="shared" si="414"/>
        <v>Qcorrecto</v>
      </c>
      <c r="AY120" s="22" t="str">
        <f t="shared" si="394"/>
        <v>aceptable</v>
      </c>
      <c r="AZ120" s="22" t="str">
        <f t="shared" si="395"/>
        <v>aceptable</v>
      </c>
      <c r="BA120" s="22" t="str">
        <f t="shared" si="415"/>
        <v>aceptable</v>
      </c>
      <c r="BB120" s="25" t="str">
        <f t="shared" si="416"/>
        <v>NO CONFORME</v>
      </c>
      <c r="BC120" s="5" t="str">
        <f t="shared" si="417"/>
        <v>NO CONFORME</v>
      </c>
      <c r="BD120" s="15">
        <f t="shared" si="396"/>
        <v>-1</v>
      </c>
      <c r="BE120" s="15">
        <f t="shared" si="397"/>
        <v>-1</v>
      </c>
      <c r="BF120" s="15">
        <f t="shared" si="398"/>
        <v>-1</v>
      </c>
      <c r="BG120" s="15" t="str">
        <f t="shared" si="399"/>
        <v>-1-1-1</v>
      </c>
      <c r="BH120" s="15" t="str">
        <f t="shared" si="400"/>
        <v>SD</v>
      </c>
      <c r="BI120" s="15" t="str">
        <f t="shared" si="401"/>
        <v>SI</v>
      </c>
      <c r="BJ120" s="15" t="b">
        <f t="shared" si="402"/>
        <v>1</v>
      </c>
      <c r="BK120" s="15" t="str">
        <f t="shared" si="403"/>
        <v>SIGIGUALES</v>
      </c>
      <c r="BL120" s="22" t="str">
        <f t="shared" si="404"/>
        <v>NO CONFORME</v>
      </c>
    </row>
    <row r="121" spans="1:64" ht="15.75" thickBot="1" x14ac:dyDescent="0.3">
      <c r="A121" s="37">
        <v>113</v>
      </c>
      <c r="B121" s="93">
        <f t="shared" ref="B121:E121" si="714">B120</f>
        <v>45919</v>
      </c>
      <c r="C121" s="93">
        <f t="shared" si="714"/>
        <v>45919</v>
      </c>
      <c r="D121" s="94">
        <f t="shared" si="714"/>
        <v>6</v>
      </c>
      <c r="E121" s="95">
        <f t="shared" si="714"/>
        <v>15</v>
      </c>
      <c r="F121" s="52"/>
      <c r="G121" s="96"/>
      <c r="H121" s="97">
        <f t="shared" ref="H121:L121" si="715">H120</f>
        <v>25.6</v>
      </c>
      <c r="I121" s="98">
        <f t="shared" si="715"/>
        <v>0</v>
      </c>
      <c r="J121" s="99">
        <f t="shared" si="715"/>
        <v>20.9</v>
      </c>
      <c r="K121" s="99">
        <f t="shared" si="715"/>
        <v>7.883</v>
      </c>
      <c r="L121" s="99">
        <f t="shared" si="715"/>
        <v>0.55400000000000005</v>
      </c>
      <c r="M121" s="53"/>
      <c r="N121" s="53"/>
      <c r="O121" s="100">
        <f t="shared" ref="O121:P121" si="716">O120</f>
        <v>100.62</v>
      </c>
      <c r="P121" s="101" t="str">
        <f t="shared" si="716"/>
        <v>2,29,560</v>
      </c>
      <c r="Q121" s="11" t="str">
        <f t="shared" si="470"/>
        <v>2</v>
      </c>
      <c r="R121" s="11" t="str">
        <f t="shared" si="471"/>
        <v>29,560</v>
      </c>
      <c r="S121" s="11">
        <f t="shared" si="472"/>
        <v>4.1544444444444446E-2</v>
      </c>
      <c r="T121" s="14">
        <f t="shared" si="473"/>
        <v>2421.9844878309709</v>
      </c>
      <c r="U121" s="39">
        <f t="shared" si="474"/>
        <v>-100</v>
      </c>
      <c r="V121" s="105">
        <f t="shared" ref="V121:W121" si="717">V120</f>
        <v>20.399999999999999</v>
      </c>
      <c r="W121" s="105">
        <f t="shared" si="717"/>
        <v>1.5069999999999999</v>
      </c>
      <c r="X121" s="106">
        <f t="shared" si="626"/>
        <v>1.504</v>
      </c>
      <c r="Y121" s="53"/>
      <c r="Z121" s="53"/>
      <c r="AA121" s="107">
        <f t="shared" ref="AA121:AB121" si="718">AA120</f>
        <v>10.015000000000001</v>
      </c>
      <c r="AB121" s="108" t="str">
        <f t="shared" si="718"/>
        <v>22,10,090</v>
      </c>
      <c r="AC121" s="11" t="str">
        <f t="shared" si="477"/>
        <v>22</v>
      </c>
      <c r="AD121" s="11" t="str">
        <f t="shared" si="478"/>
        <v>10,090</v>
      </c>
      <c r="AE121" s="11">
        <f t="shared" si="479"/>
        <v>0.36946944444444441</v>
      </c>
      <c r="AF121" s="14">
        <f t="shared" si="480"/>
        <v>27.106436406558959</v>
      </c>
      <c r="AG121" s="41">
        <f t="shared" si="481"/>
        <v>-100</v>
      </c>
      <c r="AH121" s="105">
        <f t="shared" si="634"/>
        <v>20.3</v>
      </c>
      <c r="AI121" s="105">
        <f t="shared" si="634"/>
        <v>1.5089999999999999</v>
      </c>
      <c r="AJ121" s="105">
        <f t="shared" si="634"/>
        <v>1.504</v>
      </c>
      <c r="AK121" s="53">
        <f t="shared" si="482"/>
        <v>0</v>
      </c>
      <c r="AL121" s="53"/>
      <c r="AM121" s="54">
        <f t="shared" ref="AM121:AN121" si="719">AM120</f>
        <v>5.0129999999999999</v>
      </c>
      <c r="AN121" s="101" t="str">
        <f t="shared" si="719"/>
        <v>17,59,050</v>
      </c>
      <c r="AO121" s="11" t="str">
        <f t="shared" si="484"/>
        <v>17</v>
      </c>
      <c r="AP121" s="11" t="str">
        <f t="shared" si="485"/>
        <v>59,050</v>
      </c>
      <c r="AQ121" s="11">
        <f t="shared" si="486"/>
        <v>0.29973611111111109</v>
      </c>
      <c r="AR121" s="14">
        <f t="shared" si="487"/>
        <v>16.724711551827998</v>
      </c>
      <c r="AS121" s="41">
        <f t="shared" si="488"/>
        <v>-100</v>
      </c>
      <c r="AT121" s="43" t="str">
        <f t="shared" si="489"/>
        <v>NO CONFORME</v>
      </c>
      <c r="AU121" s="8" t="b">
        <f t="shared" si="411"/>
        <v>1</v>
      </c>
      <c r="AV121" s="8" t="b">
        <f t="shared" si="412"/>
        <v>0</v>
      </c>
      <c r="AW121" s="8" t="b">
        <f t="shared" si="413"/>
        <v>1</v>
      </c>
      <c r="AX121" s="8" t="str">
        <f t="shared" si="414"/>
        <v>Qcorrecto</v>
      </c>
      <c r="AY121" s="22" t="str">
        <f t="shared" si="394"/>
        <v>aceptable</v>
      </c>
      <c r="AZ121" s="22" t="str">
        <f t="shared" si="395"/>
        <v>aceptable</v>
      </c>
      <c r="BA121" s="22" t="str">
        <f t="shared" si="415"/>
        <v>aceptable</v>
      </c>
      <c r="BB121" s="25" t="str">
        <f t="shared" si="416"/>
        <v>NO CONFORME</v>
      </c>
      <c r="BC121" s="5" t="str">
        <f t="shared" si="417"/>
        <v>NO CONFORME</v>
      </c>
      <c r="BD121" s="15">
        <f t="shared" si="396"/>
        <v>-1</v>
      </c>
      <c r="BE121" s="15">
        <f t="shared" si="397"/>
        <v>-1</v>
      </c>
      <c r="BF121" s="15">
        <f t="shared" si="398"/>
        <v>-1</v>
      </c>
      <c r="BG121" s="15" t="str">
        <f t="shared" si="399"/>
        <v>-1-1-1</v>
      </c>
      <c r="BH121" s="15" t="str">
        <f t="shared" si="400"/>
        <v>SD</v>
      </c>
      <c r="BI121" s="15" t="str">
        <f t="shared" si="401"/>
        <v>SI</v>
      </c>
      <c r="BJ121" s="15" t="b">
        <f t="shared" si="402"/>
        <v>1</v>
      </c>
      <c r="BK121" s="15" t="str">
        <f t="shared" si="403"/>
        <v>SIGIGUALES</v>
      </c>
      <c r="BL121" s="22" t="str">
        <f t="shared" si="404"/>
        <v>NO CONFORME</v>
      </c>
    </row>
    <row r="122" spans="1:64" ht="15.75" thickBot="1" x14ac:dyDescent="0.3">
      <c r="A122" s="37">
        <v>114</v>
      </c>
      <c r="B122" s="93">
        <f t="shared" ref="B122:E122" si="720">B121</f>
        <v>45919</v>
      </c>
      <c r="C122" s="93">
        <f t="shared" si="720"/>
        <v>45919</v>
      </c>
      <c r="D122" s="94">
        <f t="shared" si="720"/>
        <v>6</v>
      </c>
      <c r="E122" s="95">
        <f t="shared" si="720"/>
        <v>15</v>
      </c>
      <c r="F122" s="52"/>
      <c r="G122" s="96"/>
      <c r="H122" s="97">
        <f t="shared" ref="H122:L122" si="721">H121</f>
        <v>25.6</v>
      </c>
      <c r="I122" s="98">
        <f t="shared" si="721"/>
        <v>0</v>
      </c>
      <c r="J122" s="99">
        <f t="shared" si="721"/>
        <v>20.9</v>
      </c>
      <c r="K122" s="99">
        <f t="shared" si="721"/>
        <v>7.883</v>
      </c>
      <c r="L122" s="99">
        <f t="shared" si="721"/>
        <v>0.55400000000000005</v>
      </c>
      <c r="M122" s="53"/>
      <c r="N122" s="53"/>
      <c r="O122" s="100">
        <f t="shared" ref="O122:P122" si="722">O121</f>
        <v>100.62</v>
      </c>
      <c r="P122" s="101" t="str">
        <f t="shared" si="722"/>
        <v>2,29,560</v>
      </c>
      <c r="Q122" s="11" t="str">
        <f t="shared" si="470"/>
        <v>2</v>
      </c>
      <c r="R122" s="11" t="str">
        <f t="shared" si="471"/>
        <v>29,560</v>
      </c>
      <c r="S122" s="11">
        <f t="shared" si="472"/>
        <v>4.1544444444444446E-2</v>
      </c>
      <c r="T122" s="14">
        <f t="shared" si="473"/>
        <v>2421.9844878309709</v>
      </c>
      <c r="U122" s="39">
        <f t="shared" si="474"/>
        <v>-100</v>
      </c>
      <c r="V122" s="105">
        <f t="shared" ref="V122:X137" si="723">V121</f>
        <v>20.399999999999999</v>
      </c>
      <c r="W122" s="105">
        <f t="shared" si="723"/>
        <v>1.5069999999999999</v>
      </c>
      <c r="X122" s="106">
        <f t="shared" si="723"/>
        <v>1.504</v>
      </c>
      <c r="Y122" s="53"/>
      <c r="Z122" s="53"/>
      <c r="AA122" s="107">
        <f t="shared" ref="AA122:AB122" si="724">AA121</f>
        <v>10.015000000000001</v>
      </c>
      <c r="AB122" s="108" t="str">
        <f t="shared" si="724"/>
        <v>22,10,090</v>
      </c>
      <c r="AC122" s="11" t="str">
        <f t="shared" si="477"/>
        <v>22</v>
      </c>
      <c r="AD122" s="11" t="str">
        <f t="shared" si="478"/>
        <v>10,090</v>
      </c>
      <c r="AE122" s="11">
        <f t="shared" si="479"/>
        <v>0.36946944444444441</v>
      </c>
      <c r="AF122" s="14">
        <f t="shared" si="480"/>
        <v>27.106436406558959</v>
      </c>
      <c r="AG122" s="41">
        <f t="shared" si="481"/>
        <v>-100</v>
      </c>
      <c r="AH122" s="105">
        <f t="shared" si="634"/>
        <v>20.3</v>
      </c>
      <c r="AI122" s="105">
        <f t="shared" si="634"/>
        <v>1.5089999999999999</v>
      </c>
      <c r="AJ122" s="105">
        <f t="shared" si="634"/>
        <v>1.504</v>
      </c>
      <c r="AK122" s="53">
        <f t="shared" si="482"/>
        <v>0</v>
      </c>
      <c r="AL122" s="53"/>
      <c r="AM122" s="54">
        <f t="shared" ref="AM122:AN122" si="725">AM121</f>
        <v>5.0129999999999999</v>
      </c>
      <c r="AN122" s="101" t="str">
        <f t="shared" si="725"/>
        <v>17,59,050</v>
      </c>
      <c r="AO122" s="11" t="str">
        <f t="shared" si="484"/>
        <v>17</v>
      </c>
      <c r="AP122" s="11" t="str">
        <f t="shared" si="485"/>
        <v>59,050</v>
      </c>
      <c r="AQ122" s="11">
        <f t="shared" si="486"/>
        <v>0.29973611111111109</v>
      </c>
      <c r="AR122" s="14">
        <f t="shared" si="487"/>
        <v>16.724711551827998</v>
      </c>
      <c r="AS122" s="41">
        <f t="shared" si="488"/>
        <v>-100</v>
      </c>
      <c r="AT122" s="43" t="str">
        <f t="shared" si="489"/>
        <v>NO CONFORME</v>
      </c>
      <c r="AU122" s="8" t="b">
        <f t="shared" si="411"/>
        <v>1</v>
      </c>
      <c r="AV122" s="8" t="b">
        <f t="shared" si="412"/>
        <v>0</v>
      </c>
      <c r="AW122" s="8" t="b">
        <f t="shared" si="413"/>
        <v>1</v>
      </c>
      <c r="AX122" s="8" t="str">
        <f t="shared" si="414"/>
        <v>Qcorrecto</v>
      </c>
      <c r="AY122" s="22" t="str">
        <f t="shared" si="394"/>
        <v>aceptable</v>
      </c>
      <c r="AZ122" s="22" t="str">
        <f t="shared" si="395"/>
        <v>aceptable</v>
      </c>
      <c r="BA122" s="22" t="str">
        <f t="shared" si="415"/>
        <v>aceptable</v>
      </c>
      <c r="BB122" s="25" t="str">
        <f t="shared" si="416"/>
        <v>NO CONFORME</v>
      </c>
      <c r="BC122" s="5" t="str">
        <f t="shared" si="417"/>
        <v>NO CONFORME</v>
      </c>
      <c r="BD122" s="15">
        <f t="shared" si="396"/>
        <v>-1</v>
      </c>
      <c r="BE122" s="15">
        <f t="shared" si="397"/>
        <v>-1</v>
      </c>
      <c r="BF122" s="15">
        <f t="shared" si="398"/>
        <v>-1</v>
      </c>
      <c r="BG122" s="15" t="str">
        <f t="shared" si="399"/>
        <v>-1-1-1</v>
      </c>
      <c r="BH122" s="15" t="str">
        <f t="shared" si="400"/>
        <v>SD</v>
      </c>
      <c r="BI122" s="15" t="str">
        <f t="shared" si="401"/>
        <v>SI</v>
      </c>
      <c r="BJ122" s="15" t="b">
        <f t="shared" si="402"/>
        <v>1</v>
      </c>
      <c r="BK122" s="15" t="str">
        <f t="shared" si="403"/>
        <v>SIGIGUALES</v>
      </c>
      <c r="BL122" s="22" t="str">
        <f t="shared" si="404"/>
        <v>NO CONFORME</v>
      </c>
    </row>
    <row r="123" spans="1:64" ht="15.75" thickBot="1" x14ac:dyDescent="0.3">
      <c r="A123" s="37">
        <v>115</v>
      </c>
      <c r="B123" s="93">
        <f t="shared" ref="B123:E123" si="726">B122</f>
        <v>45919</v>
      </c>
      <c r="C123" s="93">
        <f t="shared" si="726"/>
        <v>45919</v>
      </c>
      <c r="D123" s="94">
        <f t="shared" si="726"/>
        <v>6</v>
      </c>
      <c r="E123" s="95">
        <f t="shared" si="726"/>
        <v>15</v>
      </c>
      <c r="F123" s="52"/>
      <c r="G123" s="96"/>
      <c r="H123" s="97">
        <f t="shared" ref="H123:L123" si="727">H122</f>
        <v>25.6</v>
      </c>
      <c r="I123" s="98">
        <f t="shared" si="727"/>
        <v>0</v>
      </c>
      <c r="J123" s="99">
        <f t="shared" si="727"/>
        <v>20.9</v>
      </c>
      <c r="K123" s="99">
        <f t="shared" si="727"/>
        <v>7.883</v>
      </c>
      <c r="L123" s="99">
        <f t="shared" si="727"/>
        <v>0.55400000000000005</v>
      </c>
      <c r="M123" s="53"/>
      <c r="N123" s="53"/>
      <c r="O123" s="100">
        <f t="shared" ref="O123:P123" si="728">O122</f>
        <v>100.62</v>
      </c>
      <c r="P123" s="101" t="str">
        <f t="shared" si="728"/>
        <v>2,29,560</v>
      </c>
      <c r="Q123" s="11" t="str">
        <f t="shared" si="470"/>
        <v>2</v>
      </c>
      <c r="R123" s="11" t="str">
        <f t="shared" si="471"/>
        <v>29,560</v>
      </c>
      <c r="S123" s="11">
        <f t="shared" si="472"/>
        <v>4.1544444444444446E-2</v>
      </c>
      <c r="T123" s="14">
        <f t="shared" si="473"/>
        <v>2421.9844878309709</v>
      </c>
      <c r="U123" s="39">
        <f t="shared" si="474"/>
        <v>-100</v>
      </c>
      <c r="V123" s="105">
        <f t="shared" ref="V123:W123" si="729">V122</f>
        <v>20.399999999999999</v>
      </c>
      <c r="W123" s="105">
        <f t="shared" si="729"/>
        <v>1.5069999999999999</v>
      </c>
      <c r="X123" s="106">
        <f t="shared" si="723"/>
        <v>1.504</v>
      </c>
      <c r="Y123" s="53"/>
      <c r="Z123" s="53"/>
      <c r="AA123" s="107">
        <f t="shared" ref="AA123:AB123" si="730">AA122</f>
        <v>10.015000000000001</v>
      </c>
      <c r="AB123" s="108" t="str">
        <f t="shared" si="730"/>
        <v>22,10,090</v>
      </c>
      <c r="AC123" s="11" t="str">
        <f t="shared" si="477"/>
        <v>22</v>
      </c>
      <c r="AD123" s="11" t="str">
        <f t="shared" si="478"/>
        <v>10,090</v>
      </c>
      <c r="AE123" s="11">
        <f t="shared" si="479"/>
        <v>0.36946944444444441</v>
      </c>
      <c r="AF123" s="14">
        <f t="shared" si="480"/>
        <v>27.106436406558959</v>
      </c>
      <c r="AG123" s="41">
        <f t="shared" si="481"/>
        <v>-100</v>
      </c>
      <c r="AH123" s="105">
        <f t="shared" ref="AH123:AJ138" si="731">AH122</f>
        <v>20.3</v>
      </c>
      <c r="AI123" s="105">
        <f t="shared" si="731"/>
        <v>1.5089999999999999</v>
      </c>
      <c r="AJ123" s="105">
        <f t="shared" si="731"/>
        <v>1.504</v>
      </c>
      <c r="AK123" s="53">
        <f t="shared" si="482"/>
        <v>0</v>
      </c>
      <c r="AL123" s="53"/>
      <c r="AM123" s="54">
        <f t="shared" ref="AM123:AN123" si="732">AM122</f>
        <v>5.0129999999999999</v>
      </c>
      <c r="AN123" s="101" t="str">
        <f t="shared" si="732"/>
        <v>17,59,050</v>
      </c>
      <c r="AO123" s="11" t="str">
        <f t="shared" si="484"/>
        <v>17</v>
      </c>
      <c r="AP123" s="11" t="str">
        <f t="shared" si="485"/>
        <v>59,050</v>
      </c>
      <c r="AQ123" s="11">
        <f t="shared" si="486"/>
        <v>0.29973611111111109</v>
      </c>
      <c r="AR123" s="14">
        <f t="shared" si="487"/>
        <v>16.724711551827998</v>
      </c>
      <c r="AS123" s="41">
        <f t="shared" si="488"/>
        <v>-100</v>
      </c>
      <c r="AT123" s="43" t="str">
        <f t="shared" si="489"/>
        <v>NO CONFORME</v>
      </c>
      <c r="AU123" s="8" t="b">
        <f t="shared" si="411"/>
        <v>1</v>
      </c>
      <c r="AV123" s="8" t="b">
        <f t="shared" si="412"/>
        <v>0</v>
      </c>
      <c r="AW123" s="8" t="b">
        <f t="shared" si="413"/>
        <v>1</v>
      </c>
      <c r="AX123" s="8" t="str">
        <f t="shared" si="414"/>
        <v>Qcorrecto</v>
      </c>
      <c r="AY123" s="22" t="str">
        <f t="shared" si="394"/>
        <v>aceptable</v>
      </c>
      <c r="AZ123" s="22" t="str">
        <f t="shared" si="395"/>
        <v>aceptable</v>
      </c>
      <c r="BA123" s="22" t="str">
        <f t="shared" si="415"/>
        <v>aceptable</v>
      </c>
      <c r="BB123" s="25" t="str">
        <f t="shared" si="416"/>
        <v>NO CONFORME</v>
      </c>
      <c r="BC123" s="5" t="str">
        <f t="shared" si="417"/>
        <v>NO CONFORME</v>
      </c>
      <c r="BD123" s="15">
        <f t="shared" si="396"/>
        <v>-1</v>
      </c>
      <c r="BE123" s="15">
        <f t="shared" si="397"/>
        <v>-1</v>
      </c>
      <c r="BF123" s="15">
        <f t="shared" si="398"/>
        <v>-1</v>
      </c>
      <c r="BG123" s="15" t="str">
        <f t="shared" si="399"/>
        <v>-1-1-1</v>
      </c>
      <c r="BH123" s="15" t="str">
        <f t="shared" si="400"/>
        <v>SD</v>
      </c>
      <c r="BI123" s="15" t="str">
        <f t="shared" si="401"/>
        <v>SI</v>
      </c>
      <c r="BJ123" s="15" t="b">
        <f t="shared" si="402"/>
        <v>1</v>
      </c>
      <c r="BK123" s="15" t="str">
        <f t="shared" si="403"/>
        <v>SIGIGUALES</v>
      </c>
      <c r="BL123" s="22" t="str">
        <f t="shared" si="404"/>
        <v>NO CONFORME</v>
      </c>
    </row>
    <row r="124" spans="1:64" ht="15.75" thickBot="1" x14ac:dyDescent="0.3">
      <c r="A124" s="37">
        <v>116</v>
      </c>
      <c r="B124" s="93">
        <f t="shared" ref="B124:E124" si="733">B123</f>
        <v>45919</v>
      </c>
      <c r="C124" s="93">
        <f t="shared" si="733"/>
        <v>45919</v>
      </c>
      <c r="D124" s="94">
        <f t="shared" si="733"/>
        <v>6</v>
      </c>
      <c r="E124" s="95">
        <f t="shared" si="733"/>
        <v>15</v>
      </c>
      <c r="F124" s="52"/>
      <c r="G124" s="96"/>
      <c r="H124" s="97">
        <f t="shared" ref="H124:L124" si="734">H123</f>
        <v>25.6</v>
      </c>
      <c r="I124" s="98">
        <f t="shared" si="734"/>
        <v>0</v>
      </c>
      <c r="J124" s="99">
        <f t="shared" si="734"/>
        <v>20.9</v>
      </c>
      <c r="K124" s="99">
        <f t="shared" si="734"/>
        <v>7.883</v>
      </c>
      <c r="L124" s="99">
        <f t="shared" si="734"/>
        <v>0.55400000000000005</v>
      </c>
      <c r="M124" s="53"/>
      <c r="N124" s="53"/>
      <c r="O124" s="100">
        <f t="shared" ref="O124:P124" si="735">O123</f>
        <v>100.62</v>
      </c>
      <c r="P124" s="101" t="str">
        <f t="shared" si="735"/>
        <v>2,29,560</v>
      </c>
      <c r="Q124" s="11" t="str">
        <f t="shared" si="470"/>
        <v>2</v>
      </c>
      <c r="R124" s="11" t="str">
        <f t="shared" si="471"/>
        <v>29,560</v>
      </c>
      <c r="S124" s="11">
        <f t="shared" si="472"/>
        <v>4.1544444444444446E-2</v>
      </c>
      <c r="T124" s="14">
        <f t="shared" si="473"/>
        <v>2421.9844878309709</v>
      </c>
      <c r="U124" s="39">
        <f t="shared" si="474"/>
        <v>-100</v>
      </c>
      <c r="V124" s="105">
        <f t="shared" ref="V124:W124" si="736">V123</f>
        <v>20.399999999999999</v>
      </c>
      <c r="W124" s="105">
        <f t="shared" si="736"/>
        <v>1.5069999999999999</v>
      </c>
      <c r="X124" s="106">
        <f t="shared" si="723"/>
        <v>1.504</v>
      </c>
      <c r="Y124" s="53"/>
      <c r="Z124" s="53"/>
      <c r="AA124" s="107">
        <f t="shared" ref="AA124:AB124" si="737">AA123</f>
        <v>10.015000000000001</v>
      </c>
      <c r="AB124" s="108" t="str">
        <f t="shared" si="737"/>
        <v>22,10,090</v>
      </c>
      <c r="AC124" s="11" t="str">
        <f t="shared" si="477"/>
        <v>22</v>
      </c>
      <c r="AD124" s="11" t="str">
        <f t="shared" si="478"/>
        <v>10,090</v>
      </c>
      <c r="AE124" s="11">
        <f t="shared" si="479"/>
        <v>0.36946944444444441</v>
      </c>
      <c r="AF124" s="14">
        <f t="shared" si="480"/>
        <v>27.106436406558959</v>
      </c>
      <c r="AG124" s="41">
        <f t="shared" si="481"/>
        <v>-100</v>
      </c>
      <c r="AH124" s="105">
        <f t="shared" si="731"/>
        <v>20.3</v>
      </c>
      <c r="AI124" s="105">
        <f t="shared" si="731"/>
        <v>1.5089999999999999</v>
      </c>
      <c r="AJ124" s="105">
        <f t="shared" si="731"/>
        <v>1.504</v>
      </c>
      <c r="AK124" s="53">
        <f t="shared" si="482"/>
        <v>0</v>
      </c>
      <c r="AL124" s="53"/>
      <c r="AM124" s="54">
        <f t="shared" ref="AM124:AN124" si="738">AM123</f>
        <v>5.0129999999999999</v>
      </c>
      <c r="AN124" s="101" t="str">
        <f t="shared" si="738"/>
        <v>17,59,050</v>
      </c>
      <c r="AO124" s="11" t="str">
        <f t="shared" si="484"/>
        <v>17</v>
      </c>
      <c r="AP124" s="11" t="str">
        <f t="shared" si="485"/>
        <v>59,050</v>
      </c>
      <c r="AQ124" s="11">
        <f t="shared" si="486"/>
        <v>0.29973611111111109</v>
      </c>
      <c r="AR124" s="14">
        <f t="shared" si="487"/>
        <v>16.724711551827998</v>
      </c>
      <c r="AS124" s="41">
        <f t="shared" si="488"/>
        <v>-100</v>
      </c>
      <c r="AT124" s="43" t="str">
        <f t="shared" si="489"/>
        <v>NO CONFORME</v>
      </c>
      <c r="AU124" s="8" t="b">
        <f t="shared" si="411"/>
        <v>1</v>
      </c>
      <c r="AV124" s="8" t="b">
        <f t="shared" si="412"/>
        <v>0</v>
      </c>
      <c r="AW124" s="8" t="b">
        <f t="shared" si="413"/>
        <v>1</v>
      </c>
      <c r="AX124" s="8" t="str">
        <f t="shared" si="414"/>
        <v>Qcorrecto</v>
      </c>
      <c r="AY124" s="22" t="str">
        <f t="shared" si="394"/>
        <v>aceptable</v>
      </c>
      <c r="AZ124" s="22" t="str">
        <f t="shared" si="395"/>
        <v>aceptable</v>
      </c>
      <c r="BA124" s="22" t="str">
        <f t="shared" si="415"/>
        <v>aceptable</v>
      </c>
      <c r="BB124" s="25" t="str">
        <f t="shared" si="416"/>
        <v>NO CONFORME</v>
      </c>
      <c r="BC124" s="5" t="str">
        <f t="shared" si="417"/>
        <v>NO CONFORME</v>
      </c>
      <c r="BD124" s="15">
        <f t="shared" si="396"/>
        <v>-1</v>
      </c>
      <c r="BE124" s="15">
        <f t="shared" si="397"/>
        <v>-1</v>
      </c>
      <c r="BF124" s="15">
        <f t="shared" si="398"/>
        <v>-1</v>
      </c>
      <c r="BG124" s="15" t="str">
        <f t="shared" si="399"/>
        <v>-1-1-1</v>
      </c>
      <c r="BH124" s="15" t="str">
        <f t="shared" si="400"/>
        <v>SD</v>
      </c>
      <c r="BI124" s="15" t="str">
        <f t="shared" si="401"/>
        <v>SI</v>
      </c>
      <c r="BJ124" s="15" t="b">
        <f t="shared" si="402"/>
        <v>1</v>
      </c>
      <c r="BK124" s="15" t="str">
        <f t="shared" si="403"/>
        <v>SIGIGUALES</v>
      </c>
      <c r="BL124" s="22" t="str">
        <f t="shared" si="404"/>
        <v>NO CONFORME</v>
      </c>
    </row>
    <row r="125" spans="1:64" ht="15.75" thickBot="1" x14ac:dyDescent="0.3">
      <c r="A125" s="37">
        <v>117</v>
      </c>
      <c r="B125" s="93">
        <f t="shared" ref="B125:E125" si="739">B124</f>
        <v>45919</v>
      </c>
      <c r="C125" s="93">
        <f t="shared" si="739"/>
        <v>45919</v>
      </c>
      <c r="D125" s="94">
        <f t="shared" si="739"/>
        <v>6</v>
      </c>
      <c r="E125" s="95">
        <f t="shared" si="739"/>
        <v>15</v>
      </c>
      <c r="F125" s="52"/>
      <c r="G125" s="96"/>
      <c r="H125" s="97">
        <f t="shared" ref="H125:L125" si="740">H124</f>
        <v>25.6</v>
      </c>
      <c r="I125" s="98">
        <f t="shared" si="740"/>
        <v>0</v>
      </c>
      <c r="J125" s="99">
        <f t="shared" si="740"/>
        <v>20.9</v>
      </c>
      <c r="K125" s="99">
        <f t="shared" si="740"/>
        <v>7.883</v>
      </c>
      <c r="L125" s="99">
        <f t="shared" si="740"/>
        <v>0.55400000000000005</v>
      </c>
      <c r="M125" s="53"/>
      <c r="N125" s="53"/>
      <c r="O125" s="100">
        <f t="shared" ref="O125:P125" si="741">O124</f>
        <v>100.62</v>
      </c>
      <c r="P125" s="101" t="str">
        <f t="shared" si="741"/>
        <v>2,29,560</v>
      </c>
      <c r="Q125" s="11" t="str">
        <f t="shared" si="470"/>
        <v>2</v>
      </c>
      <c r="R125" s="11" t="str">
        <f t="shared" si="471"/>
        <v>29,560</v>
      </c>
      <c r="S125" s="11">
        <f t="shared" si="472"/>
        <v>4.1544444444444446E-2</v>
      </c>
      <c r="T125" s="14">
        <f t="shared" si="473"/>
        <v>2421.9844878309709</v>
      </c>
      <c r="U125" s="39">
        <f t="shared" si="474"/>
        <v>-100</v>
      </c>
      <c r="V125" s="105">
        <f t="shared" ref="V125:W125" si="742">V124</f>
        <v>20.399999999999999</v>
      </c>
      <c r="W125" s="105">
        <f t="shared" si="742"/>
        <v>1.5069999999999999</v>
      </c>
      <c r="X125" s="106">
        <f t="shared" si="723"/>
        <v>1.504</v>
      </c>
      <c r="Y125" s="53"/>
      <c r="Z125" s="53"/>
      <c r="AA125" s="107">
        <f t="shared" ref="AA125:AB125" si="743">AA124</f>
        <v>10.015000000000001</v>
      </c>
      <c r="AB125" s="108" t="str">
        <f t="shared" si="743"/>
        <v>22,10,090</v>
      </c>
      <c r="AC125" s="11" t="str">
        <f t="shared" si="477"/>
        <v>22</v>
      </c>
      <c r="AD125" s="11" t="str">
        <f t="shared" si="478"/>
        <v>10,090</v>
      </c>
      <c r="AE125" s="11">
        <f t="shared" si="479"/>
        <v>0.36946944444444441</v>
      </c>
      <c r="AF125" s="14">
        <f t="shared" si="480"/>
        <v>27.106436406558959</v>
      </c>
      <c r="AG125" s="41">
        <f t="shared" si="481"/>
        <v>-100</v>
      </c>
      <c r="AH125" s="105">
        <f t="shared" si="731"/>
        <v>20.3</v>
      </c>
      <c r="AI125" s="105">
        <f t="shared" si="731"/>
        <v>1.5089999999999999</v>
      </c>
      <c r="AJ125" s="105">
        <f t="shared" si="731"/>
        <v>1.504</v>
      </c>
      <c r="AK125" s="53">
        <f t="shared" si="482"/>
        <v>0</v>
      </c>
      <c r="AL125" s="53"/>
      <c r="AM125" s="54">
        <f t="shared" ref="AM125:AN125" si="744">AM124</f>
        <v>5.0129999999999999</v>
      </c>
      <c r="AN125" s="101" t="str">
        <f t="shared" si="744"/>
        <v>17,59,050</v>
      </c>
      <c r="AO125" s="11" t="str">
        <f t="shared" si="484"/>
        <v>17</v>
      </c>
      <c r="AP125" s="11" t="str">
        <f t="shared" si="485"/>
        <v>59,050</v>
      </c>
      <c r="AQ125" s="11">
        <f t="shared" si="486"/>
        <v>0.29973611111111109</v>
      </c>
      <c r="AR125" s="14">
        <f t="shared" si="487"/>
        <v>16.724711551827998</v>
      </c>
      <c r="AS125" s="41">
        <f t="shared" si="488"/>
        <v>-100</v>
      </c>
      <c r="AT125" s="43" t="str">
        <f t="shared" si="489"/>
        <v>NO CONFORME</v>
      </c>
      <c r="AU125" s="8" t="b">
        <f t="shared" si="411"/>
        <v>1</v>
      </c>
      <c r="AV125" s="8" t="b">
        <f t="shared" si="412"/>
        <v>0</v>
      </c>
      <c r="AW125" s="8" t="b">
        <f t="shared" si="413"/>
        <v>1</v>
      </c>
      <c r="AX125" s="8" t="str">
        <f t="shared" si="414"/>
        <v>Qcorrecto</v>
      </c>
      <c r="AY125" s="22" t="str">
        <f t="shared" si="394"/>
        <v>aceptable</v>
      </c>
      <c r="AZ125" s="22" t="str">
        <f t="shared" si="395"/>
        <v>aceptable</v>
      </c>
      <c r="BA125" s="22" t="str">
        <f t="shared" si="415"/>
        <v>aceptable</v>
      </c>
      <c r="BB125" s="25" t="str">
        <f t="shared" si="416"/>
        <v>NO CONFORME</v>
      </c>
      <c r="BC125" s="5" t="str">
        <f t="shared" si="417"/>
        <v>NO CONFORME</v>
      </c>
      <c r="BD125" s="15">
        <f t="shared" si="396"/>
        <v>-1</v>
      </c>
      <c r="BE125" s="15">
        <f t="shared" si="397"/>
        <v>-1</v>
      </c>
      <c r="BF125" s="15">
        <f t="shared" si="398"/>
        <v>-1</v>
      </c>
      <c r="BG125" s="15" t="str">
        <f t="shared" si="399"/>
        <v>-1-1-1</v>
      </c>
      <c r="BH125" s="15" t="str">
        <f t="shared" si="400"/>
        <v>SD</v>
      </c>
      <c r="BI125" s="15" t="str">
        <f t="shared" si="401"/>
        <v>SI</v>
      </c>
      <c r="BJ125" s="15" t="b">
        <f t="shared" si="402"/>
        <v>1</v>
      </c>
      <c r="BK125" s="15" t="str">
        <f t="shared" si="403"/>
        <v>SIGIGUALES</v>
      </c>
      <c r="BL125" s="22" t="str">
        <f t="shared" si="404"/>
        <v>NO CONFORME</v>
      </c>
    </row>
    <row r="126" spans="1:64" ht="15.75" thickBot="1" x14ac:dyDescent="0.3">
      <c r="A126" s="37">
        <v>118</v>
      </c>
      <c r="B126" s="93">
        <f t="shared" ref="B126:E126" si="745">B125</f>
        <v>45919</v>
      </c>
      <c r="C126" s="93">
        <f t="shared" si="745"/>
        <v>45919</v>
      </c>
      <c r="D126" s="94">
        <f t="shared" si="745"/>
        <v>6</v>
      </c>
      <c r="E126" s="95">
        <f t="shared" si="745"/>
        <v>15</v>
      </c>
      <c r="F126" s="52"/>
      <c r="G126" s="96"/>
      <c r="H126" s="97">
        <f t="shared" ref="H126:L126" si="746">H125</f>
        <v>25.6</v>
      </c>
      <c r="I126" s="98">
        <f t="shared" si="746"/>
        <v>0</v>
      </c>
      <c r="J126" s="99">
        <f t="shared" si="746"/>
        <v>20.9</v>
      </c>
      <c r="K126" s="99">
        <f t="shared" si="746"/>
        <v>7.883</v>
      </c>
      <c r="L126" s="99">
        <f t="shared" si="746"/>
        <v>0.55400000000000005</v>
      </c>
      <c r="M126" s="53"/>
      <c r="N126" s="53"/>
      <c r="O126" s="100">
        <f t="shared" ref="O126:P126" si="747">O125</f>
        <v>100.62</v>
      </c>
      <c r="P126" s="101" t="str">
        <f t="shared" si="747"/>
        <v>2,29,560</v>
      </c>
      <c r="Q126" s="11" t="str">
        <f t="shared" si="470"/>
        <v>2</v>
      </c>
      <c r="R126" s="11" t="str">
        <f t="shared" si="471"/>
        <v>29,560</v>
      </c>
      <c r="S126" s="11">
        <f t="shared" si="472"/>
        <v>4.1544444444444446E-2</v>
      </c>
      <c r="T126" s="14">
        <f t="shared" si="473"/>
        <v>2421.9844878309709</v>
      </c>
      <c r="U126" s="39">
        <f t="shared" si="474"/>
        <v>-100</v>
      </c>
      <c r="V126" s="105">
        <f t="shared" ref="V126:W126" si="748">V125</f>
        <v>20.399999999999999</v>
      </c>
      <c r="W126" s="105">
        <f t="shared" si="748"/>
        <v>1.5069999999999999</v>
      </c>
      <c r="X126" s="106">
        <f t="shared" si="723"/>
        <v>1.504</v>
      </c>
      <c r="Y126" s="53"/>
      <c r="Z126" s="53"/>
      <c r="AA126" s="107">
        <f t="shared" ref="AA126:AB126" si="749">AA125</f>
        <v>10.015000000000001</v>
      </c>
      <c r="AB126" s="108" t="str">
        <f t="shared" si="749"/>
        <v>22,10,090</v>
      </c>
      <c r="AC126" s="11" t="str">
        <f t="shared" si="477"/>
        <v>22</v>
      </c>
      <c r="AD126" s="11" t="str">
        <f t="shared" si="478"/>
        <v>10,090</v>
      </c>
      <c r="AE126" s="11">
        <f t="shared" si="479"/>
        <v>0.36946944444444441</v>
      </c>
      <c r="AF126" s="14">
        <f t="shared" si="480"/>
        <v>27.106436406558959</v>
      </c>
      <c r="AG126" s="41">
        <f t="shared" si="481"/>
        <v>-100</v>
      </c>
      <c r="AH126" s="105">
        <f t="shared" si="731"/>
        <v>20.3</v>
      </c>
      <c r="AI126" s="105">
        <f t="shared" si="731"/>
        <v>1.5089999999999999</v>
      </c>
      <c r="AJ126" s="105">
        <f t="shared" si="731"/>
        <v>1.504</v>
      </c>
      <c r="AK126" s="53">
        <f t="shared" si="482"/>
        <v>0</v>
      </c>
      <c r="AL126" s="53"/>
      <c r="AM126" s="54">
        <f t="shared" ref="AM126:AN126" si="750">AM125</f>
        <v>5.0129999999999999</v>
      </c>
      <c r="AN126" s="101" t="str">
        <f t="shared" si="750"/>
        <v>17,59,050</v>
      </c>
      <c r="AO126" s="11" t="str">
        <f t="shared" si="484"/>
        <v>17</v>
      </c>
      <c r="AP126" s="11" t="str">
        <f t="shared" si="485"/>
        <v>59,050</v>
      </c>
      <c r="AQ126" s="11">
        <f t="shared" si="486"/>
        <v>0.29973611111111109</v>
      </c>
      <c r="AR126" s="14">
        <f t="shared" si="487"/>
        <v>16.724711551827998</v>
      </c>
      <c r="AS126" s="41">
        <f t="shared" si="488"/>
        <v>-100</v>
      </c>
      <c r="AT126" s="43" t="str">
        <f t="shared" si="489"/>
        <v>NO CONFORME</v>
      </c>
      <c r="AU126" s="8" t="b">
        <f t="shared" si="411"/>
        <v>1</v>
      </c>
      <c r="AV126" s="8" t="b">
        <f t="shared" si="412"/>
        <v>0</v>
      </c>
      <c r="AW126" s="8" t="b">
        <f t="shared" si="413"/>
        <v>1</v>
      </c>
      <c r="AX126" s="8" t="str">
        <f t="shared" si="414"/>
        <v>Qcorrecto</v>
      </c>
      <c r="AY126" s="22" t="str">
        <f t="shared" si="394"/>
        <v>aceptable</v>
      </c>
      <c r="AZ126" s="22" t="str">
        <f t="shared" si="395"/>
        <v>aceptable</v>
      </c>
      <c r="BA126" s="22" t="str">
        <f t="shared" si="415"/>
        <v>aceptable</v>
      </c>
      <c r="BB126" s="25" t="str">
        <f t="shared" si="416"/>
        <v>NO CONFORME</v>
      </c>
      <c r="BC126" s="5" t="str">
        <f t="shared" si="417"/>
        <v>NO CONFORME</v>
      </c>
      <c r="BD126" s="15">
        <f t="shared" si="396"/>
        <v>-1</v>
      </c>
      <c r="BE126" s="15">
        <f t="shared" si="397"/>
        <v>-1</v>
      </c>
      <c r="BF126" s="15">
        <f t="shared" si="398"/>
        <v>-1</v>
      </c>
      <c r="BG126" s="15" t="str">
        <f t="shared" si="399"/>
        <v>-1-1-1</v>
      </c>
      <c r="BH126" s="15" t="str">
        <f t="shared" si="400"/>
        <v>SD</v>
      </c>
      <c r="BI126" s="15" t="str">
        <f t="shared" si="401"/>
        <v>SI</v>
      </c>
      <c r="BJ126" s="15" t="b">
        <f t="shared" si="402"/>
        <v>1</v>
      </c>
      <c r="BK126" s="15" t="str">
        <f t="shared" si="403"/>
        <v>SIGIGUALES</v>
      </c>
      <c r="BL126" s="22" t="str">
        <f t="shared" si="404"/>
        <v>NO CONFORME</v>
      </c>
    </row>
    <row r="127" spans="1:64" ht="15.75" thickBot="1" x14ac:dyDescent="0.3">
      <c r="A127" s="37">
        <v>119</v>
      </c>
      <c r="B127" s="93">
        <f t="shared" ref="B127:E127" si="751">B126</f>
        <v>45919</v>
      </c>
      <c r="C127" s="93">
        <f t="shared" si="751"/>
        <v>45919</v>
      </c>
      <c r="D127" s="94">
        <f t="shared" si="751"/>
        <v>6</v>
      </c>
      <c r="E127" s="95">
        <f t="shared" si="751"/>
        <v>15</v>
      </c>
      <c r="F127" s="52"/>
      <c r="G127" s="96"/>
      <c r="H127" s="97">
        <f t="shared" ref="H127:L127" si="752">H126</f>
        <v>25.6</v>
      </c>
      <c r="I127" s="98">
        <f t="shared" si="752"/>
        <v>0</v>
      </c>
      <c r="J127" s="99">
        <f t="shared" si="752"/>
        <v>20.9</v>
      </c>
      <c r="K127" s="99">
        <f t="shared" si="752"/>
        <v>7.883</v>
      </c>
      <c r="L127" s="99">
        <f t="shared" si="752"/>
        <v>0.55400000000000005</v>
      </c>
      <c r="M127" s="53"/>
      <c r="N127" s="53"/>
      <c r="O127" s="100">
        <f t="shared" ref="O127:P127" si="753">O126</f>
        <v>100.62</v>
      </c>
      <c r="P127" s="101" t="str">
        <f t="shared" si="753"/>
        <v>2,29,560</v>
      </c>
      <c r="Q127" s="11" t="str">
        <f t="shared" si="470"/>
        <v>2</v>
      </c>
      <c r="R127" s="11" t="str">
        <f t="shared" si="471"/>
        <v>29,560</v>
      </c>
      <c r="S127" s="11">
        <f t="shared" si="472"/>
        <v>4.1544444444444446E-2</v>
      </c>
      <c r="T127" s="14">
        <f t="shared" si="473"/>
        <v>2421.9844878309709</v>
      </c>
      <c r="U127" s="39">
        <f t="shared" si="474"/>
        <v>-100</v>
      </c>
      <c r="V127" s="105">
        <f t="shared" ref="V127:W127" si="754">V126</f>
        <v>20.399999999999999</v>
      </c>
      <c r="W127" s="105">
        <f t="shared" si="754"/>
        <v>1.5069999999999999</v>
      </c>
      <c r="X127" s="106">
        <f t="shared" si="723"/>
        <v>1.504</v>
      </c>
      <c r="Y127" s="53"/>
      <c r="Z127" s="53"/>
      <c r="AA127" s="107">
        <f t="shared" ref="AA127:AB127" si="755">AA126</f>
        <v>10.015000000000001</v>
      </c>
      <c r="AB127" s="108" t="str">
        <f t="shared" si="755"/>
        <v>22,10,090</v>
      </c>
      <c r="AC127" s="11" t="str">
        <f t="shared" si="477"/>
        <v>22</v>
      </c>
      <c r="AD127" s="11" t="str">
        <f t="shared" si="478"/>
        <v>10,090</v>
      </c>
      <c r="AE127" s="11">
        <f t="shared" si="479"/>
        <v>0.36946944444444441</v>
      </c>
      <c r="AF127" s="14">
        <f t="shared" si="480"/>
        <v>27.106436406558959</v>
      </c>
      <c r="AG127" s="41">
        <f t="shared" si="481"/>
        <v>-100</v>
      </c>
      <c r="AH127" s="105">
        <f t="shared" si="731"/>
        <v>20.3</v>
      </c>
      <c r="AI127" s="105">
        <f t="shared" si="731"/>
        <v>1.5089999999999999</v>
      </c>
      <c r="AJ127" s="105">
        <f t="shared" si="731"/>
        <v>1.504</v>
      </c>
      <c r="AK127" s="53">
        <f t="shared" si="482"/>
        <v>0</v>
      </c>
      <c r="AL127" s="53"/>
      <c r="AM127" s="54">
        <f t="shared" ref="AM127:AN127" si="756">AM126</f>
        <v>5.0129999999999999</v>
      </c>
      <c r="AN127" s="101" t="str">
        <f t="shared" si="756"/>
        <v>17,59,050</v>
      </c>
      <c r="AO127" s="11" t="str">
        <f t="shared" si="484"/>
        <v>17</v>
      </c>
      <c r="AP127" s="11" t="str">
        <f t="shared" si="485"/>
        <v>59,050</v>
      </c>
      <c r="AQ127" s="11">
        <f t="shared" si="486"/>
        <v>0.29973611111111109</v>
      </c>
      <c r="AR127" s="14">
        <f t="shared" si="487"/>
        <v>16.724711551827998</v>
      </c>
      <c r="AS127" s="41">
        <f t="shared" si="488"/>
        <v>-100</v>
      </c>
      <c r="AT127" s="43" t="str">
        <f t="shared" si="489"/>
        <v>NO CONFORME</v>
      </c>
      <c r="AU127" s="8" t="b">
        <f t="shared" si="411"/>
        <v>1</v>
      </c>
      <c r="AV127" s="8" t="b">
        <f t="shared" si="412"/>
        <v>0</v>
      </c>
      <c r="AW127" s="8" t="b">
        <f t="shared" si="413"/>
        <v>1</v>
      </c>
      <c r="AX127" s="8" t="str">
        <f t="shared" si="414"/>
        <v>Qcorrecto</v>
      </c>
      <c r="AY127" s="22" t="str">
        <f t="shared" si="394"/>
        <v>aceptable</v>
      </c>
      <c r="AZ127" s="22" t="str">
        <f t="shared" si="395"/>
        <v>aceptable</v>
      </c>
      <c r="BA127" s="22" t="str">
        <f t="shared" si="415"/>
        <v>aceptable</v>
      </c>
      <c r="BB127" s="25" t="str">
        <f t="shared" si="416"/>
        <v>NO CONFORME</v>
      </c>
      <c r="BC127" s="5" t="str">
        <f t="shared" si="417"/>
        <v>NO CONFORME</v>
      </c>
      <c r="BD127" s="15">
        <f t="shared" si="396"/>
        <v>-1</v>
      </c>
      <c r="BE127" s="15">
        <f t="shared" si="397"/>
        <v>-1</v>
      </c>
      <c r="BF127" s="15">
        <f t="shared" si="398"/>
        <v>-1</v>
      </c>
      <c r="BG127" s="15" t="str">
        <f t="shared" si="399"/>
        <v>-1-1-1</v>
      </c>
      <c r="BH127" s="15" t="str">
        <f t="shared" si="400"/>
        <v>SD</v>
      </c>
      <c r="BI127" s="15" t="str">
        <f t="shared" si="401"/>
        <v>SI</v>
      </c>
      <c r="BJ127" s="15" t="b">
        <f t="shared" si="402"/>
        <v>1</v>
      </c>
      <c r="BK127" s="15" t="str">
        <f t="shared" si="403"/>
        <v>SIGIGUALES</v>
      </c>
      <c r="BL127" s="22" t="str">
        <f t="shared" si="404"/>
        <v>NO CONFORME</v>
      </c>
    </row>
    <row r="128" spans="1:64" ht="15.75" thickBot="1" x14ac:dyDescent="0.3">
      <c r="A128" s="37">
        <v>120</v>
      </c>
      <c r="B128" s="93">
        <f t="shared" ref="B128:E128" si="757">B127</f>
        <v>45919</v>
      </c>
      <c r="C128" s="93">
        <f t="shared" si="757"/>
        <v>45919</v>
      </c>
      <c r="D128" s="94">
        <f t="shared" si="757"/>
        <v>6</v>
      </c>
      <c r="E128" s="95">
        <f t="shared" si="757"/>
        <v>15</v>
      </c>
      <c r="F128" s="52"/>
      <c r="G128" s="96"/>
      <c r="H128" s="97">
        <f t="shared" ref="H128:L128" si="758">H127</f>
        <v>25.6</v>
      </c>
      <c r="I128" s="98">
        <f t="shared" si="758"/>
        <v>0</v>
      </c>
      <c r="J128" s="99">
        <f t="shared" si="758"/>
        <v>20.9</v>
      </c>
      <c r="K128" s="99">
        <f t="shared" si="758"/>
        <v>7.883</v>
      </c>
      <c r="L128" s="99">
        <f t="shared" si="758"/>
        <v>0.55400000000000005</v>
      </c>
      <c r="M128" s="53"/>
      <c r="N128" s="53"/>
      <c r="O128" s="100">
        <f t="shared" ref="O128:P128" si="759">O127</f>
        <v>100.62</v>
      </c>
      <c r="P128" s="101" t="str">
        <f t="shared" si="759"/>
        <v>2,29,560</v>
      </c>
      <c r="Q128" s="11" t="str">
        <f t="shared" si="470"/>
        <v>2</v>
      </c>
      <c r="R128" s="11" t="str">
        <f t="shared" si="471"/>
        <v>29,560</v>
      </c>
      <c r="S128" s="11">
        <f t="shared" si="472"/>
        <v>4.1544444444444446E-2</v>
      </c>
      <c r="T128" s="14">
        <f t="shared" si="473"/>
        <v>2421.9844878309709</v>
      </c>
      <c r="U128" s="39">
        <f t="shared" si="474"/>
        <v>-100</v>
      </c>
      <c r="V128" s="105">
        <f t="shared" ref="V128:W128" si="760">V127</f>
        <v>20.399999999999999</v>
      </c>
      <c r="W128" s="105">
        <f t="shared" si="760"/>
        <v>1.5069999999999999</v>
      </c>
      <c r="X128" s="106">
        <f t="shared" si="723"/>
        <v>1.504</v>
      </c>
      <c r="Y128" s="53"/>
      <c r="Z128" s="53"/>
      <c r="AA128" s="107">
        <f t="shared" ref="AA128:AB128" si="761">AA127</f>
        <v>10.015000000000001</v>
      </c>
      <c r="AB128" s="108" t="str">
        <f t="shared" si="761"/>
        <v>22,10,090</v>
      </c>
      <c r="AC128" s="11" t="str">
        <f t="shared" si="477"/>
        <v>22</v>
      </c>
      <c r="AD128" s="11" t="str">
        <f t="shared" si="478"/>
        <v>10,090</v>
      </c>
      <c r="AE128" s="11">
        <f t="shared" si="479"/>
        <v>0.36946944444444441</v>
      </c>
      <c r="AF128" s="14">
        <f t="shared" si="480"/>
        <v>27.106436406558959</v>
      </c>
      <c r="AG128" s="41">
        <f t="shared" si="481"/>
        <v>-100</v>
      </c>
      <c r="AH128" s="105">
        <f t="shared" si="731"/>
        <v>20.3</v>
      </c>
      <c r="AI128" s="105">
        <f t="shared" si="731"/>
        <v>1.5089999999999999</v>
      </c>
      <c r="AJ128" s="105">
        <f t="shared" si="731"/>
        <v>1.504</v>
      </c>
      <c r="AK128" s="53">
        <f t="shared" si="482"/>
        <v>0</v>
      </c>
      <c r="AL128" s="53"/>
      <c r="AM128" s="54">
        <f t="shared" ref="AM128:AN128" si="762">AM127</f>
        <v>5.0129999999999999</v>
      </c>
      <c r="AN128" s="101" t="str">
        <f t="shared" si="762"/>
        <v>17,59,050</v>
      </c>
      <c r="AO128" s="11" t="str">
        <f t="shared" si="484"/>
        <v>17</v>
      </c>
      <c r="AP128" s="11" t="str">
        <f t="shared" si="485"/>
        <v>59,050</v>
      </c>
      <c r="AQ128" s="11">
        <f t="shared" si="486"/>
        <v>0.29973611111111109</v>
      </c>
      <c r="AR128" s="14">
        <f t="shared" si="487"/>
        <v>16.724711551827998</v>
      </c>
      <c r="AS128" s="41">
        <f t="shared" si="488"/>
        <v>-100</v>
      </c>
      <c r="AT128" s="43" t="str">
        <f t="shared" si="489"/>
        <v>NO CONFORME</v>
      </c>
      <c r="AU128" s="8" t="b">
        <f t="shared" si="411"/>
        <v>1</v>
      </c>
      <c r="AV128" s="8" t="b">
        <f t="shared" si="412"/>
        <v>0</v>
      </c>
      <c r="AW128" s="8" t="b">
        <f t="shared" si="413"/>
        <v>1</v>
      </c>
      <c r="AX128" s="8" t="str">
        <f t="shared" si="414"/>
        <v>Qcorrecto</v>
      </c>
      <c r="AY128" s="22" t="str">
        <f t="shared" si="394"/>
        <v>aceptable</v>
      </c>
      <c r="AZ128" s="22" t="str">
        <f t="shared" si="395"/>
        <v>aceptable</v>
      </c>
      <c r="BA128" s="22" t="str">
        <f t="shared" si="415"/>
        <v>aceptable</v>
      </c>
      <c r="BB128" s="25" t="str">
        <f t="shared" si="416"/>
        <v>NO CONFORME</v>
      </c>
      <c r="BC128" s="5" t="str">
        <f t="shared" si="417"/>
        <v>NO CONFORME</v>
      </c>
      <c r="BD128" s="15">
        <f t="shared" si="396"/>
        <v>-1</v>
      </c>
      <c r="BE128" s="15">
        <f t="shared" si="397"/>
        <v>-1</v>
      </c>
      <c r="BF128" s="15">
        <f t="shared" si="398"/>
        <v>-1</v>
      </c>
      <c r="BG128" s="15" t="str">
        <f t="shared" si="399"/>
        <v>-1-1-1</v>
      </c>
      <c r="BH128" s="15" t="str">
        <f t="shared" si="400"/>
        <v>SD</v>
      </c>
      <c r="BI128" s="15" t="str">
        <f t="shared" si="401"/>
        <v>SI</v>
      </c>
      <c r="BJ128" s="15" t="b">
        <f t="shared" si="402"/>
        <v>1</v>
      </c>
      <c r="BK128" s="15" t="str">
        <f t="shared" si="403"/>
        <v>SIGIGUALES</v>
      </c>
      <c r="BL128" s="22" t="str">
        <f t="shared" si="404"/>
        <v>NO CONFORME</v>
      </c>
    </row>
    <row r="129" spans="1:64" ht="15.75" thickBot="1" x14ac:dyDescent="0.3">
      <c r="A129" s="37">
        <v>121</v>
      </c>
      <c r="B129" s="93">
        <f t="shared" ref="B129:E129" si="763">B128</f>
        <v>45919</v>
      </c>
      <c r="C129" s="93">
        <f t="shared" si="763"/>
        <v>45919</v>
      </c>
      <c r="D129" s="94">
        <f t="shared" si="763"/>
        <v>6</v>
      </c>
      <c r="E129" s="95">
        <f t="shared" si="763"/>
        <v>15</v>
      </c>
      <c r="F129" s="52"/>
      <c r="G129" s="96"/>
      <c r="H129" s="97">
        <f t="shared" ref="H129:L129" si="764">H128</f>
        <v>25.6</v>
      </c>
      <c r="I129" s="98">
        <f t="shared" si="764"/>
        <v>0</v>
      </c>
      <c r="J129" s="99">
        <f t="shared" si="764"/>
        <v>20.9</v>
      </c>
      <c r="K129" s="99">
        <f t="shared" si="764"/>
        <v>7.883</v>
      </c>
      <c r="L129" s="99">
        <f t="shared" si="764"/>
        <v>0.55400000000000005</v>
      </c>
      <c r="M129" s="53"/>
      <c r="N129" s="53"/>
      <c r="O129" s="100">
        <f t="shared" ref="O129:P129" si="765">O128</f>
        <v>100.62</v>
      </c>
      <c r="P129" s="101" t="str">
        <f t="shared" si="765"/>
        <v>2,29,560</v>
      </c>
      <c r="Q129" s="11" t="str">
        <f t="shared" si="470"/>
        <v>2</v>
      </c>
      <c r="R129" s="11" t="str">
        <f t="shared" si="471"/>
        <v>29,560</v>
      </c>
      <c r="S129" s="11">
        <f t="shared" si="472"/>
        <v>4.1544444444444446E-2</v>
      </c>
      <c r="T129" s="14">
        <f t="shared" si="473"/>
        <v>2421.9844878309709</v>
      </c>
      <c r="U129" s="39">
        <f t="shared" si="474"/>
        <v>-100</v>
      </c>
      <c r="V129" s="105">
        <f t="shared" ref="V129:W129" si="766">V128</f>
        <v>20.399999999999999</v>
      </c>
      <c r="W129" s="105">
        <f t="shared" si="766"/>
        <v>1.5069999999999999</v>
      </c>
      <c r="X129" s="106">
        <f t="shared" si="723"/>
        <v>1.504</v>
      </c>
      <c r="Y129" s="53"/>
      <c r="Z129" s="53"/>
      <c r="AA129" s="107">
        <f t="shared" ref="AA129:AB129" si="767">AA128</f>
        <v>10.015000000000001</v>
      </c>
      <c r="AB129" s="108" t="str">
        <f t="shared" si="767"/>
        <v>22,10,090</v>
      </c>
      <c r="AC129" s="11" t="str">
        <f t="shared" si="477"/>
        <v>22</v>
      </c>
      <c r="AD129" s="11" t="str">
        <f t="shared" si="478"/>
        <v>10,090</v>
      </c>
      <c r="AE129" s="11">
        <f t="shared" si="479"/>
        <v>0.36946944444444441</v>
      </c>
      <c r="AF129" s="14">
        <f t="shared" si="480"/>
        <v>27.106436406558959</v>
      </c>
      <c r="AG129" s="41">
        <f t="shared" si="481"/>
        <v>-100</v>
      </c>
      <c r="AH129" s="105">
        <f t="shared" si="731"/>
        <v>20.3</v>
      </c>
      <c r="AI129" s="105">
        <f t="shared" si="731"/>
        <v>1.5089999999999999</v>
      </c>
      <c r="AJ129" s="105">
        <f t="shared" si="731"/>
        <v>1.504</v>
      </c>
      <c r="AK129" s="53">
        <f t="shared" si="482"/>
        <v>0</v>
      </c>
      <c r="AL129" s="53"/>
      <c r="AM129" s="54">
        <f t="shared" ref="AM129:AN129" si="768">AM128</f>
        <v>5.0129999999999999</v>
      </c>
      <c r="AN129" s="101" t="str">
        <f t="shared" si="768"/>
        <v>17,59,050</v>
      </c>
      <c r="AO129" s="11" t="str">
        <f t="shared" si="484"/>
        <v>17</v>
      </c>
      <c r="AP129" s="11" t="str">
        <f t="shared" si="485"/>
        <v>59,050</v>
      </c>
      <c r="AQ129" s="11">
        <f t="shared" si="486"/>
        <v>0.29973611111111109</v>
      </c>
      <c r="AR129" s="14">
        <f t="shared" si="487"/>
        <v>16.724711551827998</v>
      </c>
      <c r="AS129" s="41">
        <f t="shared" si="488"/>
        <v>-100</v>
      </c>
      <c r="AT129" s="43" t="str">
        <f t="shared" si="489"/>
        <v>NO CONFORME</v>
      </c>
      <c r="AU129" s="8" t="b">
        <f t="shared" si="411"/>
        <v>1</v>
      </c>
      <c r="AV129" s="8" t="b">
        <f t="shared" si="412"/>
        <v>0</v>
      </c>
      <c r="AW129" s="8" t="b">
        <f t="shared" si="413"/>
        <v>1</v>
      </c>
      <c r="AX129" s="8" t="str">
        <f t="shared" si="414"/>
        <v>Qcorrecto</v>
      </c>
      <c r="AY129" s="22" t="str">
        <f t="shared" si="394"/>
        <v>aceptable</v>
      </c>
      <c r="AZ129" s="22" t="str">
        <f t="shared" si="395"/>
        <v>aceptable</v>
      </c>
      <c r="BA129" s="22" t="str">
        <f t="shared" si="415"/>
        <v>aceptable</v>
      </c>
      <c r="BB129" s="25" t="str">
        <f t="shared" si="416"/>
        <v>NO CONFORME</v>
      </c>
      <c r="BC129" s="5" t="str">
        <f t="shared" si="417"/>
        <v>NO CONFORME</v>
      </c>
      <c r="BD129" s="15">
        <f t="shared" si="396"/>
        <v>-1</v>
      </c>
      <c r="BE129" s="15">
        <f t="shared" si="397"/>
        <v>-1</v>
      </c>
      <c r="BF129" s="15">
        <f t="shared" si="398"/>
        <v>-1</v>
      </c>
      <c r="BG129" s="15" t="str">
        <f t="shared" si="399"/>
        <v>-1-1-1</v>
      </c>
      <c r="BH129" s="15" t="str">
        <f t="shared" si="400"/>
        <v>SD</v>
      </c>
      <c r="BI129" s="15" t="str">
        <f t="shared" si="401"/>
        <v>SI</v>
      </c>
      <c r="BJ129" s="15" t="b">
        <f t="shared" si="402"/>
        <v>1</v>
      </c>
      <c r="BK129" s="15" t="str">
        <f t="shared" si="403"/>
        <v>SIGIGUALES</v>
      </c>
      <c r="BL129" s="22" t="str">
        <f t="shared" si="404"/>
        <v>NO CONFORME</v>
      </c>
    </row>
    <row r="130" spans="1:64" ht="15.75" thickBot="1" x14ac:dyDescent="0.3">
      <c r="A130" s="37">
        <v>122</v>
      </c>
      <c r="B130" s="93">
        <f t="shared" ref="B130:E130" si="769">B129</f>
        <v>45919</v>
      </c>
      <c r="C130" s="93">
        <f t="shared" si="769"/>
        <v>45919</v>
      </c>
      <c r="D130" s="94">
        <f t="shared" si="769"/>
        <v>6</v>
      </c>
      <c r="E130" s="95">
        <f t="shared" si="769"/>
        <v>15</v>
      </c>
      <c r="F130" s="52"/>
      <c r="G130" s="96"/>
      <c r="H130" s="97">
        <f t="shared" ref="H130:L130" si="770">H129</f>
        <v>25.6</v>
      </c>
      <c r="I130" s="98">
        <f t="shared" si="770"/>
        <v>0</v>
      </c>
      <c r="J130" s="99">
        <f t="shared" si="770"/>
        <v>20.9</v>
      </c>
      <c r="K130" s="99">
        <f t="shared" si="770"/>
        <v>7.883</v>
      </c>
      <c r="L130" s="99">
        <f t="shared" si="770"/>
        <v>0.55400000000000005</v>
      </c>
      <c r="M130" s="53"/>
      <c r="N130" s="53"/>
      <c r="O130" s="100">
        <f t="shared" ref="O130:P130" si="771">O129</f>
        <v>100.62</v>
      </c>
      <c r="P130" s="101" t="str">
        <f t="shared" si="771"/>
        <v>2,29,560</v>
      </c>
      <c r="Q130" s="11" t="str">
        <f t="shared" si="470"/>
        <v>2</v>
      </c>
      <c r="R130" s="11" t="str">
        <f t="shared" si="471"/>
        <v>29,560</v>
      </c>
      <c r="S130" s="11">
        <f t="shared" si="472"/>
        <v>4.1544444444444446E-2</v>
      </c>
      <c r="T130" s="14">
        <f t="shared" si="473"/>
        <v>2421.9844878309709</v>
      </c>
      <c r="U130" s="39">
        <f t="shared" si="474"/>
        <v>-100</v>
      </c>
      <c r="V130" s="105">
        <f t="shared" ref="V130:W130" si="772">V129</f>
        <v>20.399999999999999</v>
      </c>
      <c r="W130" s="105">
        <f t="shared" si="772"/>
        <v>1.5069999999999999</v>
      </c>
      <c r="X130" s="106">
        <f t="shared" si="723"/>
        <v>1.504</v>
      </c>
      <c r="Y130" s="53"/>
      <c r="Z130" s="53"/>
      <c r="AA130" s="107">
        <f t="shared" ref="AA130:AB130" si="773">AA129</f>
        <v>10.015000000000001</v>
      </c>
      <c r="AB130" s="108" t="str">
        <f t="shared" si="773"/>
        <v>22,10,090</v>
      </c>
      <c r="AC130" s="11" t="str">
        <f t="shared" si="477"/>
        <v>22</v>
      </c>
      <c r="AD130" s="11" t="str">
        <f t="shared" si="478"/>
        <v>10,090</v>
      </c>
      <c r="AE130" s="11">
        <f t="shared" si="479"/>
        <v>0.36946944444444441</v>
      </c>
      <c r="AF130" s="14">
        <f t="shared" si="480"/>
        <v>27.106436406558959</v>
      </c>
      <c r="AG130" s="41">
        <f t="shared" si="481"/>
        <v>-100</v>
      </c>
      <c r="AH130" s="105">
        <f t="shared" si="731"/>
        <v>20.3</v>
      </c>
      <c r="AI130" s="105">
        <f t="shared" si="731"/>
        <v>1.5089999999999999</v>
      </c>
      <c r="AJ130" s="105">
        <f t="shared" si="731"/>
        <v>1.504</v>
      </c>
      <c r="AK130" s="53">
        <f t="shared" si="482"/>
        <v>0</v>
      </c>
      <c r="AL130" s="53"/>
      <c r="AM130" s="54">
        <f t="shared" ref="AM130:AN130" si="774">AM129</f>
        <v>5.0129999999999999</v>
      </c>
      <c r="AN130" s="101" t="str">
        <f t="shared" si="774"/>
        <v>17,59,050</v>
      </c>
      <c r="AO130" s="11" t="str">
        <f t="shared" si="484"/>
        <v>17</v>
      </c>
      <c r="AP130" s="11" t="str">
        <f t="shared" si="485"/>
        <v>59,050</v>
      </c>
      <c r="AQ130" s="11">
        <f t="shared" si="486"/>
        <v>0.29973611111111109</v>
      </c>
      <c r="AR130" s="14">
        <f t="shared" si="487"/>
        <v>16.724711551827998</v>
      </c>
      <c r="AS130" s="41">
        <f t="shared" si="488"/>
        <v>-100</v>
      </c>
      <c r="AT130" s="43" t="str">
        <f t="shared" si="489"/>
        <v>NO CONFORME</v>
      </c>
      <c r="AU130" s="8" t="b">
        <f t="shared" si="411"/>
        <v>1</v>
      </c>
      <c r="AV130" s="8" t="b">
        <f t="shared" si="412"/>
        <v>0</v>
      </c>
      <c r="AW130" s="8" t="b">
        <f t="shared" si="413"/>
        <v>1</v>
      </c>
      <c r="AX130" s="8" t="str">
        <f t="shared" si="414"/>
        <v>Qcorrecto</v>
      </c>
      <c r="AY130" s="22" t="str">
        <f t="shared" si="394"/>
        <v>aceptable</v>
      </c>
      <c r="AZ130" s="22" t="str">
        <f t="shared" si="395"/>
        <v>aceptable</v>
      </c>
      <c r="BA130" s="22" t="str">
        <f t="shared" si="415"/>
        <v>aceptable</v>
      </c>
      <c r="BB130" s="25" t="str">
        <f t="shared" si="416"/>
        <v>NO CONFORME</v>
      </c>
      <c r="BC130" s="5" t="str">
        <f t="shared" si="417"/>
        <v>NO CONFORME</v>
      </c>
      <c r="BD130" s="15">
        <f t="shared" si="396"/>
        <v>-1</v>
      </c>
      <c r="BE130" s="15">
        <f t="shared" si="397"/>
        <v>-1</v>
      </c>
      <c r="BF130" s="15">
        <f t="shared" si="398"/>
        <v>-1</v>
      </c>
      <c r="BG130" s="15" t="str">
        <f t="shared" si="399"/>
        <v>-1-1-1</v>
      </c>
      <c r="BH130" s="15" t="str">
        <f t="shared" si="400"/>
        <v>SD</v>
      </c>
      <c r="BI130" s="15" t="str">
        <f t="shared" si="401"/>
        <v>SI</v>
      </c>
      <c r="BJ130" s="15" t="b">
        <f t="shared" si="402"/>
        <v>1</v>
      </c>
      <c r="BK130" s="15" t="str">
        <f t="shared" si="403"/>
        <v>SIGIGUALES</v>
      </c>
      <c r="BL130" s="22" t="str">
        <f t="shared" si="404"/>
        <v>NO CONFORME</v>
      </c>
    </row>
    <row r="131" spans="1:64" ht="15.75" thickBot="1" x14ac:dyDescent="0.3">
      <c r="A131" s="37">
        <v>123</v>
      </c>
      <c r="B131" s="93">
        <f t="shared" ref="B131:E131" si="775">B130</f>
        <v>45919</v>
      </c>
      <c r="C131" s="93">
        <f t="shared" si="775"/>
        <v>45919</v>
      </c>
      <c r="D131" s="94">
        <f t="shared" si="775"/>
        <v>6</v>
      </c>
      <c r="E131" s="95">
        <f t="shared" si="775"/>
        <v>15</v>
      </c>
      <c r="F131" s="52"/>
      <c r="G131" s="96"/>
      <c r="H131" s="97">
        <f t="shared" ref="H131:L131" si="776">H130</f>
        <v>25.6</v>
      </c>
      <c r="I131" s="98">
        <f t="shared" si="776"/>
        <v>0</v>
      </c>
      <c r="J131" s="99">
        <f t="shared" si="776"/>
        <v>20.9</v>
      </c>
      <c r="K131" s="99">
        <f t="shared" si="776"/>
        <v>7.883</v>
      </c>
      <c r="L131" s="99">
        <f t="shared" si="776"/>
        <v>0.55400000000000005</v>
      </c>
      <c r="M131" s="53"/>
      <c r="N131" s="53"/>
      <c r="O131" s="100">
        <f t="shared" ref="O131:P131" si="777">O130</f>
        <v>100.62</v>
      </c>
      <c r="P131" s="101" t="str">
        <f t="shared" si="777"/>
        <v>2,29,560</v>
      </c>
      <c r="Q131" s="11" t="str">
        <f t="shared" si="470"/>
        <v>2</v>
      </c>
      <c r="R131" s="11" t="str">
        <f t="shared" si="471"/>
        <v>29,560</v>
      </c>
      <c r="S131" s="11">
        <f t="shared" si="472"/>
        <v>4.1544444444444446E-2</v>
      </c>
      <c r="T131" s="14">
        <f t="shared" si="473"/>
        <v>2421.9844878309709</v>
      </c>
      <c r="U131" s="39">
        <f t="shared" si="474"/>
        <v>-100</v>
      </c>
      <c r="V131" s="105">
        <f t="shared" ref="V131:W131" si="778">V130</f>
        <v>20.399999999999999</v>
      </c>
      <c r="W131" s="105">
        <f t="shared" si="778"/>
        <v>1.5069999999999999</v>
      </c>
      <c r="X131" s="106">
        <f t="shared" si="723"/>
        <v>1.504</v>
      </c>
      <c r="Y131" s="53"/>
      <c r="Z131" s="53"/>
      <c r="AA131" s="107">
        <f t="shared" ref="AA131:AB131" si="779">AA130</f>
        <v>10.015000000000001</v>
      </c>
      <c r="AB131" s="108" t="str">
        <f t="shared" si="779"/>
        <v>22,10,090</v>
      </c>
      <c r="AC131" s="11" t="str">
        <f t="shared" si="477"/>
        <v>22</v>
      </c>
      <c r="AD131" s="11" t="str">
        <f t="shared" si="478"/>
        <v>10,090</v>
      </c>
      <c r="AE131" s="11">
        <f t="shared" si="479"/>
        <v>0.36946944444444441</v>
      </c>
      <c r="AF131" s="14">
        <f t="shared" si="480"/>
        <v>27.106436406558959</v>
      </c>
      <c r="AG131" s="41">
        <f t="shared" si="481"/>
        <v>-100</v>
      </c>
      <c r="AH131" s="105">
        <f t="shared" si="731"/>
        <v>20.3</v>
      </c>
      <c r="AI131" s="105">
        <f t="shared" si="731"/>
        <v>1.5089999999999999</v>
      </c>
      <c r="AJ131" s="105">
        <f t="shared" si="731"/>
        <v>1.504</v>
      </c>
      <c r="AK131" s="53">
        <f t="shared" si="482"/>
        <v>0</v>
      </c>
      <c r="AL131" s="53"/>
      <c r="AM131" s="54">
        <f t="shared" ref="AM131:AN131" si="780">AM130</f>
        <v>5.0129999999999999</v>
      </c>
      <c r="AN131" s="101" t="str">
        <f t="shared" si="780"/>
        <v>17,59,050</v>
      </c>
      <c r="AO131" s="11" t="str">
        <f t="shared" si="484"/>
        <v>17</v>
      </c>
      <c r="AP131" s="11" t="str">
        <f t="shared" si="485"/>
        <v>59,050</v>
      </c>
      <c r="AQ131" s="11">
        <f t="shared" si="486"/>
        <v>0.29973611111111109</v>
      </c>
      <c r="AR131" s="14">
        <f t="shared" si="487"/>
        <v>16.724711551827998</v>
      </c>
      <c r="AS131" s="41">
        <f t="shared" si="488"/>
        <v>-100</v>
      </c>
      <c r="AT131" s="43" t="str">
        <f t="shared" si="489"/>
        <v>NO CONFORME</v>
      </c>
      <c r="AU131" s="8" t="b">
        <f t="shared" si="411"/>
        <v>1</v>
      </c>
      <c r="AV131" s="8" t="b">
        <f t="shared" si="412"/>
        <v>0</v>
      </c>
      <c r="AW131" s="8" t="b">
        <f t="shared" si="413"/>
        <v>1</v>
      </c>
      <c r="AX131" s="8" t="str">
        <f t="shared" si="414"/>
        <v>Qcorrecto</v>
      </c>
      <c r="AY131" s="22" t="str">
        <f t="shared" si="394"/>
        <v>aceptable</v>
      </c>
      <c r="AZ131" s="22" t="str">
        <f t="shared" si="395"/>
        <v>aceptable</v>
      </c>
      <c r="BA131" s="22" t="str">
        <f t="shared" si="415"/>
        <v>aceptable</v>
      </c>
      <c r="BB131" s="25" t="str">
        <f t="shared" si="416"/>
        <v>NO CONFORME</v>
      </c>
      <c r="BC131" s="5" t="str">
        <f t="shared" si="417"/>
        <v>NO CONFORME</v>
      </c>
      <c r="BD131" s="15">
        <f t="shared" si="396"/>
        <v>-1</v>
      </c>
      <c r="BE131" s="15">
        <f t="shared" si="397"/>
        <v>-1</v>
      </c>
      <c r="BF131" s="15">
        <f t="shared" si="398"/>
        <v>-1</v>
      </c>
      <c r="BG131" s="15" t="str">
        <f t="shared" si="399"/>
        <v>-1-1-1</v>
      </c>
      <c r="BH131" s="15" t="str">
        <f t="shared" si="400"/>
        <v>SD</v>
      </c>
      <c r="BI131" s="15" t="str">
        <f t="shared" si="401"/>
        <v>SI</v>
      </c>
      <c r="BJ131" s="15" t="b">
        <f t="shared" si="402"/>
        <v>1</v>
      </c>
      <c r="BK131" s="15" t="str">
        <f t="shared" si="403"/>
        <v>SIGIGUALES</v>
      </c>
      <c r="BL131" s="22" t="str">
        <f t="shared" si="404"/>
        <v>NO CONFORME</v>
      </c>
    </row>
    <row r="132" spans="1:64" ht="15.75" thickBot="1" x14ac:dyDescent="0.3">
      <c r="A132" s="37">
        <v>124</v>
      </c>
      <c r="B132" s="93">
        <f t="shared" ref="B132:E132" si="781">B131</f>
        <v>45919</v>
      </c>
      <c r="C132" s="93">
        <f t="shared" si="781"/>
        <v>45919</v>
      </c>
      <c r="D132" s="94">
        <f t="shared" si="781"/>
        <v>6</v>
      </c>
      <c r="E132" s="95">
        <f t="shared" si="781"/>
        <v>15</v>
      </c>
      <c r="F132" s="52"/>
      <c r="G132" s="96"/>
      <c r="H132" s="97">
        <f t="shared" ref="H132:L132" si="782">H131</f>
        <v>25.6</v>
      </c>
      <c r="I132" s="98">
        <f t="shared" si="782"/>
        <v>0</v>
      </c>
      <c r="J132" s="99">
        <f t="shared" si="782"/>
        <v>20.9</v>
      </c>
      <c r="K132" s="99">
        <f t="shared" si="782"/>
        <v>7.883</v>
      </c>
      <c r="L132" s="99">
        <f t="shared" si="782"/>
        <v>0.55400000000000005</v>
      </c>
      <c r="M132" s="53"/>
      <c r="N132" s="53"/>
      <c r="O132" s="100">
        <f t="shared" ref="O132:P132" si="783">O131</f>
        <v>100.62</v>
      </c>
      <c r="P132" s="101" t="str">
        <f t="shared" si="783"/>
        <v>2,29,560</v>
      </c>
      <c r="Q132" s="11" t="str">
        <f t="shared" si="470"/>
        <v>2</v>
      </c>
      <c r="R132" s="11" t="str">
        <f t="shared" si="471"/>
        <v>29,560</v>
      </c>
      <c r="S132" s="11">
        <f t="shared" si="472"/>
        <v>4.1544444444444446E-2</v>
      </c>
      <c r="T132" s="14">
        <f t="shared" si="473"/>
        <v>2421.9844878309709</v>
      </c>
      <c r="U132" s="39">
        <f t="shared" si="474"/>
        <v>-100</v>
      </c>
      <c r="V132" s="105">
        <f t="shared" ref="V132:W132" si="784">V131</f>
        <v>20.399999999999999</v>
      </c>
      <c r="W132" s="105">
        <f t="shared" si="784"/>
        <v>1.5069999999999999</v>
      </c>
      <c r="X132" s="106">
        <f t="shared" si="723"/>
        <v>1.504</v>
      </c>
      <c r="Y132" s="53"/>
      <c r="Z132" s="53"/>
      <c r="AA132" s="107">
        <f t="shared" ref="AA132:AB132" si="785">AA131</f>
        <v>10.015000000000001</v>
      </c>
      <c r="AB132" s="108" t="str">
        <f t="shared" si="785"/>
        <v>22,10,090</v>
      </c>
      <c r="AC132" s="11" t="str">
        <f t="shared" si="477"/>
        <v>22</v>
      </c>
      <c r="AD132" s="11" t="str">
        <f t="shared" si="478"/>
        <v>10,090</v>
      </c>
      <c r="AE132" s="11">
        <f t="shared" si="479"/>
        <v>0.36946944444444441</v>
      </c>
      <c r="AF132" s="14">
        <f t="shared" si="480"/>
        <v>27.106436406558959</v>
      </c>
      <c r="AG132" s="41">
        <f t="shared" si="481"/>
        <v>-100</v>
      </c>
      <c r="AH132" s="105">
        <f t="shared" si="731"/>
        <v>20.3</v>
      </c>
      <c r="AI132" s="105">
        <f t="shared" si="731"/>
        <v>1.5089999999999999</v>
      </c>
      <c r="AJ132" s="105">
        <f t="shared" si="731"/>
        <v>1.504</v>
      </c>
      <c r="AK132" s="53">
        <f t="shared" si="482"/>
        <v>0</v>
      </c>
      <c r="AL132" s="53"/>
      <c r="AM132" s="54">
        <f t="shared" ref="AM132:AN132" si="786">AM131</f>
        <v>5.0129999999999999</v>
      </c>
      <c r="AN132" s="101" t="str">
        <f t="shared" si="786"/>
        <v>17,59,050</v>
      </c>
      <c r="AO132" s="11" t="str">
        <f t="shared" si="484"/>
        <v>17</v>
      </c>
      <c r="AP132" s="11" t="str">
        <f t="shared" si="485"/>
        <v>59,050</v>
      </c>
      <c r="AQ132" s="11">
        <f t="shared" si="486"/>
        <v>0.29973611111111109</v>
      </c>
      <c r="AR132" s="14">
        <f t="shared" si="487"/>
        <v>16.724711551827998</v>
      </c>
      <c r="AS132" s="41">
        <f t="shared" si="488"/>
        <v>-100</v>
      </c>
      <c r="AT132" s="43" t="str">
        <f t="shared" si="489"/>
        <v>NO CONFORME</v>
      </c>
      <c r="AU132" s="8" t="b">
        <f t="shared" si="411"/>
        <v>1</v>
      </c>
      <c r="AV132" s="8" t="b">
        <f t="shared" si="412"/>
        <v>0</v>
      </c>
      <c r="AW132" s="8" t="b">
        <f t="shared" si="413"/>
        <v>1</v>
      </c>
      <c r="AX132" s="8" t="str">
        <f t="shared" si="414"/>
        <v>Qcorrecto</v>
      </c>
      <c r="AY132" s="22" t="str">
        <f t="shared" si="394"/>
        <v>aceptable</v>
      </c>
      <c r="AZ132" s="22" t="str">
        <f t="shared" si="395"/>
        <v>aceptable</v>
      </c>
      <c r="BA132" s="22" t="str">
        <f t="shared" si="415"/>
        <v>aceptable</v>
      </c>
      <c r="BB132" s="25" t="str">
        <f t="shared" si="416"/>
        <v>NO CONFORME</v>
      </c>
      <c r="BC132" s="5" t="str">
        <f t="shared" si="417"/>
        <v>NO CONFORME</v>
      </c>
      <c r="BD132" s="15">
        <f t="shared" si="396"/>
        <v>-1</v>
      </c>
      <c r="BE132" s="15">
        <f t="shared" si="397"/>
        <v>-1</v>
      </c>
      <c r="BF132" s="15">
        <f t="shared" si="398"/>
        <v>-1</v>
      </c>
      <c r="BG132" s="15" t="str">
        <f t="shared" si="399"/>
        <v>-1-1-1</v>
      </c>
      <c r="BH132" s="15" t="str">
        <f t="shared" si="400"/>
        <v>SD</v>
      </c>
      <c r="BI132" s="15" t="str">
        <f t="shared" si="401"/>
        <v>SI</v>
      </c>
      <c r="BJ132" s="15" t="b">
        <f t="shared" si="402"/>
        <v>1</v>
      </c>
      <c r="BK132" s="15" t="str">
        <f t="shared" si="403"/>
        <v>SIGIGUALES</v>
      </c>
      <c r="BL132" s="22" t="str">
        <f t="shared" si="404"/>
        <v>NO CONFORME</v>
      </c>
    </row>
    <row r="133" spans="1:64" ht="15.75" thickBot="1" x14ac:dyDescent="0.3">
      <c r="A133" s="37">
        <v>125</v>
      </c>
      <c r="B133" s="93">
        <f t="shared" ref="B133:E133" si="787">B132</f>
        <v>45919</v>
      </c>
      <c r="C133" s="93">
        <f t="shared" si="787"/>
        <v>45919</v>
      </c>
      <c r="D133" s="94">
        <f t="shared" si="787"/>
        <v>6</v>
      </c>
      <c r="E133" s="95">
        <f t="shared" si="787"/>
        <v>15</v>
      </c>
      <c r="F133" s="52"/>
      <c r="G133" s="96"/>
      <c r="H133" s="97">
        <f t="shared" ref="H133:L133" si="788">H132</f>
        <v>25.6</v>
      </c>
      <c r="I133" s="98">
        <f t="shared" si="788"/>
        <v>0</v>
      </c>
      <c r="J133" s="99">
        <f t="shared" si="788"/>
        <v>20.9</v>
      </c>
      <c r="K133" s="99">
        <f t="shared" si="788"/>
        <v>7.883</v>
      </c>
      <c r="L133" s="99">
        <f t="shared" si="788"/>
        <v>0.55400000000000005</v>
      </c>
      <c r="M133" s="53"/>
      <c r="N133" s="53"/>
      <c r="O133" s="100">
        <f t="shared" ref="O133:P133" si="789">O132</f>
        <v>100.62</v>
      </c>
      <c r="P133" s="101" t="str">
        <f t="shared" si="789"/>
        <v>2,29,560</v>
      </c>
      <c r="Q133" s="11" t="str">
        <f t="shared" si="470"/>
        <v>2</v>
      </c>
      <c r="R133" s="11" t="str">
        <f t="shared" si="471"/>
        <v>29,560</v>
      </c>
      <c r="S133" s="11">
        <f t="shared" si="472"/>
        <v>4.1544444444444446E-2</v>
      </c>
      <c r="T133" s="14">
        <f t="shared" si="473"/>
        <v>2421.9844878309709</v>
      </c>
      <c r="U133" s="39">
        <f t="shared" si="474"/>
        <v>-100</v>
      </c>
      <c r="V133" s="105">
        <f t="shared" ref="V133:W133" si="790">V132</f>
        <v>20.399999999999999</v>
      </c>
      <c r="W133" s="105">
        <f t="shared" si="790"/>
        <v>1.5069999999999999</v>
      </c>
      <c r="X133" s="106">
        <f t="shared" si="723"/>
        <v>1.504</v>
      </c>
      <c r="Y133" s="53"/>
      <c r="Z133" s="53"/>
      <c r="AA133" s="107">
        <f t="shared" ref="AA133:AB133" si="791">AA132</f>
        <v>10.015000000000001</v>
      </c>
      <c r="AB133" s="108" t="str">
        <f t="shared" si="791"/>
        <v>22,10,090</v>
      </c>
      <c r="AC133" s="11" t="str">
        <f t="shared" si="477"/>
        <v>22</v>
      </c>
      <c r="AD133" s="11" t="str">
        <f t="shared" si="478"/>
        <v>10,090</v>
      </c>
      <c r="AE133" s="11">
        <f t="shared" si="479"/>
        <v>0.36946944444444441</v>
      </c>
      <c r="AF133" s="14">
        <f t="shared" si="480"/>
        <v>27.106436406558959</v>
      </c>
      <c r="AG133" s="41">
        <f t="shared" si="481"/>
        <v>-100</v>
      </c>
      <c r="AH133" s="105">
        <f t="shared" si="731"/>
        <v>20.3</v>
      </c>
      <c r="AI133" s="105">
        <f t="shared" si="731"/>
        <v>1.5089999999999999</v>
      </c>
      <c r="AJ133" s="105">
        <f t="shared" si="731"/>
        <v>1.504</v>
      </c>
      <c r="AK133" s="53">
        <f t="shared" si="482"/>
        <v>0</v>
      </c>
      <c r="AL133" s="53"/>
      <c r="AM133" s="54">
        <f t="shared" ref="AM133:AN133" si="792">AM132</f>
        <v>5.0129999999999999</v>
      </c>
      <c r="AN133" s="101" t="str">
        <f t="shared" si="792"/>
        <v>17,59,050</v>
      </c>
      <c r="AO133" s="11" t="str">
        <f t="shared" si="484"/>
        <v>17</v>
      </c>
      <c r="AP133" s="11" t="str">
        <f t="shared" si="485"/>
        <v>59,050</v>
      </c>
      <c r="AQ133" s="11">
        <f t="shared" si="486"/>
        <v>0.29973611111111109</v>
      </c>
      <c r="AR133" s="14">
        <f t="shared" si="487"/>
        <v>16.724711551827998</v>
      </c>
      <c r="AS133" s="41">
        <f t="shared" si="488"/>
        <v>-100</v>
      </c>
      <c r="AT133" s="43" t="str">
        <f t="shared" si="489"/>
        <v>NO CONFORME</v>
      </c>
      <c r="AU133" s="8" t="b">
        <f t="shared" si="411"/>
        <v>1</v>
      </c>
      <c r="AV133" s="8" t="b">
        <f t="shared" si="412"/>
        <v>0</v>
      </c>
      <c r="AW133" s="8" t="b">
        <f t="shared" si="413"/>
        <v>1</v>
      </c>
      <c r="AX133" s="8" t="str">
        <f t="shared" si="414"/>
        <v>Qcorrecto</v>
      </c>
      <c r="AY133" s="22" t="str">
        <f t="shared" si="394"/>
        <v>aceptable</v>
      </c>
      <c r="AZ133" s="22" t="str">
        <f t="shared" si="395"/>
        <v>aceptable</v>
      </c>
      <c r="BA133" s="22" t="str">
        <f t="shared" si="415"/>
        <v>aceptable</v>
      </c>
      <c r="BB133" s="25" t="str">
        <f t="shared" si="416"/>
        <v>NO CONFORME</v>
      </c>
      <c r="BC133" s="5" t="str">
        <f t="shared" si="417"/>
        <v>NO CONFORME</v>
      </c>
      <c r="BD133" s="15">
        <f t="shared" si="396"/>
        <v>-1</v>
      </c>
      <c r="BE133" s="15">
        <f t="shared" si="397"/>
        <v>-1</v>
      </c>
      <c r="BF133" s="15">
        <f t="shared" si="398"/>
        <v>-1</v>
      </c>
      <c r="BG133" s="15" t="str">
        <f t="shared" si="399"/>
        <v>-1-1-1</v>
      </c>
      <c r="BH133" s="15" t="str">
        <f t="shared" si="400"/>
        <v>SD</v>
      </c>
      <c r="BI133" s="15" t="str">
        <f t="shared" si="401"/>
        <v>SI</v>
      </c>
      <c r="BJ133" s="15" t="b">
        <f t="shared" si="402"/>
        <v>1</v>
      </c>
      <c r="BK133" s="15" t="str">
        <f t="shared" si="403"/>
        <v>SIGIGUALES</v>
      </c>
      <c r="BL133" s="22" t="str">
        <f t="shared" si="404"/>
        <v>NO CONFORME</v>
      </c>
    </row>
    <row r="134" spans="1:64" ht="15.75" thickBot="1" x14ac:dyDescent="0.3">
      <c r="A134" s="37">
        <v>126</v>
      </c>
      <c r="B134" s="93">
        <f t="shared" ref="B134:E134" si="793">B133</f>
        <v>45919</v>
      </c>
      <c r="C134" s="93">
        <f t="shared" si="793"/>
        <v>45919</v>
      </c>
      <c r="D134" s="94">
        <f t="shared" si="793"/>
        <v>6</v>
      </c>
      <c r="E134" s="95">
        <f t="shared" si="793"/>
        <v>15</v>
      </c>
      <c r="F134" s="52"/>
      <c r="G134" s="96"/>
      <c r="H134" s="97">
        <f t="shared" ref="H134:L134" si="794">H133</f>
        <v>25.6</v>
      </c>
      <c r="I134" s="98">
        <f t="shared" si="794"/>
        <v>0</v>
      </c>
      <c r="J134" s="99">
        <f t="shared" si="794"/>
        <v>20.9</v>
      </c>
      <c r="K134" s="99">
        <f t="shared" si="794"/>
        <v>7.883</v>
      </c>
      <c r="L134" s="99">
        <f t="shared" si="794"/>
        <v>0.55400000000000005</v>
      </c>
      <c r="M134" s="53"/>
      <c r="N134" s="53"/>
      <c r="O134" s="100">
        <f t="shared" ref="O134:P134" si="795">O133</f>
        <v>100.62</v>
      </c>
      <c r="P134" s="101" t="str">
        <f t="shared" si="795"/>
        <v>2,29,560</v>
      </c>
      <c r="Q134" s="11" t="str">
        <f t="shared" si="470"/>
        <v>2</v>
      </c>
      <c r="R134" s="11" t="str">
        <f t="shared" si="471"/>
        <v>29,560</v>
      </c>
      <c r="S134" s="11">
        <f t="shared" si="472"/>
        <v>4.1544444444444446E-2</v>
      </c>
      <c r="T134" s="14">
        <f t="shared" si="473"/>
        <v>2421.9844878309709</v>
      </c>
      <c r="U134" s="39">
        <f t="shared" si="474"/>
        <v>-100</v>
      </c>
      <c r="V134" s="105">
        <f t="shared" ref="V134:W134" si="796">V133</f>
        <v>20.399999999999999</v>
      </c>
      <c r="W134" s="105">
        <f t="shared" si="796"/>
        <v>1.5069999999999999</v>
      </c>
      <c r="X134" s="106">
        <f t="shared" si="723"/>
        <v>1.504</v>
      </c>
      <c r="Y134" s="53"/>
      <c r="Z134" s="53"/>
      <c r="AA134" s="107">
        <f t="shared" ref="AA134:AB134" si="797">AA133</f>
        <v>10.015000000000001</v>
      </c>
      <c r="AB134" s="108" t="str">
        <f t="shared" si="797"/>
        <v>22,10,090</v>
      </c>
      <c r="AC134" s="11" t="str">
        <f t="shared" si="477"/>
        <v>22</v>
      </c>
      <c r="AD134" s="11" t="str">
        <f t="shared" si="478"/>
        <v>10,090</v>
      </c>
      <c r="AE134" s="11">
        <f t="shared" si="479"/>
        <v>0.36946944444444441</v>
      </c>
      <c r="AF134" s="14">
        <f t="shared" si="480"/>
        <v>27.106436406558959</v>
      </c>
      <c r="AG134" s="41">
        <f t="shared" si="481"/>
        <v>-100</v>
      </c>
      <c r="AH134" s="105">
        <f t="shared" si="731"/>
        <v>20.3</v>
      </c>
      <c r="AI134" s="105">
        <f t="shared" si="731"/>
        <v>1.5089999999999999</v>
      </c>
      <c r="AJ134" s="105">
        <f t="shared" si="731"/>
        <v>1.504</v>
      </c>
      <c r="AK134" s="53">
        <f t="shared" si="482"/>
        <v>0</v>
      </c>
      <c r="AL134" s="53"/>
      <c r="AM134" s="54">
        <f t="shared" ref="AM134:AN134" si="798">AM133</f>
        <v>5.0129999999999999</v>
      </c>
      <c r="AN134" s="101" t="str">
        <f t="shared" si="798"/>
        <v>17,59,050</v>
      </c>
      <c r="AO134" s="11" t="str">
        <f t="shared" si="484"/>
        <v>17</v>
      </c>
      <c r="AP134" s="11" t="str">
        <f t="shared" si="485"/>
        <v>59,050</v>
      </c>
      <c r="AQ134" s="11">
        <f t="shared" si="486"/>
        <v>0.29973611111111109</v>
      </c>
      <c r="AR134" s="14">
        <f t="shared" si="487"/>
        <v>16.724711551827998</v>
      </c>
      <c r="AS134" s="41">
        <f t="shared" si="488"/>
        <v>-100</v>
      </c>
      <c r="AT134" s="43" t="str">
        <f t="shared" si="489"/>
        <v>NO CONFORME</v>
      </c>
      <c r="AU134" s="8" t="b">
        <f t="shared" si="411"/>
        <v>1</v>
      </c>
      <c r="AV134" s="8" t="b">
        <f t="shared" si="412"/>
        <v>0</v>
      </c>
      <c r="AW134" s="8" t="b">
        <f t="shared" si="413"/>
        <v>1</v>
      </c>
      <c r="AX134" s="8" t="str">
        <f t="shared" si="414"/>
        <v>Qcorrecto</v>
      </c>
      <c r="AY134" s="22" t="str">
        <f t="shared" si="394"/>
        <v>aceptable</v>
      </c>
      <c r="AZ134" s="22" t="str">
        <f t="shared" si="395"/>
        <v>aceptable</v>
      </c>
      <c r="BA134" s="22" t="str">
        <f t="shared" si="415"/>
        <v>aceptable</v>
      </c>
      <c r="BB134" s="25" t="str">
        <f t="shared" si="416"/>
        <v>NO CONFORME</v>
      </c>
      <c r="BC134" s="5" t="str">
        <f t="shared" si="417"/>
        <v>NO CONFORME</v>
      </c>
      <c r="BD134" s="15">
        <f t="shared" si="396"/>
        <v>-1</v>
      </c>
      <c r="BE134" s="15">
        <f t="shared" si="397"/>
        <v>-1</v>
      </c>
      <c r="BF134" s="15">
        <f t="shared" si="398"/>
        <v>-1</v>
      </c>
      <c r="BG134" s="15" t="str">
        <f t="shared" si="399"/>
        <v>-1-1-1</v>
      </c>
      <c r="BH134" s="15" t="str">
        <f t="shared" si="400"/>
        <v>SD</v>
      </c>
      <c r="BI134" s="15" t="str">
        <f t="shared" si="401"/>
        <v>SI</v>
      </c>
      <c r="BJ134" s="15" t="b">
        <f t="shared" si="402"/>
        <v>1</v>
      </c>
      <c r="BK134" s="15" t="str">
        <f t="shared" si="403"/>
        <v>SIGIGUALES</v>
      </c>
      <c r="BL134" s="22" t="str">
        <f t="shared" si="404"/>
        <v>NO CONFORME</v>
      </c>
    </row>
    <row r="135" spans="1:64" ht="15.75" thickBot="1" x14ac:dyDescent="0.3">
      <c r="A135" s="37">
        <v>127</v>
      </c>
      <c r="B135" s="93">
        <f t="shared" ref="B135:E135" si="799">B134</f>
        <v>45919</v>
      </c>
      <c r="C135" s="93">
        <f t="shared" si="799"/>
        <v>45919</v>
      </c>
      <c r="D135" s="94">
        <f t="shared" si="799"/>
        <v>6</v>
      </c>
      <c r="E135" s="95">
        <f t="shared" si="799"/>
        <v>15</v>
      </c>
      <c r="F135" s="52"/>
      <c r="G135" s="96"/>
      <c r="H135" s="97">
        <f t="shared" ref="H135:L135" si="800">H134</f>
        <v>25.6</v>
      </c>
      <c r="I135" s="98">
        <f t="shared" si="800"/>
        <v>0</v>
      </c>
      <c r="J135" s="99">
        <f t="shared" si="800"/>
        <v>20.9</v>
      </c>
      <c r="K135" s="99">
        <f t="shared" si="800"/>
        <v>7.883</v>
      </c>
      <c r="L135" s="99">
        <f t="shared" si="800"/>
        <v>0.55400000000000005</v>
      </c>
      <c r="M135" s="53"/>
      <c r="N135" s="53"/>
      <c r="O135" s="100">
        <f t="shared" ref="O135:P135" si="801">O134</f>
        <v>100.62</v>
      </c>
      <c r="P135" s="101" t="str">
        <f t="shared" si="801"/>
        <v>2,29,560</v>
      </c>
      <c r="Q135" s="11" t="str">
        <f t="shared" si="470"/>
        <v>2</v>
      </c>
      <c r="R135" s="11" t="str">
        <f t="shared" si="471"/>
        <v>29,560</v>
      </c>
      <c r="S135" s="11">
        <f t="shared" si="472"/>
        <v>4.1544444444444446E-2</v>
      </c>
      <c r="T135" s="14">
        <f t="shared" si="473"/>
        <v>2421.9844878309709</v>
      </c>
      <c r="U135" s="39">
        <f t="shared" si="474"/>
        <v>-100</v>
      </c>
      <c r="V135" s="105">
        <f t="shared" ref="V135:W135" si="802">V134</f>
        <v>20.399999999999999</v>
      </c>
      <c r="W135" s="105">
        <f t="shared" si="802"/>
        <v>1.5069999999999999</v>
      </c>
      <c r="X135" s="106">
        <f t="shared" si="723"/>
        <v>1.504</v>
      </c>
      <c r="Y135" s="53"/>
      <c r="Z135" s="53"/>
      <c r="AA135" s="107">
        <f t="shared" ref="AA135:AB135" si="803">AA134</f>
        <v>10.015000000000001</v>
      </c>
      <c r="AB135" s="108" t="str">
        <f t="shared" si="803"/>
        <v>22,10,090</v>
      </c>
      <c r="AC135" s="11" t="str">
        <f t="shared" si="477"/>
        <v>22</v>
      </c>
      <c r="AD135" s="11" t="str">
        <f t="shared" si="478"/>
        <v>10,090</v>
      </c>
      <c r="AE135" s="11">
        <f t="shared" si="479"/>
        <v>0.36946944444444441</v>
      </c>
      <c r="AF135" s="14">
        <f t="shared" si="480"/>
        <v>27.106436406558959</v>
      </c>
      <c r="AG135" s="41">
        <f t="shared" si="481"/>
        <v>-100</v>
      </c>
      <c r="AH135" s="105">
        <f t="shared" si="731"/>
        <v>20.3</v>
      </c>
      <c r="AI135" s="105">
        <f t="shared" si="731"/>
        <v>1.5089999999999999</v>
      </c>
      <c r="AJ135" s="105">
        <f t="shared" si="731"/>
        <v>1.504</v>
      </c>
      <c r="AK135" s="53">
        <f t="shared" si="482"/>
        <v>0</v>
      </c>
      <c r="AL135" s="53"/>
      <c r="AM135" s="54">
        <f t="shared" ref="AM135:AN135" si="804">AM134</f>
        <v>5.0129999999999999</v>
      </c>
      <c r="AN135" s="101" t="str">
        <f t="shared" si="804"/>
        <v>17,59,050</v>
      </c>
      <c r="AO135" s="11" t="str">
        <f t="shared" si="484"/>
        <v>17</v>
      </c>
      <c r="AP135" s="11" t="str">
        <f t="shared" si="485"/>
        <v>59,050</v>
      </c>
      <c r="AQ135" s="11">
        <f t="shared" si="486"/>
        <v>0.29973611111111109</v>
      </c>
      <c r="AR135" s="14">
        <f t="shared" si="487"/>
        <v>16.724711551827998</v>
      </c>
      <c r="AS135" s="41">
        <f t="shared" si="488"/>
        <v>-100</v>
      </c>
      <c r="AT135" s="43" t="str">
        <f t="shared" si="489"/>
        <v>NO CONFORME</v>
      </c>
      <c r="AU135" s="8" t="b">
        <f t="shared" si="411"/>
        <v>1</v>
      </c>
      <c r="AV135" s="8" t="b">
        <f t="shared" si="412"/>
        <v>0</v>
      </c>
      <c r="AW135" s="8" t="b">
        <f t="shared" si="413"/>
        <v>1</v>
      </c>
      <c r="AX135" s="8" t="str">
        <f t="shared" si="414"/>
        <v>Qcorrecto</v>
      </c>
      <c r="AY135" s="22" t="str">
        <f t="shared" si="394"/>
        <v>aceptable</v>
      </c>
      <c r="AZ135" s="22" t="str">
        <f t="shared" si="395"/>
        <v>aceptable</v>
      </c>
      <c r="BA135" s="22" t="str">
        <f t="shared" si="415"/>
        <v>aceptable</v>
      </c>
      <c r="BB135" s="25" t="str">
        <f t="shared" si="416"/>
        <v>NO CONFORME</v>
      </c>
      <c r="BC135" s="5" t="str">
        <f t="shared" si="417"/>
        <v>NO CONFORME</v>
      </c>
      <c r="BD135" s="15">
        <f t="shared" si="396"/>
        <v>-1</v>
      </c>
      <c r="BE135" s="15">
        <f t="shared" si="397"/>
        <v>-1</v>
      </c>
      <c r="BF135" s="15">
        <f t="shared" si="398"/>
        <v>-1</v>
      </c>
      <c r="BG135" s="15" t="str">
        <f t="shared" si="399"/>
        <v>-1-1-1</v>
      </c>
      <c r="BH135" s="15" t="str">
        <f t="shared" si="400"/>
        <v>SD</v>
      </c>
      <c r="BI135" s="15" t="str">
        <f t="shared" si="401"/>
        <v>SI</v>
      </c>
      <c r="BJ135" s="15" t="b">
        <f t="shared" si="402"/>
        <v>1</v>
      </c>
      <c r="BK135" s="15" t="str">
        <f t="shared" si="403"/>
        <v>SIGIGUALES</v>
      </c>
      <c r="BL135" s="22" t="str">
        <f t="shared" si="404"/>
        <v>NO CONFORME</v>
      </c>
    </row>
    <row r="136" spans="1:64" ht="15.75" thickBot="1" x14ac:dyDescent="0.3">
      <c r="A136" s="37">
        <v>128</v>
      </c>
      <c r="B136" s="93">
        <f t="shared" ref="B136:E136" si="805">B135</f>
        <v>45919</v>
      </c>
      <c r="C136" s="93">
        <f t="shared" si="805"/>
        <v>45919</v>
      </c>
      <c r="D136" s="94">
        <f t="shared" si="805"/>
        <v>6</v>
      </c>
      <c r="E136" s="95">
        <f t="shared" si="805"/>
        <v>15</v>
      </c>
      <c r="F136" s="52"/>
      <c r="G136" s="96"/>
      <c r="H136" s="97">
        <f t="shared" ref="H136:L136" si="806">H135</f>
        <v>25.6</v>
      </c>
      <c r="I136" s="98">
        <f t="shared" si="806"/>
        <v>0</v>
      </c>
      <c r="J136" s="99">
        <f t="shared" si="806"/>
        <v>20.9</v>
      </c>
      <c r="K136" s="99">
        <f t="shared" si="806"/>
        <v>7.883</v>
      </c>
      <c r="L136" s="99">
        <f t="shared" si="806"/>
        <v>0.55400000000000005</v>
      </c>
      <c r="M136" s="53"/>
      <c r="N136" s="53"/>
      <c r="O136" s="100">
        <f t="shared" ref="O136:P136" si="807">O135</f>
        <v>100.62</v>
      </c>
      <c r="P136" s="101" t="str">
        <f t="shared" si="807"/>
        <v>2,29,560</v>
      </c>
      <c r="Q136" s="11" t="str">
        <f t="shared" si="470"/>
        <v>2</v>
      </c>
      <c r="R136" s="11" t="str">
        <f t="shared" si="471"/>
        <v>29,560</v>
      </c>
      <c r="S136" s="11">
        <f t="shared" si="472"/>
        <v>4.1544444444444446E-2</v>
      </c>
      <c r="T136" s="14">
        <f t="shared" si="473"/>
        <v>2421.9844878309709</v>
      </c>
      <c r="U136" s="39">
        <f t="shared" si="474"/>
        <v>-100</v>
      </c>
      <c r="V136" s="105">
        <f t="shared" ref="V136:W136" si="808">V135</f>
        <v>20.399999999999999</v>
      </c>
      <c r="W136" s="105">
        <f t="shared" si="808"/>
        <v>1.5069999999999999</v>
      </c>
      <c r="X136" s="106">
        <f t="shared" si="723"/>
        <v>1.504</v>
      </c>
      <c r="Y136" s="53"/>
      <c r="Z136" s="53"/>
      <c r="AA136" s="107">
        <f t="shared" ref="AA136:AB136" si="809">AA135</f>
        <v>10.015000000000001</v>
      </c>
      <c r="AB136" s="108" t="str">
        <f t="shared" si="809"/>
        <v>22,10,090</v>
      </c>
      <c r="AC136" s="11" t="str">
        <f t="shared" si="477"/>
        <v>22</v>
      </c>
      <c r="AD136" s="11" t="str">
        <f t="shared" si="478"/>
        <v>10,090</v>
      </c>
      <c r="AE136" s="11">
        <f t="shared" si="479"/>
        <v>0.36946944444444441</v>
      </c>
      <c r="AF136" s="14">
        <f t="shared" si="480"/>
        <v>27.106436406558959</v>
      </c>
      <c r="AG136" s="41">
        <f t="shared" si="481"/>
        <v>-100</v>
      </c>
      <c r="AH136" s="105">
        <f t="shared" si="731"/>
        <v>20.3</v>
      </c>
      <c r="AI136" s="105">
        <f t="shared" si="731"/>
        <v>1.5089999999999999</v>
      </c>
      <c r="AJ136" s="105">
        <f t="shared" si="731"/>
        <v>1.504</v>
      </c>
      <c r="AK136" s="53">
        <f t="shared" si="482"/>
        <v>0</v>
      </c>
      <c r="AL136" s="53"/>
      <c r="AM136" s="54">
        <f t="shared" ref="AM136:AN136" si="810">AM135</f>
        <v>5.0129999999999999</v>
      </c>
      <c r="AN136" s="101" t="str">
        <f t="shared" si="810"/>
        <v>17,59,050</v>
      </c>
      <c r="AO136" s="11" t="str">
        <f t="shared" si="484"/>
        <v>17</v>
      </c>
      <c r="AP136" s="11" t="str">
        <f t="shared" si="485"/>
        <v>59,050</v>
      </c>
      <c r="AQ136" s="11">
        <f t="shared" si="486"/>
        <v>0.29973611111111109</v>
      </c>
      <c r="AR136" s="14">
        <f t="shared" si="487"/>
        <v>16.724711551827998</v>
      </c>
      <c r="AS136" s="41">
        <f t="shared" si="488"/>
        <v>-100</v>
      </c>
      <c r="AT136" s="43" t="str">
        <f t="shared" si="489"/>
        <v>NO CONFORME</v>
      </c>
      <c r="AU136" s="8" t="b">
        <f t="shared" si="411"/>
        <v>1</v>
      </c>
      <c r="AV136" s="8" t="b">
        <f t="shared" si="412"/>
        <v>0</v>
      </c>
      <c r="AW136" s="8" t="b">
        <f t="shared" si="413"/>
        <v>1</v>
      </c>
      <c r="AX136" s="8" t="str">
        <f t="shared" si="414"/>
        <v>Qcorrecto</v>
      </c>
      <c r="AY136" s="22" t="str">
        <f t="shared" si="394"/>
        <v>aceptable</v>
      </c>
      <c r="AZ136" s="22" t="str">
        <f t="shared" si="395"/>
        <v>aceptable</v>
      </c>
      <c r="BA136" s="22" t="str">
        <f t="shared" si="415"/>
        <v>aceptable</v>
      </c>
      <c r="BB136" s="25" t="str">
        <f t="shared" si="416"/>
        <v>NO CONFORME</v>
      </c>
      <c r="BC136" s="5" t="str">
        <f t="shared" si="417"/>
        <v>NO CONFORME</v>
      </c>
      <c r="BD136" s="15">
        <f t="shared" si="396"/>
        <v>-1</v>
      </c>
      <c r="BE136" s="15">
        <f t="shared" si="397"/>
        <v>-1</v>
      </c>
      <c r="BF136" s="15">
        <f t="shared" si="398"/>
        <v>-1</v>
      </c>
      <c r="BG136" s="15" t="str">
        <f t="shared" si="399"/>
        <v>-1-1-1</v>
      </c>
      <c r="BH136" s="15" t="str">
        <f t="shared" si="400"/>
        <v>SD</v>
      </c>
      <c r="BI136" s="15" t="str">
        <f t="shared" si="401"/>
        <v>SI</v>
      </c>
      <c r="BJ136" s="15" t="b">
        <f t="shared" si="402"/>
        <v>1</v>
      </c>
      <c r="BK136" s="15" t="str">
        <f t="shared" si="403"/>
        <v>SIGIGUALES</v>
      </c>
      <c r="BL136" s="22" t="str">
        <f t="shared" si="404"/>
        <v>NO CONFORME</v>
      </c>
    </row>
    <row r="137" spans="1:64" ht="15.75" thickBot="1" x14ac:dyDescent="0.3">
      <c r="A137" s="37">
        <v>129</v>
      </c>
      <c r="B137" s="93">
        <f t="shared" ref="B137:E137" si="811">B136</f>
        <v>45919</v>
      </c>
      <c r="C137" s="93">
        <f t="shared" si="811"/>
        <v>45919</v>
      </c>
      <c r="D137" s="94">
        <f t="shared" si="811"/>
        <v>6</v>
      </c>
      <c r="E137" s="95">
        <f t="shared" si="811"/>
        <v>15</v>
      </c>
      <c r="F137" s="52"/>
      <c r="G137" s="96"/>
      <c r="H137" s="97">
        <f t="shared" ref="H137:L137" si="812">H136</f>
        <v>25.6</v>
      </c>
      <c r="I137" s="98">
        <f t="shared" si="812"/>
        <v>0</v>
      </c>
      <c r="J137" s="99">
        <f t="shared" si="812"/>
        <v>20.9</v>
      </c>
      <c r="K137" s="99">
        <f t="shared" si="812"/>
        <v>7.883</v>
      </c>
      <c r="L137" s="99">
        <f t="shared" si="812"/>
        <v>0.55400000000000005</v>
      </c>
      <c r="M137" s="53"/>
      <c r="N137" s="53"/>
      <c r="O137" s="100">
        <f t="shared" ref="O137:P137" si="813">O136</f>
        <v>100.62</v>
      </c>
      <c r="P137" s="101" t="str">
        <f t="shared" si="813"/>
        <v>2,29,560</v>
      </c>
      <c r="Q137" s="11" t="str">
        <f t="shared" si="470"/>
        <v>2</v>
      </c>
      <c r="R137" s="11" t="str">
        <f t="shared" si="471"/>
        <v>29,560</v>
      </c>
      <c r="S137" s="11">
        <f t="shared" si="472"/>
        <v>4.1544444444444446E-2</v>
      </c>
      <c r="T137" s="14">
        <f t="shared" si="473"/>
        <v>2421.9844878309709</v>
      </c>
      <c r="U137" s="39">
        <f t="shared" si="474"/>
        <v>-100</v>
      </c>
      <c r="V137" s="105">
        <f t="shared" ref="V137:W137" si="814">V136</f>
        <v>20.399999999999999</v>
      </c>
      <c r="W137" s="105">
        <f t="shared" si="814"/>
        <v>1.5069999999999999</v>
      </c>
      <c r="X137" s="106">
        <f t="shared" si="723"/>
        <v>1.504</v>
      </c>
      <c r="Y137" s="53"/>
      <c r="Z137" s="53"/>
      <c r="AA137" s="107">
        <f t="shared" ref="AA137:AB137" si="815">AA136</f>
        <v>10.015000000000001</v>
      </c>
      <c r="AB137" s="108" t="str">
        <f t="shared" si="815"/>
        <v>22,10,090</v>
      </c>
      <c r="AC137" s="11" t="str">
        <f t="shared" si="477"/>
        <v>22</v>
      </c>
      <c r="AD137" s="11" t="str">
        <f t="shared" si="478"/>
        <v>10,090</v>
      </c>
      <c r="AE137" s="11">
        <f t="shared" si="479"/>
        <v>0.36946944444444441</v>
      </c>
      <c r="AF137" s="14">
        <f t="shared" si="480"/>
        <v>27.106436406558959</v>
      </c>
      <c r="AG137" s="41">
        <f t="shared" si="481"/>
        <v>-100</v>
      </c>
      <c r="AH137" s="105">
        <f t="shared" si="731"/>
        <v>20.3</v>
      </c>
      <c r="AI137" s="105">
        <f t="shared" si="731"/>
        <v>1.5089999999999999</v>
      </c>
      <c r="AJ137" s="105">
        <f t="shared" si="731"/>
        <v>1.504</v>
      </c>
      <c r="AK137" s="53">
        <f t="shared" si="482"/>
        <v>0</v>
      </c>
      <c r="AL137" s="53"/>
      <c r="AM137" s="54">
        <f t="shared" ref="AM137:AN137" si="816">AM136</f>
        <v>5.0129999999999999</v>
      </c>
      <c r="AN137" s="101" t="str">
        <f t="shared" si="816"/>
        <v>17,59,050</v>
      </c>
      <c r="AO137" s="11" t="str">
        <f t="shared" si="484"/>
        <v>17</v>
      </c>
      <c r="AP137" s="11" t="str">
        <f t="shared" si="485"/>
        <v>59,050</v>
      </c>
      <c r="AQ137" s="11">
        <f t="shared" si="486"/>
        <v>0.29973611111111109</v>
      </c>
      <c r="AR137" s="14">
        <f t="shared" si="487"/>
        <v>16.724711551827998</v>
      </c>
      <c r="AS137" s="41">
        <f t="shared" si="488"/>
        <v>-100</v>
      </c>
      <c r="AT137" s="43" t="str">
        <f t="shared" si="489"/>
        <v>NO CONFORME</v>
      </c>
      <c r="AU137" s="8" t="b">
        <f t="shared" si="411"/>
        <v>1</v>
      </c>
      <c r="AV137" s="8" t="b">
        <f t="shared" si="412"/>
        <v>0</v>
      </c>
      <c r="AW137" s="8" t="b">
        <f t="shared" si="413"/>
        <v>1</v>
      </c>
      <c r="AX137" s="8" t="str">
        <f t="shared" si="414"/>
        <v>Qcorrecto</v>
      </c>
      <c r="AY137" s="22" t="str">
        <f t="shared" ref="AY137:AY200" si="817">IF(AR137&lt;$AH$6,"error",IF(AR137&gt;$AH$6*1.1,"error","aceptable"))</f>
        <v>aceptable</v>
      </c>
      <c r="AZ137" s="22" t="str">
        <f t="shared" ref="AZ137:AZ200" si="818">IF(AF137&lt;$V$6,"error",IF(AF137&gt;$V$6*1.1,"error","aceptable"))</f>
        <v>aceptable</v>
      </c>
      <c r="BA137" s="22" t="str">
        <f t="shared" si="415"/>
        <v>aceptable</v>
      </c>
      <c r="BB137" s="25" t="str">
        <f t="shared" si="416"/>
        <v>NO CONFORME</v>
      </c>
      <c r="BC137" s="5" t="str">
        <f t="shared" si="417"/>
        <v>NO CONFORME</v>
      </c>
      <c r="BD137" s="15">
        <f t="shared" ref="BD137:BD200" si="819">SIGN(U137)</f>
        <v>-1</v>
      </c>
      <c r="BE137" s="15">
        <f t="shared" ref="BE137:BE200" si="820">SIGN(AG137)</f>
        <v>-1</v>
      </c>
      <c r="BF137" s="15">
        <f t="shared" ref="BF137:BF200" si="821">SIGN(AS137)</f>
        <v>-1</v>
      </c>
      <c r="BG137" s="15" t="str">
        <f t="shared" ref="BG137:BG200" si="822">CONCATENATE(BD137,BE137,BF137)</f>
        <v>-1-1-1</v>
      </c>
      <c r="BH137" s="15" t="str">
        <f t="shared" ref="BH137:BH200" si="823">IF(BG137="111","SI","SD")</f>
        <v>SD</v>
      </c>
      <c r="BI137" s="15" t="str">
        <f t="shared" ref="BI137:BI200" si="824">IF(BG137="-1-1-1","SI","SD")</f>
        <v>SI</v>
      </c>
      <c r="BJ137" s="15" t="b">
        <f t="shared" ref="BJ137:BJ200" si="825">OR(BH137="SI",BI137="SI")</f>
        <v>1</v>
      </c>
      <c r="BK137" s="15" t="str">
        <f t="shared" ref="BK137:BK200" si="826">IF(BJ137=FALSE,"SIGDIFERENTES","SIGIGUALES")</f>
        <v>SIGIGUALES</v>
      </c>
      <c r="BL137" s="22" t="str">
        <f t="shared" ref="BL137:BL200" si="827">IF(BC137="NO CONFORME","NO CONFORME",IF(BB137="CONFORME","CONFORME","NO CONFORME"))</f>
        <v>NO CONFORME</v>
      </c>
    </row>
    <row r="138" spans="1:64" ht="15.75" thickBot="1" x14ac:dyDescent="0.3">
      <c r="A138" s="37">
        <v>130</v>
      </c>
      <c r="B138" s="93">
        <f t="shared" ref="B138:E138" si="828">B137</f>
        <v>45919</v>
      </c>
      <c r="C138" s="93">
        <f t="shared" si="828"/>
        <v>45919</v>
      </c>
      <c r="D138" s="94">
        <f t="shared" si="828"/>
        <v>6</v>
      </c>
      <c r="E138" s="95">
        <f t="shared" si="828"/>
        <v>15</v>
      </c>
      <c r="F138" s="52"/>
      <c r="G138" s="96"/>
      <c r="H138" s="97">
        <f t="shared" ref="H138:L138" si="829">H137</f>
        <v>25.6</v>
      </c>
      <c r="I138" s="98">
        <f t="shared" si="829"/>
        <v>0</v>
      </c>
      <c r="J138" s="99">
        <f t="shared" si="829"/>
        <v>20.9</v>
      </c>
      <c r="K138" s="99">
        <f t="shared" si="829"/>
        <v>7.883</v>
      </c>
      <c r="L138" s="99">
        <f t="shared" si="829"/>
        <v>0.55400000000000005</v>
      </c>
      <c r="M138" s="53"/>
      <c r="N138" s="53"/>
      <c r="O138" s="100">
        <f t="shared" ref="O138:P138" si="830">O137</f>
        <v>100.62</v>
      </c>
      <c r="P138" s="101" t="str">
        <f t="shared" si="830"/>
        <v>2,29,560</v>
      </c>
      <c r="Q138" s="11" t="str">
        <f t="shared" si="470"/>
        <v>2</v>
      </c>
      <c r="R138" s="11" t="str">
        <f t="shared" si="471"/>
        <v>29,560</v>
      </c>
      <c r="S138" s="11">
        <f t="shared" si="472"/>
        <v>4.1544444444444446E-2</v>
      </c>
      <c r="T138" s="14">
        <f t="shared" si="473"/>
        <v>2421.9844878309709</v>
      </c>
      <c r="U138" s="39">
        <f t="shared" si="474"/>
        <v>-100</v>
      </c>
      <c r="V138" s="105">
        <f t="shared" ref="V138:X153" si="831">V137</f>
        <v>20.399999999999999</v>
      </c>
      <c r="W138" s="105">
        <f t="shared" si="831"/>
        <v>1.5069999999999999</v>
      </c>
      <c r="X138" s="106">
        <f t="shared" si="831"/>
        <v>1.504</v>
      </c>
      <c r="Y138" s="53"/>
      <c r="Z138" s="53"/>
      <c r="AA138" s="107">
        <f t="shared" ref="AA138:AB138" si="832">AA137</f>
        <v>10.015000000000001</v>
      </c>
      <c r="AB138" s="108" t="str">
        <f t="shared" si="832"/>
        <v>22,10,090</v>
      </c>
      <c r="AC138" s="11" t="str">
        <f t="shared" si="477"/>
        <v>22</v>
      </c>
      <c r="AD138" s="11" t="str">
        <f t="shared" si="478"/>
        <v>10,090</v>
      </c>
      <c r="AE138" s="11">
        <f t="shared" si="479"/>
        <v>0.36946944444444441</v>
      </c>
      <c r="AF138" s="14">
        <f t="shared" si="480"/>
        <v>27.106436406558959</v>
      </c>
      <c r="AG138" s="41">
        <f t="shared" si="481"/>
        <v>-100</v>
      </c>
      <c r="AH138" s="105">
        <f t="shared" si="731"/>
        <v>20.3</v>
      </c>
      <c r="AI138" s="105">
        <f t="shared" si="731"/>
        <v>1.5089999999999999</v>
      </c>
      <c r="AJ138" s="105">
        <f t="shared" si="731"/>
        <v>1.504</v>
      </c>
      <c r="AK138" s="53">
        <f t="shared" si="482"/>
        <v>0</v>
      </c>
      <c r="AL138" s="53"/>
      <c r="AM138" s="54">
        <f t="shared" ref="AM138:AN138" si="833">AM137</f>
        <v>5.0129999999999999</v>
      </c>
      <c r="AN138" s="101" t="str">
        <f t="shared" si="833"/>
        <v>17,59,050</v>
      </c>
      <c r="AO138" s="11" t="str">
        <f t="shared" si="484"/>
        <v>17</v>
      </c>
      <c r="AP138" s="11" t="str">
        <f t="shared" si="485"/>
        <v>59,050</v>
      </c>
      <c r="AQ138" s="11">
        <f t="shared" si="486"/>
        <v>0.29973611111111109</v>
      </c>
      <c r="AR138" s="14">
        <f t="shared" si="487"/>
        <v>16.724711551827998</v>
      </c>
      <c r="AS138" s="41">
        <f t="shared" si="488"/>
        <v>-100</v>
      </c>
      <c r="AT138" s="43" t="str">
        <f t="shared" si="489"/>
        <v>NO CONFORME</v>
      </c>
      <c r="AU138" s="8" t="b">
        <f t="shared" ref="AU138:AU201" si="834">B138=C138</f>
        <v>1</v>
      </c>
      <c r="AV138" s="8" t="b">
        <f t="shared" ref="AV138:AV201" si="835">N138&lt;Y138</f>
        <v>0</v>
      </c>
      <c r="AW138" s="8" t="b">
        <f t="shared" ref="AW138:AW201" si="836">Z138&lt;=AK138</f>
        <v>1</v>
      </c>
      <c r="AX138" s="8" t="str">
        <f t="shared" ref="AX138:AX201" si="837">IF(I138&gt;=1,"Qcorrecto",IF(AND(AY138="aceptable",AZ138="aceptable",BA138="aceptable"),"Qcorrecto","Qincorrecto"))</f>
        <v>Qcorrecto</v>
      </c>
      <c r="AY138" s="22" t="str">
        <f t="shared" si="817"/>
        <v>aceptable</v>
      </c>
      <c r="AZ138" s="22" t="str">
        <f t="shared" si="818"/>
        <v>aceptable</v>
      </c>
      <c r="BA138" s="22" t="str">
        <f t="shared" ref="BA138:BA201" si="838">IF(T138&lt;$J$6*0.9,"error",IF(T138&gt;$J$6,"error","aceptable"))</f>
        <v>aceptable</v>
      </c>
      <c r="BB138" s="25" t="str">
        <f t="shared" ref="BB138:BB201" si="839">(IF(ABS(U138)&lt;1.05,"CONFORME",IF(ABS(AG138)&lt;1.05,"CONFORME",IF(ABS(AS138)&lt;2.55,"CONFORME","NO CONFORME"))))</f>
        <v>NO CONFORME</v>
      </c>
      <c r="BC138" s="5" t="str">
        <f t="shared" ref="BC138:BC201" si="840">(IF(ABS(U138)&gt;2.05,"NO CONFORME",IF(ABS(AG138)&gt;2.05,"NO CONFORME",IF(ABS(AS138)&gt;5.05,"NO CONFORME","CONFORME"))))</f>
        <v>NO CONFORME</v>
      </c>
      <c r="BD138" s="15">
        <f t="shared" si="819"/>
        <v>-1</v>
      </c>
      <c r="BE138" s="15">
        <f t="shared" si="820"/>
        <v>-1</v>
      </c>
      <c r="BF138" s="15">
        <f t="shared" si="821"/>
        <v>-1</v>
      </c>
      <c r="BG138" s="15" t="str">
        <f t="shared" si="822"/>
        <v>-1-1-1</v>
      </c>
      <c r="BH138" s="15" t="str">
        <f t="shared" si="823"/>
        <v>SD</v>
      </c>
      <c r="BI138" s="15" t="str">
        <f t="shared" si="824"/>
        <v>SI</v>
      </c>
      <c r="BJ138" s="15" t="b">
        <f t="shared" si="825"/>
        <v>1</v>
      </c>
      <c r="BK138" s="15" t="str">
        <f t="shared" si="826"/>
        <v>SIGIGUALES</v>
      </c>
      <c r="BL138" s="22" t="str">
        <f t="shared" si="827"/>
        <v>NO CONFORME</v>
      </c>
    </row>
    <row r="139" spans="1:64" ht="15.75" thickBot="1" x14ac:dyDescent="0.3">
      <c r="A139" s="37">
        <v>131</v>
      </c>
      <c r="B139" s="93">
        <f t="shared" ref="B139:E139" si="841">B138</f>
        <v>45919</v>
      </c>
      <c r="C139" s="93">
        <f t="shared" si="841"/>
        <v>45919</v>
      </c>
      <c r="D139" s="94">
        <f t="shared" si="841"/>
        <v>6</v>
      </c>
      <c r="E139" s="95">
        <f t="shared" si="841"/>
        <v>15</v>
      </c>
      <c r="F139" s="52"/>
      <c r="G139" s="96"/>
      <c r="H139" s="97">
        <f t="shared" ref="H139:L139" si="842">H138</f>
        <v>25.6</v>
      </c>
      <c r="I139" s="98">
        <f t="shared" si="842"/>
        <v>0</v>
      </c>
      <c r="J139" s="99">
        <f t="shared" si="842"/>
        <v>20.9</v>
      </c>
      <c r="K139" s="99">
        <f t="shared" si="842"/>
        <v>7.883</v>
      </c>
      <c r="L139" s="99">
        <f t="shared" si="842"/>
        <v>0.55400000000000005</v>
      </c>
      <c r="M139" s="53"/>
      <c r="N139" s="53"/>
      <c r="O139" s="100">
        <f t="shared" ref="O139:P139" si="843">O138</f>
        <v>100.62</v>
      </c>
      <c r="P139" s="101" t="str">
        <f t="shared" si="843"/>
        <v>2,29,560</v>
      </c>
      <c r="Q139" s="11" t="str">
        <f t="shared" si="470"/>
        <v>2</v>
      </c>
      <c r="R139" s="11" t="str">
        <f t="shared" si="471"/>
        <v>29,560</v>
      </c>
      <c r="S139" s="11">
        <f t="shared" si="472"/>
        <v>4.1544444444444446E-2</v>
      </c>
      <c r="T139" s="14">
        <f t="shared" si="473"/>
        <v>2421.9844878309709</v>
      </c>
      <c r="U139" s="39">
        <f t="shared" si="474"/>
        <v>-100</v>
      </c>
      <c r="V139" s="105">
        <f t="shared" ref="V139:W139" si="844">V138</f>
        <v>20.399999999999999</v>
      </c>
      <c r="W139" s="105">
        <f t="shared" si="844"/>
        <v>1.5069999999999999</v>
      </c>
      <c r="X139" s="106">
        <f t="shared" si="831"/>
        <v>1.504</v>
      </c>
      <c r="Y139" s="53"/>
      <c r="Z139" s="53"/>
      <c r="AA139" s="107">
        <f t="shared" ref="AA139:AB139" si="845">AA138</f>
        <v>10.015000000000001</v>
      </c>
      <c r="AB139" s="108" t="str">
        <f t="shared" si="845"/>
        <v>22,10,090</v>
      </c>
      <c r="AC139" s="11" t="str">
        <f t="shared" si="477"/>
        <v>22</v>
      </c>
      <c r="AD139" s="11" t="str">
        <f t="shared" si="478"/>
        <v>10,090</v>
      </c>
      <c r="AE139" s="11">
        <f t="shared" si="479"/>
        <v>0.36946944444444441</v>
      </c>
      <c r="AF139" s="14">
        <f t="shared" si="480"/>
        <v>27.106436406558959</v>
      </c>
      <c r="AG139" s="41">
        <f t="shared" si="481"/>
        <v>-100</v>
      </c>
      <c r="AH139" s="105">
        <f t="shared" ref="AH139:AJ154" si="846">AH138</f>
        <v>20.3</v>
      </c>
      <c r="AI139" s="105">
        <f t="shared" si="846"/>
        <v>1.5089999999999999</v>
      </c>
      <c r="AJ139" s="105">
        <f t="shared" si="846"/>
        <v>1.504</v>
      </c>
      <c r="AK139" s="53">
        <f t="shared" si="482"/>
        <v>0</v>
      </c>
      <c r="AL139" s="53"/>
      <c r="AM139" s="54">
        <f t="shared" ref="AM139:AN139" si="847">AM138</f>
        <v>5.0129999999999999</v>
      </c>
      <c r="AN139" s="101" t="str">
        <f t="shared" si="847"/>
        <v>17,59,050</v>
      </c>
      <c r="AO139" s="11" t="str">
        <f t="shared" si="484"/>
        <v>17</v>
      </c>
      <c r="AP139" s="11" t="str">
        <f t="shared" si="485"/>
        <v>59,050</v>
      </c>
      <c r="AQ139" s="11">
        <f t="shared" si="486"/>
        <v>0.29973611111111109</v>
      </c>
      <c r="AR139" s="14">
        <f t="shared" si="487"/>
        <v>16.724711551827998</v>
      </c>
      <c r="AS139" s="41">
        <f t="shared" si="488"/>
        <v>-100</v>
      </c>
      <c r="AT139" s="43" t="str">
        <f t="shared" si="489"/>
        <v>NO CONFORME</v>
      </c>
      <c r="AU139" s="8" t="b">
        <f t="shared" si="834"/>
        <v>1</v>
      </c>
      <c r="AV139" s="8" t="b">
        <f t="shared" si="835"/>
        <v>0</v>
      </c>
      <c r="AW139" s="8" t="b">
        <f t="shared" si="836"/>
        <v>1</v>
      </c>
      <c r="AX139" s="8" t="str">
        <f t="shared" si="837"/>
        <v>Qcorrecto</v>
      </c>
      <c r="AY139" s="22" t="str">
        <f t="shared" si="817"/>
        <v>aceptable</v>
      </c>
      <c r="AZ139" s="22" t="str">
        <f t="shared" si="818"/>
        <v>aceptable</v>
      </c>
      <c r="BA139" s="22" t="str">
        <f t="shared" si="838"/>
        <v>aceptable</v>
      </c>
      <c r="BB139" s="25" t="str">
        <f t="shared" si="839"/>
        <v>NO CONFORME</v>
      </c>
      <c r="BC139" s="5" t="str">
        <f t="shared" si="840"/>
        <v>NO CONFORME</v>
      </c>
      <c r="BD139" s="15">
        <f t="shared" si="819"/>
        <v>-1</v>
      </c>
      <c r="BE139" s="15">
        <f t="shared" si="820"/>
        <v>-1</v>
      </c>
      <c r="BF139" s="15">
        <f t="shared" si="821"/>
        <v>-1</v>
      </c>
      <c r="BG139" s="15" t="str">
        <f t="shared" si="822"/>
        <v>-1-1-1</v>
      </c>
      <c r="BH139" s="15" t="str">
        <f t="shared" si="823"/>
        <v>SD</v>
      </c>
      <c r="BI139" s="15" t="str">
        <f t="shared" si="824"/>
        <v>SI</v>
      </c>
      <c r="BJ139" s="15" t="b">
        <f t="shared" si="825"/>
        <v>1</v>
      </c>
      <c r="BK139" s="15" t="str">
        <f t="shared" si="826"/>
        <v>SIGIGUALES</v>
      </c>
      <c r="BL139" s="22" t="str">
        <f t="shared" si="827"/>
        <v>NO CONFORME</v>
      </c>
    </row>
    <row r="140" spans="1:64" ht="15.75" thickBot="1" x14ac:dyDescent="0.3">
      <c r="A140" s="37">
        <v>132</v>
      </c>
      <c r="B140" s="93">
        <f t="shared" ref="B140:E140" si="848">B139</f>
        <v>45919</v>
      </c>
      <c r="C140" s="93">
        <f t="shared" si="848"/>
        <v>45919</v>
      </c>
      <c r="D140" s="94">
        <f t="shared" si="848"/>
        <v>6</v>
      </c>
      <c r="E140" s="95">
        <f t="shared" si="848"/>
        <v>15</v>
      </c>
      <c r="F140" s="52"/>
      <c r="G140" s="96"/>
      <c r="H140" s="97">
        <f t="shared" ref="H140:L140" si="849">H139</f>
        <v>25.6</v>
      </c>
      <c r="I140" s="98">
        <f t="shared" si="849"/>
        <v>0</v>
      </c>
      <c r="J140" s="99">
        <f t="shared" si="849"/>
        <v>20.9</v>
      </c>
      <c r="K140" s="99">
        <f t="shared" si="849"/>
        <v>7.883</v>
      </c>
      <c r="L140" s="99">
        <f t="shared" si="849"/>
        <v>0.55400000000000005</v>
      </c>
      <c r="M140" s="53"/>
      <c r="N140" s="53"/>
      <c r="O140" s="100">
        <f t="shared" ref="O140:P140" si="850">O139</f>
        <v>100.62</v>
      </c>
      <c r="P140" s="101" t="str">
        <f t="shared" si="850"/>
        <v>2,29,560</v>
      </c>
      <c r="Q140" s="11" t="str">
        <f t="shared" si="470"/>
        <v>2</v>
      </c>
      <c r="R140" s="11" t="str">
        <f t="shared" si="471"/>
        <v>29,560</v>
      </c>
      <c r="S140" s="11">
        <f t="shared" si="472"/>
        <v>4.1544444444444446E-2</v>
      </c>
      <c r="T140" s="14">
        <f t="shared" si="473"/>
        <v>2421.9844878309709</v>
      </c>
      <c r="U140" s="39">
        <f t="shared" si="474"/>
        <v>-100</v>
      </c>
      <c r="V140" s="105">
        <f t="shared" ref="V140:W140" si="851">V139</f>
        <v>20.399999999999999</v>
      </c>
      <c r="W140" s="105">
        <f t="shared" si="851"/>
        <v>1.5069999999999999</v>
      </c>
      <c r="X140" s="106">
        <f t="shared" si="831"/>
        <v>1.504</v>
      </c>
      <c r="Y140" s="53"/>
      <c r="Z140" s="53"/>
      <c r="AA140" s="107">
        <f t="shared" ref="AA140:AB140" si="852">AA139</f>
        <v>10.015000000000001</v>
      </c>
      <c r="AB140" s="108" t="str">
        <f t="shared" si="852"/>
        <v>22,10,090</v>
      </c>
      <c r="AC140" s="11" t="str">
        <f t="shared" si="477"/>
        <v>22</v>
      </c>
      <c r="AD140" s="11" t="str">
        <f t="shared" si="478"/>
        <v>10,090</v>
      </c>
      <c r="AE140" s="11">
        <f t="shared" si="479"/>
        <v>0.36946944444444441</v>
      </c>
      <c r="AF140" s="14">
        <f t="shared" si="480"/>
        <v>27.106436406558959</v>
      </c>
      <c r="AG140" s="41">
        <f t="shared" si="481"/>
        <v>-100</v>
      </c>
      <c r="AH140" s="105">
        <f t="shared" si="846"/>
        <v>20.3</v>
      </c>
      <c r="AI140" s="105">
        <f t="shared" si="846"/>
        <v>1.5089999999999999</v>
      </c>
      <c r="AJ140" s="105">
        <f t="shared" si="846"/>
        <v>1.504</v>
      </c>
      <c r="AK140" s="53">
        <f t="shared" si="482"/>
        <v>0</v>
      </c>
      <c r="AL140" s="53"/>
      <c r="AM140" s="54">
        <f t="shared" ref="AM140:AN140" si="853">AM139</f>
        <v>5.0129999999999999</v>
      </c>
      <c r="AN140" s="101" t="str">
        <f t="shared" si="853"/>
        <v>17,59,050</v>
      </c>
      <c r="AO140" s="11" t="str">
        <f t="shared" si="484"/>
        <v>17</v>
      </c>
      <c r="AP140" s="11" t="str">
        <f t="shared" si="485"/>
        <v>59,050</v>
      </c>
      <c r="AQ140" s="11">
        <f t="shared" si="486"/>
        <v>0.29973611111111109</v>
      </c>
      <c r="AR140" s="14">
        <f t="shared" si="487"/>
        <v>16.724711551827998</v>
      </c>
      <c r="AS140" s="41">
        <f t="shared" si="488"/>
        <v>-100</v>
      </c>
      <c r="AT140" s="43" t="str">
        <f t="shared" si="489"/>
        <v>NO CONFORME</v>
      </c>
      <c r="AU140" s="8" t="b">
        <f t="shared" si="834"/>
        <v>1</v>
      </c>
      <c r="AV140" s="8" t="b">
        <f t="shared" si="835"/>
        <v>0</v>
      </c>
      <c r="AW140" s="8" t="b">
        <f t="shared" si="836"/>
        <v>1</v>
      </c>
      <c r="AX140" s="8" t="str">
        <f t="shared" si="837"/>
        <v>Qcorrecto</v>
      </c>
      <c r="AY140" s="22" t="str">
        <f t="shared" si="817"/>
        <v>aceptable</v>
      </c>
      <c r="AZ140" s="22" t="str">
        <f t="shared" si="818"/>
        <v>aceptable</v>
      </c>
      <c r="BA140" s="22" t="str">
        <f t="shared" si="838"/>
        <v>aceptable</v>
      </c>
      <c r="BB140" s="25" t="str">
        <f t="shared" si="839"/>
        <v>NO CONFORME</v>
      </c>
      <c r="BC140" s="5" t="str">
        <f t="shared" si="840"/>
        <v>NO CONFORME</v>
      </c>
      <c r="BD140" s="15">
        <f t="shared" si="819"/>
        <v>-1</v>
      </c>
      <c r="BE140" s="15">
        <f t="shared" si="820"/>
        <v>-1</v>
      </c>
      <c r="BF140" s="15">
        <f t="shared" si="821"/>
        <v>-1</v>
      </c>
      <c r="BG140" s="15" t="str">
        <f t="shared" si="822"/>
        <v>-1-1-1</v>
      </c>
      <c r="BH140" s="15" t="str">
        <f t="shared" si="823"/>
        <v>SD</v>
      </c>
      <c r="BI140" s="15" t="str">
        <f t="shared" si="824"/>
        <v>SI</v>
      </c>
      <c r="BJ140" s="15" t="b">
        <f t="shared" si="825"/>
        <v>1</v>
      </c>
      <c r="BK140" s="15" t="str">
        <f t="shared" si="826"/>
        <v>SIGIGUALES</v>
      </c>
      <c r="BL140" s="22" t="str">
        <f t="shared" si="827"/>
        <v>NO CONFORME</v>
      </c>
    </row>
    <row r="141" spans="1:64" ht="15.75" thickBot="1" x14ac:dyDescent="0.3">
      <c r="A141" s="37">
        <v>133</v>
      </c>
      <c r="B141" s="93">
        <f t="shared" ref="B141:E141" si="854">B140</f>
        <v>45919</v>
      </c>
      <c r="C141" s="93">
        <f t="shared" si="854"/>
        <v>45919</v>
      </c>
      <c r="D141" s="94">
        <f t="shared" si="854"/>
        <v>6</v>
      </c>
      <c r="E141" s="95">
        <f t="shared" si="854"/>
        <v>15</v>
      </c>
      <c r="F141" s="52"/>
      <c r="G141" s="96"/>
      <c r="H141" s="97">
        <f t="shared" ref="H141:L141" si="855">H140</f>
        <v>25.6</v>
      </c>
      <c r="I141" s="98">
        <f t="shared" si="855"/>
        <v>0</v>
      </c>
      <c r="J141" s="99">
        <f t="shared" si="855"/>
        <v>20.9</v>
      </c>
      <c r="K141" s="99">
        <f t="shared" si="855"/>
        <v>7.883</v>
      </c>
      <c r="L141" s="99">
        <f t="shared" si="855"/>
        <v>0.55400000000000005</v>
      </c>
      <c r="M141" s="53"/>
      <c r="N141" s="53"/>
      <c r="O141" s="100">
        <f t="shared" ref="O141:P141" si="856">O140</f>
        <v>100.62</v>
      </c>
      <c r="P141" s="101" t="str">
        <f t="shared" si="856"/>
        <v>2,29,560</v>
      </c>
      <c r="Q141" s="11" t="str">
        <f t="shared" si="470"/>
        <v>2</v>
      </c>
      <c r="R141" s="11" t="str">
        <f t="shared" si="471"/>
        <v>29,560</v>
      </c>
      <c r="S141" s="11">
        <f t="shared" si="472"/>
        <v>4.1544444444444446E-2</v>
      </c>
      <c r="T141" s="14">
        <f t="shared" si="473"/>
        <v>2421.9844878309709</v>
      </c>
      <c r="U141" s="39">
        <f t="shared" si="474"/>
        <v>-100</v>
      </c>
      <c r="V141" s="105">
        <f t="shared" ref="V141:W141" si="857">V140</f>
        <v>20.399999999999999</v>
      </c>
      <c r="W141" s="105">
        <f t="shared" si="857"/>
        <v>1.5069999999999999</v>
      </c>
      <c r="X141" s="106">
        <f t="shared" si="831"/>
        <v>1.504</v>
      </c>
      <c r="Y141" s="53"/>
      <c r="Z141" s="53"/>
      <c r="AA141" s="107">
        <f t="shared" ref="AA141:AB141" si="858">AA140</f>
        <v>10.015000000000001</v>
      </c>
      <c r="AB141" s="108" t="str">
        <f t="shared" si="858"/>
        <v>22,10,090</v>
      </c>
      <c r="AC141" s="11" t="str">
        <f t="shared" si="477"/>
        <v>22</v>
      </c>
      <c r="AD141" s="11" t="str">
        <f t="shared" si="478"/>
        <v>10,090</v>
      </c>
      <c r="AE141" s="11">
        <f t="shared" si="479"/>
        <v>0.36946944444444441</v>
      </c>
      <c r="AF141" s="14">
        <f t="shared" si="480"/>
        <v>27.106436406558959</v>
      </c>
      <c r="AG141" s="41">
        <f t="shared" si="481"/>
        <v>-100</v>
      </c>
      <c r="AH141" s="105">
        <f t="shared" si="846"/>
        <v>20.3</v>
      </c>
      <c r="AI141" s="105">
        <f t="shared" si="846"/>
        <v>1.5089999999999999</v>
      </c>
      <c r="AJ141" s="105">
        <f t="shared" si="846"/>
        <v>1.504</v>
      </c>
      <c r="AK141" s="53">
        <f t="shared" si="482"/>
        <v>0</v>
      </c>
      <c r="AL141" s="53"/>
      <c r="AM141" s="54">
        <f t="shared" ref="AM141:AN141" si="859">AM140</f>
        <v>5.0129999999999999</v>
      </c>
      <c r="AN141" s="101" t="str">
        <f t="shared" si="859"/>
        <v>17,59,050</v>
      </c>
      <c r="AO141" s="11" t="str">
        <f t="shared" si="484"/>
        <v>17</v>
      </c>
      <c r="AP141" s="11" t="str">
        <f t="shared" si="485"/>
        <v>59,050</v>
      </c>
      <c r="AQ141" s="11">
        <f t="shared" si="486"/>
        <v>0.29973611111111109</v>
      </c>
      <c r="AR141" s="14">
        <f t="shared" si="487"/>
        <v>16.724711551827998</v>
      </c>
      <c r="AS141" s="41">
        <f t="shared" si="488"/>
        <v>-100</v>
      </c>
      <c r="AT141" s="43" t="str">
        <f t="shared" si="489"/>
        <v>NO CONFORME</v>
      </c>
      <c r="AU141" s="8" t="b">
        <f t="shared" si="834"/>
        <v>1</v>
      </c>
      <c r="AV141" s="8" t="b">
        <f t="shared" si="835"/>
        <v>0</v>
      </c>
      <c r="AW141" s="8" t="b">
        <f t="shared" si="836"/>
        <v>1</v>
      </c>
      <c r="AX141" s="8" t="str">
        <f t="shared" si="837"/>
        <v>Qcorrecto</v>
      </c>
      <c r="AY141" s="22" t="str">
        <f t="shared" si="817"/>
        <v>aceptable</v>
      </c>
      <c r="AZ141" s="22" t="str">
        <f t="shared" si="818"/>
        <v>aceptable</v>
      </c>
      <c r="BA141" s="22" t="str">
        <f t="shared" si="838"/>
        <v>aceptable</v>
      </c>
      <c r="BB141" s="25" t="str">
        <f t="shared" si="839"/>
        <v>NO CONFORME</v>
      </c>
      <c r="BC141" s="5" t="str">
        <f t="shared" si="840"/>
        <v>NO CONFORME</v>
      </c>
      <c r="BD141" s="15">
        <f t="shared" si="819"/>
        <v>-1</v>
      </c>
      <c r="BE141" s="15">
        <f t="shared" si="820"/>
        <v>-1</v>
      </c>
      <c r="BF141" s="15">
        <f t="shared" si="821"/>
        <v>-1</v>
      </c>
      <c r="BG141" s="15" t="str">
        <f t="shared" si="822"/>
        <v>-1-1-1</v>
      </c>
      <c r="BH141" s="15" t="str">
        <f t="shared" si="823"/>
        <v>SD</v>
      </c>
      <c r="BI141" s="15" t="str">
        <f t="shared" si="824"/>
        <v>SI</v>
      </c>
      <c r="BJ141" s="15" t="b">
        <f t="shared" si="825"/>
        <v>1</v>
      </c>
      <c r="BK141" s="15" t="str">
        <f t="shared" si="826"/>
        <v>SIGIGUALES</v>
      </c>
      <c r="BL141" s="22" t="str">
        <f t="shared" si="827"/>
        <v>NO CONFORME</v>
      </c>
    </row>
    <row r="142" spans="1:64" ht="15.75" thickBot="1" x14ac:dyDescent="0.3">
      <c r="A142" s="37">
        <v>134</v>
      </c>
      <c r="B142" s="93">
        <f t="shared" ref="B142:E142" si="860">B141</f>
        <v>45919</v>
      </c>
      <c r="C142" s="93">
        <f t="shared" si="860"/>
        <v>45919</v>
      </c>
      <c r="D142" s="94">
        <f t="shared" si="860"/>
        <v>6</v>
      </c>
      <c r="E142" s="95">
        <f t="shared" si="860"/>
        <v>15</v>
      </c>
      <c r="F142" s="52"/>
      <c r="G142" s="96"/>
      <c r="H142" s="97">
        <f t="shared" ref="H142:L142" si="861">H141</f>
        <v>25.6</v>
      </c>
      <c r="I142" s="98">
        <f t="shared" si="861"/>
        <v>0</v>
      </c>
      <c r="J142" s="99">
        <f t="shared" si="861"/>
        <v>20.9</v>
      </c>
      <c r="K142" s="99">
        <f t="shared" si="861"/>
        <v>7.883</v>
      </c>
      <c r="L142" s="99">
        <f t="shared" si="861"/>
        <v>0.55400000000000005</v>
      </c>
      <c r="M142" s="53"/>
      <c r="N142" s="53"/>
      <c r="O142" s="100">
        <f t="shared" ref="O142:P142" si="862">O141</f>
        <v>100.62</v>
      </c>
      <c r="P142" s="101" t="str">
        <f t="shared" si="862"/>
        <v>2,29,560</v>
      </c>
      <c r="Q142" s="11" t="str">
        <f t="shared" si="470"/>
        <v>2</v>
      </c>
      <c r="R142" s="11" t="str">
        <f t="shared" si="471"/>
        <v>29,560</v>
      </c>
      <c r="S142" s="11">
        <f t="shared" si="472"/>
        <v>4.1544444444444446E-2</v>
      </c>
      <c r="T142" s="14">
        <f t="shared" si="473"/>
        <v>2421.9844878309709</v>
      </c>
      <c r="U142" s="39">
        <f t="shared" si="474"/>
        <v>-100</v>
      </c>
      <c r="V142" s="105">
        <f t="shared" ref="V142:W142" si="863">V141</f>
        <v>20.399999999999999</v>
      </c>
      <c r="W142" s="105">
        <f t="shared" si="863"/>
        <v>1.5069999999999999</v>
      </c>
      <c r="X142" s="106">
        <f t="shared" si="831"/>
        <v>1.504</v>
      </c>
      <c r="Y142" s="53"/>
      <c r="Z142" s="53"/>
      <c r="AA142" s="107">
        <f t="shared" ref="AA142:AB142" si="864">AA141</f>
        <v>10.015000000000001</v>
      </c>
      <c r="AB142" s="108" t="str">
        <f t="shared" si="864"/>
        <v>22,10,090</v>
      </c>
      <c r="AC142" s="11" t="str">
        <f t="shared" si="477"/>
        <v>22</v>
      </c>
      <c r="AD142" s="11" t="str">
        <f t="shared" si="478"/>
        <v>10,090</v>
      </c>
      <c r="AE142" s="11">
        <f t="shared" si="479"/>
        <v>0.36946944444444441</v>
      </c>
      <c r="AF142" s="14">
        <f t="shared" si="480"/>
        <v>27.106436406558959</v>
      </c>
      <c r="AG142" s="41">
        <f t="shared" si="481"/>
        <v>-100</v>
      </c>
      <c r="AH142" s="105">
        <f t="shared" si="846"/>
        <v>20.3</v>
      </c>
      <c r="AI142" s="105">
        <f t="shared" si="846"/>
        <v>1.5089999999999999</v>
      </c>
      <c r="AJ142" s="105">
        <f t="shared" si="846"/>
        <v>1.504</v>
      </c>
      <c r="AK142" s="53">
        <f t="shared" si="482"/>
        <v>0</v>
      </c>
      <c r="AL142" s="53"/>
      <c r="AM142" s="54">
        <f t="shared" ref="AM142:AN142" si="865">AM141</f>
        <v>5.0129999999999999</v>
      </c>
      <c r="AN142" s="101" t="str">
        <f t="shared" si="865"/>
        <v>17,59,050</v>
      </c>
      <c r="AO142" s="11" t="str">
        <f t="shared" si="484"/>
        <v>17</v>
      </c>
      <c r="AP142" s="11" t="str">
        <f t="shared" si="485"/>
        <v>59,050</v>
      </c>
      <c r="AQ142" s="11">
        <f t="shared" si="486"/>
        <v>0.29973611111111109</v>
      </c>
      <c r="AR142" s="14">
        <f t="shared" si="487"/>
        <v>16.724711551827998</v>
      </c>
      <c r="AS142" s="41">
        <f t="shared" si="488"/>
        <v>-100</v>
      </c>
      <c r="AT142" s="43" t="str">
        <f t="shared" si="489"/>
        <v>NO CONFORME</v>
      </c>
      <c r="AU142" s="8" t="b">
        <f t="shared" si="834"/>
        <v>1</v>
      </c>
      <c r="AV142" s="8" t="b">
        <f t="shared" si="835"/>
        <v>0</v>
      </c>
      <c r="AW142" s="8" t="b">
        <f t="shared" si="836"/>
        <v>1</v>
      </c>
      <c r="AX142" s="8" t="str">
        <f t="shared" si="837"/>
        <v>Qcorrecto</v>
      </c>
      <c r="AY142" s="22" t="str">
        <f t="shared" si="817"/>
        <v>aceptable</v>
      </c>
      <c r="AZ142" s="22" t="str">
        <f t="shared" si="818"/>
        <v>aceptable</v>
      </c>
      <c r="BA142" s="22" t="str">
        <f t="shared" si="838"/>
        <v>aceptable</v>
      </c>
      <c r="BB142" s="25" t="str">
        <f t="shared" si="839"/>
        <v>NO CONFORME</v>
      </c>
      <c r="BC142" s="5" t="str">
        <f t="shared" si="840"/>
        <v>NO CONFORME</v>
      </c>
      <c r="BD142" s="15">
        <f t="shared" si="819"/>
        <v>-1</v>
      </c>
      <c r="BE142" s="15">
        <f t="shared" si="820"/>
        <v>-1</v>
      </c>
      <c r="BF142" s="15">
        <f t="shared" si="821"/>
        <v>-1</v>
      </c>
      <c r="BG142" s="15" t="str">
        <f t="shared" si="822"/>
        <v>-1-1-1</v>
      </c>
      <c r="BH142" s="15" t="str">
        <f t="shared" si="823"/>
        <v>SD</v>
      </c>
      <c r="BI142" s="15" t="str">
        <f t="shared" si="824"/>
        <v>SI</v>
      </c>
      <c r="BJ142" s="15" t="b">
        <f t="shared" si="825"/>
        <v>1</v>
      </c>
      <c r="BK142" s="15" t="str">
        <f t="shared" si="826"/>
        <v>SIGIGUALES</v>
      </c>
      <c r="BL142" s="22" t="str">
        <f t="shared" si="827"/>
        <v>NO CONFORME</v>
      </c>
    </row>
    <row r="143" spans="1:64" ht="15.75" thickBot="1" x14ac:dyDescent="0.3">
      <c r="A143" s="37">
        <v>135</v>
      </c>
      <c r="B143" s="93">
        <f t="shared" ref="B143:E143" si="866">B142</f>
        <v>45919</v>
      </c>
      <c r="C143" s="93">
        <f t="shared" si="866"/>
        <v>45919</v>
      </c>
      <c r="D143" s="94">
        <f t="shared" si="866"/>
        <v>6</v>
      </c>
      <c r="E143" s="95">
        <f t="shared" si="866"/>
        <v>15</v>
      </c>
      <c r="F143" s="52"/>
      <c r="G143" s="96"/>
      <c r="H143" s="97">
        <f t="shared" ref="H143:L143" si="867">H142</f>
        <v>25.6</v>
      </c>
      <c r="I143" s="98">
        <f t="shared" si="867"/>
        <v>0</v>
      </c>
      <c r="J143" s="99">
        <f t="shared" si="867"/>
        <v>20.9</v>
      </c>
      <c r="K143" s="99">
        <f t="shared" si="867"/>
        <v>7.883</v>
      </c>
      <c r="L143" s="99">
        <f t="shared" si="867"/>
        <v>0.55400000000000005</v>
      </c>
      <c r="M143" s="53"/>
      <c r="N143" s="53"/>
      <c r="O143" s="100">
        <f t="shared" ref="O143:P143" si="868">O142</f>
        <v>100.62</v>
      </c>
      <c r="P143" s="101" t="str">
        <f t="shared" si="868"/>
        <v>2,29,560</v>
      </c>
      <c r="Q143" s="11" t="str">
        <f t="shared" si="470"/>
        <v>2</v>
      </c>
      <c r="R143" s="11" t="str">
        <f t="shared" si="471"/>
        <v>29,560</v>
      </c>
      <c r="S143" s="11">
        <f t="shared" si="472"/>
        <v>4.1544444444444446E-2</v>
      </c>
      <c r="T143" s="14">
        <f t="shared" si="473"/>
        <v>2421.9844878309709</v>
      </c>
      <c r="U143" s="39">
        <f t="shared" si="474"/>
        <v>-100</v>
      </c>
      <c r="V143" s="105">
        <f t="shared" ref="V143:W143" si="869">V142</f>
        <v>20.399999999999999</v>
      </c>
      <c r="W143" s="105">
        <f t="shared" si="869"/>
        <v>1.5069999999999999</v>
      </c>
      <c r="X143" s="106">
        <f t="shared" si="831"/>
        <v>1.504</v>
      </c>
      <c r="Y143" s="53"/>
      <c r="Z143" s="53"/>
      <c r="AA143" s="107">
        <f t="shared" ref="AA143:AB143" si="870">AA142</f>
        <v>10.015000000000001</v>
      </c>
      <c r="AB143" s="108" t="str">
        <f t="shared" si="870"/>
        <v>22,10,090</v>
      </c>
      <c r="AC143" s="11" t="str">
        <f t="shared" si="477"/>
        <v>22</v>
      </c>
      <c r="AD143" s="11" t="str">
        <f t="shared" si="478"/>
        <v>10,090</v>
      </c>
      <c r="AE143" s="11">
        <f t="shared" si="479"/>
        <v>0.36946944444444441</v>
      </c>
      <c r="AF143" s="14">
        <f t="shared" si="480"/>
        <v>27.106436406558959</v>
      </c>
      <c r="AG143" s="41">
        <f t="shared" si="481"/>
        <v>-100</v>
      </c>
      <c r="AH143" s="105">
        <f t="shared" si="846"/>
        <v>20.3</v>
      </c>
      <c r="AI143" s="105">
        <f t="shared" si="846"/>
        <v>1.5089999999999999</v>
      </c>
      <c r="AJ143" s="105">
        <f t="shared" si="846"/>
        <v>1.504</v>
      </c>
      <c r="AK143" s="53">
        <f t="shared" si="482"/>
        <v>0</v>
      </c>
      <c r="AL143" s="53"/>
      <c r="AM143" s="54">
        <f t="shared" ref="AM143:AN143" si="871">AM142</f>
        <v>5.0129999999999999</v>
      </c>
      <c r="AN143" s="101" t="str">
        <f t="shared" si="871"/>
        <v>17,59,050</v>
      </c>
      <c r="AO143" s="11" t="str">
        <f t="shared" si="484"/>
        <v>17</v>
      </c>
      <c r="AP143" s="11" t="str">
        <f t="shared" si="485"/>
        <v>59,050</v>
      </c>
      <c r="AQ143" s="11">
        <f t="shared" si="486"/>
        <v>0.29973611111111109</v>
      </c>
      <c r="AR143" s="14">
        <f t="shared" si="487"/>
        <v>16.724711551827998</v>
      </c>
      <c r="AS143" s="41">
        <f t="shared" si="488"/>
        <v>-100</v>
      </c>
      <c r="AT143" s="43" t="str">
        <f t="shared" si="489"/>
        <v>NO CONFORME</v>
      </c>
      <c r="AU143" s="8" t="b">
        <f t="shared" si="834"/>
        <v>1</v>
      </c>
      <c r="AV143" s="8" t="b">
        <f t="shared" si="835"/>
        <v>0</v>
      </c>
      <c r="AW143" s="8" t="b">
        <f t="shared" si="836"/>
        <v>1</v>
      </c>
      <c r="AX143" s="8" t="str">
        <f t="shared" si="837"/>
        <v>Qcorrecto</v>
      </c>
      <c r="AY143" s="22" t="str">
        <f t="shared" si="817"/>
        <v>aceptable</v>
      </c>
      <c r="AZ143" s="22" t="str">
        <f t="shared" si="818"/>
        <v>aceptable</v>
      </c>
      <c r="BA143" s="22" t="str">
        <f t="shared" si="838"/>
        <v>aceptable</v>
      </c>
      <c r="BB143" s="25" t="str">
        <f t="shared" si="839"/>
        <v>NO CONFORME</v>
      </c>
      <c r="BC143" s="5" t="str">
        <f t="shared" si="840"/>
        <v>NO CONFORME</v>
      </c>
      <c r="BD143" s="15">
        <f t="shared" si="819"/>
        <v>-1</v>
      </c>
      <c r="BE143" s="15">
        <f t="shared" si="820"/>
        <v>-1</v>
      </c>
      <c r="BF143" s="15">
        <f t="shared" si="821"/>
        <v>-1</v>
      </c>
      <c r="BG143" s="15" t="str">
        <f t="shared" si="822"/>
        <v>-1-1-1</v>
      </c>
      <c r="BH143" s="15" t="str">
        <f t="shared" si="823"/>
        <v>SD</v>
      </c>
      <c r="BI143" s="15" t="str">
        <f t="shared" si="824"/>
        <v>SI</v>
      </c>
      <c r="BJ143" s="15" t="b">
        <f t="shared" si="825"/>
        <v>1</v>
      </c>
      <c r="BK143" s="15" t="str">
        <f t="shared" si="826"/>
        <v>SIGIGUALES</v>
      </c>
      <c r="BL143" s="22" t="str">
        <f t="shared" si="827"/>
        <v>NO CONFORME</v>
      </c>
    </row>
    <row r="144" spans="1:64" ht="15.75" thickBot="1" x14ac:dyDescent="0.3">
      <c r="A144" s="37">
        <v>136</v>
      </c>
      <c r="B144" s="93">
        <f t="shared" ref="B144:E144" si="872">B143</f>
        <v>45919</v>
      </c>
      <c r="C144" s="93">
        <f t="shared" si="872"/>
        <v>45919</v>
      </c>
      <c r="D144" s="94">
        <f t="shared" si="872"/>
        <v>6</v>
      </c>
      <c r="E144" s="95">
        <f t="shared" si="872"/>
        <v>15</v>
      </c>
      <c r="F144" s="52"/>
      <c r="G144" s="96"/>
      <c r="H144" s="97">
        <f t="shared" ref="H144:L144" si="873">H143</f>
        <v>25.6</v>
      </c>
      <c r="I144" s="98">
        <f t="shared" si="873"/>
        <v>0</v>
      </c>
      <c r="J144" s="99">
        <f t="shared" si="873"/>
        <v>20.9</v>
      </c>
      <c r="K144" s="99">
        <f t="shared" si="873"/>
        <v>7.883</v>
      </c>
      <c r="L144" s="99">
        <f t="shared" si="873"/>
        <v>0.55400000000000005</v>
      </c>
      <c r="M144" s="53"/>
      <c r="N144" s="53"/>
      <c r="O144" s="100">
        <f t="shared" ref="O144:P144" si="874">O143</f>
        <v>100.62</v>
      </c>
      <c r="P144" s="101" t="str">
        <f t="shared" si="874"/>
        <v>2,29,560</v>
      </c>
      <c r="Q144" s="11" t="str">
        <f t="shared" si="470"/>
        <v>2</v>
      </c>
      <c r="R144" s="11" t="str">
        <f t="shared" si="471"/>
        <v>29,560</v>
      </c>
      <c r="S144" s="11">
        <f t="shared" si="472"/>
        <v>4.1544444444444446E-2</v>
      </c>
      <c r="T144" s="14">
        <f t="shared" si="473"/>
        <v>2421.9844878309709</v>
      </c>
      <c r="U144" s="39">
        <f t="shared" si="474"/>
        <v>-100</v>
      </c>
      <c r="V144" s="105">
        <f t="shared" ref="V144:W144" si="875">V143</f>
        <v>20.399999999999999</v>
      </c>
      <c r="W144" s="105">
        <f t="shared" si="875"/>
        <v>1.5069999999999999</v>
      </c>
      <c r="X144" s="106">
        <f t="shared" si="831"/>
        <v>1.504</v>
      </c>
      <c r="Y144" s="53"/>
      <c r="Z144" s="53"/>
      <c r="AA144" s="107">
        <f t="shared" ref="AA144:AB144" si="876">AA143</f>
        <v>10.015000000000001</v>
      </c>
      <c r="AB144" s="108" t="str">
        <f t="shared" si="876"/>
        <v>22,10,090</v>
      </c>
      <c r="AC144" s="11" t="str">
        <f t="shared" si="477"/>
        <v>22</v>
      </c>
      <c r="AD144" s="11" t="str">
        <f t="shared" si="478"/>
        <v>10,090</v>
      </c>
      <c r="AE144" s="11">
        <f t="shared" si="479"/>
        <v>0.36946944444444441</v>
      </c>
      <c r="AF144" s="14">
        <f t="shared" si="480"/>
        <v>27.106436406558959</v>
      </c>
      <c r="AG144" s="41">
        <f t="shared" si="481"/>
        <v>-100</v>
      </c>
      <c r="AH144" s="105">
        <f t="shared" si="846"/>
        <v>20.3</v>
      </c>
      <c r="AI144" s="105">
        <f t="shared" si="846"/>
        <v>1.5089999999999999</v>
      </c>
      <c r="AJ144" s="105">
        <f t="shared" si="846"/>
        <v>1.504</v>
      </c>
      <c r="AK144" s="53">
        <f t="shared" si="482"/>
        <v>0</v>
      </c>
      <c r="AL144" s="53"/>
      <c r="AM144" s="54">
        <f t="shared" ref="AM144:AN144" si="877">AM143</f>
        <v>5.0129999999999999</v>
      </c>
      <c r="AN144" s="101" t="str">
        <f t="shared" si="877"/>
        <v>17,59,050</v>
      </c>
      <c r="AO144" s="11" t="str">
        <f t="shared" si="484"/>
        <v>17</v>
      </c>
      <c r="AP144" s="11" t="str">
        <f t="shared" si="485"/>
        <v>59,050</v>
      </c>
      <c r="AQ144" s="11">
        <f t="shared" si="486"/>
        <v>0.29973611111111109</v>
      </c>
      <c r="AR144" s="14">
        <f t="shared" si="487"/>
        <v>16.724711551827998</v>
      </c>
      <c r="AS144" s="41">
        <f t="shared" si="488"/>
        <v>-100</v>
      </c>
      <c r="AT144" s="43" t="str">
        <f t="shared" si="489"/>
        <v>NO CONFORME</v>
      </c>
      <c r="AU144" s="8" t="b">
        <f t="shared" si="834"/>
        <v>1</v>
      </c>
      <c r="AV144" s="8" t="b">
        <f t="shared" si="835"/>
        <v>0</v>
      </c>
      <c r="AW144" s="8" t="b">
        <f t="shared" si="836"/>
        <v>1</v>
      </c>
      <c r="AX144" s="8" t="str">
        <f t="shared" si="837"/>
        <v>Qcorrecto</v>
      </c>
      <c r="AY144" s="22" t="str">
        <f t="shared" si="817"/>
        <v>aceptable</v>
      </c>
      <c r="AZ144" s="22" t="str">
        <f t="shared" si="818"/>
        <v>aceptable</v>
      </c>
      <c r="BA144" s="22" t="str">
        <f t="shared" si="838"/>
        <v>aceptable</v>
      </c>
      <c r="BB144" s="25" t="str">
        <f t="shared" si="839"/>
        <v>NO CONFORME</v>
      </c>
      <c r="BC144" s="5" t="str">
        <f t="shared" si="840"/>
        <v>NO CONFORME</v>
      </c>
      <c r="BD144" s="15">
        <f t="shared" si="819"/>
        <v>-1</v>
      </c>
      <c r="BE144" s="15">
        <f t="shared" si="820"/>
        <v>-1</v>
      </c>
      <c r="BF144" s="15">
        <f t="shared" si="821"/>
        <v>-1</v>
      </c>
      <c r="BG144" s="15" t="str">
        <f t="shared" si="822"/>
        <v>-1-1-1</v>
      </c>
      <c r="BH144" s="15" t="str">
        <f t="shared" si="823"/>
        <v>SD</v>
      </c>
      <c r="BI144" s="15" t="str">
        <f t="shared" si="824"/>
        <v>SI</v>
      </c>
      <c r="BJ144" s="15" t="b">
        <f t="shared" si="825"/>
        <v>1</v>
      </c>
      <c r="BK144" s="15" t="str">
        <f t="shared" si="826"/>
        <v>SIGIGUALES</v>
      </c>
      <c r="BL144" s="22" t="str">
        <f t="shared" si="827"/>
        <v>NO CONFORME</v>
      </c>
    </row>
    <row r="145" spans="1:64" ht="15.75" thickBot="1" x14ac:dyDescent="0.3">
      <c r="A145" s="37">
        <v>137</v>
      </c>
      <c r="B145" s="93">
        <f t="shared" ref="B145:E145" si="878">B144</f>
        <v>45919</v>
      </c>
      <c r="C145" s="93">
        <f t="shared" si="878"/>
        <v>45919</v>
      </c>
      <c r="D145" s="94">
        <f t="shared" si="878"/>
        <v>6</v>
      </c>
      <c r="E145" s="95">
        <f t="shared" si="878"/>
        <v>15</v>
      </c>
      <c r="F145" s="52"/>
      <c r="G145" s="96"/>
      <c r="H145" s="97">
        <f t="shared" ref="H145:L145" si="879">H144</f>
        <v>25.6</v>
      </c>
      <c r="I145" s="98">
        <f t="shared" si="879"/>
        <v>0</v>
      </c>
      <c r="J145" s="99">
        <f t="shared" si="879"/>
        <v>20.9</v>
      </c>
      <c r="K145" s="99">
        <f t="shared" si="879"/>
        <v>7.883</v>
      </c>
      <c r="L145" s="99">
        <f t="shared" si="879"/>
        <v>0.55400000000000005</v>
      </c>
      <c r="M145" s="53"/>
      <c r="N145" s="53"/>
      <c r="O145" s="100">
        <f t="shared" ref="O145:P145" si="880">O144</f>
        <v>100.62</v>
      </c>
      <c r="P145" s="101" t="str">
        <f t="shared" si="880"/>
        <v>2,29,560</v>
      </c>
      <c r="Q145" s="11" t="str">
        <f t="shared" si="470"/>
        <v>2</v>
      </c>
      <c r="R145" s="11" t="str">
        <f t="shared" si="471"/>
        <v>29,560</v>
      </c>
      <c r="S145" s="11">
        <f t="shared" si="472"/>
        <v>4.1544444444444446E-2</v>
      </c>
      <c r="T145" s="14">
        <f t="shared" si="473"/>
        <v>2421.9844878309709</v>
      </c>
      <c r="U145" s="39">
        <f t="shared" si="474"/>
        <v>-100</v>
      </c>
      <c r="V145" s="105">
        <f t="shared" ref="V145:W145" si="881">V144</f>
        <v>20.399999999999999</v>
      </c>
      <c r="W145" s="105">
        <f t="shared" si="881"/>
        <v>1.5069999999999999</v>
      </c>
      <c r="X145" s="106">
        <f t="shared" si="831"/>
        <v>1.504</v>
      </c>
      <c r="Y145" s="53"/>
      <c r="Z145" s="53"/>
      <c r="AA145" s="107">
        <f t="shared" ref="AA145:AB145" si="882">AA144</f>
        <v>10.015000000000001</v>
      </c>
      <c r="AB145" s="108" t="str">
        <f t="shared" si="882"/>
        <v>22,10,090</v>
      </c>
      <c r="AC145" s="11" t="str">
        <f t="shared" si="477"/>
        <v>22</v>
      </c>
      <c r="AD145" s="11" t="str">
        <f t="shared" si="478"/>
        <v>10,090</v>
      </c>
      <c r="AE145" s="11">
        <f t="shared" si="479"/>
        <v>0.36946944444444441</v>
      </c>
      <c r="AF145" s="14">
        <f t="shared" si="480"/>
        <v>27.106436406558959</v>
      </c>
      <c r="AG145" s="41">
        <f t="shared" si="481"/>
        <v>-100</v>
      </c>
      <c r="AH145" s="105">
        <f t="shared" si="846"/>
        <v>20.3</v>
      </c>
      <c r="AI145" s="105">
        <f t="shared" si="846"/>
        <v>1.5089999999999999</v>
      </c>
      <c r="AJ145" s="105">
        <f t="shared" si="846"/>
        <v>1.504</v>
      </c>
      <c r="AK145" s="53">
        <f t="shared" si="482"/>
        <v>0</v>
      </c>
      <c r="AL145" s="53"/>
      <c r="AM145" s="54">
        <f t="shared" ref="AM145:AN145" si="883">AM144</f>
        <v>5.0129999999999999</v>
      </c>
      <c r="AN145" s="101" t="str">
        <f t="shared" si="883"/>
        <v>17,59,050</v>
      </c>
      <c r="AO145" s="11" t="str">
        <f t="shared" si="484"/>
        <v>17</v>
      </c>
      <c r="AP145" s="11" t="str">
        <f t="shared" si="485"/>
        <v>59,050</v>
      </c>
      <c r="AQ145" s="11">
        <f t="shared" si="486"/>
        <v>0.29973611111111109</v>
      </c>
      <c r="AR145" s="14">
        <f t="shared" si="487"/>
        <v>16.724711551827998</v>
      </c>
      <c r="AS145" s="41">
        <f t="shared" si="488"/>
        <v>-100</v>
      </c>
      <c r="AT145" s="43" t="str">
        <f t="shared" si="489"/>
        <v>NO CONFORME</v>
      </c>
      <c r="AU145" s="8" t="b">
        <f t="shared" si="834"/>
        <v>1</v>
      </c>
      <c r="AV145" s="8" t="b">
        <f t="shared" si="835"/>
        <v>0</v>
      </c>
      <c r="AW145" s="8" t="b">
        <f t="shared" si="836"/>
        <v>1</v>
      </c>
      <c r="AX145" s="8" t="str">
        <f t="shared" si="837"/>
        <v>Qcorrecto</v>
      </c>
      <c r="AY145" s="22" t="str">
        <f t="shared" si="817"/>
        <v>aceptable</v>
      </c>
      <c r="AZ145" s="22" t="str">
        <f t="shared" si="818"/>
        <v>aceptable</v>
      </c>
      <c r="BA145" s="22" t="str">
        <f t="shared" si="838"/>
        <v>aceptable</v>
      </c>
      <c r="BB145" s="25" t="str">
        <f t="shared" si="839"/>
        <v>NO CONFORME</v>
      </c>
      <c r="BC145" s="5" t="str">
        <f t="shared" si="840"/>
        <v>NO CONFORME</v>
      </c>
      <c r="BD145" s="15">
        <f t="shared" si="819"/>
        <v>-1</v>
      </c>
      <c r="BE145" s="15">
        <f t="shared" si="820"/>
        <v>-1</v>
      </c>
      <c r="BF145" s="15">
        <f t="shared" si="821"/>
        <v>-1</v>
      </c>
      <c r="BG145" s="15" t="str">
        <f t="shared" si="822"/>
        <v>-1-1-1</v>
      </c>
      <c r="BH145" s="15" t="str">
        <f t="shared" si="823"/>
        <v>SD</v>
      </c>
      <c r="BI145" s="15" t="str">
        <f t="shared" si="824"/>
        <v>SI</v>
      </c>
      <c r="BJ145" s="15" t="b">
        <f t="shared" si="825"/>
        <v>1</v>
      </c>
      <c r="BK145" s="15" t="str">
        <f t="shared" si="826"/>
        <v>SIGIGUALES</v>
      </c>
      <c r="BL145" s="22" t="str">
        <f t="shared" si="827"/>
        <v>NO CONFORME</v>
      </c>
    </row>
    <row r="146" spans="1:64" ht="15.75" thickBot="1" x14ac:dyDescent="0.3">
      <c r="A146" s="37">
        <v>138</v>
      </c>
      <c r="B146" s="93">
        <f t="shared" ref="B146:E146" si="884">B145</f>
        <v>45919</v>
      </c>
      <c r="C146" s="93">
        <f t="shared" si="884"/>
        <v>45919</v>
      </c>
      <c r="D146" s="94">
        <f t="shared" si="884"/>
        <v>6</v>
      </c>
      <c r="E146" s="95">
        <f t="shared" si="884"/>
        <v>15</v>
      </c>
      <c r="F146" s="52"/>
      <c r="G146" s="96"/>
      <c r="H146" s="97">
        <f t="shared" ref="H146:L146" si="885">H145</f>
        <v>25.6</v>
      </c>
      <c r="I146" s="98">
        <f t="shared" si="885"/>
        <v>0</v>
      </c>
      <c r="J146" s="99">
        <f t="shared" si="885"/>
        <v>20.9</v>
      </c>
      <c r="K146" s="99">
        <f t="shared" si="885"/>
        <v>7.883</v>
      </c>
      <c r="L146" s="99">
        <f t="shared" si="885"/>
        <v>0.55400000000000005</v>
      </c>
      <c r="M146" s="53"/>
      <c r="N146" s="53"/>
      <c r="O146" s="100">
        <f t="shared" ref="O146:P146" si="886">O145</f>
        <v>100.62</v>
      </c>
      <c r="P146" s="101" t="str">
        <f t="shared" si="886"/>
        <v>2,29,560</v>
      </c>
      <c r="Q146" s="11" t="str">
        <f t="shared" si="470"/>
        <v>2</v>
      </c>
      <c r="R146" s="11" t="str">
        <f t="shared" si="471"/>
        <v>29,560</v>
      </c>
      <c r="S146" s="11">
        <f t="shared" si="472"/>
        <v>4.1544444444444446E-2</v>
      </c>
      <c r="T146" s="14">
        <f t="shared" si="473"/>
        <v>2421.9844878309709</v>
      </c>
      <c r="U146" s="39">
        <f t="shared" si="474"/>
        <v>-100</v>
      </c>
      <c r="V146" s="105">
        <f t="shared" ref="V146:W146" si="887">V145</f>
        <v>20.399999999999999</v>
      </c>
      <c r="W146" s="105">
        <f t="shared" si="887"/>
        <v>1.5069999999999999</v>
      </c>
      <c r="X146" s="106">
        <f t="shared" si="831"/>
        <v>1.504</v>
      </c>
      <c r="Y146" s="53"/>
      <c r="Z146" s="53"/>
      <c r="AA146" s="107">
        <f t="shared" ref="AA146:AB146" si="888">AA145</f>
        <v>10.015000000000001</v>
      </c>
      <c r="AB146" s="108" t="str">
        <f t="shared" si="888"/>
        <v>22,10,090</v>
      </c>
      <c r="AC146" s="11" t="str">
        <f t="shared" si="477"/>
        <v>22</v>
      </c>
      <c r="AD146" s="11" t="str">
        <f t="shared" si="478"/>
        <v>10,090</v>
      </c>
      <c r="AE146" s="11">
        <f t="shared" si="479"/>
        <v>0.36946944444444441</v>
      </c>
      <c r="AF146" s="14">
        <f t="shared" si="480"/>
        <v>27.106436406558959</v>
      </c>
      <c r="AG146" s="41">
        <f t="shared" si="481"/>
        <v>-100</v>
      </c>
      <c r="AH146" s="105">
        <f t="shared" si="846"/>
        <v>20.3</v>
      </c>
      <c r="AI146" s="105">
        <f t="shared" si="846"/>
        <v>1.5089999999999999</v>
      </c>
      <c r="AJ146" s="105">
        <f t="shared" si="846"/>
        <v>1.504</v>
      </c>
      <c r="AK146" s="53">
        <f t="shared" si="482"/>
        <v>0</v>
      </c>
      <c r="AL146" s="53"/>
      <c r="AM146" s="54">
        <f t="shared" ref="AM146:AN146" si="889">AM145</f>
        <v>5.0129999999999999</v>
      </c>
      <c r="AN146" s="101" t="str">
        <f t="shared" si="889"/>
        <v>17,59,050</v>
      </c>
      <c r="AO146" s="11" t="str">
        <f t="shared" si="484"/>
        <v>17</v>
      </c>
      <c r="AP146" s="11" t="str">
        <f t="shared" si="485"/>
        <v>59,050</v>
      </c>
      <c r="AQ146" s="11">
        <f t="shared" si="486"/>
        <v>0.29973611111111109</v>
      </c>
      <c r="AR146" s="14">
        <f t="shared" si="487"/>
        <v>16.724711551827998</v>
      </c>
      <c r="AS146" s="41">
        <f t="shared" si="488"/>
        <v>-100</v>
      </c>
      <c r="AT146" s="43" t="str">
        <f t="shared" si="489"/>
        <v>NO CONFORME</v>
      </c>
      <c r="AU146" s="8" t="b">
        <f t="shared" si="834"/>
        <v>1</v>
      </c>
      <c r="AV146" s="8" t="b">
        <f t="shared" si="835"/>
        <v>0</v>
      </c>
      <c r="AW146" s="8" t="b">
        <f t="shared" si="836"/>
        <v>1</v>
      </c>
      <c r="AX146" s="8" t="str">
        <f t="shared" si="837"/>
        <v>Qcorrecto</v>
      </c>
      <c r="AY146" s="22" t="str">
        <f t="shared" si="817"/>
        <v>aceptable</v>
      </c>
      <c r="AZ146" s="22" t="str">
        <f t="shared" si="818"/>
        <v>aceptable</v>
      </c>
      <c r="BA146" s="22" t="str">
        <f t="shared" si="838"/>
        <v>aceptable</v>
      </c>
      <c r="BB146" s="25" t="str">
        <f t="shared" si="839"/>
        <v>NO CONFORME</v>
      </c>
      <c r="BC146" s="5" t="str">
        <f t="shared" si="840"/>
        <v>NO CONFORME</v>
      </c>
      <c r="BD146" s="15">
        <f t="shared" si="819"/>
        <v>-1</v>
      </c>
      <c r="BE146" s="15">
        <f t="shared" si="820"/>
        <v>-1</v>
      </c>
      <c r="BF146" s="15">
        <f t="shared" si="821"/>
        <v>-1</v>
      </c>
      <c r="BG146" s="15" t="str">
        <f t="shared" si="822"/>
        <v>-1-1-1</v>
      </c>
      <c r="BH146" s="15" t="str">
        <f t="shared" si="823"/>
        <v>SD</v>
      </c>
      <c r="BI146" s="15" t="str">
        <f t="shared" si="824"/>
        <v>SI</v>
      </c>
      <c r="BJ146" s="15" t="b">
        <f t="shared" si="825"/>
        <v>1</v>
      </c>
      <c r="BK146" s="15" t="str">
        <f t="shared" si="826"/>
        <v>SIGIGUALES</v>
      </c>
      <c r="BL146" s="22" t="str">
        <f t="shared" si="827"/>
        <v>NO CONFORME</v>
      </c>
    </row>
    <row r="147" spans="1:64" ht="15.75" thickBot="1" x14ac:dyDescent="0.3">
      <c r="A147" s="37">
        <v>139</v>
      </c>
      <c r="B147" s="93">
        <f t="shared" ref="B147:E147" si="890">B146</f>
        <v>45919</v>
      </c>
      <c r="C147" s="93">
        <f t="shared" si="890"/>
        <v>45919</v>
      </c>
      <c r="D147" s="94">
        <f t="shared" si="890"/>
        <v>6</v>
      </c>
      <c r="E147" s="95">
        <f t="shared" si="890"/>
        <v>15</v>
      </c>
      <c r="F147" s="52"/>
      <c r="G147" s="96"/>
      <c r="H147" s="97">
        <f t="shared" ref="H147:L147" si="891">H146</f>
        <v>25.6</v>
      </c>
      <c r="I147" s="98">
        <f t="shared" si="891"/>
        <v>0</v>
      </c>
      <c r="J147" s="99">
        <f t="shared" si="891"/>
        <v>20.9</v>
      </c>
      <c r="K147" s="99">
        <f t="shared" si="891"/>
        <v>7.883</v>
      </c>
      <c r="L147" s="99">
        <f t="shared" si="891"/>
        <v>0.55400000000000005</v>
      </c>
      <c r="M147" s="53"/>
      <c r="N147" s="53"/>
      <c r="O147" s="100">
        <f t="shared" ref="O147:P147" si="892">O146</f>
        <v>100.62</v>
      </c>
      <c r="P147" s="101" t="str">
        <f t="shared" si="892"/>
        <v>2,29,560</v>
      </c>
      <c r="Q147" s="11" t="str">
        <f t="shared" ref="Q147:Q210" si="893">LEFT(P147,1)</f>
        <v>2</v>
      </c>
      <c r="R147" s="11" t="str">
        <f t="shared" ref="R147:R210" si="894">RIGHT(P147,6)</f>
        <v>29,560</v>
      </c>
      <c r="S147" s="11">
        <f t="shared" ref="S147:S210" si="895">+(Q147*60+R147)/(60*60)</f>
        <v>4.1544444444444446E-2</v>
      </c>
      <c r="T147" s="14">
        <f t="shared" ref="T147:T210" si="896">+O147/S147</f>
        <v>2421.9844878309709</v>
      </c>
      <c r="U147" s="39">
        <f t="shared" ref="U147:U210" si="897">+(((N147-M147-O147)/O147)*100)</f>
        <v>-100</v>
      </c>
      <c r="V147" s="105">
        <f t="shared" ref="V147:W147" si="898">V146</f>
        <v>20.399999999999999</v>
      </c>
      <c r="W147" s="105">
        <f t="shared" si="898"/>
        <v>1.5069999999999999</v>
      </c>
      <c r="X147" s="106">
        <f t="shared" si="831"/>
        <v>1.504</v>
      </c>
      <c r="Y147" s="53"/>
      <c r="Z147" s="53"/>
      <c r="AA147" s="107">
        <f t="shared" ref="AA147:AB147" si="899">AA146</f>
        <v>10.015000000000001</v>
      </c>
      <c r="AB147" s="108" t="str">
        <f t="shared" si="899"/>
        <v>22,10,090</v>
      </c>
      <c r="AC147" s="11" t="str">
        <f t="shared" ref="AC147:AC210" si="900">LEFT(AB147,2)</f>
        <v>22</v>
      </c>
      <c r="AD147" s="11" t="str">
        <f t="shared" ref="AD147:AD210" si="901">RIGHT(AB147,6)</f>
        <v>10,090</v>
      </c>
      <c r="AE147" s="11">
        <f t="shared" ref="AE147:AE210" si="902">+(AC147*60+AD147)/(60*60)</f>
        <v>0.36946944444444441</v>
      </c>
      <c r="AF147" s="14">
        <f t="shared" ref="AF147:AF210" si="903">+AA147/AE147</f>
        <v>27.106436406558959</v>
      </c>
      <c r="AG147" s="41">
        <f t="shared" ref="AG147:AG210" si="904">+(((Z147-Y147-AA147)/AA147)*100)</f>
        <v>-100</v>
      </c>
      <c r="AH147" s="105">
        <f t="shared" si="846"/>
        <v>20.3</v>
      </c>
      <c r="AI147" s="105">
        <f t="shared" si="846"/>
        <v>1.5089999999999999</v>
      </c>
      <c r="AJ147" s="105">
        <f t="shared" si="846"/>
        <v>1.504</v>
      </c>
      <c r="AK147" s="53">
        <f t="shared" ref="AK147:AK210" si="905">Z147</f>
        <v>0</v>
      </c>
      <c r="AL147" s="53"/>
      <c r="AM147" s="54">
        <f t="shared" ref="AM147:AN147" si="906">AM146</f>
        <v>5.0129999999999999</v>
      </c>
      <c r="AN147" s="101" t="str">
        <f t="shared" si="906"/>
        <v>17,59,050</v>
      </c>
      <c r="AO147" s="11" t="str">
        <f t="shared" ref="AO147:AO210" si="907">LEFT(AN147,2)</f>
        <v>17</v>
      </c>
      <c r="AP147" s="11" t="str">
        <f t="shared" ref="AP147:AP210" si="908">RIGHT(AN147,6)</f>
        <v>59,050</v>
      </c>
      <c r="AQ147" s="11">
        <f t="shared" ref="AQ147:AQ210" si="909">+(AO147*60+AP147)/(60*60)</f>
        <v>0.29973611111111109</v>
      </c>
      <c r="AR147" s="14">
        <f t="shared" ref="AR147:AR210" si="910">+AM147/AQ147</f>
        <v>16.724711551827998</v>
      </c>
      <c r="AS147" s="41">
        <f t="shared" ref="AS147:AS210" si="911">+(((AL147-AK147-AM147)/AM147)*100)</f>
        <v>-100</v>
      </c>
      <c r="AT147" s="43" t="str">
        <f t="shared" ref="AT147:AT210" si="912">IF(I147&gt;=1,"NO CONFORME",IF(BK147="SIGDIFERENTES",BC147,BL147))</f>
        <v>NO CONFORME</v>
      </c>
      <c r="AU147" s="8" t="b">
        <f t="shared" si="834"/>
        <v>1</v>
      </c>
      <c r="AV147" s="8" t="b">
        <f t="shared" si="835"/>
        <v>0</v>
      </c>
      <c r="AW147" s="8" t="b">
        <f t="shared" si="836"/>
        <v>1</v>
      </c>
      <c r="AX147" s="8" t="str">
        <f t="shared" si="837"/>
        <v>Qcorrecto</v>
      </c>
      <c r="AY147" s="22" t="str">
        <f t="shared" si="817"/>
        <v>aceptable</v>
      </c>
      <c r="AZ147" s="22" t="str">
        <f t="shared" si="818"/>
        <v>aceptable</v>
      </c>
      <c r="BA147" s="22" t="str">
        <f t="shared" si="838"/>
        <v>aceptable</v>
      </c>
      <c r="BB147" s="25" t="str">
        <f t="shared" si="839"/>
        <v>NO CONFORME</v>
      </c>
      <c r="BC147" s="5" t="str">
        <f t="shared" si="840"/>
        <v>NO CONFORME</v>
      </c>
      <c r="BD147" s="15">
        <f t="shared" si="819"/>
        <v>-1</v>
      </c>
      <c r="BE147" s="15">
        <f t="shared" si="820"/>
        <v>-1</v>
      </c>
      <c r="BF147" s="15">
        <f t="shared" si="821"/>
        <v>-1</v>
      </c>
      <c r="BG147" s="15" t="str">
        <f t="shared" si="822"/>
        <v>-1-1-1</v>
      </c>
      <c r="BH147" s="15" t="str">
        <f t="shared" si="823"/>
        <v>SD</v>
      </c>
      <c r="BI147" s="15" t="str">
        <f t="shared" si="824"/>
        <v>SI</v>
      </c>
      <c r="BJ147" s="15" t="b">
        <f t="shared" si="825"/>
        <v>1</v>
      </c>
      <c r="BK147" s="15" t="str">
        <f t="shared" si="826"/>
        <v>SIGIGUALES</v>
      </c>
      <c r="BL147" s="22" t="str">
        <f t="shared" si="827"/>
        <v>NO CONFORME</v>
      </c>
    </row>
    <row r="148" spans="1:64" ht="15.75" thickBot="1" x14ac:dyDescent="0.3">
      <c r="A148" s="37">
        <v>140</v>
      </c>
      <c r="B148" s="93">
        <f t="shared" ref="B148:E148" si="913">B147</f>
        <v>45919</v>
      </c>
      <c r="C148" s="93">
        <f t="shared" si="913"/>
        <v>45919</v>
      </c>
      <c r="D148" s="94">
        <f t="shared" si="913"/>
        <v>6</v>
      </c>
      <c r="E148" s="95">
        <f t="shared" si="913"/>
        <v>15</v>
      </c>
      <c r="F148" s="52"/>
      <c r="G148" s="96"/>
      <c r="H148" s="97">
        <f t="shared" ref="H148:L148" si="914">H147</f>
        <v>25.6</v>
      </c>
      <c r="I148" s="98">
        <f t="shared" si="914"/>
        <v>0</v>
      </c>
      <c r="J148" s="99">
        <f t="shared" si="914"/>
        <v>20.9</v>
      </c>
      <c r="K148" s="99">
        <f t="shared" si="914"/>
        <v>7.883</v>
      </c>
      <c r="L148" s="99">
        <f t="shared" si="914"/>
        <v>0.55400000000000005</v>
      </c>
      <c r="M148" s="53"/>
      <c r="N148" s="53"/>
      <c r="O148" s="100">
        <f t="shared" ref="O148:P148" si="915">O147</f>
        <v>100.62</v>
      </c>
      <c r="P148" s="101" t="str">
        <f t="shared" si="915"/>
        <v>2,29,560</v>
      </c>
      <c r="Q148" s="11" t="str">
        <f t="shared" si="893"/>
        <v>2</v>
      </c>
      <c r="R148" s="11" t="str">
        <f t="shared" si="894"/>
        <v>29,560</v>
      </c>
      <c r="S148" s="11">
        <f t="shared" si="895"/>
        <v>4.1544444444444446E-2</v>
      </c>
      <c r="T148" s="14">
        <f t="shared" si="896"/>
        <v>2421.9844878309709</v>
      </c>
      <c r="U148" s="39">
        <f t="shared" si="897"/>
        <v>-100</v>
      </c>
      <c r="V148" s="105">
        <f t="shared" ref="V148:W148" si="916">V147</f>
        <v>20.399999999999999</v>
      </c>
      <c r="W148" s="105">
        <f t="shared" si="916"/>
        <v>1.5069999999999999</v>
      </c>
      <c r="X148" s="106">
        <f t="shared" si="831"/>
        <v>1.504</v>
      </c>
      <c r="Y148" s="53"/>
      <c r="Z148" s="53"/>
      <c r="AA148" s="107">
        <f t="shared" ref="AA148:AB148" si="917">AA147</f>
        <v>10.015000000000001</v>
      </c>
      <c r="AB148" s="108" t="str">
        <f t="shared" si="917"/>
        <v>22,10,090</v>
      </c>
      <c r="AC148" s="11" t="str">
        <f t="shared" si="900"/>
        <v>22</v>
      </c>
      <c r="AD148" s="11" t="str">
        <f t="shared" si="901"/>
        <v>10,090</v>
      </c>
      <c r="AE148" s="11">
        <f t="shared" si="902"/>
        <v>0.36946944444444441</v>
      </c>
      <c r="AF148" s="14">
        <f t="shared" si="903"/>
        <v>27.106436406558959</v>
      </c>
      <c r="AG148" s="41">
        <f t="shared" si="904"/>
        <v>-100</v>
      </c>
      <c r="AH148" s="105">
        <f t="shared" si="846"/>
        <v>20.3</v>
      </c>
      <c r="AI148" s="105">
        <f t="shared" si="846"/>
        <v>1.5089999999999999</v>
      </c>
      <c r="AJ148" s="105">
        <f t="shared" si="846"/>
        <v>1.504</v>
      </c>
      <c r="AK148" s="53">
        <f t="shared" si="905"/>
        <v>0</v>
      </c>
      <c r="AL148" s="53"/>
      <c r="AM148" s="54">
        <f t="shared" ref="AM148:AN148" si="918">AM147</f>
        <v>5.0129999999999999</v>
      </c>
      <c r="AN148" s="101" t="str">
        <f t="shared" si="918"/>
        <v>17,59,050</v>
      </c>
      <c r="AO148" s="11" t="str">
        <f t="shared" si="907"/>
        <v>17</v>
      </c>
      <c r="AP148" s="11" t="str">
        <f t="shared" si="908"/>
        <v>59,050</v>
      </c>
      <c r="AQ148" s="11">
        <f t="shared" si="909"/>
        <v>0.29973611111111109</v>
      </c>
      <c r="AR148" s="14">
        <f t="shared" si="910"/>
        <v>16.724711551827998</v>
      </c>
      <c r="AS148" s="41">
        <f t="shared" si="911"/>
        <v>-100</v>
      </c>
      <c r="AT148" s="43" t="str">
        <f t="shared" si="912"/>
        <v>NO CONFORME</v>
      </c>
      <c r="AU148" s="8" t="b">
        <f t="shared" si="834"/>
        <v>1</v>
      </c>
      <c r="AV148" s="8" t="b">
        <f t="shared" si="835"/>
        <v>0</v>
      </c>
      <c r="AW148" s="8" t="b">
        <f t="shared" si="836"/>
        <v>1</v>
      </c>
      <c r="AX148" s="8" t="str">
        <f t="shared" si="837"/>
        <v>Qcorrecto</v>
      </c>
      <c r="AY148" s="22" t="str">
        <f t="shared" si="817"/>
        <v>aceptable</v>
      </c>
      <c r="AZ148" s="22" t="str">
        <f t="shared" si="818"/>
        <v>aceptable</v>
      </c>
      <c r="BA148" s="22" t="str">
        <f t="shared" si="838"/>
        <v>aceptable</v>
      </c>
      <c r="BB148" s="25" t="str">
        <f t="shared" si="839"/>
        <v>NO CONFORME</v>
      </c>
      <c r="BC148" s="5" t="str">
        <f t="shared" si="840"/>
        <v>NO CONFORME</v>
      </c>
      <c r="BD148" s="15">
        <f t="shared" si="819"/>
        <v>-1</v>
      </c>
      <c r="BE148" s="15">
        <f t="shared" si="820"/>
        <v>-1</v>
      </c>
      <c r="BF148" s="15">
        <f t="shared" si="821"/>
        <v>-1</v>
      </c>
      <c r="BG148" s="15" t="str">
        <f t="shared" si="822"/>
        <v>-1-1-1</v>
      </c>
      <c r="BH148" s="15" t="str">
        <f t="shared" si="823"/>
        <v>SD</v>
      </c>
      <c r="BI148" s="15" t="str">
        <f t="shared" si="824"/>
        <v>SI</v>
      </c>
      <c r="BJ148" s="15" t="b">
        <f t="shared" si="825"/>
        <v>1</v>
      </c>
      <c r="BK148" s="15" t="str">
        <f t="shared" si="826"/>
        <v>SIGIGUALES</v>
      </c>
      <c r="BL148" s="22" t="str">
        <f t="shared" si="827"/>
        <v>NO CONFORME</v>
      </c>
    </row>
    <row r="149" spans="1:64" ht="15.75" thickBot="1" x14ac:dyDescent="0.3">
      <c r="A149" s="37">
        <v>141</v>
      </c>
      <c r="B149" s="93">
        <f t="shared" ref="B149:E149" si="919">B148</f>
        <v>45919</v>
      </c>
      <c r="C149" s="93">
        <f t="shared" si="919"/>
        <v>45919</v>
      </c>
      <c r="D149" s="94">
        <f t="shared" si="919"/>
        <v>6</v>
      </c>
      <c r="E149" s="95">
        <f t="shared" si="919"/>
        <v>15</v>
      </c>
      <c r="F149" s="52"/>
      <c r="G149" s="96"/>
      <c r="H149" s="97">
        <f t="shared" ref="H149:L149" si="920">H148</f>
        <v>25.6</v>
      </c>
      <c r="I149" s="98">
        <f t="shared" si="920"/>
        <v>0</v>
      </c>
      <c r="J149" s="99">
        <f t="shared" si="920"/>
        <v>20.9</v>
      </c>
      <c r="K149" s="99">
        <f t="shared" si="920"/>
        <v>7.883</v>
      </c>
      <c r="L149" s="99">
        <f t="shared" si="920"/>
        <v>0.55400000000000005</v>
      </c>
      <c r="M149" s="53"/>
      <c r="N149" s="53"/>
      <c r="O149" s="100">
        <f t="shared" ref="O149:P149" si="921">O148</f>
        <v>100.62</v>
      </c>
      <c r="P149" s="101" t="str">
        <f t="shared" si="921"/>
        <v>2,29,560</v>
      </c>
      <c r="Q149" s="11" t="str">
        <f t="shared" si="893"/>
        <v>2</v>
      </c>
      <c r="R149" s="11" t="str">
        <f t="shared" si="894"/>
        <v>29,560</v>
      </c>
      <c r="S149" s="11">
        <f t="shared" si="895"/>
        <v>4.1544444444444446E-2</v>
      </c>
      <c r="T149" s="14">
        <f t="shared" si="896"/>
        <v>2421.9844878309709</v>
      </c>
      <c r="U149" s="39">
        <f t="shared" si="897"/>
        <v>-100</v>
      </c>
      <c r="V149" s="105">
        <f t="shared" ref="V149:W149" si="922">V148</f>
        <v>20.399999999999999</v>
      </c>
      <c r="W149" s="105">
        <f t="shared" si="922"/>
        <v>1.5069999999999999</v>
      </c>
      <c r="X149" s="106">
        <f t="shared" si="831"/>
        <v>1.504</v>
      </c>
      <c r="Y149" s="53"/>
      <c r="Z149" s="53"/>
      <c r="AA149" s="107">
        <f t="shared" ref="AA149:AB149" si="923">AA148</f>
        <v>10.015000000000001</v>
      </c>
      <c r="AB149" s="108" t="str">
        <f t="shared" si="923"/>
        <v>22,10,090</v>
      </c>
      <c r="AC149" s="11" t="str">
        <f t="shared" si="900"/>
        <v>22</v>
      </c>
      <c r="AD149" s="11" t="str">
        <f t="shared" si="901"/>
        <v>10,090</v>
      </c>
      <c r="AE149" s="11">
        <f t="shared" si="902"/>
        <v>0.36946944444444441</v>
      </c>
      <c r="AF149" s="14">
        <f t="shared" si="903"/>
        <v>27.106436406558959</v>
      </c>
      <c r="AG149" s="41">
        <f t="shared" si="904"/>
        <v>-100</v>
      </c>
      <c r="AH149" s="105">
        <f t="shared" si="846"/>
        <v>20.3</v>
      </c>
      <c r="AI149" s="105">
        <f t="shared" si="846"/>
        <v>1.5089999999999999</v>
      </c>
      <c r="AJ149" s="105">
        <f t="shared" si="846"/>
        <v>1.504</v>
      </c>
      <c r="AK149" s="53">
        <f t="shared" si="905"/>
        <v>0</v>
      </c>
      <c r="AL149" s="53"/>
      <c r="AM149" s="54">
        <f t="shared" ref="AM149:AN149" si="924">AM148</f>
        <v>5.0129999999999999</v>
      </c>
      <c r="AN149" s="101" t="str">
        <f t="shared" si="924"/>
        <v>17,59,050</v>
      </c>
      <c r="AO149" s="11" t="str">
        <f t="shared" si="907"/>
        <v>17</v>
      </c>
      <c r="AP149" s="11" t="str">
        <f t="shared" si="908"/>
        <v>59,050</v>
      </c>
      <c r="AQ149" s="11">
        <f t="shared" si="909"/>
        <v>0.29973611111111109</v>
      </c>
      <c r="AR149" s="14">
        <f t="shared" si="910"/>
        <v>16.724711551827998</v>
      </c>
      <c r="AS149" s="41">
        <f t="shared" si="911"/>
        <v>-100</v>
      </c>
      <c r="AT149" s="43" t="str">
        <f t="shared" si="912"/>
        <v>NO CONFORME</v>
      </c>
      <c r="AU149" s="8" t="b">
        <f t="shared" si="834"/>
        <v>1</v>
      </c>
      <c r="AV149" s="8" t="b">
        <f t="shared" si="835"/>
        <v>0</v>
      </c>
      <c r="AW149" s="8" t="b">
        <f t="shared" si="836"/>
        <v>1</v>
      </c>
      <c r="AX149" s="8" t="str">
        <f t="shared" si="837"/>
        <v>Qcorrecto</v>
      </c>
      <c r="AY149" s="22" t="str">
        <f t="shared" si="817"/>
        <v>aceptable</v>
      </c>
      <c r="AZ149" s="22" t="str">
        <f t="shared" si="818"/>
        <v>aceptable</v>
      </c>
      <c r="BA149" s="22" t="str">
        <f t="shared" si="838"/>
        <v>aceptable</v>
      </c>
      <c r="BB149" s="25" t="str">
        <f t="shared" si="839"/>
        <v>NO CONFORME</v>
      </c>
      <c r="BC149" s="5" t="str">
        <f t="shared" si="840"/>
        <v>NO CONFORME</v>
      </c>
      <c r="BD149" s="15">
        <f t="shared" si="819"/>
        <v>-1</v>
      </c>
      <c r="BE149" s="15">
        <f t="shared" si="820"/>
        <v>-1</v>
      </c>
      <c r="BF149" s="15">
        <f t="shared" si="821"/>
        <v>-1</v>
      </c>
      <c r="BG149" s="15" t="str">
        <f t="shared" si="822"/>
        <v>-1-1-1</v>
      </c>
      <c r="BH149" s="15" t="str">
        <f t="shared" si="823"/>
        <v>SD</v>
      </c>
      <c r="BI149" s="15" t="str">
        <f t="shared" si="824"/>
        <v>SI</v>
      </c>
      <c r="BJ149" s="15" t="b">
        <f t="shared" si="825"/>
        <v>1</v>
      </c>
      <c r="BK149" s="15" t="str">
        <f t="shared" si="826"/>
        <v>SIGIGUALES</v>
      </c>
      <c r="BL149" s="22" t="str">
        <f t="shared" si="827"/>
        <v>NO CONFORME</v>
      </c>
    </row>
    <row r="150" spans="1:64" ht="15.75" thickBot="1" x14ac:dyDescent="0.3">
      <c r="A150" s="37">
        <v>142</v>
      </c>
      <c r="B150" s="93">
        <f t="shared" ref="B150:E150" si="925">B149</f>
        <v>45919</v>
      </c>
      <c r="C150" s="93">
        <f t="shared" si="925"/>
        <v>45919</v>
      </c>
      <c r="D150" s="94">
        <f t="shared" si="925"/>
        <v>6</v>
      </c>
      <c r="E150" s="95">
        <f t="shared" si="925"/>
        <v>15</v>
      </c>
      <c r="F150" s="52"/>
      <c r="G150" s="96"/>
      <c r="H150" s="97">
        <f t="shared" ref="H150:L150" si="926">H149</f>
        <v>25.6</v>
      </c>
      <c r="I150" s="98">
        <f t="shared" si="926"/>
        <v>0</v>
      </c>
      <c r="J150" s="99">
        <f t="shared" si="926"/>
        <v>20.9</v>
      </c>
      <c r="K150" s="99">
        <f t="shared" si="926"/>
        <v>7.883</v>
      </c>
      <c r="L150" s="99">
        <f t="shared" si="926"/>
        <v>0.55400000000000005</v>
      </c>
      <c r="M150" s="53"/>
      <c r="N150" s="53"/>
      <c r="O150" s="100">
        <f t="shared" ref="O150:P150" si="927">O149</f>
        <v>100.62</v>
      </c>
      <c r="P150" s="101" t="str">
        <f t="shared" si="927"/>
        <v>2,29,560</v>
      </c>
      <c r="Q150" s="11" t="str">
        <f t="shared" si="893"/>
        <v>2</v>
      </c>
      <c r="R150" s="11" t="str">
        <f t="shared" si="894"/>
        <v>29,560</v>
      </c>
      <c r="S150" s="11">
        <f t="shared" si="895"/>
        <v>4.1544444444444446E-2</v>
      </c>
      <c r="T150" s="14">
        <f t="shared" si="896"/>
        <v>2421.9844878309709</v>
      </c>
      <c r="U150" s="39">
        <f t="shared" si="897"/>
        <v>-100</v>
      </c>
      <c r="V150" s="105">
        <f t="shared" ref="V150:W150" si="928">V149</f>
        <v>20.399999999999999</v>
      </c>
      <c r="W150" s="105">
        <f t="shared" si="928"/>
        <v>1.5069999999999999</v>
      </c>
      <c r="X150" s="106">
        <f t="shared" si="831"/>
        <v>1.504</v>
      </c>
      <c r="Y150" s="53"/>
      <c r="Z150" s="53"/>
      <c r="AA150" s="107">
        <f t="shared" ref="AA150:AB150" si="929">AA149</f>
        <v>10.015000000000001</v>
      </c>
      <c r="AB150" s="108" t="str">
        <f t="shared" si="929"/>
        <v>22,10,090</v>
      </c>
      <c r="AC150" s="11" t="str">
        <f t="shared" si="900"/>
        <v>22</v>
      </c>
      <c r="AD150" s="11" t="str">
        <f t="shared" si="901"/>
        <v>10,090</v>
      </c>
      <c r="AE150" s="11">
        <f t="shared" si="902"/>
        <v>0.36946944444444441</v>
      </c>
      <c r="AF150" s="14">
        <f t="shared" si="903"/>
        <v>27.106436406558959</v>
      </c>
      <c r="AG150" s="41">
        <f t="shared" si="904"/>
        <v>-100</v>
      </c>
      <c r="AH150" s="105">
        <f t="shared" si="846"/>
        <v>20.3</v>
      </c>
      <c r="AI150" s="105">
        <f t="shared" si="846"/>
        <v>1.5089999999999999</v>
      </c>
      <c r="AJ150" s="105">
        <f t="shared" si="846"/>
        <v>1.504</v>
      </c>
      <c r="AK150" s="53">
        <f t="shared" si="905"/>
        <v>0</v>
      </c>
      <c r="AL150" s="53"/>
      <c r="AM150" s="54">
        <f t="shared" ref="AM150:AN150" si="930">AM149</f>
        <v>5.0129999999999999</v>
      </c>
      <c r="AN150" s="101" t="str">
        <f t="shared" si="930"/>
        <v>17,59,050</v>
      </c>
      <c r="AO150" s="11" t="str">
        <f t="shared" si="907"/>
        <v>17</v>
      </c>
      <c r="AP150" s="11" t="str">
        <f t="shared" si="908"/>
        <v>59,050</v>
      </c>
      <c r="AQ150" s="11">
        <f t="shared" si="909"/>
        <v>0.29973611111111109</v>
      </c>
      <c r="AR150" s="14">
        <f t="shared" si="910"/>
        <v>16.724711551827998</v>
      </c>
      <c r="AS150" s="41">
        <f t="shared" si="911"/>
        <v>-100</v>
      </c>
      <c r="AT150" s="43" t="str">
        <f t="shared" si="912"/>
        <v>NO CONFORME</v>
      </c>
      <c r="AU150" s="8" t="b">
        <f t="shared" si="834"/>
        <v>1</v>
      </c>
      <c r="AV150" s="8" t="b">
        <f t="shared" si="835"/>
        <v>0</v>
      </c>
      <c r="AW150" s="8" t="b">
        <f t="shared" si="836"/>
        <v>1</v>
      </c>
      <c r="AX150" s="8" t="str">
        <f t="shared" si="837"/>
        <v>Qcorrecto</v>
      </c>
      <c r="AY150" s="22" t="str">
        <f t="shared" si="817"/>
        <v>aceptable</v>
      </c>
      <c r="AZ150" s="22" t="str">
        <f t="shared" si="818"/>
        <v>aceptable</v>
      </c>
      <c r="BA150" s="22" t="str">
        <f t="shared" si="838"/>
        <v>aceptable</v>
      </c>
      <c r="BB150" s="25" t="str">
        <f t="shared" si="839"/>
        <v>NO CONFORME</v>
      </c>
      <c r="BC150" s="5" t="str">
        <f t="shared" si="840"/>
        <v>NO CONFORME</v>
      </c>
      <c r="BD150" s="15">
        <f t="shared" si="819"/>
        <v>-1</v>
      </c>
      <c r="BE150" s="15">
        <f t="shared" si="820"/>
        <v>-1</v>
      </c>
      <c r="BF150" s="15">
        <f t="shared" si="821"/>
        <v>-1</v>
      </c>
      <c r="BG150" s="15" t="str">
        <f t="shared" si="822"/>
        <v>-1-1-1</v>
      </c>
      <c r="BH150" s="15" t="str">
        <f t="shared" si="823"/>
        <v>SD</v>
      </c>
      <c r="BI150" s="15" t="str">
        <f t="shared" si="824"/>
        <v>SI</v>
      </c>
      <c r="BJ150" s="15" t="b">
        <f t="shared" si="825"/>
        <v>1</v>
      </c>
      <c r="BK150" s="15" t="str">
        <f t="shared" si="826"/>
        <v>SIGIGUALES</v>
      </c>
      <c r="BL150" s="22" t="str">
        <f t="shared" si="827"/>
        <v>NO CONFORME</v>
      </c>
    </row>
    <row r="151" spans="1:64" ht="15.75" thickBot="1" x14ac:dyDescent="0.3">
      <c r="A151" s="37">
        <v>143</v>
      </c>
      <c r="B151" s="93">
        <f t="shared" ref="B151:E151" si="931">B150</f>
        <v>45919</v>
      </c>
      <c r="C151" s="93">
        <f t="shared" si="931"/>
        <v>45919</v>
      </c>
      <c r="D151" s="94">
        <f t="shared" si="931"/>
        <v>6</v>
      </c>
      <c r="E151" s="95">
        <f t="shared" si="931"/>
        <v>15</v>
      </c>
      <c r="F151" s="52"/>
      <c r="G151" s="96"/>
      <c r="H151" s="97">
        <f t="shared" ref="H151:L151" si="932">H150</f>
        <v>25.6</v>
      </c>
      <c r="I151" s="98">
        <f t="shared" si="932"/>
        <v>0</v>
      </c>
      <c r="J151" s="99">
        <f t="shared" si="932"/>
        <v>20.9</v>
      </c>
      <c r="K151" s="99">
        <f t="shared" si="932"/>
        <v>7.883</v>
      </c>
      <c r="L151" s="99">
        <f t="shared" si="932"/>
        <v>0.55400000000000005</v>
      </c>
      <c r="M151" s="53"/>
      <c r="N151" s="53"/>
      <c r="O151" s="100">
        <f t="shared" ref="O151:P151" si="933">O150</f>
        <v>100.62</v>
      </c>
      <c r="P151" s="101" t="str">
        <f t="shared" si="933"/>
        <v>2,29,560</v>
      </c>
      <c r="Q151" s="11" t="str">
        <f t="shared" si="893"/>
        <v>2</v>
      </c>
      <c r="R151" s="11" t="str">
        <f t="shared" si="894"/>
        <v>29,560</v>
      </c>
      <c r="S151" s="11">
        <f t="shared" si="895"/>
        <v>4.1544444444444446E-2</v>
      </c>
      <c r="T151" s="14">
        <f t="shared" si="896"/>
        <v>2421.9844878309709</v>
      </c>
      <c r="U151" s="39">
        <f t="shared" si="897"/>
        <v>-100</v>
      </c>
      <c r="V151" s="105">
        <f t="shared" ref="V151:W151" si="934">V150</f>
        <v>20.399999999999999</v>
      </c>
      <c r="W151" s="105">
        <f t="shared" si="934"/>
        <v>1.5069999999999999</v>
      </c>
      <c r="X151" s="106">
        <f t="shared" si="831"/>
        <v>1.504</v>
      </c>
      <c r="Y151" s="53"/>
      <c r="Z151" s="53"/>
      <c r="AA151" s="107">
        <f t="shared" ref="AA151:AB151" si="935">AA150</f>
        <v>10.015000000000001</v>
      </c>
      <c r="AB151" s="108" t="str">
        <f t="shared" si="935"/>
        <v>22,10,090</v>
      </c>
      <c r="AC151" s="11" t="str">
        <f t="shared" si="900"/>
        <v>22</v>
      </c>
      <c r="AD151" s="11" t="str">
        <f t="shared" si="901"/>
        <v>10,090</v>
      </c>
      <c r="AE151" s="11">
        <f t="shared" si="902"/>
        <v>0.36946944444444441</v>
      </c>
      <c r="AF151" s="14">
        <f t="shared" si="903"/>
        <v>27.106436406558959</v>
      </c>
      <c r="AG151" s="41">
        <f t="shared" si="904"/>
        <v>-100</v>
      </c>
      <c r="AH151" s="105">
        <f t="shared" si="846"/>
        <v>20.3</v>
      </c>
      <c r="AI151" s="105">
        <f t="shared" si="846"/>
        <v>1.5089999999999999</v>
      </c>
      <c r="AJ151" s="105">
        <f t="shared" si="846"/>
        <v>1.504</v>
      </c>
      <c r="AK151" s="53">
        <f t="shared" si="905"/>
        <v>0</v>
      </c>
      <c r="AL151" s="53"/>
      <c r="AM151" s="54">
        <f t="shared" ref="AM151:AN151" si="936">AM150</f>
        <v>5.0129999999999999</v>
      </c>
      <c r="AN151" s="101" t="str">
        <f t="shared" si="936"/>
        <v>17,59,050</v>
      </c>
      <c r="AO151" s="11" t="str">
        <f t="shared" si="907"/>
        <v>17</v>
      </c>
      <c r="AP151" s="11" t="str">
        <f t="shared" si="908"/>
        <v>59,050</v>
      </c>
      <c r="AQ151" s="11">
        <f t="shared" si="909"/>
        <v>0.29973611111111109</v>
      </c>
      <c r="AR151" s="14">
        <f t="shared" si="910"/>
        <v>16.724711551827998</v>
      </c>
      <c r="AS151" s="41">
        <f t="shared" si="911"/>
        <v>-100</v>
      </c>
      <c r="AT151" s="43" t="str">
        <f t="shared" si="912"/>
        <v>NO CONFORME</v>
      </c>
      <c r="AU151" s="8" t="b">
        <f t="shared" si="834"/>
        <v>1</v>
      </c>
      <c r="AV151" s="8" t="b">
        <f t="shared" si="835"/>
        <v>0</v>
      </c>
      <c r="AW151" s="8" t="b">
        <f t="shared" si="836"/>
        <v>1</v>
      </c>
      <c r="AX151" s="8" t="str">
        <f t="shared" si="837"/>
        <v>Qcorrecto</v>
      </c>
      <c r="AY151" s="22" t="str">
        <f t="shared" si="817"/>
        <v>aceptable</v>
      </c>
      <c r="AZ151" s="22" t="str">
        <f t="shared" si="818"/>
        <v>aceptable</v>
      </c>
      <c r="BA151" s="22" t="str">
        <f t="shared" si="838"/>
        <v>aceptable</v>
      </c>
      <c r="BB151" s="25" t="str">
        <f t="shared" si="839"/>
        <v>NO CONFORME</v>
      </c>
      <c r="BC151" s="5" t="str">
        <f t="shared" si="840"/>
        <v>NO CONFORME</v>
      </c>
      <c r="BD151" s="15">
        <f t="shared" si="819"/>
        <v>-1</v>
      </c>
      <c r="BE151" s="15">
        <f t="shared" si="820"/>
        <v>-1</v>
      </c>
      <c r="BF151" s="15">
        <f t="shared" si="821"/>
        <v>-1</v>
      </c>
      <c r="BG151" s="15" t="str">
        <f t="shared" si="822"/>
        <v>-1-1-1</v>
      </c>
      <c r="BH151" s="15" t="str">
        <f t="shared" si="823"/>
        <v>SD</v>
      </c>
      <c r="BI151" s="15" t="str">
        <f t="shared" si="824"/>
        <v>SI</v>
      </c>
      <c r="BJ151" s="15" t="b">
        <f t="shared" si="825"/>
        <v>1</v>
      </c>
      <c r="BK151" s="15" t="str">
        <f t="shared" si="826"/>
        <v>SIGIGUALES</v>
      </c>
      <c r="BL151" s="22" t="str">
        <f t="shared" si="827"/>
        <v>NO CONFORME</v>
      </c>
    </row>
    <row r="152" spans="1:64" ht="15.75" thickBot="1" x14ac:dyDescent="0.3">
      <c r="A152" s="37">
        <v>144</v>
      </c>
      <c r="B152" s="93">
        <f t="shared" ref="B152:E152" si="937">B151</f>
        <v>45919</v>
      </c>
      <c r="C152" s="93">
        <f t="shared" si="937"/>
        <v>45919</v>
      </c>
      <c r="D152" s="94">
        <f t="shared" si="937"/>
        <v>6</v>
      </c>
      <c r="E152" s="95">
        <f t="shared" si="937"/>
        <v>15</v>
      </c>
      <c r="F152" s="52"/>
      <c r="G152" s="96"/>
      <c r="H152" s="97">
        <f t="shared" ref="H152:L152" si="938">H151</f>
        <v>25.6</v>
      </c>
      <c r="I152" s="98">
        <f t="shared" si="938"/>
        <v>0</v>
      </c>
      <c r="J152" s="99">
        <f t="shared" si="938"/>
        <v>20.9</v>
      </c>
      <c r="K152" s="99">
        <f t="shared" si="938"/>
        <v>7.883</v>
      </c>
      <c r="L152" s="99">
        <f t="shared" si="938"/>
        <v>0.55400000000000005</v>
      </c>
      <c r="M152" s="53"/>
      <c r="N152" s="53"/>
      <c r="O152" s="100">
        <f t="shared" ref="O152:P152" si="939">O151</f>
        <v>100.62</v>
      </c>
      <c r="P152" s="101" t="str">
        <f t="shared" si="939"/>
        <v>2,29,560</v>
      </c>
      <c r="Q152" s="11" t="str">
        <f t="shared" si="893"/>
        <v>2</v>
      </c>
      <c r="R152" s="11" t="str">
        <f t="shared" si="894"/>
        <v>29,560</v>
      </c>
      <c r="S152" s="11">
        <f t="shared" si="895"/>
        <v>4.1544444444444446E-2</v>
      </c>
      <c r="T152" s="14">
        <f t="shared" si="896"/>
        <v>2421.9844878309709</v>
      </c>
      <c r="U152" s="39">
        <f t="shared" si="897"/>
        <v>-100</v>
      </c>
      <c r="V152" s="105">
        <f t="shared" ref="V152:W152" si="940">V151</f>
        <v>20.399999999999999</v>
      </c>
      <c r="W152" s="105">
        <f t="shared" si="940"/>
        <v>1.5069999999999999</v>
      </c>
      <c r="X152" s="106">
        <f t="shared" si="831"/>
        <v>1.504</v>
      </c>
      <c r="Y152" s="53"/>
      <c r="Z152" s="53"/>
      <c r="AA152" s="107">
        <f t="shared" ref="AA152:AB152" si="941">AA151</f>
        <v>10.015000000000001</v>
      </c>
      <c r="AB152" s="108" t="str">
        <f t="shared" si="941"/>
        <v>22,10,090</v>
      </c>
      <c r="AC152" s="11" t="str">
        <f t="shared" si="900"/>
        <v>22</v>
      </c>
      <c r="AD152" s="11" t="str">
        <f t="shared" si="901"/>
        <v>10,090</v>
      </c>
      <c r="AE152" s="11">
        <f t="shared" si="902"/>
        <v>0.36946944444444441</v>
      </c>
      <c r="AF152" s="14">
        <f t="shared" si="903"/>
        <v>27.106436406558959</v>
      </c>
      <c r="AG152" s="41">
        <f t="shared" si="904"/>
        <v>-100</v>
      </c>
      <c r="AH152" s="105">
        <f t="shared" si="846"/>
        <v>20.3</v>
      </c>
      <c r="AI152" s="105">
        <f t="shared" si="846"/>
        <v>1.5089999999999999</v>
      </c>
      <c r="AJ152" s="105">
        <f t="shared" si="846"/>
        <v>1.504</v>
      </c>
      <c r="AK152" s="53">
        <f t="shared" si="905"/>
        <v>0</v>
      </c>
      <c r="AL152" s="53"/>
      <c r="AM152" s="54">
        <f t="shared" ref="AM152:AN152" si="942">AM151</f>
        <v>5.0129999999999999</v>
      </c>
      <c r="AN152" s="101" t="str">
        <f t="shared" si="942"/>
        <v>17,59,050</v>
      </c>
      <c r="AO152" s="11" t="str">
        <f t="shared" si="907"/>
        <v>17</v>
      </c>
      <c r="AP152" s="11" t="str">
        <f t="shared" si="908"/>
        <v>59,050</v>
      </c>
      <c r="AQ152" s="11">
        <f t="shared" si="909"/>
        <v>0.29973611111111109</v>
      </c>
      <c r="AR152" s="14">
        <f t="shared" si="910"/>
        <v>16.724711551827998</v>
      </c>
      <c r="AS152" s="41">
        <f t="shared" si="911"/>
        <v>-100</v>
      </c>
      <c r="AT152" s="43" t="str">
        <f t="shared" si="912"/>
        <v>NO CONFORME</v>
      </c>
      <c r="AU152" s="8" t="b">
        <f t="shared" si="834"/>
        <v>1</v>
      </c>
      <c r="AV152" s="8" t="b">
        <f t="shared" si="835"/>
        <v>0</v>
      </c>
      <c r="AW152" s="8" t="b">
        <f t="shared" si="836"/>
        <v>1</v>
      </c>
      <c r="AX152" s="8" t="str">
        <f t="shared" si="837"/>
        <v>Qcorrecto</v>
      </c>
      <c r="AY152" s="22" t="str">
        <f t="shared" si="817"/>
        <v>aceptable</v>
      </c>
      <c r="AZ152" s="22" t="str">
        <f t="shared" si="818"/>
        <v>aceptable</v>
      </c>
      <c r="BA152" s="22" t="str">
        <f t="shared" si="838"/>
        <v>aceptable</v>
      </c>
      <c r="BB152" s="25" t="str">
        <f t="shared" si="839"/>
        <v>NO CONFORME</v>
      </c>
      <c r="BC152" s="5" t="str">
        <f t="shared" si="840"/>
        <v>NO CONFORME</v>
      </c>
      <c r="BD152" s="15">
        <f t="shared" si="819"/>
        <v>-1</v>
      </c>
      <c r="BE152" s="15">
        <f t="shared" si="820"/>
        <v>-1</v>
      </c>
      <c r="BF152" s="15">
        <f t="shared" si="821"/>
        <v>-1</v>
      </c>
      <c r="BG152" s="15" t="str">
        <f t="shared" si="822"/>
        <v>-1-1-1</v>
      </c>
      <c r="BH152" s="15" t="str">
        <f t="shared" si="823"/>
        <v>SD</v>
      </c>
      <c r="BI152" s="15" t="str">
        <f t="shared" si="824"/>
        <v>SI</v>
      </c>
      <c r="BJ152" s="15" t="b">
        <f t="shared" si="825"/>
        <v>1</v>
      </c>
      <c r="BK152" s="15" t="str">
        <f t="shared" si="826"/>
        <v>SIGIGUALES</v>
      </c>
      <c r="BL152" s="22" t="str">
        <f t="shared" si="827"/>
        <v>NO CONFORME</v>
      </c>
    </row>
    <row r="153" spans="1:64" ht="15.75" thickBot="1" x14ac:dyDescent="0.3">
      <c r="A153" s="37">
        <v>145</v>
      </c>
      <c r="B153" s="93">
        <f t="shared" ref="B153:E153" si="943">B152</f>
        <v>45919</v>
      </c>
      <c r="C153" s="93">
        <f t="shared" si="943"/>
        <v>45919</v>
      </c>
      <c r="D153" s="94">
        <f t="shared" si="943"/>
        <v>6</v>
      </c>
      <c r="E153" s="95">
        <f t="shared" si="943"/>
        <v>15</v>
      </c>
      <c r="F153" s="52"/>
      <c r="G153" s="96"/>
      <c r="H153" s="97">
        <f t="shared" ref="H153:L153" si="944">H152</f>
        <v>25.6</v>
      </c>
      <c r="I153" s="98">
        <f t="shared" si="944"/>
        <v>0</v>
      </c>
      <c r="J153" s="99">
        <f t="shared" si="944"/>
        <v>20.9</v>
      </c>
      <c r="K153" s="99">
        <f t="shared" si="944"/>
        <v>7.883</v>
      </c>
      <c r="L153" s="99">
        <f t="shared" si="944"/>
        <v>0.55400000000000005</v>
      </c>
      <c r="M153" s="53"/>
      <c r="N153" s="53"/>
      <c r="O153" s="100">
        <f t="shared" ref="O153:P153" si="945">O152</f>
        <v>100.62</v>
      </c>
      <c r="P153" s="101" t="str">
        <f t="shared" si="945"/>
        <v>2,29,560</v>
      </c>
      <c r="Q153" s="11" t="str">
        <f t="shared" si="893"/>
        <v>2</v>
      </c>
      <c r="R153" s="11" t="str">
        <f t="shared" si="894"/>
        <v>29,560</v>
      </c>
      <c r="S153" s="11">
        <f t="shared" si="895"/>
        <v>4.1544444444444446E-2</v>
      </c>
      <c r="T153" s="14">
        <f t="shared" si="896"/>
        <v>2421.9844878309709</v>
      </c>
      <c r="U153" s="39">
        <f t="shared" si="897"/>
        <v>-100</v>
      </c>
      <c r="V153" s="105">
        <f t="shared" ref="V153:W153" si="946">V152</f>
        <v>20.399999999999999</v>
      </c>
      <c r="W153" s="105">
        <f t="shared" si="946"/>
        <v>1.5069999999999999</v>
      </c>
      <c r="X153" s="106">
        <f t="shared" si="831"/>
        <v>1.504</v>
      </c>
      <c r="Y153" s="53"/>
      <c r="Z153" s="53"/>
      <c r="AA153" s="107">
        <f t="shared" ref="AA153:AB153" si="947">AA152</f>
        <v>10.015000000000001</v>
      </c>
      <c r="AB153" s="108" t="str">
        <f t="shared" si="947"/>
        <v>22,10,090</v>
      </c>
      <c r="AC153" s="11" t="str">
        <f t="shared" si="900"/>
        <v>22</v>
      </c>
      <c r="AD153" s="11" t="str">
        <f t="shared" si="901"/>
        <v>10,090</v>
      </c>
      <c r="AE153" s="11">
        <f t="shared" si="902"/>
        <v>0.36946944444444441</v>
      </c>
      <c r="AF153" s="14">
        <f t="shared" si="903"/>
        <v>27.106436406558959</v>
      </c>
      <c r="AG153" s="41">
        <f t="shared" si="904"/>
        <v>-100</v>
      </c>
      <c r="AH153" s="105">
        <f t="shared" si="846"/>
        <v>20.3</v>
      </c>
      <c r="AI153" s="105">
        <f t="shared" si="846"/>
        <v>1.5089999999999999</v>
      </c>
      <c r="AJ153" s="105">
        <f t="shared" si="846"/>
        <v>1.504</v>
      </c>
      <c r="AK153" s="53">
        <f t="shared" si="905"/>
        <v>0</v>
      </c>
      <c r="AL153" s="53"/>
      <c r="AM153" s="54">
        <f t="shared" ref="AM153:AN153" si="948">AM152</f>
        <v>5.0129999999999999</v>
      </c>
      <c r="AN153" s="101" t="str">
        <f t="shared" si="948"/>
        <v>17,59,050</v>
      </c>
      <c r="AO153" s="11" t="str">
        <f t="shared" si="907"/>
        <v>17</v>
      </c>
      <c r="AP153" s="11" t="str">
        <f t="shared" si="908"/>
        <v>59,050</v>
      </c>
      <c r="AQ153" s="11">
        <f t="shared" si="909"/>
        <v>0.29973611111111109</v>
      </c>
      <c r="AR153" s="14">
        <f t="shared" si="910"/>
        <v>16.724711551827998</v>
      </c>
      <c r="AS153" s="41">
        <f t="shared" si="911"/>
        <v>-100</v>
      </c>
      <c r="AT153" s="43" t="str">
        <f t="shared" si="912"/>
        <v>NO CONFORME</v>
      </c>
      <c r="AU153" s="8" t="b">
        <f t="shared" si="834"/>
        <v>1</v>
      </c>
      <c r="AV153" s="8" t="b">
        <f t="shared" si="835"/>
        <v>0</v>
      </c>
      <c r="AW153" s="8" t="b">
        <f t="shared" si="836"/>
        <v>1</v>
      </c>
      <c r="AX153" s="8" t="str">
        <f t="shared" si="837"/>
        <v>Qcorrecto</v>
      </c>
      <c r="AY153" s="22" t="str">
        <f t="shared" si="817"/>
        <v>aceptable</v>
      </c>
      <c r="AZ153" s="22" t="str">
        <f t="shared" si="818"/>
        <v>aceptable</v>
      </c>
      <c r="BA153" s="22" t="str">
        <f t="shared" si="838"/>
        <v>aceptable</v>
      </c>
      <c r="BB153" s="25" t="str">
        <f t="shared" si="839"/>
        <v>NO CONFORME</v>
      </c>
      <c r="BC153" s="5" t="str">
        <f t="shared" si="840"/>
        <v>NO CONFORME</v>
      </c>
      <c r="BD153" s="15">
        <f t="shared" si="819"/>
        <v>-1</v>
      </c>
      <c r="BE153" s="15">
        <f t="shared" si="820"/>
        <v>-1</v>
      </c>
      <c r="BF153" s="15">
        <f t="shared" si="821"/>
        <v>-1</v>
      </c>
      <c r="BG153" s="15" t="str">
        <f t="shared" si="822"/>
        <v>-1-1-1</v>
      </c>
      <c r="BH153" s="15" t="str">
        <f t="shared" si="823"/>
        <v>SD</v>
      </c>
      <c r="BI153" s="15" t="str">
        <f t="shared" si="824"/>
        <v>SI</v>
      </c>
      <c r="BJ153" s="15" t="b">
        <f t="shared" si="825"/>
        <v>1</v>
      </c>
      <c r="BK153" s="15" t="str">
        <f t="shared" si="826"/>
        <v>SIGIGUALES</v>
      </c>
      <c r="BL153" s="22" t="str">
        <f t="shared" si="827"/>
        <v>NO CONFORME</v>
      </c>
    </row>
    <row r="154" spans="1:64" ht="15.75" thickBot="1" x14ac:dyDescent="0.3">
      <c r="A154" s="37">
        <v>146</v>
      </c>
      <c r="B154" s="93">
        <f t="shared" ref="B154:E154" si="949">B153</f>
        <v>45919</v>
      </c>
      <c r="C154" s="93">
        <f t="shared" si="949"/>
        <v>45919</v>
      </c>
      <c r="D154" s="94">
        <f t="shared" si="949"/>
        <v>6</v>
      </c>
      <c r="E154" s="95">
        <f t="shared" si="949"/>
        <v>15</v>
      </c>
      <c r="F154" s="52"/>
      <c r="G154" s="96"/>
      <c r="H154" s="97">
        <f t="shared" ref="H154:L154" si="950">H153</f>
        <v>25.6</v>
      </c>
      <c r="I154" s="98">
        <f t="shared" si="950"/>
        <v>0</v>
      </c>
      <c r="J154" s="99">
        <f t="shared" si="950"/>
        <v>20.9</v>
      </c>
      <c r="K154" s="99">
        <f t="shared" si="950"/>
        <v>7.883</v>
      </c>
      <c r="L154" s="99">
        <f t="shared" si="950"/>
        <v>0.55400000000000005</v>
      </c>
      <c r="M154" s="53"/>
      <c r="N154" s="53"/>
      <c r="O154" s="100">
        <f t="shared" ref="O154:P154" si="951">O153</f>
        <v>100.62</v>
      </c>
      <c r="P154" s="101" t="str">
        <f t="shared" si="951"/>
        <v>2,29,560</v>
      </c>
      <c r="Q154" s="11" t="str">
        <f t="shared" si="893"/>
        <v>2</v>
      </c>
      <c r="R154" s="11" t="str">
        <f t="shared" si="894"/>
        <v>29,560</v>
      </c>
      <c r="S154" s="11">
        <f t="shared" si="895"/>
        <v>4.1544444444444446E-2</v>
      </c>
      <c r="T154" s="14">
        <f t="shared" si="896"/>
        <v>2421.9844878309709</v>
      </c>
      <c r="U154" s="39">
        <f t="shared" si="897"/>
        <v>-100</v>
      </c>
      <c r="V154" s="105">
        <f t="shared" ref="V154:X169" si="952">V153</f>
        <v>20.399999999999999</v>
      </c>
      <c r="W154" s="105">
        <f t="shared" si="952"/>
        <v>1.5069999999999999</v>
      </c>
      <c r="X154" s="106">
        <f t="shared" si="952"/>
        <v>1.504</v>
      </c>
      <c r="Y154" s="53"/>
      <c r="Z154" s="53"/>
      <c r="AA154" s="107">
        <f t="shared" ref="AA154:AB154" si="953">AA153</f>
        <v>10.015000000000001</v>
      </c>
      <c r="AB154" s="108" t="str">
        <f t="shared" si="953"/>
        <v>22,10,090</v>
      </c>
      <c r="AC154" s="11" t="str">
        <f t="shared" si="900"/>
        <v>22</v>
      </c>
      <c r="AD154" s="11" t="str">
        <f t="shared" si="901"/>
        <v>10,090</v>
      </c>
      <c r="AE154" s="11">
        <f t="shared" si="902"/>
        <v>0.36946944444444441</v>
      </c>
      <c r="AF154" s="14">
        <f t="shared" si="903"/>
        <v>27.106436406558959</v>
      </c>
      <c r="AG154" s="41">
        <f t="shared" si="904"/>
        <v>-100</v>
      </c>
      <c r="AH154" s="105">
        <f t="shared" si="846"/>
        <v>20.3</v>
      </c>
      <c r="AI154" s="105">
        <f t="shared" si="846"/>
        <v>1.5089999999999999</v>
      </c>
      <c r="AJ154" s="105">
        <f t="shared" si="846"/>
        <v>1.504</v>
      </c>
      <c r="AK154" s="53">
        <f t="shared" si="905"/>
        <v>0</v>
      </c>
      <c r="AL154" s="53"/>
      <c r="AM154" s="54">
        <f t="shared" ref="AM154:AN154" si="954">AM153</f>
        <v>5.0129999999999999</v>
      </c>
      <c r="AN154" s="101" t="str">
        <f t="shared" si="954"/>
        <v>17,59,050</v>
      </c>
      <c r="AO154" s="11" t="str">
        <f t="shared" si="907"/>
        <v>17</v>
      </c>
      <c r="AP154" s="11" t="str">
        <f t="shared" si="908"/>
        <v>59,050</v>
      </c>
      <c r="AQ154" s="11">
        <f t="shared" si="909"/>
        <v>0.29973611111111109</v>
      </c>
      <c r="AR154" s="14">
        <f t="shared" si="910"/>
        <v>16.724711551827998</v>
      </c>
      <c r="AS154" s="41">
        <f t="shared" si="911"/>
        <v>-100</v>
      </c>
      <c r="AT154" s="43" t="str">
        <f t="shared" si="912"/>
        <v>NO CONFORME</v>
      </c>
      <c r="AU154" s="8" t="b">
        <f t="shared" si="834"/>
        <v>1</v>
      </c>
      <c r="AV154" s="8" t="b">
        <f t="shared" si="835"/>
        <v>0</v>
      </c>
      <c r="AW154" s="8" t="b">
        <f t="shared" si="836"/>
        <v>1</v>
      </c>
      <c r="AX154" s="8" t="str">
        <f t="shared" si="837"/>
        <v>Qcorrecto</v>
      </c>
      <c r="AY154" s="22" t="str">
        <f t="shared" si="817"/>
        <v>aceptable</v>
      </c>
      <c r="AZ154" s="22" t="str">
        <f t="shared" si="818"/>
        <v>aceptable</v>
      </c>
      <c r="BA154" s="22" t="str">
        <f t="shared" si="838"/>
        <v>aceptable</v>
      </c>
      <c r="BB154" s="25" t="str">
        <f t="shared" si="839"/>
        <v>NO CONFORME</v>
      </c>
      <c r="BC154" s="5" t="str">
        <f t="shared" si="840"/>
        <v>NO CONFORME</v>
      </c>
      <c r="BD154" s="15">
        <f t="shared" si="819"/>
        <v>-1</v>
      </c>
      <c r="BE154" s="15">
        <f t="shared" si="820"/>
        <v>-1</v>
      </c>
      <c r="BF154" s="15">
        <f t="shared" si="821"/>
        <v>-1</v>
      </c>
      <c r="BG154" s="15" t="str">
        <f t="shared" si="822"/>
        <v>-1-1-1</v>
      </c>
      <c r="BH154" s="15" t="str">
        <f t="shared" si="823"/>
        <v>SD</v>
      </c>
      <c r="BI154" s="15" t="str">
        <f t="shared" si="824"/>
        <v>SI</v>
      </c>
      <c r="BJ154" s="15" t="b">
        <f t="shared" si="825"/>
        <v>1</v>
      </c>
      <c r="BK154" s="15" t="str">
        <f t="shared" si="826"/>
        <v>SIGIGUALES</v>
      </c>
      <c r="BL154" s="22" t="str">
        <f t="shared" si="827"/>
        <v>NO CONFORME</v>
      </c>
    </row>
    <row r="155" spans="1:64" ht="15.75" thickBot="1" x14ac:dyDescent="0.3">
      <c r="A155" s="37">
        <v>147</v>
      </c>
      <c r="B155" s="93">
        <f t="shared" ref="B155:E155" si="955">B154</f>
        <v>45919</v>
      </c>
      <c r="C155" s="93">
        <f t="shared" si="955"/>
        <v>45919</v>
      </c>
      <c r="D155" s="94">
        <f t="shared" si="955"/>
        <v>6</v>
      </c>
      <c r="E155" s="95">
        <f t="shared" si="955"/>
        <v>15</v>
      </c>
      <c r="F155" s="52"/>
      <c r="G155" s="96"/>
      <c r="H155" s="97">
        <f t="shared" ref="H155:L155" si="956">H154</f>
        <v>25.6</v>
      </c>
      <c r="I155" s="98">
        <f t="shared" si="956"/>
        <v>0</v>
      </c>
      <c r="J155" s="99">
        <f t="shared" si="956"/>
        <v>20.9</v>
      </c>
      <c r="K155" s="99">
        <f t="shared" si="956"/>
        <v>7.883</v>
      </c>
      <c r="L155" s="99">
        <f t="shared" si="956"/>
        <v>0.55400000000000005</v>
      </c>
      <c r="M155" s="53"/>
      <c r="N155" s="53"/>
      <c r="O155" s="100">
        <f t="shared" ref="O155:P155" si="957">O154</f>
        <v>100.62</v>
      </c>
      <c r="P155" s="101" t="str">
        <f t="shared" si="957"/>
        <v>2,29,560</v>
      </c>
      <c r="Q155" s="11" t="str">
        <f t="shared" si="893"/>
        <v>2</v>
      </c>
      <c r="R155" s="11" t="str">
        <f t="shared" si="894"/>
        <v>29,560</v>
      </c>
      <c r="S155" s="11">
        <f t="shared" si="895"/>
        <v>4.1544444444444446E-2</v>
      </c>
      <c r="T155" s="14">
        <f t="shared" si="896"/>
        <v>2421.9844878309709</v>
      </c>
      <c r="U155" s="39">
        <f t="shared" si="897"/>
        <v>-100</v>
      </c>
      <c r="V155" s="105">
        <f t="shared" ref="V155:W155" si="958">V154</f>
        <v>20.399999999999999</v>
      </c>
      <c r="W155" s="105">
        <f t="shared" si="958"/>
        <v>1.5069999999999999</v>
      </c>
      <c r="X155" s="106">
        <f t="shared" si="952"/>
        <v>1.504</v>
      </c>
      <c r="Y155" s="53"/>
      <c r="Z155" s="53"/>
      <c r="AA155" s="107">
        <f t="shared" ref="AA155:AB155" si="959">AA154</f>
        <v>10.015000000000001</v>
      </c>
      <c r="AB155" s="108" t="str">
        <f t="shared" si="959"/>
        <v>22,10,090</v>
      </c>
      <c r="AC155" s="11" t="str">
        <f t="shared" si="900"/>
        <v>22</v>
      </c>
      <c r="AD155" s="11" t="str">
        <f t="shared" si="901"/>
        <v>10,090</v>
      </c>
      <c r="AE155" s="11">
        <f t="shared" si="902"/>
        <v>0.36946944444444441</v>
      </c>
      <c r="AF155" s="14">
        <f t="shared" si="903"/>
        <v>27.106436406558959</v>
      </c>
      <c r="AG155" s="41">
        <f t="shared" si="904"/>
        <v>-100</v>
      </c>
      <c r="AH155" s="105">
        <f t="shared" ref="AH155:AJ170" si="960">AH154</f>
        <v>20.3</v>
      </c>
      <c r="AI155" s="105">
        <f t="shared" si="960"/>
        <v>1.5089999999999999</v>
      </c>
      <c r="AJ155" s="105">
        <f t="shared" si="960"/>
        <v>1.504</v>
      </c>
      <c r="AK155" s="53">
        <f t="shared" si="905"/>
        <v>0</v>
      </c>
      <c r="AL155" s="53"/>
      <c r="AM155" s="54">
        <f t="shared" ref="AM155:AN155" si="961">AM154</f>
        <v>5.0129999999999999</v>
      </c>
      <c r="AN155" s="101" t="str">
        <f t="shared" si="961"/>
        <v>17,59,050</v>
      </c>
      <c r="AO155" s="11" t="str">
        <f t="shared" si="907"/>
        <v>17</v>
      </c>
      <c r="AP155" s="11" t="str">
        <f t="shared" si="908"/>
        <v>59,050</v>
      </c>
      <c r="AQ155" s="11">
        <f t="shared" si="909"/>
        <v>0.29973611111111109</v>
      </c>
      <c r="AR155" s="14">
        <f t="shared" si="910"/>
        <v>16.724711551827998</v>
      </c>
      <c r="AS155" s="41">
        <f t="shared" si="911"/>
        <v>-100</v>
      </c>
      <c r="AT155" s="43" t="str">
        <f t="shared" si="912"/>
        <v>NO CONFORME</v>
      </c>
      <c r="AU155" s="8" t="b">
        <f t="shared" si="834"/>
        <v>1</v>
      </c>
      <c r="AV155" s="8" t="b">
        <f t="shared" si="835"/>
        <v>0</v>
      </c>
      <c r="AW155" s="8" t="b">
        <f t="shared" si="836"/>
        <v>1</v>
      </c>
      <c r="AX155" s="8" t="str">
        <f t="shared" si="837"/>
        <v>Qcorrecto</v>
      </c>
      <c r="AY155" s="22" t="str">
        <f t="shared" si="817"/>
        <v>aceptable</v>
      </c>
      <c r="AZ155" s="22" t="str">
        <f t="shared" si="818"/>
        <v>aceptable</v>
      </c>
      <c r="BA155" s="22" t="str">
        <f t="shared" si="838"/>
        <v>aceptable</v>
      </c>
      <c r="BB155" s="25" t="str">
        <f t="shared" si="839"/>
        <v>NO CONFORME</v>
      </c>
      <c r="BC155" s="5" t="str">
        <f t="shared" si="840"/>
        <v>NO CONFORME</v>
      </c>
      <c r="BD155" s="15">
        <f t="shared" si="819"/>
        <v>-1</v>
      </c>
      <c r="BE155" s="15">
        <f t="shared" si="820"/>
        <v>-1</v>
      </c>
      <c r="BF155" s="15">
        <f t="shared" si="821"/>
        <v>-1</v>
      </c>
      <c r="BG155" s="15" t="str">
        <f t="shared" si="822"/>
        <v>-1-1-1</v>
      </c>
      <c r="BH155" s="15" t="str">
        <f t="shared" si="823"/>
        <v>SD</v>
      </c>
      <c r="BI155" s="15" t="str">
        <f t="shared" si="824"/>
        <v>SI</v>
      </c>
      <c r="BJ155" s="15" t="b">
        <f t="shared" si="825"/>
        <v>1</v>
      </c>
      <c r="BK155" s="15" t="str">
        <f t="shared" si="826"/>
        <v>SIGIGUALES</v>
      </c>
      <c r="BL155" s="22" t="str">
        <f t="shared" si="827"/>
        <v>NO CONFORME</v>
      </c>
    </row>
    <row r="156" spans="1:64" ht="15.75" thickBot="1" x14ac:dyDescent="0.3">
      <c r="A156" s="37">
        <v>148</v>
      </c>
      <c r="B156" s="93">
        <f t="shared" ref="B156:E156" si="962">B155</f>
        <v>45919</v>
      </c>
      <c r="C156" s="93">
        <f t="shared" si="962"/>
        <v>45919</v>
      </c>
      <c r="D156" s="94">
        <f t="shared" si="962"/>
        <v>6</v>
      </c>
      <c r="E156" s="95">
        <f t="shared" si="962"/>
        <v>15</v>
      </c>
      <c r="F156" s="52"/>
      <c r="G156" s="96"/>
      <c r="H156" s="97">
        <f t="shared" ref="H156:L156" si="963">H155</f>
        <v>25.6</v>
      </c>
      <c r="I156" s="98">
        <f t="shared" si="963"/>
        <v>0</v>
      </c>
      <c r="J156" s="99">
        <f t="shared" si="963"/>
        <v>20.9</v>
      </c>
      <c r="K156" s="99">
        <f t="shared" si="963"/>
        <v>7.883</v>
      </c>
      <c r="L156" s="99">
        <f t="shared" si="963"/>
        <v>0.55400000000000005</v>
      </c>
      <c r="M156" s="53"/>
      <c r="N156" s="53"/>
      <c r="O156" s="100">
        <f t="shared" ref="O156:P156" si="964">O155</f>
        <v>100.62</v>
      </c>
      <c r="P156" s="101" t="str">
        <f t="shared" si="964"/>
        <v>2,29,560</v>
      </c>
      <c r="Q156" s="11" t="str">
        <f t="shared" si="893"/>
        <v>2</v>
      </c>
      <c r="R156" s="11" t="str">
        <f t="shared" si="894"/>
        <v>29,560</v>
      </c>
      <c r="S156" s="11">
        <f t="shared" si="895"/>
        <v>4.1544444444444446E-2</v>
      </c>
      <c r="T156" s="14">
        <f t="shared" si="896"/>
        <v>2421.9844878309709</v>
      </c>
      <c r="U156" s="39">
        <f t="shared" si="897"/>
        <v>-100</v>
      </c>
      <c r="V156" s="105">
        <f t="shared" ref="V156:W156" si="965">V155</f>
        <v>20.399999999999999</v>
      </c>
      <c r="W156" s="105">
        <f t="shared" si="965"/>
        <v>1.5069999999999999</v>
      </c>
      <c r="X156" s="106">
        <f t="shared" si="952"/>
        <v>1.504</v>
      </c>
      <c r="Y156" s="53"/>
      <c r="Z156" s="53"/>
      <c r="AA156" s="107">
        <f t="shared" ref="AA156:AB156" si="966">AA155</f>
        <v>10.015000000000001</v>
      </c>
      <c r="AB156" s="108" t="str">
        <f t="shared" si="966"/>
        <v>22,10,090</v>
      </c>
      <c r="AC156" s="11" t="str">
        <f t="shared" si="900"/>
        <v>22</v>
      </c>
      <c r="AD156" s="11" t="str">
        <f t="shared" si="901"/>
        <v>10,090</v>
      </c>
      <c r="AE156" s="11">
        <f t="shared" si="902"/>
        <v>0.36946944444444441</v>
      </c>
      <c r="AF156" s="14">
        <f t="shared" si="903"/>
        <v>27.106436406558959</v>
      </c>
      <c r="AG156" s="41">
        <f t="shared" si="904"/>
        <v>-100</v>
      </c>
      <c r="AH156" s="105">
        <f t="shared" si="960"/>
        <v>20.3</v>
      </c>
      <c r="AI156" s="105">
        <f t="shared" si="960"/>
        <v>1.5089999999999999</v>
      </c>
      <c r="AJ156" s="105">
        <f t="shared" si="960"/>
        <v>1.504</v>
      </c>
      <c r="AK156" s="53">
        <f t="shared" si="905"/>
        <v>0</v>
      </c>
      <c r="AL156" s="53"/>
      <c r="AM156" s="54">
        <f t="shared" ref="AM156:AN156" si="967">AM155</f>
        <v>5.0129999999999999</v>
      </c>
      <c r="AN156" s="101" t="str">
        <f t="shared" si="967"/>
        <v>17,59,050</v>
      </c>
      <c r="AO156" s="11" t="str">
        <f t="shared" si="907"/>
        <v>17</v>
      </c>
      <c r="AP156" s="11" t="str">
        <f t="shared" si="908"/>
        <v>59,050</v>
      </c>
      <c r="AQ156" s="11">
        <f t="shared" si="909"/>
        <v>0.29973611111111109</v>
      </c>
      <c r="AR156" s="14">
        <f t="shared" si="910"/>
        <v>16.724711551827998</v>
      </c>
      <c r="AS156" s="41">
        <f t="shared" si="911"/>
        <v>-100</v>
      </c>
      <c r="AT156" s="43" t="str">
        <f t="shared" si="912"/>
        <v>NO CONFORME</v>
      </c>
      <c r="AU156" s="8" t="b">
        <f t="shared" si="834"/>
        <v>1</v>
      </c>
      <c r="AV156" s="8" t="b">
        <f t="shared" si="835"/>
        <v>0</v>
      </c>
      <c r="AW156" s="8" t="b">
        <f t="shared" si="836"/>
        <v>1</v>
      </c>
      <c r="AX156" s="8" t="str">
        <f t="shared" si="837"/>
        <v>Qcorrecto</v>
      </c>
      <c r="AY156" s="22" t="str">
        <f t="shared" si="817"/>
        <v>aceptable</v>
      </c>
      <c r="AZ156" s="22" t="str">
        <f t="shared" si="818"/>
        <v>aceptable</v>
      </c>
      <c r="BA156" s="22" t="str">
        <f t="shared" si="838"/>
        <v>aceptable</v>
      </c>
      <c r="BB156" s="25" t="str">
        <f t="shared" si="839"/>
        <v>NO CONFORME</v>
      </c>
      <c r="BC156" s="5" t="str">
        <f t="shared" si="840"/>
        <v>NO CONFORME</v>
      </c>
      <c r="BD156" s="15">
        <f t="shared" si="819"/>
        <v>-1</v>
      </c>
      <c r="BE156" s="15">
        <f t="shared" si="820"/>
        <v>-1</v>
      </c>
      <c r="BF156" s="15">
        <f t="shared" si="821"/>
        <v>-1</v>
      </c>
      <c r="BG156" s="15" t="str">
        <f t="shared" si="822"/>
        <v>-1-1-1</v>
      </c>
      <c r="BH156" s="15" t="str">
        <f t="shared" si="823"/>
        <v>SD</v>
      </c>
      <c r="BI156" s="15" t="str">
        <f t="shared" si="824"/>
        <v>SI</v>
      </c>
      <c r="BJ156" s="15" t="b">
        <f t="shared" si="825"/>
        <v>1</v>
      </c>
      <c r="BK156" s="15" t="str">
        <f t="shared" si="826"/>
        <v>SIGIGUALES</v>
      </c>
      <c r="BL156" s="22" t="str">
        <f t="shared" si="827"/>
        <v>NO CONFORME</v>
      </c>
    </row>
    <row r="157" spans="1:64" ht="15.75" thickBot="1" x14ac:dyDescent="0.3">
      <c r="A157" s="37">
        <v>149</v>
      </c>
      <c r="B157" s="93">
        <f t="shared" ref="B157:E157" si="968">B156</f>
        <v>45919</v>
      </c>
      <c r="C157" s="93">
        <f t="shared" si="968"/>
        <v>45919</v>
      </c>
      <c r="D157" s="94">
        <f t="shared" si="968"/>
        <v>6</v>
      </c>
      <c r="E157" s="95">
        <f t="shared" si="968"/>
        <v>15</v>
      </c>
      <c r="F157" s="52"/>
      <c r="G157" s="96"/>
      <c r="H157" s="97">
        <f t="shared" ref="H157:L157" si="969">H156</f>
        <v>25.6</v>
      </c>
      <c r="I157" s="98">
        <f t="shared" si="969"/>
        <v>0</v>
      </c>
      <c r="J157" s="99">
        <f t="shared" si="969"/>
        <v>20.9</v>
      </c>
      <c r="K157" s="99">
        <f t="shared" si="969"/>
        <v>7.883</v>
      </c>
      <c r="L157" s="99">
        <f t="shared" si="969"/>
        <v>0.55400000000000005</v>
      </c>
      <c r="M157" s="53"/>
      <c r="N157" s="53"/>
      <c r="O157" s="100">
        <f t="shared" ref="O157:P157" si="970">O156</f>
        <v>100.62</v>
      </c>
      <c r="P157" s="101" t="str">
        <f t="shared" si="970"/>
        <v>2,29,560</v>
      </c>
      <c r="Q157" s="11" t="str">
        <f t="shared" si="893"/>
        <v>2</v>
      </c>
      <c r="R157" s="11" t="str">
        <f t="shared" si="894"/>
        <v>29,560</v>
      </c>
      <c r="S157" s="11">
        <f t="shared" si="895"/>
        <v>4.1544444444444446E-2</v>
      </c>
      <c r="T157" s="14">
        <f t="shared" si="896"/>
        <v>2421.9844878309709</v>
      </c>
      <c r="U157" s="39">
        <f t="shared" si="897"/>
        <v>-100</v>
      </c>
      <c r="V157" s="105">
        <f t="shared" ref="V157:W157" si="971">V156</f>
        <v>20.399999999999999</v>
      </c>
      <c r="W157" s="105">
        <f t="shared" si="971"/>
        <v>1.5069999999999999</v>
      </c>
      <c r="X157" s="106">
        <f t="shared" si="952"/>
        <v>1.504</v>
      </c>
      <c r="Y157" s="53"/>
      <c r="Z157" s="53"/>
      <c r="AA157" s="107">
        <f t="shared" ref="AA157:AB157" si="972">AA156</f>
        <v>10.015000000000001</v>
      </c>
      <c r="AB157" s="108" t="str">
        <f t="shared" si="972"/>
        <v>22,10,090</v>
      </c>
      <c r="AC157" s="11" t="str">
        <f t="shared" si="900"/>
        <v>22</v>
      </c>
      <c r="AD157" s="11" t="str">
        <f t="shared" si="901"/>
        <v>10,090</v>
      </c>
      <c r="AE157" s="11">
        <f t="shared" si="902"/>
        <v>0.36946944444444441</v>
      </c>
      <c r="AF157" s="14">
        <f t="shared" si="903"/>
        <v>27.106436406558959</v>
      </c>
      <c r="AG157" s="41">
        <f t="shared" si="904"/>
        <v>-100</v>
      </c>
      <c r="AH157" s="105">
        <f t="shared" si="960"/>
        <v>20.3</v>
      </c>
      <c r="AI157" s="105">
        <f t="shared" si="960"/>
        <v>1.5089999999999999</v>
      </c>
      <c r="AJ157" s="105">
        <f t="shared" si="960"/>
        <v>1.504</v>
      </c>
      <c r="AK157" s="53">
        <f t="shared" si="905"/>
        <v>0</v>
      </c>
      <c r="AL157" s="53"/>
      <c r="AM157" s="54">
        <f t="shared" ref="AM157:AN157" si="973">AM156</f>
        <v>5.0129999999999999</v>
      </c>
      <c r="AN157" s="101" t="str">
        <f t="shared" si="973"/>
        <v>17,59,050</v>
      </c>
      <c r="AO157" s="11" t="str">
        <f t="shared" si="907"/>
        <v>17</v>
      </c>
      <c r="AP157" s="11" t="str">
        <f t="shared" si="908"/>
        <v>59,050</v>
      </c>
      <c r="AQ157" s="11">
        <f t="shared" si="909"/>
        <v>0.29973611111111109</v>
      </c>
      <c r="AR157" s="14">
        <f t="shared" si="910"/>
        <v>16.724711551827998</v>
      </c>
      <c r="AS157" s="41">
        <f t="shared" si="911"/>
        <v>-100</v>
      </c>
      <c r="AT157" s="43" t="str">
        <f t="shared" si="912"/>
        <v>NO CONFORME</v>
      </c>
      <c r="AU157" s="8" t="b">
        <f t="shared" si="834"/>
        <v>1</v>
      </c>
      <c r="AV157" s="8" t="b">
        <f t="shared" si="835"/>
        <v>0</v>
      </c>
      <c r="AW157" s="8" t="b">
        <f t="shared" si="836"/>
        <v>1</v>
      </c>
      <c r="AX157" s="8" t="str">
        <f t="shared" si="837"/>
        <v>Qcorrecto</v>
      </c>
      <c r="AY157" s="22" t="str">
        <f t="shared" si="817"/>
        <v>aceptable</v>
      </c>
      <c r="AZ157" s="22" t="str">
        <f t="shared" si="818"/>
        <v>aceptable</v>
      </c>
      <c r="BA157" s="22" t="str">
        <f t="shared" si="838"/>
        <v>aceptable</v>
      </c>
      <c r="BB157" s="25" t="str">
        <f t="shared" si="839"/>
        <v>NO CONFORME</v>
      </c>
      <c r="BC157" s="5" t="str">
        <f t="shared" si="840"/>
        <v>NO CONFORME</v>
      </c>
      <c r="BD157" s="15">
        <f t="shared" si="819"/>
        <v>-1</v>
      </c>
      <c r="BE157" s="15">
        <f t="shared" si="820"/>
        <v>-1</v>
      </c>
      <c r="BF157" s="15">
        <f t="shared" si="821"/>
        <v>-1</v>
      </c>
      <c r="BG157" s="15" t="str">
        <f t="shared" si="822"/>
        <v>-1-1-1</v>
      </c>
      <c r="BH157" s="15" t="str">
        <f t="shared" si="823"/>
        <v>SD</v>
      </c>
      <c r="BI157" s="15" t="str">
        <f t="shared" si="824"/>
        <v>SI</v>
      </c>
      <c r="BJ157" s="15" t="b">
        <f t="shared" si="825"/>
        <v>1</v>
      </c>
      <c r="BK157" s="15" t="str">
        <f t="shared" si="826"/>
        <v>SIGIGUALES</v>
      </c>
      <c r="BL157" s="22" t="str">
        <f t="shared" si="827"/>
        <v>NO CONFORME</v>
      </c>
    </row>
    <row r="158" spans="1:64" ht="15.75" thickBot="1" x14ac:dyDescent="0.3">
      <c r="A158" s="37">
        <v>150</v>
      </c>
      <c r="B158" s="93">
        <f t="shared" ref="B158:E158" si="974">B157</f>
        <v>45919</v>
      </c>
      <c r="C158" s="93">
        <f t="shared" si="974"/>
        <v>45919</v>
      </c>
      <c r="D158" s="94">
        <f t="shared" si="974"/>
        <v>6</v>
      </c>
      <c r="E158" s="95">
        <f t="shared" si="974"/>
        <v>15</v>
      </c>
      <c r="F158" s="52"/>
      <c r="G158" s="96"/>
      <c r="H158" s="97">
        <f t="shared" ref="H158:L158" si="975">H157</f>
        <v>25.6</v>
      </c>
      <c r="I158" s="98">
        <f t="shared" si="975"/>
        <v>0</v>
      </c>
      <c r="J158" s="99">
        <f t="shared" si="975"/>
        <v>20.9</v>
      </c>
      <c r="K158" s="99">
        <f t="shared" si="975"/>
        <v>7.883</v>
      </c>
      <c r="L158" s="99">
        <f t="shared" si="975"/>
        <v>0.55400000000000005</v>
      </c>
      <c r="M158" s="53"/>
      <c r="N158" s="53"/>
      <c r="O158" s="100">
        <f t="shared" ref="O158:P158" si="976">O157</f>
        <v>100.62</v>
      </c>
      <c r="P158" s="101" t="str">
        <f t="shared" si="976"/>
        <v>2,29,560</v>
      </c>
      <c r="Q158" s="11" t="str">
        <f t="shared" si="893"/>
        <v>2</v>
      </c>
      <c r="R158" s="11" t="str">
        <f t="shared" si="894"/>
        <v>29,560</v>
      </c>
      <c r="S158" s="11">
        <f t="shared" si="895"/>
        <v>4.1544444444444446E-2</v>
      </c>
      <c r="T158" s="14">
        <f t="shared" si="896"/>
        <v>2421.9844878309709</v>
      </c>
      <c r="U158" s="39">
        <f t="shared" si="897"/>
        <v>-100</v>
      </c>
      <c r="V158" s="105">
        <f t="shared" ref="V158:W158" si="977">V157</f>
        <v>20.399999999999999</v>
      </c>
      <c r="W158" s="105">
        <f t="shared" si="977"/>
        <v>1.5069999999999999</v>
      </c>
      <c r="X158" s="106">
        <f t="shared" si="952"/>
        <v>1.504</v>
      </c>
      <c r="Y158" s="53"/>
      <c r="Z158" s="53"/>
      <c r="AA158" s="107">
        <f t="shared" ref="AA158:AB158" si="978">AA157</f>
        <v>10.015000000000001</v>
      </c>
      <c r="AB158" s="108" t="str">
        <f t="shared" si="978"/>
        <v>22,10,090</v>
      </c>
      <c r="AC158" s="11" t="str">
        <f t="shared" si="900"/>
        <v>22</v>
      </c>
      <c r="AD158" s="11" t="str">
        <f t="shared" si="901"/>
        <v>10,090</v>
      </c>
      <c r="AE158" s="11">
        <f t="shared" si="902"/>
        <v>0.36946944444444441</v>
      </c>
      <c r="AF158" s="14">
        <f t="shared" si="903"/>
        <v>27.106436406558959</v>
      </c>
      <c r="AG158" s="41">
        <f t="shared" si="904"/>
        <v>-100</v>
      </c>
      <c r="AH158" s="105">
        <f t="shared" si="960"/>
        <v>20.3</v>
      </c>
      <c r="AI158" s="105">
        <f t="shared" si="960"/>
        <v>1.5089999999999999</v>
      </c>
      <c r="AJ158" s="105">
        <f t="shared" si="960"/>
        <v>1.504</v>
      </c>
      <c r="AK158" s="53">
        <f t="shared" si="905"/>
        <v>0</v>
      </c>
      <c r="AL158" s="53"/>
      <c r="AM158" s="54">
        <f t="shared" ref="AM158:AN158" si="979">AM157</f>
        <v>5.0129999999999999</v>
      </c>
      <c r="AN158" s="101" t="str">
        <f t="shared" si="979"/>
        <v>17,59,050</v>
      </c>
      <c r="AO158" s="11" t="str">
        <f t="shared" si="907"/>
        <v>17</v>
      </c>
      <c r="AP158" s="11" t="str">
        <f t="shared" si="908"/>
        <v>59,050</v>
      </c>
      <c r="AQ158" s="11">
        <f t="shared" si="909"/>
        <v>0.29973611111111109</v>
      </c>
      <c r="AR158" s="14">
        <f t="shared" si="910"/>
        <v>16.724711551827998</v>
      </c>
      <c r="AS158" s="41">
        <f t="shared" si="911"/>
        <v>-100</v>
      </c>
      <c r="AT158" s="43" t="str">
        <f t="shared" si="912"/>
        <v>NO CONFORME</v>
      </c>
      <c r="AU158" s="8" t="b">
        <f t="shared" si="834"/>
        <v>1</v>
      </c>
      <c r="AV158" s="8" t="b">
        <f t="shared" si="835"/>
        <v>0</v>
      </c>
      <c r="AW158" s="8" t="b">
        <f t="shared" si="836"/>
        <v>1</v>
      </c>
      <c r="AX158" s="8" t="str">
        <f t="shared" si="837"/>
        <v>Qcorrecto</v>
      </c>
      <c r="AY158" s="22" t="str">
        <f t="shared" si="817"/>
        <v>aceptable</v>
      </c>
      <c r="AZ158" s="22" t="str">
        <f t="shared" si="818"/>
        <v>aceptable</v>
      </c>
      <c r="BA158" s="22" t="str">
        <f t="shared" si="838"/>
        <v>aceptable</v>
      </c>
      <c r="BB158" s="25" t="str">
        <f t="shared" si="839"/>
        <v>NO CONFORME</v>
      </c>
      <c r="BC158" s="5" t="str">
        <f t="shared" si="840"/>
        <v>NO CONFORME</v>
      </c>
      <c r="BD158" s="15">
        <f t="shared" si="819"/>
        <v>-1</v>
      </c>
      <c r="BE158" s="15">
        <f t="shared" si="820"/>
        <v>-1</v>
      </c>
      <c r="BF158" s="15">
        <f t="shared" si="821"/>
        <v>-1</v>
      </c>
      <c r="BG158" s="15" t="str">
        <f t="shared" si="822"/>
        <v>-1-1-1</v>
      </c>
      <c r="BH158" s="15" t="str">
        <f t="shared" si="823"/>
        <v>SD</v>
      </c>
      <c r="BI158" s="15" t="str">
        <f t="shared" si="824"/>
        <v>SI</v>
      </c>
      <c r="BJ158" s="15" t="b">
        <f t="shared" si="825"/>
        <v>1</v>
      </c>
      <c r="BK158" s="15" t="str">
        <f t="shared" si="826"/>
        <v>SIGIGUALES</v>
      </c>
      <c r="BL158" s="22" t="str">
        <f t="shared" si="827"/>
        <v>NO CONFORME</v>
      </c>
    </row>
    <row r="159" spans="1:64" ht="15.75" thickBot="1" x14ac:dyDescent="0.3">
      <c r="A159" s="37">
        <v>151</v>
      </c>
      <c r="B159" s="93">
        <f t="shared" ref="B159:E159" si="980">B158</f>
        <v>45919</v>
      </c>
      <c r="C159" s="93">
        <f t="shared" si="980"/>
        <v>45919</v>
      </c>
      <c r="D159" s="94">
        <f t="shared" si="980"/>
        <v>6</v>
      </c>
      <c r="E159" s="95">
        <f t="shared" si="980"/>
        <v>15</v>
      </c>
      <c r="F159" s="52"/>
      <c r="G159" s="96"/>
      <c r="H159" s="97">
        <f t="shared" ref="H159:L159" si="981">H158</f>
        <v>25.6</v>
      </c>
      <c r="I159" s="98">
        <f t="shared" si="981"/>
        <v>0</v>
      </c>
      <c r="J159" s="99">
        <f t="shared" si="981"/>
        <v>20.9</v>
      </c>
      <c r="K159" s="99">
        <f t="shared" si="981"/>
        <v>7.883</v>
      </c>
      <c r="L159" s="99">
        <f t="shared" si="981"/>
        <v>0.55400000000000005</v>
      </c>
      <c r="M159" s="53"/>
      <c r="N159" s="53"/>
      <c r="O159" s="100">
        <f t="shared" ref="O159:P159" si="982">O158</f>
        <v>100.62</v>
      </c>
      <c r="P159" s="101" t="str">
        <f t="shared" si="982"/>
        <v>2,29,560</v>
      </c>
      <c r="Q159" s="11" t="str">
        <f t="shared" si="893"/>
        <v>2</v>
      </c>
      <c r="R159" s="11" t="str">
        <f t="shared" si="894"/>
        <v>29,560</v>
      </c>
      <c r="S159" s="11">
        <f t="shared" si="895"/>
        <v>4.1544444444444446E-2</v>
      </c>
      <c r="T159" s="14">
        <f t="shared" si="896"/>
        <v>2421.9844878309709</v>
      </c>
      <c r="U159" s="39">
        <f t="shared" si="897"/>
        <v>-100</v>
      </c>
      <c r="V159" s="105">
        <f t="shared" ref="V159:W159" si="983">V158</f>
        <v>20.399999999999999</v>
      </c>
      <c r="W159" s="105">
        <f t="shared" si="983"/>
        <v>1.5069999999999999</v>
      </c>
      <c r="X159" s="106">
        <f t="shared" si="952"/>
        <v>1.504</v>
      </c>
      <c r="Y159" s="53"/>
      <c r="Z159" s="53"/>
      <c r="AA159" s="107">
        <f t="shared" ref="AA159:AB159" si="984">AA158</f>
        <v>10.015000000000001</v>
      </c>
      <c r="AB159" s="108" t="str">
        <f t="shared" si="984"/>
        <v>22,10,090</v>
      </c>
      <c r="AC159" s="11" t="str">
        <f t="shared" si="900"/>
        <v>22</v>
      </c>
      <c r="AD159" s="11" t="str">
        <f t="shared" si="901"/>
        <v>10,090</v>
      </c>
      <c r="AE159" s="11">
        <f t="shared" si="902"/>
        <v>0.36946944444444441</v>
      </c>
      <c r="AF159" s="14">
        <f t="shared" si="903"/>
        <v>27.106436406558959</v>
      </c>
      <c r="AG159" s="41">
        <f t="shared" si="904"/>
        <v>-100</v>
      </c>
      <c r="AH159" s="105">
        <f t="shared" si="960"/>
        <v>20.3</v>
      </c>
      <c r="AI159" s="105">
        <f t="shared" si="960"/>
        <v>1.5089999999999999</v>
      </c>
      <c r="AJ159" s="105">
        <f t="shared" si="960"/>
        <v>1.504</v>
      </c>
      <c r="AK159" s="53">
        <f t="shared" si="905"/>
        <v>0</v>
      </c>
      <c r="AL159" s="53"/>
      <c r="AM159" s="54">
        <f t="shared" ref="AM159:AN159" si="985">AM158</f>
        <v>5.0129999999999999</v>
      </c>
      <c r="AN159" s="101" t="str">
        <f t="shared" si="985"/>
        <v>17,59,050</v>
      </c>
      <c r="AO159" s="11" t="str">
        <f t="shared" si="907"/>
        <v>17</v>
      </c>
      <c r="AP159" s="11" t="str">
        <f t="shared" si="908"/>
        <v>59,050</v>
      </c>
      <c r="AQ159" s="11">
        <f t="shared" si="909"/>
        <v>0.29973611111111109</v>
      </c>
      <c r="AR159" s="14">
        <f t="shared" si="910"/>
        <v>16.724711551827998</v>
      </c>
      <c r="AS159" s="41">
        <f t="shared" si="911"/>
        <v>-100</v>
      </c>
      <c r="AT159" s="43" t="str">
        <f t="shared" si="912"/>
        <v>NO CONFORME</v>
      </c>
      <c r="AU159" s="8" t="b">
        <f t="shared" si="834"/>
        <v>1</v>
      </c>
      <c r="AV159" s="8" t="b">
        <f t="shared" si="835"/>
        <v>0</v>
      </c>
      <c r="AW159" s="8" t="b">
        <f t="shared" si="836"/>
        <v>1</v>
      </c>
      <c r="AX159" s="8" t="str">
        <f t="shared" si="837"/>
        <v>Qcorrecto</v>
      </c>
      <c r="AY159" s="22" t="str">
        <f t="shared" si="817"/>
        <v>aceptable</v>
      </c>
      <c r="AZ159" s="22" t="str">
        <f t="shared" si="818"/>
        <v>aceptable</v>
      </c>
      <c r="BA159" s="22" t="str">
        <f t="shared" si="838"/>
        <v>aceptable</v>
      </c>
      <c r="BB159" s="25" t="str">
        <f t="shared" si="839"/>
        <v>NO CONFORME</v>
      </c>
      <c r="BC159" s="5" t="str">
        <f t="shared" si="840"/>
        <v>NO CONFORME</v>
      </c>
      <c r="BD159" s="15">
        <f t="shared" si="819"/>
        <v>-1</v>
      </c>
      <c r="BE159" s="15">
        <f t="shared" si="820"/>
        <v>-1</v>
      </c>
      <c r="BF159" s="15">
        <f t="shared" si="821"/>
        <v>-1</v>
      </c>
      <c r="BG159" s="15" t="str">
        <f t="shared" si="822"/>
        <v>-1-1-1</v>
      </c>
      <c r="BH159" s="15" t="str">
        <f t="shared" si="823"/>
        <v>SD</v>
      </c>
      <c r="BI159" s="15" t="str">
        <f t="shared" si="824"/>
        <v>SI</v>
      </c>
      <c r="BJ159" s="15" t="b">
        <f t="shared" si="825"/>
        <v>1</v>
      </c>
      <c r="BK159" s="15" t="str">
        <f t="shared" si="826"/>
        <v>SIGIGUALES</v>
      </c>
      <c r="BL159" s="22" t="str">
        <f t="shared" si="827"/>
        <v>NO CONFORME</v>
      </c>
    </row>
    <row r="160" spans="1:64" ht="15.75" thickBot="1" x14ac:dyDescent="0.3">
      <c r="A160" s="37">
        <v>152</v>
      </c>
      <c r="B160" s="93">
        <f t="shared" ref="B160:E160" si="986">B159</f>
        <v>45919</v>
      </c>
      <c r="C160" s="93">
        <f t="shared" si="986"/>
        <v>45919</v>
      </c>
      <c r="D160" s="94">
        <f t="shared" si="986"/>
        <v>6</v>
      </c>
      <c r="E160" s="95">
        <f t="shared" si="986"/>
        <v>15</v>
      </c>
      <c r="F160" s="52"/>
      <c r="G160" s="96"/>
      <c r="H160" s="97">
        <f t="shared" ref="H160:L160" si="987">H159</f>
        <v>25.6</v>
      </c>
      <c r="I160" s="98">
        <f t="shared" si="987"/>
        <v>0</v>
      </c>
      <c r="J160" s="99">
        <f t="shared" si="987"/>
        <v>20.9</v>
      </c>
      <c r="K160" s="99">
        <f t="shared" si="987"/>
        <v>7.883</v>
      </c>
      <c r="L160" s="99">
        <f t="shared" si="987"/>
        <v>0.55400000000000005</v>
      </c>
      <c r="M160" s="53"/>
      <c r="N160" s="53"/>
      <c r="O160" s="100">
        <f t="shared" ref="O160:P160" si="988">O159</f>
        <v>100.62</v>
      </c>
      <c r="P160" s="101" t="str">
        <f t="shared" si="988"/>
        <v>2,29,560</v>
      </c>
      <c r="Q160" s="11" t="str">
        <f t="shared" si="893"/>
        <v>2</v>
      </c>
      <c r="R160" s="11" t="str">
        <f t="shared" si="894"/>
        <v>29,560</v>
      </c>
      <c r="S160" s="11">
        <f t="shared" si="895"/>
        <v>4.1544444444444446E-2</v>
      </c>
      <c r="T160" s="14">
        <f t="shared" si="896"/>
        <v>2421.9844878309709</v>
      </c>
      <c r="U160" s="39">
        <f t="shared" si="897"/>
        <v>-100</v>
      </c>
      <c r="V160" s="105">
        <f t="shared" ref="V160:W160" si="989">V159</f>
        <v>20.399999999999999</v>
      </c>
      <c r="W160" s="105">
        <f t="shared" si="989"/>
        <v>1.5069999999999999</v>
      </c>
      <c r="X160" s="106">
        <f t="shared" si="952"/>
        <v>1.504</v>
      </c>
      <c r="Y160" s="53"/>
      <c r="Z160" s="53"/>
      <c r="AA160" s="107">
        <f t="shared" ref="AA160:AB160" si="990">AA159</f>
        <v>10.015000000000001</v>
      </c>
      <c r="AB160" s="108" t="str">
        <f t="shared" si="990"/>
        <v>22,10,090</v>
      </c>
      <c r="AC160" s="11" t="str">
        <f t="shared" si="900"/>
        <v>22</v>
      </c>
      <c r="AD160" s="11" t="str">
        <f t="shared" si="901"/>
        <v>10,090</v>
      </c>
      <c r="AE160" s="11">
        <f t="shared" si="902"/>
        <v>0.36946944444444441</v>
      </c>
      <c r="AF160" s="14">
        <f t="shared" si="903"/>
        <v>27.106436406558959</v>
      </c>
      <c r="AG160" s="41">
        <f t="shared" si="904"/>
        <v>-100</v>
      </c>
      <c r="AH160" s="105">
        <f t="shared" si="960"/>
        <v>20.3</v>
      </c>
      <c r="AI160" s="105">
        <f t="shared" si="960"/>
        <v>1.5089999999999999</v>
      </c>
      <c r="AJ160" s="105">
        <f t="shared" si="960"/>
        <v>1.504</v>
      </c>
      <c r="AK160" s="53">
        <f t="shared" si="905"/>
        <v>0</v>
      </c>
      <c r="AL160" s="53"/>
      <c r="AM160" s="54">
        <f t="shared" ref="AM160:AN160" si="991">AM159</f>
        <v>5.0129999999999999</v>
      </c>
      <c r="AN160" s="101" t="str">
        <f t="shared" si="991"/>
        <v>17,59,050</v>
      </c>
      <c r="AO160" s="11" t="str">
        <f t="shared" si="907"/>
        <v>17</v>
      </c>
      <c r="AP160" s="11" t="str">
        <f t="shared" si="908"/>
        <v>59,050</v>
      </c>
      <c r="AQ160" s="11">
        <f t="shared" si="909"/>
        <v>0.29973611111111109</v>
      </c>
      <c r="AR160" s="14">
        <f t="shared" si="910"/>
        <v>16.724711551827998</v>
      </c>
      <c r="AS160" s="41">
        <f t="shared" si="911"/>
        <v>-100</v>
      </c>
      <c r="AT160" s="43" t="str">
        <f t="shared" si="912"/>
        <v>NO CONFORME</v>
      </c>
      <c r="AU160" s="8" t="b">
        <f t="shared" si="834"/>
        <v>1</v>
      </c>
      <c r="AV160" s="8" t="b">
        <f t="shared" si="835"/>
        <v>0</v>
      </c>
      <c r="AW160" s="8" t="b">
        <f t="shared" si="836"/>
        <v>1</v>
      </c>
      <c r="AX160" s="8" t="str">
        <f t="shared" si="837"/>
        <v>Qcorrecto</v>
      </c>
      <c r="AY160" s="22" t="str">
        <f t="shared" si="817"/>
        <v>aceptable</v>
      </c>
      <c r="AZ160" s="22" t="str">
        <f t="shared" si="818"/>
        <v>aceptable</v>
      </c>
      <c r="BA160" s="22" t="str">
        <f t="shared" si="838"/>
        <v>aceptable</v>
      </c>
      <c r="BB160" s="25" t="str">
        <f t="shared" si="839"/>
        <v>NO CONFORME</v>
      </c>
      <c r="BC160" s="5" t="str">
        <f t="shared" si="840"/>
        <v>NO CONFORME</v>
      </c>
      <c r="BD160" s="15">
        <f t="shared" si="819"/>
        <v>-1</v>
      </c>
      <c r="BE160" s="15">
        <f t="shared" si="820"/>
        <v>-1</v>
      </c>
      <c r="BF160" s="15">
        <f t="shared" si="821"/>
        <v>-1</v>
      </c>
      <c r="BG160" s="15" t="str">
        <f t="shared" si="822"/>
        <v>-1-1-1</v>
      </c>
      <c r="BH160" s="15" t="str">
        <f t="shared" si="823"/>
        <v>SD</v>
      </c>
      <c r="BI160" s="15" t="str">
        <f t="shared" si="824"/>
        <v>SI</v>
      </c>
      <c r="BJ160" s="15" t="b">
        <f t="shared" si="825"/>
        <v>1</v>
      </c>
      <c r="BK160" s="15" t="str">
        <f t="shared" si="826"/>
        <v>SIGIGUALES</v>
      </c>
      <c r="BL160" s="22" t="str">
        <f t="shared" si="827"/>
        <v>NO CONFORME</v>
      </c>
    </row>
    <row r="161" spans="1:64" ht="15.75" thickBot="1" x14ac:dyDescent="0.3">
      <c r="A161" s="37">
        <v>153</v>
      </c>
      <c r="B161" s="93">
        <f t="shared" ref="B161:E161" si="992">B160</f>
        <v>45919</v>
      </c>
      <c r="C161" s="93">
        <f t="shared" si="992"/>
        <v>45919</v>
      </c>
      <c r="D161" s="94">
        <f t="shared" si="992"/>
        <v>6</v>
      </c>
      <c r="E161" s="95">
        <f t="shared" si="992"/>
        <v>15</v>
      </c>
      <c r="F161" s="52"/>
      <c r="G161" s="96"/>
      <c r="H161" s="97">
        <f t="shared" ref="H161:L161" si="993">H160</f>
        <v>25.6</v>
      </c>
      <c r="I161" s="98">
        <f t="shared" si="993"/>
        <v>0</v>
      </c>
      <c r="J161" s="99">
        <f t="shared" si="993"/>
        <v>20.9</v>
      </c>
      <c r="K161" s="99">
        <f t="shared" si="993"/>
        <v>7.883</v>
      </c>
      <c r="L161" s="99">
        <f t="shared" si="993"/>
        <v>0.55400000000000005</v>
      </c>
      <c r="M161" s="53"/>
      <c r="N161" s="53"/>
      <c r="O161" s="100">
        <f t="shared" ref="O161:P161" si="994">O160</f>
        <v>100.62</v>
      </c>
      <c r="P161" s="101" t="str">
        <f t="shared" si="994"/>
        <v>2,29,560</v>
      </c>
      <c r="Q161" s="11" t="str">
        <f t="shared" si="893"/>
        <v>2</v>
      </c>
      <c r="R161" s="11" t="str">
        <f t="shared" si="894"/>
        <v>29,560</v>
      </c>
      <c r="S161" s="11">
        <f t="shared" si="895"/>
        <v>4.1544444444444446E-2</v>
      </c>
      <c r="T161" s="14">
        <f t="shared" si="896"/>
        <v>2421.9844878309709</v>
      </c>
      <c r="U161" s="39">
        <f t="shared" si="897"/>
        <v>-100</v>
      </c>
      <c r="V161" s="105">
        <f t="shared" ref="V161:W161" si="995">V160</f>
        <v>20.399999999999999</v>
      </c>
      <c r="W161" s="105">
        <f t="shared" si="995"/>
        <v>1.5069999999999999</v>
      </c>
      <c r="X161" s="106">
        <f t="shared" si="952"/>
        <v>1.504</v>
      </c>
      <c r="Y161" s="53"/>
      <c r="Z161" s="53"/>
      <c r="AA161" s="107">
        <f t="shared" ref="AA161:AB161" si="996">AA160</f>
        <v>10.015000000000001</v>
      </c>
      <c r="AB161" s="108" t="str">
        <f t="shared" si="996"/>
        <v>22,10,090</v>
      </c>
      <c r="AC161" s="11" t="str">
        <f t="shared" si="900"/>
        <v>22</v>
      </c>
      <c r="AD161" s="11" t="str">
        <f t="shared" si="901"/>
        <v>10,090</v>
      </c>
      <c r="AE161" s="11">
        <f t="shared" si="902"/>
        <v>0.36946944444444441</v>
      </c>
      <c r="AF161" s="14">
        <f t="shared" si="903"/>
        <v>27.106436406558959</v>
      </c>
      <c r="AG161" s="41">
        <f t="shared" si="904"/>
        <v>-100</v>
      </c>
      <c r="AH161" s="105">
        <f t="shared" si="960"/>
        <v>20.3</v>
      </c>
      <c r="AI161" s="105">
        <f t="shared" si="960"/>
        <v>1.5089999999999999</v>
      </c>
      <c r="AJ161" s="105">
        <f t="shared" si="960"/>
        <v>1.504</v>
      </c>
      <c r="AK161" s="53">
        <f t="shared" si="905"/>
        <v>0</v>
      </c>
      <c r="AL161" s="53"/>
      <c r="AM161" s="54">
        <f t="shared" ref="AM161:AN161" si="997">AM160</f>
        <v>5.0129999999999999</v>
      </c>
      <c r="AN161" s="101" t="str">
        <f t="shared" si="997"/>
        <v>17,59,050</v>
      </c>
      <c r="AO161" s="11" t="str">
        <f t="shared" si="907"/>
        <v>17</v>
      </c>
      <c r="AP161" s="11" t="str">
        <f t="shared" si="908"/>
        <v>59,050</v>
      </c>
      <c r="AQ161" s="11">
        <f t="shared" si="909"/>
        <v>0.29973611111111109</v>
      </c>
      <c r="AR161" s="14">
        <f t="shared" si="910"/>
        <v>16.724711551827998</v>
      </c>
      <c r="AS161" s="41">
        <f t="shared" si="911"/>
        <v>-100</v>
      </c>
      <c r="AT161" s="43" t="str">
        <f t="shared" si="912"/>
        <v>NO CONFORME</v>
      </c>
      <c r="AU161" s="8" t="b">
        <f t="shared" si="834"/>
        <v>1</v>
      </c>
      <c r="AV161" s="8" t="b">
        <f t="shared" si="835"/>
        <v>0</v>
      </c>
      <c r="AW161" s="8" t="b">
        <f t="shared" si="836"/>
        <v>1</v>
      </c>
      <c r="AX161" s="8" t="str">
        <f t="shared" si="837"/>
        <v>Qcorrecto</v>
      </c>
      <c r="AY161" s="22" t="str">
        <f t="shared" si="817"/>
        <v>aceptable</v>
      </c>
      <c r="AZ161" s="22" t="str">
        <f t="shared" si="818"/>
        <v>aceptable</v>
      </c>
      <c r="BA161" s="22" t="str">
        <f t="shared" si="838"/>
        <v>aceptable</v>
      </c>
      <c r="BB161" s="25" t="str">
        <f t="shared" si="839"/>
        <v>NO CONFORME</v>
      </c>
      <c r="BC161" s="5" t="str">
        <f t="shared" si="840"/>
        <v>NO CONFORME</v>
      </c>
      <c r="BD161" s="15">
        <f t="shared" si="819"/>
        <v>-1</v>
      </c>
      <c r="BE161" s="15">
        <f t="shared" si="820"/>
        <v>-1</v>
      </c>
      <c r="BF161" s="15">
        <f t="shared" si="821"/>
        <v>-1</v>
      </c>
      <c r="BG161" s="15" t="str">
        <f t="shared" si="822"/>
        <v>-1-1-1</v>
      </c>
      <c r="BH161" s="15" t="str">
        <f t="shared" si="823"/>
        <v>SD</v>
      </c>
      <c r="BI161" s="15" t="str">
        <f t="shared" si="824"/>
        <v>SI</v>
      </c>
      <c r="BJ161" s="15" t="b">
        <f t="shared" si="825"/>
        <v>1</v>
      </c>
      <c r="BK161" s="15" t="str">
        <f t="shared" si="826"/>
        <v>SIGIGUALES</v>
      </c>
      <c r="BL161" s="22" t="str">
        <f t="shared" si="827"/>
        <v>NO CONFORME</v>
      </c>
    </row>
    <row r="162" spans="1:64" ht="15.75" thickBot="1" x14ac:dyDescent="0.3">
      <c r="A162" s="37">
        <v>154</v>
      </c>
      <c r="B162" s="93">
        <f t="shared" ref="B162:E162" si="998">B161</f>
        <v>45919</v>
      </c>
      <c r="C162" s="93">
        <f t="shared" si="998"/>
        <v>45919</v>
      </c>
      <c r="D162" s="94">
        <f t="shared" si="998"/>
        <v>6</v>
      </c>
      <c r="E162" s="95">
        <f t="shared" si="998"/>
        <v>15</v>
      </c>
      <c r="F162" s="52"/>
      <c r="G162" s="96"/>
      <c r="H162" s="97">
        <f t="shared" ref="H162:L162" si="999">H161</f>
        <v>25.6</v>
      </c>
      <c r="I162" s="98">
        <f t="shared" si="999"/>
        <v>0</v>
      </c>
      <c r="J162" s="99">
        <f t="shared" si="999"/>
        <v>20.9</v>
      </c>
      <c r="K162" s="99">
        <f t="shared" si="999"/>
        <v>7.883</v>
      </c>
      <c r="L162" s="99">
        <f t="shared" si="999"/>
        <v>0.55400000000000005</v>
      </c>
      <c r="M162" s="53"/>
      <c r="N162" s="53"/>
      <c r="O162" s="100">
        <f t="shared" ref="O162:P162" si="1000">O161</f>
        <v>100.62</v>
      </c>
      <c r="P162" s="101" t="str">
        <f t="shared" si="1000"/>
        <v>2,29,560</v>
      </c>
      <c r="Q162" s="11" t="str">
        <f t="shared" si="893"/>
        <v>2</v>
      </c>
      <c r="R162" s="11" t="str">
        <f t="shared" si="894"/>
        <v>29,560</v>
      </c>
      <c r="S162" s="11">
        <f t="shared" si="895"/>
        <v>4.1544444444444446E-2</v>
      </c>
      <c r="T162" s="14">
        <f t="shared" si="896"/>
        <v>2421.9844878309709</v>
      </c>
      <c r="U162" s="39">
        <f t="shared" si="897"/>
        <v>-100</v>
      </c>
      <c r="V162" s="105">
        <f t="shared" ref="V162:W162" si="1001">V161</f>
        <v>20.399999999999999</v>
      </c>
      <c r="W162" s="105">
        <f t="shared" si="1001"/>
        <v>1.5069999999999999</v>
      </c>
      <c r="X162" s="106">
        <f t="shared" si="952"/>
        <v>1.504</v>
      </c>
      <c r="Y162" s="53"/>
      <c r="Z162" s="53"/>
      <c r="AA162" s="107">
        <f t="shared" ref="AA162:AB162" si="1002">AA161</f>
        <v>10.015000000000001</v>
      </c>
      <c r="AB162" s="108" t="str">
        <f t="shared" si="1002"/>
        <v>22,10,090</v>
      </c>
      <c r="AC162" s="11" t="str">
        <f t="shared" si="900"/>
        <v>22</v>
      </c>
      <c r="AD162" s="11" t="str">
        <f t="shared" si="901"/>
        <v>10,090</v>
      </c>
      <c r="AE162" s="11">
        <f t="shared" si="902"/>
        <v>0.36946944444444441</v>
      </c>
      <c r="AF162" s="14">
        <f t="shared" si="903"/>
        <v>27.106436406558959</v>
      </c>
      <c r="AG162" s="41">
        <f t="shared" si="904"/>
        <v>-100</v>
      </c>
      <c r="AH162" s="105">
        <f t="shared" si="960"/>
        <v>20.3</v>
      </c>
      <c r="AI162" s="105">
        <f t="shared" si="960"/>
        <v>1.5089999999999999</v>
      </c>
      <c r="AJ162" s="105">
        <f t="shared" si="960"/>
        <v>1.504</v>
      </c>
      <c r="AK162" s="53">
        <f t="shared" si="905"/>
        <v>0</v>
      </c>
      <c r="AL162" s="53"/>
      <c r="AM162" s="54">
        <f t="shared" ref="AM162:AN162" si="1003">AM161</f>
        <v>5.0129999999999999</v>
      </c>
      <c r="AN162" s="101" t="str">
        <f t="shared" si="1003"/>
        <v>17,59,050</v>
      </c>
      <c r="AO162" s="11" t="str">
        <f t="shared" si="907"/>
        <v>17</v>
      </c>
      <c r="AP162" s="11" t="str">
        <f t="shared" si="908"/>
        <v>59,050</v>
      </c>
      <c r="AQ162" s="11">
        <f t="shared" si="909"/>
        <v>0.29973611111111109</v>
      </c>
      <c r="AR162" s="14">
        <f t="shared" si="910"/>
        <v>16.724711551827998</v>
      </c>
      <c r="AS162" s="41">
        <f t="shared" si="911"/>
        <v>-100</v>
      </c>
      <c r="AT162" s="43" t="str">
        <f t="shared" si="912"/>
        <v>NO CONFORME</v>
      </c>
      <c r="AU162" s="8" t="b">
        <f t="shared" si="834"/>
        <v>1</v>
      </c>
      <c r="AV162" s="8" t="b">
        <f t="shared" si="835"/>
        <v>0</v>
      </c>
      <c r="AW162" s="8" t="b">
        <f t="shared" si="836"/>
        <v>1</v>
      </c>
      <c r="AX162" s="8" t="str">
        <f t="shared" si="837"/>
        <v>Qcorrecto</v>
      </c>
      <c r="AY162" s="22" t="str">
        <f t="shared" si="817"/>
        <v>aceptable</v>
      </c>
      <c r="AZ162" s="22" t="str">
        <f t="shared" si="818"/>
        <v>aceptable</v>
      </c>
      <c r="BA162" s="22" t="str">
        <f t="shared" si="838"/>
        <v>aceptable</v>
      </c>
      <c r="BB162" s="25" t="str">
        <f t="shared" si="839"/>
        <v>NO CONFORME</v>
      </c>
      <c r="BC162" s="5" t="str">
        <f t="shared" si="840"/>
        <v>NO CONFORME</v>
      </c>
      <c r="BD162" s="15">
        <f t="shared" si="819"/>
        <v>-1</v>
      </c>
      <c r="BE162" s="15">
        <f t="shared" si="820"/>
        <v>-1</v>
      </c>
      <c r="BF162" s="15">
        <f t="shared" si="821"/>
        <v>-1</v>
      </c>
      <c r="BG162" s="15" t="str">
        <f t="shared" si="822"/>
        <v>-1-1-1</v>
      </c>
      <c r="BH162" s="15" t="str">
        <f t="shared" si="823"/>
        <v>SD</v>
      </c>
      <c r="BI162" s="15" t="str">
        <f t="shared" si="824"/>
        <v>SI</v>
      </c>
      <c r="BJ162" s="15" t="b">
        <f t="shared" si="825"/>
        <v>1</v>
      </c>
      <c r="BK162" s="15" t="str">
        <f t="shared" si="826"/>
        <v>SIGIGUALES</v>
      </c>
      <c r="BL162" s="22" t="str">
        <f t="shared" si="827"/>
        <v>NO CONFORME</v>
      </c>
    </row>
    <row r="163" spans="1:64" ht="15.75" thickBot="1" x14ac:dyDescent="0.3">
      <c r="A163" s="37">
        <v>155</v>
      </c>
      <c r="B163" s="93">
        <f t="shared" ref="B163:E163" si="1004">B162</f>
        <v>45919</v>
      </c>
      <c r="C163" s="93">
        <f t="shared" si="1004"/>
        <v>45919</v>
      </c>
      <c r="D163" s="94">
        <f t="shared" si="1004"/>
        <v>6</v>
      </c>
      <c r="E163" s="95">
        <f t="shared" si="1004"/>
        <v>15</v>
      </c>
      <c r="F163" s="52"/>
      <c r="G163" s="96"/>
      <c r="H163" s="97">
        <f t="shared" ref="H163:L163" si="1005">H162</f>
        <v>25.6</v>
      </c>
      <c r="I163" s="98">
        <f t="shared" si="1005"/>
        <v>0</v>
      </c>
      <c r="J163" s="99">
        <f t="shared" si="1005"/>
        <v>20.9</v>
      </c>
      <c r="K163" s="99">
        <f t="shared" si="1005"/>
        <v>7.883</v>
      </c>
      <c r="L163" s="99">
        <f t="shared" si="1005"/>
        <v>0.55400000000000005</v>
      </c>
      <c r="M163" s="53"/>
      <c r="N163" s="53"/>
      <c r="O163" s="100">
        <f t="shared" ref="O163:P163" si="1006">O162</f>
        <v>100.62</v>
      </c>
      <c r="P163" s="101" t="str">
        <f t="shared" si="1006"/>
        <v>2,29,560</v>
      </c>
      <c r="Q163" s="11" t="str">
        <f t="shared" si="893"/>
        <v>2</v>
      </c>
      <c r="R163" s="11" t="str">
        <f t="shared" si="894"/>
        <v>29,560</v>
      </c>
      <c r="S163" s="11">
        <f t="shared" si="895"/>
        <v>4.1544444444444446E-2</v>
      </c>
      <c r="T163" s="14">
        <f t="shared" si="896"/>
        <v>2421.9844878309709</v>
      </c>
      <c r="U163" s="39">
        <f t="shared" si="897"/>
        <v>-100</v>
      </c>
      <c r="V163" s="105">
        <f t="shared" ref="V163:W163" si="1007">V162</f>
        <v>20.399999999999999</v>
      </c>
      <c r="W163" s="105">
        <f t="shared" si="1007"/>
        <v>1.5069999999999999</v>
      </c>
      <c r="X163" s="106">
        <f t="shared" si="952"/>
        <v>1.504</v>
      </c>
      <c r="Y163" s="53"/>
      <c r="Z163" s="53"/>
      <c r="AA163" s="107">
        <f t="shared" ref="AA163:AB163" si="1008">AA162</f>
        <v>10.015000000000001</v>
      </c>
      <c r="AB163" s="108" t="str">
        <f t="shared" si="1008"/>
        <v>22,10,090</v>
      </c>
      <c r="AC163" s="11" t="str">
        <f t="shared" si="900"/>
        <v>22</v>
      </c>
      <c r="AD163" s="11" t="str">
        <f t="shared" si="901"/>
        <v>10,090</v>
      </c>
      <c r="AE163" s="11">
        <f t="shared" si="902"/>
        <v>0.36946944444444441</v>
      </c>
      <c r="AF163" s="14">
        <f t="shared" si="903"/>
        <v>27.106436406558959</v>
      </c>
      <c r="AG163" s="41">
        <f t="shared" si="904"/>
        <v>-100</v>
      </c>
      <c r="AH163" s="105">
        <f t="shared" si="960"/>
        <v>20.3</v>
      </c>
      <c r="AI163" s="105">
        <f t="shared" si="960"/>
        <v>1.5089999999999999</v>
      </c>
      <c r="AJ163" s="105">
        <f t="shared" si="960"/>
        <v>1.504</v>
      </c>
      <c r="AK163" s="53">
        <f t="shared" si="905"/>
        <v>0</v>
      </c>
      <c r="AL163" s="53"/>
      <c r="AM163" s="54">
        <f t="shared" ref="AM163:AN163" si="1009">AM162</f>
        <v>5.0129999999999999</v>
      </c>
      <c r="AN163" s="101" t="str">
        <f t="shared" si="1009"/>
        <v>17,59,050</v>
      </c>
      <c r="AO163" s="11" t="str">
        <f t="shared" si="907"/>
        <v>17</v>
      </c>
      <c r="AP163" s="11" t="str">
        <f t="shared" si="908"/>
        <v>59,050</v>
      </c>
      <c r="AQ163" s="11">
        <f t="shared" si="909"/>
        <v>0.29973611111111109</v>
      </c>
      <c r="AR163" s="14">
        <f t="shared" si="910"/>
        <v>16.724711551827998</v>
      </c>
      <c r="AS163" s="41">
        <f t="shared" si="911"/>
        <v>-100</v>
      </c>
      <c r="AT163" s="43" t="str">
        <f t="shared" si="912"/>
        <v>NO CONFORME</v>
      </c>
      <c r="AU163" s="8" t="b">
        <f t="shared" si="834"/>
        <v>1</v>
      </c>
      <c r="AV163" s="8" t="b">
        <f t="shared" si="835"/>
        <v>0</v>
      </c>
      <c r="AW163" s="8" t="b">
        <f t="shared" si="836"/>
        <v>1</v>
      </c>
      <c r="AX163" s="8" t="str">
        <f t="shared" si="837"/>
        <v>Qcorrecto</v>
      </c>
      <c r="AY163" s="22" t="str">
        <f t="shared" si="817"/>
        <v>aceptable</v>
      </c>
      <c r="AZ163" s="22" t="str">
        <f t="shared" si="818"/>
        <v>aceptable</v>
      </c>
      <c r="BA163" s="22" t="str">
        <f t="shared" si="838"/>
        <v>aceptable</v>
      </c>
      <c r="BB163" s="25" t="str">
        <f t="shared" si="839"/>
        <v>NO CONFORME</v>
      </c>
      <c r="BC163" s="5" t="str">
        <f t="shared" si="840"/>
        <v>NO CONFORME</v>
      </c>
      <c r="BD163" s="15">
        <f t="shared" si="819"/>
        <v>-1</v>
      </c>
      <c r="BE163" s="15">
        <f t="shared" si="820"/>
        <v>-1</v>
      </c>
      <c r="BF163" s="15">
        <f t="shared" si="821"/>
        <v>-1</v>
      </c>
      <c r="BG163" s="15" t="str">
        <f t="shared" si="822"/>
        <v>-1-1-1</v>
      </c>
      <c r="BH163" s="15" t="str">
        <f t="shared" si="823"/>
        <v>SD</v>
      </c>
      <c r="BI163" s="15" t="str">
        <f t="shared" si="824"/>
        <v>SI</v>
      </c>
      <c r="BJ163" s="15" t="b">
        <f t="shared" si="825"/>
        <v>1</v>
      </c>
      <c r="BK163" s="15" t="str">
        <f t="shared" si="826"/>
        <v>SIGIGUALES</v>
      </c>
      <c r="BL163" s="22" t="str">
        <f t="shared" si="827"/>
        <v>NO CONFORME</v>
      </c>
    </row>
    <row r="164" spans="1:64" ht="15.75" thickBot="1" x14ac:dyDescent="0.3">
      <c r="A164" s="37">
        <v>156</v>
      </c>
      <c r="B164" s="93">
        <f t="shared" ref="B164:E164" si="1010">B163</f>
        <v>45919</v>
      </c>
      <c r="C164" s="93">
        <f t="shared" si="1010"/>
        <v>45919</v>
      </c>
      <c r="D164" s="94">
        <f t="shared" si="1010"/>
        <v>6</v>
      </c>
      <c r="E164" s="95">
        <f t="shared" si="1010"/>
        <v>15</v>
      </c>
      <c r="F164" s="52"/>
      <c r="G164" s="96"/>
      <c r="H164" s="97">
        <f t="shared" ref="H164:L164" si="1011">H163</f>
        <v>25.6</v>
      </c>
      <c r="I164" s="98">
        <f t="shared" si="1011"/>
        <v>0</v>
      </c>
      <c r="J164" s="99">
        <f t="shared" si="1011"/>
        <v>20.9</v>
      </c>
      <c r="K164" s="99">
        <f t="shared" si="1011"/>
        <v>7.883</v>
      </c>
      <c r="L164" s="99">
        <f t="shared" si="1011"/>
        <v>0.55400000000000005</v>
      </c>
      <c r="M164" s="53"/>
      <c r="N164" s="53"/>
      <c r="O164" s="100">
        <f t="shared" ref="O164:P164" si="1012">O163</f>
        <v>100.62</v>
      </c>
      <c r="P164" s="101" t="str">
        <f t="shared" si="1012"/>
        <v>2,29,560</v>
      </c>
      <c r="Q164" s="11" t="str">
        <f t="shared" si="893"/>
        <v>2</v>
      </c>
      <c r="R164" s="11" t="str">
        <f t="shared" si="894"/>
        <v>29,560</v>
      </c>
      <c r="S164" s="11">
        <f t="shared" si="895"/>
        <v>4.1544444444444446E-2</v>
      </c>
      <c r="T164" s="14">
        <f t="shared" si="896"/>
        <v>2421.9844878309709</v>
      </c>
      <c r="U164" s="39">
        <f t="shared" si="897"/>
        <v>-100</v>
      </c>
      <c r="V164" s="105">
        <f t="shared" ref="V164:W164" si="1013">V163</f>
        <v>20.399999999999999</v>
      </c>
      <c r="W164" s="105">
        <f t="shared" si="1013"/>
        <v>1.5069999999999999</v>
      </c>
      <c r="X164" s="106">
        <f t="shared" si="952"/>
        <v>1.504</v>
      </c>
      <c r="Y164" s="53"/>
      <c r="Z164" s="53"/>
      <c r="AA164" s="107">
        <f t="shared" ref="AA164:AB164" si="1014">AA163</f>
        <v>10.015000000000001</v>
      </c>
      <c r="AB164" s="108" t="str">
        <f t="shared" si="1014"/>
        <v>22,10,090</v>
      </c>
      <c r="AC164" s="11" t="str">
        <f t="shared" si="900"/>
        <v>22</v>
      </c>
      <c r="AD164" s="11" t="str">
        <f t="shared" si="901"/>
        <v>10,090</v>
      </c>
      <c r="AE164" s="11">
        <f t="shared" si="902"/>
        <v>0.36946944444444441</v>
      </c>
      <c r="AF164" s="14">
        <f t="shared" si="903"/>
        <v>27.106436406558959</v>
      </c>
      <c r="AG164" s="41">
        <f t="shared" si="904"/>
        <v>-100</v>
      </c>
      <c r="AH164" s="105">
        <f t="shared" si="960"/>
        <v>20.3</v>
      </c>
      <c r="AI164" s="105">
        <f t="shared" si="960"/>
        <v>1.5089999999999999</v>
      </c>
      <c r="AJ164" s="105">
        <f t="shared" si="960"/>
        <v>1.504</v>
      </c>
      <c r="AK164" s="53">
        <f t="shared" si="905"/>
        <v>0</v>
      </c>
      <c r="AL164" s="53"/>
      <c r="AM164" s="54">
        <f t="shared" ref="AM164:AN164" si="1015">AM163</f>
        <v>5.0129999999999999</v>
      </c>
      <c r="AN164" s="101" t="str">
        <f t="shared" si="1015"/>
        <v>17,59,050</v>
      </c>
      <c r="AO164" s="11" t="str">
        <f t="shared" si="907"/>
        <v>17</v>
      </c>
      <c r="AP164" s="11" t="str">
        <f t="shared" si="908"/>
        <v>59,050</v>
      </c>
      <c r="AQ164" s="11">
        <f t="shared" si="909"/>
        <v>0.29973611111111109</v>
      </c>
      <c r="AR164" s="14">
        <f t="shared" si="910"/>
        <v>16.724711551827998</v>
      </c>
      <c r="AS164" s="41">
        <f t="shared" si="911"/>
        <v>-100</v>
      </c>
      <c r="AT164" s="43" t="str">
        <f t="shared" si="912"/>
        <v>NO CONFORME</v>
      </c>
      <c r="AU164" s="8" t="b">
        <f t="shared" si="834"/>
        <v>1</v>
      </c>
      <c r="AV164" s="8" t="b">
        <f t="shared" si="835"/>
        <v>0</v>
      </c>
      <c r="AW164" s="8" t="b">
        <f t="shared" si="836"/>
        <v>1</v>
      </c>
      <c r="AX164" s="8" t="str">
        <f t="shared" si="837"/>
        <v>Qcorrecto</v>
      </c>
      <c r="AY164" s="22" t="str">
        <f t="shared" si="817"/>
        <v>aceptable</v>
      </c>
      <c r="AZ164" s="22" t="str">
        <f t="shared" si="818"/>
        <v>aceptable</v>
      </c>
      <c r="BA164" s="22" t="str">
        <f t="shared" si="838"/>
        <v>aceptable</v>
      </c>
      <c r="BB164" s="25" t="str">
        <f t="shared" si="839"/>
        <v>NO CONFORME</v>
      </c>
      <c r="BC164" s="5" t="str">
        <f t="shared" si="840"/>
        <v>NO CONFORME</v>
      </c>
      <c r="BD164" s="15">
        <f t="shared" si="819"/>
        <v>-1</v>
      </c>
      <c r="BE164" s="15">
        <f t="shared" si="820"/>
        <v>-1</v>
      </c>
      <c r="BF164" s="15">
        <f t="shared" si="821"/>
        <v>-1</v>
      </c>
      <c r="BG164" s="15" t="str">
        <f t="shared" si="822"/>
        <v>-1-1-1</v>
      </c>
      <c r="BH164" s="15" t="str">
        <f t="shared" si="823"/>
        <v>SD</v>
      </c>
      <c r="BI164" s="15" t="str">
        <f t="shared" si="824"/>
        <v>SI</v>
      </c>
      <c r="BJ164" s="15" t="b">
        <f t="shared" si="825"/>
        <v>1</v>
      </c>
      <c r="BK164" s="15" t="str">
        <f t="shared" si="826"/>
        <v>SIGIGUALES</v>
      </c>
      <c r="BL164" s="22" t="str">
        <f t="shared" si="827"/>
        <v>NO CONFORME</v>
      </c>
    </row>
    <row r="165" spans="1:64" ht="15.75" thickBot="1" x14ac:dyDescent="0.3">
      <c r="A165" s="37">
        <v>157</v>
      </c>
      <c r="B165" s="93">
        <f t="shared" ref="B165:E165" si="1016">B164</f>
        <v>45919</v>
      </c>
      <c r="C165" s="93">
        <f t="shared" si="1016"/>
        <v>45919</v>
      </c>
      <c r="D165" s="94">
        <f t="shared" si="1016"/>
        <v>6</v>
      </c>
      <c r="E165" s="95">
        <f t="shared" si="1016"/>
        <v>15</v>
      </c>
      <c r="F165" s="52"/>
      <c r="G165" s="96"/>
      <c r="H165" s="97">
        <f t="shared" ref="H165:L165" si="1017">H164</f>
        <v>25.6</v>
      </c>
      <c r="I165" s="98">
        <f t="shared" si="1017"/>
        <v>0</v>
      </c>
      <c r="J165" s="99">
        <f t="shared" si="1017"/>
        <v>20.9</v>
      </c>
      <c r="K165" s="99">
        <f t="shared" si="1017"/>
        <v>7.883</v>
      </c>
      <c r="L165" s="99">
        <f t="shared" si="1017"/>
        <v>0.55400000000000005</v>
      </c>
      <c r="M165" s="53"/>
      <c r="N165" s="53"/>
      <c r="O165" s="100">
        <f t="shared" ref="O165:P165" si="1018">O164</f>
        <v>100.62</v>
      </c>
      <c r="P165" s="101" t="str">
        <f t="shared" si="1018"/>
        <v>2,29,560</v>
      </c>
      <c r="Q165" s="11" t="str">
        <f t="shared" si="893"/>
        <v>2</v>
      </c>
      <c r="R165" s="11" t="str">
        <f t="shared" si="894"/>
        <v>29,560</v>
      </c>
      <c r="S165" s="11">
        <f t="shared" si="895"/>
        <v>4.1544444444444446E-2</v>
      </c>
      <c r="T165" s="14">
        <f t="shared" si="896"/>
        <v>2421.9844878309709</v>
      </c>
      <c r="U165" s="39">
        <f t="shared" si="897"/>
        <v>-100</v>
      </c>
      <c r="V165" s="105">
        <f t="shared" ref="V165:W165" si="1019">V164</f>
        <v>20.399999999999999</v>
      </c>
      <c r="W165" s="105">
        <f t="shared" si="1019"/>
        <v>1.5069999999999999</v>
      </c>
      <c r="X165" s="106">
        <f t="shared" si="952"/>
        <v>1.504</v>
      </c>
      <c r="Y165" s="53"/>
      <c r="Z165" s="53"/>
      <c r="AA165" s="107">
        <f t="shared" ref="AA165:AB165" si="1020">AA164</f>
        <v>10.015000000000001</v>
      </c>
      <c r="AB165" s="108" t="str">
        <f t="shared" si="1020"/>
        <v>22,10,090</v>
      </c>
      <c r="AC165" s="11" t="str">
        <f t="shared" si="900"/>
        <v>22</v>
      </c>
      <c r="AD165" s="11" t="str">
        <f t="shared" si="901"/>
        <v>10,090</v>
      </c>
      <c r="AE165" s="11">
        <f t="shared" si="902"/>
        <v>0.36946944444444441</v>
      </c>
      <c r="AF165" s="14">
        <f t="shared" si="903"/>
        <v>27.106436406558959</v>
      </c>
      <c r="AG165" s="41">
        <f t="shared" si="904"/>
        <v>-100</v>
      </c>
      <c r="AH165" s="105">
        <f t="shared" si="960"/>
        <v>20.3</v>
      </c>
      <c r="AI165" s="105">
        <f t="shared" si="960"/>
        <v>1.5089999999999999</v>
      </c>
      <c r="AJ165" s="105">
        <f t="shared" si="960"/>
        <v>1.504</v>
      </c>
      <c r="AK165" s="53">
        <f t="shared" si="905"/>
        <v>0</v>
      </c>
      <c r="AL165" s="53"/>
      <c r="AM165" s="54">
        <f t="shared" ref="AM165:AN165" si="1021">AM164</f>
        <v>5.0129999999999999</v>
      </c>
      <c r="AN165" s="101" t="str">
        <f t="shared" si="1021"/>
        <v>17,59,050</v>
      </c>
      <c r="AO165" s="11" t="str">
        <f t="shared" si="907"/>
        <v>17</v>
      </c>
      <c r="AP165" s="11" t="str">
        <f t="shared" si="908"/>
        <v>59,050</v>
      </c>
      <c r="AQ165" s="11">
        <f t="shared" si="909"/>
        <v>0.29973611111111109</v>
      </c>
      <c r="AR165" s="14">
        <f t="shared" si="910"/>
        <v>16.724711551827998</v>
      </c>
      <c r="AS165" s="41">
        <f t="shared" si="911"/>
        <v>-100</v>
      </c>
      <c r="AT165" s="43" t="str">
        <f t="shared" si="912"/>
        <v>NO CONFORME</v>
      </c>
      <c r="AU165" s="8" t="b">
        <f t="shared" si="834"/>
        <v>1</v>
      </c>
      <c r="AV165" s="8" t="b">
        <f t="shared" si="835"/>
        <v>0</v>
      </c>
      <c r="AW165" s="8" t="b">
        <f t="shared" si="836"/>
        <v>1</v>
      </c>
      <c r="AX165" s="8" t="str">
        <f t="shared" si="837"/>
        <v>Qcorrecto</v>
      </c>
      <c r="AY165" s="22" t="str">
        <f t="shared" si="817"/>
        <v>aceptable</v>
      </c>
      <c r="AZ165" s="22" t="str">
        <f t="shared" si="818"/>
        <v>aceptable</v>
      </c>
      <c r="BA165" s="22" t="str">
        <f t="shared" si="838"/>
        <v>aceptable</v>
      </c>
      <c r="BB165" s="25" t="str">
        <f t="shared" si="839"/>
        <v>NO CONFORME</v>
      </c>
      <c r="BC165" s="5" t="str">
        <f t="shared" si="840"/>
        <v>NO CONFORME</v>
      </c>
      <c r="BD165" s="15">
        <f t="shared" si="819"/>
        <v>-1</v>
      </c>
      <c r="BE165" s="15">
        <f t="shared" si="820"/>
        <v>-1</v>
      </c>
      <c r="BF165" s="15">
        <f t="shared" si="821"/>
        <v>-1</v>
      </c>
      <c r="BG165" s="15" t="str">
        <f t="shared" si="822"/>
        <v>-1-1-1</v>
      </c>
      <c r="BH165" s="15" t="str">
        <f t="shared" si="823"/>
        <v>SD</v>
      </c>
      <c r="BI165" s="15" t="str">
        <f t="shared" si="824"/>
        <v>SI</v>
      </c>
      <c r="BJ165" s="15" t="b">
        <f t="shared" si="825"/>
        <v>1</v>
      </c>
      <c r="BK165" s="15" t="str">
        <f t="shared" si="826"/>
        <v>SIGIGUALES</v>
      </c>
      <c r="BL165" s="22" t="str">
        <f t="shared" si="827"/>
        <v>NO CONFORME</v>
      </c>
    </row>
    <row r="166" spans="1:64" ht="15.75" thickBot="1" x14ac:dyDescent="0.3">
      <c r="A166" s="37">
        <v>158</v>
      </c>
      <c r="B166" s="93">
        <f t="shared" ref="B166:E166" si="1022">B165</f>
        <v>45919</v>
      </c>
      <c r="C166" s="93">
        <f t="shared" si="1022"/>
        <v>45919</v>
      </c>
      <c r="D166" s="94">
        <f t="shared" si="1022"/>
        <v>6</v>
      </c>
      <c r="E166" s="95">
        <f t="shared" si="1022"/>
        <v>15</v>
      </c>
      <c r="F166" s="52"/>
      <c r="G166" s="96"/>
      <c r="H166" s="97">
        <f t="shared" ref="H166:L166" si="1023">H165</f>
        <v>25.6</v>
      </c>
      <c r="I166" s="98">
        <f t="shared" si="1023"/>
        <v>0</v>
      </c>
      <c r="J166" s="99">
        <f t="shared" si="1023"/>
        <v>20.9</v>
      </c>
      <c r="K166" s="99">
        <f t="shared" si="1023"/>
        <v>7.883</v>
      </c>
      <c r="L166" s="99">
        <f t="shared" si="1023"/>
        <v>0.55400000000000005</v>
      </c>
      <c r="M166" s="53"/>
      <c r="N166" s="53"/>
      <c r="O166" s="100">
        <f t="shared" ref="O166:P166" si="1024">O165</f>
        <v>100.62</v>
      </c>
      <c r="P166" s="101" t="str">
        <f t="shared" si="1024"/>
        <v>2,29,560</v>
      </c>
      <c r="Q166" s="11" t="str">
        <f t="shared" si="893"/>
        <v>2</v>
      </c>
      <c r="R166" s="11" t="str">
        <f t="shared" si="894"/>
        <v>29,560</v>
      </c>
      <c r="S166" s="11">
        <f t="shared" si="895"/>
        <v>4.1544444444444446E-2</v>
      </c>
      <c r="T166" s="14">
        <f t="shared" si="896"/>
        <v>2421.9844878309709</v>
      </c>
      <c r="U166" s="39">
        <f t="shared" si="897"/>
        <v>-100</v>
      </c>
      <c r="V166" s="105">
        <f t="shared" ref="V166:W166" si="1025">V165</f>
        <v>20.399999999999999</v>
      </c>
      <c r="W166" s="105">
        <f t="shared" si="1025"/>
        <v>1.5069999999999999</v>
      </c>
      <c r="X166" s="106">
        <f t="shared" si="952"/>
        <v>1.504</v>
      </c>
      <c r="Y166" s="53"/>
      <c r="Z166" s="53"/>
      <c r="AA166" s="107">
        <f t="shared" ref="AA166:AB166" si="1026">AA165</f>
        <v>10.015000000000001</v>
      </c>
      <c r="AB166" s="108" t="str">
        <f t="shared" si="1026"/>
        <v>22,10,090</v>
      </c>
      <c r="AC166" s="11" t="str">
        <f t="shared" si="900"/>
        <v>22</v>
      </c>
      <c r="AD166" s="11" t="str">
        <f t="shared" si="901"/>
        <v>10,090</v>
      </c>
      <c r="AE166" s="11">
        <f t="shared" si="902"/>
        <v>0.36946944444444441</v>
      </c>
      <c r="AF166" s="14">
        <f t="shared" si="903"/>
        <v>27.106436406558959</v>
      </c>
      <c r="AG166" s="41">
        <f t="shared" si="904"/>
        <v>-100</v>
      </c>
      <c r="AH166" s="105">
        <f t="shared" si="960"/>
        <v>20.3</v>
      </c>
      <c r="AI166" s="105">
        <f t="shared" si="960"/>
        <v>1.5089999999999999</v>
      </c>
      <c r="AJ166" s="105">
        <f t="shared" si="960"/>
        <v>1.504</v>
      </c>
      <c r="AK166" s="53">
        <f t="shared" si="905"/>
        <v>0</v>
      </c>
      <c r="AL166" s="53"/>
      <c r="AM166" s="54">
        <f t="shared" ref="AM166:AN166" si="1027">AM165</f>
        <v>5.0129999999999999</v>
      </c>
      <c r="AN166" s="101" t="str">
        <f t="shared" si="1027"/>
        <v>17,59,050</v>
      </c>
      <c r="AO166" s="11" t="str">
        <f t="shared" si="907"/>
        <v>17</v>
      </c>
      <c r="AP166" s="11" t="str">
        <f t="shared" si="908"/>
        <v>59,050</v>
      </c>
      <c r="AQ166" s="11">
        <f t="shared" si="909"/>
        <v>0.29973611111111109</v>
      </c>
      <c r="AR166" s="14">
        <f t="shared" si="910"/>
        <v>16.724711551827998</v>
      </c>
      <c r="AS166" s="41">
        <f t="shared" si="911"/>
        <v>-100</v>
      </c>
      <c r="AT166" s="43" t="str">
        <f t="shared" si="912"/>
        <v>NO CONFORME</v>
      </c>
      <c r="AU166" s="8" t="b">
        <f t="shared" si="834"/>
        <v>1</v>
      </c>
      <c r="AV166" s="8" t="b">
        <f t="shared" si="835"/>
        <v>0</v>
      </c>
      <c r="AW166" s="8" t="b">
        <f t="shared" si="836"/>
        <v>1</v>
      </c>
      <c r="AX166" s="8" t="str">
        <f t="shared" si="837"/>
        <v>Qcorrecto</v>
      </c>
      <c r="AY166" s="22" t="str">
        <f t="shared" si="817"/>
        <v>aceptable</v>
      </c>
      <c r="AZ166" s="22" t="str">
        <f t="shared" si="818"/>
        <v>aceptable</v>
      </c>
      <c r="BA166" s="22" t="str">
        <f t="shared" si="838"/>
        <v>aceptable</v>
      </c>
      <c r="BB166" s="25" t="str">
        <f t="shared" si="839"/>
        <v>NO CONFORME</v>
      </c>
      <c r="BC166" s="5" t="str">
        <f t="shared" si="840"/>
        <v>NO CONFORME</v>
      </c>
      <c r="BD166" s="15">
        <f t="shared" si="819"/>
        <v>-1</v>
      </c>
      <c r="BE166" s="15">
        <f t="shared" si="820"/>
        <v>-1</v>
      </c>
      <c r="BF166" s="15">
        <f t="shared" si="821"/>
        <v>-1</v>
      </c>
      <c r="BG166" s="15" t="str">
        <f t="shared" si="822"/>
        <v>-1-1-1</v>
      </c>
      <c r="BH166" s="15" t="str">
        <f t="shared" si="823"/>
        <v>SD</v>
      </c>
      <c r="BI166" s="15" t="str">
        <f t="shared" si="824"/>
        <v>SI</v>
      </c>
      <c r="BJ166" s="15" t="b">
        <f t="shared" si="825"/>
        <v>1</v>
      </c>
      <c r="BK166" s="15" t="str">
        <f t="shared" si="826"/>
        <v>SIGIGUALES</v>
      </c>
      <c r="BL166" s="22" t="str">
        <f t="shared" si="827"/>
        <v>NO CONFORME</v>
      </c>
    </row>
    <row r="167" spans="1:64" ht="15.75" thickBot="1" x14ac:dyDescent="0.3">
      <c r="A167" s="37">
        <v>159</v>
      </c>
      <c r="B167" s="93">
        <f t="shared" ref="B167:E167" si="1028">B166</f>
        <v>45919</v>
      </c>
      <c r="C167" s="93">
        <f t="shared" si="1028"/>
        <v>45919</v>
      </c>
      <c r="D167" s="94">
        <f t="shared" si="1028"/>
        <v>6</v>
      </c>
      <c r="E167" s="95">
        <f t="shared" si="1028"/>
        <v>15</v>
      </c>
      <c r="F167" s="52"/>
      <c r="G167" s="96"/>
      <c r="H167" s="97">
        <f t="shared" ref="H167:L167" si="1029">H166</f>
        <v>25.6</v>
      </c>
      <c r="I167" s="98">
        <f t="shared" si="1029"/>
        <v>0</v>
      </c>
      <c r="J167" s="99">
        <f t="shared" si="1029"/>
        <v>20.9</v>
      </c>
      <c r="K167" s="99">
        <f t="shared" si="1029"/>
        <v>7.883</v>
      </c>
      <c r="L167" s="99">
        <f t="shared" si="1029"/>
        <v>0.55400000000000005</v>
      </c>
      <c r="M167" s="53"/>
      <c r="N167" s="53"/>
      <c r="O167" s="100">
        <f t="shared" ref="O167:P167" si="1030">O166</f>
        <v>100.62</v>
      </c>
      <c r="P167" s="101" t="str">
        <f t="shared" si="1030"/>
        <v>2,29,560</v>
      </c>
      <c r="Q167" s="11" t="str">
        <f t="shared" si="893"/>
        <v>2</v>
      </c>
      <c r="R167" s="11" t="str">
        <f t="shared" si="894"/>
        <v>29,560</v>
      </c>
      <c r="S167" s="11">
        <f t="shared" si="895"/>
        <v>4.1544444444444446E-2</v>
      </c>
      <c r="T167" s="14">
        <f t="shared" si="896"/>
        <v>2421.9844878309709</v>
      </c>
      <c r="U167" s="39">
        <f t="shared" si="897"/>
        <v>-100</v>
      </c>
      <c r="V167" s="105">
        <f t="shared" ref="V167:W167" si="1031">V166</f>
        <v>20.399999999999999</v>
      </c>
      <c r="W167" s="105">
        <f t="shared" si="1031"/>
        <v>1.5069999999999999</v>
      </c>
      <c r="X167" s="106">
        <f t="shared" si="952"/>
        <v>1.504</v>
      </c>
      <c r="Y167" s="53"/>
      <c r="Z167" s="53"/>
      <c r="AA167" s="107">
        <f t="shared" ref="AA167:AB167" si="1032">AA166</f>
        <v>10.015000000000001</v>
      </c>
      <c r="AB167" s="108" t="str">
        <f t="shared" si="1032"/>
        <v>22,10,090</v>
      </c>
      <c r="AC167" s="11" t="str">
        <f t="shared" si="900"/>
        <v>22</v>
      </c>
      <c r="AD167" s="11" t="str">
        <f t="shared" si="901"/>
        <v>10,090</v>
      </c>
      <c r="AE167" s="11">
        <f t="shared" si="902"/>
        <v>0.36946944444444441</v>
      </c>
      <c r="AF167" s="14">
        <f t="shared" si="903"/>
        <v>27.106436406558959</v>
      </c>
      <c r="AG167" s="41">
        <f t="shared" si="904"/>
        <v>-100</v>
      </c>
      <c r="AH167" s="105">
        <f t="shared" si="960"/>
        <v>20.3</v>
      </c>
      <c r="AI167" s="105">
        <f t="shared" si="960"/>
        <v>1.5089999999999999</v>
      </c>
      <c r="AJ167" s="105">
        <f t="shared" si="960"/>
        <v>1.504</v>
      </c>
      <c r="AK167" s="53">
        <f t="shared" si="905"/>
        <v>0</v>
      </c>
      <c r="AL167" s="53"/>
      <c r="AM167" s="54">
        <f t="shared" ref="AM167:AN167" si="1033">AM166</f>
        <v>5.0129999999999999</v>
      </c>
      <c r="AN167" s="101" t="str">
        <f t="shared" si="1033"/>
        <v>17,59,050</v>
      </c>
      <c r="AO167" s="11" t="str">
        <f t="shared" si="907"/>
        <v>17</v>
      </c>
      <c r="AP167" s="11" t="str">
        <f t="shared" si="908"/>
        <v>59,050</v>
      </c>
      <c r="AQ167" s="11">
        <f t="shared" si="909"/>
        <v>0.29973611111111109</v>
      </c>
      <c r="AR167" s="14">
        <f t="shared" si="910"/>
        <v>16.724711551827998</v>
      </c>
      <c r="AS167" s="41">
        <f t="shared" si="911"/>
        <v>-100</v>
      </c>
      <c r="AT167" s="43" t="str">
        <f t="shared" si="912"/>
        <v>NO CONFORME</v>
      </c>
      <c r="AU167" s="8" t="b">
        <f t="shared" si="834"/>
        <v>1</v>
      </c>
      <c r="AV167" s="8" t="b">
        <f t="shared" si="835"/>
        <v>0</v>
      </c>
      <c r="AW167" s="8" t="b">
        <f t="shared" si="836"/>
        <v>1</v>
      </c>
      <c r="AX167" s="8" t="str">
        <f t="shared" si="837"/>
        <v>Qcorrecto</v>
      </c>
      <c r="AY167" s="22" t="str">
        <f t="shared" si="817"/>
        <v>aceptable</v>
      </c>
      <c r="AZ167" s="22" t="str">
        <f t="shared" si="818"/>
        <v>aceptable</v>
      </c>
      <c r="BA167" s="22" t="str">
        <f t="shared" si="838"/>
        <v>aceptable</v>
      </c>
      <c r="BB167" s="25" t="str">
        <f t="shared" si="839"/>
        <v>NO CONFORME</v>
      </c>
      <c r="BC167" s="5" t="str">
        <f t="shared" si="840"/>
        <v>NO CONFORME</v>
      </c>
      <c r="BD167" s="15">
        <f t="shared" si="819"/>
        <v>-1</v>
      </c>
      <c r="BE167" s="15">
        <f t="shared" si="820"/>
        <v>-1</v>
      </c>
      <c r="BF167" s="15">
        <f t="shared" si="821"/>
        <v>-1</v>
      </c>
      <c r="BG167" s="15" t="str">
        <f t="shared" si="822"/>
        <v>-1-1-1</v>
      </c>
      <c r="BH167" s="15" t="str">
        <f t="shared" si="823"/>
        <v>SD</v>
      </c>
      <c r="BI167" s="15" t="str">
        <f t="shared" si="824"/>
        <v>SI</v>
      </c>
      <c r="BJ167" s="15" t="b">
        <f t="shared" si="825"/>
        <v>1</v>
      </c>
      <c r="BK167" s="15" t="str">
        <f t="shared" si="826"/>
        <v>SIGIGUALES</v>
      </c>
      <c r="BL167" s="22" t="str">
        <f t="shared" si="827"/>
        <v>NO CONFORME</v>
      </c>
    </row>
    <row r="168" spans="1:64" ht="15.75" thickBot="1" x14ac:dyDescent="0.3">
      <c r="A168" s="37">
        <v>160</v>
      </c>
      <c r="B168" s="93">
        <f t="shared" ref="B168:E168" si="1034">B167</f>
        <v>45919</v>
      </c>
      <c r="C168" s="93">
        <f t="shared" si="1034"/>
        <v>45919</v>
      </c>
      <c r="D168" s="94">
        <f t="shared" si="1034"/>
        <v>6</v>
      </c>
      <c r="E168" s="95">
        <f t="shared" si="1034"/>
        <v>15</v>
      </c>
      <c r="F168" s="52"/>
      <c r="G168" s="96"/>
      <c r="H168" s="97">
        <f t="shared" ref="H168:L168" si="1035">H167</f>
        <v>25.6</v>
      </c>
      <c r="I168" s="98">
        <f t="shared" si="1035"/>
        <v>0</v>
      </c>
      <c r="J168" s="99">
        <f t="shared" si="1035"/>
        <v>20.9</v>
      </c>
      <c r="K168" s="99">
        <f t="shared" si="1035"/>
        <v>7.883</v>
      </c>
      <c r="L168" s="99">
        <f t="shared" si="1035"/>
        <v>0.55400000000000005</v>
      </c>
      <c r="M168" s="53"/>
      <c r="N168" s="53"/>
      <c r="O168" s="100">
        <f t="shared" ref="O168:P168" si="1036">O167</f>
        <v>100.62</v>
      </c>
      <c r="P168" s="101" t="str">
        <f t="shared" si="1036"/>
        <v>2,29,560</v>
      </c>
      <c r="Q168" s="11" t="str">
        <f t="shared" si="893"/>
        <v>2</v>
      </c>
      <c r="R168" s="11" t="str">
        <f t="shared" si="894"/>
        <v>29,560</v>
      </c>
      <c r="S168" s="11">
        <f t="shared" si="895"/>
        <v>4.1544444444444446E-2</v>
      </c>
      <c r="T168" s="14">
        <f t="shared" si="896"/>
        <v>2421.9844878309709</v>
      </c>
      <c r="U168" s="39">
        <f t="shared" si="897"/>
        <v>-100</v>
      </c>
      <c r="V168" s="105">
        <f t="shared" ref="V168:W168" si="1037">V167</f>
        <v>20.399999999999999</v>
      </c>
      <c r="W168" s="105">
        <f t="shared" si="1037"/>
        <v>1.5069999999999999</v>
      </c>
      <c r="X168" s="106">
        <f t="shared" si="952"/>
        <v>1.504</v>
      </c>
      <c r="Y168" s="53"/>
      <c r="Z168" s="53"/>
      <c r="AA168" s="107">
        <f t="shared" ref="AA168:AB168" si="1038">AA167</f>
        <v>10.015000000000001</v>
      </c>
      <c r="AB168" s="108" t="str">
        <f t="shared" si="1038"/>
        <v>22,10,090</v>
      </c>
      <c r="AC168" s="11" t="str">
        <f t="shared" si="900"/>
        <v>22</v>
      </c>
      <c r="AD168" s="11" t="str">
        <f t="shared" si="901"/>
        <v>10,090</v>
      </c>
      <c r="AE168" s="11">
        <f t="shared" si="902"/>
        <v>0.36946944444444441</v>
      </c>
      <c r="AF168" s="14">
        <f t="shared" si="903"/>
        <v>27.106436406558959</v>
      </c>
      <c r="AG168" s="41">
        <f t="shared" si="904"/>
        <v>-100</v>
      </c>
      <c r="AH168" s="105">
        <f t="shared" si="960"/>
        <v>20.3</v>
      </c>
      <c r="AI168" s="105">
        <f t="shared" si="960"/>
        <v>1.5089999999999999</v>
      </c>
      <c r="AJ168" s="105">
        <f t="shared" si="960"/>
        <v>1.504</v>
      </c>
      <c r="AK168" s="53">
        <f t="shared" si="905"/>
        <v>0</v>
      </c>
      <c r="AL168" s="53"/>
      <c r="AM168" s="54">
        <f t="shared" ref="AM168:AN168" si="1039">AM167</f>
        <v>5.0129999999999999</v>
      </c>
      <c r="AN168" s="101" t="str">
        <f t="shared" si="1039"/>
        <v>17,59,050</v>
      </c>
      <c r="AO168" s="11" t="str">
        <f t="shared" si="907"/>
        <v>17</v>
      </c>
      <c r="AP168" s="11" t="str">
        <f t="shared" si="908"/>
        <v>59,050</v>
      </c>
      <c r="AQ168" s="11">
        <f t="shared" si="909"/>
        <v>0.29973611111111109</v>
      </c>
      <c r="AR168" s="14">
        <f t="shared" si="910"/>
        <v>16.724711551827998</v>
      </c>
      <c r="AS168" s="41">
        <f t="shared" si="911"/>
        <v>-100</v>
      </c>
      <c r="AT168" s="43" t="str">
        <f t="shared" si="912"/>
        <v>NO CONFORME</v>
      </c>
      <c r="AU168" s="8" t="b">
        <f t="shared" si="834"/>
        <v>1</v>
      </c>
      <c r="AV168" s="8" t="b">
        <f t="shared" si="835"/>
        <v>0</v>
      </c>
      <c r="AW168" s="8" t="b">
        <f t="shared" si="836"/>
        <v>1</v>
      </c>
      <c r="AX168" s="8" t="str">
        <f t="shared" si="837"/>
        <v>Qcorrecto</v>
      </c>
      <c r="AY168" s="22" t="str">
        <f t="shared" si="817"/>
        <v>aceptable</v>
      </c>
      <c r="AZ168" s="22" t="str">
        <f t="shared" si="818"/>
        <v>aceptable</v>
      </c>
      <c r="BA168" s="22" t="str">
        <f t="shared" si="838"/>
        <v>aceptable</v>
      </c>
      <c r="BB168" s="25" t="str">
        <f t="shared" si="839"/>
        <v>NO CONFORME</v>
      </c>
      <c r="BC168" s="5" t="str">
        <f t="shared" si="840"/>
        <v>NO CONFORME</v>
      </c>
      <c r="BD168" s="15">
        <f t="shared" si="819"/>
        <v>-1</v>
      </c>
      <c r="BE168" s="15">
        <f t="shared" si="820"/>
        <v>-1</v>
      </c>
      <c r="BF168" s="15">
        <f t="shared" si="821"/>
        <v>-1</v>
      </c>
      <c r="BG168" s="15" t="str">
        <f t="shared" si="822"/>
        <v>-1-1-1</v>
      </c>
      <c r="BH168" s="15" t="str">
        <f t="shared" si="823"/>
        <v>SD</v>
      </c>
      <c r="BI168" s="15" t="str">
        <f t="shared" si="824"/>
        <v>SI</v>
      </c>
      <c r="BJ168" s="15" t="b">
        <f t="shared" si="825"/>
        <v>1</v>
      </c>
      <c r="BK168" s="15" t="str">
        <f t="shared" si="826"/>
        <v>SIGIGUALES</v>
      </c>
      <c r="BL168" s="22" t="str">
        <f t="shared" si="827"/>
        <v>NO CONFORME</v>
      </c>
    </row>
    <row r="169" spans="1:64" ht="15.75" thickBot="1" x14ac:dyDescent="0.3">
      <c r="A169" s="37">
        <v>161</v>
      </c>
      <c r="B169" s="93">
        <f t="shared" ref="B169:E169" si="1040">B168</f>
        <v>45919</v>
      </c>
      <c r="C169" s="93">
        <f t="shared" si="1040"/>
        <v>45919</v>
      </c>
      <c r="D169" s="94">
        <f t="shared" si="1040"/>
        <v>6</v>
      </c>
      <c r="E169" s="95">
        <f t="shared" si="1040"/>
        <v>15</v>
      </c>
      <c r="F169" s="52"/>
      <c r="G169" s="96"/>
      <c r="H169" s="97">
        <f t="shared" ref="H169:L169" si="1041">H168</f>
        <v>25.6</v>
      </c>
      <c r="I169" s="98">
        <f t="shared" si="1041"/>
        <v>0</v>
      </c>
      <c r="J169" s="99">
        <f t="shared" si="1041"/>
        <v>20.9</v>
      </c>
      <c r="K169" s="99">
        <f t="shared" si="1041"/>
        <v>7.883</v>
      </c>
      <c r="L169" s="99">
        <f t="shared" si="1041"/>
        <v>0.55400000000000005</v>
      </c>
      <c r="M169" s="53"/>
      <c r="N169" s="53"/>
      <c r="O169" s="100">
        <f t="shared" ref="O169:P169" si="1042">O168</f>
        <v>100.62</v>
      </c>
      <c r="P169" s="101" t="str">
        <f t="shared" si="1042"/>
        <v>2,29,560</v>
      </c>
      <c r="Q169" s="11" t="str">
        <f t="shared" si="893"/>
        <v>2</v>
      </c>
      <c r="R169" s="11" t="str">
        <f t="shared" si="894"/>
        <v>29,560</v>
      </c>
      <c r="S169" s="11">
        <f t="shared" si="895"/>
        <v>4.1544444444444446E-2</v>
      </c>
      <c r="T169" s="14">
        <f t="shared" si="896"/>
        <v>2421.9844878309709</v>
      </c>
      <c r="U169" s="39">
        <f t="shared" si="897"/>
        <v>-100</v>
      </c>
      <c r="V169" s="105">
        <f t="shared" ref="V169:W169" si="1043">V168</f>
        <v>20.399999999999999</v>
      </c>
      <c r="W169" s="105">
        <f t="shared" si="1043"/>
        <v>1.5069999999999999</v>
      </c>
      <c r="X169" s="106">
        <f t="shared" si="952"/>
        <v>1.504</v>
      </c>
      <c r="Y169" s="53"/>
      <c r="Z169" s="53"/>
      <c r="AA169" s="107">
        <f t="shared" ref="AA169:AB169" si="1044">AA168</f>
        <v>10.015000000000001</v>
      </c>
      <c r="AB169" s="108" t="str">
        <f t="shared" si="1044"/>
        <v>22,10,090</v>
      </c>
      <c r="AC169" s="11" t="str">
        <f t="shared" si="900"/>
        <v>22</v>
      </c>
      <c r="AD169" s="11" t="str">
        <f t="shared" si="901"/>
        <v>10,090</v>
      </c>
      <c r="AE169" s="11">
        <f t="shared" si="902"/>
        <v>0.36946944444444441</v>
      </c>
      <c r="AF169" s="14">
        <f t="shared" si="903"/>
        <v>27.106436406558959</v>
      </c>
      <c r="AG169" s="41">
        <f t="shared" si="904"/>
        <v>-100</v>
      </c>
      <c r="AH169" s="105">
        <f t="shared" si="960"/>
        <v>20.3</v>
      </c>
      <c r="AI169" s="105">
        <f t="shared" si="960"/>
        <v>1.5089999999999999</v>
      </c>
      <c r="AJ169" s="105">
        <f t="shared" si="960"/>
        <v>1.504</v>
      </c>
      <c r="AK169" s="53">
        <f t="shared" si="905"/>
        <v>0</v>
      </c>
      <c r="AL169" s="53"/>
      <c r="AM169" s="54">
        <f t="shared" ref="AM169:AN169" si="1045">AM168</f>
        <v>5.0129999999999999</v>
      </c>
      <c r="AN169" s="101" t="str">
        <f t="shared" si="1045"/>
        <v>17,59,050</v>
      </c>
      <c r="AO169" s="11" t="str">
        <f t="shared" si="907"/>
        <v>17</v>
      </c>
      <c r="AP169" s="11" t="str">
        <f t="shared" si="908"/>
        <v>59,050</v>
      </c>
      <c r="AQ169" s="11">
        <f t="shared" si="909"/>
        <v>0.29973611111111109</v>
      </c>
      <c r="AR169" s="14">
        <f t="shared" si="910"/>
        <v>16.724711551827998</v>
      </c>
      <c r="AS169" s="41">
        <f t="shared" si="911"/>
        <v>-100</v>
      </c>
      <c r="AT169" s="43" t="str">
        <f t="shared" si="912"/>
        <v>NO CONFORME</v>
      </c>
      <c r="AU169" s="8" t="b">
        <f t="shared" si="834"/>
        <v>1</v>
      </c>
      <c r="AV169" s="8" t="b">
        <f t="shared" si="835"/>
        <v>0</v>
      </c>
      <c r="AW169" s="8" t="b">
        <f t="shared" si="836"/>
        <v>1</v>
      </c>
      <c r="AX169" s="8" t="str">
        <f t="shared" si="837"/>
        <v>Qcorrecto</v>
      </c>
      <c r="AY169" s="22" t="str">
        <f t="shared" si="817"/>
        <v>aceptable</v>
      </c>
      <c r="AZ169" s="22" t="str">
        <f t="shared" si="818"/>
        <v>aceptable</v>
      </c>
      <c r="BA169" s="22" t="str">
        <f t="shared" si="838"/>
        <v>aceptable</v>
      </c>
      <c r="BB169" s="25" t="str">
        <f t="shared" si="839"/>
        <v>NO CONFORME</v>
      </c>
      <c r="BC169" s="5" t="str">
        <f t="shared" si="840"/>
        <v>NO CONFORME</v>
      </c>
      <c r="BD169" s="15">
        <f t="shared" si="819"/>
        <v>-1</v>
      </c>
      <c r="BE169" s="15">
        <f t="shared" si="820"/>
        <v>-1</v>
      </c>
      <c r="BF169" s="15">
        <f t="shared" si="821"/>
        <v>-1</v>
      </c>
      <c r="BG169" s="15" t="str">
        <f t="shared" si="822"/>
        <v>-1-1-1</v>
      </c>
      <c r="BH169" s="15" t="str">
        <f t="shared" si="823"/>
        <v>SD</v>
      </c>
      <c r="BI169" s="15" t="str">
        <f t="shared" si="824"/>
        <v>SI</v>
      </c>
      <c r="BJ169" s="15" t="b">
        <f t="shared" si="825"/>
        <v>1</v>
      </c>
      <c r="BK169" s="15" t="str">
        <f t="shared" si="826"/>
        <v>SIGIGUALES</v>
      </c>
      <c r="BL169" s="22" t="str">
        <f t="shared" si="827"/>
        <v>NO CONFORME</v>
      </c>
    </row>
    <row r="170" spans="1:64" ht="15.75" thickBot="1" x14ac:dyDescent="0.3">
      <c r="A170" s="37">
        <v>162</v>
      </c>
      <c r="B170" s="93">
        <f t="shared" ref="B170:E170" si="1046">B169</f>
        <v>45919</v>
      </c>
      <c r="C170" s="93">
        <f t="shared" si="1046"/>
        <v>45919</v>
      </c>
      <c r="D170" s="94">
        <f t="shared" si="1046"/>
        <v>6</v>
      </c>
      <c r="E170" s="95">
        <f t="shared" si="1046"/>
        <v>15</v>
      </c>
      <c r="F170" s="52"/>
      <c r="G170" s="96"/>
      <c r="H170" s="97">
        <f t="shared" ref="H170:L170" si="1047">H169</f>
        <v>25.6</v>
      </c>
      <c r="I170" s="98">
        <f t="shared" si="1047"/>
        <v>0</v>
      </c>
      <c r="J170" s="99">
        <f t="shared" si="1047"/>
        <v>20.9</v>
      </c>
      <c r="K170" s="99">
        <f t="shared" si="1047"/>
        <v>7.883</v>
      </c>
      <c r="L170" s="99">
        <f t="shared" si="1047"/>
        <v>0.55400000000000005</v>
      </c>
      <c r="M170" s="53"/>
      <c r="N170" s="53"/>
      <c r="O170" s="100">
        <f t="shared" ref="O170:P170" si="1048">O169</f>
        <v>100.62</v>
      </c>
      <c r="P170" s="101" t="str">
        <f t="shared" si="1048"/>
        <v>2,29,560</v>
      </c>
      <c r="Q170" s="11" t="str">
        <f t="shared" si="893"/>
        <v>2</v>
      </c>
      <c r="R170" s="11" t="str">
        <f t="shared" si="894"/>
        <v>29,560</v>
      </c>
      <c r="S170" s="11">
        <f t="shared" si="895"/>
        <v>4.1544444444444446E-2</v>
      </c>
      <c r="T170" s="14">
        <f t="shared" si="896"/>
        <v>2421.9844878309709</v>
      </c>
      <c r="U170" s="39">
        <f t="shared" si="897"/>
        <v>-100</v>
      </c>
      <c r="V170" s="105">
        <f t="shared" ref="V170:X185" si="1049">V169</f>
        <v>20.399999999999999</v>
      </c>
      <c r="W170" s="105">
        <f t="shared" si="1049"/>
        <v>1.5069999999999999</v>
      </c>
      <c r="X170" s="106">
        <f t="shared" si="1049"/>
        <v>1.504</v>
      </c>
      <c r="Y170" s="53"/>
      <c r="Z170" s="53"/>
      <c r="AA170" s="107">
        <f t="shared" ref="AA170:AB170" si="1050">AA169</f>
        <v>10.015000000000001</v>
      </c>
      <c r="AB170" s="108" t="str">
        <f t="shared" si="1050"/>
        <v>22,10,090</v>
      </c>
      <c r="AC170" s="11" t="str">
        <f t="shared" si="900"/>
        <v>22</v>
      </c>
      <c r="AD170" s="11" t="str">
        <f t="shared" si="901"/>
        <v>10,090</v>
      </c>
      <c r="AE170" s="11">
        <f t="shared" si="902"/>
        <v>0.36946944444444441</v>
      </c>
      <c r="AF170" s="14">
        <f t="shared" si="903"/>
        <v>27.106436406558959</v>
      </c>
      <c r="AG170" s="41">
        <f t="shared" si="904"/>
        <v>-100</v>
      </c>
      <c r="AH170" s="105">
        <f t="shared" si="960"/>
        <v>20.3</v>
      </c>
      <c r="AI170" s="105">
        <f t="shared" si="960"/>
        <v>1.5089999999999999</v>
      </c>
      <c r="AJ170" s="105">
        <f t="shared" si="960"/>
        <v>1.504</v>
      </c>
      <c r="AK170" s="53">
        <f t="shared" si="905"/>
        <v>0</v>
      </c>
      <c r="AL170" s="53"/>
      <c r="AM170" s="54">
        <f t="shared" ref="AM170:AN170" si="1051">AM169</f>
        <v>5.0129999999999999</v>
      </c>
      <c r="AN170" s="101" t="str">
        <f t="shared" si="1051"/>
        <v>17,59,050</v>
      </c>
      <c r="AO170" s="11" t="str">
        <f t="shared" si="907"/>
        <v>17</v>
      </c>
      <c r="AP170" s="11" t="str">
        <f t="shared" si="908"/>
        <v>59,050</v>
      </c>
      <c r="AQ170" s="11">
        <f t="shared" si="909"/>
        <v>0.29973611111111109</v>
      </c>
      <c r="AR170" s="14">
        <f t="shared" si="910"/>
        <v>16.724711551827998</v>
      </c>
      <c r="AS170" s="41">
        <f t="shared" si="911"/>
        <v>-100</v>
      </c>
      <c r="AT170" s="43" t="str">
        <f t="shared" si="912"/>
        <v>NO CONFORME</v>
      </c>
      <c r="AU170" s="8" t="b">
        <f t="shared" si="834"/>
        <v>1</v>
      </c>
      <c r="AV170" s="8" t="b">
        <f t="shared" si="835"/>
        <v>0</v>
      </c>
      <c r="AW170" s="8" t="b">
        <f t="shared" si="836"/>
        <v>1</v>
      </c>
      <c r="AX170" s="8" t="str">
        <f t="shared" si="837"/>
        <v>Qcorrecto</v>
      </c>
      <c r="AY170" s="22" t="str">
        <f t="shared" si="817"/>
        <v>aceptable</v>
      </c>
      <c r="AZ170" s="22" t="str">
        <f t="shared" si="818"/>
        <v>aceptable</v>
      </c>
      <c r="BA170" s="22" t="str">
        <f t="shared" si="838"/>
        <v>aceptable</v>
      </c>
      <c r="BB170" s="25" t="str">
        <f t="shared" si="839"/>
        <v>NO CONFORME</v>
      </c>
      <c r="BC170" s="5" t="str">
        <f t="shared" si="840"/>
        <v>NO CONFORME</v>
      </c>
      <c r="BD170" s="15">
        <f t="shared" si="819"/>
        <v>-1</v>
      </c>
      <c r="BE170" s="15">
        <f t="shared" si="820"/>
        <v>-1</v>
      </c>
      <c r="BF170" s="15">
        <f t="shared" si="821"/>
        <v>-1</v>
      </c>
      <c r="BG170" s="15" t="str">
        <f t="shared" si="822"/>
        <v>-1-1-1</v>
      </c>
      <c r="BH170" s="15" t="str">
        <f t="shared" si="823"/>
        <v>SD</v>
      </c>
      <c r="BI170" s="15" t="str">
        <f t="shared" si="824"/>
        <v>SI</v>
      </c>
      <c r="BJ170" s="15" t="b">
        <f t="shared" si="825"/>
        <v>1</v>
      </c>
      <c r="BK170" s="15" t="str">
        <f t="shared" si="826"/>
        <v>SIGIGUALES</v>
      </c>
      <c r="BL170" s="22" t="str">
        <f t="shared" si="827"/>
        <v>NO CONFORME</v>
      </c>
    </row>
    <row r="171" spans="1:64" ht="15.75" thickBot="1" x14ac:dyDescent="0.3">
      <c r="A171" s="37">
        <v>163</v>
      </c>
      <c r="B171" s="93">
        <f t="shared" ref="B171:E171" si="1052">B170</f>
        <v>45919</v>
      </c>
      <c r="C171" s="93">
        <f t="shared" si="1052"/>
        <v>45919</v>
      </c>
      <c r="D171" s="94">
        <f t="shared" si="1052"/>
        <v>6</v>
      </c>
      <c r="E171" s="95">
        <f t="shared" si="1052"/>
        <v>15</v>
      </c>
      <c r="F171" s="52"/>
      <c r="G171" s="96"/>
      <c r="H171" s="97">
        <f t="shared" ref="H171:L171" si="1053">H170</f>
        <v>25.6</v>
      </c>
      <c r="I171" s="98">
        <f t="shared" si="1053"/>
        <v>0</v>
      </c>
      <c r="J171" s="99">
        <f t="shared" si="1053"/>
        <v>20.9</v>
      </c>
      <c r="K171" s="99">
        <f t="shared" si="1053"/>
        <v>7.883</v>
      </c>
      <c r="L171" s="99">
        <f t="shared" si="1053"/>
        <v>0.55400000000000005</v>
      </c>
      <c r="M171" s="53"/>
      <c r="N171" s="53"/>
      <c r="O171" s="100">
        <f t="shared" ref="O171:P171" si="1054">O170</f>
        <v>100.62</v>
      </c>
      <c r="P171" s="101" t="str">
        <f t="shared" si="1054"/>
        <v>2,29,560</v>
      </c>
      <c r="Q171" s="11" t="str">
        <f t="shared" si="893"/>
        <v>2</v>
      </c>
      <c r="R171" s="11" t="str">
        <f t="shared" si="894"/>
        <v>29,560</v>
      </c>
      <c r="S171" s="11">
        <f t="shared" si="895"/>
        <v>4.1544444444444446E-2</v>
      </c>
      <c r="T171" s="14">
        <f t="shared" si="896"/>
        <v>2421.9844878309709</v>
      </c>
      <c r="U171" s="39">
        <f t="shared" si="897"/>
        <v>-100</v>
      </c>
      <c r="V171" s="105">
        <f t="shared" ref="V171:W171" si="1055">V170</f>
        <v>20.399999999999999</v>
      </c>
      <c r="W171" s="105">
        <f t="shared" si="1055"/>
        <v>1.5069999999999999</v>
      </c>
      <c r="X171" s="106">
        <f t="shared" si="1049"/>
        <v>1.504</v>
      </c>
      <c r="Y171" s="53"/>
      <c r="Z171" s="53"/>
      <c r="AA171" s="107">
        <f t="shared" ref="AA171:AB171" si="1056">AA170</f>
        <v>10.015000000000001</v>
      </c>
      <c r="AB171" s="108" t="str">
        <f t="shared" si="1056"/>
        <v>22,10,090</v>
      </c>
      <c r="AC171" s="11" t="str">
        <f t="shared" si="900"/>
        <v>22</v>
      </c>
      <c r="AD171" s="11" t="str">
        <f t="shared" si="901"/>
        <v>10,090</v>
      </c>
      <c r="AE171" s="11">
        <f t="shared" si="902"/>
        <v>0.36946944444444441</v>
      </c>
      <c r="AF171" s="14">
        <f t="shared" si="903"/>
        <v>27.106436406558959</v>
      </c>
      <c r="AG171" s="41">
        <f t="shared" si="904"/>
        <v>-100</v>
      </c>
      <c r="AH171" s="105">
        <f t="shared" ref="AH171:AJ186" si="1057">AH170</f>
        <v>20.3</v>
      </c>
      <c r="AI171" s="105">
        <f t="shared" si="1057"/>
        <v>1.5089999999999999</v>
      </c>
      <c r="AJ171" s="105">
        <f t="shared" si="1057"/>
        <v>1.504</v>
      </c>
      <c r="AK171" s="53">
        <f t="shared" si="905"/>
        <v>0</v>
      </c>
      <c r="AL171" s="53"/>
      <c r="AM171" s="54">
        <f t="shared" ref="AM171:AN171" si="1058">AM170</f>
        <v>5.0129999999999999</v>
      </c>
      <c r="AN171" s="101" t="str">
        <f t="shared" si="1058"/>
        <v>17,59,050</v>
      </c>
      <c r="AO171" s="11" t="str">
        <f t="shared" si="907"/>
        <v>17</v>
      </c>
      <c r="AP171" s="11" t="str">
        <f t="shared" si="908"/>
        <v>59,050</v>
      </c>
      <c r="AQ171" s="11">
        <f t="shared" si="909"/>
        <v>0.29973611111111109</v>
      </c>
      <c r="AR171" s="14">
        <f t="shared" si="910"/>
        <v>16.724711551827998</v>
      </c>
      <c r="AS171" s="41">
        <f t="shared" si="911"/>
        <v>-100</v>
      </c>
      <c r="AT171" s="43" t="str">
        <f t="shared" si="912"/>
        <v>NO CONFORME</v>
      </c>
      <c r="AU171" s="8" t="b">
        <f t="shared" si="834"/>
        <v>1</v>
      </c>
      <c r="AV171" s="8" t="b">
        <f t="shared" si="835"/>
        <v>0</v>
      </c>
      <c r="AW171" s="8" t="b">
        <f t="shared" si="836"/>
        <v>1</v>
      </c>
      <c r="AX171" s="8" t="str">
        <f t="shared" si="837"/>
        <v>Qcorrecto</v>
      </c>
      <c r="AY171" s="22" t="str">
        <f t="shared" si="817"/>
        <v>aceptable</v>
      </c>
      <c r="AZ171" s="22" t="str">
        <f t="shared" si="818"/>
        <v>aceptable</v>
      </c>
      <c r="BA171" s="22" t="str">
        <f t="shared" si="838"/>
        <v>aceptable</v>
      </c>
      <c r="BB171" s="25" t="str">
        <f t="shared" si="839"/>
        <v>NO CONFORME</v>
      </c>
      <c r="BC171" s="5" t="str">
        <f t="shared" si="840"/>
        <v>NO CONFORME</v>
      </c>
      <c r="BD171" s="15">
        <f t="shared" si="819"/>
        <v>-1</v>
      </c>
      <c r="BE171" s="15">
        <f t="shared" si="820"/>
        <v>-1</v>
      </c>
      <c r="BF171" s="15">
        <f t="shared" si="821"/>
        <v>-1</v>
      </c>
      <c r="BG171" s="15" t="str">
        <f t="shared" si="822"/>
        <v>-1-1-1</v>
      </c>
      <c r="BH171" s="15" t="str">
        <f t="shared" si="823"/>
        <v>SD</v>
      </c>
      <c r="BI171" s="15" t="str">
        <f t="shared" si="824"/>
        <v>SI</v>
      </c>
      <c r="BJ171" s="15" t="b">
        <f t="shared" si="825"/>
        <v>1</v>
      </c>
      <c r="BK171" s="15" t="str">
        <f t="shared" si="826"/>
        <v>SIGIGUALES</v>
      </c>
      <c r="BL171" s="22" t="str">
        <f t="shared" si="827"/>
        <v>NO CONFORME</v>
      </c>
    </row>
    <row r="172" spans="1:64" ht="15.75" thickBot="1" x14ac:dyDescent="0.3">
      <c r="A172" s="37">
        <v>164</v>
      </c>
      <c r="B172" s="93">
        <f t="shared" ref="B172:E172" si="1059">B171</f>
        <v>45919</v>
      </c>
      <c r="C172" s="93">
        <f t="shared" si="1059"/>
        <v>45919</v>
      </c>
      <c r="D172" s="94">
        <f t="shared" si="1059"/>
        <v>6</v>
      </c>
      <c r="E172" s="95">
        <f t="shared" si="1059"/>
        <v>15</v>
      </c>
      <c r="F172" s="52"/>
      <c r="G172" s="96"/>
      <c r="H172" s="97">
        <f t="shared" ref="H172:L172" si="1060">H171</f>
        <v>25.6</v>
      </c>
      <c r="I172" s="98">
        <f t="shared" si="1060"/>
        <v>0</v>
      </c>
      <c r="J172" s="99">
        <f t="shared" si="1060"/>
        <v>20.9</v>
      </c>
      <c r="K172" s="99">
        <f t="shared" si="1060"/>
        <v>7.883</v>
      </c>
      <c r="L172" s="99">
        <f t="shared" si="1060"/>
        <v>0.55400000000000005</v>
      </c>
      <c r="M172" s="53"/>
      <c r="N172" s="53"/>
      <c r="O172" s="100">
        <f t="shared" ref="O172:P172" si="1061">O171</f>
        <v>100.62</v>
      </c>
      <c r="P172" s="101" t="str">
        <f t="shared" si="1061"/>
        <v>2,29,560</v>
      </c>
      <c r="Q172" s="11" t="str">
        <f t="shared" si="893"/>
        <v>2</v>
      </c>
      <c r="R172" s="11" t="str">
        <f t="shared" si="894"/>
        <v>29,560</v>
      </c>
      <c r="S172" s="11">
        <f t="shared" si="895"/>
        <v>4.1544444444444446E-2</v>
      </c>
      <c r="T172" s="14">
        <f t="shared" si="896"/>
        <v>2421.9844878309709</v>
      </c>
      <c r="U172" s="39">
        <f t="shared" si="897"/>
        <v>-100</v>
      </c>
      <c r="V172" s="105">
        <f t="shared" ref="V172:W172" si="1062">V171</f>
        <v>20.399999999999999</v>
      </c>
      <c r="W172" s="105">
        <f t="shared" si="1062"/>
        <v>1.5069999999999999</v>
      </c>
      <c r="X172" s="106">
        <f t="shared" si="1049"/>
        <v>1.504</v>
      </c>
      <c r="Y172" s="53"/>
      <c r="Z172" s="53"/>
      <c r="AA172" s="107">
        <f t="shared" ref="AA172:AB172" si="1063">AA171</f>
        <v>10.015000000000001</v>
      </c>
      <c r="AB172" s="108" t="str">
        <f t="shared" si="1063"/>
        <v>22,10,090</v>
      </c>
      <c r="AC172" s="11" t="str">
        <f t="shared" si="900"/>
        <v>22</v>
      </c>
      <c r="AD172" s="11" t="str">
        <f t="shared" si="901"/>
        <v>10,090</v>
      </c>
      <c r="AE172" s="11">
        <f t="shared" si="902"/>
        <v>0.36946944444444441</v>
      </c>
      <c r="AF172" s="14">
        <f t="shared" si="903"/>
        <v>27.106436406558959</v>
      </c>
      <c r="AG172" s="41">
        <f t="shared" si="904"/>
        <v>-100</v>
      </c>
      <c r="AH172" s="105">
        <f t="shared" si="1057"/>
        <v>20.3</v>
      </c>
      <c r="AI172" s="105">
        <f t="shared" si="1057"/>
        <v>1.5089999999999999</v>
      </c>
      <c r="AJ172" s="105">
        <f t="shared" si="1057"/>
        <v>1.504</v>
      </c>
      <c r="AK172" s="53">
        <f t="shared" si="905"/>
        <v>0</v>
      </c>
      <c r="AL172" s="53"/>
      <c r="AM172" s="54">
        <f t="shared" ref="AM172:AN172" si="1064">AM171</f>
        <v>5.0129999999999999</v>
      </c>
      <c r="AN172" s="101" t="str">
        <f t="shared" si="1064"/>
        <v>17,59,050</v>
      </c>
      <c r="AO172" s="11" t="str">
        <f t="shared" si="907"/>
        <v>17</v>
      </c>
      <c r="AP172" s="11" t="str">
        <f t="shared" si="908"/>
        <v>59,050</v>
      </c>
      <c r="AQ172" s="11">
        <f t="shared" si="909"/>
        <v>0.29973611111111109</v>
      </c>
      <c r="AR172" s="14">
        <f t="shared" si="910"/>
        <v>16.724711551827998</v>
      </c>
      <c r="AS172" s="41">
        <f t="shared" si="911"/>
        <v>-100</v>
      </c>
      <c r="AT172" s="43" t="str">
        <f t="shared" si="912"/>
        <v>NO CONFORME</v>
      </c>
      <c r="AU172" s="8" t="b">
        <f t="shared" si="834"/>
        <v>1</v>
      </c>
      <c r="AV172" s="8" t="b">
        <f t="shared" si="835"/>
        <v>0</v>
      </c>
      <c r="AW172" s="8" t="b">
        <f t="shared" si="836"/>
        <v>1</v>
      </c>
      <c r="AX172" s="8" t="str">
        <f t="shared" si="837"/>
        <v>Qcorrecto</v>
      </c>
      <c r="AY172" s="22" t="str">
        <f t="shared" si="817"/>
        <v>aceptable</v>
      </c>
      <c r="AZ172" s="22" t="str">
        <f t="shared" si="818"/>
        <v>aceptable</v>
      </c>
      <c r="BA172" s="22" t="str">
        <f t="shared" si="838"/>
        <v>aceptable</v>
      </c>
      <c r="BB172" s="25" t="str">
        <f t="shared" si="839"/>
        <v>NO CONFORME</v>
      </c>
      <c r="BC172" s="5" t="str">
        <f t="shared" si="840"/>
        <v>NO CONFORME</v>
      </c>
      <c r="BD172" s="15">
        <f t="shared" si="819"/>
        <v>-1</v>
      </c>
      <c r="BE172" s="15">
        <f t="shared" si="820"/>
        <v>-1</v>
      </c>
      <c r="BF172" s="15">
        <f t="shared" si="821"/>
        <v>-1</v>
      </c>
      <c r="BG172" s="15" t="str">
        <f t="shared" si="822"/>
        <v>-1-1-1</v>
      </c>
      <c r="BH172" s="15" t="str">
        <f t="shared" si="823"/>
        <v>SD</v>
      </c>
      <c r="BI172" s="15" t="str">
        <f t="shared" si="824"/>
        <v>SI</v>
      </c>
      <c r="BJ172" s="15" t="b">
        <f t="shared" si="825"/>
        <v>1</v>
      </c>
      <c r="BK172" s="15" t="str">
        <f t="shared" si="826"/>
        <v>SIGIGUALES</v>
      </c>
      <c r="BL172" s="22" t="str">
        <f t="shared" si="827"/>
        <v>NO CONFORME</v>
      </c>
    </row>
    <row r="173" spans="1:64" ht="15.75" thickBot="1" x14ac:dyDescent="0.3">
      <c r="A173" s="37">
        <v>165</v>
      </c>
      <c r="B173" s="93">
        <f t="shared" ref="B173:E173" si="1065">B172</f>
        <v>45919</v>
      </c>
      <c r="C173" s="93">
        <f t="shared" si="1065"/>
        <v>45919</v>
      </c>
      <c r="D173" s="94">
        <f t="shared" si="1065"/>
        <v>6</v>
      </c>
      <c r="E173" s="95">
        <f t="shared" si="1065"/>
        <v>15</v>
      </c>
      <c r="F173" s="52"/>
      <c r="G173" s="96"/>
      <c r="H173" s="97">
        <f t="shared" ref="H173:L173" si="1066">H172</f>
        <v>25.6</v>
      </c>
      <c r="I173" s="98">
        <f t="shared" si="1066"/>
        <v>0</v>
      </c>
      <c r="J173" s="99">
        <f t="shared" si="1066"/>
        <v>20.9</v>
      </c>
      <c r="K173" s="99">
        <f t="shared" si="1066"/>
        <v>7.883</v>
      </c>
      <c r="L173" s="99">
        <f t="shared" si="1066"/>
        <v>0.55400000000000005</v>
      </c>
      <c r="M173" s="53"/>
      <c r="N173" s="53"/>
      <c r="O173" s="100">
        <f t="shared" ref="O173:P173" si="1067">O172</f>
        <v>100.62</v>
      </c>
      <c r="P173" s="101" t="str">
        <f t="shared" si="1067"/>
        <v>2,29,560</v>
      </c>
      <c r="Q173" s="11" t="str">
        <f t="shared" si="893"/>
        <v>2</v>
      </c>
      <c r="R173" s="11" t="str">
        <f t="shared" si="894"/>
        <v>29,560</v>
      </c>
      <c r="S173" s="11">
        <f t="shared" si="895"/>
        <v>4.1544444444444446E-2</v>
      </c>
      <c r="T173" s="14">
        <f t="shared" si="896"/>
        <v>2421.9844878309709</v>
      </c>
      <c r="U173" s="39">
        <f t="shared" si="897"/>
        <v>-100</v>
      </c>
      <c r="V173" s="105">
        <f t="shared" ref="V173:W173" si="1068">V172</f>
        <v>20.399999999999999</v>
      </c>
      <c r="W173" s="105">
        <f t="shared" si="1068"/>
        <v>1.5069999999999999</v>
      </c>
      <c r="X173" s="106">
        <f t="shared" si="1049"/>
        <v>1.504</v>
      </c>
      <c r="Y173" s="53"/>
      <c r="Z173" s="53"/>
      <c r="AA173" s="107">
        <f t="shared" ref="AA173:AB173" si="1069">AA172</f>
        <v>10.015000000000001</v>
      </c>
      <c r="AB173" s="108" t="str">
        <f t="shared" si="1069"/>
        <v>22,10,090</v>
      </c>
      <c r="AC173" s="11" t="str">
        <f t="shared" si="900"/>
        <v>22</v>
      </c>
      <c r="AD173" s="11" t="str">
        <f t="shared" si="901"/>
        <v>10,090</v>
      </c>
      <c r="AE173" s="11">
        <f t="shared" si="902"/>
        <v>0.36946944444444441</v>
      </c>
      <c r="AF173" s="14">
        <f t="shared" si="903"/>
        <v>27.106436406558959</v>
      </c>
      <c r="AG173" s="41">
        <f t="shared" si="904"/>
        <v>-100</v>
      </c>
      <c r="AH173" s="105">
        <f t="shared" si="1057"/>
        <v>20.3</v>
      </c>
      <c r="AI173" s="105">
        <f t="shared" si="1057"/>
        <v>1.5089999999999999</v>
      </c>
      <c r="AJ173" s="105">
        <f t="shared" si="1057"/>
        <v>1.504</v>
      </c>
      <c r="AK173" s="53">
        <f t="shared" si="905"/>
        <v>0</v>
      </c>
      <c r="AL173" s="53"/>
      <c r="AM173" s="54">
        <f t="shared" ref="AM173:AN173" si="1070">AM172</f>
        <v>5.0129999999999999</v>
      </c>
      <c r="AN173" s="101" t="str">
        <f t="shared" si="1070"/>
        <v>17,59,050</v>
      </c>
      <c r="AO173" s="11" t="str">
        <f t="shared" si="907"/>
        <v>17</v>
      </c>
      <c r="AP173" s="11" t="str">
        <f t="shared" si="908"/>
        <v>59,050</v>
      </c>
      <c r="AQ173" s="11">
        <f t="shared" si="909"/>
        <v>0.29973611111111109</v>
      </c>
      <c r="AR173" s="14">
        <f t="shared" si="910"/>
        <v>16.724711551827998</v>
      </c>
      <c r="AS173" s="41">
        <f t="shared" si="911"/>
        <v>-100</v>
      </c>
      <c r="AT173" s="43" t="str">
        <f t="shared" si="912"/>
        <v>NO CONFORME</v>
      </c>
      <c r="AU173" s="8" t="b">
        <f t="shared" si="834"/>
        <v>1</v>
      </c>
      <c r="AV173" s="8" t="b">
        <f t="shared" si="835"/>
        <v>0</v>
      </c>
      <c r="AW173" s="8" t="b">
        <f t="shared" si="836"/>
        <v>1</v>
      </c>
      <c r="AX173" s="8" t="str">
        <f t="shared" si="837"/>
        <v>Qcorrecto</v>
      </c>
      <c r="AY173" s="22" t="str">
        <f t="shared" si="817"/>
        <v>aceptable</v>
      </c>
      <c r="AZ173" s="22" t="str">
        <f t="shared" si="818"/>
        <v>aceptable</v>
      </c>
      <c r="BA173" s="22" t="str">
        <f t="shared" si="838"/>
        <v>aceptable</v>
      </c>
      <c r="BB173" s="25" t="str">
        <f t="shared" si="839"/>
        <v>NO CONFORME</v>
      </c>
      <c r="BC173" s="5" t="str">
        <f t="shared" si="840"/>
        <v>NO CONFORME</v>
      </c>
      <c r="BD173" s="15">
        <f t="shared" si="819"/>
        <v>-1</v>
      </c>
      <c r="BE173" s="15">
        <f t="shared" si="820"/>
        <v>-1</v>
      </c>
      <c r="BF173" s="15">
        <f t="shared" si="821"/>
        <v>-1</v>
      </c>
      <c r="BG173" s="15" t="str">
        <f t="shared" si="822"/>
        <v>-1-1-1</v>
      </c>
      <c r="BH173" s="15" t="str">
        <f t="shared" si="823"/>
        <v>SD</v>
      </c>
      <c r="BI173" s="15" t="str">
        <f t="shared" si="824"/>
        <v>SI</v>
      </c>
      <c r="BJ173" s="15" t="b">
        <f t="shared" si="825"/>
        <v>1</v>
      </c>
      <c r="BK173" s="15" t="str">
        <f t="shared" si="826"/>
        <v>SIGIGUALES</v>
      </c>
      <c r="BL173" s="22" t="str">
        <f t="shared" si="827"/>
        <v>NO CONFORME</v>
      </c>
    </row>
    <row r="174" spans="1:64" ht="15.75" thickBot="1" x14ac:dyDescent="0.3">
      <c r="A174" s="37">
        <v>166</v>
      </c>
      <c r="B174" s="93">
        <f t="shared" ref="B174:E174" si="1071">B173</f>
        <v>45919</v>
      </c>
      <c r="C174" s="93">
        <f t="shared" si="1071"/>
        <v>45919</v>
      </c>
      <c r="D174" s="94">
        <f t="shared" si="1071"/>
        <v>6</v>
      </c>
      <c r="E174" s="95">
        <f t="shared" si="1071"/>
        <v>15</v>
      </c>
      <c r="F174" s="52"/>
      <c r="G174" s="96"/>
      <c r="H174" s="97">
        <f t="shared" ref="H174:L174" si="1072">H173</f>
        <v>25.6</v>
      </c>
      <c r="I174" s="98">
        <f t="shared" si="1072"/>
        <v>0</v>
      </c>
      <c r="J174" s="99">
        <f t="shared" si="1072"/>
        <v>20.9</v>
      </c>
      <c r="K174" s="99">
        <f t="shared" si="1072"/>
        <v>7.883</v>
      </c>
      <c r="L174" s="99">
        <f t="shared" si="1072"/>
        <v>0.55400000000000005</v>
      </c>
      <c r="M174" s="53"/>
      <c r="N174" s="53"/>
      <c r="O174" s="100">
        <f t="shared" ref="O174:P174" si="1073">O173</f>
        <v>100.62</v>
      </c>
      <c r="P174" s="101" t="str">
        <f t="shared" si="1073"/>
        <v>2,29,560</v>
      </c>
      <c r="Q174" s="11" t="str">
        <f t="shared" si="893"/>
        <v>2</v>
      </c>
      <c r="R174" s="11" t="str">
        <f t="shared" si="894"/>
        <v>29,560</v>
      </c>
      <c r="S174" s="11">
        <f t="shared" si="895"/>
        <v>4.1544444444444446E-2</v>
      </c>
      <c r="T174" s="14">
        <f t="shared" si="896"/>
        <v>2421.9844878309709</v>
      </c>
      <c r="U174" s="39">
        <f t="shared" si="897"/>
        <v>-100</v>
      </c>
      <c r="V174" s="105">
        <f t="shared" ref="V174:W174" si="1074">V173</f>
        <v>20.399999999999999</v>
      </c>
      <c r="W174" s="105">
        <f t="shared" si="1074"/>
        <v>1.5069999999999999</v>
      </c>
      <c r="X174" s="106">
        <f t="shared" si="1049"/>
        <v>1.504</v>
      </c>
      <c r="Y174" s="53"/>
      <c r="Z174" s="53"/>
      <c r="AA174" s="107">
        <f t="shared" ref="AA174:AB174" si="1075">AA173</f>
        <v>10.015000000000001</v>
      </c>
      <c r="AB174" s="108" t="str">
        <f t="shared" si="1075"/>
        <v>22,10,090</v>
      </c>
      <c r="AC174" s="11" t="str">
        <f t="shared" si="900"/>
        <v>22</v>
      </c>
      <c r="AD174" s="11" t="str">
        <f t="shared" si="901"/>
        <v>10,090</v>
      </c>
      <c r="AE174" s="11">
        <f t="shared" si="902"/>
        <v>0.36946944444444441</v>
      </c>
      <c r="AF174" s="14">
        <f t="shared" si="903"/>
        <v>27.106436406558959</v>
      </c>
      <c r="AG174" s="41">
        <f t="shared" si="904"/>
        <v>-100</v>
      </c>
      <c r="AH174" s="105">
        <f t="shared" si="1057"/>
        <v>20.3</v>
      </c>
      <c r="AI174" s="105">
        <f t="shared" si="1057"/>
        <v>1.5089999999999999</v>
      </c>
      <c r="AJ174" s="105">
        <f t="shared" si="1057"/>
        <v>1.504</v>
      </c>
      <c r="AK174" s="53">
        <f t="shared" si="905"/>
        <v>0</v>
      </c>
      <c r="AL174" s="53"/>
      <c r="AM174" s="54">
        <f t="shared" ref="AM174:AN174" si="1076">AM173</f>
        <v>5.0129999999999999</v>
      </c>
      <c r="AN174" s="101" t="str">
        <f t="shared" si="1076"/>
        <v>17,59,050</v>
      </c>
      <c r="AO174" s="11" t="str">
        <f t="shared" si="907"/>
        <v>17</v>
      </c>
      <c r="AP174" s="11" t="str">
        <f t="shared" si="908"/>
        <v>59,050</v>
      </c>
      <c r="AQ174" s="11">
        <f t="shared" si="909"/>
        <v>0.29973611111111109</v>
      </c>
      <c r="AR174" s="14">
        <f t="shared" si="910"/>
        <v>16.724711551827998</v>
      </c>
      <c r="AS174" s="41">
        <f t="shared" si="911"/>
        <v>-100</v>
      </c>
      <c r="AT174" s="43" t="str">
        <f t="shared" si="912"/>
        <v>NO CONFORME</v>
      </c>
      <c r="AU174" s="8" t="b">
        <f t="shared" si="834"/>
        <v>1</v>
      </c>
      <c r="AV174" s="8" t="b">
        <f t="shared" si="835"/>
        <v>0</v>
      </c>
      <c r="AW174" s="8" t="b">
        <f t="shared" si="836"/>
        <v>1</v>
      </c>
      <c r="AX174" s="8" t="str">
        <f t="shared" si="837"/>
        <v>Qcorrecto</v>
      </c>
      <c r="AY174" s="22" t="str">
        <f t="shared" si="817"/>
        <v>aceptable</v>
      </c>
      <c r="AZ174" s="22" t="str">
        <f t="shared" si="818"/>
        <v>aceptable</v>
      </c>
      <c r="BA174" s="22" t="str">
        <f t="shared" si="838"/>
        <v>aceptable</v>
      </c>
      <c r="BB174" s="25" t="str">
        <f t="shared" si="839"/>
        <v>NO CONFORME</v>
      </c>
      <c r="BC174" s="5" t="str">
        <f t="shared" si="840"/>
        <v>NO CONFORME</v>
      </c>
      <c r="BD174" s="15">
        <f t="shared" si="819"/>
        <v>-1</v>
      </c>
      <c r="BE174" s="15">
        <f t="shared" si="820"/>
        <v>-1</v>
      </c>
      <c r="BF174" s="15">
        <f t="shared" si="821"/>
        <v>-1</v>
      </c>
      <c r="BG174" s="15" t="str">
        <f t="shared" si="822"/>
        <v>-1-1-1</v>
      </c>
      <c r="BH174" s="15" t="str">
        <f t="shared" si="823"/>
        <v>SD</v>
      </c>
      <c r="BI174" s="15" t="str">
        <f t="shared" si="824"/>
        <v>SI</v>
      </c>
      <c r="BJ174" s="15" t="b">
        <f t="shared" si="825"/>
        <v>1</v>
      </c>
      <c r="BK174" s="15" t="str">
        <f t="shared" si="826"/>
        <v>SIGIGUALES</v>
      </c>
      <c r="BL174" s="22" t="str">
        <f t="shared" si="827"/>
        <v>NO CONFORME</v>
      </c>
    </row>
    <row r="175" spans="1:64" ht="15.75" thickBot="1" x14ac:dyDescent="0.3">
      <c r="A175" s="37">
        <v>167</v>
      </c>
      <c r="B175" s="93">
        <f t="shared" ref="B175:E175" si="1077">B174</f>
        <v>45919</v>
      </c>
      <c r="C175" s="93">
        <f t="shared" si="1077"/>
        <v>45919</v>
      </c>
      <c r="D175" s="94">
        <f t="shared" si="1077"/>
        <v>6</v>
      </c>
      <c r="E175" s="95">
        <f t="shared" si="1077"/>
        <v>15</v>
      </c>
      <c r="F175" s="52"/>
      <c r="G175" s="96"/>
      <c r="H175" s="97">
        <f t="shared" ref="H175:L175" si="1078">H174</f>
        <v>25.6</v>
      </c>
      <c r="I175" s="98">
        <f t="shared" si="1078"/>
        <v>0</v>
      </c>
      <c r="J175" s="99">
        <f t="shared" si="1078"/>
        <v>20.9</v>
      </c>
      <c r="K175" s="99">
        <f t="shared" si="1078"/>
        <v>7.883</v>
      </c>
      <c r="L175" s="99">
        <f t="shared" si="1078"/>
        <v>0.55400000000000005</v>
      </c>
      <c r="M175" s="53"/>
      <c r="N175" s="53"/>
      <c r="O175" s="100">
        <f t="shared" ref="O175:P175" si="1079">O174</f>
        <v>100.62</v>
      </c>
      <c r="P175" s="101" t="str">
        <f t="shared" si="1079"/>
        <v>2,29,560</v>
      </c>
      <c r="Q175" s="11" t="str">
        <f t="shared" si="893"/>
        <v>2</v>
      </c>
      <c r="R175" s="11" t="str">
        <f t="shared" si="894"/>
        <v>29,560</v>
      </c>
      <c r="S175" s="11">
        <f t="shared" si="895"/>
        <v>4.1544444444444446E-2</v>
      </c>
      <c r="T175" s="14">
        <f t="shared" si="896"/>
        <v>2421.9844878309709</v>
      </c>
      <c r="U175" s="39">
        <f t="shared" si="897"/>
        <v>-100</v>
      </c>
      <c r="V175" s="105">
        <f t="shared" ref="V175:W175" si="1080">V174</f>
        <v>20.399999999999999</v>
      </c>
      <c r="W175" s="105">
        <f t="shared" si="1080"/>
        <v>1.5069999999999999</v>
      </c>
      <c r="X175" s="106">
        <f t="shared" si="1049"/>
        <v>1.504</v>
      </c>
      <c r="Y175" s="53"/>
      <c r="Z175" s="53"/>
      <c r="AA175" s="107">
        <f t="shared" ref="AA175:AB175" si="1081">AA174</f>
        <v>10.015000000000001</v>
      </c>
      <c r="AB175" s="108" t="str">
        <f t="shared" si="1081"/>
        <v>22,10,090</v>
      </c>
      <c r="AC175" s="11" t="str">
        <f t="shared" si="900"/>
        <v>22</v>
      </c>
      <c r="AD175" s="11" t="str">
        <f t="shared" si="901"/>
        <v>10,090</v>
      </c>
      <c r="AE175" s="11">
        <f t="shared" si="902"/>
        <v>0.36946944444444441</v>
      </c>
      <c r="AF175" s="14">
        <f t="shared" si="903"/>
        <v>27.106436406558959</v>
      </c>
      <c r="AG175" s="41">
        <f t="shared" si="904"/>
        <v>-100</v>
      </c>
      <c r="AH175" s="105">
        <f t="shared" si="1057"/>
        <v>20.3</v>
      </c>
      <c r="AI175" s="105">
        <f t="shared" si="1057"/>
        <v>1.5089999999999999</v>
      </c>
      <c r="AJ175" s="105">
        <f t="shared" si="1057"/>
        <v>1.504</v>
      </c>
      <c r="AK175" s="53">
        <f t="shared" si="905"/>
        <v>0</v>
      </c>
      <c r="AL175" s="53"/>
      <c r="AM175" s="54">
        <f t="shared" ref="AM175:AN175" si="1082">AM174</f>
        <v>5.0129999999999999</v>
      </c>
      <c r="AN175" s="101" t="str">
        <f t="shared" si="1082"/>
        <v>17,59,050</v>
      </c>
      <c r="AO175" s="11" t="str">
        <f t="shared" si="907"/>
        <v>17</v>
      </c>
      <c r="AP175" s="11" t="str">
        <f t="shared" si="908"/>
        <v>59,050</v>
      </c>
      <c r="AQ175" s="11">
        <f t="shared" si="909"/>
        <v>0.29973611111111109</v>
      </c>
      <c r="AR175" s="14">
        <f t="shared" si="910"/>
        <v>16.724711551827998</v>
      </c>
      <c r="AS175" s="41">
        <f t="shared" si="911"/>
        <v>-100</v>
      </c>
      <c r="AT175" s="43" t="str">
        <f t="shared" si="912"/>
        <v>NO CONFORME</v>
      </c>
      <c r="AU175" s="8" t="b">
        <f t="shared" si="834"/>
        <v>1</v>
      </c>
      <c r="AV175" s="8" t="b">
        <f t="shared" si="835"/>
        <v>0</v>
      </c>
      <c r="AW175" s="8" t="b">
        <f t="shared" si="836"/>
        <v>1</v>
      </c>
      <c r="AX175" s="8" t="str">
        <f t="shared" si="837"/>
        <v>Qcorrecto</v>
      </c>
      <c r="AY175" s="22" t="str">
        <f t="shared" si="817"/>
        <v>aceptable</v>
      </c>
      <c r="AZ175" s="22" t="str">
        <f t="shared" si="818"/>
        <v>aceptable</v>
      </c>
      <c r="BA175" s="22" t="str">
        <f t="shared" si="838"/>
        <v>aceptable</v>
      </c>
      <c r="BB175" s="25" t="str">
        <f t="shared" si="839"/>
        <v>NO CONFORME</v>
      </c>
      <c r="BC175" s="5" t="str">
        <f t="shared" si="840"/>
        <v>NO CONFORME</v>
      </c>
      <c r="BD175" s="15">
        <f t="shared" si="819"/>
        <v>-1</v>
      </c>
      <c r="BE175" s="15">
        <f t="shared" si="820"/>
        <v>-1</v>
      </c>
      <c r="BF175" s="15">
        <f t="shared" si="821"/>
        <v>-1</v>
      </c>
      <c r="BG175" s="15" t="str">
        <f t="shared" si="822"/>
        <v>-1-1-1</v>
      </c>
      <c r="BH175" s="15" t="str">
        <f t="shared" si="823"/>
        <v>SD</v>
      </c>
      <c r="BI175" s="15" t="str">
        <f t="shared" si="824"/>
        <v>SI</v>
      </c>
      <c r="BJ175" s="15" t="b">
        <f t="shared" si="825"/>
        <v>1</v>
      </c>
      <c r="BK175" s="15" t="str">
        <f t="shared" si="826"/>
        <v>SIGIGUALES</v>
      </c>
      <c r="BL175" s="22" t="str">
        <f t="shared" si="827"/>
        <v>NO CONFORME</v>
      </c>
    </row>
    <row r="176" spans="1:64" ht="15.75" thickBot="1" x14ac:dyDescent="0.3">
      <c r="A176" s="37">
        <v>168</v>
      </c>
      <c r="B176" s="93">
        <f t="shared" ref="B176:E176" si="1083">B175</f>
        <v>45919</v>
      </c>
      <c r="C176" s="93">
        <f t="shared" si="1083"/>
        <v>45919</v>
      </c>
      <c r="D176" s="94">
        <f t="shared" si="1083"/>
        <v>6</v>
      </c>
      <c r="E176" s="95">
        <f t="shared" si="1083"/>
        <v>15</v>
      </c>
      <c r="F176" s="52"/>
      <c r="G176" s="96"/>
      <c r="H176" s="97">
        <f t="shared" ref="H176:L176" si="1084">H175</f>
        <v>25.6</v>
      </c>
      <c r="I176" s="98">
        <f t="shared" si="1084"/>
        <v>0</v>
      </c>
      <c r="J176" s="99">
        <f t="shared" si="1084"/>
        <v>20.9</v>
      </c>
      <c r="K176" s="99">
        <f t="shared" si="1084"/>
        <v>7.883</v>
      </c>
      <c r="L176" s="99">
        <f t="shared" si="1084"/>
        <v>0.55400000000000005</v>
      </c>
      <c r="M176" s="53"/>
      <c r="N176" s="53"/>
      <c r="O176" s="100">
        <f t="shared" ref="O176:P176" si="1085">O175</f>
        <v>100.62</v>
      </c>
      <c r="P176" s="101" t="str">
        <f t="shared" si="1085"/>
        <v>2,29,560</v>
      </c>
      <c r="Q176" s="11" t="str">
        <f t="shared" si="893"/>
        <v>2</v>
      </c>
      <c r="R176" s="11" t="str">
        <f t="shared" si="894"/>
        <v>29,560</v>
      </c>
      <c r="S176" s="11">
        <f t="shared" si="895"/>
        <v>4.1544444444444446E-2</v>
      </c>
      <c r="T176" s="14">
        <f t="shared" si="896"/>
        <v>2421.9844878309709</v>
      </c>
      <c r="U176" s="39">
        <f t="shared" si="897"/>
        <v>-100</v>
      </c>
      <c r="V176" s="105">
        <f t="shared" ref="V176:W176" si="1086">V175</f>
        <v>20.399999999999999</v>
      </c>
      <c r="W176" s="105">
        <f t="shared" si="1086"/>
        <v>1.5069999999999999</v>
      </c>
      <c r="X176" s="106">
        <f t="shared" si="1049"/>
        <v>1.504</v>
      </c>
      <c r="Y176" s="53"/>
      <c r="Z176" s="53"/>
      <c r="AA176" s="107">
        <f t="shared" ref="AA176:AB176" si="1087">AA175</f>
        <v>10.015000000000001</v>
      </c>
      <c r="AB176" s="108" t="str">
        <f t="shared" si="1087"/>
        <v>22,10,090</v>
      </c>
      <c r="AC176" s="11" t="str">
        <f t="shared" si="900"/>
        <v>22</v>
      </c>
      <c r="AD176" s="11" t="str">
        <f t="shared" si="901"/>
        <v>10,090</v>
      </c>
      <c r="AE176" s="11">
        <f t="shared" si="902"/>
        <v>0.36946944444444441</v>
      </c>
      <c r="AF176" s="14">
        <f t="shared" si="903"/>
        <v>27.106436406558959</v>
      </c>
      <c r="AG176" s="41">
        <f t="shared" si="904"/>
        <v>-100</v>
      </c>
      <c r="AH176" s="105">
        <f t="shared" si="1057"/>
        <v>20.3</v>
      </c>
      <c r="AI176" s="105">
        <f t="shared" si="1057"/>
        <v>1.5089999999999999</v>
      </c>
      <c r="AJ176" s="105">
        <f t="shared" si="1057"/>
        <v>1.504</v>
      </c>
      <c r="AK176" s="53">
        <f t="shared" si="905"/>
        <v>0</v>
      </c>
      <c r="AL176" s="53"/>
      <c r="AM176" s="54">
        <f t="shared" ref="AM176:AN176" si="1088">AM175</f>
        <v>5.0129999999999999</v>
      </c>
      <c r="AN176" s="101" t="str">
        <f t="shared" si="1088"/>
        <v>17,59,050</v>
      </c>
      <c r="AO176" s="11" t="str">
        <f t="shared" si="907"/>
        <v>17</v>
      </c>
      <c r="AP176" s="11" t="str">
        <f t="shared" si="908"/>
        <v>59,050</v>
      </c>
      <c r="AQ176" s="11">
        <f t="shared" si="909"/>
        <v>0.29973611111111109</v>
      </c>
      <c r="AR176" s="14">
        <f t="shared" si="910"/>
        <v>16.724711551827998</v>
      </c>
      <c r="AS176" s="41">
        <f t="shared" si="911"/>
        <v>-100</v>
      </c>
      <c r="AT176" s="43" t="str">
        <f t="shared" si="912"/>
        <v>NO CONFORME</v>
      </c>
      <c r="AU176" s="8" t="b">
        <f t="shared" si="834"/>
        <v>1</v>
      </c>
      <c r="AV176" s="8" t="b">
        <f t="shared" si="835"/>
        <v>0</v>
      </c>
      <c r="AW176" s="8" t="b">
        <f t="shared" si="836"/>
        <v>1</v>
      </c>
      <c r="AX176" s="8" t="str">
        <f t="shared" si="837"/>
        <v>Qcorrecto</v>
      </c>
      <c r="AY176" s="22" t="str">
        <f t="shared" si="817"/>
        <v>aceptable</v>
      </c>
      <c r="AZ176" s="22" t="str">
        <f t="shared" si="818"/>
        <v>aceptable</v>
      </c>
      <c r="BA176" s="22" t="str">
        <f t="shared" si="838"/>
        <v>aceptable</v>
      </c>
      <c r="BB176" s="25" t="str">
        <f t="shared" si="839"/>
        <v>NO CONFORME</v>
      </c>
      <c r="BC176" s="5" t="str">
        <f t="shared" si="840"/>
        <v>NO CONFORME</v>
      </c>
      <c r="BD176" s="15">
        <f t="shared" si="819"/>
        <v>-1</v>
      </c>
      <c r="BE176" s="15">
        <f t="shared" si="820"/>
        <v>-1</v>
      </c>
      <c r="BF176" s="15">
        <f t="shared" si="821"/>
        <v>-1</v>
      </c>
      <c r="BG176" s="15" t="str">
        <f t="shared" si="822"/>
        <v>-1-1-1</v>
      </c>
      <c r="BH176" s="15" t="str">
        <f t="shared" si="823"/>
        <v>SD</v>
      </c>
      <c r="BI176" s="15" t="str">
        <f t="shared" si="824"/>
        <v>SI</v>
      </c>
      <c r="BJ176" s="15" t="b">
        <f t="shared" si="825"/>
        <v>1</v>
      </c>
      <c r="BK176" s="15" t="str">
        <f t="shared" si="826"/>
        <v>SIGIGUALES</v>
      </c>
      <c r="BL176" s="22" t="str">
        <f t="shared" si="827"/>
        <v>NO CONFORME</v>
      </c>
    </row>
    <row r="177" spans="1:64" ht="15.75" thickBot="1" x14ac:dyDescent="0.3">
      <c r="A177" s="37">
        <v>169</v>
      </c>
      <c r="B177" s="93">
        <f t="shared" ref="B177:E177" si="1089">B176</f>
        <v>45919</v>
      </c>
      <c r="C177" s="93">
        <f t="shared" si="1089"/>
        <v>45919</v>
      </c>
      <c r="D177" s="94">
        <f t="shared" si="1089"/>
        <v>6</v>
      </c>
      <c r="E177" s="95">
        <f t="shared" si="1089"/>
        <v>15</v>
      </c>
      <c r="F177" s="52"/>
      <c r="G177" s="96"/>
      <c r="H177" s="97">
        <f t="shared" ref="H177:L177" si="1090">H176</f>
        <v>25.6</v>
      </c>
      <c r="I177" s="98">
        <f t="shared" si="1090"/>
        <v>0</v>
      </c>
      <c r="J177" s="99">
        <f t="shared" si="1090"/>
        <v>20.9</v>
      </c>
      <c r="K177" s="99">
        <f t="shared" si="1090"/>
        <v>7.883</v>
      </c>
      <c r="L177" s="99">
        <f t="shared" si="1090"/>
        <v>0.55400000000000005</v>
      </c>
      <c r="M177" s="53"/>
      <c r="N177" s="53"/>
      <c r="O177" s="100">
        <f t="shared" ref="O177:P177" si="1091">O176</f>
        <v>100.62</v>
      </c>
      <c r="P177" s="101" t="str">
        <f t="shared" si="1091"/>
        <v>2,29,560</v>
      </c>
      <c r="Q177" s="11" t="str">
        <f t="shared" si="893"/>
        <v>2</v>
      </c>
      <c r="R177" s="11" t="str">
        <f t="shared" si="894"/>
        <v>29,560</v>
      </c>
      <c r="S177" s="11">
        <f t="shared" si="895"/>
        <v>4.1544444444444446E-2</v>
      </c>
      <c r="T177" s="14">
        <f t="shared" si="896"/>
        <v>2421.9844878309709</v>
      </c>
      <c r="U177" s="39">
        <f t="shared" si="897"/>
        <v>-100</v>
      </c>
      <c r="V177" s="105">
        <f t="shared" ref="V177:W177" si="1092">V176</f>
        <v>20.399999999999999</v>
      </c>
      <c r="W177" s="105">
        <f t="shared" si="1092"/>
        <v>1.5069999999999999</v>
      </c>
      <c r="X177" s="106">
        <f t="shared" si="1049"/>
        <v>1.504</v>
      </c>
      <c r="Y177" s="53"/>
      <c r="Z177" s="53"/>
      <c r="AA177" s="107">
        <f t="shared" ref="AA177:AB177" si="1093">AA176</f>
        <v>10.015000000000001</v>
      </c>
      <c r="AB177" s="108" t="str">
        <f t="shared" si="1093"/>
        <v>22,10,090</v>
      </c>
      <c r="AC177" s="11" t="str">
        <f t="shared" si="900"/>
        <v>22</v>
      </c>
      <c r="AD177" s="11" t="str">
        <f t="shared" si="901"/>
        <v>10,090</v>
      </c>
      <c r="AE177" s="11">
        <f t="shared" si="902"/>
        <v>0.36946944444444441</v>
      </c>
      <c r="AF177" s="14">
        <f t="shared" si="903"/>
        <v>27.106436406558959</v>
      </c>
      <c r="AG177" s="41">
        <f t="shared" si="904"/>
        <v>-100</v>
      </c>
      <c r="AH177" s="105">
        <f t="shared" si="1057"/>
        <v>20.3</v>
      </c>
      <c r="AI177" s="105">
        <f t="shared" si="1057"/>
        <v>1.5089999999999999</v>
      </c>
      <c r="AJ177" s="105">
        <f t="shared" si="1057"/>
        <v>1.504</v>
      </c>
      <c r="AK177" s="53">
        <f t="shared" si="905"/>
        <v>0</v>
      </c>
      <c r="AL177" s="53"/>
      <c r="AM177" s="54">
        <f t="shared" ref="AM177:AN177" si="1094">AM176</f>
        <v>5.0129999999999999</v>
      </c>
      <c r="AN177" s="101" t="str">
        <f t="shared" si="1094"/>
        <v>17,59,050</v>
      </c>
      <c r="AO177" s="11" t="str">
        <f t="shared" si="907"/>
        <v>17</v>
      </c>
      <c r="AP177" s="11" t="str">
        <f t="shared" si="908"/>
        <v>59,050</v>
      </c>
      <c r="AQ177" s="11">
        <f t="shared" si="909"/>
        <v>0.29973611111111109</v>
      </c>
      <c r="AR177" s="14">
        <f t="shared" si="910"/>
        <v>16.724711551827998</v>
      </c>
      <c r="AS177" s="41">
        <f t="shared" si="911"/>
        <v>-100</v>
      </c>
      <c r="AT177" s="43" t="str">
        <f t="shared" si="912"/>
        <v>NO CONFORME</v>
      </c>
      <c r="AU177" s="8" t="b">
        <f t="shared" si="834"/>
        <v>1</v>
      </c>
      <c r="AV177" s="8" t="b">
        <f t="shared" si="835"/>
        <v>0</v>
      </c>
      <c r="AW177" s="8" t="b">
        <f t="shared" si="836"/>
        <v>1</v>
      </c>
      <c r="AX177" s="8" t="str">
        <f t="shared" si="837"/>
        <v>Qcorrecto</v>
      </c>
      <c r="AY177" s="22" t="str">
        <f t="shared" si="817"/>
        <v>aceptable</v>
      </c>
      <c r="AZ177" s="22" t="str">
        <f t="shared" si="818"/>
        <v>aceptable</v>
      </c>
      <c r="BA177" s="22" t="str">
        <f t="shared" si="838"/>
        <v>aceptable</v>
      </c>
      <c r="BB177" s="25" t="str">
        <f t="shared" si="839"/>
        <v>NO CONFORME</v>
      </c>
      <c r="BC177" s="5" t="str">
        <f t="shared" si="840"/>
        <v>NO CONFORME</v>
      </c>
      <c r="BD177" s="15">
        <f t="shared" si="819"/>
        <v>-1</v>
      </c>
      <c r="BE177" s="15">
        <f t="shared" si="820"/>
        <v>-1</v>
      </c>
      <c r="BF177" s="15">
        <f t="shared" si="821"/>
        <v>-1</v>
      </c>
      <c r="BG177" s="15" t="str">
        <f t="shared" si="822"/>
        <v>-1-1-1</v>
      </c>
      <c r="BH177" s="15" t="str">
        <f t="shared" si="823"/>
        <v>SD</v>
      </c>
      <c r="BI177" s="15" t="str">
        <f t="shared" si="824"/>
        <v>SI</v>
      </c>
      <c r="BJ177" s="15" t="b">
        <f t="shared" si="825"/>
        <v>1</v>
      </c>
      <c r="BK177" s="15" t="str">
        <f t="shared" si="826"/>
        <v>SIGIGUALES</v>
      </c>
      <c r="BL177" s="22" t="str">
        <f t="shared" si="827"/>
        <v>NO CONFORME</v>
      </c>
    </row>
    <row r="178" spans="1:64" ht="15.75" thickBot="1" x14ac:dyDescent="0.3">
      <c r="A178" s="37">
        <v>170</v>
      </c>
      <c r="B178" s="93">
        <f t="shared" ref="B178:E178" si="1095">B177</f>
        <v>45919</v>
      </c>
      <c r="C178" s="93">
        <f t="shared" si="1095"/>
        <v>45919</v>
      </c>
      <c r="D178" s="94">
        <f t="shared" si="1095"/>
        <v>6</v>
      </c>
      <c r="E178" s="95">
        <f t="shared" si="1095"/>
        <v>15</v>
      </c>
      <c r="F178" s="52"/>
      <c r="G178" s="96"/>
      <c r="H178" s="97">
        <f t="shared" ref="H178:L178" si="1096">H177</f>
        <v>25.6</v>
      </c>
      <c r="I178" s="98">
        <f t="shared" si="1096"/>
        <v>0</v>
      </c>
      <c r="J178" s="99">
        <f t="shared" si="1096"/>
        <v>20.9</v>
      </c>
      <c r="K178" s="99">
        <f t="shared" si="1096"/>
        <v>7.883</v>
      </c>
      <c r="L178" s="99">
        <f t="shared" si="1096"/>
        <v>0.55400000000000005</v>
      </c>
      <c r="M178" s="53"/>
      <c r="N178" s="53"/>
      <c r="O178" s="100">
        <f t="shared" ref="O178:P178" si="1097">O177</f>
        <v>100.62</v>
      </c>
      <c r="P178" s="101" t="str">
        <f t="shared" si="1097"/>
        <v>2,29,560</v>
      </c>
      <c r="Q178" s="11" t="str">
        <f t="shared" si="893"/>
        <v>2</v>
      </c>
      <c r="R178" s="11" t="str">
        <f t="shared" si="894"/>
        <v>29,560</v>
      </c>
      <c r="S178" s="11">
        <f t="shared" si="895"/>
        <v>4.1544444444444446E-2</v>
      </c>
      <c r="T178" s="14">
        <f t="shared" si="896"/>
        <v>2421.9844878309709</v>
      </c>
      <c r="U178" s="39">
        <f t="shared" si="897"/>
        <v>-100</v>
      </c>
      <c r="V178" s="105">
        <f t="shared" ref="V178:W178" si="1098">V177</f>
        <v>20.399999999999999</v>
      </c>
      <c r="W178" s="105">
        <f t="shared" si="1098"/>
        <v>1.5069999999999999</v>
      </c>
      <c r="X178" s="106">
        <f t="shared" si="1049"/>
        <v>1.504</v>
      </c>
      <c r="Y178" s="53"/>
      <c r="Z178" s="53"/>
      <c r="AA178" s="107">
        <f t="shared" ref="AA178:AB178" si="1099">AA177</f>
        <v>10.015000000000001</v>
      </c>
      <c r="AB178" s="108" t="str">
        <f t="shared" si="1099"/>
        <v>22,10,090</v>
      </c>
      <c r="AC178" s="11" t="str">
        <f t="shared" si="900"/>
        <v>22</v>
      </c>
      <c r="AD178" s="11" t="str">
        <f t="shared" si="901"/>
        <v>10,090</v>
      </c>
      <c r="AE178" s="11">
        <f t="shared" si="902"/>
        <v>0.36946944444444441</v>
      </c>
      <c r="AF178" s="14">
        <f t="shared" si="903"/>
        <v>27.106436406558959</v>
      </c>
      <c r="AG178" s="41">
        <f t="shared" si="904"/>
        <v>-100</v>
      </c>
      <c r="AH178" s="105">
        <f t="shared" si="1057"/>
        <v>20.3</v>
      </c>
      <c r="AI178" s="105">
        <f t="shared" si="1057"/>
        <v>1.5089999999999999</v>
      </c>
      <c r="AJ178" s="105">
        <f t="shared" si="1057"/>
        <v>1.504</v>
      </c>
      <c r="AK178" s="53">
        <f t="shared" si="905"/>
        <v>0</v>
      </c>
      <c r="AL178" s="53"/>
      <c r="AM178" s="54">
        <f t="shared" ref="AM178:AN178" si="1100">AM177</f>
        <v>5.0129999999999999</v>
      </c>
      <c r="AN178" s="101" t="str">
        <f t="shared" si="1100"/>
        <v>17,59,050</v>
      </c>
      <c r="AO178" s="11" t="str">
        <f t="shared" si="907"/>
        <v>17</v>
      </c>
      <c r="AP178" s="11" t="str">
        <f t="shared" si="908"/>
        <v>59,050</v>
      </c>
      <c r="AQ178" s="11">
        <f t="shared" si="909"/>
        <v>0.29973611111111109</v>
      </c>
      <c r="AR178" s="14">
        <f t="shared" si="910"/>
        <v>16.724711551827998</v>
      </c>
      <c r="AS178" s="41">
        <f t="shared" si="911"/>
        <v>-100</v>
      </c>
      <c r="AT178" s="43" t="str">
        <f t="shared" si="912"/>
        <v>NO CONFORME</v>
      </c>
      <c r="AU178" s="8" t="b">
        <f t="shared" si="834"/>
        <v>1</v>
      </c>
      <c r="AV178" s="8" t="b">
        <f t="shared" si="835"/>
        <v>0</v>
      </c>
      <c r="AW178" s="8" t="b">
        <f t="shared" si="836"/>
        <v>1</v>
      </c>
      <c r="AX178" s="8" t="str">
        <f t="shared" si="837"/>
        <v>Qcorrecto</v>
      </c>
      <c r="AY178" s="22" t="str">
        <f t="shared" si="817"/>
        <v>aceptable</v>
      </c>
      <c r="AZ178" s="22" t="str">
        <f t="shared" si="818"/>
        <v>aceptable</v>
      </c>
      <c r="BA178" s="22" t="str">
        <f t="shared" si="838"/>
        <v>aceptable</v>
      </c>
      <c r="BB178" s="25" t="str">
        <f t="shared" si="839"/>
        <v>NO CONFORME</v>
      </c>
      <c r="BC178" s="5" t="str">
        <f t="shared" si="840"/>
        <v>NO CONFORME</v>
      </c>
      <c r="BD178" s="15">
        <f t="shared" si="819"/>
        <v>-1</v>
      </c>
      <c r="BE178" s="15">
        <f t="shared" si="820"/>
        <v>-1</v>
      </c>
      <c r="BF178" s="15">
        <f t="shared" si="821"/>
        <v>-1</v>
      </c>
      <c r="BG178" s="15" t="str">
        <f t="shared" si="822"/>
        <v>-1-1-1</v>
      </c>
      <c r="BH178" s="15" t="str">
        <f t="shared" si="823"/>
        <v>SD</v>
      </c>
      <c r="BI178" s="15" t="str">
        <f t="shared" si="824"/>
        <v>SI</v>
      </c>
      <c r="BJ178" s="15" t="b">
        <f t="shared" si="825"/>
        <v>1</v>
      </c>
      <c r="BK178" s="15" t="str">
        <f t="shared" si="826"/>
        <v>SIGIGUALES</v>
      </c>
      <c r="BL178" s="22" t="str">
        <f t="shared" si="827"/>
        <v>NO CONFORME</v>
      </c>
    </row>
    <row r="179" spans="1:64" ht="15.75" thickBot="1" x14ac:dyDescent="0.3">
      <c r="A179" s="37">
        <v>171</v>
      </c>
      <c r="B179" s="93">
        <f t="shared" ref="B179:E179" si="1101">B178</f>
        <v>45919</v>
      </c>
      <c r="C179" s="93">
        <f t="shared" si="1101"/>
        <v>45919</v>
      </c>
      <c r="D179" s="94">
        <f t="shared" si="1101"/>
        <v>6</v>
      </c>
      <c r="E179" s="95">
        <f t="shared" si="1101"/>
        <v>15</v>
      </c>
      <c r="F179" s="52"/>
      <c r="G179" s="96"/>
      <c r="H179" s="97">
        <f t="shared" ref="H179:L179" si="1102">H178</f>
        <v>25.6</v>
      </c>
      <c r="I179" s="98">
        <f t="shared" si="1102"/>
        <v>0</v>
      </c>
      <c r="J179" s="99">
        <f t="shared" si="1102"/>
        <v>20.9</v>
      </c>
      <c r="K179" s="99">
        <f t="shared" si="1102"/>
        <v>7.883</v>
      </c>
      <c r="L179" s="99">
        <f t="shared" si="1102"/>
        <v>0.55400000000000005</v>
      </c>
      <c r="M179" s="53"/>
      <c r="N179" s="53"/>
      <c r="O179" s="100">
        <f t="shared" ref="O179:P179" si="1103">O178</f>
        <v>100.62</v>
      </c>
      <c r="P179" s="101" t="str">
        <f t="shared" si="1103"/>
        <v>2,29,560</v>
      </c>
      <c r="Q179" s="11" t="str">
        <f t="shared" si="893"/>
        <v>2</v>
      </c>
      <c r="R179" s="11" t="str">
        <f t="shared" si="894"/>
        <v>29,560</v>
      </c>
      <c r="S179" s="11">
        <f t="shared" si="895"/>
        <v>4.1544444444444446E-2</v>
      </c>
      <c r="T179" s="14">
        <f t="shared" si="896"/>
        <v>2421.9844878309709</v>
      </c>
      <c r="U179" s="39">
        <f t="shared" si="897"/>
        <v>-100</v>
      </c>
      <c r="V179" s="105">
        <f t="shared" ref="V179:W179" si="1104">V178</f>
        <v>20.399999999999999</v>
      </c>
      <c r="W179" s="105">
        <f t="shared" si="1104"/>
        <v>1.5069999999999999</v>
      </c>
      <c r="X179" s="106">
        <f t="shared" si="1049"/>
        <v>1.504</v>
      </c>
      <c r="Y179" s="53"/>
      <c r="Z179" s="53"/>
      <c r="AA179" s="107">
        <f t="shared" ref="AA179:AB179" si="1105">AA178</f>
        <v>10.015000000000001</v>
      </c>
      <c r="AB179" s="108" t="str">
        <f t="shared" si="1105"/>
        <v>22,10,090</v>
      </c>
      <c r="AC179" s="11" t="str">
        <f t="shared" si="900"/>
        <v>22</v>
      </c>
      <c r="AD179" s="11" t="str">
        <f t="shared" si="901"/>
        <v>10,090</v>
      </c>
      <c r="AE179" s="11">
        <f t="shared" si="902"/>
        <v>0.36946944444444441</v>
      </c>
      <c r="AF179" s="14">
        <f t="shared" si="903"/>
        <v>27.106436406558959</v>
      </c>
      <c r="AG179" s="41">
        <f t="shared" si="904"/>
        <v>-100</v>
      </c>
      <c r="AH179" s="105">
        <f t="shared" si="1057"/>
        <v>20.3</v>
      </c>
      <c r="AI179" s="105">
        <f t="shared" si="1057"/>
        <v>1.5089999999999999</v>
      </c>
      <c r="AJ179" s="105">
        <f t="shared" si="1057"/>
        <v>1.504</v>
      </c>
      <c r="AK179" s="53">
        <f t="shared" si="905"/>
        <v>0</v>
      </c>
      <c r="AL179" s="53"/>
      <c r="AM179" s="54">
        <f t="shared" ref="AM179:AN179" si="1106">AM178</f>
        <v>5.0129999999999999</v>
      </c>
      <c r="AN179" s="101" t="str">
        <f t="shared" si="1106"/>
        <v>17,59,050</v>
      </c>
      <c r="AO179" s="11" t="str">
        <f t="shared" si="907"/>
        <v>17</v>
      </c>
      <c r="AP179" s="11" t="str">
        <f t="shared" si="908"/>
        <v>59,050</v>
      </c>
      <c r="AQ179" s="11">
        <f t="shared" si="909"/>
        <v>0.29973611111111109</v>
      </c>
      <c r="AR179" s="14">
        <f t="shared" si="910"/>
        <v>16.724711551827998</v>
      </c>
      <c r="AS179" s="41">
        <f t="shared" si="911"/>
        <v>-100</v>
      </c>
      <c r="AT179" s="43" t="str">
        <f t="shared" si="912"/>
        <v>NO CONFORME</v>
      </c>
      <c r="AU179" s="8" t="b">
        <f t="shared" si="834"/>
        <v>1</v>
      </c>
      <c r="AV179" s="8" t="b">
        <f t="shared" si="835"/>
        <v>0</v>
      </c>
      <c r="AW179" s="8" t="b">
        <f t="shared" si="836"/>
        <v>1</v>
      </c>
      <c r="AX179" s="8" t="str">
        <f t="shared" si="837"/>
        <v>Qcorrecto</v>
      </c>
      <c r="AY179" s="22" t="str">
        <f t="shared" si="817"/>
        <v>aceptable</v>
      </c>
      <c r="AZ179" s="22" t="str">
        <f t="shared" si="818"/>
        <v>aceptable</v>
      </c>
      <c r="BA179" s="22" t="str">
        <f t="shared" si="838"/>
        <v>aceptable</v>
      </c>
      <c r="BB179" s="25" t="str">
        <f t="shared" si="839"/>
        <v>NO CONFORME</v>
      </c>
      <c r="BC179" s="5" t="str">
        <f t="shared" si="840"/>
        <v>NO CONFORME</v>
      </c>
      <c r="BD179" s="15">
        <f t="shared" si="819"/>
        <v>-1</v>
      </c>
      <c r="BE179" s="15">
        <f t="shared" si="820"/>
        <v>-1</v>
      </c>
      <c r="BF179" s="15">
        <f t="shared" si="821"/>
        <v>-1</v>
      </c>
      <c r="BG179" s="15" t="str">
        <f t="shared" si="822"/>
        <v>-1-1-1</v>
      </c>
      <c r="BH179" s="15" t="str">
        <f t="shared" si="823"/>
        <v>SD</v>
      </c>
      <c r="BI179" s="15" t="str">
        <f t="shared" si="824"/>
        <v>SI</v>
      </c>
      <c r="BJ179" s="15" t="b">
        <f t="shared" si="825"/>
        <v>1</v>
      </c>
      <c r="BK179" s="15" t="str">
        <f t="shared" si="826"/>
        <v>SIGIGUALES</v>
      </c>
      <c r="BL179" s="22" t="str">
        <f t="shared" si="827"/>
        <v>NO CONFORME</v>
      </c>
    </row>
    <row r="180" spans="1:64" ht="15.75" thickBot="1" x14ac:dyDescent="0.3">
      <c r="A180" s="37">
        <v>172</v>
      </c>
      <c r="B180" s="93">
        <f t="shared" ref="B180:E180" si="1107">B179</f>
        <v>45919</v>
      </c>
      <c r="C180" s="93">
        <f t="shared" si="1107"/>
        <v>45919</v>
      </c>
      <c r="D180" s="94">
        <f t="shared" si="1107"/>
        <v>6</v>
      </c>
      <c r="E180" s="95">
        <f t="shared" si="1107"/>
        <v>15</v>
      </c>
      <c r="F180" s="52"/>
      <c r="G180" s="96"/>
      <c r="H180" s="97">
        <f t="shared" ref="H180:L180" si="1108">H179</f>
        <v>25.6</v>
      </c>
      <c r="I180" s="98">
        <f t="shared" si="1108"/>
        <v>0</v>
      </c>
      <c r="J180" s="99">
        <f t="shared" si="1108"/>
        <v>20.9</v>
      </c>
      <c r="K180" s="99">
        <f t="shared" si="1108"/>
        <v>7.883</v>
      </c>
      <c r="L180" s="99">
        <f t="shared" si="1108"/>
        <v>0.55400000000000005</v>
      </c>
      <c r="M180" s="53"/>
      <c r="N180" s="53"/>
      <c r="O180" s="100">
        <f t="shared" ref="O180:P180" si="1109">O179</f>
        <v>100.62</v>
      </c>
      <c r="P180" s="101" t="str">
        <f t="shared" si="1109"/>
        <v>2,29,560</v>
      </c>
      <c r="Q180" s="11" t="str">
        <f t="shared" si="893"/>
        <v>2</v>
      </c>
      <c r="R180" s="11" t="str">
        <f t="shared" si="894"/>
        <v>29,560</v>
      </c>
      <c r="S180" s="11">
        <f t="shared" si="895"/>
        <v>4.1544444444444446E-2</v>
      </c>
      <c r="T180" s="14">
        <f t="shared" si="896"/>
        <v>2421.9844878309709</v>
      </c>
      <c r="U180" s="39">
        <f t="shared" si="897"/>
        <v>-100</v>
      </c>
      <c r="V180" s="105">
        <f t="shared" ref="V180:W180" si="1110">V179</f>
        <v>20.399999999999999</v>
      </c>
      <c r="W180" s="105">
        <f t="shared" si="1110"/>
        <v>1.5069999999999999</v>
      </c>
      <c r="X180" s="106">
        <f t="shared" si="1049"/>
        <v>1.504</v>
      </c>
      <c r="Y180" s="53"/>
      <c r="Z180" s="53"/>
      <c r="AA180" s="107">
        <f t="shared" ref="AA180:AB180" si="1111">AA179</f>
        <v>10.015000000000001</v>
      </c>
      <c r="AB180" s="108" t="str">
        <f t="shared" si="1111"/>
        <v>22,10,090</v>
      </c>
      <c r="AC180" s="11" t="str">
        <f t="shared" si="900"/>
        <v>22</v>
      </c>
      <c r="AD180" s="11" t="str">
        <f t="shared" si="901"/>
        <v>10,090</v>
      </c>
      <c r="AE180" s="11">
        <f t="shared" si="902"/>
        <v>0.36946944444444441</v>
      </c>
      <c r="AF180" s="14">
        <f t="shared" si="903"/>
        <v>27.106436406558959</v>
      </c>
      <c r="AG180" s="41">
        <f t="shared" si="904"/>
        <v>-100</v>
      </c>
      <c r="AH180" s="105">
        <f t="shared" si="1057"/>
        <v>20.3</v>
      </c>
      <c r="AI180" s="105">
        <f t="shared" si="1057"/>
        <v>1.5089999999999999</v>
      </c>
      <c r="AJ180" s="105">
        <f t="shared" si="1057"/>
        <v>1.504</v>
      </c>
      <c r="AK180" s="53">
        <f t="shared" si="905"/>
        <v>0</v>
      </c>
      <c r="AL180" s="53"/>
      <c r="AM180" s="54">
        <f t="shared" ref="AM180:AN180" si="1112">AM179</f>
        <v>5.0129999999999999</v>
      </c>
      <c r="AN180" s="101" t="str">
        <f t="shared" si="1112"/>
        <v>17,59,050</v>
      </c>
      <c r="AO180" s="11" t="str">
        <f t="shared" si="907"/>
        <v>17</v>
      </c>
      <c r="AP180" s="11" t="str">
        <f t="shared" si="908"/>
        <v>59,050</v>
      </c>
      <c r="AQ180" s="11">
        <f t="shared" si="909"/>
        <v>0.29973611111111109</v>
      </c>
      <c r="AR180" s="14">
        <f t="shared" si="910"/>
        <v>16.724711551827998</v>
      </c>
      <c r="AS180" s="41">
        <f t="shared" si="911"/>
        <v>-100</v>
      </c>
      <c r="AT180" s="43" t="str">
        <f t="shared" si="912"/>
        <v>NO CONFORME</v>
      </c>
      <c r="AU180" s="8" t="b">
        <f t="shared" si="834"/>
        <v>1</v>
      </c>
      <c r="AV180" s="8" t="b">
        <f t="shared" si="835"/>
        <v>0</v>
      </c>
      <c r="AW180" s="8" t="b">
        <f t="shared" si="836"/>
        <v>1</v>
      </c>
      <c r="AX180" s="8" t="str">
        <f t="shared" si="837"/>
        <v>Qcorrecto</v>
      </c>
      <c r="AY180" s="22" t="str">
        <f t="shared" si="817"/>
        <v>aceptable</v>
      </c>
      <c r="AZ180" s="22" t="str">
        <f t="shared" si="818"/>
        <v>aceptable</v>
      </c>
      <c r="BA180" s="22" t="str">
        <f t="shared" si="838"/>
        <v>aceptable</v>
      </c>
      <c r="BB180" s="25" t="str">
        <f t="shared" si="839"/>
        <v>NO CONFORME</v>
      </c>
      <c r="BC180" s="5" t="str">
        <f t="shared" si="840"/>
        <v>NO CONFORME</v>
      </c>
      <c r="BD180" s="15">
        <f t="shared" si="819"/>
        <v>-1</v>
      </c>
      <c r="BE180" s="15">
        <f t="shared" si="820"/>
        <v>-1</v>
      </c>
      <c r="BF180" s="15">
        <f t="shared" si="821"/>
        <v>-1</v>
      </c>
      <c r="BG180" s="15" t="str">
        <f t="shared" si="822"/>
        <v>-1-1-1</v>
      </c>
      <c r="BH180" s="15" t="str">
        <f t="shared" si="823"/>
        <v>SD</v>
      </c>
      <c r="BI180" s="15" t="str">
        <f t="shared" si="824"/>
        <v>SI</v>
      </c>
      <c r="BJ180" s="15" t="b">
        <f t="shared" si="825"/>
        <v>1</v>
      </c>
      <c r="BK180" s="15" t="str">
        <f t="shared" si="826"/>
        <v>SIGIGUALES</v>
      </c>
      <c r="BL180" s="22" t="str">
        <f t="shared" si="827"/>
        <v>NO CONFORME</v>
      </c>
    </row>
    <row r="181" spans="1:64" ht="15.75" thickBot="1" x14ac:dyDescent="0.3">
      <c r="A181" s="37">
        <v>173</v>
      </c>
      <c r="B181" s="93">
        <f t="shared" ref="B181:E181" si="1113">B180</f>
        <v>45919</v>
      </c>
      <c r="C181" s="93">
        <f t="shared" si="1113"/>
        <v>45919</v>
      </c>
      <c r="D181" s="94">
        <f t="shared" si="1113"/>
        <v>6</v>
      </c>
      <c r="E181" s="95">
        <f t="shared" si="1113"/>
        <v>15</v>
      </c>
      <c r="F181" s="52"/>
      <c r="G181" s="96"/>
      <c r="H181" s="97">
        <f t="shared" ref="H181:L181" si="1114">H180</f>
        <v>25.6</v>
      </c>
      <c r="I181" s="98">
        <f t="shared" si="1114"/>
        <v>0</v>
      </c>
      <c r="J181" s="99">
        <f t="shared" si="1114"/>
        <v>20.9</v>
      </c>
      <c r="K181" s="99">
        <f t="shared" si="1114"/>
        <v>7.883</v>
      </c>
      <c r="L181" s="99">
        <f t="shared" si="1114"/>
        <v>0.55400000000000005</v>
      </c>
      <c r="M181" s="53"/>
      <c r="N181" s="53"/>
      <c r="O181" s="100">
        <f t="shared" ref="O181:P181" si="1115">O180</f>
        <v>100.62</v>
      </c>
      <c r="P181" s="101" t="str">
        <f t="shared" si="1115"/>
        <v>2,29,560</v>
      </c>
      <c r="Q181" s="11" t="str">
        <f t="shared" si="893"/>
        <v>2</v>
      </c>
      <c r="R181" s="11" t="str">
        <f t="shared" si="894"/>
        <v>29,560</v>
      </c>
      <c r="S181" s="11">
        <f t="shared" si="895"/>
        <v>4.1544444444444446E-2</v>
      </c>
      <c r="T181" s="14">
        <f t="shared" si="896"/>
        <v>2421.9844878309709</v>
      </c>
      <c r="U181" s="39">
        <f t="shared" si="897"/>
        <v>-100</v>
      </c>
      <c r="V181" s="105">
        <f t="shared" ref="V181:W181" si="1116">V180</f>
        <v>20.399999999999999</v>
      </c>
      <c r="W181" s="105">
        <f t="shared" si="1116"/>
        <v>1.5069999999999999</v>
      </c>
      <c r="X181" s="106">
        <f t="shared" si="1049"/>
        <v>1.504</v>
      </c>
      <c r="Y181" s="53"/>
      <c r="Z181" s="53"/>
      <c r="AA181" s="107">
        <f t="shared" ref="AA181:AB181" si="1117">AA180</f>
        <v>10.015000000000001</v>
      </c>
      <c r="AB181" s="108" t="str">
        <f t="shared" si="1117"/>
        <v>22,10,090</v>
      </c>
      <c r="AC181" s="11" t="str">
        <f t="shared" si="900"/>
        <v>22</v>
      </c>
      <c r="AD181" s="11" t="str">
        <f t="shared" si="901"/>
        <v>10,090</v>
      </c>
      <c r="AE181" s="11">
        <f t="shared" si="902"/>
        <v>0.36946944444444441</v>
      </c>
      <c r="AF181" s="14">
        <f t="shared" si="903"/>
        <v>27.106436406558959</v>
      </c>
      <c r="AG181" s="41">
        <f t="shared" si="904"/>
        <v>-100</v>
      </c>
      <c r="AH181" s="105">
        <f t="shared" si="1057"/>
        <v>20.3</v>
      </c>
      <c r="AI181" s="105">
        <f t="shared" si="1057"/>
        <v>1.5089999999999999</v>
      </c>
      <c r="AJ181" s="105">
        <f t="shared" si="1057"/>
        <v>1.504</v>
      </c>
      <c r="AK181" s="53">
        <f t="shared" si="905"/>
        <v>0</v>
      </c>
      <c r="AL181" s="53"/>
      <c r="AM181" s="54">
        <f t="shared" ref="AM181:AN181" si="1118">AM180</f>
        <v>5.0129999999999999</v>
      </c>
      <c r="AN181" s="101" t="str">
        <f t="shared" si="1118"/>
        <v>17,59,050</v>
      </c>
      <c r="AO181" s="11" t="str">
        <f t="shared" si="907"/>
        <v>17</v>
      </c>
      <c r="AP181" s="11" t="str">
        <f t="shared" si="908"/>
        <v>59,050</v>
      </c>
      <c r="AQ181" s="11">
        <f t="shared" si="909"/>
        <v>0.29973611111111109</v>
      </c>
      <c r="AR181" s="14">
        <f t="shared" si="910"/>
        <v>16.724711551827998</v>
      </c>
      <c r="AS181" s="41">
        <f t="shared" si="911"/>
        <v>-100</v>
      </c>
      <c r="AT181" s="43" t="str">
        <f t="shared" si="912"/>
        <v>NO CONFORME</v>
      </c>
      <c r="AU181" s="8" t="b">
        <f t="shared" si="834"/>
        <v>1</v>
      </c>
      <c r="AV181" s="8" t="b">
        <f t="shared" si="835"/>
        <v>0</v>
      </c>
      <c r="AW181" s="8" t="b">
        <f t="shared" si="836"/>
        <v>1</v>
      </c>
      <c r="AX181" s="8" t="str">
        <f t="shared" si="837"/>
        <v>Qcorrecto</v>
      </c>
      <c r="AY181" s="22" t="str">
        <f t="shared" si="817"/>
        <v>aceptable</v>
      </c>
      <c r="AZ181" s="22" t="str">
        <f t="shared" si="818"/>
        <v>aceptable</v>
      </c>
      <c r="BA181" s="22" t="str">
        <f t="shared" si="838"/>
        <v>aceptable</v>
      </c>
      <c r="BB181" s="25" t="str">
        <f t="shared" si="839"/>
        <v>NO CONFORME</v>
      </c>
      <c r="BC181" s="5" t="str">
        <f t="shared" si="840"/>
        <v>NO CONFORME</v>
      </c>
      <c r="BD181" s="15">
        <f t="shared" si="819"/>
        <v>-1</v>
      </c>
      <c r="BE181" s="15">
        <f t="shared" si="820"/>
        <v>-1</v>
      </c>
      <c r="BF181" s="15">
        <f t="shared" si="821"/>
        <v>-1</v>
      </c>
      <c r="BG181" s="15" t="str">
        <f t="shared" si="822"/>
        <v>-1-1-1</v>
      </c>
      <c r="BH181" s="15" t="str">
        <f t="shared" si="823"/>
        <v>SD</v>
      </c>
      <c r="BI181" s="15" t="str">
        <f t="shared" si="824"/>
        <v>SI</v>
      </c>
      <c r="BJ181" s="15" t="b">
        <f t="shared" si="825"/>
        <v>1</v>
      </c>
      <c r="BK181" s="15" t="str">
        <f t="shared" si="826"/>
        <v>SIGIGUALES</v>
      </c>
      <c r="BL181" s="22" t="str">
        <f t="shared" si="827"/>
        <v>NO CONFORME</v>
      </c>
    </row>
    <row r="182" spans="1:64" ht="15.75" thickBot="1" x14ac:dyDescent="0.3">
      <c r="A182" s="37">
        <v>174</v>
      </c>
      <c r="B182" s="93">
        <f t="shared" ref="B182:E182" si="1119">B181</f>
        <v>45919</v>
      </c>
      <c r="C182" s="93">
        <f t="shared" si="1119"/>
        <v>45919</v>
      </c>
      <c r="D182" s="94">
        <f t="shared" si="1119"/>
        <v>6</v>
      </c>
      <c r="E182" s="95">
        <f t="shared" si="1119"/>
        <v>15</v>
      </c>
      <c r="F182" s="52"/>
      <c r="G182" s="96"/>
      <c r="H182" s="97">
        <f t="shared" ref="H182:L182" si="1120">H181</f>
        <v>25.6</v>
      </c>
      <c r="I182" s="98">
        <f t="shared" si="1120"/>
        <v>0</v>
      </c>
      <c r="J182" s="99">
        <f t="shared" si="1120"/>
        <v>20.9</v>
      </c>
      <c r="K182" s="99">
        <f t="shared" si="1120"/>
        <v>7.883</v>
      </c>
      <c r="L182" s="99">
        <f t="shared" si="1120"/>
        <v>0.55400000000000005</v>
      </c>
      <c r="M182" s="53"/>
      <c r="N182" s="53"/>
      <c r="O182" s="100">
        <f t="shared" ref="O182:P182" si="1121">O181</f>
        <v>100.62</v>
      </c>
      <c r="P182" s="101" t="str">
        <f t="shared" si="1121"/>
        <v>2,29,560</v>
      </c>
      <c r="Q182" s="11" t="str">
        <f t="shared" si="893"/>
        <v>2</v>
      </c>
      <c r="R182" s="11" t="str">
        <f t="shared" si="894"/>
        <v>29,560</v>
      </c>
      <c r="S182" s="11">
        <f t="shared" si="895"/>
        <v>4.1544444444444446E-2</v>
      </c>
      <c r="T182" s="14">
        <f t="shared" si="896"/>
        <v>2421.9844878309709</v>
      </c>
      <c r="U182" s="39">
        <f t="shared" si="897"/>
        <v>-100</v>
      </c>
      <c r="V182" s="105">
        <f t="shared" ref="V182:W182" si="1122">V181</f>
        <v>20.399999999999999</v>
      </c>
      <c r="W182" s="105">
        <f t="shared" si="1122"/>
        <v>1.5069999999999999</v>
      </c>
      <c r="X182" s="106">
        <f t="shared" si="1049"/>
        <v>1.504</v>
      </c>
      <c r="Y182" s="53"/>
      <c r="Z182" s="53"/>
      <c r="AA182" s="107">
        <f t="shared" ref="AA182:AB182" si="1123">AA181</f>
        <v>10.015000000000001</v>
      </c>
      <c r="AB182" s="108" t="str">
        <f t="shared" si="1123"/>
        <v>22,10,090</v>
      </c>
      <c r="AC182" s="11" t="str">
        <f t="shared" si="900"/>
        <v>22</v>
      </c>
      <c r="AD182" s="11" t="str">
        <f t="shared" si="901"/>
        <v>10,090</v>
      </c>
      <c r="AE182" s="11">
        <f t="shared" si="902"/>
        <v>0.36946944444444441</v>
      </c>
      <c r="AF182" s="14">
        <f t="shared" si="903"/>
        <v>27.106436406558959</v>
      </c>
      <c r="AG182" s="41">
        <f t="shared" si="904"/>
        <v>-100</v>
      </c>
      <c r="AH182" s="105">
        <f t="shared" si="1057"/>
        <v>20.3</v>
      </c>
      <c r="AI182" s="105">
        <f t="shared" si="1057"/>
        <v>1.5089999999999999</v>
      </c>
      <c r="AJ182" s="105">
        <f t="shared" si="1057"/>
        <v>1.504</v>
      </c>
      <c r="AK182" s="53">
        <f t="shared" si="905"/>
        <v>0</v>
      </c>
      <c r="AL182" s="53"/>
      <c r="AM182" s="54">
        <f t="shared" ref="AM182:AN182" si="1124">AM181</f>
        <v>5.0129999999999999</v>
      </c>
      <c r="AN182" s="101" t="str">
        <f t="shared" si="1124"/>
        <v>17,59,050</v>
      </c>
      <c r="AO182" s="11" t="str">
        <f t="shared" si="907"/>
        <v>17</v>
      </c>
      <c r="AP182" s="11" t="str">
        <f t="shared" si="908"/>
        <v>59,050</v>
      </c>
      <c r="AQ182" s="11">
        <f t="shared" si="909"/>
        <v>0.29973611111111109</v>
      </c>
      <c r="AR182" s="14">
        <f t="shared" si="910"/>
        <v>16.724711551827998</v>
      </c>
      <c r="AS182" s="41">
        <f t="shared" si="911"/>
        <v>-100</v>
      </c>
      <c r="AT182" s="43" t="str">
        <f t="shared" si="912"/>
        <v>NO CONFORME</v>
      </c>
      <c r="AU182" s="8" t="b">
        <f t="shared" si="834"/>
        <v>1</v>
      </c>
      <c r="AV182" s="8" t="b">
        <f t="shared" si="835"/>
        <v>0</v>
      </c>
      <c r="AW182" s="8" t="b">
        <f t="shared" si="836"/>
        <v>1</v>
      </c>
      <c r="AX182" s="8" t="str">
        <f t="shared" si="837"/>
        <v>Qcorrecto</v>
      </c>
      <c r="AY182" s="22" t="str">
        <f t="shared" si="817"/>
        <v>aceptable</v>
      </c>
      <c r="AZ182" s="22" t="str">
        <f t="shared" si="818"/>
        <v>aceptable</v>
      </c>
      <c r="BA182" s="22" t="str">
        <f t="shared" si="838"/>
        <v>aceptable</v>
      </c>
      <c r="BB182" s="25" t="str">
        <f t="shared" si="839"/>
        <v>NO CONFORME</v>
      </c>
      <c r="BC182" s="5" t="str">
        <f t="shared" si="840"/>
        <v>NO CONFORME</v>
      </c>
      <c r="BD182" s="15">
        <f t="shared" si="819"/>
        <v>-1</v>
      </c>
      <c r="BE182" s="15">
        <f t="shared" si="820"/>
        <v>-1</v>
      </c>
      <c r="BF182" s="15">
        <f t="shared" si="821"/>
        <v>-1</v>
      </c>
      <c r="BG182" s="15" t="str">
        <f t="shared" si="822"/>
        <v>-1-1-1</v>
      </c>
      <c r="BH182" s="15" t="str">
        <f t="shared" si="823"/>
        <v>SD</v>
      </c>
      <c r="BI182" s="15" t="str">
        <f t="shared" si="824"/>
        <v>SI</v>
      </c>
      <c r="BJ182" s="15" t="b">
        <f t="shared" si="825"/>
        <v>1</v>
      </c>
      <c r="BK182" s="15" t="str">
        <f t="shared" si="826"/>
        <v>SIGIGUALES</v>
      </c>
      <c r="BL182" s="22" t="str">
        <f t="shared" si="827"/>
        <v>NO CONFORME</v>
      </c>
    </row>
    <row r="183" spans="1:64" ht="15.75" thickBot="1" x14ac:dyDescent="0.3">
      <c r="A183" s="37">
        <v>175</v>
      </c>
      <c r="B183" s="93">
        <f t="shared" ref="B183:E183" si="1125">B182</f>
        <v>45919</v>
      </c>
      <c r="C183" s="93">
        <f t="shared" si="1125"/>
        <v>45919</v>
      </c>
      <c r="D183" s="94">
        <f t="shared" si="1125"/>
        <v>6</v>
      </c>
      <c r="E183" s="95">
        <f t="shared" si="1125"/>
        <v>15</v>
      </c>
      <c r="F183" s="52"/>
      <c r="G183" s="96"/>
      <c r="H183" s="97">
        <f t="shared" ref="H183:L183" si="1126">H182</f>
        <v>25.6</v>
      </c>
      <c r="I183" s="98">
        <f t="shared" si="1126"/>
        <v>0</v>
      </c>
      <c r="J183" s="99">
        <f t="shared" si="1126"/>
        <v>20.9</v>
      </c>
      <c r="K183" s="99">
        <f t="shared" si="1126"/>
        <v>7.883</v>
      </c>
      <c r="L183" s="99">
        <f t="shared" si="1126"/>
        <v>0.55400000000000005</v>
      </c>
      <c r="M183" s="53"/>
      <c r="N183" s="53"/>
      <c r="O183" s="100">
        <f t="shared" ref="O183:P183" si="1127">O182</f>
        <v>100.62</v>
      </c>
      <c r="P183" s="101" t="str">
        <f t="shared" si="1127"/>
        <v>2,29,560</v>
      </c>
      <c r="Q183" s="11" t="str">
        <f t="shared" si="893"/>
        <v>2</v>
      </c>
      <c r="R183" s="11" t="str">
        <f t="shared" si="894"/>
        <v>29,560</v>
      </c>
      <c r="S183" s="11">
        <f t="shared" si="895"/>
        <v>4.1544444444444446E-2</v>
      </c>
      <c r="T183" s="14">
        <f t="shared" si="896"/>
        <v>2421.9844878309709</v>
      </c>
      <c r="U183" s="39">
        <f t="shared" si="897"/>
        <v>-100</v>
      </c>
      <c r="V183" s="105">
        <f t="shared" ref="V183:W183" si="1128">V182</f>
        <v>20.399999999999999</v>
      </c>
      <c r="W183" s="105">
        <f t="shared" si="1128"/>
        <v>1.5069999999999999</v>
      </c>
      <c r="X183" s="106">
        <f t="shared" si="1049"/>
        <v>1.504</v>
      </c>
      <c r="Y183" s="53"/>
      <c r="Z183" s="53"/>
      <c r="AA183" s="107">
        <f t="shared" ref="AA183:AB183" si="1129">AA182</f>
        <v>10.015000000000001</v>
      </c>
      <c r="AB183" s="108" t="str">
        <f t="shared" si="1129"/>
        <v>22,10,090</v>
      </c>
      <c r="AC183" s="11" t="str">
        <f t="shared" si="900"/>
        <v>22</v>
      </c>
      <c r="AD183" s="11" t="str">
        <f t="shared" si="901"/>
        <v>10,090</v>
      </c>
      <c r="AE183" s="11">
        <f t="shared" si="902"/>
        <v>0.36946944444444441</v>
      </c>
      <c r="AF183" s="14">
        <f t="shared" si="903"/>
        <v>27.106436406558959</v>
      </c>
      <c r="AG183" s="41">
        <f t="shared" si="904"/>
        <v>-100</v>
      </c>
      <c r="AH183" s="105">
        <f t="shared" si="1057"/>
        <v>20.3</v>
      </c>
      <c r="AI183" s="105">
        <f t="shared" si="1057"/>
        <v>1.5089999999999999</v>
      </c>
      <c r="AJ183" s="105">
        <f t="shared" si="1057"/>
        <v>1.504</v>
      </c>
      <c r="AK183" s="53">
        <f t="shared" si="905"/>
        <v>0</v>
      </c>
      <c r="AL183" s="53"/>
      <c r="AM183" s="54">
        <f t="shared" ref="AM183:AN183" si="1130">AM182</f>
        <v>5.0129999999999999</v>
      </c>
      <c r="AN183" s="101" t="str">
        <f t="shared" si="1130"/>
        <v>17,59,050</v>
      </c>
      <c r="AO183" s="11" t="str">
        <f t="shared" si="907"/>
        <v>17</v>
      </c>
      <c r="AP183" s="11" t="str">
        <f t="shared" si="908"/>
        <v>59,050</v>
      </c>
      <c r="AQ183" s="11">
        <f t="shared" si="909"/>
        <v>0.29973611111111109</v>
      </c>
      <c r="AR183" s="14">
        <f t="shared" si="910"/>
        <v>16.724711551827998</v>
      </c>
      <c r="AS183" s="41">
        <f t="shared" si="911"/>
        <v>-100</v>
      </c>
      <c r="AT183" s="43" t="str">
        <f t="shared" si="912"/>
        <v>NO CONFORME</v>
      </c>
      <c r="AU183" s="8" t="b">
        <f t="shared" si="834"/>
        <v>1</v>
      </c>
      <c r="AV183" s="8" t="b">
        <f t="shared" si="835"/>
        <v>0</v>
      </c>
      <c r="AW183" s="8" t="b">
        <f t="shared" si="836"/>
        <v>1</v>
      </c>
      <c r="AX183" s="8" t="str">
        <f t="shared" si="837"/>
        <v>Qcorrecto</v>
      </c>
      <c r="AY183" s="22" t="str">
        <f t="shared" si="817"/>
        <v>aceptable</v>
      </c>
      <c r="AZ183" s="22" t="str">
        <f t="shared" si="818"/>
        <v>aceptable</v>
      </c>
      <c r="BA183" s="22" t="str">
        <f t="shared" si="838"/>
        <v>aceptable</v>
      </c>
      <c r="BB183" s="25" t="str">
        <f t="shared" si="839"/>
        <v>NO CONFORME</v>
      </c>
      <c r="BC183" s="5" t="str">
        <f t="shared" si="840"/>
        <v>NO CONFORME</v>
      </c>
      <c r="BD183" s="15">
        <f t="shared" si="819"/>
        <v>-1</v>
      </c>
      <c r="BE183" s="15">
        <f t="shared" si="820"/>
        <v>-1</v>
      </c>
      <c r="BF183" s="15">
        <f t="shared" si="821"/>
        <v>-1</v>
      </c>
      <c r="BG183" s="15" t="str">
        <f t="shared" si="822"/>
        <v>-1-1-1</v>
      </c>
      <c r="BH183" s="15" t="str">
        <f t="shared" si="823"/>
        <v>SD</v>
      </c>
      <c r="BI183" s="15" t="str">
        <f t="shared" si="824"/>
        <v>SI</v>
      </c>
      <c r="BJ183" s="15" t="b">
        <f t="shared" si="825"/>
        <v>1</v>
      </c>
      <c r="BK183" s="15" t="str">
        <f t="shared" si="826"/>
        <v>SIGIGUALES</v>
      </c>
      <c r="BL183" s="22" t="str">
        <f t="shared" si="827"/>
        <v>NO CONFORME</v>
      </c>
    </row>
    <row r="184" spans="1:64" ht="15.75" thickBot="1" x14ac:dyDescent="0.3">
      <c r="A184" s="37">
        <v>176</v>
      </c>
      <c r="B184" s="93">
        <f t="shared" ref="B184:E184" si="1131">B183</f>
        <v>45919</v>
      </c>
      <c r="C184" s="93">
        <f t="shared" si="1131"/>
        <v>45919</v>
      </c>
      <c r="D184" s="94">
        <f t="shared" si="1131"/>
        <v>6</v>
      </c>
      <c r="E184" s="95">
        <f t="shared" si="1131"/>
        <v>15</v>
      </c>
      <c r="F184" s="52"/>
      <c r="G184" s="96"/>
      <c r="H184" s="97">
        <f t="shared" ref="H184:L184" si="1132">H183</f>
        <v>25.6</v>
      </c>
      <c r="I184" s="98">
        <f t="shared" si="1132"/>
        <v>0</v>
      </c>
      <c r="J184" s="99">
        <f t="shared" si="1132"/>
        <v>20.9</v>
      </c>
      <c r="K184" s="99">
        <f t="shared" si="1132"/>
        <v>7.883</v>
      </c>
      <c r="L184" s="99">
        <f t="shared" si="1132"/>
        <v>0.55400000000000005</v>
      </c>
      <c r="M184" s="53"/>
      <c r="N184" s="53"/>
      <c r="O184" s="100">
        <f t="shared" ref="O184:P184" si="1133">O183</f>
        <v>100.62</v>
      </c>
      <c r="P184" s="101" t="str">
        <f t="shared" si="1133"/>
        <v>2,29,560</v>
      </c>
      <c r="Q184" s="11" t="str">
        <f t="shared" si="893"/>
        <v>2</v>
      </c>
      <c r="R184" s="11" t="str">
        <f t="shared" si="894"/>
        <v>29,560</v>
      </c>
      <c r="S184" s="11">
        <f t="shared" si="895"/>
        <v>4.1544444444444446E-2</v>
      </c>
      <c r="T184" s="14">
        <f t="shared" si="896"/>
        <v>2421.9844878309709</v>
      </c>
      <c r="U184" s="39">
        <f t="shared" si="897"/>
        <v>-100</v>
      </c>
      <c r="V184" s="105">
        <f t="shared" ref="V184:W184" si="1134">V183</f>
        <v>20.399999999999999</v>
      </c>
      <c r="W184" s="105">
        <f t="shared" si="1134"/>
        <v>1.5069999999999999</v>
      </c>
      <c r="X184" s="106">
        <f t="shared" si="1049"/>
        <v>1.504</v>
      </c>
      <c r="Y184" s="53"/>
      <c r="Z184" s="53"/>
      <c r="AA184" s="107">
        <f t="shared" ref="AA184:AB184" si="1135">AA183</f>
        <v>10.015000000000001</v>
      </c>
      <c r="AB184" s="108" t="str">
        <f t="shared" si="1135"/>
        <v>22,10,090</v>
      </c>
      <c r="AC184" s="11" t="str">
        <f t="shared" si="900"/>
        <v>22</v>
      </c>
      <c r="AD184" s="11" t="str">
        <f t="shared" si="901"/>
        <v>10,090</v>
      </c>
      <c r="AE184" s="11">
        <f t="shared" si="902"/>
        <v>0.36946944444444441</v>
      </c>
      <c r="AF184" s="14">
        <f t="shared" si="903"/>
        <v>27.106436406558959</v>
      </c>
      <c r="AG184" s="41">
        <f t="shared" si="904"/>
        <v>-100</v>
      </c>
      <c r="AH184" s="105">
        <f t="shared" si="1057"/>
        <v>20.3</v>
      </c>
      <c r="AI184" s="105">
        <f t="shared" si="1057"/>
        <v>1.5089999999999999</v>
      </c>
      <c r="AJ184" s="105">
        <f t="shared" si="1057"/>
        <v>1.504</v>
      </c>
      <c r="AK184" s="53">
        <f t="shared" si="905"/>
        <v>0</v>
      </c>
      <c r="AL184" s="53"/>
      <c r="AM184" s="54">
        <f t="shared" ref="AM184:AN184" si="1136">AM183</f>
        <v>5.0129999999999999</v>
      </c>
      <c r="AN184" s="101" t="str">
        <f t="shared" si="1136"/>
        <v>17,59,050</v>
      </c>
      <c r="AO184" s="11" t="str">
        <f t="shared" si="907"/>
        <v>17</v>
      </c>
      <c r="AP184" s="11" t="str">
        <f t="shared" si="908"/>
        <v>59,050</v>
      </c>
      <c r="AQ184" s="11">
        <f t="shared" si="909"/>
        <v>0.29973611111111109</v>
      </c>
      <c r="AR184" s="14">
        <f t="shared" si="910"/>
        <v>16.724711551827998</v>
      </c>
      <c r="AS184" s="41">
        <f t="shared" si="911"/>
        <v>-100</v>
      </c>
      <c r="AT184" s="43" t="str">
        <f t="shared" si="912"/>
        <v>NO CONFORME</v>
      </c>
      <c r="AU184" s="8" t="b">
        <f t="shared" si="834"/>
        <v>1</v>
      </c>
      <c r="AV184" s="8" t="b">
        <f t="shared" si="835"/>
        <v>0</v>
      </c>
      <c r="AW184" s="8" t="b">
        <f t="shared" si="836"/>
        <v>1</v>
      </c>
      <c r="AX184" s="8" t="str">
        <f t="shared" si="837"/>
        <v>Qcorrecto</v>
      </c>
      <c r="AY184" s="22" t="str">
        <f t="shared" si="817"/>
        <v>aceptable</v>
      </c>
      <c r="AZ184" s="22" t="str">
        <f t="shared" si="818"/>
        <v>aceptable</v>
      </c>
      <c r="BA184" s="22" t="str">
        <f t="shared" si="838"/>
        <v>aceptable</v>
      </c>
      <c r="BB184" s="25" t="str">
        <f t="shared" si="839"/>
        <v>NO CONFORME</v>
      </c>
      <c r="BC184" s="5" t="str">
        <f t="shared" si="840"/>
        <v>NO CONFORME</v>
      </c>
      <c r="BD184" s="15">
        <f t="shared" si="819"/>
        <v>-1</v>
      </c>
      <c r="BE184" s="15">
        <f t="shared" si="820"/>
        <v>-1</v>
      </c>
      <c r="BF184" s="15">
        <f t="shared" si="821"/>
        <v>-1</v>
      </c>
      <c r="BG184" s="15" t="str">
        <f t="shared" si="822"/>
        <v>-1-1-1</v>
      </c>
      <c r="BH184" s="15" t="str">
        <f t="shared" si="823"/>
        <v>SD</v>
      </c>
      <c r="BI184" s="15" t="str">
        <f t="shared" si="824"/>
        <v>SI</v>
      </c>
      <c r="BJ184" s="15" t="b">
        <f t="shared" si="825"/>
        <v>1</v>
      </c>
      <c r="BK184" s="15" t="str">
        <f t="shared" si="826"/>
        <v>SIGIGUALES</v>
      </c>
      <c r="BL184" s="22" t="str">
        <f t="shared" si="827"/>
        <v>NO CONFORME</v>
      </c>
    </row>
    <row r="185" spans="1:64" ht="15.75" thickBot="1" x14ac:dyDescent="0.3">
      <c r="A185" s="37">
        <v>177</v>
      </c>
      <c r="B185" s="93">
        <f t="shared" ref="B185:E185" si="1137">B184</f>
        <v>45919</v>
      </c>
      <c r="C185" s="93">
        <f t="shared" si="1137"/>
        <v>45919</v>
      </c>
      <c r="D185" s="94">
        <f t="shared" si="1137"/>
        <v>6</v>
      </c>
      <c r="E185" s="95">
        <f t="shared" si="1137"/>
        <v>15</v>
      </c>
      <c r="F185" s="52"/>
      <c r="G185" s="96"/>
      <c r="H185" s="97">
        <f t="shared" ref="H185:L185" si="1138">H184</f>
        <v>25.6</v>
      </c>
      <c r="I185" s="98">
        <f t="shared" si="1138"/>
        <v>0</v>
      </c>
      <c r="J185" s="99">
        <f t="shared" si="1138"/>
        <v>20.9</v>
      </c>
      <c r="K185" s="99">
        <f t="shared" si="1138"/>
        <v>7.883</v>
      </c>
      <c r="L185" s="99">
        <f t="shared" si="1138"/>
        <v>0.55400000000000005</v>
      </c>
      <c r="M185" s="53"/>
      <c r="N185" s="53"/>
      <c r="O185" s="100">
        <f t="shared" ref="O185:P185" si="1139">O184</f>
        <v>100.62</v>
      </c>
      <c r="P185" s="101" t="str">
        <f t="shared" si="1139"/>
        <v>2,29,560</v>
      </c>
      <c r="Q185" s="11" t="str">
        <f t="shared" si="893"/>
        <v>2</v>
      </c>
      <c r="R185" s="11" t="str">
        <f t="shared" si="894"/>
        <v>29,560</v>
      </c>
      <c r="S185" s="11">
        <f t="shared" si="895"/>
        <v>4.1544444444444446E-2</v>
      </c>
      <c r="T185" s="14">
        <f t="shared" si="896"/>
        <v>2421.9844878309709</v>
      </c>
      <c r="U185" s="39">
        <f t="shared" si="897"/>
        <v>-100</v>
      </c>
      <c r="V185" s="105">
        <f t="shared" ref="V185:W185" si="1140">V184</f>
        <v>20.399999999999999</v>
      </c>
      <c r="W185" s="105">
        <f t="shared" si="1140"/>
        <v>1.5069999999999999</v>
      </c>
      <c r="X185" s="106">
        <f t="shared" si="1049"/>
        <v>1.504</v>
      </c>
      <c r="Y185" s="53"/>
      <c r="Z185" s="53"/>
      <c r="AA185" s="107">
        <f t="shared" ref="AA185:AB185" si="1141">AA184</f>
        <v>10.015000000000001</v>
      </c>
      <c r="AB185" s="108" t="str">
        <f t="shared" si="1141"/>
        <v>22,10,090</v>
      </c>
      <c r="AC185" s="11" t="str">
        <f t="shared" si="900"/>
        <v>22</v>
      </c>
      <c r="AD185" s="11" t="str">
        <f t="shared" si="901"/>
        <v>10,090</v>
      </c>
      <c r="AE185" s="11">
        <f t="shared" si="902"/>
        <v>0.36946944444444441</v>
      </c>
      <c r="AF185" s="14">
        <f t="shared" si="903"/>
        <v>27.106436406558959</v>
      </c>
      <c r="AG185" s="41">
        <f t="shared" si="904"/>
        <v>-100</v>
      </c>
      <c r="AH185" s="105">
        <f t="shared" si="1057"/>
        <v>20.3</v>
      </c>
      <c r="AI185" s="105">
        <f t="shared" si="1057"/>
        <v>1.5089999999999999</v>
      </c>
      <c r="AJ185" s="105">
        <f t="shared" si="1057"/>
        <v>1.504</v>
      </c>
      <c r="AK185" s="53">
        <f t="shared" si="905"/>
        <v>0</v>
      </c>
      <c r="AL185" s="53"/>
      <c r="AM185" s="54">
        <f t="shared" ref="AM185:AN185" si="1142">AM184</f>
        <v>5.0129999999999999</v>
      </c>
      <c r="AN185" s="101" t="str">
        <f t="shared" si="1142"/>
        <v>17,59,050</v>
      </c>
      <c r="AO185" s="11" t="str">
        <f t="shared" si="907"/>
        <v>17</v>
      </c>
      <c r="AP185" s="11" t="str">
        <f t="shared" si="908"/>
        <v>59,050</v>
      </c>
      <c r="AQ185" s="11">
        <f t="shared" si="909"/>
        <v>0.29973611111111109</v>
      </c>
      <c r="AR185" s="14">
        <f t="shared" si="910"/>
        <v>16.724711551827998</v>
      </c>
      <c r="AS185" s="41">
        <f t="shared" si="911"/>
        <v>-100</v>
      </c>
      <c r="AT185" s="43" t="str">
        <f t="shared" si="912"/>
        <v>NO CONFORME</v>
      </c>
      <c r="AU185" s="8" t="b">
        <f t="shared" si="834"/>
        <v>1</v>
      </c>
      <c r="AV185" s="8" t="b">
        <f t="shared" si="835"/>
        <v>0</v>
      </c>
      <c r="AW185" s="8" t="b">
        <f t="shared" si="836"/>
        <v>1</v>
      </c>
      <c r="AX185" s="8" t="str">
        <f t="shared" si="837"/>
        <v>Qcorrecto</v>
      </c>
      <c r="AY185" s="22" t="str">
        <f t="shared" si="817"/>
        <v>aceptable</v>
      </c>
      <c r="AZ185" s="22" t="str">
        <f t="shared" si="818"/>
        <v>aceptable</v>
      </c>
      <c r="BA185" s="22" t="str">
        <f t="shared" si="838"/>
        <v>aceptable</v>
      </c>
      <c r="BB185" s="25" t="str">
        <f t="shared" si="839"/>
        <v>NO CONFORME</v>
      </c>
      <c r="BC185" s="5" t="str">
        <f t="shared" si="840"/>
        <v>NO CONFORME</v>
      </c>
      <c r="BD185" s="15">
        <f t="shared" si="819"/>
        <v>-1</v>
      </c>
      <c r="BE185" s="15">
        <f t="shared" si="820"/>
        <v>-1</v>
      </c>
      <c r="BF185" s="15">
        <f t="shared" si="821"/>
        <v>-1</v>
      </c>
      <c r="BG185" s="15" t="str">
        <f t="shared" si="822"/>
        <v>-1-1-1</v>
      </c>
      <c r="BH185" s="15" t="str">
        <f t="shared" si="823"/>
        <v>SD</v>
      </c>
      <c r="BI185" s="15" t="str">
        <f t="shared" si="824"/>
        <v>SI</v>
      </c>
      <c r="BJ185" s="15" t="b">
        <f t="shared" si="825"/>
        <v>1</v>
      </c>
      <c r="BK185" s="15" t="str">
        <f t="shared" si="826"/>
        <v>SIGIGUALES</v>
      </c>
      <c r="BL185" s="22" t="str">
        <f t="shared" si="827"/>
        <v>NO CONFORME</v>
      </c>
    </row>
    <row r="186" spans="1:64" ht="15.75" thickBot="1" x14ac:dyDescent="0.3">
      <c r="A186" s="37">
        <v>178</v>
      </c>
      <c r="B186" s="93">
        <f t="shared" ref="B186:E186" si="1143">B185</f>
        <v>45919</v>
      </c>
      <c r="C186" s="93">
        <f t="shared" si="1143"/>
        <v>45919</v>
      </c>
      <c r="D186" s="94">
        <f t="shared" si="1143"/>
        <v>6</v>
      </c>
      <c r="E186" s="95">
        <f t="shared" si="1143"/>
        <v>15</v>
      </c>
      <c r="F186" s="52"/>
      <c r="G186" s="96"/>
      <c r="H186" s="97">
        <f t="shared" ref="H186:L186" si="1144">H185</f>
        <v>25.6</v>
      </c>
      <c r="I186" s="98">
        <f t="shared" si="1144"/>
        <v>0</v>
      </c>
      <c r="J186" s="99">
        <f t="shared" si="1144"/>
        <v>20.9</v>
      </c>
      <c r="K186" s="99">
        <f t="shared" si="1144"/>
        <v>7.883</v>
      </c>
      <c r="L186" s="99">
        <f t="shared" si="1144"/>
        <v>0.55400000000000005</v>
      </c>
      <c r="M186" s="53"/>
      <c r="N186" s="53"/>
      <c r="O186" s="100">
        <f t="shared" ref="O186:P186" si="1145">O185</f>
        <v>100.62</v>
      </c>
      <c r="P186" s="101" t="str">
        <f t="shared" si="1145"/>
        <v>2,29,560</v>
      </c>
      <c r="Q186" s="11" t="str">
        <f t="shared" si="893"/>
        <v>2</v>
      </c>
      <c r="R186" s="11" t="str">
        <f t="shared" si="894"/>
        <v>29,560</v>
      </c>
      <c r="S186" s="11">
        <f t="shared" si="895"/>
        <v>4.1544444444444446E-2</v>
      </c>
      <c r="T186" s="14">
        <f t="shared" si="896"/>
        <v>2421.9844878309709</v>
      </c>
      <c r="U186" s="39">
        <f t="shared" si="897"/>
        <v>-100</v>
      </c>
      <c r="V186" s="105">
        <f t="shared" ref="V186:X201" si="1146">V185</f>
        <v>20.399999999999999</v>
      </c>
      <c r="W186" s="105">
        <f t="shared" si="1146"/>
        <v>1.5069999999999999</v>
      </c>
      <c r="X186" s="106">
        <f t="shared" si="1146"/>
        <v>1.504</v>
      </c>
      <c r="Y186" s="53"/>
      <c r="Z186" s="53"/>
      <c r="AA186" s="107">
        <f t="shared" ref="AA186:AB186" si="1147">AA185</f>
        <v>10.015000000000001</v>
      </c>
      <c r="AB186" s="108" t="str">
        <f t="shared" si="1147"/>
        <v>22,10,090</v>
      </c>
      <c r="AC186" s="11" t="str">
        <f t="shared" si="900"/>
        <v>22</v>
      </c>
      <c r="AD186" s="11" t="str">
        <f t="shared" si="901"/>
        <v>10,090</v>
      </c>
      <c r="AE186" s="11">
        <f t="shared" si="902"/>
        <v>0.36946944444444441</v>
      </c>
      <c r="AF186" s="14">
        <f t="shared" si="903"/>
        <v>27.106436406558959</v>
      </c>
      <c r="AG186" s="41">
        <f t="shared" si="904"/>
        <v>-100</v>
      </c>
      <c r="AH186" s="105">
        <f t="shared" si="1057"/>
        <v>20.3</v>
      </c>
      <c r="AI186" s="105">
        <f t="shared" si="1057"/>
        <v>1.5089999999999999</v>
      </c>
      <c r="AJ186" s="105">
        <f t="shared" si="1057"/>
        <v>1.504</v>
      </c>
      <c r="AK186" s="53">
        <f t="shared" si="905"/>
        <v>0</v>
      </c>
      <c r="AL186" s="53"/>
      <c r="AM186" s="54">
        <f t="shared" ref="AM186:AN186" si="1148">AM185</f>
        <v>5.0129999999999999</v>
      </c>
      <c r="AN186" s="101" t="str">
        <f t="shared" si="1148"/>
        <v>17,59,050</v>
      </c>
      <c r="AO186" s="11" t="str">
        <f t="shared" si="907"/>
        <v>17</v>
      </c>
      <c r="AP186" s="11" t="str">
        <f t="shared" si="908"/>
        <v>59,050</v>
      </c>
      <c r="AQ186" s="11">
        <f t="shared" si="909"/>
        <v>0.29973611111111109</v>
      </c>
      <c r="AR186" s="14">
        <f t="shared" si="910"/>
        <v>16.724711551827998</v>
      </c>
      <c r="AS186" s="41">
        <f t="shared" si="911"/>
        <v>-100</v>
      </c>
      <c r="AT186" s="43" t="str">
        <f t="shared" si="912"/>
        <v>NO CONFORME</v>
      </c>
      <c r="AU186" s="8" t="b">
        <f t="shared" si="834"/>
        <v>1</v>
      </c>
      <c r="AV186" s="8" t="b">
        <f t="shared" si="835"/>
        <v>0</v>
      </c>
      <c r="AW186" s="8" t="b">
        <f t="shared" si="836"/>
        <v>1</v>
      </c>
      <c r="AX186" s="8" t="str">
        <f t="shared" si="837"/>
        <v>Qcorrecto</v>
      </c>
      <c r="AY186" s="22" t="str">
        <f t="shared" si="817"/>
        <v>aceptable</v>
      </c>
      <c r="AZ186" s="22" t="str">
        <f t="shared" si="818"/>
        <v>aceptable</v>
      </c>
      <c r="BA186" s="22" t="str">
        <f t="shared" si="838"/>
        <v>aceptable</v>
      </c>
      <c r="BB186" s="25" t="str">
        <f t="shared" si="839"/>
        <v>NO CONFORME</v>
      </c>
      <c r="BC186" s="5" t="str">
        <f t="shared" si="840"/>
        <v>NO CONFORME</v>
      </c>
      <c r="BD186" s="15">
        <f t="shared" si="819"/>
        <v>-1</v>
      </c>
      <c r="BE186" s="15">
        <f t="shared" si="820"/>
        <v>-1</v>
      </c>
      <c r="BF186" s="15">
        <f t="shared" si="821"/>
        <v>-1</v>
      </c>
      <c r="BG186" s="15" t="str">
        <f t="shared" si="822"/>
        <v>-1-1-1</v>
      </c>
      <c r="BH186" s="15" t="str">
        <f t="shared" si="823"/>
        <v>SD</v>
      </c>
      <c r="BI186" s="15" t="str">
        <f t="shared" si="824"/>
        <v>SI</v>
      </c>
      <c r="BJ186" s="15" t="b">
        <f t="shared" si="825"/>
        <v>1</v>
      </c>
      <c r="BK186" s="15" t="str">
        <f t="shared" si="826"/>
        <v>SIGIGUALES</v>
      </c>
      <c r="BL186" s="22" t="str">
        <f t="shared" si="827"/>
        <v>NO CONFORME</v>
      </c>
    </row>
    <row r="187" spans="1:64" ht="15.75" thickBot="1" x14ac:dyDescent="0.3">
      <c r="A187" s="37">
        <v>179</v>
      </c>
      <c r="B187" s="93">
        <f t="shared" ref="B187:E187" si="1149">B186</f>
        <v>45919</v>
      </c>
      <c r="C187" s="93">
        <f t="shared" si="1149"/>
        <v>45919</v>
      </c>
      <c r="D187" s="94">
        <f t="shared" si="1149"/>
        <v>6</v>
      </c>
      <c r="E187" s="95">
        <f t="shared" si="1149"/>
        <v>15</v>
      </c>
      <c r="F187" s="52"/>
      <c r="G187" s="96"/>
      <c r="H187" s="97">
        <f t="shared" ref="H187:L187" si="1150">H186</f>
        <v>25.6</v>
      </c>
      <c r="I187" s="98">
        <f t="shared" si="1150"/>
        <v>0</v>
      </c>
      <c r="J187" s="99">
        <f t="shared" si="1150"/>
        <v>20.9</v>
      </c>
      <c r="K187" s="99">
        <f t="shared" si="1150"/>
        <v>7.883</v>
      </c>
      <c r="L187" s="99">
        <f t="shared" si="1150"/>
        <v>0.55400000000000005</v>
      </c>
      <c r="M187" s="53"/>
      <c r="N187" s="53"/>
      <c r="O187" s="100">
        <f t="shared" ref="O187:P187" si="1151">O186</f>
        <v>100.62</v>
      </c>
      <c r="P187" s="101" t="str">
        <f t="shared" si="1151"/>
        <v>2,29,560</v>
      </c>
      <c r="Q187" s="11" t="str">
        <f t="shared" si="893"/>
        <v>2</v>
      </c>
      <c r="R187" s="11" t="str">
        <f t="shared" si="894"/>
        <v>29,560</v>
      </c>
      <c r="S187" s="11">
        <f t="shared" si="895"/>
        <v>4.1544444444444446E-2</v>
      </c>
      <c r="T187" s="14">
        <f t="shared" si="896"/>
        <v>2421.9844878309709</v>
      </c>
      <c r="U187" s="39">
        <f t="shared" si="897"/>
        <v>-100</v>
      </c>
      <c r="V187" s="105">
        <f t="shared" ref="V187:W187" si="1152">V186</f>
        <v>20.399999999999999</v>
      </c>
      <c r="W187" s="105">
        <f t="shared" si="1152"/>
        <v>1.5069999999999999</v>
      </c>
      <c r="X187" s="106">
        <f t="shared" si="1146"/>
        <v>1.504</v>
      </c>
      <c r="Y187" s="53"/>
      <c r="Z187" s="53"/>
      <c r="AA187" s="107">
        <f t="shared" ref="AA187:AB187" si="1153">AA186</f>
        <v>10.015000000000001</v>
      </c>
      <c r="AB187" s="108" t="str">
        <f t="shared" si="1153"/>
        <v>22,10,090</v>
      </c>
      <c r="AC187" s="11" t="str">
        <f t="shared" si="900"/>
        <v>22</v>
      </c>
      <c r="AD187" s="11" t="str">
        <f t="shared" si="901"/>
        <v>10,090</v>
      </c>
      <c r="AE187" s="11">
        <f t="shared" si="902"/>
        <v>0.36946944444444441</v>
      </c>
      <c r="AF187" s="14">
        <f t="shared" si="903"/>
        <v>27.106436406558959</v>
      </c>
      <c r="AG187" s="41">
        <f t="shared" si="904"/>
        <v>-100</v>
      </c>
      <c r="AH187" s="105">
        <f t="shared" ref="AH187:AJ202" si="1154">AH186</f>
        <v>20.3</v>
      </c>
      <c r="AI187" s="105">
        <f t="shared" si="1154"/>
        <v>1.5089999999999999</v>
      </c>
      <c r="AJ187" s="105">
        <f t="shared" si="1154"/>
        <v>1.504</v>
      </c>
      <c r="AK187" s="53">
        <f t="shared" si="905"/>
        <v>0</v>
      </c>
      <c r="AL187" s="53"/>
      <c r="AM187" s="54">
        <f t="shared" ref="AM187:AN187" si="1155">AM186</f>
        <v>5.0129999999999999</v>
      </c>
      <c r="AN187" s="101" t="str">
        <f t="shared" si="1155"/>
        <v>17,59,050</v>
      </c>
      <c r="AO187" s="11" t="str">
        <f t="shared" si="907"/>
        <v>17</v>
      </c>
      <c r="AP187" s="11" t="str">
        <f t="shared" si="908"/>
        <v>59,050</v>
      </c>
      <c r="AQ187" s="11">
        <f t="shared" si="909"/>
        <v>0.29973611111111109</v>
      </c>
      <c r="AR187" s="14">
        <f t="shared" si="910"/>
        <v>16.724711551827998</v>
      </c>
      <c r="AS187" s="41">
        <f t="shared" si="911"/>
        <v>-100</v>
      </c>
      <c r="AT187" s="43" t="str">
        <f t="shared" si="912"/>
        <v>NO CONFORME</v>
      </c>
      <c r="AU187" s="8" t="b">
        <f t="shared" si="834"/>
        <v>1</v>
      </c>
      <c r="AV187" s="8" t="b">
        <f t="shared" si="835"/>
        <v>0</v>
      </c>
      <c r="AW187" s="8" t="b">
        <f t="shared" si="836"/>
        <v>1</v>
      </c>
      <c r="AX187" s="8" t="str">
        <f t="shared" si="837"/>
        <v>Qcorrecto</v>
      </c>
      <c r="AY187" s="22" t="str">
        <f t="shared" si="817"/>
        <v>aceptable</v>
      </c>
      <c r="AZ187" s="22" t="str">
        <f t="shared" si="818"/>
        <v>aceptable</v>
      </c>
      <c r="BA187" s="22" t="str">
        <f t="shared" si="838"/>
        <v>aceptable</v>
      </c>
      <c r="BB187" s="25" t="str">
        <f t="shared" si="839"/>
        <v>NO CONFORME</v>
      </c>
      <c r="BC187" s="5" t="str">
        <f t="shared" si="840"/>
        <v>NO CONFORME</v>
      </c>
      <c r="BD187" s="15">
        <f t="shared" si="819"/>
        <v>-1</v>
      </c>
      <c r="BE187" s="15">
        <f t="shared" si="820"/>
        <v>-1</v>
      </c>
      <c r="BF187" s="15">
        <f t="shared" si="821"/>
        <v>-1</v>
      </c>
      <c r="BG187" s="15" t="str">
        <f t="shared" si="822"/>
        <v>-1-1-1</v>
      </c>
      <c r="BH187" s="15" t="str">
        <f t="shared" si="823"/>
        <v>SD</v>
      </c>
      <c r="BI187" s="15" t="str">
        <f t="shared" si="824"/>
        <v>SI</v>
      </c>
      <c r="BJ187" s="15" t="b">
        <f t="shared" si="825"/>
        <v>1</v>
      </c>
      <c r="BK187" s="15" t="str">
        <f t="shared" si="826"/>
        <v>SIGIGUALES</v>
      </c>
      <c r="BL187" s="22" t="str">
        <f t="shared" si="827"/>
        <v>NO CONFORME</v>
      </c>
    </row>
    <row r="188" spans="1:64" ht="15.75" thickBot="1" x14ac:dyDescent="0.3">
      <c r="A188" s="37">
        <v>180</v>
      </c>
      <c r="B188" s="93">
        <f t="shared" ref="B188:E188" si="1156">B187</f>
        <v>45919</v>
      </c>
      <c r="C188" s="93">
        <f t="shared" si="1156"/>
        <v>45919</v>
      </c>
      <c r="D188" s="94">
        <f t="shared" si="1156"/>
        <v>6</v>
      </c>
      <c r="E188" s="95">
        <f t="shared" si="1156"/>
        <v>15</v>
      </c>
      <c r="F188" s="52"/>
      <c r="G188" s="96"/>
      <c r="H188" s="97">
        <f t="shared" ref="H188:L188" si="1157">H187</f>
        <v>25.6</v>
      </c>
      <c r="I188" s="98">
        <f t="shared" si="1157"/>
        <v>0</v>
      </c>
      <c r="J188" s="99">
        <f t="shared" si="1157"/>
        <v>20.9</v>
      </c>
      <c r="K188" s="99">
        <f t="shared" si="1157"/>
        <v>7.883</v>
      </c>
      <c r="L188" s="99">
        <f t="shared" si="1157"/>
        <v>0.55400000000000005</v>
      </c>
      <c r="M188" s="53"/>
      <c r="N188" s="53"/>
      <c r="O188" s="100">
        <f t="shared" ref="O188:P188" si="1158">O187</f>
        <v>100.62</v>
      </c>
      <c r="P188" s="101" t="str">
        <f t="shared" si="1158"/>
        <v>2,29,560</v>
      </c>
      <c r="Q188" s="11" t="str">
        <f t="shared" si="893"/>
        <v>2</v>
      </c>
      <c r="R188" s="11" t="str">
        <f t="shared" si="894"/>
        <v>29,560</v>
      </c>
      <c r="S188" s="11">
        <f t="shared" si="895"/>
        <v>4.1544444444444446E-2</v>
      </c>
      <c r="T188" s="14">
        <f t="shared" si="896"/>
        <v>2421.9844878309709</v>
      </c>
      <c r="U188" s="39">
        <f t="shared" si="897"/>
        <v>-100</v>
      </c>
      <c r="V188" s="105">
        <f t="shared" ref="V188:W188" si="1159">V187</f>
        <v>20.399999999999999</v>
      </c>
      <c r="W188" s="105">
        <f t="shared" si="1159"/>
        <v>1.5069999999999999</v>
      </c>
      <c r="X188" s="106">
        <f t="shared" si="1146"/>
        <v>1.504</v>
      </c>
      <c r="Y188" s="53"/>
      <c r="Z188" s="53"/>
      <c r="AA188" s="107">
        <f t="shared" ref="AA188:AB188" si="1160">AA187</f>
        <v>10.015000000000001</v>
      </c>
      <c r="AB188" s="108" t="str">
        <f t="shared" si="1160"/>
        <v>22,10,090</v>
      </c>
      <c r="AC188" s="11" t="str">
        <f t="shared" si="900"/>
        <v>22</v>
      </c>
      <c r="AD188" s="11" t="str">
        <f t="shared" si="901"/>
        <v>10,090</v>
      </c>
      <c r="AE188" s="11">
        <f t="shared" si="902"/>
        <v>0.36946944444444441</v>
      </c>
      <c r="AF188" s="14">
        <f t="shared" si="903"/>
        <v>27.106436406558959</v>
      </c>
      <c r="AG188" s="41">
        <f t="shared" si="904"/>
        <v>-100</v>
      </c>
      <c r="AH188" s="105">
        <f t="shared" si="1154"/>
        <v>20.3</v>
      </c>
      <c r="AI188" s="105">
        <f t="shared" si="1154"/>
        <v>1.5089999999999999</v>
      </c>
      <c r="AJ188" s="105">
        <f t="shared" si="1154"/>
        <v>1.504</v>
      </c>
      <c r="AK188" s="53">
        <f t="shared" si="905"/>
        <v>0</v>
      </c>
      <c r="AL188" s="53"/>
      <c r="AM188" s="54">
        <f t="shared" ref="AM188:AN188" si="1161">AM187</f>
        <v>5.0129999999999999</v>
      </c>
      <c r="AN188" s="101" t="str">
        <f t="shared" si="1161"/>
        <v>17,59,050</v>
      </c>
      <c r="AO188" s="11" t="str">
        <f t="shared" si="907"/>
        <v>17</v>
      </c>
      <c r="AP188" s="11" t="str">
        <f t="shared" si="908"/>
        <v>59,050</v>
      </c>
      <c r="AQ188" s="11">
        <f t="shared" si="909"/>
        <v>0.29973611111111109</v>
      </c>
      <c r="AR188" s="14">
        <f t="shared" si="910"/>
        <v>16.724711551827998</v>
      </c>
      <c r="AS188" s="41">
        <f t="shared" si="911"/>
        <v>-100</v>
      </c>
      <c r="AT188" s="43" t="str">
        <f t="shared" si="912"/>
        <v>NO CONFORME</v>
      </c>
      <c r="AU188" s="8" t="b">
        <f t="shared" si="834"/>
        <v>1</v>
      </c>
      <c r="AV188" s="8" t="b">
        <f t="shared" si="835"/>
        <v>0</v>
      </c>
      <c r="AW188" s="8" t="b">
        <f t="shared" si="836"/>
        <v>1</v>
      </c>
      <c r="AX188" s="8" t="str">
        <f t="shared" si="837"/>
        <v>Qcorrecto</v>
      </c>
      <c r="AY188" s="22" t="str">
        <f t="shared" si="817"/>
        <v>aceptable</v>
      </c>
      <c r="AZ188" s="22" t="str">
        <f t="shared" si="818"/>
        <v>aceptable</v>
      </c>
      <c r="BA188" s="22" t="str">
        <f t="shared" si="838"/>
        <v>aceptable</v>
      </c>
      <c r="BB188" s="25" t="str">
        <f t="shared" si="839"/>
        <v>NO CONFORME</v>
      </c>
      <c r="BC188" s="5" t="str">
        <f t="shared" si="840"/>
        <v>NO CONFORME</v>
      </c>
      <c r="BD188" s="15">
        <f t="shared" si="819"/>
        <v>-1</v>
      </c>
      <c r="BE188" s="15">
        <f t="shared" si="820"/>
        <v>-1</v>
      </c>
      <c r="BF188" s="15">
        <f t="shared" si="821"/>
        <v>-1</v>
      </c>
      <c r="BG188" s="15" t="str">
        <f t="shared" si="822"/>
        <v>-1-1-1</v>
      </c>
      <c r="BH188" s="15" t="str">
        <f t="shared" si="823"/>
        <v>SD</v>
      </c>
      <c r="BI188" s="15" t="str">
        <f t="shared" si="824"/>
        <v>SI</v>
      </c>
      <c r="BJ188" s="15" t="b">
        <f t="shared" si="825"/>
        <v>1</v>
      </c>
      <c r="BK188" s="15" t="str">
        <f t="shared" si="826"/>
        <v>SIGIGUALES</v>
      </c>
      <c r="BL188" s="22" t="str">
        <f t="shared" si="827"/>
        <v>NO CONFORME</v>
      </c>
    </row>
    <row r="189" spans="1:64" ht="15.75" thickBot="1" x14ac:dyDescent="0.3">
      <c r="A189" s="37">
        <v>181</v>
      </c>
      <c r="B189" s="93">
        <f t="shared" ref="B189:E189" si="1162">B188</f>
        <v>45919</v>
      </c>
      <c r="C189" s="93">
        <f t="shared" si="1162"/>
        <v>45919</v>
      </c>
      <c r="D189" s="94">
        <f t="shared" si="1162"/>
        <v>6</v>
      </c>
      <c r="E189" s="95">
        <f t="shared" si="1162"/>
        <v>15</v>
      </c>
      <c r="F189" s="52"/>
      <c r="G189" s="96"/>
      <c r="H189" s="97">
        <f t="shared" ref="H189:L189" si="1163">H188</f>
        <v>25.6</v>
      </c>
      <c r="I189" s="98">
        <f t="shared" si="1163"/>
        <v>0</v>
      </c>
      <c r="J189" s="99">
        <f t="shared" si="1163"/>
        <v>20.9</v>
      </c>
      <c r="K189" s="99">
        <f t="shared" si="1163"/>
        <v>7.883</v>
      </c>
      <c r="L189" s="99">
        <f t="shared" si="1163"/>
        <v>0.55400000000000005</v>
      </c>
      <c r="M189" s="53"/>
      <c r="N189" s="53"/>
      <c r="O189" s="100">
        <f t="shared" ref="O189:P189" si="1164">O188</f>
        <v>100.62</v>
      </c>
      <c r="P189" s="101" t="str">
        <f t="shared" si="1164"/>
        <v>2,29,560</v>
      </c>
      <c r="Q189" s="11" t="str">
        <f t="shared" si="893"/>
        <v>2</v>
      </c>
      <c r="R189" s="11" t="str">
        <f t="shared" si="894"/>
        <v>29,560</v>
      </c>
      <c r="S189" s="11">
        <f t="shared" si="895"/>
        <v>4.1544444444444446E-2</v>
      </c>
      <c r="T189" s="14">
        <f t="shared" si="896"/>
        <v>2421.9844878309709</v>
      </c>
      <c r="U189" s="39">
        <f t="shared" si="897"/>
        <v>-100</v>
      </c>
      <c r="V189" s="105">
        <f t="shared" ref="V189:W189" si="1165">V188</f>
        <v>20.399999999999999</v>
      </c>
      <c r="W189" s="105">
        <f t="shared" si="1165"/>
        <v>1.5069999999999999</v>
      </c>
      <c r="X189" s="106">
        <f t="shared" si="1146"/>
        <v>1.504</v>
      </c>
      <c r="Y189" s="53"/>
      <c r="Z189" s="53"/>
      <c r="AA189" s="107">
        <f t="shared" ref="AA189:AB189" si="1166">AA188</f>
        <v>10.015000000000001</v>
      </c>
      <c r="AB189" s="108" t="str">
        <f t="shared" si="1166"/>
        <v>22,10,090</v>
      </c>
      <c r="AC189" s="11" t="str">
        <f t="shared" si="900"/>
        <v>22</v>
      </c>
      <c r="AD189" s="11" t="str">
        <f t="shared" si="901"/>
        <v>10,090</v>
      </c>
      <c r="AE189" s="11">
        <f t="shared" si="902"/>
        <v>0.36946944444444441</v>
      </c>
      <c r="AF189" s="14">
        <f t="shared" si="903"/>
        <v>27.106436406558959</v>
      </c>
      <c r="AG189" s="41">
        <f t="shared" si="904"/>
        <v>-100</v>
      </c>
      <c r="AH189" s="105">
        <f t="shared" si="1154"/>
        <v>20.3</v>
      </c>
      <c r="AI189" s="105">
        <f t="shared" si="1154"/>
        <v>1.5089999999999999</v>
      </c>
      <c r="AJ189" s="105">
        <f t="shared" si="1154"/>
        <v>1.504</v>
      </c>
      <c r="AK189" s="53">
        <f t="shared" si="905"/>
        <v>0</v>
      </c>
      <c r="AL189" s="53"/>
      <c r="AM189" s="54">
        <f t="shared" ref="AM189:AN189" si="1167">AM188</f>
        <v>5.0129999999999999</v>
      </c>
      <c r="AN189" s="101" t="str">
        <f t="shared" si="1167"/>
        <v>17,59,050</v>
      </c>
      <c r="AO189" s="11" t="str">
        <f t="shared" si="907"/>
        <v>17</v>
      </c>
      <c r="AP189" s="11" t="str">
        <f t="shared" si="908"/>
        <v>59,050</v>
      </c>
      <c r="AQ189" s="11">
        <f t="shared" si="909"/>
        <v>0.29973611111111109</v>
      </c>
      <c r="AR189" s="14">
        <f t="shared" si="910"/>
        <v>16.724711551827998</v>
      </c>
      <c r="AS189" s="41">
        <f t="shared" si="911"/>
        <v>-100</v>
      </c>
      <c r="AT189" s="43" t="str">
        <f t="shared" si="912"/>
        <v>NO CONFORME</v>
      </c>
      <c r="AU189" s="8" t="b">
        <f t="shared" si="834"/>
        <v>1</v>
      </c>
      <c r="AV189" s="8" t="b">
        <f t="shared" si="835"/>
        <v>0</v>
      </c>
      <c r="AW189" s="8" t="b">
        <f t="shared" si="836"/>
        <v>1</v>
      </c>
      <c r="AX189" s="8" t="str">
        <f t="shared" si="837"/>
        <v>Qcorrecto</v>
      </c>
      <c r="AY189" s="22" t="str">
        <f t="shared" si="817"/>
        <v>aceptable</v>
      </c>
      <c r="AZ189" s="22" t="str">
        <f t="shared" si="818"/>
        <v>aceptable</v>
      </c>
      <c r="BA189" s="22" t="str">
        <f t="shared" si="838"/>
        <v>aceptable</v>
      </c>
      <c r="BB189" s="25" t="str">
        <f t="shared" si="839"/>
        <v>NO CONFORME</v>
      </c>
      <c r="BC189" s="5" t="str">
        <f t="shared" si="840"/>
        <v>NO CONFORME</v>
      </c>
      <c r="BD189" s="15">
        <f t="shared" si="819"/>
        <v>-1</v>
      </c>
      <c r="BE189" s="15">
        <f t="shared" si="820"/>
        <v>-1</v>
      </c>
      <c r="BF189" s="15">
        <f t="shared" si="821"/>
        <v>-1</v>
      </c>
      <c r="BG189" s="15" t="str">
        <f t="shared" si="822"/>
        <v>-1-1-1</v>
      </c>
      <c r="BH189" s="15" t="str">
        <f t="shared" si="823"/>
        <v>SD</v>
      </c>
      <c r="BI189" s="15" t="str">
        <f t="shared" si="824"/>
        <v>SI</v>
      </c>
      <c r="BJ189" s="15" t="b">
        <f t="shared" si="825"/>
        <v>1</v>
      </c>
      <c r="BK189" s="15" t="str">
        <f t="shared" si="826"/>
        <v>SIGIGUALES</v>
      </c>
      <c r="BL189" s="22" t="str">
        <f t="shared" si="827"/>
        <v>NO CONFORME</v>
      </c>
    </row>
    <row r="190" spans="1:64" ht="15.75" thickBot="1" x14ac:dyDescent="0.3">
      <c r="A190" s="37">
        <v>182</v>
      </c>
      <c r="B190" s="93">
        <f t="shared" ref="B190:E190" si="1168">B189</f>
        <v>45919</v>
      </c>
      <c r="C190" s="93">
        <f t="shared" si="1168"/>
        <v>45919</v>
      </c>
      <c r="D190" s="94">
        <f t="shared" si="1168"/>
        <v>6</v>
      </c>
      <c r="E190" s="95">
        <f t="shared" si="1168"/>
        <v>15</v>
      </c>
      <c r="F190" s="52"/>
      <c r="G190" s="96"/>
      <c r="H190" s="97">
        <f t="shared" ref="H190:L190" si="1169">H189</f>
        <v>25.6</v>
      </c>
      <c r="I190" s="98">
        <f t="shared" si="1169"/>
        <v>0</v>
      </c>
      <c r="J190" s="99">
        <f t="shared" si="1169"/>
        <v>20.9</v>
      </c>
      <c r="K190" s="99">
        <f t="shared" si="1169"/>
        <v>7.883</v>
      </c>
      <c r="L190" s="99">
        <f t="shared" si="1169"/>
        <v>0.55400000000000005</v>
      </c>
      <c r="M190" s="53"/>
      <c r="N190" s="53"/>
      <c r="O190" s="100">
        <f t="shared" ref="O190:P190" si="1170">O189</f>
        <v>100.62</v>
      </c>
      <c r="P190" s="101" t="str">
        <f t="shared" si="1170"/>
        <v>2,29,560</v>
      </c>
      <c r="Q190" s="11" t="str">
        <f t="shared" si="893"/>
        <v>2</v>
      </c>
      <c r="R190" s="11" t="str">
        <f t="shared" si="894"/>
        <v>29,560</v>
      </c>
      <c r="S190" s="11">
        <f t="shared" si="895"/>
        <v>4.1544444444444446E-2</v>
      </c>
      <c r="T190" s="14">
        <f t="shared" si="896"/>
        <v>2421.9844878309709</v>
      </c>
      <c r="U190" s="39">
        <f t="shared" si="897"/>
        <v>-100</v>
      </c>
      <c r="V190" s="105">
        <f t="shared" ref="V190:W190" si="1171">V189</f>
        <v>20.399999999999999</v>
      </c>
      <c r="W190" s="105">
        <f t="shared" si="1171"/>
        <v>1.5069999999999999</v>
      </c>
      <c r="X190" s="106">
        <f t="shared" si="1146"/>
        <v>1.504</v>
      </c>
      <c r="Y190" s="53"/>
      <c r="Z190" s="53"/>
      <c r="AA190" s="107">
        <f t="shared" ref="AA190:AB190" si="1172">AA189</f>
        <v>10.015000000000001</v>
      </c>
      <c r="AB190" s="108" t="str">
        <f t="shared" si="1172"/>
        <v>22,10,090</v>
      </c>
      <c r="AC190" s="11" t="str">
        <f t="shared" si="900"/>
        <v>22</v>
      </c>
      <c r="AD190" s="11" t="str">
        <f t="shared" si="901"/>
        <v>10,090</v>
      </c>
      <c r="AE190" s="11">
        <f t="shared" si="902"/>
        <v>0.36946944444444441</v>
      </c>
      <c r="AF190" s="14">
        <f t="shared" si="903"/>
        <v>27.106436406558959</v>
      </c>
      <c r="AG190" s="41">
        <f t="shared" si="904"/>
        <v>-100</v>
      </c>
      <c r="AH190" s="105">
        <f t="shared" si="1154"/>
        <v>20.3</v>
      </c>
      <c r="AI190" s="105">
        <f t="shared" si="1154"/>
        <v>1.5089999999999999</v>
      </c>
      <c r="AJ190" s="105">
        <f t="shared" si="1154"/>
        <v>1.504</v>
      </c>
      <c r="AK190" s="53">
        <f t="shared" si="905"/>
        <v>0</v>
      </c>
      <c r="AL190" s="53"/>
      <c r="AM190" s="54">
        <f t="shared" ref="AM190:AN190" si="1173">AM189</f>
        <v>5.0129999999999999</v>
      </c>
      <c r="AN190" s="101" t="str">
        <f t="shared" si="1173"/>
        <v>17,59,050</v>
      </c>
      <c r="AO190" s="11" t="str">
        <f t="shared" si="907"/>
        <v>17</v>
      </c>
      <c r="AP190" s="11" t="str">
        <f t="shared" si="908"/>
        <v>59,050</v>
      </c>
      <c r="AQ190" s="11">
        <f t="shared" si="909"/>
        <v>0.29973611111111109</v>
      </c>
      <c r="AR190" s="14">
        <f t="shared" si="910"/>
        <v>16.724711551827998</v>
      </c>
      <c r="AS190" s="41">
        <f t="shared" si="911"/>
        <v>-100</v>
      </c>
      <c r="AT190" s="43" t="str">
        <f t="shared" si="912"/>
        <v>NO CONFORME</v>
      </c>
      <c r="AU190" s="8" t="b">
        <f t="shared" si="834"/>
        <v>1</v>
      </c>
      <c r="AV190" s="8" t="b">
        <f t="shared" si="835"/>
        <v>0</v>
      </c>
      <c r="AW190" s="8" t="b">
        <f t="shared" si="836"/>
        <v>1</v>
      </c>
      <c r="AX190" s="8" t="str">
        <f t="shared" si="837"/>
        <v>Qcorrecto</v>
      </c>
      <c r="AY190" s="22" t="str">
        <f t="shared" si="817"/>
        <v>aceptable</v>
      </c>
      <c r="AZ190" s="22" t="str">
        <f t="shared" si="818"/>
        <v>aceptable</v>
      </c>
      <c r="BA190" s="22" t="str">
        <f t="shared" si="838"/>
        <v>aceptable</v>
      </c>
      <c r="BB190" s="25" t="str">
        <f t="shared" si="839"/>
        <v>NO CONFORME</v>
      </c>
      <c r="BC190" s="5" t="str">
        <f t="shared" si="840"/>
        <v>NO CONFORME</v>
      </c>
      <c r="BD190" s="15">
        <f t="shared" si="819"/>
        <v>-1</v>
      </c>
      <c r="BE190" s="15">
        <f t="shared" si="820"/>
        <v>-1</v>
      </c>
      <c r="BF190" s="15">
        <f t="shared" si="821"/>
        <v>-1</v>
      </c>
      <c r="BG190" s="15" t="str">
        <f t="shared" si="822"/>
        <v>-1-1-1</v>
      </c>
      <c r="BH190" s="15" t="str">
        <f t="shared" si="823"/>
        <v>SD</v>
      </c>
      <c r="BI190" s="15" t="str">
        <f t="shared" si="824"/>
        <v>SI</v>
      </c>
      <c r="BJ190" s="15" t="b">
        <f t="shared" si="825"/>
        <v>1</v>
      </c>
      <c r="BK190" s="15" t="str">
        <f t="shared" si="826"/>
        <v>SIGIGUALES</v>
      </c>
      <c r="BL190" s="22" t="str">
        <f t="shared" si="827"/>
        <v>NO CONFORME</v>
      </c>
    </row>
    <row r="191" spans="1:64" ht="15.75" thickBot="1" x14ac:dyDescent="0.3">
      <c r="A191" s="37">
        <v>183</v>
      </c>
      <c r="B191" s="93">
        <f t="shared" ref="B191:E191" si="1174">B190</f>
        <v>45919</v>
      </c>
      <c r="C191" s="93">
        <f t="shared" si="1174"/>
        <v>45919</v>
      </c>
      <c r="D191" s="94">
        <f t="shared" si="1174"/>
        <v>6</v>
      </c>
      <c r="E191" s="95">
        <f t="shared" si="1174"/>
        <v>15</v>
      </c>
      <c r="F191" s="52"/>
      <c r="G191" s="96"/>
      <c r="H191" s="97">
        <f t="shared" ref="H191:L191" si="1175">H190</f>
        <v>25.6</v>
      </c>
      <c r="I191" s="98">
        <f t="shared" si="1175"/>
        <v>0</v>
      </c>
      <c r="J191" s="99">
        <f t="shared" si="1175"/>
        <v>20.9</v>
      </c>
      <c r="K191" s="99">
        <f t="shared" si="1175"/>
        <v>7.883</v>
      </c>
      <c r="L191" s="99">
        <f t="shared" si="1175"/>
        <v>0.55400000000000005</v>
      </c>
      <c r="M191" s="53"/>
      <c r="N191" s="53"/>
      <c r="O191" s="100">
        <f t="shared" ref="O191:P191" si="1176">O190</f>
        <v>100.62</v>
      </c>
      <c r="P191" s="101" t="str">
        <f t="shared" si="1176"/>
        <v>2,29,560</v>
      </c>
      <c r="Q191" s="11" t="str">
        <f t="shared" si="893"/>
        <v>2</v>
      </c>
      <c r="R191" s="11" t="str">
        <f t="shared" si="894"/>
        <v>29,560</v>
      </c>
      <c r="S191" s="11">
        <f t="shared" si="895"/>
        <v>4.1544444444444446E-2</v>
      </c>
      <c r="T191" s="14">
        <f t="shared" si="896"/>
        <v>2421.9844878309709</v>
      </c>
      <c r="U191" s="39">
        <f t="shared" si="897"/>
        <v>-100</v>
      </c>
      <c r="V191" s="105">
        <f t="shared" ref="V191:W191" si="1177">V190</f>
        <v>20.399999999999999</v>
      </c>
      <c r="W191" s="105">
        <f t="shared" si="1177"/>
        <v>1.5069999999999999</v>
      </c>
      <c r="X191" s="106">
        <f t="shared" si="1146"/>
        <v>1.504</v>
      </c>
      <c r="Y191" s="53"/>
      <c r="Z191" s="53"/>
      <c r="AA191" s="107">
        <f t="shared" ref="AA191:AB191" si="1178">AA190</f>
        <v>10.015000000000001</v>
      </c>
      <c r="AB191" s="108" t="str">
        <f t="shared" si="1178"/>
        <v>22,10,090</v>
      </c>
      <c r="AC191" s="11" t="str">
        <f t="shared" si="900"/>
        <v>22</v>
      </c>
      <c r="AD191" s="11" t="str">
        <f t="shared" si="901"/>
        <v>10,090</v>
      </c>
      <c r="AE191" s="11">
        <f t="shared" si="902"/>
        <v>0.36946944444444441</v>
      </c>
      <c r="AF191" s="14">
        <f t="shared" si="903"/>
        <v>27.106436406558959</v>
      </c>
      <c r="AG191" s="41">
        <f t="shared" si="904"/>
        <v>-100</v>
      </c>
      <c r="AH191" s="105">
        <f t="shared" si="1154"/>
        <v>20.3</v>
      </c>
      <c r="AI191" s="105">
        <f t="shared" si="1154"/>
        <v>1.5089999999999999</v>
      </c>
      <c r="AJ191" s="105">
        <f t="shared" si="1154"/>
        <v>1.504</v>
      </c>
      <c r="AK191" s="53">
        <f t="shared" si="905"/>
        <v>0</v>
      </c>
      <c r="AL191" s="53"/>
      <c r="AM191" s="54">
        <f t="shared" ref="AM191:AN191" si="1179">AM190</f>
        <v>5.0129999999999999</v>
      </c>
      <c r="AN191" s="101" t="str">
        <f t="shared" si="1179"/>
        <v>17,59,050</v>
      </c>
      <c r="AO191" s="11" t="str">
        <f t="shared" si="907"/>
        <v>17</v>
      </c>
      <c r="AP191" s="11" t="str">
        <f t="shared" si="908"/>
        <v>59,050</v>
      </c>
      <c r="AQ191" s="11">
        <f t="shared" si="909"/>
        <v>0.29973611111111109</v>
      </c>
      <c r="AR191" s="14">
        <f t="shared" si="910"/>
        <v>16.724711551827998</v>
      </c>
      <c r="AS191" s="41">
        <f t="shared" si="911"/>
        <v>-100</v>
      </c>
      <c r="AT191" s="43" t="str">
        <f t="shared" si="912"/>
        <v>NO CONFORME</v>
      </c>
      <c r="AU191" s="8" t="b">
        <f t="shared" si="834"/>
        <v>1</v>
      </c>
      <c r="AV191" s="8" t="b">
        <f t="shared" si="835"/>
        <v>0</v>
      </c>
      <c r="AW191" s="8" t="b">
        <f t="shared" si="836"/>
        <v>1</v>
      </c>
      <c r="AX191" s="8" t="str">
        <f t="shared" si="837"/>
        <v>Qcorrecto</v>
      </c>
      <c r="AY191" s="22" t="str">
        <f t="shared" si="817"/>
        <v>aceptable</v>
      </c>
      <c r="AZ191" s="22" t="str">
        <f t="shared" si="818"/>
        <v>aceptable</v>
      </c>
      <c r="BA191" s="22" t="str">
        <f t="shared" si="838"/>
        <v>aceptable</v>
      </c>
      <c r="BB191" s="25" t="str">
        <f t="shared" si="839"/>
        <v>NO CONFORME</v>
      </c>
      <c r="BC191" s="5" t="str">
        <f t="shared" si="840"/>
        <v>NO CONFORME</v>
      </c>
      <c r="BD191" s="15">
        <f t="shared" si="819"/>
        <v>-1</v>
      </c>
      <c r="BE191" s="15">
        <f t="shared" si="820"/>
        <v>-1</v>
      </c>
      <c r="BF191" s="15">
        <f t="shared" si="821"/>
        <v>-1</v>
      </c>
      <c r="BG191" s="15" t="str">
        <f t="shared" si="822"/>
        <v>-1-1-1</v>
      </c>
      <c r="BH191" s="15" t="str">
        <f t="shared" si="823"/>
        <v>SD</v>
      </c>
      <c r="BI191" s="15" t="str">
        <f t="shared" si="824"/>
        <v>SI</v>
      </c>
      <c r="BJ191" s="15" t="b">
        <f t="shared" si="825"/>
        <v>1</v>
      </c>
      <c r="BK191" s="15" t="str">
        <f t="shared" si="826"/>
        <v>SIGIGUALES</v>
      </c>
      <c r="BL191" s="22" t="str">
        <f t="shared" si="827"/>
        <v>NO CONFORME</v>
      </c>
    </row>
    <row r="192" spans="1:64" ht="15.75" thickBot="1" x14ac:dyDescent="0.3">
      <c r="A192" s="37">
        <v>184</v>
      </c>
      <c r="B192" s="93">
        <f t="shared" ref="B192:E192" si="1180">B191</f>
        <v>45919</v>
      </c>
      <c r="C192" s="93">
        <f t="shared" si="1180"/>
        <v>45919</v>
      </c>
      <c r="D192" s="94">
        <f t="shared" si="1180"/>
        <v>6</v>
      </c>
      <c r="E192" s="95">
        <f t="shared" si="1180"/>
        <v>15</v>
      </c>
      <c r="F192" s="52"/>
      <c r="G192" s="96"/>
      <c r="H192" s="97">
        <f t="shared" ref="H192:L192" si="1181">H191</f>
        <v>25.6</v>
      </c>
      <c r="I192" s="98">
        <f t="shared" si="1181"/>
        <v>0</v>
      </c>
      <c r="J192" s="99">
        <f t="shared" si="1181"/>
        <v>20.9</v>
      </c>
      <c r="K192" s="99">
        <f t="shared" si="1181"/>
        <v>7.883</v>
      </c>
      <c r="L192" s="99">
        <f t="shared" si="1181"/>
        <v>0.55400000000000005</v>
      </c>
      <c r="M192" s="53"/>
      <c r="N192" s="53"/>
      <c r="O192" s="100">
        <f t="shared" ref="O192:P192" si="1182">O191</f>
        <v>100.62</v>
      </c>
      <c r="P192" s="101" t="str">
        <f t="shared" si="1182"/>
        <v>2,29,560</v>
      </c>
      <c r="Q192" s="11" t="str">
        <f t="shared" si="893"/>
        <v>2</v>
      </c>
      <c r="R192" s="11" t="str">
        <f t="shared" si="894"/>
        <v>29,560</v>
      </c>
      <c r="S192" s="11">
        <f t="shared" si="895"/>
        <v>4.1544444444444446E-2</v>
      </c>
      <c r="T192" s="14">
        <f t="shared" si="896"/>
        <v>2421.9844878309709</v>
      </c>
      <c r="U192" s="39">
        <f t="shared" si="897"/>
        <v>-100</v>
      </c>
      <c r="V192" s="105">
        <f t="shared" ref="V192:W192" si="1183">V191</f>
        <v>20.399999999999999</v>
      </c>
      <c r="W192" s="105">
        <f t="shared" si="1183"/>
        <v>1.5069999999999999</v>
      </c>
      <c r="X192" s="106">
        <f t="shared" si="1146"/>
        <v>1.504</v>
      </c>
      <c r="Y192" s="53"/>
      <c r="Z192" s="53"/>
      <c r="AA192" s="107">
        <f t="shared" ref="AA192:AB192" si="1184">AA191</f>
        <v>10.015000000000001</v>
      </c>
      <c r="AB192" s="108" t="str">
        <f t="shared" si="1184"/>
        <v>22,10,090</v>
      </c>
      <c r="AC192" s="11" t="str">
        <f t="shared" si="900"/>
        <v>22</v>
      </c>
      <c r="AD192" s="11" t="str">
        <f t="shared" si="901"/>
        <v>10,090</v>
      </c>
      <c r="AE192" s="11">
        <f t="shared" si="902"/>
        <v>0.36946944444444441</v>
      </c>
      <c r="AF192" s="14">
        <f t="shared" si="903"/>
        <v>27.106436406558959</v>
      </c>
      <c r="AG192" s="41">
        <f t="shared" si="904"/>
        <v>-100</v>
      </c>
      <c r="AH192" s="105">
        <f t="shared" si="1154"/>
        <v>20.3</v>
      </c>
      <c r="AI192" s="105">
        <f t="shared" si="1154"/>
        <v>1.5089999999999999</v>
      </c>
      <c r="AJ192" s="105">
        <f t="shared" si="1154"/>
        <v>1.504</v>
      </c>
      <c r="AK192" s="53">
        <f t="shared" si="905"/>
        <v>0</v>
      </c>
      <c r="AL192" s="53"/>
      <c r="AM192" s="54">
        <f t="shared" ref="AM192:AN192" si="1185">AM191</f>
        <v>5.0129999999999999</v>
      </c>
      <c r="AN192" s="101" t="str">
        <f t="shared" si="1185"/>
        <v>17,59,050</v>
      </c>
      <c r="AO192" s="11" t="str">
        <f t="shared" si="907"/>
        <v>17</v>
      </c>
      <c r="AP192" s="11" t="str">
        <f t="shared" si="908"/>
        <v>59,050</v>
      </c>
      <c r="AQ192" s="11">
        <f t="shared" si="909"/>
        <v>0.29973611111111109</v>
      </c>
      <c r="AR192" s="14">
        <f t="shared" si="910"/>
        <v>16.724711551827998</v>
      </c>
      <c r="AS192" s="41">
        <f t="shared" si="911"/>
        <v>-100</v>
      </c>
      <c r="AT192" s="43" t="str">
        <f t="shared" si="912"/>
        <v>NO CONFORME</v>
      </c>
      <c r="AU192" s="8" t="b">
        <f t="shared" si="834"/>
        <v>1</v>
      </c>
      <c r="AV192" s="8" t="b">
        <f t="shared" si="835"/>
        <v>0</v>
      </c>
      <c r="AW192" s="8" t="b">
        <f t="shared" si="836"/>
        <v>1</v>
      </c>
      <c r="AX192" s="8" t="str">
        <f t="shared" si="837"/>
        <v>Qcorrecto</v>
      </c>
      <c r="AY192" s="22" t="str">
        <f t="shared" si="817"/>
        <v>aceptable</v>
      </c>
      <c r="AZ192" s="22" t="str">
        <f t="shared" si="818"/>
        <v>aceptable</v>
      </c>
      <c r="BA192" s="22" t="str">
        <f t="shared" si="838"/>
        <v>aceptable</v>
      </c>
      <c r="BB192" s="25" t="str">
        <f t="shared" si="839"/>
        <v>NO CONFORME</v>
      </c>
      <c r="BC192" s="5" t="str">
        <f t="shared" si="840"/>
        <v>NO CONFORME</v>
      </c>
      <c r="BD192" s="15">
        <f t="shared" si="819"/>
        <v>-1</v>
      </c>
      <c r="BE192" s="15">
        <f t="shared" si="820"/>
        <v>-1</v>
      </c>
      <c r="BF192" s="15">
        <f t="shared" si="821"/>
        <v>-1</v>
      </c>
      <c r="BG192" s="15" t="str">
        <f t="shared" si="822"/>
        <v>-1-1-1</v>
      </c>
      <c r="BH192" s="15" t="str">
        <f t="shared" si="823"/>
        <v>SD</v>
      </c>
      <c r="BI192" s="15" t="str">
        <f t="shared" si="824"/>
        <v>SI</v>
      </c>
      <c r="BJ192" s="15" t="b">
        <f t="shared" si="825"/>
        <v>1</v>
      </c>
      <c r="BK192" s="15" t="str">
        <f t="shared" si="826"/>
        <v>SIGIGUALES</v>
      </c>
      <c r="BL192" s="22" t="str">
        <f t="shared" si="827"/>
        <v>NO CONFORME</v>
      </c>
    </row>
    <row r="193" spans="1:64" ht="15.75" thickBot="1" x14ac:dyDescent="0.3">
      <c r="A193" s="37">
        <v>185</v>
      </c>
      <c r="B193" s="93">
        <f t="shared" ref="B193:E193" si="1186">B192</f>
        <v>45919</v>
      </c>
      <c r="C193" s="93">
        <f t="shared" si="1186"/>
        <v>45919</v>
      </c>
      <c r="D193" s="94">
        <f t="shared" si="1186"/>
        <v>6</v>
      </c>
      <c r="E193" s="95">
        <f t="shared" si="1186"/>
        <v>15</v>
      </c>
      <c r="F193" s="52"/>
      <c r="G193" s="96"/>
      <c r="H193" s="97">
        <f t="shared" ref="H193:L193" si="1187">H192</f>
        <v>25.6</v>
      </c>
      <c r="I193" s="98">
        <f t="shared" si="1187"/>
        <v>0</v>
      </c>
      <c r="J193" s="99">
        <f t="shared" si="1187"/>
        <v>20.9</v>
      </c>
      <c r="K193" s="99">
        <f t="shared" si="1187"/>
        <v>7.883</v>
      </c>
      <c r="L193" s="99">
        <f t="shared" si="1187"/>
        <v>0.55400000000000005</v>
      </c>
      <c r="M193" s="53"/>
      <c r="N193" s="53"/>
      <c r="O193" s="100">
        <f t="shared" ref="O193:P193" si="1188">O192</f>
        <v>100.62</v>
      </c>
      <c r="P193" s="101" t="str">
        <f t="shared" si="1188"/>
        <v>2,29,560</v>
      </c>
      <c r="Q193" s="11" t="str">
        <f t="shared" si="893"/>
        <v>2</v>
      </c>
      <c r="R193" s="11" t="str">
        <f t="shared" si="894"/>
        <v>29,560</v>
      </c>
      <c r="S193" s="11">
        <f t="shared" si="895"/>
        <v>4.1544444444444446E-2</v>
      </c>
      <c r="T193" s="14">
        <f t="shared" si="896"/>
        <v>2421.9844878309709</v>
      </c>
      <c r="U193" s="39">
        <f t="shared" si="897"/>
        <v>-100</v>
      </c>
      <c r="V193" s="105">
        <f t="shared" ref="V193:W193" si="1189">V192</f>
        <v>20.399999999999999</v>
      </c>
      <c r="W193" s="105">
        <f t="shared" si="1189"/>
        <v>1.5069999999999999</v>
      </c>
      <c r="X193" s="106">
        <f t="shared" si="1146"/>
        <v>1.504</v>
      </c>
      <c r="Y193" s="53"/>
      <c r="Z193" s="53"/>
      <c r="AA193" s="107">
        <f t="shared" ref="AA193:AB193" si="1190">AA192</f>
        <v>10.015000000000001</v>
      </c>
      <c r="AB193" s="108" t="str">
        <f t="shared" si="1190"/>
        <v>22,10,090</v>
      </c>
      <c r="AC193" s="11" t="str">
        <f t="shared" si="900"/>
        <v>22</v>
      </c>
      <c r="AD193" s="11" t="str">
        <f t="shared" si="901"/>
        <v>10,090</v>
      </c>
      <c r="AE193" s="11">
        <f t="shared" si="902"/>
        <v>0.36946944444444441</v>
      </c>
      <c r="AF193" s="14">
        <f t="shared" si="903"/>
        <v>27.106436406558959</v>
      </c>
      <c r="AG193" s="41">
        <f t="shared" si="904"/>
        <v>-100</v>
      </c>
      <c r="AH193" s="105">
        <f t="shared" si="1154"/>
        <v>20.3</v>
      </c>
      <c r="AI193" s="105">
        <f t="shared" si="1154"/>
        <v>1.5089999999999999</v>
      </c>
      <c r="AJ193" s="105">
        <f t="shared" si="1154"/>
        <v>1.504</v>
      </c>
      <c r="AK193" s="53">
        <f t="shared" si="905"/>
        <v>0</v>
      </c>
      <c r="AL193" s="53"/>
      <c r="AM193" s="54">
        <f t="shared" ref="AM193:AN193" si="1191">AM192</f>
        <v>5.0129999999999999</v>
      </c>
      <c r="AN193" s="101" t="str">
        <f t="shared" si="1191"/>
        <v>17,59,050</v>
      </c>
      <c r="AO193" s="11" t="str">
        <f t="shared" si="907"/>
        <v>17</v>
      </c>
      <c r="AP193" s="11" t="str">
        <f t="shared" si="908"/>
        <v>59,050</v>
      </c>
      <c r="AQ193" s="11">
        <f t="shared" si="909"/>
        <v>0.29973611111111109</v>
      </c>
      <c r="AR193" s="14">
        <f t="shared" si="910"/>
        <v>16.724711551827998</v>
      </c>
      <c r="AS193" s="41">
        <f t="shared" si="911"/>
        <v>-100</v>
      </c>
      <c r="AT193" s="43" t="str">
        <f t="shared" si="912"/>
        <v>NO CONFORME</v>
      </c>
      <c r="AU193" s="8" t="b">
        <f t="shared" si="834"/>
        <v>1</v>
      </c>
      <c r="AV193" s="8" t="b">
        <f t="shared" si="835"/>
        <v>0</v>
      </c>
      <c r="AW193" s="8" t="b">
        <f t="shared" si="836"/>
        <v>1</v>
      </c>
      <c r="AX193" s="8" t="str">
        <f t="shared" si="837"/>
        <v>Qcorrecto</v>
      </c>
      <c r="AY193" s="22" t="str">
        <f t="shared" si="817"/>
        <v>aceptable</v>
      </c>
      <c r="AZ193" s="22" t="str">
        <f t="shared" si="818"/>
        <v>aceptable</v>
      </c>
      <c r="BA193" s="22" t="str">
        <f t="shared" si="838"/>
        <v>aceptable</v>
      </c>
      <c r="BB193" s="25" t="str">
        <f t="shared" si="839"/>
        <v>NO CONFORME</v>
      </c>
      <c r="BC193" s="5" t="str">
        <f t="shared" si="840"/>
        <v>NO CONFORME</v>
      </c>
      <c r="BD193" s="15">
        <f t="shared" si="819"/>
        <v>-1</v>
      </c>
      <c r="BE193" s="15">
        <f t="shared" si="820"/>
        <v>-1</v>
      </c>
      <c r="BF193" s="15">
        <f t="shared" si="821"/>
        <v>-1</v>
      </c>
      <c r="BG193" s="15" t="str">
        <f t="shared" si="822"/>
        <v>-1-1-1</v>
      </c>
      <c r="BH193" s="15" t="str">
        <f t="shared" si="823"/>
        <v>SD</v>
      </c>
      <c r="BI193" s="15" t="str">
        <f t="shared" si="824"/>
        <v>SI</v>
      </c>
      <c r="BJ193" s="15" t="b">
        <f t="shared" si="825"/>
        <v>1</v>
      </c>
      <c r="BK193" s="15" t="str">
        <f t="shared" si="826"/>
        <v>SIGIGUALES</v>
      </c>
      <c r="BL193" s="22" t="str">
        <f t="shared" si="827"/>
        <v>NO CONFORME</v>
      </c>
    </row>
    <row r="194" spans="1:64" ht="15.75" thickBot="1" x14ac:dyDescent="0.3">
      <c r="A194" s="37">
        <v>186</v>
      </c>
      <c r="B194" s="93">
        <f t="shared" ref="B194:E194" si="1192">B193</f>
        <v>45919</v>
      </c>
      <c r="C194" s="93">
        <f t="shared" si="1192"/>
        <v>45919</v>
      </c>
      <c r="D194" s="94">
        <f t="shared" si="1192"/>
        <v>6</v>
      </c>
      <c r="E194" s="95">
        <f t="shared" si="1192"/>
        <v>15</v>
      </c>
      <c r="F194" s="52"/>
      <c r="G194" s="96"/>
      <c r="H194" s="97">
        <f t="shared" ref="H194:L194" si="1193">H193</f>
        <v>25.6</v>
      </c>
      <c r="I194" s="98">
        <f t="shared" si="1193"/>
        <v>0</v>
      </c>
      <c r="J194" s="99">
        <f t="shared" si="1193"/>
        <v>20.9</v>
      </c>
      <c r="K194" s="99">
        <f t="shared" si="1193"/>
        <v>7.883</v>
      </c>
      <c r="L194" s="99">
        <f t="shared" si="1193"/>
        <v>0.55400000000000005</v>
      </c>
      <c r="M194" s="53"/>
      <c r="N194" s="53"/>
      <c r="O194" s="100">
        <f t="shared" ref="O194:P194" si="1194">O193</f>
        <v>100.62</v>
      </c>
      <c r="P194" s="101" t="str">
        <f t="shared" si="1194"/>
        <v>2,29,560</v>
      </c>
      <c r="Q194" s="11" t="str">
        <f t="shared" si="893"/>
        <v>2</v>
      </c>
      <c r="R194" s="11" t="str">
        <f t="shared" si="894"/>
        <v>29,560</v>
      </c>
      <c r="S194" s="11">
        <f t="shared" si="895"/>
        <v>4.1544444444444446E-2</v>
      </c>
      <c r="T194" s="14">
        <f t="shared" si="896"/>
        <v>2421.9844878309709</v>
      </c>
      <c r="U194" s="39">
        <f t="shared" si="897"/>
        <v>-100</v>
      </c>
      <c r="V194" s="105">
        <f t="shared" ref="V194:W194" si="1195">V193</f>
        <v>20.399999999999999</v>
      </c>
      <c r="W194" s="105">
        <f t="shared" si="1195"/>
        <v>1.5069999999999999</v>
      </c>
      <c r="X194" s="106">
        <f t="shared" si="1146"/>
        <v>1.504</v>
      </c>
      <c r="Y194" s="53"/>
      <c r="Z194" s="53"/>
      <c r="AA194" s="107">
        <f t="shared" ref="AA194:AB194" si="1196">AA193</f>
        <v>10.015000000000001</v>
      </c>
      <c r="AB194" s="108" t="str">
        <f t="shared" si="1196"/>
        <v>22,10,090</v>
      </c>
      <c r="AC194" s="11" t="str">
        <f t="shared" si="900"/>
        <v>22</v>
      </c>
      <c r="AD194" s="11" t="str">
        <f t="shared" si="901"/>
        <v>10,090</v>
      </c>
      <c r="AE194" s="11">
        <f t="shared" si="902"/>
        <v>0.36946944444444441</v>
      </c>
      <c r="AF194" s="14">
        <f t="shared" si="903"/>
        <v>27.106436406558959</v>
      </c>
      <c r="AG194" s="41">
        <f t="shared" si="904"/>
        <v>-100</v>
      </c>
      <c r="AH194" s="105">
        <f t="shared" si="1154"/>
        <v>20.3</v>
      </c>
      <c r="AI194" s="105">
        <f t="shared" si="1154"/>
        <v>1.5089999999999999</v>
      </c>
      <c r="AJ194" s="105">
        <f t="shared" si="1154"/>
        <v>1.504</v>
      </c>
      <c r="AK194" s="53">
        <f t="shared" si="905"/>
        <v>0</v>
      </c>
      <c r="AL194" s="53"/>
      <c r="AM194" s="54">
        <f t="shared" ref="AM194:AN194" si="1197">AM193</f>
        <v>5.0129999999999999</v>
      </c>
      <c r="AN194" s="101" t="str">
        <f t="shared" si="1197"/>
        <v>17,59,050</v>
      </c>
      <c r="AO194" s="11" t="str">
        <f t="shared" si="907"/>
        <v>17</v>
      </c>
      <c r="AP194" s="11" t="str">
        <f t="shared" si="908"/>
        <v>59,050</v>
      </c>
      <c r="AQ194" s="11">
        <f t="shared" si="909"/>
        <v>0.29973611111111109</v>
      </c>
      <c r="AR194" s="14">
        <f t="shared" si="910"/>
        <v>16.724711551827998</v>
      </c>
      <c r="AS194" s="41">
        <f t="shared" si="911"/>
        <v>-100</v>
      </c>
      <c r="AT194" s="43" t="str">
        <f t="shared" si="912"/>
        <v>NO CONFORME</v>
      </c>
      <c r="AU194" s="8" t="b">
        <f t="shared" si="834"/>
        <v>1</v>
      </c>
      <c r="AV194" s="8" t="b">
        <f t="shared" si="835"/>
        <v>0</v>
      </c>
      <c r="AW194" s="8" t="b">
        <f t="shared" si="836"/>
        <v>1</v>
      </c>
      <c r="AX194" s="8" t="str">
        <f t="shared" si="837"/>
        <v>Qcorrecto</v>
      </c>
      <c r="AY194" s="22" t="str">
        <f t="shared" si="817"/>
        <v>aceptable</v>
      </c>
      <c r="AZ194" s="22" t="str">
        <f t="shared" si="818"/>
        <v>aceptable</v>
      </c>
      <c r="BA194" s="22" t="str">
        <f t="shared" si="838"/>
        <v>aceptable</v>
      </c>
      <c r="BB194" s="25" t="str">
        <f t="shared" si="839"/>
        <v>NO CONFORME</v>
      </c>
      <c r="BC194" s="5" t="str">
        <f t="shared" si="840"/>
        <v>NO CONFORME</v>
      </c>
      <c r="BD194" s="15">
        <f t="shared" si="819"/>
        <v>-1</v>
      </c>
      <c r="BE194" s="15">
        <f t="shared" si="820"/>
        <v>-1</v>
      </c>
      <c r="BF194" s="15">
        <f t="shared" si="821"/>
        <v>-1</v>
      </c>
      <c r="BG194" s="15" t="str">
        <f t="shared" si="822"/>
        <v>-1-1-1</v>
      </c>
      <c r="BH194" s="15" t="str">
        <f t="shared" si="823"/>
        <v>SD</v>
      </c>
      <c r="BI194" s="15" t="str">
        <f t="shared" si="824"/>
        <v>SI</v>
      </c>
      <c r="BJ194" s="15" t="b">
        <f t="shared" si="825"/>
        <v>1</v>
      </c>
      <c r="BK194" s="15" t="str">
        <f t="shared" si="826"/>
        <v>SIGIGUALES</v>
      </c>
      <c r="BL194" s="22" t="str">
        <f t="shared" si="827"/>
        <v>NO CONFORME</v>
      </c>
    </row>
    <row r="195" spans="1:64" ht="15.75" thickBot="1" x14ac:dyDescent="0.3">
      <c r="A195" s="37">
        <v>187</v>
      </c>
      <c r="B195" s="93">
        <f t="shared" ref="B195:E195" si="1198">B194</f>
        <v>45919</v>
      </c>
      <c r="C195" s="93">
        <f t="shared" si="1198"/>
        <v>45919</v>
      </c>
      <c r="D195" s="94">
        <f t="shared" si="1198"/>
        <v>6</v>
      </c>
      <c r="E195" s="95">
        <f t="shared" si="1198"/>
        <v>15</v>
      </c>
      <c r="F195" s="52"/>
      <c r="G195" s="96"/>
      <c r="H195" s="97">
        <f t="shared" ref="H195:L195" si="1199">H194</f>
        <v>25.6</v>
      </c>
      <c r="I195" s="98">
        <f t="shared" si="1199"/>
        <v>0</v>
      </c>
      <c r="J195" s="99">
        <f t="shared" si="1199"/>
        <v>20.9</v>
      </c>
      <c r="K195" s="99">
        <f t="shared" si="1199"/>
        <v>7.883</v>
      </c>
      <c r="L195" s="99">
        <f t="shared" si="1199"/>
        <v>0.55400000000000005</v>
      </c>
      <c r="M195" s="53"/>
      <c r="N195" s="53"/>
      <c r="O195" s="100">
        <f t="shared" ref="O195:P195" si="1200">O194</f>
        <v>100.62</v>
      </c>
      <c r="P195" s="101" t="str">
        <f t="shared" si="1200"/>
        <v>2,29,560</v>
      </c>
      <c r="Q195" s="11" t="str">
        <f t="shared" si="893"/>
        <v>2</v>
      </c>
      <c r="R195" s="11" t="str">
        <f t="shared" si="894"/>
        <v>29,560</v>
      </c>
      <c r="S195" s="11">
        <f t="shared" si="895"/>
        <v>4.1544444444444446E-2</v>
      </c>
      <c r="T195" s="14">
        <f t="shared" si="896"/>
        <v>2421.9844878309709</v>
      </c>
      <c r="U195" s="39">
        <f t="shared" si="897"/>
        <v>-100</v>
      </c>
      <c r="V195" s="105">
        <f t="shared" ref="V195:W195" si="1201">V194</f>
        <v>20.399999999999999</v>
      </c>
      <c r="W195" s="105">
        <f t="shared" si="1201"/>
        <v>1.5069999999999999</v>
      </c>
      <c r="X195" s="106">
        <f t="shared" si="1146"/>
        <v>1.504</v>
      </c>
      <c r="Y195" s="53"/>
      <c r="Z195" s="53"/>
      <c r="AA195" s="107">
        <f t="shared" ref="AA195:AB195" si="1202">AA194</f>
        <v>10.015000000000001</v>
      </c>
      <c r="AB195" s="108" t="str">
        <f t="shared" si="1202"/>
        <v>22,10,090</v>
      </c>
      <c r="AC195" s="11" t="str">
        <f t="shared" si="900"/>
        <v>22</v>
      </c>
      <c r="AD195" s="11" t="str">
        <f t="shared" si="901"/>
        <v>10,090</v>
      </c>
      <c r="AE195" s="11">
        <f t="shared" si="902"/>
        <v>0.36946944444444441</v>
      </c>
      <c r="AF195" s="14">
        <f t="shared" si="903"/>
        <v>27.106436406558959</v>
      </c>
      <c r="AG195" s="41">
        <f t="shared" si="904"/>
        <v>-100</v>
      </c>
      <c r="AH195" s="105">
        <f t="shared" si="1154"/>
        <v>20.3</v>
      </c>
      <c r="AI195" s="105">
        <f t="shared" si="1154"/>
        <v>1.5089999999999999</v>
      </c>
      <c r="AJ195" s="105">
        <f t="shared" si="1154"/>
        <v>1.504</v>
      </c>
      <c r="AK195" s="53">
        <f t="shared" si="905"/>
        <v>0</v>
      </c>
      <c r="AL195" s="53"/>
      <c r="AM195" s="54">
        <f t="shared" ref="AM195:AN195" si="1203">AM194</f>
        <v>5.0129999999999999</v>
      </c>
      <c r="AN195" s="101" t="str">
        <f t="shared" si="1203"/>
        <v>17,59,050</v>
      </c>
      <c r="AO195" s="11" t="str">
        <f t="shared" si="907"/>
        <v>17</v>
      </c>
      <c r="AP195" s="11" t="str">
        <f t="shared" si="908"/>
        <v>59,050</v>
      </c>
      <c r="AQ195" s="11">
        <f t="shared" si="909"/>
        <v>0.29973611111111109</v>
      </c>
      <c r="AR195" s="14">
        <f t="shared" si="910"/>
        <v>16.724711551827998</v>
      </c>
      <c r="AS195" s="41">
        <f t="shared" si="911"/>
        <v>-100</v>
      </c>
      <c r="AT195" s="43" t="str">
        <f t="shared" si="912"/>
        <v>NO CONFORME</v>
      </c>
      <c r="AU195" s="8" t="b">
        <f t="shared" si="834"/>
        <v>1</v>
      </c>
      <c r="AV195" s="8" t="b">
        <f t="shared" si="835"/>
        <v>0</v>
      </c>
      <c r="AW195" s="8" t="b">
        <f t="shared" si="836"/>
        <v>1</v>
      </c>
      <c r="AX195" s="8" t="str">
        <f t="shared" si="837"/>
        <v>Qcorrecto</v>
      </c>
      <c r="AY195" s="22" t="str">
        <f t="shared" si="817"/>
        <v>aceptable</v>
      </c>
      <c r="AZ195" s="22" t="str">
        <f t="shared" si="818"/>
        <v>aceptable</v>
      </c>
      <c r="BA195" s="22" t="str">
        <f t="shared" si="838"/>
        <v>aceptable</v>
      </c>
      <c r="BB195" s="25" t="str">
        <f t="shared" si="839"/>
        <v>NO CONFORME</v>
      </c>
      <c r="BC195" s="5" t="str">
        <f t="shared" si="840"/>
        <v>NO CONFORME</v>
      </c>
      <c r="BD195" s="15">
        <f t="shared" si="819"/>
        <v>-1</v>
      </c>
      <c r="BE195" s="15">
        <f t="shared" si="820"/>
        <v>-1</v>
      </c>
      <c r="BF195" s="15">
        <f t="shared" si="821"/>
        <v>-1</v>
      </c>
      <c r="BG195" s="15" t="str">
        <f t="shared" si="822"/>
        <v>-1-1-1</v>
      </c>
      <c r="BH195" s="15" t="str">
        <f t="shared" si="823"/>
        <v>SD</v>
      </c>
      <c r="BI195" s="15" t="str">
        <f t="shared" si="824"/>
        <v>SI</v>
      </c>
      <c r="BJ195" s="15" t="b">
        <f t="shared" si="825"/>
        <v>1</v>
      </c>
      <c r="BK195" s="15" t="str">
        <f t="shared" si="826"/>
        <v>SIGIGUALES</v>
      </c>
      <c r="BL195" s="22" t="str">
        <f t="shared" si="827"/>
        <v>NO CONFORME</v>
      </c>
    </row>
    <row r="196" spans="1:64" ht="15.75" thickBot="1" x14ac:dyDescent="0.3">
      <c r="A196" s="37">
        <v>188</v>
      </c>
      <c r="B196" s="93">
        <f t="shared" ref="B196:E196" si="1204">B195</f>
        <v>45919</v>
      </c>
      <c r="C196" s="93">
        <f t="shared" si="1204"/>
        <v>45919</v>
      </c>
      <c r="D196" s="94">
        <f t="shared" si="1204"/>
        <v>6</v>
      </c>
      <c r="E196" s="95">
        <f t="shared" si="1204"/>
        <v>15</v>
      </c>
      <c r="F196" s="52"/>
      <c r="G196" s="96"/>
      <c r="H196" s="97">
        <f t="shared" ref="H196:L196" si="1205">H195</f>
        <v>25.6</v>
      </c>
      <c r="I196" s="98">
        <f t="shared" si="1205"/>
        <v>0</v>
      </c>
      <c r="J196" s="99">
        <f t="shared" si="1205"/>
        <v>20.9</v>
      </c>
      <c r="K196" s="99">
        <f t="shared" si="1205"/>
        <v>7.883</v>
      </c>
      <c r="L196" s="99">
        <f t="shared" si="1205"/>
        <v>0.55400000000000005</v>
      </c>
      <c r="M196" s="53"/>
      <c r="N196" s="53"/>
      <c r="O196" s="100">
        <f t="shared" ref="O196:P196" si="1206">O195</f>
        <v>100.62</v>
      </c>
      <c r="P196" s="101" t="str">
        <f t="shared" si="1206"/>
        <v>2,29,560</v>
      </c>
      <c r="Q196" s="11" t="str">
        <f t="shared" si="893"/>
        <v>2</v>
      </c>
      <c r="R196" s="11" t="str">
        <f t="shared" si="894"/>
        <v>29,560</v>
      </c>
      <c r="S196" s="11">
        <f t="shared" si="895"/>
        <v>4.1544444444444446E-2</v>
      </c>
      <c r="T196" s="14">
        <f t="shared" si="896"/>
        <v>2421.9844878309709</v>
      </c>
      <c r="U196" s="39">
        <f t="shared" si="897"/>
        <v>-100</v>
      </c>
      <c r="V196" s="105">
        <f t="shared" ref="V196:W196" si="1207">V195</f>
        <v>20.399999999999999</v>
      </c>
      <c r="W196" s="105">
        <f t="shared" si="1207"/>
        <v>1.5069999999999999</v>
      </c>
      <c r="X196" s="106">
        <f t="shared" si="1146"/>
        <v>1.504</v>
      </c>
      <c r="Y196" s="53"/>
      <c r="Z196" s="53"/>
      <c r="AA196" s="107">
        <f t="shared" ref="AA196:AB196" si="1208">AA195</f>
        <v>10.015000000000001</v>
      </c>
      <c r="AB196" s="108" t="str">
        <f t="shared" si="1208"/>
        <v>22,10,090</v>
      </c>
      <c r="AC196" s="11" t="str">
        <f t="shared" si="900"/>
        <v>22</v>
      </c>
      <c r="AD196" s="11" t="str">
        <f t="shared" si="901"/>
        <v>10,090</v>
      </c>
      <c r="AE196" s="11">
        <f t="shared" si="902"/>
        <v>0.36946944444444441</v>
      </c>
      <c r="AF196" s="14">
        <f t="shared" si="903"/>
        <v>27.106436406558959</v>
      </c>
      <c r="AG196" s="41">
        <f t="shared" si="904"/>
        <v>-100</v>
      </c>
      <c r="AH196" s="105">
        <f t="shared" si="1154"/>
        <v>20.3</v>
      </c>
      <c r="AI196" s="105">
        <f t="shared" si="1154"/>
        <v>1.5089999999999999</v>
      </c>
      <c r="AJ196" s="105">
        <f t="shared" si="1154"/>
        <v>1.504</v>
      </c>
      <c r="AK196" s="53">
        <f t="shared" si="905"/>
        <v>0</v>
      </c>
      <c r="AL196" s="53"/>
      <c r="AM196" s="54">
        <f t="shared" ref="AM196:AN196" si="1209">AM195</f>
        <v>5.0129999999999999</v>
      </c>
      <c r="AN196" s="101" t="str">
        <f t="shared" si="1209"/>
        <v>17,59,050</v>
      </c>
      <c r="AO196" s="11" t="str">
        <f t="shared" si="907"/>
        <v>17</v>
      </c>
      <c r="AP196" s="11" t="str">
        <f t="shared" si="908"/>
        <v>59,050</v>
      </c>
      <c r="AQ196" s="11">
        <f t="shared" si="909"/>
        <v>0.29973611111111109</v>
      </c>
      <c r="AR196" s="14">
        <f t="shared" si="910"/>
        <v>16.724711551827998</v>
      </c>
      <c r="AS196" s="41">
        <f t="shared" si="911"/>
        <v>-100</v>
      </c>
      <c r="AT196" s="43" t="str">
        <f t="shared" si="912"/>
        <v>NO CONFORME</v>
      </c>
      <c r="AU196" s="8" t="b">
        <f t="shared" si="834"/>
        <v>1</v>
      </c>
      <c r="AV196" s="8" t="b">
        <f t="shared" si="835"/>
        <v>0</v>
      </c>
      <c r="AW196" s="8" t="b">
        <f t="shared" si="836"/>
        <v>1</v>
      </c>
      <c r="AX196" s="8" t="str">
        <f t="shared" si="837"/>
        <v>Qcorrecto</v>
      </c>
      <c r="AY196" s="22" t="str">
        <f t="shared" si="817"/>
        <v>aceptable</v>
      </c>
      <c r="AZ196" s="22" t="str">
        <f t="shared" si="818"/>
        <v>aceptable</v>
      </c>
      <c r="BA196" s="22" t="str">
        <f t="shared" si="838"/>
        <v>aceptable</v>
      </c>
      <c r="BB196" s="25" t="str">
        <f t="shared" si="839"/>
        <v>NO CONFORME</v>
      </c>
      <c r="BC196" s="5" t="str">
        <f t="shared" si="840"/>
        <v>NO CONFORME</v>
      </c>
      <c r="BD196" s="15">
        <f t="shared" si="819"/>
        <v>-1</v>
      </c>
      <c r="BE196" s="15">
        <f t="shared" si="820"/>
        <v>-1</v>
      </c>
      <c r="BF196" s="15">
        <f t="shared" si="821"/>
        <v>-1</v>
      </c>
      <c r="BG196" s="15" t="str">
        <f t="shared" si="822"/>
        <v>-1-1-1</v>
      </c>
      <c r="BH196" s="15" t="str">
        <f t="shared" si="823"/>
        <v>SD</v>
      </c>
      <c r="BI196" s="15" t="str">
        <f t="shared" si="824"/>
        <v>SI</v>
      </c>
      <c r="BJ196" s="15" t="b">
        <f t="shared" si="825"/>
        <v>1</v>
      </c>
      <c r="BK196" s="15" t="str">
        <f t="shared" si="826"/>
        <v>SIGIGUALES</v>
      </c>
      <c r="BL196" s="22" t="str">
        <f t="shared" si="827"/>
        <v>NO CONFORME</v>
      </c>
    </row>
    <row r="197" spans="1:64" ht="15.75" thickBot="1" x14ac:dyDescent="0.3">
      <c r="A197" s="37">
        <v>189</v>
      </c>
      <c r="B197" s="93">
        <f t="shared" ref="B197:E197" si="1210">B196</f>
        <v>45919</v>
      </c>
      <c r="C197" s="93">
        <f t="shared" si="1210"/>
        <v>45919</v>
      </c>
      <c r="D197" s="94">
        <f t="shared" si="1210"/>
        <v>6</v>
      </c>
      <c r="E197" s="95">
        <f t="shared" si="1210"/>
        <v>15</v>
      </c>
      <c r="F197" s="52"/>
      <c r="G197" s="96"/>
      <c r="H197" s="97">
        <f t="shared" ref="H197:L197" si="1211">H196</f>
        <v>25.6</v>
      </c>
      <c r="I197" s="98">
        <f t="shared" si="1211"/>
        <v>0</v>
      </c>
      <c r="J197" s="99">
        <f t="shared" si="1211"/>
        <v>20.9</v>
      </c>
      <c r="K197" s="99">
        <f t="shared" si="1211"/>
        <v>7.883</v>
      </c>
      <c r="L197" s="99">
        <f t="shared" si="1211"/>
        <v>0.55400000000000005</v>
      </c>
      <c r="M197" s="53"/>
      <c r="N197" s="53"/>
      <c r="O197" s="100">
        <f t="shared" ref="O197:P197" si="1212">O196</f>
        <v>100.62</v>
      </c>
      <c r="P197" s="101" t="str">
        <f t="shared" si="1212"/>
        <v>2,29,560</v>
      </c>
      <c r="Q197" s="11" t="str">
        <f t="shared" si="893"/>
        <v>2</v>
      </c>
      <c r="R197" s="11" t="str">
        <f t="shared" si="894"/>
        <v>29,560</v>
      </c>
      <c r="S197" s="11">
        <f t="shared" si="895"/>
        <v>4.1544444444444446E-2</v>
      </c>
      <c r="T197" s="14">
        <f t="shared" si="896"/>
        <v>2421.9844878309709</v>
      </c>
      <c r="U197" s="39">
        <f t="shared" si="897"/>
        <v>-100</v>
      </c>
      <c r="V197" s="105">
        <f t="shared" ref="V197:W197" si="1213">V196</f>
        <v>20.399999999999999</v>
      </c>
      <c r="W197" s="105">
        <f t="shared" si="1213"/>
        <v>1.5069999999999999</v>
      </c>
      <c r="X197" s="106">
        <f t="shared" si="1146"/>
        <v>1.504</v>
      </c>
      <c r="Y197" s="53"/>
      <c r="Z197" s="53"/>
      <c r="AA197" s="107">
        <f t="shared" ref="AA197:AB197" si="1214">AA196</f>
        <v>10.015000000000001</v>
      </c>
      <c r="AB197" s="108" t="str">
        <f t="shared" si="1214"/>
        <v>22,10,090</v>
      </c>
      <c r="AC197" s="11" t="str">
        <f t="shared" si="900"/>
        <v>22</v>
      </c>
      <c r="AD197" s="11" t="str">
        <f t="shared" si="901"/>
        <v>10,090</v>
      </c>
      <c r="AE197" s="11">
        <f t="shared" si="902"/>
        <v>0.36946944444444441</v>
      </c>
      <c r="AF197" s="14">
        <f t="shared" si="903"/>
        <v>27.106436406558959</v>
      </c>
      <c r="AG197" s="41">
        <f t="shared" si="904"/>
        <v>-100</v>
      </c>
      <c r="AH197" s="105">
        <f t="shared" si="1154"/>
        <v>20.3</v>
      </c>
      <c r="AI197" s="105">
        <f t="shared" si="1154"/>
        <v>1.5089999999999999</v>
      </c>
      <c r="AJ197" s="105">
        <f t="shared" si="1154"/>
        <v>1.504</v>
      </c>
      <c r="AK197" s="53">
        <f t="shared" si="905"/>
        <v>0</v>
      </c>
      <c r="AL197" s="53"/>
      <c r="AM197" s="54">
        <f t="shared" ref="AM197:AN197" si="1215">AM196</f>
        <v>5.0129999999999999</v>
      </c>
      <c r="AN197" s="101" t="str">
        <f t="shared" si="1215"/>
        <v>17,59,050</v>
      </c>
      <c r="AO197" s="11" t="str">
        <f t="shared" si="907"/>
        <v>17</v>
      </c>
      <c r="AP197" s="11" t="str">
        <f t="shared" si="908"/>
        <v>59,050</v>
      </c>
      <c r="AQ197" s="11">
        <f t="shared" si="909"/>
        <v>0.29973611111111109</v>
      </c>
      <c r="AR197" s="14">
        <f t="shared" si="910"/>
        <v>16.724711551827998</v>
      </c>
      <c r="AS197" s="41">
        <f t="shared" si="911"/>
        <v>-100</v>
      </c>
      <c r="AT197" s="43" t="str">
        <f t="shared" si="912"/>
        <v>NO CONFORME</v>
      </c>
      <c r="AU197" s="8" t="b">
        <f t="shared" si="834"/>
        <v>1</v>
      </c>
      <c r="AV197" s="8" t="b">
        <f t="shared" si="835"/>
        <v>0</v>
      </c>
      <c r="AW197" s="8" t="b">
        <f t="shared" si="836"/>
        <v>1</v>
      </c>
      <c r="AX197" s="8" t="str">
        <f t="shared" si="837"/>
        <v>Qcorrecto</v>
      </c>
      <c r="AY197" s="22" t="str">
        <f t="shared" si="817"/>
        <v>aceptable</v>
      </c>
      <c r="AZ197" s="22" t="str">
        <f t="shared" si="818"/>
        <v>aceptable</v>
      </c>
      <c r="BA197" s="22" t="str">
        <f t="shared" si="838"/>
        <v>aceptable</v>
      </c>
      <c r="BB197" s="25" t="str">
        <f t="shared" si="839"/>
        <v>NO CONFORME</v>
      </c>
      <c r="BC197" s="5" t="str">
        <f t="shared" si="840"/>
        <v>NO CONFORME</v>
      </c>
      <c r="BD197" s="15">
        <f t="shared" si="819"/>
        <v>-1</v>
      </c>
      <c r="BE197" s="15">
        <f t="shared" si="820"/>
        <v>-1</v>
      </c>
      <c r="BF197" s="15">
        <f t="shared" si="821"/>
        <v>-1</v>
      </c>
      <c r="BG197" s="15" t="str">
        <f t="shared" si="822"/>
        <v>-1-1-1</v>
      </c>
      <c r="BH197" s="15" t="str">
        <f t="shared" si="823"/>
        <v>SD</v>
      </c>
      <c r="BI197" s="15" t="str">
        <f t="shared" si="824"/>
        <v>SI</v>
      </c>
      <c r="BJ197" s="15" t="b">
        <f t="shared" si="825"/>
        <v>1</v>
      </c>
      <c r="BK197" s="15" t="str">
        <f t="shared" si="826"/>
        <v>SIGIGUALES</v>
      </c>
      <c r="BL197" s="22" t="str">
        <f t="shared" si="827"/>
        <v>NO CONFORME</v>
      </c>
    </row>
    <row r="198" spans="1:64" ht="15.75" thickBot="1" x14ac:dyDescent="0.3">
      <c r="A198" s="37">
        <v>190</v>
      </c>
      <c r="B198" s="93">
        <f t="shared" ref="B198:E198" si="1216">B197</f>
        <v>45919</v>
      </c>
      <c r="C198" s="93">
        <f t="shared" si="1216"/>
        <v>45919</v>
      </c>
      <c r="D198" s="94">
        <f t="shared" si="1216"/>
        <v>6</v>
      </c>
      <c r="E198" s="95">
        <f t="shared" si="1216"/>
        <v>15</v>
      </c>
      <c r="F198" s="52"/>
      <c r="G198" s="96"/>
      <c r="H198" s="97">
        <f t="shared" ref="H198:L198" si="1217">H197</f>
        <v>25.6</v>
      </c>
      <c r="I198" s="98">
        <f t="shared" si="1217"/>
        <v>0</v>
      </c>
      <c r="J198" s="99">
        <f t="shared" si="1217"/>
        <v>20.9</v>
      </c>
      <c r="K198" s="99">
        <f t="shared" si="1217"/>
        <v>7.883</v>
      </c>
      <c r="L198" s="99">
        <f t="shared" si="1217"/>
        <v>0.55400000000000005</v>
      </c>
      <c r="M198" s="53"/>
      <c r="N198" s="53"/>
      <c r="O198" s="100">
        <f t="shared" ref="O198:P198" si="1218">O197</f>
        <v>100.62</v>
      </c>
      <c r="P198" s="101" t="str">
        <f t="shared" si="1218"/>
        <v>2,29,560</v>
      </c>
      <c r="Q198" s="11" t="str">
        <f t="shared" si="893"/>
        <v>2</v>
      </c>
      <c r="R198" s="11" t="str">
        <f t="shared" si="894"/>
        <v>29,560</v>
      </c>
      <c r="S198" s="11">
        <f t="shared" si="895"/>
        <v>4.1544444444444446E-2</v>
      </c>
      <c r="T198" s="14">
        <f t="shared" si="896"/>
        <v>2421.9844878309709</v>
      </c>
      <c r="U198" s="39">
        <f t="shared" si="897"/>
        <v>-100</v>
      </c>
      <c r="V198" s="105">
        <f t="shared" ref="V198:W198" si="1219">V197</f>
        <v>20.399999999999999</v>
      </c>
      <c r="W198" s="105">
        <f t="shared" si="1219"/>
        <v>1.5069999999999999</v>
      </c>
      <c r="X198" s="106">
        <f t="shared" si="1146"/>
        <v>1.504</v>
      </c>
      <c r="Y198" s="53"/>
      <c r="Z198" s="53"/>
      <c r="AA198" s="107">
        <f t="shared" ref="AA198:AB198" si="1220">AA197</f>
        <v>10.015000000000001</v>
      </c>
      <c r="AB198" s="108" t="str">
        <f t="shared" si="1220"/>
        <v>22,10,090</v>
      </c>
      <c r="AC198" s="11" t="str">
        <f t="shared" si="900"/>
        <v>22</v>
      </c>
      <c r="AD198" s="11" t="str">
        <f t="shared" si="901"/>
        <v>10,090</v>
      </c>
      <c r="AE198" s="11">
        <f t="shared" si="902"/>
        <v>0.36946944444444441</v>
      </c>
      <c r="AF198" s="14">
        <f t="shared" si="903"/>
        <v>27.106436406558959</v>
      </c>
      <c r="AG198" s="41">
        <f t="shared" si="904"/>
        <v>-100</v>
      </c>
      <c r="AH198" s="105">
        <f t="shared" si="1154"/>
        <v>20.3</v>
      </c>
      <c r="AI198" s="105">
        <f t="shared" si="1154"/>
        <v>1.5089999999999999</v>
      </c>
      <c r="AJ198" s="105">
        <f t="shared" si="1154"/>
        <v>1.504</v>
      </c>
      <c r="AK198" s="53">
        <f t="shared" si="905"/>
        <v>0</v>
      </c>
      <c r="AL198" s="53"/>
      <c r="AM198" s="54">
        <f t="shared" ref="AM198:AN198" si="1221">AM197</f>
        <v>5.0129999999999999</v>
      </c>
      <c r="AN198" s="101" t="str">
        <f t="shared" si="1221"/>
        <v>17,59,050</v>
      </c>
      <c r="AO198" s="11" t="str">
        <f t="shared" si="907"/>
        <v>17</v>
      </c>
      <c r="AP198" s="11" t="str">
        <f t="shared" si="908"/>
        <v>59,050</v>
      </c>
      <c r="AQ198" s="11">
        <f t="shared" si="909"/>
        <v>0.29973611111111109</v>
      </c>
      <c r="AR198" s="14">
        <f t="shared" si="910"/>
        <v>16.724711551827998</v>
      </c>
      <c r="AS198" s="41">
        <f t="shared" si="911"/>
        <v>-100</v>
      </c>
      <c r="AT198" s="43" t="str">
        <f t="shared" si="912"/>
        <v>NO CONFORME</v>
      </c>
      <c r="AU198" s="8" t="b">
        <f t="shared" si="834"/>
        <v>1</v>
      </c>
      <c r="AV198" s="8" t="b">
        <f t="shared" si="835"/>
        <v>0</v>
      </c>
      <c r="AW198" s="8" t="b">
        <f t="shared" si="836"/>
        <v>1</v>
      </c>
      <c r="AX198" s="8" t="str">
        <f t="shared" si="837"/>
        <v>Qcorrecto</v>
      </c>
      <c r="AY198" s="22" t="str">
        <f t="shared" si="817"/>
        <v>aceptable</v>
      </c>
      <c r="AZ198" s="22" t="str">
        <f t="shared" si="818"/>
        <v>aceptable</v>
      </c>
      <c r="BA198" s="22" t="str">
        <f t="shared" si="838"/>
        <v>aceptable</v>
      </c>
      <c r="BB198" s="25" t="str">
        <f t="shared" si="839"/>
        <v>NO CONFORME</v>
      </c>
      <c r="BC198" s="5" t="str">
        <f t="shared" si="840"/>
        <v>NO CONFORME</v>
      </c>
      <c r="BD198" s="15">
        <f t="shared" si="819"/>
        <v>-1</v>
      </c>
      <c r="BE198" s="15">
        <f t="shared" si="820"/>
        <v>-1</v>
      </c>
      <c r="BF198" s="15">
        <f t="shared" si="821"/>
        <v>-1</v>
      </c>
      <c r="BG198" s="15" t="str">
        <f t="shared" si="822"/>
        <v>-1-1-1</v>
      </c>
      <c r="BH198" s="15" t="str">
        <f t="shared" si="823"/>
        <v>SD</v>
      </c>
      <c r="BI198" s="15" t="str">
        <f t="shared" si="824"/>
        <v>SI</v>
      </c>
      <c r="BJ198" s="15" t="b">
        <f t="shared" si="825"/>
        <v>1</v>
      </c>
      <c r="BK198" s="15" t="str">
        <f t="shared" si="826"/>
        <v>SIGIGUALES</v>
      </c>
      <c r="BL198" s="22" t="str">
        <f t="shared" si="827"/>
        <v>NO CONFORME</v>
      </c>
    </row>
    <row r="199" spans="1:64" ht="15.75" thickBot="1" x14ac:dyDescent="0.3">
      <c r="A199" s="37">
        <v>191</v>
      </c>
      <c r="B199" s="93">
        <f t="shared" ref="B199:E199" si="1222">B198</f>
        <v>45919</v>
      </c>
      <c r="C199" s="93">
        <f t="shared" si="1222"/>
        <v>45919</v>
      </c>
      <c r="D199" s="94">
        <f t="shared" si="1222"/>
        <v>6</v>
      </c>
      <c r="E199" s="95">
        <f t="shared" si="1222"/>
        <v>15</v>
      </c>
      <c r="F199" s="52"/>
      <c r="G199" s="96"/>
      <c r="H199" s="97">
        <f t="shared" ref="H199:L199" si="1223">H198</f>
        <v>25.6</v>
      </c>
      <c r="I199" s="98">
        <f t="shared" si="1223"/>
        <v>0</v>
      </c>
      <c r="J199" s="99">
        <f t="shared" si="1223"/>
        <v>20.9</v>
      </c>
      <c r="K199" s="99">
        <f t="shared" si="1223"/>
        <v>7.883</v>
      </c>
      <c r="L199" s="99">
        <f t="shared" si="1223"/>
        <v>0.55400000000000005</v>
      </c>
      <c r="M199" s="53"/>
      <c r="N199" s="53"/>
      <c r="O199" s="100">
        <f t="shared" ref="O199:P199" si="1224">O198</f>
        <v>100.62</v>
      </c>
      <c r="P199" s="101" t="str">
        <f t="shared" si="1224"/>
        <v>2,29,560</v>
      </c>
      <c r="Q199" s="11" t="str">
        <f t="shared" si="893"/>
        <v>2</v>
      </c>
      <c r="R199" s="11" t="str">
        <f t="shared" si="894"/>
        <v>29,560</v>
      </c>
      <c r="S199" s="11">
        <f t="shared" si="895"/>
        <v>4.1544444444444446E-2</v>
      </c>
      <c r="T199" s="14">
        <f t="shared" si="896"/>
        <v>2421.9844878309709</v>
      </c>
      <c r="U199" s="39">
        <f t="shared" si="897"/>
        <v>-100</v>
      </c>
      <c r="V199" s="105">
        <f t="shared" ref="V199:W199" si="1225">V198</f>
        <v>20.399999999999999</v>
      </c>
      <c r="W199" s="105">
        <f t="shared" si="1225"/>
        <v>1.5069999999999999</v>
      </c>
      <c r="X199" s="106">
        <f t="shared" si="1146"/>
        <v>1.504</v>
      </c>
      <c r="Y199" s="53"/>
      <c r="Z199" s="53"/>
      <c r="AA199" s="107">
        <f t="shared" ref="AA199:AB199" si="1226">AA198</f>
        <v>10.015000000000001</v>
      </c>
      <c r="AB199" s="108" t="str">
        <f t="shared" si="1226"/>
        <v>22,10,090</v>
      </c>
      <c r="AC199" s="11" t="str">
        <f t="shared" si="900"/>
        <v>22</v>
      </c>
      <c r="AD199" s="11" t="str">
        <f t="shared" si="901"/>
        <v>10,090</v>
      </c>
      <c r="AE199" s="11">
        <f t="shared" si="902"/>
        <v>0.36946944444444441</v>
      </c>
      <c r="AF199" s="14">
        <f t="shared" si="903"/>
        <v>27.106436406558959</v>
      </c>
      <c r="AG199" s="41">
        <f t="shared" si="904"/>
        <v>-100</v>
      </c>
      <c r="AH199" s="105">
        <f t="shared" si="1154"/>
        <v>20.3</v>
      </c>
      <c r="AI199" s="105">
        <f t="shared" si="1154"/>
        <v>1.5089999999999999</v>
      </c>
      <c r="AJ199" s="105">
        <f t="shared" si="1154"/>
        <v>1.504</v>
      </c>
      <c r="AK199" s="53">
        <f t="shared" si="905"/>
        <v>0</v>
      </c>
      <c r="AL199" s="53"/>
      <c r="AM199" s="54">
        <f t="shared" ref="AM199:AN199" si="1227">AM198</f>
        <v>5.0129999999999999</v>
      </c>
      <c r="AN199" s="101" t="str">
        <f t="shared" si="1227"/>
        <v>17,59,050</v>
      </c>
      <c r="AO199" s="11" t="str">
        <f t="shared" si="907"/>
        <v>17</v>
      </c>
      <c r="AP199" s="11" t="str">
        <f t="shared" si="908"/>
        <v>59,050</v>
      </c>
      <c r="AQ199" s="11">
        <f t="shared" si="909"/>
        <v>0.29973611111111109</v>
      </c>
      <c r="AR199" s="14">
        <f t="shared" si="910"/>
        <v>16.724711551827998</v>
      </c>
      <c r="AS199" s="41">
        <f t="shared" si="911"/>
        <v>-100</v>
      </c>
      <c r="AT199" s="43" t="str">
        <f t="shared" si="912"/>
        <v>NO CONFORME</v>
      </c>
      <c r="AU199" s="8" t="b">
        <f t="shared" si="834"/>
        <v>1</v>
      </c>
      <c r="AV199" s="8" t="b">
        <f t="shared" si="835"/>
        <v>0</v>
      </c>
      <c r="AW199" s="8" t="b">
        <f t="shared" si="836"/>
        <v>1</v>
      </c>
      <c r="AX199" s="8" t="str">
        <f t="shared" si="837"/>
        <v>Qcorrecto</v>
      </c>
      <c r="AY199" s="22" t="str">
        <f t="shared" si="817"/>
        <v>aceptable</v>
      </c>
      <c r="AZ199" s="22" t="str">
        <f t="shared" si="818"/>
        <v>aceptable</v>
      </c>
      <c r="BA199" s="22" t="str">
        <f t="shared" si="838"/>
        <v>aceptable</v>
      </c>
      <c r="BB199" s="25" t="str">
        <f t="shared" si="839"/>
        <v>NO CONFORME</v>
      </c>
      <c r="BC199" s="5" t="str">
        <f t="shared" si="840"/>
        <v>NO CONFORME</v>
      </c>
      <c r="BD199" s="15">
        <f t="shared" si="819"/>
        <v>-1</v>
      </c>
      <c r="BE199" s="15">
        <f t="shared" si="820"/>
        <v>-1</v>
      </c>
      <c r="BF199" s="15">
        <f t="shared" si="821"/>
        <v>-1</v>
      </c>
      <c r="BG199" s="15" t="str">
        <f t="shared" si="822"/>
        <v>-1-1-1</v>
      </c>
      <c r="BH199" s="15" t="str">
        <f t="shared" si="823"/>
        <v>SD</v>
      </c>
      <c r="BI199" s="15" t="str">
        <f t="shared" si="824"/>
        <v>SI</v>
      </c>
      <c r="BJ199" s="15" t="b">
        <f t="shared" si="825"/>
        <v>1</v>
      </c>
      <c r="BK199" s="15" t="str">
        <f t="shared" si="826"/>
        <v>SIGIGUALES</v>
      </c>
      <c r="BL199" s="22" t="str">
        <f t="shared" si="827"/>
        <v>NO CONFORME</v>
      </c>
    </row>
    <row r="200" spans="1:64" ht="15.75" thickBot="1" x14ac:dyDescent="0.3">
      <c r="A200" s="37">
        <v>192</v>
      </c>
      <c r="B200" s="93">
        <f t="shared" ref="B200:E200" si="1228">B199</f>
        <v>45919</v>
      </c>
      <c r="C200" s="93">
        <f t="shared" si="1228"/>
        <v>45919</v>
      </c>
      <c r="D200" s="94">
        <f t="shared" si="1228"/>
        <v>6</v>
      </c>
      <c r="E200" s="95">
        <f t="shared" si="1228"/>
        <v>15</v>
      </c>
      <c r="F200" s="52"/>
      <c r="G200" s="96"/>
      <c r="H200" s="97">
        <f t="shared" ref="H200:L200" si="1229">H199</f>
        <v>25.6</v>
      </c>
      <c r="I200" s="98">
        <f t="shared" si="1229"/>
        <v>0</v>
      </c>
      <c r="J200" s="99">
        <f t="shared" si="1229"/>
        <v>20.9</v>
      </c>
      <c r="K200" s="99">
        <f t="shared" si="1229"/>
        <v>7.883</v>
      </c>
      <c r="L200" s="99">
        <f t="shared" si="1229"/>
        <v>0.55400000000000005</v>
      </c>
      <c r="M200" s="53"/>
      <c r="N200" s="53"/>
      <c r="O200" s="100">
        <f t="shared" ref="O200:P200" si="1230">O199</f>
        <v>100.62</v>
      </c>
      <c r="P200" s="101" t="str">
        <f t="shared" si="1230"/>
        <v>2,29,560</v>
      </c>
      <c r="Q200" s="11" t="str">
        <f t="shared" si="893"/>
        <v>2</v>
      </c>
      <c r="R200" s="11" t="str">
        <f t="shared" si="894"/>
        <v>29,560</v>
      </c>
      <c r="S200" s="11">
        <f t="shared" si="895"/>
        <v>4.1544444444444446E-2</v>
      </c>
      <c r="T200" s="14">
        <f t="shared" si="896"/>
        <v>2421.9844878309709</v>
      </c>
      <c r="U200" s="39">
        <f t="shared" si="897"/>
        <v>-100</v>
      </c>
      <c r="V200" s="105">
        <f t="shared" ref="V200:W200" si="1231">V199</f>
        <v>20.399999999999999</v>
      </c>
      <c r="W200" s="105">
        <f t="shared" si="1231"/>
        <v>1.5069999999999999</v>
      </c>
      <c r="X200" s="106">
        <f t="shared" si="1146"/>
        <v>1.504</v>
      </c>
      <c r="Y200" s="53"/>
      <c r="Z200" s="53"/>
      <c r="AA200" s="107">
        <f t="shared" ref="AA200:AB200" si="1232">AA199</f>
        <v>10.015000000000001</v>
      </c>
      <c r="AB200" s="108" t="str">
        <f t="shared" si="1232"/>
        <v>22,10,090</v>
      </c>
      <c r="AC200" s="11" t="str">
        <f t="shared" si="900"/>
        <v>22</v>
      </c>
      <c r="AD200" s="11" t="str">
        <f t="shared" si="901"/>
        <v>10,090</v>
      </c>
      <c r="AE200" s="11">
        <f t="shared" si="902"/>
        <v>0.36946944444444441</v>
      </c>
      <c r="AF200" s="14">
        <f t="shared" si="903"/>
        <v>27.106436406558959</v>
      </c>
      <c r="AG200" s="41">
        <f t="shared" si="904"/>
        <v>-100</v>
      </c>
      <c r="AH200" s="105">
        <f t="shared" si="1154"/>
        <v>20.3</v>
      </c>
      <c r="AI200" s="105">
        <f t="shared" si="1154"/>
        <v>1.5089999999999999</v>
      </c>
      <c r="AJ200" s="105">
        <f t="shared" si="1154"/>
        <v>1.504</v>
      </c>
      <c r="AK200" s="53">
        <f t="shared" si="905"/>
        <v>0</v>
      </c>
      <c r="AL200" s="53"/>
      <c r="AM200" s="54">
        <f t="shared" ref="AM200:AN200" si="1233">AM199</f>
        <v>5.0129999999999999</v>
      </c>
      <c r="AN200" s="101" t="str">
        <f t="shared" si="1233"/>
        <v>17,59,050</v>
      </c>
      <c r="AO200" s="11" t="str">
        <f t="shared" si="907"/>
        <v>17</v>
      </c>
      <c r="AP200" s="11" t="str">
        <f t="shared" si="908"/>
        <v>59,050</v>
      </c>
      <c r="AQ200" s="11">
        <f t="shared" si="909"/>
        <v>0.29973611111111109</v>
      </c>
      <c r="AR200" s="14">
        <f t="shared" si="910"/>
        <v>16.724711551827998</v>
      </c>
      <c r="AS200" s="41">
        <f t="shared" si="911"/>
        <v>-100</v>
      </c>
      <c r="AT200" s="43" t="str">
        <f t="shared" si="912"/>
        <v>NO CONFORME</v>
      </c>
      <c r="AU200" s="8" t="b">
        <f t="shared" si="834"/>
        <v>1</v>
      </c>
      <c r="AV200" s="8" t="b">
        <f t="shared" si="835"/>
        <v>0</v>
      </c>
      <c r="AW200" s="8" t="b">
        <f t="shared" si="836"/>
        <v>1</v>
      </c>
      <c r="AX200" s="8" t="str">
        <f t="shared" si="837"/>
        <v>Qcorrecto</v>
      </c>
      <c r="AY200" s="22" t="str">
        <f t="shared" si="817"/>
        <v>aceptable</v>
      </c>
      <c r="AZ200" s="22" t="str">
        <f t="shared" si="818"/>
        <v>aceptable</v>
      </c>
      <c r="BA200" s="22" t="str">
        <f t="shared" si="838"/>
        <v>aceptable</v>
      </c>
      <c r="BB200" s="25" t="str">
        <f t="shared" si="839"/>
        <v>NO CONFORME</v>
      </c>
      <c r="BC200" s="5" t="str">
        <f t="shared" si="840"/>
        <v>NO CONFORME</v>
      </c>
      <c r="BD200" s="15">
        <f t="shared" si="819"/>
        <v>-1</v>
      </c>
      <c r="BE200" s="15">
        <f t="shared" si="820"/>
        <v>-1</v>
      </c>
      <c r="BF200" s="15">
        <f t="shared" si="821"/>
        <v>-1</v>
      </c>
      <c r="BG200" s="15" t="str">
        <f t="shared" si="822"/>
        <v>-1-1-1</v>
      </c>
      <c r="BH200" s="15" t="str">
        <f t="shared" si="823"/>
        <v>SD</v>
      </c>
      <c r="BI200" s="15" t="str">
        <f t="shared" si="824"/>
        <v>SI</v>
      </c>
      <c r="BJ200" s="15" t="b">
        <f t="shared" si="825"/>
        <v>1</v>
      </c>
      <c r="BK200" s="15" t="str">
        <f t="shared" si="826"/>
        <v>SIGIGUALES</v>
      </c>
      <c r="BL200" s="22" t="str">
        <f t="shared" si="827"/>
        <v>NO CONFORME</v>
      </c>
    </row>
    <row r="201" spans="1:64" ht="15.75" thickBot="1" x14ac:dyDescent="0.3">
      <c r="A201" s="37">
        <v>193</v>
      </c>
      <c r="B201" s="93">
        <f t="shared" ref="B201:E201" si="1234">B200</f>
        <v>45919</v>
      </c>
      <c r="C201" s="93">
        <f t="shared" si="1234"/>
        <v>45919</v>
      </c>
      <c r="D201" s="94">
        <f t="shared" si="1234"/>
        <v>6</v>
      </c>
      <c r="E201" s="95">
        <f t="shared" si="1234"/>
        <v>15</v>
      </c>
      <c r="F201" s="52"/>
      <c r="G201" s="96"/>
      <c r="H201" s="97">
        <f t="shared" ref="H201:L201" si="1235">H200</f>
        <v>25.6</v>
      </c>
      <c r="I201" s="98">
        <f t="shared" si="1235"/>
        <v>0</v>
      </c>
      <c r="J201" s="99">
        <f t="shared" si="1235"/>
        <v>20.9</v>
      </c>
      <c r="K201" s="99">
        <f t="shared" si="1235"/>
        <v>7.883</v>
      </c>
      <c r="L201" s="99">
        <f t="shared" si="1235"/>
        <v>0.55400000000000005</v>
      </c>
      <c r="M201" s="53"/>
      <c r="N201" s="53"/>
      <c r="O201" s="100">
        <f t="shared" ref="O201:P201" si="1236">O200</f>
        <v>100.62</v>
      </c>
      <c r="P201" s="101" t="str">
        <f t="shared" si="1236"/>
        <v>2,29,560</v>
      </c>
      <c r="Q201" s="11" t="str">
        <f t="shared" si="893"/>
        <v>2</v>
      </c>
      <c r="R201" s="11" t="str">
        <f t="shared" si="894"/>
        <v>29,560</v>
      </c>
      <c r="S201" s="11">
        <f t="shared" si="895"/>
        <v>4.1544444444444446E-2</v>
      </c>
      <c r="T201" s="14">
        <f t="shared" si="896"/>
        <v>2421.9844878309709</v>
      </c>
      <c r="U201" s="39">
        <f t="shared" si="897"/>
        <v>-100</v>
      </c>
      <c r="V201" s="105">
        <f t="shared" ref="V201:W201" si="1237">V200</f>
        <v>20.399999999999999</v>
      </c>
      <c r="W201" s="105">
        <f t="shared" si="1237"/>
        <v>1.5069999999999999</v>
      </c>
      <c r="X201" s="106">
        <f t="shared" si="1146"/>
        <v>1.504</v>
      </c>
      <c r="Y201" s="53"/>
      <c r="Z201" s="53"/>
      <c r="AA201" s="107">
        <f t="shared" ref="AA201:AB201" si="1238">AA200</f>
        <v>10.015000000000001</v>
      </c>
      <c r="AB201" s="108" t="str">
        <f t="shared" si="1238"/>
        <v>22,10,090</v>
      </c>
      <c r="AC201" s="11" t="str">
        <f t="shared" si="900"/>
        <v>22</v>
      </c>
      <c r="AD201" s="11" t="str">
        <f t="shared" si="901"/>
        <v>10,090</v>
      </c>
      <c r="AE201" s="11">
        <f t="shared" si="902"/>
        <v>0.36946944444444441</v>
      </c>
      <c r="AF201" s="14">
        <f t="shared" si="903"/>
        <v>27.106436406558959</v>
      </c>
      <c r="AG201" s="41">
        <f t="shared" si="904"/>
        <v>-100</v>
      </c>
      <c r="AH201" s="105">
        <f t="shared" si="1154"/>
        <v>20.3</v>
      </c>
      <c r="AI201" s="105">
        <f t="shared" si="1154"/>
        <v>1.5089999999999999</v>
      </c>
      <c r="AJ201" s="105">
        <f t="shared" si="1154"/>
        <v>1.504</v>
      </c>
      <c r="AK201" s="53">
        <f t="shared" si="905"/>
        <v>0</v>
      </c>
      <c r="AL201" s="53"/>
      <c r="AM201" s="54">
        <f t="shared" ref="AM201:AN201" si="1239">AM200</f>
        <v>5.0129999999999999</v>
      </c>
      <c r="AN201" s="101" t="str">
        <f t="shared" si="1239"/>
        <v>17,59,050</v>
      </c>
      <c r="AO201" s="11" t="str">
        <f t="shared" si="907"/>
        <v>17</v>
      </c>
      <c r="AP201" s="11" t="str">
        <f t="shared" si="908"/>
        <v>59,050</v>
      </c>
      <c r="AQ201" s="11">
        <f t="shared" si="909"/>
        <v>0.29973611111111109</v>
      </c>
      <c r="AR201" s="14">
        <f t="shared" si="910"/>
        <v>16.724711551827998</v>
      </c>
      <c r="AS201" s="41">
        <f t="shared" si="911"/>
        <v>-100</v>
      </c>
      <c r="AT201" s="43" t="str">
        <f t="shared" si="912"/>
        <v>NO CONFORME</v>
      </c>
      <c r="AU201" s="8" t="b">
        <f t="shared" si="834"/>
        <v>1</v>
      </c>
      <c r="AV201" s="8" t="b">
        <f t="shared" si="835"/>
        <v>0</v>
      </c>
      <c r="AW201" s="8" t="b">
        <f t="shared" si="836"/>
        <v>1</v>
      </c>
      <c r="AX201" s="8" t="str">
        <f t="shared" si="837"/>
        <v>Qcorrecto</v>
      </c>
      <c r="AY201" s="22" t="str">
        <f t="shared" ref="AY201:AY264" si="1240">IF(AR201&lt;$AH$6,"error",IF(AR201&gt;$AH$6*1.1,"error","aceptable"))</f>
        <v>aceptable</v>
      </c>
      <c r="AZ201" s="22" t="str">
        <f t="shared" ref="AZ201:AZ264" si="1241">IF(AF201&lt;$V$6,"error",IF(AF201&gt;$V$6*1.1,"error","aceptable"))</f>
        <v>aceptable</v>
      </c>
      <c r="BA201" s="22" t="str">
        <f t="shared" si="838"/>
        <v>aceptable</v>
      </c>
      <c r="BB201" s="25" t="str">
        <f t="shared" si="839"/>
        <v>NO CONFORME</v>
      </c>
      <c r="BC201" s="5" t="str">
        <f t="shared" si="840"/>
        <v>NO CONFORME</v>
      </c>
      <c r="BD201" s="15">
        <f t="shared" ref="BD201:BD264" si="1242">SIGN(U201)</f>
        <v>-1</v>
      </c>
      <c r="BE201" s="15">
        <f t="shared" ref="BE201:BE264" si="1243">SIGN(AG201)</f>
        <v>-1</v>
      </c>
      <c r="BF201" s="15">
        <f t="shared" ref="BF201:BF264" si="1244">SIGN(AS201)</f>
        <v>-1</v>
      </c>
      <c r="BG201" s="15" t="str">
        <f t="shared" ref="BG201:BG264" si="1245">CONCATENATE(BD201,BE201,BF201)</f>
        <v>-1-1-1</v>
      </c>
      <c r="BH201" s="15" t="str">
        <f t="shared" ref="BH201:BH264" si="1246">IF(BG201="111","SI","SD")</f>
        <v>SD</v>
      </c>
      <c r="BI201" s="15" t="str">
        <f t="shared" ref="BI201:BI264" si="1247">IF(BG201="-1-1-1","SI","SD")</f>
        <v>SI</v>
      </c>
      <c r="BJ201" s="15" t="b">
        <f t="shared" ref="BJ201:BJ264" si="1248">OR(BH201="SI",BI201="SI")</f>
        <v>1</v>
      </c>
      <c r="BK201" s="15" t="str">
        <f t="shared" ref="BK201:BK264" si="1249">IF(BJ201=FALSE,"SIGDIFERENTES","SIGIGUALES")</f>
        <v>SIGIGUALES</v>
      </c>
      <c r="BL201" s="22" t="str">
        <f t="shared" ref="BL201:BL264" si="1250">IF(BC201="NO CONFORME","NO CONFORME",IF(BB201="CONFORME","CONFORME","NO CONFORME"))</f>
        <v>NO CONFORME</v>
      </c>
    </row>
    <row r="202" spans="1:64" ht="15.75" thickBot="1" x14ac:dyDescent="0.3">
      <c r="A202" s="37">
        <v>194</v>
      </c>
      <c r="B202" s="93">
        <f t="shared" ref="B202:E202" si="1251">B201</f>
        <v>45919</v>
      </c>
      <c r="C202" s="93">
        <f t="shared" si="1251"/>
        <v>45919</v>
      </c>
      <c r="D202" s="94">
        <f t="shared" si="1251"/>
        <v>6</v>
      </c>
      <c r="E202" s="95">
        <f t="shared" si="1251"/>
        <v>15</v>
      </c>
      <c r="F202" s="52"/>
      <c r="G202" s="96"/>
      <c r="H202" s="97">
        <f t="shared" ref="H202:L202" si="1252">H201</f>
        <v>25.6</v>
      </c>
      <c r="I202" s="98">
        <f t="shared" si="1252"/>
        <v>0</v>
      </c>
      <c r="J202" s="99">
        <f t="shared" si="1252"/>
        <v>20.9</v>
      </c>
      <c r="K202" s="99">
        <f t="shared" si="1252"/>
        <v>7.883</v>
      </c>
      <c r="L202" s="99">
        <f t="shared" si="1252"/>
        <v>0.55400000000000005</v>
      </c>
      <c r="M202" s="53"/>
      <c r="N202" s="53"/>
      <c r="O202" s="100">
        <f t="shared" ref="O202:P202" si="1253">O201</f>
        <v>100.62</v>
      </c>
      <c r="P202" s="101" t="str">
        <f t="shared" si="1253"/>
        <v>2,29,560</v>
      </c>
      <c r="Q202" s="11" t="str">
        <f t="shared" si="893"/>
        <v>2</v>
      </c>
      <c r="R202" s="11" t="str">
        <f t="shared" si="894"/>
        <v>29,560</v>
      </c>
      <c r="S202" s="11">
        <f t="shared" si="895"/>
        <v>4.1544444444444446E-2</v>
      </c>
      <c r="T202" s="14">
        <f t="shared" si="896"/>
        <v>2421.9844878309709</v>
      </c>
      <c r="U202" s="39">
        <f t="shared" si="897"/>
        <v>-100</v>
      </c>
      <c r="V202" s="105">
        <f t="shared" ref="V202:X217" si="1254">V201</f>
        <v>20.399999999999999</v>
      </c>
      <c r="W202" s="105">
        <f t="shared" si="1254"/>
        <v>1.5069999999999999</v>
      </c>
      <c r="X202" s="106">
        <f t="shared" si="1254"/>
        <v>1.504</v>
      </c>
      <c r="Y202" s="53"/>
      <c r="Z202" s="53"/>
      <c r="AA202" s="107">
        <f t="shared" ref="AA202:AB202" si="1255">AA201</f>
        <v>10.015000000000001</v>
      </c>
      <c r="AB202" s="108" t="str">
        <f t="shared" si="1255"/>
        <v>22,10,090</v>
      </c>
      <c r="AC202" s="11" t="str">
        <f t="shared" si="900"/>
        <v>22</v>
      </c>
      <c r="AD202" s="11" t="str">
        <f t="shared" si="901"/>
        <v>10,090</v>
      </c>
      <c r="AE202" s="11">
        <f t="shared" si="902"/>
        <v>0.36946944444444441</v>
      </c>
      <c r="AF202" s="14">
        <f t="shared" si="903"/>
        <v>27.106436406558959</v>
      </c>
      <c r="AG202" s="41">
        <f t="shared" si="904"/>
        <v>-100</v>
      </c>
      <c r="AH202" s="105">
        <f t="shared" si="1154"/>
        <v>20.3</v>
      </c>
      <c r="AI202" s="105">
        <f t="shared" si="1154"/>
        <v>1.5089999999999999</v>
      </c>
      <c r="AJ202" s="105">
        <f t="shared" si="1154"/>
        <v>1.504</v>
      </c>
      <c r="AK202" s="53">
        <f t="shared" si="905"/>
        <v>0</v>
      </c>
      <c r="AL202" s="53"/>
      <c r="AM202" s="54">
        <f t="shared" ref="AM202:AN202" si="1256">AM201</f>
        <v>5.0129999999999999</v>
      </c>
      <c r="AN202" s="101" t="str">
        <f t="shared" si="1256"/>
        <v>17,59,050</v>
      </c>
      <c r="AO202" s="11" t="str">
        <f t="shared" si="907"/>
        <v>17</v>
      </c>
      <c r="AP202" s="11" t="str">
        <f t="shared" si="908"/>
        <v>59,050</v>
      </c>
      <c r="AQ202" s="11">
        <f t="shared" si="909"/>
        <v>0.29973611111111109</v>
      </c>
      <c r="AR202" s="14">
        <f t="shared" si="910"/>
        <v>16.724711551827998</v>
      </c>
      <c r="AS202" s="41">
        <f t="shared" si="911"/>
        <v>-100</v>
      </c>
      <c r="AT202" s="43" t="str">
        <f t="shared" si="912"/>
        <v>NO CONFORME</v>
      </c>
      <c r="AU202" s="8" t="b">
        <f t="shared" ref="AU202:AU265" si="1257">B202=C202</f>
        <v>1</v>
      </c>
      <c r="AV202" s="8" t="b">
        <f t="shared" ref="AV202:AV265" si="1258">N202&lt;Y202</f>
        <v>0</v>
      </c>
      <c r="AW202" s="8" t="b">
        <f t="shared" ref="AW202:AW265" si="1259">Z202&lt;=AK202</f>
        <v>1</v>
      </c>
      <c r="AX202" s="8" t="str">
        <f t="shared" ref="AX202:AX265" si="1260">IF(I202&gt;=1,"Qcorrecto",IF(AND(AY202="aceptable",AZ202="aceptable",BA202="aceptable"),"Qcorrecto","Qincorrecto"))</f>
        <v>Qcorrecto</v>
      </c>
      <c r="AY202" s="22" t="str">
        <f t="shared" si="1240"/>
        <v>aceptable</v>
      </c>
      <c r="AZ202" s="22" t="str">
        <f t="shared" si="1241"/>
        <v>aceptable</v>
      </c>
      <c r="BA202" s="22" t="str">
        <f t="shared" ref="BA202:BA265" si="1261">IF(T202&lt;$J$6*0.9,"error",IF(T202&gt;$J$6,"error","aceptable"))</f>
        <v>aceptable</v>
      </c>
      <c r="BB202" s="25" t="str">
        <f t="shared" ref="BB202:BB265" si="1262">(IF(ABS(U202)&lt;1.05,"CONFORME",IF(ABS(AG202)&lt;1.05,"CONFORME",IF(ABS(AS202)&lt;2.55,"CONFORME","NO CONFORME"))))</f>
        <v>NO CONFORME</v>
      </c>
      <c r="BC202" s="5" t="str">
        <f t="shared" ref="BC202:BC265" si="1263">(IF(ABS(U202)&gt;2.05,"NO CONFORME",IF(ABS(AG202)&gt;2.05,"NO CONFORME",IF(ABS(AS202)&gt;5.05,"NO CONFORME","CONFORME"))))</f>
        <v>NO CONFORME</v>
      </c>
      <c r="BD202" s="15">
        <f t="shared" si="1242"/>
        <v>-1</v>
      </c>
      <c r="BE202" s="15">
        <f t="shared" si="1243"/>
        <v>-1</v>
      </c>
      <c r="BF202" s="15">
        <f t="shared" si="1244"/>
        <v>-1</v>
      </c>
      <c r="BG202" s="15" t="str">
        <f t="shared" si="1245"/>
        <v>-1-1-1</v>
      </c>
      <c r="BH202" s="15" t="str">
        <f t="shared" si="1246"/>
        <v>SD</v>
      </c>
      <c r="BI202" s="15" t="str">
        <f t="shared" si="1247"/>
        <v>SI</v>
      </c>
      <c r="BJ202" s="15" t="b">
        <f t="shared" si="1248"/>
        <v>1</v>
      </c>
      <c r="BK202" s="15" t="str">
        <f t="shared" si="1249"/>
        <v>SIGIGUALES</v>
      </c>
      <c r="BL202" s="22" t="str">
        <f t="shared" si="1250"/>
        <v>NO CONFORME</v>
      </c>
    </row>
    <row r="203" spans="1:64" ht="15.75" thickBot="1" x14ac:dyDescent="0.3">
      <c r="A203" s="37">
        <v>195</v>
      </c>
      <c r="B203" s="93">
        <f t="shared" ref="B203:E203" si="1264">B202</f>
        <v>45919</v>
      </c>
      <c r="C203" s="93">
        <f t="shared" si="1264"/>
        <v>45919</v>
      </c>
      <c r="D203" s="94">
        <f t="shared" si="1264"/>
        <v>6</v>
      </c>
      <c r="E203" s="95">
        <f t="shared" si="1264"/>
        <v>15</v>
      </c>
      <c r="F203" s="52"/>
      <c r="G203" s="96"/>
      <c r="H203" s="97">
        <f t="shared" ref="H203:L203" si="1265">H202</f>
        <v>25.6</v>
      </c>
      <c r="I203" s="98">
        <f t="shared" si="1265"/>
        <v>0</v>
      </c>
      <c r="J203" s="99">
        <f t="shared" si="1265"/>
        <v>20.9</v>
      </c>
      <c r="K203" s="99">
        <f t="shared" si="1265"/>
        <v>7.883</v>
      </c>
      <c r="L203" s="99">
        <f t="shared" si="1265"/>
        <v>0.55400000000000005</v>
      </c>
      <c r="M203" s="53"/>
      <c r="N203" s="53"/>
      <c r="O203" s="100">
        <f t="shared" ref="O203:P203" si="1266">O202</f>
        <v>100.62</v>
      </c>
      <c r="P203" s="101" t="str">
        <f t="shared" si="1266"/>
        <v>2,29,560</v>
      </c>
      <c r="Q203" s="11" t="str">
        <f t="shared" si="893"/>
        <v>2</v>
      </c>
      <c r="R203" s="11" t="str">
        <f t="shared" si="894"/>
        <v>29,560</v>
      </c>
      <c r="S203" s="11">
        <f t="shared" si="895"/>
        <v>4.1544444444444446E-2</v>
      </c>
      <c r="T203" s="14">
        <f t="shared" si="896"/>
        <v>2421.9844878309709</v>
      </c>
      <c r="U203" s="39">
        <f t="shared" si="897"/>
        <v>-100</v>
      </c>
      <c r="V203" s="105">
        <f t="shared" ref="V203:W203" si="1267">V202</f>
        <v>20.399999999999999</v>
      </c>
      <c r="W203" s="105">
        <f t="shared" si="1267"/>
        <v>1.5069999999999999</v>
      </c>
      <c r="X203" s="106">
        <f t="shared" si="1254"/>
        <v>1.504</v>
      </c>
      <c r="Y203" s="53"/>
      <c r="Z203" s="53"/>
      <c r="AA203" s="107">
        <f t="shared" ref="AA203:AB203" si="1268">AA202</f>
        <v>10.015000000000001</v>
      </c>
      <c r="AB203" s="108" t="str">
        <f t="shared" si="1268"/>
        <v>22,10,090</v>
      </c>
      <c r="AC203" s="11" t="str">
        <f t="shared" si="900"/>
        <v>22</v>
      </c>
      <c r="AD203" s="11" t="str">
        <f t="shared" si="901"/>
        <v>10,090</v>
      </c>
      <c r="AE203" s="11">
        <f t="shared" si="902"/>
        <v>0.36946944444444441</v>
      </c>
      <c r="AF203" s="14">
        <f t="shared" si="903"/>
        <v>27.106436406558959</v>
      </c>
      <c r="AG203" s="41">
        <f t="shared" si="904"/>
        <v>-100</v>
      </c>
      <c r="AH203" s="105">
        <f t="shared" ref="AH203:AJ218" si="1269">AH202</f>
        <v>20.3</v>
      </c>
      <c r="AI203" s="105">
        <f t="shared" si="1269"/>
        <v>1.5089999999999999</v>
      </c>
      <c r="AJ203" s="105">
        <f t="shared" si="1269"/>
        <v>1.504</v>
      </c>
      <c r="AK203" s="53">
        <f t="shared" si="905"/>
        <v>0</v>
      </c>
      <c r="AL203" s="53"/>
      <c r="AM203" s="54">
        <f t="shared" ref="AM203:AN203" si="1270">AM202</f>
        <v>5.0129999999999999</v>
      </c>
      <c r="AN203" s="101" t="str">
        <f t="shared" si="1270"/>
        <v>17,59,050</v>
      </c>
      <c r="AO203" s="11" t="str">
        <f t="shared" si="907"/>
        <v>17</v>
      </c>
      <c r="AP203" s="11" t="str">
        <f t="shared" si="908"/>
        <v>59,050</v>
      </c>
      <c r="AQ203" s="11">
        <f t="shared" si="909"/>
        <v>0.29973611111111109</v>
      </c>
      <c r="AR203" s="14">
        <f t="shared" si="910"/>
        <v>16.724711551827998</v>
      </c>
      <c r="AS203" s="41">
        <f t="shared" si="911"/>
        <v>-100</v>
      </c>
      <c r="AT203" s="43" t="str">
        <f t="shared" si="912"/>
        <v>NO CONFORME</v>
      </c>
      <c r="AU203" s="8" t="b">
        <f t="shared" si="1257"/>
        <v>1</v>
      </c>
      <c r="AV203" s="8" t="b">
        <f t="shared" si="1258"/>
        <v>0</v>
      </c>
      <c r="AW203" s="8" t="b">
        <f t="shared" si="1259"/>
        <v>1</v>
      </c>
      <c r="AX203" s="8" t="str">
        <f t="shared" si="1260"/>
        <v>Qcorrecto</v>
      </c>
      <c r="AY203" s="22" t="str">
        <f t="shared" si="1240"/>
        <v>aceptable</v>
      </c>
      <c r="AZ203" s="22" t="str">
        <f t="shared" si="1241"/>
        <v>aceptable</v>
      </c>
      <c r="BA203" s="22" t="str">
        <f t="shared" si="1261"/>
        <v>aceptable</v>
      </c>
      <c r="BB203" s="25" t="str">
        <f t="shared" si="1262"/>
        <v>NO CONFORME</v>
      </c>
      <c r="BC203" s="5" t="str">
        <f t="shared" si="1263"/>
        <v>NO CONFORME</v>
      </c>
      <c r="BD203" s="15">
        <f t="shared" si="1242"/>
        <v>-1</v>
      </c>
      <c r="BE203" s="15">
        <f t="shared" si="1243"/>
        <v>-1</v>
      </c>
      <c r="BF203" s="15">
        <f t="shared" si="1244"/>
        <v>-1</v>
      </c>
      <c r="BG203" s="15" t="str">
        <f t="shared" si="1245"/>
        <v>-1-1-1</v>
      </c>
      <c r="BH203" s="15" t="str">
        <f t="shared" si="1246"/>
        <v>SD</v>
      </c>
      <c r="BI203" s="15" t="str">
        <f t="shared" si="1247"/>
        <v>SI</v>
      </c>
      <c r="BJ203" s="15" t="b">
        <f t="shared" si="1248"/>
        <v>1</v>
      </c>
      <c r="BK203" s="15" t="str">
        <f t="shared" si="1249"/>
        <v>SIGIGUALES</v>
      </c>
      <c r="BL203" s="22" t="str">
        <f t="shared" si="1250"/>
        <v>NO CONFORME</v>
      </c>
    </row>
    <row r="204" spans="1:64" ht="15.75" thickBot="1" x14ac:dyDescent="0.3">
      <c r="A204" s="37">
        <v>196</v>
      </c>
      <c r="B204" s="93">
        <f t="shared" ref="B204:E204" si="1271">B203</f>
        <v>45919</v>
      </c>
      <c r="C204" s="93">
        <f t="shared" si="1271"/>
        <v>45919</v>
      </c>
      <c r="D204" s="94">
        <f t="shared" si="1271"/>
        <v>6</v>
      </c>
      <c r="E204" s="95">
        <f t="shared" si="1271"/>
        <v>15</v>
      </c>
      <c r="F204" s="52"/>
      <c r="G204" s="96"/>
      <c r="H204" s="97">
        <f t="shared" ref="H204:L204" si="1272">H203</f>
        <v>25.6</v>
      </c>
      <c r="I204" s="98">
        <f t="shared" si="1272"/>
        <v>0</v>
      </c>
      <c r="J204" s="99">
        <f t="shared" si="1272"/>
        <v>20.9</v>
      </c>
      <c r="K204" s="99">
        <f t="shared" si="1272"/>
        <v>7.883</v>
      </c>
      <c r="L204" s="99">
        <f t="shared" si="1272"/>
        <v>0.55400000000000005</v>
      </c>
      <c r="M204" s="53"/>
      <c r="N204" s="53"/>
      <c r="O204" s="100">
        <f t="shared" ref="O204:P204" si="1273">O203</f>
        <v>100.62</v>
      </c>
      <c r="P204" s="101" t="str">
        <f t="shared" si="1273"/>
        <v>2,29,560</v>
      </c>
      <c r="Q204" s="11" t="str">
        <f t="shared" si="893"/>
        <v>2</v>
      </c>
      <c r="R204" s="11" t="str">
        <f t="shared" si="894"/>
        <v>29,560</v>
      </c>
      <c r="S204" s="11">
        <f t="shared" si="895"/>
        <v>4.1544444444444446E-2</v>
      </c>
      <c r="T204" s="14">
        <f t="shared" si="896"/>
        <v>2421.9844878309709</v>
      </c>
      <c r="U204" s="39">
        <f t="shared" si="897"/>
        <v>-100</v>
      </c>
      <c r="V204" s="105">
        <f t="shared" ref="V204:W204" si="1274">V203</f>
        <v>20.399999999999999</v>
      </c>
      <c r="W204" s="105">
        <f t="shared" si="1274"/>
        <v>1.5069999999999999</v>
      </c>
      <c r="X204" s="106">
        <f t="shared" si="1254"/>
        <v>1.504</v>
      </c>
      <c r="Y204" s="53"/>
      <c r="Z204" s="53"/>
      <c r="AA204" s="107">
        <f t="shared" ref="AA204:AB204" si="1275">AA203</f>
        <v>10.015000000000001</v>
      </c>
      <c r="AB204" s="108" t="str">
        <f t="shared" si="1275"/>
        <v>22,10,090</v>
      </c>
      <c r="AC204" s="11" t="str">
        <f t="shared" si="900"/>
        <v>22</v>
      </c>
      <c r="AD204" s="11" t="str">
        <f t="shared" si="901"/>
        <v>10,090</v>
      </c>
      <c r="AE204" s="11">
        <f t="shared" si="902"/>
        <v>0.36946944444444441</v>
      </c>
      <c r="AF204" s="14">
        <f t="shared" si="903"/>
        <v>27.106436406558959</v>
      </c>
      <c r="AG204" s="41">
        <f t="shared" si="904"/>
        <v>-100</v>
      </c>
      <c r="AH204" s="105">
        <f t="shared" si="1269"/>
        <v>20.3</v>
      </c>
      <c r="AI204" s="105">
        <f t="shared" si="1269"/>
        <v>1.5089999999999999</v>
      </c>
      <c r="AJ204" s="105">
        <f t="shared" si="1269"/>
        <v>1.504</v>
      </c>
      <c r="AK204" s="53">
        <f t="shared" si="905"/>
        <v>0</v>
      </c>
      <c r="AL204" s="53"/>
      <c r="AM204" s="54">
        <f t="shared" ref="AM204:AN204" si="1276">AM203</f>
        <v>5.0129999999999999</v>
      </c>
      <c r="AN204" s="101" t="str">
        <f t="shared" si="1276"/>
        <v>17,59,050</v>
      </c>
      <c r="AO204" s="11" t="str">
        <f t="shared" si="907"/>
        <v>17</v>
      </c>
      <c r="AP204" s="11" t="str">
        <f t="shared" si="908"/>
        <v>59,050</v>
      </c>
      <c r="AQ204" s="11">
        <f t="shared" si="909"/>
        <v>0.29973611111111109</v>
      </c>
      <c r="AR204" s="14">
        <f t="shared" si="910"/>
        <v>16.724711551827998</v>
      </c>
      <c r="AS204" s="41">
        <f t="shared" si="911"/>
        <v>-100</v>
      </c>
      <c r="AT204" s="43" t="str">
        <f t="shared" si="912"/>
        <v>NO CONFORME</v>
      </c>
      <c r="AU204" s="8" t="b">
        <f t="shared" si="1257"/>
        <v>1</v>
      </c>
      <c r="AV204" s="8" t="b">
        <f t="shared" si="1258"/>
        <v>0</v>
      </c>
      <c r="AW204" s="8" t="b">
        <f t="shared" si="1259"/>
        <v>1</v>
      </c>
      <c r="AX204" s="8" t="str">
        <f t="shared" si="1260"/>
        <v>Qcorrecto</v>
      </c>
      <c r="AY204" s="22" t="str">
        <f t="shared" si="1240"/>
        <v>aceptable</v>
      </c>
      <c r="AZ204" s="22" t="str">
        <f t="shared" si="1241"/>
        <v>aceptable</v>
      </c>
      <c r="BA204" s="22" t="str">
        <f t="shared" si="1261"/>
        <v>aceptable</v>
      </c>
      <c r="BB204" s="25" t="str">
        <f t="shared" si="1262"/>
        <v>NO CONFORME</v>
      </c>
      <c r="BC204" s="5" t="str">
        <f t="shared" si="1263"/>
        <v>NO CONFORME</v>
      </c>
      <c r="BD204" s="15">
        <f t="shared" si="1242"/>
        <v>-1</v>
      </c>
      <c r="BE204" s="15">
        <f t="shared" si="1243"/>
        <v>-1</v>
      </c>
      <c r="BF204" s="15">
        <f t="shared" si="1244"/>
        <v>-1</v>
      </c>
      <c r="BG204" s="15" t="str">
        <f t="shared" si="1245"/>
        <v>-1-1-1</v>
      </c>
      <c r="BH204" s="15" t="str">
        <f t="shared" si="1246"/>
        <v>SD</v>
      </c>
      <c r="BI204" s="15" t="str">
        <f t="shared" si="1247"/>
        <v>SI</v>
      </c>
      <c r="BJ204" s="15" t="b">
        <f t="shared" si="1248"/>
        <v>1</v>
      </c>
      <c r="BK204" s="15" t="str">
        <f t="shared" si="1249"/>
        <v>SIGIGUALES</v>
      </c>
      <c r="BL204" s="22" t="str">
        <f t="shared" si="1250"/>
        <v>NO CONFORME</v>
      </c>
    </row>
    <row r="205" spans="1:64" ht="15.75" thickBot="1" x14ac:dyDescent="0.3">
      <c r="A205" s="37">
        <v>197</v>
      </c>
      <c r="B205" s="93">
        <f t="shared" ref="B205:E205" si="1277">B204</f>
        <v>45919</v>
      </c>
      <c r="C205" s="93">
        <f t="shared" si="1277"/>
        <v>45919</v>
      </c>
      <c r="D205" s="94">
        <f t="shared" si="1277"/>
        <v>6</v>
      </c>
      <c r="E205" s="95">
        <f t="shared" si="1277"/>
        <v>15</v>
      </c>
      <c r="F205" s="52"/>
      <c r="G205" s="96"/>
      <c r="H205" s="97">
        <f t="shared" ref="H205:L205" si="1278">H204</f>
        <v>25.6</v>
      </c>
      <c r="I205" s="98">
        <f t="shared" si="1278"/>
        <v>0</v>
      </c>
      <c r="J205" s="99">
        <f t="shared" si="1278"/>
        <v>20.9</v>
      </c>
      <c r="K205" s="99">
        <f t="shared" si="1278"/>
        <v>7.883</v>
      </c>
      <c r="L205" s="99">
        <f t="shared" si="1278"/>
        <v>0.55400000000000005</v>
      </c>
      <c r="M205" s="53"/>
      <c r="N205" s="53"/>
      <c r="O205" s="100">
        <f t="shared" ref="O205:P205" si="1279">O204</f>
        <v>100.62</v>
      </c>
      <c r="P205" s="101" t="str">
        <f t="shared" si="1279"/>
        <v>2,29,560</v>
      </c>
      <c r="Q205" s="11" t="str">
        <f t="shared" si="893"/>
        <v>2</v>
      </c>
      <c r="R205" s="11" t="str">
        <f t="shared" si="894"/>
        <v>29,560</v>
      </c>
      <c r="S205" s="11">
        <f t="shared" si="895"/>
        <v>4.1544444444444446E-2</v>
      </c>
      <c r="T205" s="14">
        <f t="shared" si="896"/>
        <v>2421.9844878309709</v>
      </c>
      <c r="U205" s="39">
        <f t="shared" si="897"/>
        <v>-100</v>
      </c>
      <c r="V205" s="105">
        <f t="shared" ref="V205:W205" si="1280">V204</f>
        <v>20.399999999999999</v>
      </c>
      <c r="W205" s="105">
        <f t="shared" si="1280"/>
        <v>1.5069999999999999</v>
      </c>
      <c r="X205" s="106">
        <f t="shared" si="1254"/>
        <v>1.504</v>
      </c>
      <c r="Y205" s="53"/>
      <c r="Z205" s="53"/>
      <c r="AA205" s="107">
        <f t="shared" ref="AA205:AB205" si="1281">AA204</f>
        <v>10.015000000000001</v>
      </c>
      <c r="AB205" s="108" t="str">
        <f t="shared" si="1281"/>
        <v>22,10,090</v>
      </c>
      <c r="AC205" s="11" t="str">
        <f t="shared" si="900"/>
        <v>22</v>
      </c>
      <c r="AD205" s="11" t="str">
        <f t="shared" si="901"/>
        <v>10,090</v>
      </c>
      <c r="AE205" s="11">
        <f t="shared" si="902"/>
        <v>0.36946944444444441</v>
      </c>
      <c r="AF205" s="14">
        <f t="shared" si="903"/>
        <v>27.106436406558959</v>
      </c>
      <c r="AG205" s="41">
        <f t="shared" si="904"/>
        <v>-100</v>
      </c>
      <c r="AH205" s="105">
        <f t="shared" si="1269"/>
        <v>20.3</v>
      </c>
      <c r="AI205" s="105">
        <f t="shared" si="1269"/>
        <v>1.5089999999999999</v>
      </c>
      <c r="AJ205" s="105">
        <f t="shared" si="1269"/>
        <v>1.504</v>
      </c>
      <c r="AK205" s="53">
        <f t="shared" si="905"/>
        <v>0</v>
      </c>
      <c r="AL205" s="53"/>
      <c r="AM205" s="54">
        <f t="shared" ref="AM205:AN205" si="1282">AM204</f>
        <v>5.0129999999999999</v>
      </c>
      <c r="AN205" s="101" t="str">
        <f t="shared" si="1282"/>
        <v>17,59,050</v>
      </c>
      <c r="AO205" s="11" t="str">
        <f t="shared" si="907"/>
        <v>17</v>
      </c>
      <c r="AP205" s="11" t="str">
        <f t="shared" si="908"/>
        <v>59,050</v>
      </c>
      <c r="AQ205" s="11">
        <f t="shared" si="909"/>
        <v>0.29973611111111109</v>
      </c>
      <c r="AR205" s="14">
        <f t="shared" si="910"/>
        <v>16.724711551827998</v>
      </c>
      <c r="AS205" s="41">
        <f t="shared" si="911"/>
        <v>-100</v>
      </c>
      <c r="AT205" s="43" t="str">
        <f t="shared" si="912"/>
        <v>NO CONFORME</v>
      </c>
      <c r="AU205" s="8" t="b">
        <f t="shared" si="1257"/>
        <v>1</v>
      </c>
      <c r="AV205" s="8" t="b">
        <f t="shared" si="1258"/>
        <v>0</v>
      </c>
      <c r="AW205" s="8" t="b">
        <f t="shared" si="1259"/>
        <v>1</v>
      </c>
      <c r="AX205" s="8" t="str">
        <f t="shared" si="1260"/>
        <v>Qcorrecto</v>
      </c>
      <c r="AY205" s="22" t="str">
        <f t="shared" si="1240"/>
        <v>aceptable</v>
      </c>
      <c r="AZ205" s="22" t="str">
        <f t="shared" si="1241"/>
        <v>aceptable</v>
      </c>
      <c r="BA205" s="22" t="str">
        <f t="shared" si="1261"/>
        <v>aceptable</v>
      </c>
      <c r="BB205" s="25" t="str">
        <f t="shared" si="1262"/>
        <v>NO CONFORME</v>
      </c>
      <c r="BC205" s="5" t="str">
        <f t="shared" si="1263"/>
        <v>NO CONFORME</v>
      </c>
      <c r="BD205" s="15">
        <f t="shared" si="1242"/>
        <v>-1</v>
      </c>
      <c r="BE205" s="15">
        <f t="shared" si="1243"/>
        <v>-1</v>
      </c>
      <c r="BF205" s="15">
        <f t="shared" si="1244"/>
        <v>-1</v>
      </c>
      <c r="BG205" s="15" t="str">
        <f t="shared" si="1245"/>
        <v>-1-1-1</v>
      </c>
      <c r="BH205" s="15" t="str">
        <f t="shared" si="1246"/>
        <v>SD</v>
      </c>
      <c r="BI205" s="15" t="str">
        <f t="shared" si="1247"/>
        <v>SI</v>
      </c>
      <c r="BJ205" s="15" t="b">
        <f t="shared" si="1248"/>
        <v>1</v>
      </c>
      <c r="BK205" s="15" t="str">
        <f t="shared" si="1249"/>
        <v>SIGIGUALES</v>
      </c>
      <c r="BL205" s="22" t="str">
        <f t="shared" si="1250"/>
        <v>NO CONFORME</v>
      </c>
    </row>
    <row r="206" spans="1:64" ht="15.75" thickBot="1" x14ac:dyDescent="0.3">
      <c r="A206" s="37">
        <v>198</v>
      </c>
      <c r="B206" s="93">
        <f t="shared" ref="B206:E206" si="1283">B205</f>
        <v>45919</v>
      </c>
      <c r="C206" s="93">
        <f t="shared" si="1283"/>
        <v>45919</v>
      </c>
      <c r="D206" s="94">
        <f t="shared" si="1283"/>
        <v>6</v>
      </c>
      <c r="E206" s="95">
        <f t="shared" si="1283"/>
        <v>15</v>
      </c>
      <c r="F206" s="52"/>
      <c r="G206" s="96"/>
      <c r="H206" s="97">
        <f t="shared" ref="H206:L206" si="1284">H205</f>
        <v>25.6</v>
      </c>
      <c r="I206" s="98">
        <f t="shared" si="1284"/>
        <v>0</v>
      </c>
      <c r="J206" s="99">
        <f t="shared" si="1284"/>
        <v>20.9</v>
      </c>
      <c r="K206" s="99">
        <f t="shared" si="1284"/>
        <v>7.883</v>
      </c>
      <c r="L206" s="99">
        <f t="shared" si="1284"/>
        <v>0.55400000000000005</v>
      </c>
      <c r="M206" s="53"/>
      <c r="N206" s="53"/>
      <c r="O206" s="100">
        <f t="shared" ref="O206:P206" si="1285">O205</f>
        <v>100.62</v>
      </c>
      <c r="P206" s="101" t="str">
        <f t="shared" si="1285"/>
        <v>2,29,560</v>
      </c>
      <c r="Q206" s="11" t="str">
        <f t="shared" si="893"/>
        <v>2</v>
      </c>
      <c r="R206" s="11" t="str">
        <f t="shared" si="894"/>
        <v>29,560</v>
      </c>
      <c r="S206" s="11">
        <f t="shared" si="895"/>
        <v>4.1544444444444446E-2</v>
      </c>
      <c r="T206" s="14">
        <f t="shared" si="896"/>
        <v>2421.9844878309709</v>
      </c>
      <c r="U206" s="39">
        <f t="shared" si="897"/>
        <v>-100</v>
      </c>
      <c r="V206" s="105">
        <f t="shared" ref="V206:W206" si="1286">V205</f>
        <v>20.399999999999999</v>
      </c>
      <c r="W206" s="105">
        <f t="shared" si="1286"/>
        <v>1.5069999999999999</v>
      </c>
      <c r="X206" s="106">
        <f t="shared" si="1254"/>
        <v>1.504</v>
      </c>
      <c r="Y206" s="53"/>
      <c r="Z206" s="53"/>
      <c r="AA206" s="107">
        <f t="shared" ref="AA206:AB206" si="1287">AA205</f>
        <v>10.015000000000001</v>
      </c>
      <c r="AB206" s="108" t="str">
        <f t="shared" si="1287"/>
        <v>22,10,090</v>
      </c>
      <c r="AC206" s="11" t="str">
        <f t="shared" si="900"/>
        <v>22</v>
      </c>
      <c r="AD206" s="11" t="str">
        <f t="shared" si="901"/>
        <v>10,090</v>
      </c>
      <c r="AE206" s="11">
        <f t="shared" si="902"/>
        <v>0.36946944444444441</v>
      </c>
      <c r="AF206" s="14">
        <f t="shared" si="903"/>
        <v>27.106436406558959</v>
      </c>
      <c r="AG206" s="41">
        <f t="shared" si="904"/>
        <v>-100</v>
      </c>
      <c r="AH206" s="105">
        <f t="shared" si="1269"/>
        <v>20.3</v>
      </c>
      <c r="AI206" s="105">
        <f t="shared" si="1269"/>
        <v>1.5089999999999999</v>
      </c>
      <c r="AJ206" s="105">
        <f t="shared" si="1269"/>
        <v>1.504</v>
      </c>
      <c r="AK206" s="53">
        <f t="shared" si="905"/>
        <v>0</v>
      </c>
      <c r="AL206" s="53"/>
      <c r="AM206" s="54">
        <f t="shared" ref="AM206:AN206" si="1288">AM205</f>
        <v>5.0129999999999999</v>
      </c>
      <c r="AN206" s="101" t="str">
        <f t="shared" si="1288"/>
        <v>17,59,050</v>
      </c>
      <c r="AO206" s="11" t="str">
        <f t="shared" si="907"/>
        <v>17</v>
      </c>
      <c r="AP206" s="11" t="str">
        <f t="shared" si="908"/>
        <v>59,050</v>
      </c>
      <c r="AQ206" s="11">
        <f t="shared" si="909"/>
        <v>0.29973611111111109</v>
      </c>
      <c r="AR206" s="14">
        <f t="shared" si="910"/>
        <v>16.724711551827998</v>
      </c>
      <c r="AS206" s="41">
        <f t="shared" si="911"/>
        <v>-100</v>
      </c>
      <c r="AT206" s="43" t="str">
        <f t="shared" si="912"/>
        <v>NO CONFORME</v>
      </c>
      <c r="AU206" s="8" t="b">
        <f t="shared" si="1257"/>
        <v>1</v>
      </c>
      <c r="AV206" s="8" t="b">
        <f t="shared" si="1258"/>
        <v>0</v>
      </c>
      <c r="AW206" s="8" t="b">
        <f t="shared" si="1259"/>
        <v>1</v>
      </c>
      <c r="AX206" s="8" t="str">
        <f t="shared" si="1260"/>
        <v>Qcorrecto</v>
      </c>
      <c r="AY206" s="22" t="str">
        <f t="shared" si="1240"/>
        <v>aceptable</v>
      </c>
      <c r="AZ206" s="22" t="str">
        <f t="shared" si="1241"/>
        <v>aceptable</v>
      </c>
      <c r="BA206" s="22" t="str">
        <f t="shared" si="1261"/>
        <v>aceptable</v>
      </c>
      <c r="BB206" s="25" t="str">
        <f t="shared" si="1262"/>
        <v>NO CONFORME</v>
      </c>
      <c r="BC206" s="5" t="str">
        <f t="shared" si="1263"/>
        <v>NO CONFORME</v>
      </c>
      <c r="BD206" s="15">
        <f t="shared" si="1242"/>
        <v>-1</v>
      </c>
      <c r="BE206" s="15">
        <f t="shared" si="1243"/>
        <v>-1</v>
      </c>
      <c r="BF206" s="15">
        <f t="shared" si="1244"/>
        <v>-1</v>
      </c>
      <c r="BG206" s="15" t="str">
        <f t="shared" si="1245"/>
        <v>-1-1-1</v>
      </c>
      <c r="BH206" s="15" t="str">
        <f t="shared" si="1246"/>
        <v>SD</v>
      </c>
      <c r="BI206" s="15" t="str">
        <f t="shared" si="1247"/>
        <v>SI</v>
      </c>
      <c r="BJ206" s="15" t="b">
        <f t="shared" si="1248"/>
        <v>1</v>
      </c>
      <c r="BK206" s="15" t="str">
        <f t="shared" si="1249"/>
        <v>SIGIGUALES</v>
      </c>
      <c r="BL206" s="22" t="str">
        <f t="shared" si="1250"/>
        <v>NO CONFORME</v>
      </c>
    </row>
    <row r="207" spans="1:64" ht="15.75" thickBot="1" x14ac:dyDescent="0.3">
      <c r="A207" s="37">
        <v>199</v>
      </c>
      <c r="B207" s="93">
        <f t="shared" ref="B207:E207" si="1289">B206</f>
        <v>45919</v>
      </c>
      <c r="C207" s="93">
        <f t="shared" si="1289"/>
        <v>45919</v>
      </c>
      <c r="D207" s="94">
        <f t="shared" si="1289"/>
        <v>6</v>
      </c>
      <c r="E207" s="95">
        <f t="shared" si="1289"/>
        <v>15</v>
      </c>
      <c r="F207" s="52"/>
      <c r="G207" s="96"/>
      <c r="H207" s="97">
        <f t="shared" ref="H207:L207" si="1290">H206</f>
        <v>25.6</v>
      </c>
      <c r="I207" s="98">
        <f t="shared" si="1290"/>
        <v>0</v>
      </c>
      <c r="J207" s="99">
        <f t="shared" si="1290"/>
        <v>20.9</v>
      </c>
      <c r="K207" s="99">
        <f t="shared" si="1290"/>
        <v>7.883</v>
      </c>
      <c r="L207" s="99">
        <f t="shared" si="1290"/>
        <v>0.55400000000000005</v>
      </c>
      <c r="M207" s="53"/>
      <c r="N207" s="53"/>
      <c r="O207" s="100">
        <f t="shared" ref="O207:P207" si="1291">O206</f>
        <v>100.62</v>
      </c>
      <c r="P207" s="101" t="str">
        <f t="shared" si="1291"/>
        <v>2,29,560</v>
      </c>
      <c r="Q207" s="11" t="str">
        <f t="shared" si="893"/>
        <v>2</v>
      </c>
      <c r="R207" s="11" t="str">
        <f t="shared" si="894"/>
        <v>29,560</v>
      </c>
      <c r="S207" s="11">
        <f t="shared" si="895"/>
        <v>4.1544444444444446E-2</v>
      </c>
      <c r="T207" s="14">
        <f t="shared" si="896"/>
        <v>2421.9844878309709</v>
      </c>
      <c r="U207" s="39">
        <f t="shared" si="897"/>
        <v>-100</v>
      </c>
      <c r="V207" s="105">
        <f t="shared" ref="V207:W207" si="1292">V206</f>
        <v>20.399999999999999</v>
      </c>
      <c r="W207" s="105">
        <f t="shared" si="1292"/>
        <v>1.5069999999999999</v>
      </c>
      <c r="X207" s="106">
        <f t="shared" si="1254"/>
        <v>1.504</v>
      </c>
      <c r="Y207" s="53"/>
      <c r="Z207" s="53"/>
      <c r="AA207" s="107">
        <f t="shared" ref="AA207:AB207" si="1293">AA206</f>
        <v>10.015000000000001</v>
      </c>
      <c r="AB207" s="108" t="str">
        <f t="shared" si="1293"/>
        <v>22,10,090</v>
      </c>
      <c r="AC207" s="11" t="str">
        <f t="shared" si="900"/>
        <v>22</v>
      </c>
      <c r="AD207" s="11" t="str">
        <f t="shared" si="901"/>
        <v>10,090</v>
      </c>
      <c r="AE207" s="11">
        <f t="shared" si="902"/>
        <v>0.36946944444444441</v>
      </c>
      <c r="AF207" s="14">
        <f t="shared" si="903"/>
        <v>27.106436406558959</v>
      </c>
      <c r="AG207" s="41">
        <f t="shared" si="904"/>
        <v>-100</v>
      </c>
      <c r="AH207" s="105">
        <f t="shared" si="1269"/>
        <v>20.3</v>
      </c>
      <c r="AI207" s="105">
        <f t="shared" si="1269"/>
        <v>1.5089999999999999</v>
      </c>
      <c r="AJ207" s="105">
        <f t="shared" si="1269"/>
        <v>1.504</v>
      </c>
      <c r="AK207" s="53">
        <f t="shared" si="905"/>
        <v>0</v>
      </c>
      <c r="AL207" s="53"/>
      <c r="AM207" s="54">
        <f t="shared" ref="AM207:AN207" si="1294">AM206</f>
        <v>5.0129999999999999</v>
      </c>
      <c r="AN207" s="101" t="str">
        <f t="shared" si="1294"/>
        <v>17,59,050</v>
      </c>
      <c r="AO207" s="11" t="str">
        <f t="shared" si="907"/>
        <v>17</v>
      </c>
      <c r="AP207" s="11" t="str">
        <f t="shared" si="908"/>
        <v>59,050</v>
      </c>
      <c r="AQ207" s="11">
        <f t="shared" si="909"/>
        <v>0.29973611111111109</v>
      </c>
      <c r="AR207" s="14">
        <f t="shared" si="910"/>
        <v>16.724711551827998</v>
      </c>
      <c r="AS207" s="41">
        <f t="shared" si="911"/>
        <v>-100</v>
      </c>
      <c r="AT207" s="43" t="str">
        <f t="shared" si="912"/>
        <v>NO CONFORME</v>
      </c>
      <c r="AU207" s="8" t="b">
        <f t="shared" si="1257"/>
        <v>1</v>
      </c>
      <c r="AV207" s="8" t="b">
        <f t="shared" si="1258"/>
        <v>0</v>
      </c>
      <c r="AW207" s="8" t="b">
        <f t="shared" si="1259"/>
        <v>1</v>
      </c>
      <c r="AX207" s="8" t="str">
        <f t="shared" si="1260"/>
        <v>Qcorrecto</v>
      </c>
      <c r="AY207" s="22" t="str">
        <f t="shared" si="1240"/>
        <v>aceptable</v>
      </c>
      <c r="AZ207" s="22" t="str">
        <f t="shared" si="1241"/>
        <v>aceptable</v>
      </c>
      <c r="BA207" s="22" t="str">
        <f t="shared" si="1261"/>
        <v>aceptable</v>
      </c>
      <c r="BB207" s="25" t="str">
        <f t="shared" si="1262"/>
        <v>NO CONFORME</v>
      </c>
      <c r="BC207" s="5" t="str">
        <f t="shared" si="1263"/>
        <v>NO CONFORME</v>
      </c>
      <c r="BD207" s="15">
        <f t="shared" si="1242"/>
        <v>-1</v>
      </c>
      <c r="BE207" s="15">
        <f t="shared" si="1243"/>
        <v>-1</v>
      </c>
      <c r="BF207" s="15">
        <f t="shared" si="1244"/>
        <v>-1</v>
      </c>
      <c r="BG207" s="15" t="str">
        <f t="shared" si="1245"/>
        <v>-1-1-1</v>
      </c>
      <c r="BH207" s="15" t="str">
        <f t="shared" si="1246"/>
        <v>SD</v>
      </c>
      <c r="BI207" s="15" t="str">
        <f t="shared" si="1247"/>
        <v>SI</v>
      </c>
      <c r="BJ207" s="15" t="b">
        <f t="shared" si="1248"/>
        <v>1</v>
      </c>
      <c r="BK207" s="15" t="str">
        <f t="shared" si="1249"/>
        <v>SIGIGUALES</v>
      </c>
      <c r="BL207" s="22" t="str">
        <f t="shared" si="1250"/>
        <v>NO CONFORME</v>
      </c>
    </row>
    <row r="208" spans="1:64" ht="15.75" thickBot="1" x14ac:dyDescent="0.3">
      <c r="A208" s="37">
        <v>200</v>
      </c>
      <c r="B208" s="93">
        <f t="shared" ref="B208:E208" si="1295">B207</f>
        <v>45919</v>
      </c>
      <c r="C208" s="93">
        <f t="shared" si="1295"/>
        <v>45919</v>
      </c>
      <c r="D208" s="94">
        <f t="shared" si="1295"/>
        <v>6</v>
      </c>
      <c r="E208" s="95">
        <f t="shared" si="1295"/>
        <v>15</v>
      </c>
      <c r="F208" s="52"/>
      <c r="G208" s="96"/>
      <c r="H208" s="97">
        <f t="shared" ref="H208:L208" si="1296">H207</f>
        <v>25.6</v>
      </c>
      <c r="I208" s="98">
        <f t="shared" si="1296"/>
        <v>0</v>
      </c>
      <c r="J208" s="99">
        <f t="shared" si="1296"/>
        <v>20.9</v>
      </c>
      <c r="K208" s="99">
        <f t="shared" si="1296"/>
        <v>7.883</v>
      </c>
      <c r="L208" s="99">
        <f t="shared" si="1296"/>
        <v>0.55400000000000005</v>
      </c>
      <c r="M208" s="53"/>
      <c r="N208" s="53"/>
      <c r="O208" s="100">
        <f t="shared" ref="O208:P208" si="1297">O207</f>
        <v>100.62</v>
      </c>
      <c r="P208" s="101" t="str">
        <f t="shared" si="1297"/>
        <v>2,29,560</v>
      </c>
      <c r="Q208" s="11" t="str">
        <f t="shared" si="893"/>
        <v>2</v>
      </c>
      <c r="R208" s="11" t="str">
        <f t="shared" si="894"/>
        <v>29,560</v>
      </c>
      <c r="S208" s="11">
        <f t="shared" si="895"/>
        <v>4.1544444444444446E-2</v>
      </c>
      <c r="T208" s="14">
        <f t="shared" si="896"/>
        <v>2421.9844878309709</v>
      </c>
      <c r="U208" s="39">
        <f t="shared" si="897"/>
        <v>-100</v>
      </c>
      <c r="V208" s="105">
        <f t="shared" ref="V208:W208" si="1298">V207</f>
        <v>20.399999999999999</v>
      </c>
      <c r="W208" s="105">
        <f t="shared" si="1298"/>
        <v>1.5069999999999999</v>
      </c>
      <c r="X208" s="106">
        <f t="shared" si="1254"/>
        <v>1.504</v>
      </c>
      <c r="Y208" s="53"/>
      <c r="Z208" s="53"/>
      <c r="AA208" s="107">
        <f t="shared" ref="AA208:AB208" si="1299">AA207</f>
        <v>10.015000000000001</v>
      </c>
      <c r="AB208" s="108" t="str">
        <f t="shared" si="1299"/>
        <v>22,10,090</v>
      </c>
      <c r="AC208" s="11" t="str">
        <f t="shared" si="900"/>
        <v>22</v>
      </c>
      <c r="AD208" s="11" t="str">
        <f t="shared" si="901"/>
        <v>10,090</v>
      </c>
      <c r="AE208" s="11">
        <f t="shared" si="902"/>
        <v>0.36946944444444441</v>
      </c>
      <c r="AF208" s="14">
        <f t="shared" si="903"/>
        <v>27.106436406558959</v>
      </c>
      <c r="AG208" s="41">
        <f t="shared" si="904"/>
        <v>-100</v>
      </c>
      <c r="AH208" s="105">
        <f t="shared" si="1269"/>
        <v>20.3</v>
      </c>
      <c r="AI208" s="105">
        <f t="shared" si="1269"/>
        <v>1.5089999999999999</v>
      </c>
      <c r="AJ208" s="105">
        <f t="shared" si="1269"/>
        <v>1.504</v>
      </c>
      <c r="AK208" s="53">
        <f t="shared" si="905"/>
        <v>0</v>
      </c>
      <c r="AL208" s="53"/>
      <c r="AM208" s="54">
        <f t="shared" ref="AM208:AN208" si="1300">AM207</f>
        <v>5.0129999999999999</v>
      </c>
      <c r="AN208" s="101" t="str">
        <f t="shared" si="1300"/>
        <v>17,59,050</v>
      </c>
      <c r="AO208" s="11" t="str">
        <f t="shared" si="907"/>
        <v>17</v>
      </c>
      <c r="AP208" s="11" t="str">
        <f t="shared" si="908"/>
        <v>59,050</v>
      </c>
      <c r="AQ208" s="11">
        <f t="shared" si="909"/>
        <v>0.29973611111111109</v>
      </c>
      <c r="AR208" s="14">
        <f t="shared" si="910"/>
        <v>16.724711551827998</v>
      </c>
      <c r="AS208" s="41">
        <f t="shared" si="911"/>
        <v>-100</v>
      </c>
      <c r="AT208" s="43" t="str">
        <f t="shared" si="912"/>
        <v>NO CONFORME</v>
      </c>
      <c r="AU208" s="8" t="b">
        <f t="shared" si="1257"/>
        <v>1</v>
      </c>
      <c r="AV208" s="8" t="b">
        <f t="shared" si="1258"/>
        <v>0</v>
      </c>
      <c r="AW208" s="8" t="b">
        <f t="shared" si="1259"/>
        <v>1</v>
      </c>
      <c r="AX208" s="8" t="str">
        <f t="shared" si="1260"/>
        <v>Qcorrecto</v>
      </c>
      <c r="AY208" s="22" t="str">
        <f t="shared" si="1240"/>
        <v>aceptable</v>
      </c>
      <c r="AZ208" s="22" t="str">
        <f t="shared" si="1241"/>
        <v>aceptable</v>
      </c>
      <c r="BA208" s="22" t="str">
        <f t="shared" si="1261"/>
        <v>aceptable</v>
      </c>
      <c r="BB208" s="25" t="str">
        <f t="shared" si="1262"/>
        <v>NO CONFORME</v>
      </c>
      <c r="BC208" s="5" t="str">
        <f t="shared" si="1263"/>
        <v>NO CONFORME</v>
      </c>
      <c r="BD208" s="15">
        <f t="shared" si="1242"/>
        <v>-1</v>
      </c>
      <c r="BE208" s="15">
        <f t="shared" si="1243"/>
        <v>-1</v>
      </c>
      <c r="BF208" s="15">
        <f t="shared" si="1244"/>
        <v>-1</v>
      </c>
      <c r="BG208" s="15" t="str">
        <f t="shared" si="1245"/>
        <v>-1-1-1</v>
      </c>
      <c r="BH208" s="15" t="str">
        <f t="shared" si="1246"/>
        <v>SD</v>
      </c>
      <c r="BI208" s="15" t="str">
        <f t="shared" si="1247"/>
        <v>SI</v>
      </c>
      <c r="BJ208" s="15" t="b">
        <f t="shared" si="1248"/>
        <v>1</v>
      </c>
      <c r="BK208" s="15" t="str">
        <f t="shared" si="1249"/>
        <v>SIGIGUALES</v>
      </c>
      <c r="BL208" s="22" t="str">
        <f t="shared" si="1250"/>
        <v>NO CONFORME</v>
      </c>
    </row>
    <row r="209" spans="1:64" ht="15.75" thickBot="1" x14ac:dyDescent="0.3">
      <c r="A209" s="37">
        <v>201</v>
      </c>
      <c r="B209" s="93">
        <f t="shared" ref="B209:E209" si="1301">B208</f>
        <v>45919</v>
      </c>
      <c r="C209" s="93">
        <f t="shared" si="1301"/>
        <v>45919</v>
      </c>
      <c r="D209" s="94">
        <f t="shared" si="1301"/>
        <v>6</v>
      </c>
      <c r="E209" s="95">
        <f t="shared" si="1301"/>
        <v>15</v>
      </c>
      <c r="F209" s="52"/>
      <c r="G209" s="96"/>
      <c r="H209" s="97">
        <f t="shared" ref="H209:L209" si="1302">H208</f>
        <v>25.6</v>
      </c>
      <c r="I209" s="98">
        <f t="shared" si="1302"/>
        <v>0</v>
      </c>
      <c r="J209" s="99">
        <f t="shared" si="1302"/>
        <v>20.9</v>
      </c>
      <c r="K209" s="99">
        <f t="shared" si="1302"/>
        <v>7.883</v>
      </c>
      <c r="L209" s="99">
        <f t="shared" si="1302"/>
        <v>0.55400000000000005</v>
      </c>
      <c r="M209" s="53"/>
      <c r="N209" s="53"/>
      <c r="O209" s="100">
        <f t="shared" ref="O209:P209" si="1303">O208</f>
        <v>100.62</v>
      </c>
      <c r="P209" s="101" t="str">
        <f t="shared" si="1303"/>
        <v>2,29,560</v>
      </c>
      <c r="Q209" s="11" t="str">
        <f t="shared" si="893"/>
        <v>2</v>
      </c>
      <c r="R209" s="11" t="str">
        <f t="shared" si="894"/>
        <v>29,560</v>
      </c>
      <c r="S209" s="11">
        <f t="shared" si="895"/>
        <v>4.1544444444444446E-2</v>
      </c>
      <c r="T209" s="14">
        <f t="shared" si="896"/>
        <v>2421.9844878309709</v>
      </c>
      <c r="U209" s="39">
        <f t="shared" si="897"/>
        <v>-100</v>
      </c>
      <c r="V209" s="105">
        <f t="shared" ref="V209:W209" si="1304">V208</f>
        <v>20.399999999999999</v>
      </c>
      <c r="W209" s="105">
        <f t="shared" si="1304"/>
        <v>1.5069999999999999</v>
      </c>
      <c r="X209" s="106">
        <f t="shared" si="1254"/>
        <v>1.504</v>
      </c>
      <c r="Y209" s="53"/>
      <c r="Z209" s="53"/>
      <c r="AA209" s="107">
        <f t="shared" ref="AA209:AB209" si="1305">AA208</f>
        <v>10.015000000000001</v>
      </c>
      <c r="AB209" s="108" t="str">
        <f t="shared" si="1305"/>
        <v>22,10,090</v>
      </c>
      <c r="AC209" s="11" t="str">
        <f t="shared" si="900"/>
        <v>22</v>
      </c>
      <c r="AD209" s="11" t="str">
        <f t="shared" si="901"/>
        <v>10,090</v>
      </c>
      <c r="AE209" s="11">
        <f t="shared" si="902"/>
        <v>0.36946944444444441</v>
      </c>
      <c r="AF209" s="14">
        <f t="shared" si="903"/>
        <v>27.106436406558959</v>
      </c>
      <c r="AG209" s="41">
        <f t="shared" si="904"/>
        <v>-100</v>
      </c>
      <c r="AH209" s="105">
        <f t="shared" si="1269"/>
        <v>20.3</v>
      </c>
      <c r="AI209" s="105">
        <f t="shared" si="1269"/>
        <v>1.5089999999999999</v>
      </c>
      <c r="AJ209" s="105">
        <f t="shared" si="1269"/>
        <v>1.504</v>
      </c>
      <c r="AK209" s="53">
        <f t="shared" si="905"/>
        <v>0</v>
      </c>
      <c r="AL209" s="53"/>
      <c r="AM209" s="54">
        <f t="shared" ref="AM209:AN209" si="1306">AM208</f>
        <v>5.0129999999999999</v>
      </c>
      <c r="AN209" s="101" t="str">
        <f t="shared" si="1306"/>
        <v>17,59,050</v>
      </c>
      <c r="AO209" s="11" t="str">
        <f t="shared" si="907"/>
        <v>17</v>
      </c>
      <c r="AP209" s="11" t="str">
        <f t="shared" si="908"/>
        <v>59,050</v>
      </c>
      <c r="AQ209" s="11">
        <f t="shared" si="909"/>
        <v>0.29973611111111109</v>
      </c>
      <c r="AR209" s="14">
        <f t="shared" si="910"/>
        <v>16.724711551827998</v>
      </c>
      <c r="AS209" s="41">
        <f t="shared" si="911"/>
        <v>-100</v>
      </c>
      <c r="AT209" s="43" t="str">
        <f t="shared" si="912"/>
        <v>NO CONFORME</v>
      </c>
      <c r="AU209" s="8" t="b">
        <f t="shared" si="1257"/>
        <v>1</v>
      </c>
      <c r="AV209" s="8" t="b">
        <f t="shared" si="1258"/>
        <v>0</v>
      </c>
      <c r="AW209" s="8" t="b">
        <f t="shared" si="1259"/>
        <v>1</v>
      </c>
      <c r="AX209" s="8" t="str">
        <f t="shared" si="1260"/>
        <v>Qcorrecto</v>
      </c>
      <c r="AY209" s="22" t="str">
        <f t="shared" si="1240"/>
        <v>aceptable</v>
      </c>
      <c r="AZ209" s="22" t="str">
        <f t="shared" si="1241"/>
        <v>aceptable</v>
      </c>
      <c r="BA209" s="22" t="str">
        <f t="shared" si="1261"/>
        <v>aceptable</v>
      </c>
      <c r="BB209" s="25" t="str">
        <f t="shared" si="1262"/>
        <v>NO CONFORME</v>
      </c>
      <c r="BC209" s="5" t="str">
        <f t="shared" si="1263"/>
        <v>NO CONFORME</v>
      </c>
      <c r="BD209" s="15">
        <f t="shared" si="1242"/>
        <v>-1</v>
      </c>
      <c r="BE209" s="15">
        <f t="shared" si="1243"/>
        <v>-1</v>
      </c>
      <c r="BF209" s="15">
        <f t="shared" si="1244"/>
        <v>-1</v>
      </c>
      <c r="BG209" s="15" t="str">
        <f t="shared" si="1245"/>
        <v>-1-1-1</v>
      </c>
      <c r="BH209" s="15" t="str">
        <f t="shared" si="1246"/>
        <v>SD</v>
      </c>
      <c r="BI209" s="15" t="str">
        <f t="shared" si="1247"/>
        <v>SI</v>
      </c>
      <c r="BJ209" s="15" t="b">
        <f t="shared" si="1248"/>
        <v>1</v>
      </c>
      <c r="BK209" s="15" t="str">
        <f t="shared" si="1249"/>
        <v>SIGIGUALES</v>
      </c>
      <c r="BL209" s="22" t="str">
        <f t="shared" si="1250"/>
        <v>NO CONFORME</v>
      </c>
    </row>
    <row r="210" spans="1:64" ht="15.75" thickBot="1" x14ac:dyDescent="0.3">
      <c r="A210" s="37">
        <v>202</v>
      </c>
      <c r="B210" s="93">
        <f t="shared" ref="B210:E210" si="1307">B209</f>
        <v>45919</v>
      </c>
      <c r="C210" s="93">
        <f t="shared" si="1307"/>
        <v>45919</v>
      </c>
      <c r="D210" s="94">
        <f t="shared" si="1307"/>
        <v>6</v>
      </c>
      <c r="E210" s="95">
        <f t="shared" si="1307"/>
        <v>15</v>
      </c>
      <c r="F210" s="52"/>
      <c r="G210" s="96"/>
      <c r="H210" s="97">
        <f t="shared" ref="H210:L210" si="1308">H209</f>
        <v>25.6</v>
      </c>
      <c r="I210" s="98">
        <f t="shared" si="1308"/>
        <v>0</v>
      </c>
      <c r="J210" s="99">
        <f t="shared" si="1308"/>
        <v>20.9</v>
      </c>
      <c r="K210" s="99">
        <f t="shared" si="1308"/>
        <v>7.883</v>
      </c>
      <c r="L210" s="99">
        <f t="shared" si="1308"/>
        <v>0.55400000000000005</v>
      </c>
      <c r="M210" s="53"/>
      <c r="N210" s="53"/>
      <c r="O210" s="100">
        <f t="shared" ref="O210:P210" si="1309">O209</f>
        <v>100.62</v>
      </c>
      <c r="P210" s="101" t="str">
        <f t="shared" si="1309"/>
        <v>2,29,560</v>
      </c>
      <c r="Q210" s="11" t="str">
        <f t="shared" si="893"/>
        <v>2</v>
      </c>
      <c r="R210" s="11" t="str">
        <f t="shared" si="894"/>
        <v>29,560</v>
      </c>
      <c r="S210" s="11">
        <f t="shared" si="895"/>
        <v>4.1544444444444446E-2</v>
      </c>
      <c r="T210" s="14">
        <f t="shared" si="896"/>
        <v>2421.9844878309709</v>
      </c>
      <c r="U210" s="39">
        <f t="shared" si="897"/>
        <v>-100</v>
      </c>
      <c r="V210" s="105">
        <f t="shared" ref="V210:W210" si="1310">V209</f>
        <v>20.399999999999999</v>
      </c>
      <c r="W210" s="105">
        <f t="shared" si="1310"/>
        <v>1.5069999999999999</v>
      </c>
      <c r="X210" s="106">
        <f t="shared" si="1254"/>
        <v>1.504</v>
      </c>
      <c r="Y210" s="53"/>
      <c r="Z210" s="53"/>
      <c r="AA210" s="107">
        <f t="shared" ref="AA210:AB210" si="1311">AA209</f>
        <v>10.015000000000001</v>
      </c>
      <c r="AB210" s="108" t="str">
        <f t="shared" si="1311"/>
        <v>22,10,090</v>
      </c>
      <c r="AC210" s="11" t="str">
        <f t="shared" si="900"/>
        <v>22</v>
      </c>
      <c r="AD210" s="11" t="str">
        <f t="shared" si="901"/>
        <v>10,090</v>
      </c>
      <c r="AE210" s="11">
        <f t="shared" si="902"/>
        <v>0.36946944444444441</v>
      </c>
      <c r="AF210" s="14">
        <f t="shared" si="903"/>
        <v>27.106436406558959</v>
      </c>
      <c r="AG210" s="41">
        <f t="shared" si="904"/>
        <v>-100</v>
      </c>
      <c r="AH210" s="105">
        <f t="shared" si="1269"/>
        <v>20.3</v>
      </c>
      <c r="AI210" s="105">
        <f t="shared" si="1269"/>
        <v>1.5089999999999999</v>
      </c>
      <c r="AJ210" s="105">
        <f t="shared" si="1269"/>
        <v>1.504</v>
      </c>
      <c r="AK210" s="53">
        <f t="shared" si="905"/>
        <v>0</v>
      </c>
      <c r="AL210" s="53"/>
      <c r="AM210" s="54">
        <f t="shared" ref="AM210:AN210" si="1312">AM209</f>
        <v>5.0129999999999999</v>
      </c>
      <c r="AN210" s="101" t="str">
        <f t="shared" si="1312"/>
        <v>17,59,050</v>
      </c>
      <c r="AO210" s="11" t="str">
        <f t="shared" si="907"/>
        <v>17</v>
      </c>
      <c r="AP210" s="11" t="str">
        <f t="shared" si="908"/>
        <v>59,050</v>
      </c>
      <c r="AQ210" s="11">
        <f t="shared" si="909"/>
        <v>0.29973611111111109</v>
      </c>
      <c r="AR210" s="14">
        <f t="shared" si="910"/>
        <v>16.724711551827998</v>
      </c>
      <c r="AS210" s="41">
        <f t="shared" si="911"/>
        <v>-100</v>
      </c>
      <c r="AT210" s="43" t="str">
        <f t="shared" si="912"/>
        <v>NO CONFORME</v>
      </c>
      <c r="AU210" s="8" t="b">
        <f t="shared" si="1257"/>
        <v>1</v>
      </c>
      <c r="AV210" s="8" t="b">
        <f t="shared" si="1258"/>
        <v>0</v>
      </c>
      <c r="AW210" s="8" t="b">
        <f t="shared" si="1259"/>
        <v>1</v>
      </c>
      <c r="AX210" s="8" t="str">
        <f t="shared" si="1260"/>
        <v>Qcorrecto</v>
      </c>
      <c r="AY210" s="22" t="str">
        <f t="shared" si="1240"/>
        <v>aceptable</v>
      </c>
      <c r="AZ210" s="22" t="str">
        <f t="shared" si="1241"/>
        <v>aceptable</v>
      </c>
      <c r="BA210" s="22" t="str">
        <f t="shared" si="1261"/>
        <v>aceptable</v>
      </c>
      <c r="BB210" s="25" t="str">
        <f t="shared" si="1262"/>
        <v>NO CONFORME</v>
      </c>
      <c r="BC210" s="5" t="str">
        <f t="shared" si="1263"/>
        <v>NO CONFORME</v>
      </c>
      <c r="BD210" s="15">
        <f t="shared" si="1242"/>
        <v>-1</v>
      </c>
      <c r="BE210" s="15">
        <f t="shared" si="1243"/>
        <v>-1</v>
      </c>
      <c r="BF210" s="15">
        <f t="shared" si="1244"/>
        <v>-1</v>
      </c>
      <c r="BG210" s="15" t="str">
        <f t="shared" si="1245"/>
        <v>-1-1-1</v>
      </c>
      <c r="BH210" s="15" t="str">
        <f t="shared" si="1246"/>
        <v>SD</v>
      </c>
      <c r="BI210" s="15" t="str">
        <f t="shared" si="1247"/>
        <v>SI</v>
      </c>
      <c r="BJ210" s="15" t="b">
        <f t="shared" si="1248"/>
        <v>1</v>
      </c>
      <c r="BK210" s="15" t="str">
        <f t="shared" si="1249"/>
        <v>SIGIGUALES</v>
      </c>
      <c r="BL210" s="22" t="str">
        <f t="shared" si="1250"/>
        <v>NO CONFORME</v>
      </c>
    </row>
    <row r="211" spans="1:64" ht="15.75" thickBot="1" x14ac:dyDescent="0.3">
      <c r="A211" s="37">
        <v>203</v>
      </c>
      <c r="B211" s="93">
        <f t="shared" ref="B211:E211" si="1313">B210</f>
        <v>45919</v>
      </c>
      <c r="C211" s="93">
        <f t="shared" si="1313"/>
        <v>45919</v>
      </c>
      <c r="D211" s="94">
        <f t="shared" si="1313"/>
        <v>6</v>
      </c>
      <c r="E211" s="95">
        <f t="shared" si="1313"/>
        <v>15</v>
      </c>
      <c r="F211" s="52"/>
      <c r="G211" s="96"/>
      <c r="H211" s="97">
        <f t="shared" ref="H211:L211" si="1314">H210</f>
        <v>25.6</v>
      </c>
      <c r="I211" s="98">
        <f t="shared" si="1314"/>
        <v>0</v>
      </c>
      <c r="J211" s="99">
        <f t="shared" si="1314"/>
        <v>20.9</v>
      </c>
      <c r="K211" s="99">
        <f t="shared" si="1314"/>
        <v>7.883</v>
      </c>
      <c r="L211" s="99">
        <f t="shared" si="1314"/>
        <v>0.55400000000000005</v>
      </c>
      <c r="M211" s="53"/>
      <c r="N211" s="53"/>
      <c r="O211" s="100">
        <f t="shared" ref="O211:P211" si="1315">O210</f>
        <v>100.62</v>
      </c>
      <c r="P211" s="101" t="str">
        <f t="shared" si="1315"/>
        <v>2,29,560</v>
      </c>
      <c r="Q211" s="11" t="str">
        <f t="shared" ref="Q211:Q274" si="1316">LEFT(P211,1)</f>
        <v>2</v>
      </c>
      <c r="R211" s="11" t="str">
        <f t="shared" ref="R211:R274" si="1317">RIGHT(P211,6)</f>
        <v>29,560</v>
      </c>
      <c r="S211" s="11">
        <f t="shared" ref="S211:S274" si="1318">+(Q211*60+R211)/(60*60)</f>
        <v>4.1544444444444446E-2</v>
      </c>
      <c r="T211" s="14">
        <f t="shared" ref="T211:T274" si="1319">+O211/S211</f>
        <v>2421.9844878309709</v>
      </c>
      <c r="U211" s="39">
        <f t="shared" ref="U211:U274" si="1320">+(((N211-M211-O211)/O211)*100)</f>
        <v>-100</v>
      </c>
      <c r="V211" s="105">
        <f t="shared" ref="V211:W211" si="1321">V210</f>
        <v>20.399999999999999</v>
      </c>
      <c r="W211" s="105">
        <f t="shared" si="1321"/>
        <v>1.5069999999999999</v>
      </c>
      <c r="X211" s="106">
        <f t="shared" si="1254"/>
        <v>1.504</v>
      </c>
      <c r="Y211" s="53"/>
      <c r="Z211" s="53"/>
      <c r="AA211" s="107">
        <f t="shared" ref="AA211:AB211" si="1322">AA210</f>
        <v>10.015000000000001</v>
      </c>
      <c r="AB211" s="108" t="str">
        <f t="shared" si="1322"/>
        <v>22,10,090</v>
      </c>
      <c r="AC211" s="11" t="str">
        <f t="shared" ref="AC211:AC274" si="1323">LEFT(AB211,2)</f>
        <v>22</v>
      </c>
      <c r="AD211" s="11" t="str">
        <f t="shared" ref="AD211:AD274" si="1324">RIGHT(AB211,6)</f>
        <v>10,090</v>
      </c>
      <c r="AE211" s="11">
        <f t="shared" ref="AE211:AE274" si="1325">+(AC211*60+AD211)/(60*60)</f>
        <v>0.36946944444444441</v>
      </c>
      <c r="AF211" s="14">
        <f t="shared" ref="AF211:AF274" si="1326">+AA211/AE211</f>
        <v>27.106436406558959</v>
      </c>
      <c r="AG211" s="41">
        <f t="shared" ref="AG211:AG274" si="1327">+(((Z211-Y211-AA211)/AA211)*100)</f>
        <v>-100</v>
      </c>
      <c r="AH211" s="105">
        <f t="shared" si="1269"/>
        <v>20.3</v>
      </c>
      <c r="AI211" s="105">
        <f t="shared" si="1269"/>
        <v>1.5089999999999999</v>
      </c>
      <c r="AJ211" s="105">
        <f t="shared" si="1269"/>
        <v>1.504</v>
      </c>
      <c r="AK211" s="53">
        <f t="shared" ref="AK211:AK274" si="1328">Z211</f>
        <v>0</v>
      </c>
      <c r="AL211" s="53"/>
      <c r="AM211" s="54">
        <f t="shared" ref="AM211:AN211" si="1329">AM210</f>
        <v>5.0129999999999999</v>
      </c>
      <c r="AN211" s="101" t="str">
        <f t="shared" si="1329"/>
        <v>17,59,050</v>
      </c>
      <c r="AO211" s="11" t="str">
        <f t="shared" ref="AO211:AO274" si="1330">LEFT(AN211,2)</f>
        <v>17</v>
      </c>
      <c r="AP211" s="11" t="str">
        <f t="shared" ref="AP211:AP274" si="1331">RIGHT(AN211,6)</f>
        <v>59,050</v>
      </c>
      <c r="AQ211" s="11">
        <f t="shared" ref="AQ211:AQ274" si="1332">+(AO211*60+AP211)/(60*60)</f>
        <v>0.29973611111111109</v>
      </c>
      <c r="AR211" s="14">
        <f t="shared" ref="AR211:AR274" si="1333">+AM211/AQ211</f>
        <v>16.724711551827998</v>
      </c>
      <c r="AS211" s="41">
        <f t="shared" ref="AS211:AS274" si="1334">+(((AL211-AK211-AM211)/AM211)*100)</f>
        <v>-100</v>
      </c>
      <c r="AT211" s="43" t="str">
        <f t="shared" ref="AT211:AT274" si="1335">IF(I211&gt;=1,"NO CONFORME",IF(BK211="SIGDIFERENTES",BC211,BL211))</f>
        <v>NO CONFORME</v>
      </c>
      <c r="AU211" s="8" t="b">
        <f t="shared" si="1257"/>
        <v>1</v>
      </c>
      <c r="AV211" s="8" t="b">
        <f t="shared" si="1258"/>
        <v>0</v>
      </c>
      <c r="AW211" s="8" t="b">
        <f t="shared" si="1259"/>
        <v>1</v>
      </c>
      <c r="AX211" s="8" t="str">
        <f t="shared" si="1260"/>
        <v>Qcorrecto</v>
      </c>
      <c r="AY211" s="22" t="str">
        <f t="shared" si="1240"/>
        <v>aceptable</v>
      </c>
      <c r="AZ211" s="22" t="str">
        <f t="shared" si="1241"/>
        <v>aceptable</v>
      </c>
      <c r="BA211" s="22" t="str">
        <f t="shared" si="1261"/>
        <v>aceptable</v>
      </c>
      <c r="BB211" s="25" t="str">
        <f t="shared" si="1262"/>
        <v>NO CONFORME</v>
      </c>
      <c r="BC211" s="5" t="str">
        <f t="shared" si="1263"/>
        <v>NO CONFORME</v>
      </c>
      <c r="BD211" s="15">
        <f t="shared" si="1242"/>
        <v>-1</v>
      </c>
      <c r="BE211" s="15">
        <f t="shared" si="1243"/>
        <v>-1</v>
      </c>
      <c r="BF211" s="15">
        <f t="shared" si="1244"/>
        <v>-1</v>
      </c>
      <c r="BG211" s="15" t="str">
        <f t="shared" si="1245"/>
        <v>-1-1-1</v>
      </c>
      <c r="BH211" s="15" t="str">
        <f t="shared" si="1246"/>
        <v>SD</v>
      </c>
      <c r="BI211" s="15" t="str">
        <f t="shared" si="1247"/>
        <v>SI</v>
      </c>
      <c r="BJ211" s="15" t="b">
        <f t="shared" si="1248"/>
        <v>1</v>
      </c>
      <c r="BK211" s="15" t="str">
        <f t="shared" si="1249"/>
        <v>SIGIGUALES</v>
      </c>
      <c r="BL211" s="22" t="str">
        <f t="shared" si="1250"/>
        <v>NO CONFORME</v>
      </c>
    </row>
    <row r="212" spans="1:64" ht="15.75" thickBot="1" x14ac:dyDescent="0.3">
      <c r="A212" s="37">
        <v>204</v>
      </c>
      <c r="B212" s="93">
        <f t="shared" ref="B212:E212" si="1336">B211</f>
        <v>45919</v>
      </c>
      <c r="C212" s="93">
        <f t="shared" si="1336"/>
        <v>45919</v>
      </c>
      <c r="D212" s="94">
        <f t="shared" si="1336"/>
        <v>6</v>
      </c>
      <c r="E212" s="95">
        <f t="shared" si="1336"/>
        <v>15</v>
      </c>
      <c r="F212" s="52"/>
      <c r="G212" s="96"/>
      <c r="H212" s="97">
        <f t="shared" ref="H212:L212" si="1337">H211</f>
        <v>25.6</v>
      </c>
      <c r="I212" s="98">
        <f t="shared" si="1337"/>
        <v>0</v>
      </c>
      <c r="J212" s="99">
        <f t="shared" si="1337"/>
        <v>20.9</v>
      </c>
      <c r="K212" s="99">
        <f t="shared" si="1337"/>
        <v>7.883</v>
      </c>
      <c r="L212" s="99">
        <f t="shared" si="1337"/>
        <v>0.55400000000000005</v>
      </c>
      <c r="M212" s="53"/>
      <c r="N212" s="53"/>
      <c r="O212" s="100">
        <f t="shared" ref="O212:P212" si="1338">O211</f>
        <v>100.62</v>
      </c>
      <c r="P212" s="101" t="str">
        <f t="shared" si="1338"/>
        <v>2,29,560</v>
      </c>
      <c r="Q212" s="11" t="str">
        <f t="shared" si="1316"/>
        <v>2</v>
      </c>
      <c r="R212" s="11" t="str">
        <f t="shared" si="1317"/>
        <v>29,560</v>
      </c>
      <c r="S212" s="11">
        <f t="shared" si="1318"/>
        <v>4.1544444444444446E-2</v>
      </c>
      <c r="T212" s="14">
        <f t="shared" si="1319"/>
        <v>2421.9844878309709</v>
      </c>
      <c r="U212" s="39">
        <f t="shared" si="1320"/>
        <v>-100</v>
      </c>
      <c r="V212" s="105">
        <f t="shared" ref="V212:W212" si="1339">V211</f>
        <v>20.399999999999999</v>
      </c>
      <c r="W212" s="105">
        <f t="shared" si="1339"/>
        <v>1.5069999999999999</v>
      </c>
      <c r="X212" s="106">
        <f t="shared" si="1254"/>
        <v>1.504</v>
      </c>
      <c r="Y212" s="53"/>
      <c r="Z212" s="53"/>
      <c r="AA212" s="107">
        <f t="shared" ref="AA212:AB212" si="1340">AA211</f>
        <v>10.015000000000001</v>
      </c>
      <c r="AB212" s="108" t="str">
        <f t="shared" si="1340"/>
        <v>22,10,090</v>
      </c>
      <c r="AC212" s="11" t="str">
        <f t="shared" si="1323"/>
        <v>22</v>
      </c>
      <c r="AD212" s="11" t="str">
        <f t="shared" si="1324"/>
        <v>10,090</v>
      </c>
      <c r="AE212" s="11">
        <f t="shared" si="1325"/>
        <v>0.36946944444444441</v>
      </c>
      <c r="AF212" s="14">
        <f t="shared" si="1326"/>
        <v>27.106436406558959</v>
      </c>
      <c r="AG212" s="41">
        <f t="shared" si="1327"/>
        <v>-100</v>
      </c>
      <c r="AH212" s="105">
        <f t="shared" si="1269"/>
        <v>20.3</v>
      </c>
      <c r="AI212" s="105">
        <f t="shared" si="1269"/>
        <v>1.5089999999999999</v>
      </c>
      <c r="AJ212" s="105">
        <f t="shared" si="1269"/>
        <v>1.504</v>
      </c>
      <c r="AK212" s="53">
        <f t="shared" si="1328"/>
        <v>0</v>
      </c>
      <c r="AL212" s="53"/>
      <c r="AM212" s="54">
        <f t="shared" ref="AM212:AN212" si="1341">AM211</f>
        <v>5.0129999999999999</v>
      </c>
      <c r="AN212" s="101" t="str">
        <f t="shared" si="1341"/>
        <v>17,59,050</v>
      </c>
      <c r="AO212" s="11" t="str">
        <f t="shared" si="1330"/>
        <v>17</v>
      </c>
      <c r="AP212" s="11" t="str">
        <f t="shared" si="1331"/>
        <v>59,050</v>
      </c>
      <c r="AQ212" s="11">
        <f t="shared" si="1332"/>
        <v>0.29973611111111109</v>
      </c>
      <c r="AR212" s="14">
        <f t="shared" si="1333"/>
        <v>16.724711551827998</v>
      </c>
      <c r="AS212" s="41">
        <f t="shared" si="1334"/>
        <v>-100</v>
      </c>
      <c r="AT212" s="43" t="str">
        <f t="shared" si="1335"/>
        <v>NO CONFORME</v>
      </c>
      <c r="AU212" s="8" t="b">
        <f t="shared" si="1257"/>
        <v>1</v>
      </c>
      <c r="AV212" s="8" t="b">
        <f t="shared" si="1258"/>
        <v>0</v>
      </c>
      <c r="AW212" s="8" t="b">
        <f t="shared" si="1259"/>
        <v>1</v>
      </c>
      <c r="AX212" s="8" t="str">
        <f t="shared" si="1260"/>
        <v>Qcorrecto</v>
      </c>
      <c r="AY212" s="22" t="str">
        <f t="shared" si="1240"/>
        <v>aceptable</v>
      </c>
      <c r="AZ212" s="22" t="str">
        <f t="shared" si="1241"/>
        <v>aceptable</v>
      </c>
      <c r="BA212" s="22" t="str">
        <f t="shared" si="1261"/>
        <v>aceptable</v>
      </c>
      <c r="BB212" s="25" t="str">
        <f t="shared" si="1262"/>
        <v>NO CONFORME</v>
      </c>
      <c r="BC212" s="5" t="str">
        <f t="shared" si="1263"/>
        <v>NO CONFORME</v>
      </c>
      <c r="BD212" s="15">
        <f t="shared" si="1242"/>
        <v>-1</v>
      </c>
      <c r="BE212" s="15">
        <f t="shared" si="1243"/>
        <v>-1</v>
      </c>
      <c r="BF212" s="15">
        <f t="shared" si="1244"/>
        <v>-1</v>
      </c>
      <c r="BG212" s="15" t="str">
        <f t="shared" si="1245"/>
        <v>-1-1-1</v>
      </c>
      <c r="BH212" s="15" t="str">
        <f t="shared" si="1246"/>
        <v>SD</v>
      </c>
      <c r="BI212" s="15" t="str">
        <f t="shared" si="1247"/>
        <v>SI</v>
      </c>
      <c r="BJ212" s="15" t="b">
        <f t="shared" si="1248"/>
        <v>1</v>
      </c>
      <c r="BK212" s="15" t="str">
        <f t="shared" si="1249"/>
        <v>SIGIGUALES</v>
      </c>
      <c r="BL212" s="22" t="str">
        <f t="shared" si="1250"/>
        <v>NO CONFORME</v>
      </c>
    </row>
    <row r="213" spans="1:64" ht="15.75" thickBot="1" x14ac:dyDescent="0.3">
      <c r="A213" s="37">
        <v>205</v>
      </c>
      <c r="B213" s="93">
        <f t="shared" ref="B213:E213" si="1342">B212</f>
        <v>45919</v>
      </c>
      <c r="C213" s="93">
        <f t="shared" si="1342"/>
        <v>45919</v>
      </c>
      <c r="D213" s="94">
        <f t="shared" si="1342"/>
        <v>6</v>
      </c>
      <c r="E213" s="95">
        <f t="shared" si="1342"/>
        <v>15</v>
      </c>
      <c r="F213" s="52"/>
      <c r="G213" s="96"/>
      <c r="H213" s="97">
        <f t="shared" ref="H213:L213" si="1343">H212</f>
        <v>25.6</v>
      </c>
      <c r="I213" s="98">
        <f t="shared" si="1343"/>
        <v>0</v>
      </c>
      <c r="J213" s="99">
        <f t="shared" si="1343"/>
        <v>20.9</v>
      </c>
      <c r="K213" s="99">
        <f t="shared" si="1343"/>
        <v>7.883</v>
      </c>
      <c r="L213" s="99">
        <f t="shared" si="1343"/>
        <v>0.55400000000000005</v>
      </c>
      <c r="M213" s="53"/>
      <c r="N213" s="53"/>
      <c r="O213" s="100">
        <f t="shared" ref="O213:P213" si="1344">O212</f>
        <v>100.62</v>
      </c>
      <c r="P213" s="101" t="str">
        <f t="shared" si="1344"/>
        <v>2,29,560</v>
      </c>
      <c r="Q213" s="11" t="str">
        <f t="shared" si="1316"/>
        <v>2</v>
      </c>
      <c r="R213" s="11" t="str">
        <f t="shared" si="1317"/>
        <v>29,560</v>
      </c>
      <c r="S213" s="11">
        <f t="shared" si="1318"/>
        <v>4.1544444444444446E-2</v>
      </c>
      <c r="T213" s="14">
        <f t="shared" si="1319"/>
        <v>2421.9844878309709</v>
      </c>
      <c r="U213" s="39">
        <f t="shared" si="1320"/>
        <v>-100</v>
      </c>
      <c r="V213" s="105">
        <f t="shared" ref="V213:W213" si="1345">V212</f>
        <v>20.399999999999999</v>
      </c>
      <c r="W213" s="105">
        <f t="shared" si="1345"/>
        <v>1.5069999999999999</v>
      </c>
      <c r="X213" s="106">
        <f t="shared" si="1254"/>
        <v>1.504</v>
      </c>
      <c r="Y213" s="53"/>
      <c r="Z213" s="53"/>
      <c r="AA213" s="107">
        <f t="shared" ref="AA213:AB213" si="1346">AA212</f>
        <v>10.015000000000001</v>
      </c>
      <c r="AB213" s="108" t="str">
        <f t="shared" si="1346"/>
        <v>22,10,090</v>
      </c>
      <c r="AC213" s="11" t="str">
        <f t="shared" si="1323"/>
        <v>22</v>
      </c>
      <c r="AD213" s="11" t="str">
        <f t="shared" si="1324"/>
        <v>10,090</v>
      </c>
      <c r="AE213" s="11">
        <f t="shared" si="1325"/>
        <v>0.36946944444444441</v>
      </c>
      <c r="AF213" s="14">
        <f t="shared" si="1326"/>
        <v>27.106436406558959</v>
      </c>
      <c r="AG213" s="41">
        <f t="shared" si="1327"/>
        <v>-100</v>
      </c>
      <c r="AH213" s="105">
        <f t="shared" si="1269"/>
        <v>20.3</v>
      </c>
      <c r="AI213" s="105">
        <f t="shared" si="1269"/>
        <v>1.5089999999999999</v>
      </c>
      <c r="AJ213" s="105">
        <f t="shared" si="1269"/>
        <v>1.504</v>
      </c>
      <c r="AK213" s="53">
        <f t="shared" si="1328"/>
        <v>0</v>
      </c>
      <c r="AL213" s="53"/>
      <c r="AM213" s="54">
        <f t="shared" ref="AM213:AN213" si="1347">AM212</f>
        <v>5.0129999999999999</v>
      </c>
      <c r="AN213" s="101" t="str">
        <f t="shared" si="1347"/>
        <v>17,59,050</v>
      </c>
      <c r="AO213" s="11" t="str">
        <f t="shared" si="1330"/>
        <v>17</v>
      </c>
      <c r="AP213" s="11" t="str">
        <f t="shared" si="1331"/>
        <v>59,050</v>
      </c>
      <c r="AQ213" s="11">
        <f t="shared" si="1332"/>
        <v>0.29973611111111109</v>
      </c>
      <c r="AR213" s="14">
        <f t="shared" si="1333"/>
        <v>16.724711551827998</v>
      </c>
      <c r="AS213" s="41">
        <f t="shared" si="1334"/>
        <v>-100</v>
      </c>
      <c r="AT213" s="43" t="str">
        <f t="shared" si="1335"/>
        <v>NO CONFORME</v>
      </c>
      <c r="AU213" s="8" t="b">
        <f t="shared" si="1257"/>
        <v>1</v>
      </c>
      <c r="AV213" s="8" t="b">
        <f t="shared" si="1258"/>
        <v>0</v>
      </c>
      <c r="AW213" s="8" t="b">
        <f t="shared" si="1259"/>
        <v>1</v>
      </c>
      <c r="AX213" s="8" t="str">
        <f t="shared" si="1260"/>
        <v>Qcorrecto</v>
      </c>
      <c r="AY213" s="22" t="str">
        <f t="shared" si="1240"/>
        <v>aceptable</v>
      </c>
      <c r="AZ213" s="22" t="str">
        <f t="shared" si="1241"/>
        <v>aceptable</v>
      </c>
      <c r="BA213" s="22" t="str">
        <f t="shared" si="1261"/>
        <v>aceptable</v>
      </c>
      <c r="BB213" s="25" t="str">
        <f t="shared" si="1262"/>
        <v>NO CONFORME</v>
      </c>
      <c r="BC213" s="5" t="str">
        <f t="shared" si="1263"/>
        <v>NO CONFORME</v>
      </c>
      <c r="BD213" s="15">
        <f t="shared" si="1242"/>
        <v>-1</v>
      </c>
      <c r="BE213" s="15">
        <f t="shared" si="1243"/>
        <v>-1</v>
      </c>
      <c r="BF213" s="15">
        <f t="shared" si="1244"/>
        <v>-1</v>
      </c>
      <c r="BG213" s="15" t="str">
        <f t="shared" si="1245"/>
        <v>-1-1-1</v>
      </c>
      <c r="BH213" s="15" t="str">
        <f t="shared" si="1246"/>
        <v>SD</v>
      </c>
      <c r="BI213" s="15" t="str">
        <f t="shared" si="1247"/>
        <v>SI</v>
      </c>
      <c r="BJ213" s="15" t="b">
        <f t="shared" si="1248"/>
        <v>1</v>
      </c>
      <c r="BK213" s="15" t="str">
        <f t="shared" si="1249"/>
        <v>SIGIGUALES</v>
      </c>
      <c r="BL213" s="22" t="str">
        <f t="shared" si="1250"/>
        <v>NO CONFORME</v>
      </c>
    </row>
    <row r="214" spans="1:64" ht="15.75" thickBot="1" x14ac:dyDescent="0.3">
      <c r="A214" s="37">
        <v>206</v>
      </c>
      <c r="B214" s="93">
        <f t="shared" ref="B214:E214" si="1348">B213</f>
        <v>45919</v>
      </c>
      <c r="C214" s="93">
        <f t="shared" si="1348"/>
        <v>45919</v>
      </c>
      <c r="D214" s="94">
        <f t="shared" si="1348"/>
        <v>6</v>
      </c>
      <c r="E214" s="95">
        <f t="shared" si="1348"/>
        <v>15</v>
      </c>
      <c r="F214" s="52"/>
      <c r="G214" s="96"/>
      <c r="H214" s="97">
        <f t="shared" ref="H214:L214" si="1349">H213</f>
        <v>25.6</v>
      </c>
      <c r="I214" s="98">
        <f t="shared" si="1349"/>
        <v>0</v>
      </c>
      <c r="J214" s="99">
        <f t="shared" si="1349"/>
        <v>20.9</v>
      </c>
      <c r="K214" s="99">
        <f t="shared" si="1349"/>
        <v>7.883</v>
      </c>
      <c r="L214" s="99">
        <f t="shared" si="1349"/>
        <v>0.55400000000000005</v>
      </c>
      <c r="M214" s="53"/>
      <c r="N214" s="53"/>
      <c r="O214" s="100">
        <f t="shared" ref="O214:P214" si="1350">O213</f>
        <v>100.62</v>
      </c>
      <c r="P214" s="101" t="str">
        <f t="shared" si="1350"/>
        <v>2,29,560</v>
      </c>
      <c r="Q214" s="11" t="str">
        <f t="shared" si="1316"/>
        <v>2</v>
      </c>
      <c r="R214" s="11" t="str">
        <f t="shared" si="1317"/>
        <v>29,560</v>
      </c>
      <c r="S214" s="11">
        <f t="shared" si="1318"/>
        <v>4.1544444444444446E-2</v>
      </c>
      <c r="T214" s="14">
        <f t="shared" si="1319"/>
        <v>2421.9844878309709</v>
      </c>
      <c r="U214" s="39">
        <f t="shared" si="1320"/>
        <v>-100</v>
      </c>
      <c r="V214" s="105">
        <f t="shared" ref="V214:W214" si="1351">V213</f>
        <v>20.399999999999999</v>
      </c>
      <c r="W214" s="105">
        <f t="shared" si="1351"/>
        <v>1.5069999999999999</v>
      </c>
      <c r="X214" s="106">
        <f t="shared" si="1254"/>
        <v>1.504</v>
      </c>
      <c r="Y214" s="53"/>
      <c r="Z214" s="53"/>
      <c r="AA214" s="107">
        <f t="shared" ref="AA214:AB214" si="1352">AA213</f>
        <v>10.015000000000001</v>
      </c>
      <c r="AB214" s="108" t="str">
        <f t="shared" si="1352"/>
        <v>22,10,090</v>
      </c>
      <c r="AC214" s="11" t="str">
        <f t="shared" si="1323"/>
        <v>22</v>
      </c>
      <c r="AD214" s="11" t="str">
        <f t="shared" si="1324"/>
        <v>10,090</v>
      </c>
      <c r="AE214" s="11">
        <f t="shared" si="1325"/>
        <v>0.36946944444444441</v>
      </c>
      <c r="AF214" s="14">
        <f t="shared" si="1326"/>
        <v>27.106436406558959</v>
      </c>
      <c r="AG214" s="41">
        <f t="shared" si="1327"/>
        <v>-100</v>
      </c>
      <c r="AH214" s="105">
        <f t="shared" si="1269"/>
        <v>20.3</v>
      </c>
      <c r="AI214" s="105">
        <f t="shared" si="1269"/>
        <v>1.5089999999999999</v>
      </c>
      <c r="AJ214" s="105">
        <f t="shared" si="1269"/>
        <v>1.504</v>
      </c>
      <c r="AK214" s="53">
        <f t="shared" si="1328"/>
        <v>0</v>
      </c>
      <c r="AL214" s="53"/>
      <c r="AM214" s="54">
        <f t="shared" ref="AM214:AN214" si="1353">AM213</f>
        <v>5.0129999999999999</v>
      </c>
      <c r="AN214" s="101" t="str">
        <f t="shared" si="1353"/>
        <v>17,59,050</v>
      </c>
      <c r="AO214" s="11" t="str">
        <f t="shared" si="1330"/>
        <v>17</v>
      </c>
      <c r="AP214" s="11" t="str">
        <f t="shared" si="1331"/>
        <v>59,050</v>
      </c>
      <c r="AQ214" s="11">
        <f t="shared" si="1332"/>
        <v>0.29973611111111109</v>
      </c>
      <c r="AR214" s="14">
        <f t="shared" si="1333"/>
        <v>16.724711551827998</v>
      </c>
      <c r="AS214" s="41">
        <f t="shared" si="1334"/>
        <v>-100</v>
      </c>
      <c r="AT214" s="43" t="str">
        <f t="shared" si="1335"/>
        <v>NO CONFORME</v>
      </c>
      <c r="AU214" s="8" t="b">
        <f t="shared" si="1257"/>
        <v>1</v>
      </c>
      <c r="AV214" s="8" t="b">
        <f t="shared" si="1258"/>
        <v>0</v>
      </c>
      <c r="AW214" s="8" t="b">
        <f t="shared" si="1259"/>
        <v>1</v>
      </c>
      <c r="AX214" s="8" t="str">
        <f t="shared" si="1260"/>
        <v>Qcorrecto</v>
      </c>
      <c r="AY214" s="22" t="str">
        <f t="shared" si="1240"/>
        <v>aceptable</v>
      </c>
      <c r="AZ214" s="22" t="str">
        <f t="shared" si="1241"/>
        <v>aceptable</v>
      </c>
      <c r="BA214" s="22" t="str">
        <f t="shared" si="1261"/>
        <v>aceptable</v>
      </c>
      <c r="BB214" s="25" t="str">
        <f t="shared" si="1262"/>
        <v>NO CONFORME</v>
      </c>
      <c r="BC214" s="5" t="str">
        <f t="shared" si="1263"/>
        <v>NO CONFORME</v>
      </c>
      <c r="BD214" s="15">
        <f t="shared" si="1242"/>
        <v>-1</v>
      </c>
      <c r="BE214" s="15">
        <f t="shared" si="1243"/>
        <v>-1</v>
      </c>
      <c r="BF214" s="15">
        <f t="shared" si="1244"/>
        <v>-1</v>
      </c>
      <c r="BG214" s="15" t="str">
        <f t="shared" si="1245"/>
        <v>-1-1-1</v>
      </c>
      <c r="BH214" s="15" t="str">
        <f t="shared" si="1246"/>
        <v>SD</v>
      </c>
      <c r="BI214" s="15" t="str">
        <f t="shared" si="1247"/>
        <v>SI</v>
      </c>
      <c r="BJ214" s="15" t="b">
        <f t="shared" si="1248"/>
        <v>1</v>
      </c>
      <c r="BK214" s="15" t="str">
        <f t="shared" si="1249"/>
        <v>SIGIGUALES</v>
      </c>
      <c r="BL214" s="22" t="str">
        <f t="shared" si="1250"/>
        <v>NO CONFORME</v>
      </c>
    </row>
    <row r="215" spans="1:64" ht="15.75" thickBot="1" x14ac:dyDescent="0.3">
      <c r="A215" s="37">
        <v>207</v>
      </c>
      <c r="B215" s="93">
        <f t="shared" ref="B215:E215" si="1354">B214</f>
        <v>45919</v>
      </c>
      <c r="C215" s="93">
        <f t="shared" si="1354"/>
        <v>45919</v>
      </c>
      <c r="D215" s="94">
        <f t="shared" si="1354"/>
        <v>6</v>
      </c>
      <c r="E215" s="95">
        <f t="shared" si="1354"/>
        <v>15</v>
      </c>
      <c r="F215" s="52"/>
      <c r="G215" s="96"/>
      <c r="H215" s="97">
        <f t="shared" ref="H215:L215" si="1355">H214</f>
        <v>25.6</v>
      </c>
      <c r="I215" s="98">
        <f t="shared" si="1355"/>
        <v>0</v>
      </c>
      <c r="J215" s="99">
        <f t="shared" si="1355"/>
        <v>20.9</v>
      </c>
      <c r="K215" s="99">
        <f t="shared" si="1355"/>
        <v>7.883</v>
      </c>
      <c r="L215" s="99">
        <f t="shared" si="1355"/>
        <v>0.55400000000000005</v>
      </c>
      <c r="M215" s="53"/>
      <c r="N215" s="53"/>
      <c r="O215" s="100">
        <f t="shared" ref="O215:P215" si="1356">O214</f>
        <v>100.62</v>
      </c>
      <c r="P215" s="101" t="str">
        <f t="shared" si="1356"/>
        <v>2,29,560</v>
      </c>
      <c r="Q215" s="11" t="str">
        <f t="shared" si="1316"/>
        <v>2</v>
      </c>
      <c r="R215" s="11" t="str">
        <f t="shared" si="1317"/>
        <v>29,560</v>
      </c>
      <c r="S215" s="11">
        <f t="shared" si="1318"/>
        <v>4.1544444444444446E-2</v>
      </c>
      <c r="T215" s="14">
        <f t="shared" si="1319"/>
        <v>2421.9844878309709</v>
      </c>
      <c r="U215" s="39">
        <f t="shared" si="1320"/>
        <v>-100</v>
      </c>
      <c r="V215" s="105">
        <f t="shared" ref="V215:W215" si="1357">V214</f>
        <v>20.399999999999999</v>
      </c>
      <c r="W215" s="105">
        <f t="shared" si="1357"/>
        <v>1.5069999999999999</v>
      </c>
      <c r="X215" s="106">
        <f t="shared" si="1254"/>
        <v>1.504</v>
      </c>
      <c r="Y215" s="53"/>
      <c r="Z215" s="53"/>
      <c r="AA215" s="107">
        <f t="shared" ref="AA215:AB215" si="1358">AA214</f>
        <v>10.015000000000001</v>
      </c>
      <c r="AB215" s="108" t="str">
        <f t="shared" si="1358"/>
        <v>22,10,090</v>
      </c>
      <c r="AC215" s="11" t="str">
        <f t="shared" si="1323"/>
        <v>22</v>
      </c>
      <c r="AD215" s="11" t="str">
        <f t="shared" si="1324"/>
        <v>10,090</v>
      </c>
      <c r="AE215" s="11">
        <f t="shared" si="1325"/>
        <v>0.36946944444444441</v>
      </c>
      <c r="AF215" s="14">
        <f t="shared" si="1326"/>
        <v>27.106436406558959</v>
      </c>
      <c r="AG215" s="41">
        <f t="shared" si="1327"/>
        <v>-100</v>
      </c>
      <c r="AH215" s="105">
        <f t="shared" si="1269"/>
        <v>20.3</v>
      </c>
      <c r="AI215" s="105">
        <f t="shared" si="1269"/>
        <v>1.5089999999999999</v>
      </c>
      <c r="AJ215" s="105">
        <f t="shared" si="1269"/>
        <v>1.504</v>
      </c>
      <c r="AK215" s="53">
        <f t="shared" si="1328"/>
        <v>0</v>
      </c>
      <c r="AL215" s="53"/>
      <c r="AM215" s="54">
        <f t="shared" ref="AM215:AN215" si="1359">AM214</f>
        <v>5.0129999999999999</v>
      </c>
      <c r="AN215" s="101" t="str">
        <f t="shared" si="1359"/>
        <v>17,59,050</v>
      </c>
      <c r="AO215" s="11" t="str">
        <f t="shared" si="1330"/>
        <v>17</v>
      </c>
      <c r="AP215" s="11" t="str">
        <f t="shared" si="1331"/>
        <v>59,050</v>
      </c>
      <c r="AQ215" s="11">
        <f t="shared" si="1332"/>
        <v>0.29973611111111109</v>
      </c>
      <c r="AR215" s="14">
        <f t="shared" si="1333"/>
        <v>16.724711551827998</v>
      </c>
      <c r="AS215" s="41">
        <f t="shared" si="1334"/>
        <v>-100</v>
      </c>
      <c r="AT215" s="43" t="str">
        <f t="shared" si="1335"/>
        <v>NO CONFORME</v>
      </c>
      <c r="AU215" s="8" t="b">
        <f t="shared" si="1257"/>
        <v>1</v>
      </c>
      <c r="AV215" s="8" t="b">
        <f t="shared" si="1258"/>
        <v>0</v>
      </c>
      <c r="AW215" s="8" t="b">
        <f t="shared" si="1259"/>
        <v>1</v>
      </c>
      <c r="AX215" s="8" t="str">
        <f t="shared" si="1260"/>
        <v>Qcorrecto</v>
      </c>
      <c r="AY215" s="22" t="str">
        <f t="shared" si="1240"/>
        <v>aceptable</v>
      </c>
      <c r="AZ215" s="22" t="str">
        <f t="shared" si="1241"/>
        <v>aceptable</v>
      </c>
      <c r="BA215" s="22" t="str">
        <f t="shared" si="1261"/>
        <v>aceptable</v>
      </c>
      <c r="BB215" s="25" t="str">
        <f t="shared" si="1262"/>
        <v>NO CONFORME</v>
      </c>
      <c r="BC215" s="5" t="str">
        <f t="shared" si="1263"/>
        <v>NO CONFORME</v>
      </c>
      <c r="BD215" s="15">
        <f t="shared" si="1242"/>
        <v>-1</v>
      </c>
      <c r="BE215" s="15">
        <f t="shared" si="1243"/>
        <v>-1</v>
      </c>
      <c r="BF215" s="15">
        <f t="shared" si="1244"/>
        <v>-1</v>
      </c>
      <c r="BG215" s="15" t="str">
        <f t="shared" si="1245"/>
        <v>-1-1-1</v>
      </c>
      <c r="BH215" s="15" t="str">
        <f t="shared" si="1246"/>
        <v>SD</v>
      </c>
      <c r="BI215" s="15" t="str">
        <f t="shared" si="1247"/>
        <v>SI</v>
      </c>
      <c r="BJ215" s="15" t="b">
        <f t="shared" si="1248"/>
        <v>1</v>
      </c>
      <c r="BK215" s="15" t="str">
        <f t="shared" si="1249"/>
        <v>SIGIGUALES</v>
      </c>
      <c r="BL215" s="22" t="str">
        <f t="shared" si="1250"/>
        <v>NO CONFORME</v>
      </c>
    </row>
    <row r="216" spans="1:64" ht="15.75" thickBot="1" x14ac:dyDescent="0.3">
      <c r="A216" s="37">
        <v>208</v>
      </c>
      <c r="B216" s="93">
        <f t="shared" ref="B216:E216" si="1360">B215</f>
        <v>45919</v>
      </c>
      <c r="C216" s="93">
        <f t="shared" si="1360"/>
        <v>45919</v>
      </c>
      <c r="D216" s="94">
        <f t="shared" si="1360"/>
        <v>6</v>
      </c>
      <c r="E216" s="95">
        <f t="shared" si="1360"/>
        <v>15</v>
      </c>
      <c r="F216" s="52"/>
      <c r="G216" s="96"/>
      <c r="H216" s="97">
        <f t="shared" ref="H216:L216" si="1361">H215</f>
        <v>25.6</v>
      </c>
      <c r="I216" s="98">
        <f t="shared" si="1361"/>
        <v>0</v>
      </c>
      <c r="J216" s="99">
        <f t="shared" si="1361"/>
        <v>20.9</v>
      </c>
      <c r="K216" s="99">
        <f t="shared" si="1361"/>
        <v>7.883</v>
      </c>
      <c r="L216" s="99">
        <f t="shared" si="1361"/>
        <v>0.55400000000000005</v>
      </c>
      <c r="M216" s="53"/>
      <c r="N216" s="53"/>
      <c r="O216" s="100">
        <f t="shared" ref="O216:P216" si="1362">O215</f>
        <v>100.62</v>
      </c>
      <c r="P216" s="101" t="str">
        <f t="shared" si="1362"/>
        <v>2,29,560</v>
      </c>
      <c r="Q216" s="11" t="str">
        <f t="shared" si="1316"/>
        <v>2</v>
      </c>
      <c r="R216" s="11" t="str">
        <f t="shared" si="1317"/>
        <v>29,560</v>
      </c>
      <c r="S216" s="11">
        <f t="shared" si="1318"/>
        <v>4.1544444444444446E-2</v>
      </c>
      <c r="T216" s="14">
        <f t="shared" si="1319"/>
        <v>2421.9844878309709</v>
      </c>
      <c r="U216" s="39">
        <f t="shared" si="1320"/>
        <v>-100</v>
      </c>
      <c r="V216" s="105">
        <f t="shared" ref="V216:W216" si="1363">V215</f>
        <v>20.399999999999999</v>
      </c>
      <c r="W216" s="105">
        <f t="shared" si="1363"/>
        <v>1.5069999999999999</v>
      </c>
      <c r="X216" s="106">
        <f t="shared" si="1254"/>
        <v>1.504</v>
      </c>
      <c r="Y216" s="53"/>
      <c r="Z216" s="53"/>
      <c r="AA216" s="107">
        <f t="shared" ref="AA216:AB216" si="1364">AA215</f>
        <v>10.015000000000001</v>
      </c>
      <c r="AB216" s="108" t="str">
        <f t="shared" si="1364"/>
        <v>22,10,090</v>
      </c>
      <c r="AC216" s="11" t="str">
        <f t="shared" si="1323"/>
        <v>22</v>
      </c>
      <c r="AD216" s="11" t="str">
        <f t="shared" si="1324"/>
        <v>10,090</v>
      </c>
      <c r="AE216" s="11">
        <f t="shared" si="1325"/>
        <v>0.36946944444444441</v>
      </c>
      <c r="AF216" s="14">
        <f t="shared" si="1326"/>
        <v>27.106436406558959</v>
      </c>
      <c r="AG216" s="41">
        <f t="shared" si="1327"/>
        <v>-100</v>
      </c>
      <c r="AH216" s="105">
        <f t="shared" si="1269"/>
        <v>20.3</v>
      </c>
      <c r="AI216" s="105">
        <f t="shared" si="1269"/>
        <v>1.5089999999999999</v>
      </c>
      <c r="AJ216" s="105">
        <f t="shared" si="1269"/>
        <v>1.504</v>
      </c>
      <c r="AK216" s="53">
        <f t="shared" si="1328"/>
        <v>0</v>
      </c>
      <c r="AL216" s="53"/>
      <c r="AM216" s="54">
        <f t="shared" ref="AM216:AN216" si="1365">AM215</f>
        <v>5.0129999999999999</v>
      </c>
      <c r="AN216" s="101" t="str">
        <f t="shared" si="1365"/>
        <v>17,59,050</v>
      </c>
      <c r="AO216" s="11" t="str">
        <f t="shared" si="1330"/>
        <v>17</v>
      </c>
      <c r="AP216" s="11" t="str">
        <f t="shared" si="1331"/>
        <v>59,050</v>
      </c>
      <c r="AQ216" s="11">
        <f t="shared" si="1332"/>
        <v>0.29973611111111109</v>
      </c>
      <c r="AR216" s="14">
        <f t="shared" si="1333"/>
        <v>16.724711551827998</v>
      </c>
      <c r="AS216" s="41">
        <f t="shared" si="1334"/>
        <v>-100</v>
      </c>
      <c r="AT216" s="43" t="str">
        <f t="shared" si="1335"/>
        <v>NO CONFORME</v>
      </c>
      <c r="AU216" s="8" t="b">
        <f t="shared" si="1257"/>
        <v>1</v>
      </c>
      <c r="AV216" s="8" t="b">
        <f t="shared" si="1258"/>
        <v>0</v>
      </c>
      <c r="AW216" s="8" t="b">
        <f t="shared" si="1259"/>
        <v>1</v>
      </c>
      <c r="AX216" s="8" t="str">
        <f t="shared" si="1260"/>
        <v>Qcorrecto</v>
      </c>
      <c r="AY216" s="22" t="str">
        <f t="shared" si="1240"/>
        <v>aceptable</v>
      </c>
      <c r="AZ216" s="22" t="str">
        <f t="shared" si="1241"/>
        <v>aceptable</v>
      </c>
      <c r="BA216" s="22" t="str">
        <f t="shared" si="1261"/>
        <v>aceptable</v>
      </c>
      <c r="BB216" s="25" t="str">
        <f t="shared" si="1262"/>
        <v>NO CONFORME</v>
      </c>
      <c r="BC216" s="5" t="str">
        <f t="shared" si="1263"/>
        <v>NO CONFORME</v>
      </c>
      <c r="BD216" s="15">
        <f t="shared" si="1242"/>
        <v>-1</v>
      </c>
      <c r="BE216" s="15">
        <f t="shared" si="1243"/>
        <v>-1</v>
      </c>
      <c r="BF216" s="15">
        <f t="shared" si="1244"/>
        <v>-1</v>
      </c>
      <c r="BG216" s="15" t="str">
        <f t="shared" si="1245"/>
        <v>-1-1-1</v>
      </c>
      <c r="BH216" s="15" t="str">
        <f t="shared" si="1246"/>
        <v>SD</v>
      </c>
      <c r="BI216" s="15" t="str">
        <f t="shared" si="1247"/>
        <v>SI</v>
      </c>
      <c r="BJ216" s="15" t="b">
        <f t="shared" si="1248"/>
        <v>1</v>
      </c>
      <c r="BK216" s="15" t="str">
        <f t="shared" si="1249"/>
        <v>SIGIGUALES</v>
      </c>
      <c r="BL216" s="22" t="str">
        <f t="shared" si="1250"/>
        <v>NO CONFORME</v>
      </c>
    </row>
    <row r="217" spans="1:64" ht="15.75" thickBot="1" x14ac:dyDescent="0.3">
      <c r="A217" s="37">
        <v>209</v>
      </c>
      <c r="B217" s="93">
        <f t="shared" ref="B217:E217" si="1366">B216</f>
        <v>45919</v>
      </c>
      <c r="C217" s="93">
        <f t="shared" si="1366"/>
        <v>45919</v>
      </c>
      <c r="D217" s="94">
        <f t="shared" si="1366"/>
        <v>6</v>
      </c>
      <c r="E217" s="95">
        <f t="shared" si="1366"/>
        <v>15</v>
      </c>
      <c r="F217" s="52"/>
      <c r="G217" s="96"/>
      <c r="H217" s="97">
        <f t="shared" ref="H217:L217" si="1367">H216</f>
        <v>25.6</v>
      </c>
      <c r="I217" s="98">
        <f t="shared" si="1367"/>
        <v>0</v>
      </c>
      <c r="J217" s="99">
        <f t="shared" si="1367"/>
        <v>20.9</v>
      </c>
      <c r="K217" s="99">
        <f t="shared" si="1367"/>
        <v>7.883</v>
      </c>
      <c r="L217" s="99">
        <f t="shared" si="1367"/>
        <v>0.55400000000000005</v>
      </c>
      <c r="M217" s="53"/>
      <c r="N217" s="53"/>
      <c r="O217" s="100">
        <f t="shared" ref="O217:P217" si="1368">O216</f>
        <v>100.62</v>
      </c>
      <c r="P217" s="101" t="str">
        <f t="shared" si="1368"/>
        <v>2,29,560</v>
      </c>
      <c r="Q217" s="11" t="str">
        <f t="shared" si="1316"/>
        <v>2</v>
      </c>
      <c r="R217" s="11" t="str">
        <f t="shared" si="1317"/>
        <v>29,560</v>
      </c>
      <c r="S217" s="11">
        <f t="shared" si="1318"/>
        <v>4.1544444444444446E-2</v>
      </c>
      <c r="T217" s="14">
        <f t="shared" si="1319"/>
        <v>2421.9844878309709</v>
      </c>
      <c r="U217" s="39">
        <f t="shared" si="1320"/>
        <v>-100</v>
      </c>
      <c r="V217" s="105">
        <f t="shared" ref="V217:W217" si="1369">V216</f>
        <v>20.399999999999999</v>
      </c>
      <c r="W217" s="105">
        <f t="shared" si="1369"/>
        <v>1.5069999999999999</v>
      </c>
      <c r="X217" s="106">
        <f t="shared" si="1254"/>
        <v>1.504</v>
      </c>
      <c r="Y217" s="53"/>
      <c r="Z217" s="53"/>
      <c r="AA217" s="107">
        <f t="shared" ref="AA217:AB217" si="1370">AA216</f>
        <v>10.015000000000001</v>
      </c>
      <c r="AB217" s="108" t="str">
        <f t="shared" si="1370"/>
        <v>22,10,090</v>
      </c>
      <c r="AC217" s="11" t="str">
        <f t="shared" si="1323"/>
        <v>22</v>
      </c>
      <c r="AD217" s="11" t="str">
        <f t="shared" si="1324"/>
        <v>10,090</v>
      </c>
      <c r="AE217" s="11">
        <f t="shared" si="1325"/>
        <v>0.36946944444444441</v>
      </c>
      <c r="AF217" s="14">
        <f t="shared" si="1326"/>
        <v>27.106436406558959</v>
      </c>
      <c r="AG217" s="41">
        <f t="shared" si="1327"/>
        <v>-100</v>
      </c>
      <c r="AH217" s="105">
        <f t="shared" si="1269"/>
        <v>20.3</v>
      </c>
      <c r="AI217" s="105">
        <f t="shared" si="1269"/>
        <v>1.5089999999999999</v>
      </c>
      <c r="AJ217" s="105">
        <f t="shared" si="1269"/>
        <v>1.504</v>
      </c>
      <c r="AK217" s="53">
        <f t="shared" si="1328"/>
        <v>0</v>
      </c>
      <c r="AL217" s="53"/>
      <c r="AM217" s="54">
        <f t="shared" ref="AM217:AN217" si="1371">AM216</f>
        <v>5.0129999999999999</v>
      </c>
      <c r="AN217" s="101" t="str">
        <f t="shared" si="1371"/>
        <v>17,59,050</v>
      </c>
      <c r="AO217" s="11" t="str">
        <f t="shared" si="1330"/>
        <v>17</v>
      </c>
      <c r="AP217" s="11" t="str">
        <f t="shared" si="1331"/>
        <v>59,050</v>
      </c>
      <c r="AQ217" s="11">
        <f t="shared" si="1332"/>
        <v>0.29973611111111109</v>
      </c>
      <c r="AR217" s="14">
        <f t="shared" si="1333"/>
        <v>16.724711551827998</v>
      </c>
      <c r="AS217" s="41">
        <f t="shared" si="1334"/>
        <v>-100</v>
      </c>
      <c r="AT217" s="43" t="str">
        <f t="shared" si="1335"/>
        <v>NO CONFORME</v>
      </c>
      <c r="AU217" s="8" t="b">
        <f t="shared" si="1257"/>
        <v>1</v>
      </c>
      <c r="AV217" s="8" t="b">
        <f>N217&lt;Y217</f>
        <v>0</v>
      </c>
      <c r="AW217" s="8" t="b">
        <f t="shared" si="1259"/>
        <v>1</v>
      </c>
      <c r="AX217" s="8" t="str">
        <f t="shared" si="1260"/>
        <v>Qcorrecto</v>
      </c>
      <c r="AY217" s="22" t="str">
        <f t="shared" si="1240"/>
        <v>aceptable</v>
      </c>
      <c r="AZ217" s="22" t="str">
        <f t="shared" si="1241"/>
        <v>aceptable</v>
      </c>
      <c r="BA217" s="22" t="str">
        <f t="shared" si="1261"/>
        <v>aceptable</v>
      </c>
      <c r="BB217" s="25" t="str">
        <f t="shared" si="1262"/>
        <v>NO CONFORME</v>
      </c>
      <c r="BC217" s="5" t="str">
        <f t="shared" si="1263"/>
        <v>NO CONFORME</v>
      </c>
      <c r="BD217" s="15">
        <f t="shared" si="1242"/>
        <v>-1</v>
      </c>
      <c r="BE217" s="15">
        <f t="shared" si="1243"/>
        <v>-1</v>
      </c>
      <c r="BF217" s="15">
        <f t="shared" si="1244"/>
        <v>-1</v>
      </c>
      <c r="BG217" s="15" t="str">
        <f t="shared" si="1245"/>
        <v>-1-1-1</v>
      </c>
      <c r="BH217" s="15" t="str">
        <f t="shared" si="1246"/>
        <v>SD</v>
      </c>
      <c r="BI217" s="15" t="str">
        <f t="shared" si="1247"/>
        <v>SI</v>
      </c>
      <c r="BJ217" s="15" t="b">
        <f t="shared" si="1248"/>
        <v>1</v>
      </c>
      <c r="BK217" s="15" t="str">
        <f t="shared" si="1249"/>
        <v>SIGIGUALES</v>
      </c>
      <c r="BL217" s="22" t="str">
        <f t="shared" si="1250"/>
        <v>NO CONFORME</v>
      </c>
    </row>
    <row r="218" spans="1:64" ht="15.75" thickBot="1" x14ac:dyDescent="0.3">
      <c r="A218" s="37">
        <v>210</v>
      </c>
      <c r="B218" s="93">
        <f t="shared" ref="B218:E218" si="1372">B217</f>
        <v>45919</v>
      </c>
      <c r="C218" s="93">
        <f t="shared" si="1372"/>
        <v>45919</v>
      </c>
      <c r="D218" s="94">
        <f t="shared" si="1372"/>
        <v>6</v>
      </c>
      <c r="E218" s="95">
        <f t="shared" si="1372"/>
        <v>15</v>
      </c>
      <c r="F218" s="52"/>
      <c r="G218" s="96"/>
      <c r="H218" s="97">
        <f t="shared" ref="H218:L218" si="1373">H217</f>
        <v>25.6</v>
      </c>
      <c r="I218" s="98">
        <f t="shared" si="1373"/>
        <v>0</v>
      </c>
      <c r="J218" s="99">
        <f t="shared" si="1373"/>
        <v>20.9</v>
      </c>
      <c r="K218" s="99">
        <f t="shared" si="1373"/>
        <v>7.883</v>
      </c>
      <c r="L218" s="99">
        <f t="shared" si="1373"/>
        <v>0.55400000000000005</v>
      </c>
      <c r="M218" s="53"/>
      <c r="N218" s="53"/>
      <c r="O218" s="100">
        <f t="shared" ref="O218:P218" si="1374">O217</f>
        <v>100.62</v>
      </c>
      <c r="P218" s="101" t="str">
        <f t="shared" si="1374"/>
        <v>2,29,560</v>
      </c>
      <c r="Q218" s="11" t="str">
        <f t="shared" si="1316"/>
        <v>2</v>
      </c>
      <c r="R218" s="11" t="str">
        <f t="shared" si="1317"/>
        <v>29,560</v>
      </c>
      <c r="S218" s="11">
        <f t="shared" si="1318"/>
        <v>4.1544444444444446E-2</v>
      </c>
      <c r="T218" s="14">
        <f t="shared" si="1319"/>
        <v>2421.9844878309709</v>
      </c>
      <c r="U218" s="39">
        <f t="shared" si="1320"/>
        <v>-100</v>
      </c>
      <c r="V218" s="105">
        <f t="shared" ref="V218:X233" si="1375">V217</f>
        <v>20.399999999999999</v>
      </c>
      <c r="W218" s="105">
        <f t="shared" si="1375"/>
        <v>1.5069999999999999</v>
      </c>
      <c r="X218" s="106">
        <f t="shared" si="1375"/>
        <v>1.504</v>
      </c>
      <c r="Y218" s="53"/>
      <c r="Z218" s="53"/>
      <c r="AA218" s="107">
        <f t="shared" ref="AA218:AB218" si="1376">AA217</f>
        <v>10.015000000000001</v>
      </c>
      <c r="AB218" s="108" t="str">
        <f t="shared" si="1376"/>
        <v>22,10,090</v>
      </c>
      <c r="AC218" s="11" t="str">
        <f t="shared" si="1323"/>
        <v>22</v>
      </c>
      <c r="AD218" s="11" t="str">
        <f t="shared" si="1324"/>
        <v>10,090</v>
      </c>
      <c r="AE218" s="11">
        <f t="shared" si="1325"/>
        <v>0.36946944444444441</v>
      </c>
      <c r="AF218" s="14">
        <f t="shared" si="1326"/>
        <v>27.106436406558959</v>
      </c>
      <c r="AG218" s="41">
        <f t="shared" si="1327"/>
        <v>-100</v>
      </c>
      <c r="AH218" s="105">
        <f t="shared" si="1269"/>
        <v>20.3</v>
      </c>
      <c r="AI218" s="105">
        <f t="shared" si="1269"/>
        <v>1.5089999999999999</v>
      </c>
      <c r="AJ218" s="105">
        <f t="shared" si="1269"/>
        <v>1.504</v>
      </c>
      <c r="AK218" s="53">
        <f t="shared" si="1328"/>
        <v>0</v>
      </c>
      <c r="AL218" s="53"/>
      <c r="AM218" s="54">
        <f t="shared" ref="AM218:AN218" si="1377">AM217</f>
        <v>5.0129999999999999</v>
      </c>
      <c r="AN218" s="101" t="str">
        <f t="shared" si="1377"/>
        <v>17,59,050</v>
      </c>
      <c r="AO218" s="11" t="str">
        <f t="shared" si="1330"/>
        <v>17</v>
      </c>
      <c r="AP218" s="11" t="str">
        <f t="shared" si="1331"/>
        <v>59,050</v>
      </c>
      <c r="AQ218" s="11">
        <f t="shared" si="1332"/>
        <v>0.29973611111111109</v>
      </c>
      <c r="AR218" s="14">
        <f t="shared" si="1333"/>
        <v>16.724711551827998</v>
      </c>
      <c r="AS218" s="41">
        <f t="shared" si="1334"/>
        <v>-100</v>
      </c>
      <c r="AT218" s="43" t="str">
        <f t="shared" si="1335"/>
        <v>NO CONFORME</v>
      </c>
      <c r="AU218" s="8" t="b">
        <f t="shared" si="1257"/>
        <v>1</v>
      </c>
      <c r="AV218" s="8" t="b">
        <f t="shared" si="1258"/>
        <v>0</v>
      </c>
      <c r="AW218" s="8" t="b">
        <f t="shared" si="1259"/>
        <v>1</v>
      </c>
      <c r="AX218" s="8" t="str">
        <f t="shared" si="1260"/>
        <v>Qcorrecto</v>
      </c>
      <c r="AY218" s="22" t="str">
        <f t="shared" si="1240"/>
        <v>aceptable</v>
      </c>
      <c r="AZ218" s="22" t="str">
        <f t="shared" si="1241"/>
        <v>aceptable</v>
      </c>
      <c r="BA218" s="22" t="str">
        <f t="shared" si="1261"/>
        <v>aceptable</v>
      </c>
      <c r="BB218" s="25" t="str">
        <f t="shared" si="1262"/>
        <v>NO CONFORME</v>
      </c>
      <c r="BC218" s="5" t="str">
        <f t="shared" si="1263"/>
        <v>NO CONFORME</v>
      </c>
      <c r="BD218" s="15">
        <f t="shared" si="1242"/>
        <v>-1</v>
      </c>
      <c r="BE218" s="15">
        <f t="shared" si="1243"/>
        <v>-1</v>
      </c>
      <c r="BF218" s="15">
        <f t="shared" si="1244"/>
        <v>-1</v>
      </c>
      <c r="BG218" s="15" t="str">
        <f t="shared" si="1245"/>
        <v>-1-1-1</v>
      </c>
      <c r="BH218" s="15" t="str">
        <f t="shared" si="1246"/>
        <v>SD</v>
      </c>
      <c r="BI218" s="15" t="str">
        <f t="shared" si="1247"/>
        <v>SI</v>
      </c>
      <c r="BJ218" s="15" t="b">
        <f t="shared" si="1248"/>
        <v>1</v>
      </c>
      <c r="BK218" s="15" t="str">
        <f t="shared" si="1249"/>
        <v>SIGIGUALES</v>
      </c>
      <c r="BL218" s="22" t="str">
        <f t="shared" si="1250"/>
        <v>NO CONFORME</v>
      </c>
    </row>
    <row r="219" spans="1:64" ht="15.75" thickBot="1" x14ac:dyDescent="0.3">
      <c r="A219" s="37">
        <v>211</v>
      </c>
      <c r="B219" s="93">
        <f t="shared" ref="B219:E219" si="1378">B218</f>
        <v>45919</v>
      </c>
      <c r="C219" s="93">
        <f t="shared" si="1378"/>
        <v>45919</v>
      </c>
      <c r="D219" s="94">
        <f t="shared" si="1378"/>
        <v>6</v>
      </c>
      <c r="E219" s="95">
        <f t="shared" si="1378"/>
        <v>15</v>
      </c>
      <c r="F219" s="52"/>
      <c r="G219" s="96"/>
      <c r="H219" s="97">
        <f t="shared" ref="H219:L219" si="1379">H218</f>
        <v>25.6</v>
      </c>
      <c r="I219" s="98">
        <f t="shared" si="1379"/>
        <v>0</v>
      </c>
      <c r="J219" s="99">
        <f t="shared" si="1379"/>
        <v>20.9</v>
      </c>
      <c r="K219" s="99">
        <f t="shared" si="1379"/>
        <v>7.883</v>
      </c>
      <c r="L219" s="99">
        <f t="shared" si="1379"/>
        <v>0.55400000000000005</v>
      </c>
      <c r="M219" s="53"/>
      <c r="N219" s="53"/>
      <c r="O219" s="100">
        <f t="shared" ref="O219:P219" si="1380">O218</f>
        <v>100.62</v>
      </c>
      <c r="P219" s="101" t="str">
        <f t="shared" si="1380"/>
        <v>2,29,560</v>
      </c>
      <c r="Q219" s="11" t="str">
        <f t="shared" si="1316"/>
        <v>2</v>
      </c>
      <c r="R219" s="11" t="str">
        <f t="shared" si="1317"/>
        <v>29,560</v>
      </c>
      <c r="S219" s="11">
        <f t="shared" si="1318"/>
        <v>4.1544444444444446E-2</v>
      </c>
      <c r="T219" s="14">
        <f t="shared" si="1319"/>
        <v>2421.9844878309709</v>
      </c>
      <c r="U219" s="39">
        <f t="shared" si="1320"/>
        <v>-100</v>
      </c>
      <c r="V219" s="105">
        <f t="shared" ref="V219:W219" si="1381">V218</f>
        <v>20.399999999999999</v>
      </c>
      <c r="W219" s="105">
        <f t="shared" si="1381"/>
        <v>1.5069999999999999</v>
      </c>
      <c r="X219" s="106">
        <f t="shared" si="1375"/>
        <v>1.504</v>
      </c>
      <c r="Y219" s="53"/>
      <c r="Z219" s="53"/>
      <c r="AA219" s="107">
        <f t="shared" ref="AA219:AB219" si="1382">AA218</f>
        <v>10.015000000000001</v>
      </c>
      <c r="AB219" s="108" t="str">
        <f t="shared" si="1382"/>
        <v>22,10,090</v>
      </c>
      <c r="AC219" s="11" t="str">
        <f t="shared" si="1323"/>
        <v>22</v>
      </c>
      <c r="AD219" s="11" t="str">
        <f t="shared" si="1324"/>
        <v>10,090</v>
      </c>
      <c r="AE219" s="11">
        <f t="shared" si="1325"/>
        <v>0.36946944444444441</v>
      </c>
      <c r="AF219" s="14">
        <f t="shared" si="1326"/>
        <v>27.106436406558959</v>
      </c>
      <c r="AG219" s="41">
        <f t="shared" si="1327"/>
        <v>-100</v>
      </c>
      <c r="AH219" s="105">
        <f t="shared" ref="AH219:AJ234" si="1383">AH218</f>
        <v>20.3</v>
      </c>
      <c r="AI219" s="105">
        <f t="shared" si="1383"/>
        <v>1.5089999999999999</v>
      </c>
      <c r="AJ219" s="105">
        <f t="shared" si="1383"/>
        <v>1.504</v>
      </c>
      <c r="AK219" s="53">
        <f t="shared" si="1328"/>
        <v>0</v>
      </c>
      <c r="AL219" s="53"/>
      <c r="AM219" s="54">
        <f t="shared" ref="AM219:AN219" si="1384">AM218</f>
        <v>5.0129999999999999</v>
      </c>
      <c r="AN219" s="101" t="str">
        <f t="shared" si="1384"/>
        <v>17,59,050</v>
      </c>
      <c r="AO219" s="11" t="str">
        <f t="shared" si="1330"/>
        <v>17</v>
      </c>
      <c r="AP219" s="11" t="str">
        <f t="shared" si="1331"/>
        <v>59,050</v>
      </c>
      <c r="AQ219" s="11">
        <f t="shared" si="1332"/>
        <v>0.29973611111111109</v>
      </c>
      <c r="AR219" s="14">
        <f t="shared" si="1333"/>
        <v>16.724711551827998</v>
      </c>
      <c r="AS219" s="41">
        <f t="shared" si="1334"/>
        <v>-100</v>
      </c>
      <c r="AT219" s="43" t="str">
        <f t="shared" si="1335"/>
        <v>NO CONFORME</v>
      </c>
      <c r="AU219" s="8" t="b">
        <f t="shared" si="1257"/>
        <v>1</v>
      </c>
      <c r="AV219" s="8" t="b">
        <f t="shared" si="1258"/>
        <v>0</v>
      </c>
      <c r="AW219" s="8" t="b">
        <f t="shared" si="1259"/>
        <v>1</v>
      </c>
      <c r="AX219" s="8" t="str">
        <f t="shared" si="1260"/>
        <v>Qcorrecto</v>
      </c>
      <c r="AY219" s="22" t="str">
        <f t="shared" si="1240"/>
        <v>aceptable</v>
      </c>
      <c r="AZ219" s="22" t="str">
        <f t="shared" si="1241"/>
        <v>aceptable</v>
      </c>
      <c r="BA219" s="22" t="str">
        <f t="shared" si="1261"/>
        <v>aceptable</v>
      </c>
      <c r="BB219" s="25" t="str">
        <f t="shared" si="1262"/>
        <v>NO CONFORME</v>
      </c>
      <c r="BC219" s="5" t="str">
        <f t="shared" si="1263"/>
        <v>NO CONFORME</v>
      </c>
      <c r="BD219" s="15">
        <f t="shared" si="1242"/>
        <v>-1</v>
      </c>
      <c r="BE219" s="15">
        <f t="shared" si="1243"/>
        <v>-1</v>
      </c>
      <c r="BF219" s="15">
        <f t="shared" si="1244"/>
        <v>-1</v>
      </c>
      <c r="BG219" s="15" t="str">
        <f t="shared" si="1245"/>
        <v>-1-1-1</v>
      </c>
      <c r="BH219" s="15" t="str">
        <f t="shared" si="1246"/>
        <v>SD</v>
      </c>
      <c r="BI219" s="15" t="str">
        <f t="shared" si="1247"/>
        <v>SI</v>
      </c>
      <c r="BJ219" s="15" t="b">
        <f t="shared" si="1248"/>
        <v>1</v>
      </c>
      <c r="BK219" s="15" t="str">
        <f t="shared" si="1249"/>
        <v>SIGIGUALES</v>
      </c>
      <c r="BL219" s="22" t="str">
        <f t="shared" si="1250"/>
        <v>NO CONFORME</v>
      </c>
    </row>
    <row r="220" spans="1:64" ht="15.75" thickBot="1" x14ac:dyDescent="0.3">
      <c r="A220" s="37">
        <v>212</v>
      </c>
      <c r="B220" s="93">
        <f t="shared" ref="B220:E220" si="1385">B219</f>
        <v>45919</v>
      </c>
      <c r="C220" s="93">
        <f t="shared" si="1385"/>
        <v>45919</v>
      </c>
      <c r="D220" s="94">
        <f t="shared" si="1385"/>
        <v>6</v>
      </c>
      <c r="E220" s="95">
        <f t="shared" si="1385"/>
        <v>15</v>
      </c>
      <c r="F220" s="52"/>
      <c r="G220" s="96"/>
      <c r="H220" s="97">
        <f t="shared" ref="H220:L220" si="1386">H219</f>
        <v>25.6</v>
      </c>
      <c r="I220" s="98">
        <f t="shared" si="1386"/>
        <v>0</v>
      </c>
      <c r="J220" s="99">
        <f t="shared" si="1386"/>
        <v>20.9</v>
      </c>
      <c r="K220" s="99">
        <f t="shared" si="1386"/>
        <v>7.883</v>
      </c>
      <c r="L220" s="99">
        <f t="shared" si="1386"/>
        <v>0.55400000000000005</v>
      </c>
      <c r="M220" s="53"/>
      <c r="N220" s="53"/>
      <c r="O220" s="100">
        <f t="shared" ref="O220:P220" si="1387">O219</f>
        <v>100.62</v>
      </c>
      <c r="P220" s="101" t="str">
        <f t="shared" si="1387"/>
        <v>2,29,560</v>
      </c>
      <c r="Q220" s="11" t="str">
        <f t="shared" si="1316"/>
        <v>2</v>
      </c>
      <c r="R220" s="11" t="str">
        <f t="shared" si="1317"/>
        <v>29,560</v>
      </c>
      <c r="S220" s="11">
        <f t="shared" si="1318"/>
        <v>4.1544444444444446E-2</v>
      </c>
      <c r="T220" s="14">
        <f t="shared" si="1319"/>
        <v>2421.9844878309709</v>
      </c>
      <c r="U220" s="39">
        <f t="shared" si="1320"/>
        <v>-100</v>
      </c>
      <c r="V220" s="105">
        <f t="shared" ref="V220:W220" si="1388">V219</f>
        <v>20.399999999999999</v>
      </c>
      <c r="W220" s="105">
        <f t="shared" si="1388"/>
        <v>1.5069999999999999</v>
      </c>
      <c r="X220" s="106">
        <f t="shared" si="1375"/>
        <v>1.504</v>
      </c>
      <c r="Y220" s="53"/>
      <c r="Z220" s="53"/>
      <c r="AA220" s="107">
        <f t="shared" ref="AA220:AB220" si="1389">AA219</f>
        <v>10.015000000000001</v>
      </c>
      <c r="AB220" s="108" t="str">
        <f t="shared" si="1389"/>
        <v>22,10,090</v>
      </c>
      <c r="AC220" s="11" t="str">
        <f t="shared" si="1323"/>
        <v>22</v>
      </c>
      <c r="AD220" s="11" t="str">
        <f t="shared" si="1324"/>
        <v>10,090</v>
      </c>
      <c r="AE220" s="11">
        <f t="shared" si="1325"/>
        <v>0.36946944444444441</v>
      </c>
      <c r="AF220" s="14">
        <f t="shared" si="1326"/>
        <v>27.106436406558959</v>
      </c>
      <c r="AG220" s="41">
        <f t="shared" si="1327"/>
        <v>-100</v>
      </c>
      <c r="AH220" s="105">
        <f t="shared" si="1383"/>
        <v>20.3</v>
      </c>
      <c r="AI220" s="105">
        <f t="shared" si="1383"/>
        <v>1.5089999999999999</v>
      </c>
      <c r="AJ220" s="105">
        <f t="shared" si="1383"/>
        <v>1.504</v>
      </c>
      <c r="AK220" s="53">
        <f t="shared" si="1328"/>
        <v>0</v>
      </c>
      <c r="AL220" s="53"/>
      <c r="AM220" s="54">
        <f t="shared" ref="AM220:AN220" si="1390">AM219</f>
        <v>5.0129999999999999</v>
      </c>
      <c r="AN220" s="101" t="str">
        <f t="shared" si="1390"/>
        <v>17,59,050</v>
      </c>
      <c r="AO220" s="11" t="str">
        <f t="shared" si="1330"/>
        <v>17</v>
      </c>
      <c r="AP220" s="11" t="str">
        <f t="shared" si="1331"/>
        <v>59,050</v>
      </c>
      <c r="AQ220" s="11">
        <f t="shared" si="1332"/>
        <v>0.29973611111111109</v>
      </c>
      <c r="AR220" s="14">
        <f t="shared" si="1333"/>
        <v>16.724711551827998</v>
      </c>
      <c r="AS220" s="41">
        <f t="shared" si="1334"/>
        <v>-100</v>
      </c>
      <c r="AT220" s="43" t="str">
        <f t="shared" si="1335"/>
        <v>NO CONFORME</v>
      </c>
      <c r="AU220" s="8" t="b">
        <f t="shared" si="1257"/>
        <v>1</v>
      </c>
      <c r="AV220" s="8" t="b">
        <f t="shared" si="1258"/>
        <v>0</v>
      </c>
      <c r="AW220" s="8" t="b">
        <f t="shared" si="1259"/>
        <v>1</v>
      </c>
      <c r="AX220" s="8" t="str">
        <f t="shared" si="1260"/>
        <v>Qcorrecto</v>
      </c>
      <c r="AY220" s="22" t="str">
        <f t="shared" si="1240"/>
        <v>aceptable</v>
      </c>
      <c r="AZ220" s="22" t="str">
        <f t="shared" si="1241"/>
        <v>aceptable</v>
      </c>
      <c r="BA220" s="22" t="str">
        <f t="shared" si="1261"/>
        <v>aceptable</v>
      </c>
      <c r="BB220" s="25" t="str">
        <f t="shared" si="1262"/>
        <v>NO CONFORME</v>
      </c>
      <c r="BC220" s="5" t="str">
        <f t="shared" si="1263"/>
        <v>NO CONFORME</v>
      </c>
      <c r="BD220" s="15">
        <f t="shared" si="1242"/>
        <v>-1</v>
      </c>
      <c r="BE220" s="15">
        <f t="shared" si="1243"/>
        <v>-1</v>
      </c>
      <c r="BF220" s="15">
        <f t="shared" si="1244"/>
        <v>-1</v>
      </c>
      <c r="BG220" s="15" t="str">
        <f t="shared" si="1245"/>
        <v>-1-1-1</v>
      </c>
      <c r="BH220" s="15" t="str">
        <f t="shared" si="1246"/>
        <v>SD</v>
      </c>
      <c r="BI220" s="15" t="str">
        <f t="shared" si="1247"/>
        <v>SI</v>
      </c>
      <c r="BJ220" s="15" t="b">
        <f t="shared" si="1248"/>
        <v>1</v>
      </c>
      <c r="BK220" s="15" t="str">
        <f t="shared" si="1249"/>
        <v>SIGIGUALES</v>
      </c>
      <c r="BL220" s="22" t="str">
        <f t="shared" si="1250"/>
        <v>NO CONFORME</v>
      </c>
    </row>
    <row r="221" spans="1:64" ht="15.75" thickBot="1" x14ac:dyDescent="0.3">
      <c r="A221" s="37">
        <v>213</v>
      </c>
      <c r="B221" s="93">
        <f t="shared" ref="B221:E221" si="1391">B220</f>
        <v>45919</v>
      </c>
      <c r="C221" s="93">
        <f t="shared" si="1391"/>
        <v>45919</v>
      </c>
      <c r="D221" s="94">
        <f t="shared" si="1391"/>
        <v>6</v>
      </c>
      <c r="E221" s="95">
        <f t="shared" si="1391"/>
        <v>15</v>
      </c>
      <c r="F221" s="52"/>
      <c r="G221" s="96"/>
      <c r="H221" s="97">
        <f t="shared" ref="H221:L221" si="1392">H220</f>
        <v>25.6</v>
      </c>
      <c r="I221" s="98">
        <f t="shared" si="1392"/>
        <v>0</v>
      </c>
      <c r="J221" s="99">
        <f t="shared" si="1392"/>
        <v>20.9</v>
      </c>
      <c r="K221" s="99">
        <f t="shared" si="1392"/>
        <v>7.883</v>
      </c>
      <c r="L221" s="99">
        <f t="shared" si="1392"/>
        <v>0.55400000000000005</v>
      </c>
      <c r="M221" s="53"/>
      <c r="N221" s="53"/>
      <c r="O221" s="100">
        <f t="shared" ref="O221:P221" si="1393">O220</f>
        <v>100.62</v>
      </c>
      <c r="P221" s="101" t="str">
        <f t="shared" si="1393"/>
        <v>2,29,560</v>
      </c>
      <c r="Q221" s="11" t="str">
        <f t="shared" si="1316"/>
        <v>2</v>
      </c>
      <c r="R221" s="11" t="str">
        <f t="shared" si="1317"/>
        <v>29,560</v>
      </c>
      <c r="S221" s="11">
        <f t="shared" si="1318"/>
        <v>4.1544444444444446E-2</v>
      </c>
      <c r="T221" s="14">
        <f t="shared" si="1319"/>
        <v>2421.9844878309709</v>
      </c>
      <c r="U221" s="39">
        <f t="shared" si="1320"/>
        <v>-100</v>
      </c>
      <c r="V221" s="105">
        <f t="shared" ref="V221:W221" si="1394">V220</f>
        <v>20.399999999999999</v>
      </c>
      <c r="W221" s="105">
        <f t="shared" si="1394"/>
        <v>1.5069999999999999</v>
      </c>
      <c r="X221" s="106">
        <f t="shared" si="1375"/>
        <v>1.504</v>
      </c>
      <c r="Y221" s="53"/>
      <c r="Z221" s="53"/>
      <c r="AA221" s="107">
        <f t="shared" ref="AA221:AB221" si="1395">AA220</f>
        <v>10.015000000000001</v>
      </c>
      <c r="AB221" s="108" t="str">
        <f t="shared" si="1395"/>
        <v>22,10,090</v>
      </c>
      <c r="AC221" s="11" t="str">
        <f t="shared" si="1323"/>
        <v>22</v>
      </c>
      <c r="AD221" s="11" t="str">
        <f t="shared" si="1324"/>
        <v>10,090</v>
      </c>
      <c r="AE221" s="11">
        <f t="shared" si="1325"/>
        <v>0.36946944444444441</v>
      </c>
      <c r="AF221" s="14">
        <f t="shared" si="1326"/>
        <v>27.106436406558959</v>
      </c>
      <c r="AG221" s="41">
        <f t="shared" si="1327"/>
        <v>-100</v>
      </c>
      <c r="AH221" s="105">
        <f t="shared" si="1383"/>
        <v>20.3</v>
      </c>
      <c r="AI221" s="105">
        <f t="shared" si="1383"/>
        <v>1.5089999999999999</v>
      </c>
      <c r="AJ221" s="105">
        <f t="shared" si="1383"/>
        <v>1.504</v>
      </c>
      <c r="AK221" s="53">
        <f t="shared" si="1328"/>
        <v>0</v>
      </c>
      <c r="AL221" s="53"/>
      <c r="AM221" s="54">
        <f t="shared" ref="AM221:AN221" si="1396">AM220</f>
        <v>5.0129999999999999</v>
      </c>
      <c r="AN221" s="101" t="str">
        <f t="shared" si="1396"/>
        <v>17,59,050</v>
      </c>
      <c r="AO221" s="11" t="str">
        <f t="shared" si="1330"/>
        <v>17</v>
      </c>
      <c r="AP221" s="11" t="str">
        <f t="shared" si="1331"/>
        <v>59,050</v>
      </c>
      <c r="AQ221" s="11">
        <f t="shared" si="1332"/>
        <v>0.29973611111111109</v>
      </c>
      <c r="AR221" s="14">
        <f t="shared" si="1333"/>
        <v>16.724711551827998</v>
      </c>
      <c r="AS221" s="41">
        <f t="shared" si="1334"/>
        <v>-100</v>
      </c>
      <c r="AT221" s="43" t="str">
        <f t="shared" si="1335"/>
        <v>NO CONFORME</v>
      </c>
      <c r="AU221" s="8" t="b">
        <f t="shared" si="1257"/>
        <v>1</v>
      </c>
      <c r="AV221" s="8" t="b">
        <f t="shared" si="1258"/>
        <v>0</v>
      </c>
      <c r="AW221" s="8" t="b">
        <f t="shared" si="1259"/>
        <v>1</v>
      </c>
      <c r="AX221" s="8" t="str">
        <f t="shared" si="1260"/>
        <v>Qcorrecto</v>
      </c>
      <c r="AY221" s="22" t="str">
        <f t="shared" si="1240"/>
        <v>aceptable</v>
      </c>
      <c r="AZ221" s="22" t="str">
        <f t="shared" si="1241"/>
        <v>aceptable</v>
      </c>
      <c r="BA221" s="22" t="str">
        <f t="shared" si="1261"/>
        <v>aceptable</v>
      </c>
      <c r="BB221" s="25" t="str">
        <f t="shared" si="1262"/>
        <v>NO CONFORME</v>
      </c>
      <c r="BC221" s="5" t="str">
        <f t="shared" si="1263"/>
        <v>NO CONFORME</v>
      </c>
      <c r="BD221" s="15">
        <f t="shared" si="1242"/>
        <v>-1</v>
      </c>
      <c r="BE221" s="15">
        <f t="shared" si="1243"/>
        <v>-1</v>
      </c>
      <c r="BF221" s="15">
        <f t="shared" si="1244"/>
        <v>-1</v>
      </c>
      <c r="BG221" s="15" t="str">
        <f t="shared" si="1245"/>
        <v>-1-1-1</v>
      </c>
      <c r="BH221" s="15" t="str">
        <f t="shared" si="1246"/>
        <v>SD</v>
      </c>
      <c r="BI221" s="15" t="str">
        <f t="shared" si="1247"/>
        <v>SI</v>
      </c>
      <c r="BJ221" s="15" t="b">
        <f t="shared" si="1248"/>
        <v>1</v>
      </c>
      <c r="BK221" s="15" t="str">
        <f t="shared" si="1249"/>
        <v>SIGIGUALES</v>
      </c>
      <c r="BL221" s="22" t="str">
        <f t="shared" si="1250"/>
        <v>NO CONFORME</v>
      </c>
    </row>
    <row r="222" spans="1:64" ht="15.75" thickBot="1" x14ac:dyDescent="0.3">
      <c r="A222" s="37">
        <v>214</v>
      </c>
      <c r="B222" s="93">
        <f t="shared" ref="B222:E222" si="1397">B221</f>
        <v>45919</v>
      </c>
      <c r="C222" s="93">
        <f t="shared" si="1397"/>
        <v>45919</v>
      </c>
      <c r="D222" s="94">
        <f t="shared" si="1397"/>
        <v>6</v>
      </c>
      <c r="E222" s="95">
        <f t="shared" si="1397"/>
        <v>15</v>
      </c>
      <c r="F222" s="52"/>
      <c r="G222" s="96"/>
      <c r="H222" s="97">
        <f t="shared" ref="H222:L222" si="1398">H221</f>
        <v>25.6</v>
      </c>
      <c r="I222" s="98">
        <f t="shared" si="1398"/>
        <v>0</v>
      </c>
      <c r="J222" s="99">
        <f t="shared" si="1398"/>
        <v>20.9</v>
      </c>
      <c r="K222" s="99">
        <f t="shared" si="1398"/>
        <v>7.883</v>
      </c>
      <c r="L222" s="99">
        <f t="shared" si="1398"/>
        <v>0.55400000000000005</v>
      </c>
      <c r="M222" s="53"/>
      <c r="N222" s="53"/>
      <c r="O222" s="100">
        <f t="shared" ref="O222:P222" si="1399">O221</f>
        <v>100.62</v>
      </c>
      <c r="P222" s="101" t="str">
        <f t="shared" si="1399"/>
        <v>2,29,560</v>
      </c>
      <c r="Q222" s="11" t="str">
        <f t="shared" si="1316"/>
        <v>2</v>
      </c>
      <c r="R222" s="11" t="str">
        <f t="shared" si="1317"/>
        <v>29,560</v>
      </c>
      <c r="S222" s="11">
        <f t="shared" si="1318"/>
        <v>4.1544444444444446E-2</v>
      </c>
      <c r="T222" s="14">
        <f t="shared" si="1319"/>
        <v>2421.9844878309709</v>
      </c>
      <c r="U222" s="39">
        <f t="shared" si="1320"/>
        <v>-100</v>
      </c>
      <c r="V222" s="105">
        <f t="shared" ref="V222:W222" si="1400">V221</f>
        <v>20.399999999999999</v>
      </c>
      <c r="W222" s="105">
        <f t="shared" si="1400"/>
        <v>1.5069999999999999</v>
      </c>
      <c r="X222" s="106">
        <f t="shared" si="1375"/>
        <v>1.504</v>
      </c>
      <c r="Y222" s="53"/>
      <c r="Z222" s="53"/>
      <c r="AA222" s="107">
        <f t="shared" ref="AA222:AB222" si="1401">AA221</f>
        <v>10.015000000000001</v>
      </c>
      <c r="AB222" s="108" t="str">
        <f t="shared" si="1401"/>
        <v>22,10,090</v>
      </c>
      <c r="AC222" s="11" t="str">
        <f t="shared" si="1323"/>
        <v>22</v>
      </c>
      <c r="AD222" s="11" t="str">
        <f t="shared" si="1324"/>
        <v>10,090</v>
      </c>
      <c r="AE222" s="11">
        <f t="shared" si="1325"/>
        <v>0.36946944444444441</v>
      </c>
      <c r="AF222" s="14">
        <f t="shared" si="1326"/>
        <v>27.106436406558959</v>
      </c>
      <c r="AG222" s="41">
        <f t="shared" si="1327"/>
        <v>-100</v>
      </c>
      <c r="AH222" s="105">
        <f t="shared" si="1383"/>
        <v>20.3</v>
      </c>
      <c r="AI222" s="105">
        <f t="shared" si="1383"/>
        <v>1.5089999999999999</v>
      </c>
      <c r="AJ222" s="105">
        <f t="shared" si="1383"/>
        <v>1.504</v>
      </c>
      <c r="AK222" s="53">
        <f t="shared" si="1328"/>
        <v>0</v>
      </c>
      <c r="AL222" s="53"/>
      <c r="AM222" s="54">
        <f t="shared" ref="AM222:AN222" si="1402">AM221</f>
        <v>5.0129999999999999</v>
      </c>
      <c r="AN222" s="101" t="str">
        <f t="shared" si="1402"/>
        <v>17,59,050</v>
      </c>
      <c r="AO222" s="11" t="str">
        <f t="shared" si="1330"/>
        <v>17</v>
      </c>
      <c r="AP222" s="11" t="str">
        <f t="shared" si="1331"/>
        <v>59,050</v>
      </c>
      <c r="AQ222" s="11">
        <f t="shared" si="1332"/>
        <v>0.29973611111111109</v>
      </c>
      <c r="AR222" s="14">
        <f t="shared" si="1333"/>
        <v>16.724711551827998</v>
      </c>
      <c r="AS222" s="41">
        <f t="shared" si="1334"/>
        <v>-100</v>
      </c>
      <c r="AT222" s="43" t="str">
        <f t="shared" si="1335"/>
        <v>NO CONFORME</v>
      </c>
      <c r="AU222" s="8" t="b">
        <f t="shared" si="1257"/>
        <v>1</v>
      </c>
      <c r="AV222" s="8" t="b">
        <f t="shared" si="1258"/>
        <v>0</v>
      </c>
      <c r="AW222" s="8" t="b">
        <f t="shared" si="1259"/>
        <v>1</v>
      </c>
      <c r="AX222" s="8" t="str">
        <f t="shared" si="1260"/>
        <v>Qcorrecto</v>
      </c>
      <c r="AY222" s="22" t="str">
        <f t="shared" si="1240"/>
        <v>aceptable</v>
      </c>
      <c r="AZ222" s="22" t="str">
        <f t="shared" si="1241"/>
        <v>aceptable</v>
      </c>
      <c r="BA222" s="22" t="str">
        <f t="shared" si="1261"/>
        <v>aceptable</v>
      </c>
      <c r="BB222" s="25" t="str">
        <f t="shared" si="1262"/>
        <v>NO CONFORME</v>
      </c>
      <c r="BC222" s="5" t="str">
        <f t="shared" si="1263"/>
        <v>NO CONFORME</v>
      </c>
      <c r="BD222" s="15">
        <f t="shared" si="1242"/>
        <v>-1</v>
      </c>
      <c r="BE222" s="15">
        <f t="shared" si="1243"/>
        <v>-1</v>
      </c>
      <c r="BF222" s="15">
        <f t="shared" si="1244"/>
        <v>-1</v>
      </c>
      <c r="BG222" s="15" t="str">
        <f t="shared" si="1245"/>
        <v>-1-1-1</v>
      </c>
      <c r="BH222" s="15" t="str">
        <f t="shared" si="1246"/>
        <v>SD</v>
      </c>
      <c r="BI222" s="15" t="str">
        <f t="shared" si="1247"/>
        <v>SI</v>
      </c>
      <c r="BJ222" s="15" t="b">
        <f t="shared" si="1248"/>
        <v>1</v>
      </c>
      <c r="BK222" s="15" t="str">
        <f t="shared" si="1249"/>
        <v>SIGIGUALES</v>
      </c>
      <c r="BL222" s="22" t="str">
        <f t="shared" si="1250"/>
        <v>NO CONFORME</v>
      </c>
    </row>
    <row r="223" spans="1:64" ht="15.75" thickBot="1" x14ac:dyDescent="0.3">
      <c r="A223" s="37">
        <v>215</v>
      </c>
      <c r="B223" s="93">
        <f t="shared" ref="B223:E223" si="1403">B222</f>
        <v>45919</v>
      </c>
      <c r="C223" s="93">
        <f t="shared" si="1403"/>
        <v>45919</v>
      </c>
      <c r="D223" s="94">
        <f t="shared" si="1403"/>
        <v>6</v>
      </c>
      <c r="E223" s="95">
        <f t="shared" si="1403"/>
        <v>15</v>
      </c>
      <c r="F223" s="52"/>
      <c r="G223" s="96"/>
      <c r="H223" s="97">
        <f t="shared" ref="H223:L223" si="1404">H222</f>
        <v>25.6</v>
      </c>
      <c r="I223" s="98">
        <f t="shared" si="1404"/>
        <v>0</v>
      </c>
      <c r="J223" s="99">
        <f t="shared" si="1404"/>
        <v>20.9</v>
      </c>
      <c r="K223" s="99">
        <f t="shared" si="1404"/>
        <v>7.883</v>
      </c>
      <c r="L223" s="99">
        <f t="shared" si="1404"/>
        <v>0.55400000000000005</v>
      </c>
      <c r="M223" s="53"/>
      <c r="N223" s="53"/>
      <c r="O223" s="100">
        <f t="shared" ref="O223:P223" si="1405">O222</f>
        <v>100.62</v>
      </c>
      <c r="P223" s="101" t="str">
        <f t="shared" si="1405"/>
        <v>2,29,560</v>
      </c>
      <c r="Q223" s="11" t="str">
        <f t="shared" si="1316"/>
        <v>2</v>
      </c>
      <c r="R223" s="11" t="str">
        <f t="shared" si="1317"/>
        <v>29,560</v>
      </c>
      <c r="S223" s="11">
        <f t="shared" si="1318"/>
        <v>4.1544444444444446E-2</v>
      </c>
      <c r="T223" s="14">
        <f t="shared" si="1319"/>
        <v>2421.9844878309709</v>
      </c>
      <c r="U223" s="39">
        <f t="shared" si="1320"/>
        <v>-100</v>
      </c>
      <c r="V223" s="105">
        <f t="shared" ref="V223:W223" si="1406">V222</f>
        <v>20.399999999999999</v>
      </c>
      <c r="W223" s="105">
        <f t="shared" si="1406"/>
        <v>1.5069999999999999</v>
      </c>
      <c r="X223" s="106">
        <f t="shared" si="1375"/>
        <v>1.504</v>
      </c>
      <c r="Y223" s="53"/>
      <c r="Z223" s="53"/>
      <c r="AA223" s="107">
        <f t="shared" ref="AA223:AB223" si="1407">AA222</f>
        <v>10.015000000000001</v>
      </c>
      <c r="AB223" s="108" t="str">
        <f t="shared" si="1407"/>
        <v>22,10,090</v>
      </c>
      <c r="AC223" s="11" t="str">
        <f t="shared" si="1323"/>
        <v>22</v>
      </c>
      <c r="AD223" s="11" t="str">
        <f t="shared" si="1324"/>
        <v>10,090</v>
      </c>
      <c r="AE223" s="11">
        <f t="shared" si="1325"/>
        <v>0.36946944444444441</v>
      </c>
      <c r="AF223" s="14">
        <f t="shared" si="1326"/>
        <v>27.106436406558959</v>
      </c>
      <c r="AG223" s="41">
        <f t="shared" si="1327"/>
        <v>-100</v>
      </c>
      <c r="AH223" s="105">
        <f t="shared" si="1383"/>
        <v>20.3</v>
      </c>
      <c r="AI223" s="105">
        <f t="shared" si="1383"/>
        <v>1.5089999999999999</v>
      </c>
      <c r="AJ223" s="105">
        <f t="shared" si="1383"/>
        <v>1.504</v>
      </c>
      <c r="AK223" s="53">
        <f t="shared" si="1328"/>
        <v>0</v>
      </c>
      <c r="AL223" s="53"/>
      <c r="AM223" s="54">
        <f t="shared" ref="AM223:AN223" si="1408">AM222</f>
        <v>5.0129999999999999</v>
      </c>
      <c r="AN223" s="101" t="str">
        <f t="shared" si="1408"/>
        <v>17,59,050</v>
      </c>
      <c r="AO223" s="11" t="str">
        <f t="shared" si="1330"/>
        <v>17</v>
      </c>
      <c r="AP223" s="11" t="str">
        <f t="shared" si="1331"/>
        <v>59,050</v>
      </c>
      <c r="AQ223" s="11">
        <f t="shared" si="1332"/>
        <v>0.29973611111111109</v>
      </c>
      <c r="AR223" s="14">
        <f t="shared" si="1333"/>
        <v>16.724711551827998</v>
      </c>
      <c r="AS223" s="41">
        <f t="shared" si="1334"/>
        <v>-100</v>
      </c>
      <c r="AT223" s="43" t="str">
        <f t="shared" si="1335"/>
        <v>NO CONFORME</v>
      </c>
      <c r="AU223" s="8" t="b">
        <f t="shared" si="1257"/>
        <v>1</v>
      </c>
      <c r="AV223" s="8" t="b">
        <f t="shared" si="1258"/>
        <v>0</v>
      </c>
      <c r="AW223" s="8" t="b">
        <f t="shared" si="1259"/>
        <v>1</v>
      </c>
      <c r="AX223" s="8" t="str">
        <f t="shared" si="1260"/>
        <v>Qcorrecto</v>
      </c>
      <c r="AY223" s="22" t="str">
        <f t="shared" si="1240"/>
        <v>aceptable</v>
      </c>
      <c r="AZ223" s="22" t="str">
        <f t="shared" si="1241"/>
        <v>aceptable</v>
      </c>
      <c r="BA223" s="22" t="str">
        <f t="shared" si="1261"/>
        <v>aceptable</v>
      </c>
      <c r="BB223" s="25" t="str">
        <f t="shared" si="1262"/>
        <v>NO CONFORME</v>
      </c>
      <c r="BC223" s="5" t="str">
        <f t="shared" si="1263"/>
        <v>NO CONFORME</v>
      </c>
      <c r="BD223" s="15">
        <f t="shared" si="1242"/>
        <v>-1</v>
      </c>
      <c r="BE223" s="15">
        <f t="shared" si="1243"/>
        <v>-1</v>
      </c>
      <c r="BF223" s="15">
        <f t="shared" si="1244"/>
        <v>-1</v>
      </c>
      <c r="BG223" s="15" t="str">
        <f t="shared" si="1245"/>
        <v>-1-1-1</v>
      </c>
      <c r="BH223" s="15" t="str">
        <f t="shared" si="1246"/>
        <v>SD</v>
      </c>
      <c r="BI223" s="15" t="str">
        <f t="shared" si="1247"/>
        <v>SI</v>
      </c>
      <c r="BJ223" s="15" t="b">
        <f t="shared" si="1248"/>
        <v>1</v>
      </c>
      <c r="BK223" s="15" t="str">
        <f t="shared" si="1249"/>
        <v>SIGIGUALES</v>
      </c>
      <c r="BL223" s="22" t="str">
        <f t="shared" si="1250"/>
        <v>NO CONFORME</v>
      </c>
    </row>
    <row r="224" spans="1:64" ht="15.75" thickBot="1" x14ac:dyDescent="0.3">
      <c r="A224" s="37">
        <v>216</v>
      </c>
      <c r="B224" s="93">
        <f t="shared" ref="B224:E224" si="1409">B223</f>
        <v>45919</v>
      </c>
      <c r="C224" s="93">
        <f t="shared" si="1409"/>
        <v>45919</v>
      </c>
      <c r="D224" s="94">
        <f t="shared" si="1409"/>
        <v>6</v>
      </c>
      <c r="E224" s="95">
        <f t="shared" si="1409"/>
        <v>15</v>
      </c>
      <c r="F224" s="52"/>
      <c r="G224" s="96"/>
      <c r="H224" s="97">
        <f t="shared" ref="H224:L224" si="1410">H223</f>
        <v>25.6</v>
      </c>
      <c r="I224" s="98">
        <f t="shared" si="1410"/>
        <v>0</v>
      </c>
      <c r="J224" s="99">
        <f t="shared" si="1410"/>
        <v>20.9</v>
      </c>
      <c r="K224" s="99">
        <f t="shared" si="1410"/>
        <v>7.883</v>
      </c>
      <c r="L224" s="99">
        <f t="shared" si="1410"/>
        <v>0.55400000000000005</v>
      </c>
      <c r="M224" s="53"/>
      <c r="N224" s="53"/>
      <c r="O224" s="100">
        <f t="shared" ref="O224:P224" si="1411">O223</f>
        <v>100.62</v>
      </c>
      <c r="P224" s="101" t="str">
        <f t="shared" si="1411"/>
        <v>2,29,560</v>
      </c>
      <c r="Q224" s="11" t="str">
        <f t="shared" si="1316"/>
        <v>2</v>
      </c>
      <c r="R224" s="11" t="str">
        <f t="shared" si="1317"/>
        <v>29,560</v>
      </c>
      <c r="S224" s="11">
        <f t="shared" si="1318"/>
        <v>4.1544444444444446E-2</v>
      </c>
      <c r="T224" s="14">
        <f t="shared" si="1319"/>
        <v>2421.9844878309709</v>
      </c>
      <c r="U224" s="39">
        <f t="shared" si="1320"/>
        <v>-100</v>
      </c>
      <c r="V224" s="105">
        <f t="shared" ref="V224:W224" si="1412">V223</f>
        <v>20.399999999999999</v>
      </c>
      <c r="W224" s="105">
        <f t="shared" si="1412"/>
        <v>1.5069999999999999</v>
      </c>
      <c r="X224" s="106">
        <f t="shared" si="1375"/>
        <v>1.504</v>
      </c>
      <c r="Y224" s="53"/>
      <c r="Z224" s="53"/>
      <c r="AA224" s="107">
        <f t="shared" ref="AA224:AB224" si="1413">AA223</f>
        <v>10.015000000000001</v>
      </c>
      <c r="AB224" s="108" t="str">
        <f t="shared" si="1413"/>
        <v>22,10,090</v>
      </c>
      <c r="AC224" s="11" t="str">
        <f t="shared" si="1323"/>
        <v>22</v>
      </c>
      <c r="AD224" s="11" t="str">
        <f t="shared" si="1324"/>
        <v>10,090</v>
      </c>
      <c r="AE224" s="11">
        <f t="shared" si="1325"/>
        <v>0.36946944444444441</v>
      </c>
      <c r="AF224" s="14">
        <f t="shared" si="1326"/>
        <v>27.106436406558959</v>
      </c>
      <c r="AG224" s="41">
        <f t="shared" si="1327"/>
        <v>-100</v>
      </c>
      <c r="AH224" s="105">
        <f t="shared" si="1383"/>
        <v>20.3</v>
      </c>
      <c r="AI224" s="105">
        <f t="shared" si="1383"/>
        <v>1.5089999999999999</v>
      </c>
      <c r="AJ224" s="105">
        <f t="shared" si="1383"/>
        <v>1.504</v>
      </c>
      <c r="AK224" s="53">
        <f t="shared" si="1328"/>
        <v>0</v>
      </c>
      <c r="AL224" s="53"/>
      <c r="AM224" s="54">
        <f t="shared" ref="AM224:AN224" si="1414">AM223</f>
        <v>5.0129999999999999</v>
      </c>
      <c r="AN224" s="101" t="str">
        <f t="shared" si="1414"/>
        <v>17,59,050</v>
      </c>
      <c r="AO224" s="11" t="str">
        <f t="shared" si="1330"/>
        <v>17</v>
      </c>
      <c r="AP224" s="11" t="str">
        <f t="shared" si="1331"/>
        <v>59,050</v>
      </c>
      <c r="AQ224" s="11">
        <f t="shared" si="1332"/>
        <v>0.29973611111111109</v>
      </c>
      <c r="AR224" s="14">
        <f t="shared" si="1333"/>
        <v>16.724711551827998</v>
      </c>
      <c r="AS224" s="41">
        <f t="shared" si="1334"/>
        <v>-100</v>
      </c>
      <c r="AT224" s="43" t="str">
        <f t="shared" si="1335"/>
        <v>NO CONFORME</v>
      </c>
      <c r="AU224" s="8" t="b">
        <f t="shared" si="1257"/>
        <v>1</v>
      </c>
      <c r="AV224" s="8" t="b">
        <f t="shared" si="1258"/>
        <v>0</v>
      </c>
      <c r="AW224" s="8" t="b">
        <f t="shared" si="1259"/>
        <v>1</v>
      </c>
      <c r="AX224" s="8" t="str">
        <f t="shared" si="1260"/>
        <v>Qcorrecto</v>
      </c>
      <c r="AY224" s="22" t="str">
        <f t="shared" si="1240"/>
        <v>aceptable</v>
      </c>
      <c r="AZ224" s="22" t="str">
        <f t="shared" si="1241"/>
        <v>aceptable</v>
      </c>
      <c r="BA224" s="22" t="str">
        <f t="shared" si="1261"/>
        <v>aceptable</v>
      </c>
      <c r="BB224" s="25" t="str">
        <f t="shared" si="1262"/>
        <v>NO CONFORME</v>
      </c>
      <c r="BC224" s="5" t="str">
        <f t="shared" si="1263"/>
        <v>NO CONFORME</v>
      </c>
      <c r="BD224" s="15">
        <f t="shared" si="1242"/>
        <v>-1</v>
      </c>
      <c r="BE224" s="15">
        <f t="shared" si="1243"/>
        <v>-1</v>
      </c>
      <c r="BF224" s="15">
        <f t="shared" si="1244"/>
        <v>-1</v>
      </c>
      <c r="BG224" s="15" t="str">
        <f t="shared" si="1245"/>
        <v>-1-1-1</v>
      </c>
      <c r="BH224" s="15" t="str">
        <f t="shared" si="1246"/>
        <v>SD</v>
      </c>
      <c r="BI224" s="15" t="str">
        <f t="shared" si="1247"/>
        <v>SI</v>
      </c>
      <c r="BJ224" s="15" t="b">
        <f t="shared" si="1248"/>
        <v>1</v>
      </c>
      <c r="BK224" s="15" t="str">
        <f t="shared" si="1249"/>
        <v>SIGIGUALES</v>
      </c>
      <c r="BL224" s="22" t="str">
        <f t="shared" si="1250"/>
        <v>NO CONFORME</v>
      </c>
    </row>
    <row r="225" spans="1:64" ht="15.75" thickBot="1" x14ac:dyDescent="0.3">
      <c r="A225" s="37">
        <v>217</v>
      </c>
      <c r="B225" s="93">
        <f t="shared" ref="B225:E225" si="1415">B224</f>
        <v>45919</v>
      </c>
      <c r="C225" s="93">
        <f t="shared" si="1415"/>
        <v>45919</v>
      </c>
      <c r="D225" s="94">
        <f t="shared" si="1415"/>
        <v>6</v>
      </c>
      <c r="E225" s="95">
        <f t="shared" si="1415"/>
        <v>15</v>
      </c>
      <c r="F225" s="52"/>
      <c r="G225" s="96"/>
      <c r="H225" s="97">
        <f t="shared" ref="H225:L225" si="1416">H224</f>
        <v>25.6</v>
      </c>
      <c r="I225" s="98">
        <f t="shared" si="1416"/>
        <v>0</v>
      </c>
      <c r="J225" s="99">
        <f t="shared" si="1416"/>
        <v>20.9</v>
      </c>
      <c r="K225" s="99">
        <f t="shared" si="1416"/>
        <v>7.883</v>
      </c>
      <c r="L225" s="99">
        <f t="shared" si="1416"/>
        <v>0.55400000000000005</v>
      </c>
      <c r="M225" s="53"/>
      <c r="N225" s="53"/>
      <c r="O225" s="100">
        <f t="shared" ref="O225:P225" si="1417">O224</f>
        <v>100.62</v>
      </c>
      <c r="P225" s="101" t="str">
        <f t="shared" si="1417"/>
        <v>2,29,560</v>
      </c>
      <c r="Q225" s="11" t="str">
        <f t="shared" si="1316"/>
        <v>2</v>
      </c>
      <c r="R225" s="11" t="str">
        <f t="shared" si="1317"/>
        <v>29,560</v>
      </c>
      <c r="S225" s="11">
        <f t="shared" si="1318"/>
        <v>4.1544444444444446E-2</v>
      </c>
      <c r="T225" s="14">
        <f t="shared" si="1319"/>
        <v>2421.9844878309709</v>
      </c>
      <c r="U225" s="39">
        <f t="shared" si="1320"/>
        <v>-100</v>
      </c>
      <c r="V225" s="105">
        <f t="shared" ref="V225:W225" si="1418">V224</f>
        <v>20.399999999999999</v>
      </c>
      <c r="W225" s="105">
        <f t="shared" si="1418"/>
        <v>1.5069999999999999</v>
      </c>
      <c r="X225" s="106">
        <f t="shared" si="1375"/>
        <v>1.504</v>
      </c>
      <c r="Y225" s="53"/>
      <c r="Z225" s="53"/>
      <c r="AA225" s="107">
        <f t="shared" ref="AA225:AB225" si="1419">AA224</f>
        <v>10.015000000000001</v>
      </c>
      <c r="AB225" s="108" t="str">
        <f t="shared" si="1419"/>
        <v>22,10,090</v>
      </c>
      <c r="AC225" s="11" t="str">
        <f t="shared" si="1323"/>
        <v>22</v>
      </c>
      <c r="AD225" s="11" t="str">
        <f t="shared" si="1324"/>
        <v>10,090</v>
      </c>
      <c r="AE225" s="11">
        <f t="shared" si="1325"/>
        <v>0.36946944444444441</v>
      </c>
      <c r="AF225" s="14">
        <f t="shared" si="1326"/>
        <v>27.106436406558959</v>
      </c>
      <c r="AG225" s="41">
        <f t="shared" si="1327"/>
        <v>-100</v>
      </c>
      <c r="AH225" s="105">
        <f t="shared" si="1383"/>
        <v>20.3</v>
      </c>
      <c r="AI225" s="105">
        <f t="shared" si="1383"/>
        <v>1.5089999999999999</v>
      </c>
      <c r="AJ225" s="105">
        <f t="shared" si="1383"/>
        <v>1.504</v>
      </c>
      <c r="AK225" s="53">
        <f t="shared" si="1328"/>
        <v>0</v>
      </c>
      <c r="AL225" s="53"/>
      <c r="AM225" s="54">
        <f t="shared" ref="AM225:AN225" si="1420">AM224</f>
        <v>5.0129999999999999</v>
      </c>
      <c r="AN225" s="101" t="str">
        <f t="shared" si="1420"/>
        <v>17,59,050</v>
      </c>
      <c r="AO225" s="11" t="str">
        <f t="shared" si="1330"/>
        <v>17</v>
      </c>
      <c r="AP225" s="11" t="str">
        <f t="shared" si="1331"/>
        <v>59,050</v>
      </c>
      <c r="AQ225" s="11">
        <f t="shared" si="1332"/>
        <v>0.29973611111111109</v>
      </c>
      <c r="AR225" s="14">
        <f t="shared" si="1333"/>
        <v>16.724711551827998</v>
      </c>
      <c r="AS225" s="41">
        <f t="shared" si="1334"/>
        <v>-100</v>
      </c>
      <c r="AT225" s="43" t="str">
        <f t="shared" si="1335"/>
        <v>NO CONFORME</v>
      </c>
      <c r="AU225" s="8" t="b">
        <f t="shared" si="1257"/>
        <v>1</v>
      </c>
      <c r="AV225" s="8" t="b">
        <f t="shared" si="1258"/>
        <v>0</v>
      </c>
      <c r="AW225" s="8" t="b">
        <f t="shared" si="1259"/>
        <v>1</v>
      </c>
      <c r="AX225" s="8" t="str">
        <f t="shared" si="1260"/>
        <v>Qcorrecto</v>
      </c>
      <c r="AY225" s="22" t="str">
        <f t="shared" si="1240"/>
        <v>aceptable</v>
      </c>
      <c r="AZ225" s="22" t="str">
        <f t="shared" si="1241"/>
        <v>aceptable</v>
      </c>
      <c r="BA225" s="22" t="str">
        <f t="shared" si="1261"/>
        <v>aceptable</v>
      </c>
      <c r="BB225" s="25" t="str">
        <f t="shared" si="1262"/>
        <v>NO CONFORME</v>
      </c>
      <c r="BC225" s="5" t="str">
        <f t="shared" si="1263"/>
        <v>NO CONFORME</v>
      </c>
      <c r="BD225" s="15">
        <f t="shared" si="1242"/>
        <v>-1</v>
      </c>
      <c r="BE225" s="15">
        <f t="shared" si="1243"/>
        <v>-1</v>
      </c>
      <c r="BF225" s="15">
        <f t="shared" si="1244"/>
        <v>-1</v>
      </c>
      <c r="BG225" s="15" t="str">
        <f t="shared" si="1245"/>
        <v>-1-1-1</v>
      </c>
      <c r="BH225" s="15" t="str">
        <f t="shared" si="1246"/>
        <v>SD</v>
      </c>
      <c r="BI225" s="15" t="str">
        <f t="shared" si="1247"/>
        <v>SI</v>
      </c>
      <c r="BJ225" s="15" t="b">
        <f t="shared" si="1248"/>
        <v>1</v>
      </c>
      <c r="BK225" s="15" t="str">
        <f t="shared" si="1249"/>
        <v>SIGIGUALES</v>
      </c>
      <c r="BL225" s="22" t="str">
        <f t="shared" si="1250"/>
        <v>NO CONFORME</v>
      </c>
    </row>
    <row r="226" spans="1:64" ht="15.75" thickBot="1" x14ac:dyDescent="0.3">
      <c r="A226" s="37">
        <v>218</v>
      </c>
      <c r="B226" s="93">
        <f t="shared" ref="B226:E226" si="1421">B225</f>
        <v>45919</v>
      </c>
      <c r="C226" s="93">
        <f t="shared" si="1421"/>
        <v>45919</v>
      </c>
      <c r="D226" s="94">
        <f t="shared" si="1421"/>
        <v>6</v>
      </c>
      <c r="E226" s="95">
        <f t="shared" si="1421"/>
        <v>15</v>
      </c>
      <c r="F226" s="52"/>
      <c r="G226" s="96"/>
      <c r="H226" s="97">
        <f t="shared" ref="H226:L226" si="1422">H225</f>
        <v>25.6</v>
      </c>
      <c r="I226" s="98">
        <f t="shared" si="1422"/>
        <v>0</v>
      </c>
      <c r="J226" s="99">
        <f t="shared" si="1422"/>
        <v>20.9</v>
      </c>
      <c r="K226" s="99">
        <f t="shared" si="1422"/>
        <v>7.883</v>
      </c>
      <c r="L226" s="99">
        <f t="shared" si="1422"/>
        <v>0.55400000000000005</v>
      </c>
      <c r="M226" s="53"/>
      <c r="N226" s="53"/>
      <c r="O226" s="100">
        <f t="shared" ref="O226:P226" si="1423">O225</f>
        <v>100.62</v>
      </c>
      <c r="P226" s="101" t="str">
        <f t="shared" si="1423"/>
        <v>2,29,560</v>
      </c>
      <c r="Q226" s="11" t="str">
        <f t="shared" si="1316"/>
        <v>2</v>
      </c>
      <c r="R226" s="11" t="str">
        <f t="shared" si="1317"/>
        <v>29,560</v>
      </c>
      <c r="S226" s="11">
        <f t="shared" si="1318"/>
        <v>4.1544444444444446E-2</v>
      </c>
      <c r="T226" s="14">
        <f t="shared" si="1319"/>
        <v>2421.9844878309709</v>
      </c>
      <c r="U226" s="39">
        <f t="shared" si="1320"/>
        <v>-100</v>
      </c>
      <c r="V226" s="105">
        <f t="shared" ref="V226:W226" si="1424">V225</f>
        <v>20.399999999999999</v>
      </c>
      <c r="W226" s="105">
        <f t="shared" si="1424"/>
        <v>1.5069999999999999</v>
      </c>
      <c r="X226" s="106">
        <f t="shared" si="1375"/>
        <v>1.504</v>
      </c>
      <c r="Y226" s="53"/>
      <c r="Z226" s="53"/>
      <c r="AA226" s="107">
        <f t="shared" ref="AA226:AB226" si="1425">AA225</f>
        <v>10.015000000000001</v>
      </c>
      <c r="AB226" s="108" t="str">
        <f t="shared" si="1425"/>
        <v>22,10,090</v>
      </c>
      <c r="AC226" s="11" t="str">
        <f t="shared" si="1323"/>
        <v>22</v>
      </c>
      <c r="AD226" s="11" t="str">
        <f t="shared" si="1324"/>
        <v>10,090</v>
      </c>
      <c r="AE226" s="11">
        <f t="shared" si="1325"/>
        <v>0.36946944444444441</v>
      </c>
      <c r="AF226" s="14">
        <f t="shared" si="1326"/>
        <v>27.106436406558959</v>
      </c>
      <c r="AG226" s="41">
        <f t="shared" si="1327"/>
        <v>-100</v>
      </c>
      <c r="AH226" s="105">
        <f t="shared" si="1383"/>
        <v>20.3</v>
      </c>
      <c r="AI226" s="105">
        <f t="shared" si="1383"/>
        <v>1.5089999999999999</v>
      </c>
      <c r="AJ226" s="105">
        <f t="shared" si="1383"/>
        <v>1.504</v>
      </c>
      <c r="AK226" s="53">
        <f t="shared" si="1328"/>
        <v>0</v>
      </c>
      <c r="AL226" s="53"/>
      <c r="AM226" s="54">
        <f t="shared" ref="AM226:AN226" si="1426">AM225</f>
        <v>5.0129999999999999</v>
      </c>
      <c r="AN226" s="101" t="str">
        <f t="shared" si="1426"/>
        <v>17,59,050</v>
      </c>
      <c r="AO226" s="11" t="str">
        <f t="shared" si="1330"/>
        <v>17</v>
      </c>
      <c r="AP226" s="11" t="str">
        <f t="shared" si="1331"/>
        <v>59,050</v>
      </c>
      <c r="AQ226" s="11">
        <f t="shared" si="1332"/>
        <v>0.29973611111111109</v>
      </c>
      <c r="AR226" s="14">
        <f t="shared" si="1333"/>
        <v>16.724711551827998</v>
      </c>
      <c r="AS226" s="41">
        <f t="shared" si="1334"/>
        <v>-100</v>
      </c>
      <c r="AT226" s="43" t="str">
        <f t="shared" si="1335"/>
        <v>NO CONFORME</v>
      </c>
      <c r="AU226" s="8" t="b">
        <f t="shared" si="1257"/>
        <v>1</v>
      </c>
      <c r="AV226" s="8" t="b">
        <f t="shared" si="1258"/>
        <v>0</v>
      </c>
      <c r="AW226" s="8" t="b">
        <f t="shared" si="1259"/>
        <v>1</v>
      </c>
      <c r="AX226" s="8" t="str">
        <f t="shared" si="1260"/>
        <v>Qcorrecto</v>
      </c>
      <c r="AY226" s="22" t="str">
        <f t="shared" si="1240"/>
        <v>aceptable</v>
      </c>
      <c r="AZ226" s="22" t="str">
        <f t="shared" si="1241"/>
        <v>aceptable</v>
      </c>
      <c r="BA226" s="22" t="str">
        <f t="shared" si="1261"/>
        <v>aceptable</v>
      </c>
      <c r="BB226" s="25" t="str">
        <f t="shared" si="1262"/>
        <v>NO CONFORME</v>
      </c>
      <c r="BC226" s="5" t="str">
        <f t="shared" si="1263"/>
        <v>NO CONFORME</v>
      </c>
      <c r="BD226" s="15">
        <f t="shared" si="1242"/>
        <v>-1</v>
      </c>
      <c r="BE226" s="15">
        <f t="shared" si="1243"/>
        <v>-1</v>
      </c>
      <c r="BF226" s="15">
        <f t="shared" si="1244"/>
        <v>-1</v>
      </c>
      <c r="BG226" s="15" t="str">
        <f t="shared" si="1245"/>
        <v>-1-1-1</v>
      </c>
      <c r="BH226" s="15" t="str">
        <f t="shared" si="1246"/>
        <v>SD</v>
      </c>
      <c r="BI226" s="15" t="str">
        <f t="shared" si="1247"/>
        <v>SI</v>
      </c>
      <c r="BJ226" s="15" t="b">
        <f t="shared" si="1248"/>
        <v>1</v>
      </c>
      <c r="BK226" s="15" t="str">
        <f t="shared" si="1249"/>
        <v>SIGIGUALES</v>
      </c>
      <c r="BL226" s="22" t="str">
        <f t="shared" si="1250"/>
        <v>NO CONFORME</v>
      </c>
    </row>
    <row r="227" spans="1:64" ht="15.75" thickBot="1" x14ac:dyDescent="0.3">
      <c r="A227" s="37">
        <v>219</v>
      </c>
      <c r="B227" s="93">
        <f t="shared" ref="B227:E227" si="1427">B226</f>
        <v>45919</v>
      </c>
      <c r="C227" s="93">
        <f t="shared" si="1427"/>
        <v>45919</v>
      </c>
      <c r="D227" s="94">
        <f t="shared" si="1427"/>
        <v>6</v>
      </c>
      <c r="E227" s="95">
        <f t="shared" si="1427"/>
        <v>15</v>
      </c>
      <c r="F227" s="52"/>
      <c r="G227" s="96"/>
      <c r="H227" s="97">
        <f t="shared" ref="H227:L227" si="1428">H226</f>
        <v>25.6</v>
      </c>
      <c r="I227" s="98">
        <f t="shared" si="1428"/>
        <v>0</v>
      </c>
      <c r="J227" s="99">
        <f t="shared" si="1428"/>
        <v>20.9</v>
      </c>
      <c r="K227" s="99">
        <f t="shared" si="1428"/>
        <v>7.883</v>
      </c>
      <c r="L227" s="99">
        <f t="shared" si="1428"/>
        <v>0.55400000000000005</v>
      </c>
      <c r="M227" s="53"/>
      <c r="N227" s="53"/>
      <c r="O227" s="100">
        <f t="shared" ref="O227:P227" si="1429">O226</f>
        <v>100.62</v>
      </c>
      <c r="P227" s="101" t="str">
        <f t="shared" si="1429"/>
        <v>2,29,560</v>
      </c>
      <c r="Q227" s="11" t="str">
        <f t="shared" si="1316"/>
        <v>2</v>
      </c>
      <c r="R227" s="11" t="str">
        <f t="shared" si="1317"/>
        <v>29,560</v>
      </c>
      <c r="S227" s="11">
        <f t="shared" si="1318"/>
        <v>4.1544444444444446E-2</v>
      </c>
      <c r="T227" s="14">
        <f t="shared" si="1319"/>
        <v>2421.9844878309709</v>
      </c>
      <c r="U227" s="39">
        <f t="shared" si="1320"/>
        <v>-100</v>
      </c>
      <c r="V227" s="105">
        <f t="shared" ref="V227:W227" si="1430">V226</f>
        <v>20.399999999999999</v>
      </c>
      <c r="W227" s="105">
        <f t="shared" si="1430"/>
        <v>1.5069999999999999</v>
      </c>
      <c r="X227" s="106">
        <f t="shared" si="1375"/>
        <v>1.504</v>
      </c>
      <c r="Y227" s="53"/>
      <c r="Z227" s="53"/>
      <c r="AA227" s="107">
        <f t="shared" ref="AA227:AB227" si="1431">AA226</f>
        <v>10.015000000000001</v>
      </c>
      <c r="AB227" s="108" t="str">
        <f t="shared" si="1431"/>
        <v>22,10,090</v>
      </c>
      <c r="AC227" s="11" t="str">
        <f t="shared" si="1323"/>
        <v>22</v>
      </c>
      <c r="AD227" s="11" t="str">
        <f t="shared" si="1324"/>
        <v>10,090</v>
      </c>
      <c r="AE227" s="11">
        <f t="shared" si="1325"/>
        <v>0.36946944444444441</v>
      </c>
      <c r="AF227" s="14">
        <f t="shared" si="1326"/>
        <v>27.106436406558959</v>
      </c>
      <c r="AG227" s="41">
        <f t="shared" si="1327"/>
        <v>-100</v>
      </c>
      <c r="AH227" s="105">
        <f t="shared" si="1383"/>
        <v>20.3</v>
      </c>
      <c r="AI227" s="105">
        <f t="shared" si="1383"/>
        <v>1.5089999999999999</v>
      </c>
      <c r="AJ227" s="105">
        <f t="shared" si="1383"/>
        <v>1.504</v>
      </c>
      <c r="AK227" s="53">
        <f t="shared" si="1328"/>
        <v>0</v>
      </c>
      <c r="AL227" s="53"/>
      <c r="AM227" s="54">
        <f t="shared" ref="AM227:AN227" si="1432">AM226</f>
        <v>5.0129999999999999</v>
      </c>
      <c r="AN227" s="101" t="str">
        <f t="shared" si="1432"/>
        <v>17,59,050</v>
      </c>
      <c r="AO227" s="11" t="str">
        <f t="shared" si="1330"/>
        <v>17</v>
      </c>
      <c r="AP227" s="11" t="str">
        <f t="shared" si="1331"/>
        <v>59,050</v>
      </c>
      <c r="AQ227" s="11">
        <f t="shared" si="1332"/>
        <v>0.29973611111111109</v>
      </c>
      <c r="AR227" s="14">
        <f t="shared" si="1333"/>
        <v>16.724711551827998</v>
      </c>
      <c r="AS227" s="41">
        <f t="shared" si="1334"/>
        <v>-100</v>
      </c>
      <c r="AT227" s="43" t="str">
        <f t="shared" si="1335"/>
        <v>NO CONFORME</v>
      </c>
      <c r="AU227" s="8" t="b">
        <f t="shared" si="1257"/>
        <v>1</v>
      </c>
      <c r="AV227" s="8" t="b">
        <f t="shared" si="1258"/>
        <v>0</v>
      </c>
      <c r="AW227" s="8" t="b">
        <f t="shared" si="1259"/>
        <v>1</v>
      </c>
      <c r="AX227" s="8" t="str">
        <f t="shared" si="1260"/>
        <v>Qcorrecto</v>
      </c>
      <c r="AY227" s="22" t="str">
        <f t="shared" si="1240"/>
        <v>aceptable</v>
      </c>
      <c r="AZ227" s="22" t="str">
        <f t="shared" si="1241"/>
        <v>aceptable</v>
      </c>
      <c r="BA227" s="22" t="str">
        <f t="shared" si="1261"/>
        <v>aceptable</v>
      </c>
      <c r="BB227" s="25" t="str">
        <f t="shared" si="1262"/>
        <v>NO CONFORME</v>
      </c>
      <c r="BC227" s="5" t="str">
        <f t="shared" si="1263"/>
        <v>NO CONFORME</v>
      </c>
      <c r="BD227" s="15">
        <f t="shared" si="1242"/>
        <v>-1</v>
      </c>
      <c r="BE227" s="15">
        <f t="shared" si="1243"/>
        <v>-1</v>
      </c>
      <c r="BF227" s="15">
        <f t="shared" si="1244"/>
        <v>-1</v>
      </c>
      <c r="BG227" s="15" t="str">
        <f t="shared" si="1245"/>
        <v>-1-1-1</v>
      </c>
      <c r="BH227" s="15" t="str">
        <f t="shared" si="1246"/>
        <v>SD</v>
      </c>
      <c r="BI227" s="15" t="str">
        <f t="shared" si="1247"/>
        <v>SI</v>
      </c>
      <c r="BJ227" s="15" t="b">
        <f t="shared" si="1248"/>
        <v>1</v>
      </c>
      <c r="BK227" s="15" t="str">
        <f t="shared" si="1249"/>
        <v>SIGIGUALES</v>
      </c>
      <c r="BL227" s="22" t="str">
        <f t="shared" si="1250"/>
        <v>NO CONFORME</v>
      </c>
    </row>
    <row r="228" spans="1:64" ht="15.75" thickBot="1" x14ac:dyDescent="0.3">
      <c r="A228" s="37">
        <v>220</v>
      </c>
      <c r="B228" s="93">
        <f t="shared" ref="B228:E228" si="1433">B227</f>
        <v>45919</v>
      </c>
      <c r="C228" s="93">
        <f t="shared" si="1433"/>
        <v>45919</v>
      </c>
      <c r="D228" s="94">
        <f t="shared" si="1433"/>
        <v>6</v>
      </c>
      <c r="E228" s="95">
        <f t="shared" si="1433"/>
        <v>15</v>
      </c>
      <c r="F228" s="52"/>
      <c r="G228" s="96"/>
      <c r="H228" s="97">
        <f t="shared" ref="H228:L228" si="1434">H227</f>
        <v>25.6</v>
      </c>
      <c r="I228" s="98">
        <f t="shared" si="1434"/>
        <v>0</v>
      </c>
      <c r="J228" s="99">
        <f t="shared" si="1434"/>
        <v>20.9</v>
      </c>
      <c r="K228" s="99">
        <f t="shared" si="1434"/>
        <v>7.883</v>
      </c>
      <c r="L228" s="99">
        <f t="shared" si="1434"/>
        <v>0.55400000000000005</v>
      </c>
      <c r="M228" s="53"/>
      <c r="N228" s="53"/>
      <c r="O228" s="100">
        <f t="shared" ref="O228:P228" si="1435">O227</f>
        <v>100.62</v>
      </c>
      <c r="P228" s="101" t="str">
        <f t="shared" si="1435"/>
        <v>2,29,560</v>
      </c>
      <c r="Q228" s="11" t="str">
        <f t="shared" si="1316"/>
        <v>2</v>
      </c>
      <c r="R228" s="11" t="str">
        <f t="shared" si="1317"/>
        <v>29,560</v>
      </c>
      <c r="S228" s="11">
        <f t="shared" si="1318"/>
        <v>4.1544444444444446E-2</v>
      </c>
      <c r="T228" s="14">
        <f t="shared" si="1319"/>
        <v>2421.9844878309709</v>
      </c>
      <c r="U228" s="39">
        <f t="shared" si="1320"/>
        <v>-100</v>
      </c>
      <c r="V228" s="105">
        <f t="shared" ref="V228:W228" si="1436">V227</f>
        <v>20.399999999999999</v>
      </c>
      <c r="W228" s="105">
        <f t="shared" si="1436"/>
        <v>1.5069999999999999</v>
      </c>
      <c r="X228" s="106">
        <f t="shared" si="1375"/>
        <v>1.504</v>
      </c>
      <c r="Y228" s="53"/>
      <c r="Z228" s="53"/>
      <c r="AA228" s="107">
        <f t="shared" ref="AA228:AB228" si="1437">AA227</f>
        <v>10.015000000000001</v>
      </c>
      <c r="AB228" s="108" t="str">
        <f t="shared" si="1437"/>
        <v>22,10,090</v>
      </c>
      <c r="AC228" s="11" t="str">
        <f t="shared" si="1323"/>
        <v>22</v>
      </c>
      <c r="AD228" s="11" t="str">
        <f t="shared" si="1324"/>
        <v>10,090</v>
      </c>
      <c r="AE228" s="11">
        <f t="shared" si="1325"/>
        <v>0.36946944444444441</v>
      </c>
      <c r="AF228" s="14">
        <f t="shared" si="1326"/>
        <v>27.106436406558959</v>
      </c>
      <c r="AG228" s="41">
        <f t="shared" si="1327"/>
        <v>-100</v>
      </c>
      <c r="AH228" s="105">
        <f t="shared" si="1383"/>
        <v>20.3</v>
      </c>
      <c r="AI228" s="105">
        <f t="shared" si="1383"/>
        <v>1.5089999999999999</v>
      </c>
      <c r="AJ228" s="105">
        <f t="shared" si="1383"/>
        <v>1.504</v>
      </c>
      <c r="AK228" s="53">
        <f t="shared" si="1328"/>
        <v>0</v>
      </c>
      <c r="AL228" s="53"/>
      <c r="AM228" s="54">
        <f t="shared" ref="AM228:AN228" si="1438">AM227</f>
        <v>5.0129999999999999</v>
      </c>
      <c r="AN228" s="101" t="str">
        <f t="shared" si="1438"/>
        <v>17,59,050</v>
      </c>
      <c r="AO228" s="11" t="str">
        <f t="shared" si="1330"/>
        <v>17</v>
      </c>
      <c r="AP228" s="11" t="str">
        <f t="shared" si="1331"/>
        <v>59,050</v>
      </c>
      <c r="AQ228" s="11">
        <f t="shared" si="1332"/>
        <v>0.29973611111111109</v>
      </c>
      <c r="AR228" s="14">
        <f t="shared" si="1333"/>
        <v>16.724711551827998</v>
      </c>
      <c r="AS228" s="41">
        <f t="shared" si="1334"/>
        <v>-100</v>
      </c>
      <c r="AT228" s="43" t="str">
        <f t="shared" si="1335"/>
        <v>NO CONFORME</v>
      </c>
      <c r="AU228" s="8" t="b">
        <f t="shared" si="1257"/>
        <v>1</v>
      </c>
      <c r="AV228" s="8" t="b">
        <f t="shared" si="1258"/>
        <v>0</v>
      </c>
      <c r="AW228" s="8" t="b">
        <f t="shared" si="1259"/>
        <v>1</v>
      </c>
      <c r="AX228" s="8" t="str">
        <f t="shared" si="1260"/>
        <v>Qcorrecto</v>
      </c>
      <c r="AY228" s="22" t="str">
        <f t="shared" si="1240"/>
        <v>aceptable</v>
      </c>
      <c r="AZ228" s="22" t="str">
        <f t="shared" si="1241"/>
        <v>aceptable</v>
      </c>
      <c r="BA228" s="22" t="str">
        <f t="shared" si="1261"/>
        <v>aceptable</v>
      </c>
      <c r="BB228" s="25" t="str">
        <f t="shared" si="1262"/>
        <v>NO CONFORME</v>
      </c>
      <c r="BC228" s="5" t="str">
        <f t="shared" si="1263"/>
        <v>NO CONFORME</v>
      </c>
      <c r="BD228" s="15">
        <f t="shared" si="1242"/>
        <v>-1</v>
      </c>
      <c r="BE228" s="15">
        <f t="shared" si="1243"/>
        <v>-1</v>
      </c>
      <c r="BF228" s="15">
        <f t="shared" si="1244"/>
        <v>-1</v>
      </c>
      <c r="BG228" s="15" t="str">
        <f t="shared" si="1245"/>
        <v>-1-1-1</v>
      </c>
      <c r="BH228" s="15" t="str">
        <f t="shared" si="1246"/>
        <v>SD</v>
      </c>
      <c r="BI228" s="15" t="str">
        <f t="shared" si="1247"/>
        <v>SI</v>
      </c>
      <c r="BJ228" s="15" t="b">
        <f t="shared" si="1248"/>
        <v>1</v>
      </c>
      <c r="BK228" s="15" t="str">
        <f t="shared" si="1249"/>
        <v>SIGIGUALES</v>
      </c>
      <c r="BL228" s="22" t="str">
        <f t="shared" si="1250"/>
        <v>NO CONFORME</v>
      </c>
    </row>
    <row r="229" spans="1:64" ht="15.75" thickBot="1" x14ac:dyDescent="0.3">
      <c r="A229" s="37">
        <v>221</v>
      </c>
      <c r="B229" s="93">
        <f t="shared" ref="B229:E229" si="1439">B228</f>
        <v>45919</v>
      </c>
      <c r="C229" s="93">
        <f t="shared" si="1439"/>
        <v>45919</v>
      </c>
      <c r="D229" s="94">
        <f t="shared" si="1439"/>
        <v>6</v>
      </c>
      <c r="E229" s="95">
        <f t="shared" si="1439"/>
        <v>15</v>
      </c>
      <c r="F229" s="52"/>
      <c r="G229" s="96"/>
      <c r="H229" s="97">
        <f t="shared" ref="H229:L229" si="1440">H228</f>
        <v>25.6</v>
      </c>
      <c r="I229" s="98">
        <f t="shared" si="1440"/>
        <v>0</v>
      </c>
      <c r="J229" s="99">
        <f t="shared" si="1440"/>
        <v>20.9</v>
      </c>
      <c r="K229" s="99">
        <f t="shared" si="1440"/>
        <v>7.883</v>
      </c>
      <c r="L229" s="99">
        <f t="shared" si="1440"/>
        <v>0.55400000000000005</v>
      </c>
      <c r="M229" s="53"/>
      <c r="N229" s="53"/>
      <c r="O229" s="100">
        <f t="shared" ref="O229:P229" si="1441">O228</f>
        <v>100.62</v>
      </c>
      <c r="P229" s="101" t="str">
        <f t="shared" si="1441"/>
        <v>2,29,560</v>
      </c>
      <c r="Q229" s="11" t="str">
        <f t="shared" si="1316"/>
        <v>2</v>
      </c>
      <c r="R229" s="11" t="str">
        <f t="shared" si="1317"/>
        <v>29,560</v>
      </c>
      <c r="S229" s="11">
        <f t="shared" si="1318"/>
        <v>4.1544444444444446E-2</v>
      </c>
      <c r="T229" s="14">
        <f t="shared" si="1319"/>
        <v>2421.9844878309709</v>
      </c>
      <c r="U229" s="39">
        <f t="shared" si="1320"/>
        <v>-100</v>
      </c>
      <c r="V229" s="105">
        <f t="shared" ref="V229:W229" si="1442">V228</f>
        <v>20.399999999999999</v>
      </c>
      <c r="W229" s="105">
        <f t="shared" si="1442"/>
        <v>1.5069999999999999</v>
      </c>
      <c r="X229" s="106">
        <f t="shared" si="1375"/>
        <v>1.504</v>
      </c>
      <c r="Y229" s="53"/>
      <c r="Z229" s="53"/>
      <c r="AA229" s="107">
        <f t="shared" ref="AA229:AB229" si="1443">AA228</f>
        <v>10.015000000000001</v>
      </c>
      <c r="AB229" s="108" t="str">
        <f t="shared" si="1443"/>
        <v>22,10,090</v>
      </c>
      <c r="AC229" s="11" t="str">
        <f t="shared" si="1323"/>
        <v>22</v>
      </c>
      <c r="AD229" s="11" t="str">
        <f t="shared" si="1324"/>
        <v>10,090</v>
      </c>
      <c r="AE229" s="11">
        <f t="shared" si="1325"/>
        <v>0.36946944444444441</v>
      </c>
      <c r="AF229" s="14">
        <f t="shared" si="1326"/>
        <v>27.106436406558959</v>
      </c>
      <c r="AG229" s="41">
        <f t="shared" si="1327"/>
        <v>-100</v>
      </c>
      <c r="AH229" s="105">
        <f t="shared" si="1383"/>
        <v>20.3</v>
      </c>
      <c r="AI229" s="105">
        <f t="shared" si="1383"/>
        <v>1.5089999999999999</v>
      </c>
      <c r="AJ229" s="105">
        <f t="shared" si="1383"/>
        <v>1.504</v>
      </c>
      <c r="AK229" s="53">
        <f t="shared" si="1328"/>
        <v>0</v>
      </c>
      <c r="AL229" s="53"/>
      <c r="AM229" s="54">
        <f t="shared" ref="AM229:AN229" si="1444">AM228</f>
        <v>5.0129999999999999</v>
      </c>
      <c r="AN229" s="101" t="str">
        <f t="shared" si="1444"/>
        <v>17,59,050</v>
      </c>
      <c r="AO229" s="11" t="str">
        <f t="shared" si="1330"/>
        <v>17</v>
      </c>
      <c r="AP229" s="11" t="str">
        <f t="shared" si="1331"/>
        <v>59,050</v>
      </c>
      <c r="AQ229" s="11">
        <f t="shared" si="1332"/>
        <v>0.29973611111111109</v>
      </c>
      <c r="AR229" s="14">
        <f t="shared" si="1333"/>
        <v>16.724711551827998</v>
      </c>
      <c r="AS229" s="41">
        <f t="shared" si="1334"/>
        <v>-100</v>
      </c>
      <c r="AT229" s="43" t="str">
        <f t="shared" si="1335"/>
        <v>NO CONFORME</v>
      </c>
      <c r="AU229" s="8" t="b">
        <f t="shared" si="1257"/>
        <v>1</v>
      </c>
      <c r="AV229" s="8" t="b">
        <f t="shared" si="1258"/>
        <v>0</v>
      </c>
      <c r="AW229" s="8" t="b">
        <f t="shared" si="1259"/>
        <v>1</v>
      </c>
      <c r="AX229" s="8" t="str">
        <f t="shared" si="1260"/>
        <v>Qcorrecto</v>
      </c>
      <c r="AY229" s="22" t="str">
        <f t="shared" si="1240"/>
        <v>aceptable</v>
      </c>
      <c r="AZ229" s="22" t="str">
        <f t="shared" si="1241"/>
        <v>aceptable</v>
      </c>
      <c r="BA229" s="22" t="str">
        <f t="shared" si="1261"/>
        <v>aceptable</v>
      </c>
      <c r="BB229" s="25" t="str">
        <f t="shared" si="1262"/>
        <v>NO CONFORME</v>
      </c>
      <c r="BC229" s="5" t="str">
        <f t="shared" si="1263"/>
        <v>NO CONFORME</v>
      </c>
      <c r="BD229" s="15">
        <f t="shared" si="1242"/>
        <v>-1</v>
      </c>
      <c r="BE229" s="15">
        <f t="shared" si="1243"/>
        <v>-1</v>
      </c>
      <c r="BF229" s="15">
        <f t="shared" si="1244"/>
        <v>-1</v>
      </c>
      <c r="BG229" s="15" t="str">
        <f t="shared" si="1245"/>
        <v>-1-1-1</v>
      </c>
      <c r="BH229" s="15" t="str">
        <f t="shared" si="1246"/>
        <v>SD</v>
      </c>
      <c r="BI229" s="15" t="str">
        <f t="shared" si="1247"/>
        <v>SI</v>
      </c>
      <c r="BJ229" s="15" t="b">
        <f t="shared" si="1248"/>
        <v>1</v>
      </c>
      <c r="BK229" s="15" t="str">
        <f t="shared" si="1249"/>
        <v>SIGIGUALES</v>
      </c>
      <c r="BL229" s="22" t="str">
        <f t="shared" si="1250"/>
        <v>NO CONFORME</v>
      </c>
    </row>
    <row r="230" spans="1:64" ht="15.75" thickBot="1" x14ac:dyDescent="0.3">
      <c r="A230" s="37">
        <v>222</v>
      </c>
      <c r="B230" s="93">
        <f t="shared" ref="B230:E230" si="1445">B229</f>
        <v>45919</v>
      </c>
      <c r="C230" s="93">
        <f t="shared" si="1445"/>
        <v>45919</v>
      </c>
      <c r="D230" s="94">
        <f t="shared" si="1445"/>
        <v>6</v>
      </c>
      <c r="E230" s="95">
        <f t="shared" si="1445"/>
        <v>15</v>
      </c>
      <c r="F230" s="52"/>
      <c r="G230" s="96"/>
      <c r="H230" s="97">
        <f t="shared" ref="H230:L230" si="1446">H229</f>
        <v>25.6</v>
      </c>
      <c r="I230" s="98">
        <f t="shared" si="1446"/>
        <v>0</v>
      </c>
      <c r="J230" s="99">
        <f t="shared" si="1446"/>
        <v>20.9</v>
      </c>
      <c r="K230" s="99">
        <f t="shared" si="1446"/>
        <v>7.883</v>
      </c>
      <c r="L230" s="99">
        <f t="shared" si="1446"/>
        <v>0.55400000000000005</v>
      </c>
      <c r="M230" s="53"/>
      <c r="N230" s="53"/>
      <c r="O230" s="100">
        <f t="shared" ref="O230:P230" si="1447">O229</f>
        <v>100.62</v>
      </c>
      <c r="P230" s="101" t="str">
        <f t="shared" si="1447"/>
        <v>2,29,560</v>
      </c>
      <c r="Q230" s="11" t="str">
        <f t="shared" si="1316"/>
        <v>2</v>
      </c>
      <c r="R230" s="11" t="str">
        <f t="shared" si="1317"/>
        <v>29,560</v>
      </c>
      <c r="S230" s="11">
        <f t="shared" si="1318"/>
        <v>4.1544444444444446E-2</v>
      </c>
      <c r="T230" s="14">
        <f t="shared" si="1319"/>
        <v>2421.9844878309709</v>
      </c>
      <c r="U230" s="39">
        <f t="shared" si="1320"/>
        <v>-100</v>
      </c>
      <c r="V230" s="105">
        <f t="shared" ref="V230:W230" si="1448">V229</f>
        <v>20.399999999999999</v>
      </c>
      <c r="W230" s="105">
        <f t="shared" si="1448"/>
        <v>1.5069999999999999</v>
      </c>
      <c r="X230" s="106">
        <f t="shared" si="1375"/>
        <v>1.504</v>
      </c>
      <c r="Y230" s="53"/>
      <c r="Z230" s="53"/>
      <c r="AA230" s="107">
        <f t="shared" ref="AA230:AB230" si="1449">AA229</f>
        <v>10.015000000000001</v>
      </c>
      <c r="AB230" s="108" t="str">
        <f t="shared" si="1449"/>
        <v>22,10,090</v>
      </c>
      <c r="AC230" s="11" t="str">
        <f t="shared" si="1323"/>
        <v>22</v>
      </c>
      <c r="AD230" s="11" t="str">
        <f t="shared" si="1324"/>
        <v>10,090</v>
      </c>
      <c r="AE230" s="11">
        <f t="shared" si="1325"/>
        <v>0.36946944444444441</v>
      </c>
      <c r="AF230" s="14">
        <f t="shared" si="1326"/>
        <v>27.106436406558959</v>
      </c>
      <c r="AG230" s="41">
        <f t="shared" si="1327"/>
        <v>-100</v>
      </c>
      <c r="AH230" s="105">
        <f t="shared" si="1383"/>
        <v>20.3</v>
      </c>
      <c r="AI230" s="105">
        <f t="shared" si="1383"/>
        <v>1.5089999999999999</v>
      </c>
      <c r="AJ230" s="105">
        <f t="shared" si="1383"/>
        <v>1.504</v>
      </c>
      <c r="AK230" s="53">
        <f t="shared" si="1328"/>
        <v>0</v>
      </c>
      <c r="AL230" s="53"/>
      <c r="AM230" s="54">
        <f t="shared" ref="AM230:AN230" si="1450">AM229</f>
        <v>5.0129999999999999</v>
      </c>
      <c r="AN230" s="101" t="str">
        <f t="shared" si="1450"/>
        <v>17,59,050</v>
      </c>
      <c r="AO230" s="11" t="str">
        <f t="shared" si="1330"/>
        <v>17</v>
      </c>
      <c r="AP230" s="11" t="str">
        <f t="shared" si="1331"/>
        <v>59,050</v>
      </c>
      <c r="AQ230" s="11">
        <f t="shared" si="1332"/>
        <v>0.29973611111111109</v>
      </c>
      <c r="AR230" s="14">
        <f t="shared" si="1333"/>
        <v>16.724711551827998</v>
      </c>
      <c r="AS230" s="41">
        <f t="shared" si="1334"/>
        <v>-100</v>
      </c>
      <c r="AT230" s="43" t="str">
        <f t="shared" si="1335"/>
        <v>NO CONFORME</v>
      </c>
      <c r="AU230" s="8" t="b">
        <f t="shared" si="1257"/>
        <v>1</v>
      </c>
      <c r="AV230" s="8" t="b">
        <f t="shared" si="1258"/>
        <v>0</v>
      </c>
      <c r="AW230" s="8" t="b">
        <f t="shared" si="1259"/>
        <v>1</v>
      </c>
      <c r="AX230" s="8" t="str">
        <f t="shared" si="1260"/>
        <v>Qcorrecto</v>
      </c>
      <c r="AY230" s="22" t="str">
        <f t="shared" si="1240"/>
        <v>aceptable</v>
      </c>
      <c r="AZ230" s="22" t="str">
        <f t="shared" si="1241"/>
        <v>aceptable</v>
      </c>
      <c r="BA230" s="22" t="str">
        <f t="shared" si="1261"/>
        <v>aceptable</v>
      </c>
      <c r="BB230" s="25" t="str">
        <f t="shared" si="1262"/>
        <v>NO CONFORME</v>
      </c>
      <c r="BC230" s="5" t="str">
        <f t="shared" si="1263"/>
        <v>NO CONFORME</v>
      </c>
      <c r="BD230" s="15">
        <f t="shared" si="1242"/>
        <v>-1</v>
      </c>
      <c r="BE230" s="15">
        <f t="shared" si="1243"/>
        <v>-1</v>
      </c>
      <c r="BF230" s="15">
        <f t="shared" si="1244"/>
        <v>-1</v>
      </c>
      <c r="BG230" s="15" t="str">
        <f t="shared" si="1245"/>
        <v>-1-1-1</v>
      </c>
      <c r="BH230" s="15" t="str">
        <f t="shared" si="1246"/>
        <v>SD</v>
      </c>
      <c r="BI230" s="15" t="str">
        <f t="shared" si="1247"/>
        <v>SI</v>
      </c>
      <c r="BJ230" s="15" t="b">
        <f t="shared" si="1248"/>
        <v>1</v>
      </c>
      <c r="BK230" s="15" t="str">
        <f t="shared" si="1249"/>
        <v>SIGIGUALES</v>
      </c>
      <c r="BL230" s="22" t="str">
        <f t="shared" si="1250"/>
        <v>NO CONFORME</v>
      </c>
    </row>
    <row r="231" spans="1:64" ht="15.75" thickBot="1" x14ac:dyDescent="0.3">
      <c r="A231" s="37">
        <v>223</v>
      </c>
      <c r="B231" s="93">
        <f t="shared" ref="B231:E231" si="1451">B230</f>
        <v>45919</v>
      </c>
      <c r="C231" s="93">
        <f t="shared" si="1451"/>
        <v>45919</v>
      </c>
      <c r="D231" s="94">
        <f t="shared" si="1451"/>
        <v>6</v>
      </c>
      <c r="E231" s="95">
        <f t="shared" si="1451"/>
        <v>15</v>
      </c>
      <c r="F231" s="52"/>
      <c r="G231" s="96"/>
      <c r="H231" s="97">
        <f t="shared" ref="H231:L231" si="1452">H230</f>
        <v>25.6</v>
      </c>
      <c r="I231" s="98">
        <f t="shared" si="1452"/>
        <v>0</v>
      </c>
      <c r="J231" s="99">
        <f t="shared" si="1452"/>
        <v>20.9</v>
      </c>
      <c r="K231" s="99">
        <f t="shared" si="1452"/>
        <v>7.883</v>
      </c>
      <c r="L231" s="99">
        <f t="shared" si="1452"/>
        <v>0.55400000000000005</v>
      </c>
      <c r="M231" s="53"/>
      <c r="N231" s="53"/>
      <c r="O231" s="100">
        <f t="shared" ref="O231:P231" si="1453">O230</f>
        <v>100.62</v>
      </c>
      <c r="P231" s="101" t="str">
        <f t="shared" si="1453"/>
        <v>2,29,560</v>
      </c>
      <c r="Q231" s="11" t="str">
        <f t="shared" si="1316"/>
        <v>2</v>
      </c>
      <c r="R231" s="11" t="str">
        <f t="shared" si="1317"/>
        <v>29,560</v>
      </c>
      <c r="S231" s="11">
        <f t="shared" si="1318"/>
        <v>4.1544444444444446E-2</v>
      </c>
      <c r="T231" s="14">
        <f t="shared" si="1319"/>
        <v>2421.9844878309709</v>
      </c>
      <c r="U231" s="39">
        <f t="shared" si="1320"/>
        <v>-100</v>
      </c>
      <c r="V231" s="105">
        <f t="shared" ref="V231:W231" si="1454">V230</f>
        <v>20.399999999999999</v>
      </c>
      <c r="W231" s="105">
        <f t="shared" si="1454"/>
        <v>1.5069999999999999</v>
      </c>
      <c r="X231" s="106">
        <f t="shared" si="1375"/>
        <v>1.504</v>
      </c>
      <c r="Y231" s="53"/>
      <c r="Z231" s="53"/>
      <c r="AA231" s="107">
        <f t="shared" ref="AA231:AB231" si="1455">AA230</f>
        <v>10.015000000000001</v>
      </c>
      <c r="AB231" s="108" t="str">
        <f t="shared" si="1455"/>
        <v>22,10,090</v>
      </c>
      <c r="AC231" s="11" t="str">
        <f t="shared" si="1323"/>
        <v>22</v>
      </c>
      <c r="AD231" s="11" t="str">
        <f t="shared" si="1324"/>
        <v>10,090</v>
      </c>
      <c r="AE231" s="11">
        <f t="shared" si="1325"/>
        <v>0.36946944444444441</v>
      </c>
      <c r="AF231" s="14">
        <f t="shared" si="1326"/>
        <v>27.106436406558959</v>
      </c>
      <c r="AG231" s="41">
        <f t="shared" si="1327"/>
        <v>-100</v>
      </c>
      <c r="AH231" s="105">
        <f t="shared" si="1383"/>
        <v>20.3</v>
      </c>
      <c r="AI231" s="105">
        <f t="shared" si="1383"/>
        <v>1.5089999999999999</v>
      </c>
      <c r="AJ231" s="105">
        <f t="shared" si="1383"/>
        <v>1.504</v>
      </c>
      <c r="AK231" s="53">
        <f t="shared" si="1328"/>
        <v>0</v>
      </c>
      <c r="AL231" s="53"/>
      <c r="AM231" s="54">
        <f t="shared" ref="AM231:AN231" si="1456">AM230</f>
        <v>5.0129999999999999</v>
      </c>
      <c r="AN231" s="101" t="str">
        <f t="shared" si="1456"/>
        <v>17,59,050</v>
      </c>
      <c r="AO231" s="11" t="str">
        <f t="shared" si="1330"/>
        <v>17</v>
      </c>
      <c r="AP231" s="11" t="str">
        <f t="shared" si="1331"/>
        <v>59,050</v>
      </c>
      <c r="AQ231" s="11">
        <f t="shared" si="1332"/>
        <v>0.29973611111111109</v>
      </c>
      <c r="AR231" s="14">
        <f t="shared" si="1333"/>
        <v>16.724711551827998</v>
      </c>
      <c r="AS231" s="41">
        <f t="shared" si="1334"/>
        <v>-100</v>
      </c>
      <c r="AT231" s="43" t="str">
        <f t="shared" si="1335"/>
        <v>NO CONFORME</v>
      </c>
      <c r="AU231" s="8" t="b">
        <f t="shared" si="1257"/>
        <v>1</v>
      </c>
      <c r="AV231" s="8" t="b">
        <f t="shared" si="1258"/>
        <v>0</v>
      </c>
      <c r="AW231" s="8" t="b">
        <f t="shared" si="1259"/>
        <v>1</v>
      </c>
      <c r="AX231" s="8" t="str">
        <f t="shared" si="1260"/>
        <v>Qcorrecto</v>
      </c>
      <c r="AY231" s="22" t="str">
        <f t="shared" si="1240"/>
        <v>aceptable</v>
      </c>
      <c r="AZ231" s="22" t="str">
        <f t="shared" si="1241"/>
        <v>aceptable</v>
      </c>
      <c r="BA231" s="22" t="str">
        <f t="shared" si="1261"/>
        <v>aceptable</v>
      </c>
      <c r="BB231" s="25" t="str">
        <f t="shared" si="1262"/>
        <v>NO CONFORME</v>
      </c>
      <c r="BC231" s="5" t="str">
        <f t="shared" si="1263"/>
        <v>NO CONFORME</v>
      </c>
      <c r="BD231" s="15">
        <f t="shared" si="1242"/>
        <v>-1</v>
      </c>
      <c r="BE231" s="15">
        <f t="shared" si="1243"/>
        <v>-1</v>
      </c>
      <c r="BF231" s="15">
        <f t="shared" si="1244"/>
        <v>-1</v>
      </c>
      <c r="BG231" s="15" t="str">
        <f t="shared" si="1245"/>
        <v>-1-1-1</v>
      </c>
      <c r="BH231" s="15" t="str">
        <f t="shared" si="1246"/>
        <v>SD</v>
      </c>
      <c r="BI231" s="15" t="str">
        <f t="shared" si="1247"/>
        <v>SI</v>
      </c>
      <c r="BJ231" s="15" t="b">
        <f t="shared" si="1248"/>
        <v>1</v>
      </c>
      <c r="BK231" s="15" t="str">
        <f t="shared" si="1249"/>
        <v>SIGIGUALES</v>
      </c>
      <c r="BL231" s="22" t="str">
        <f t="shared" si="1250"/>
        <v>NO CONFORME</v>
      </c>
    </row>
    <row r="232" spans="1:64" ht="15.75" thickBot="1" x14ac:dyDescent="0.3">
      <c r="A232" s="37">
        <v>224</v>
      </c>
      <c r="B232" s="93">
        <f t="shared" ref="B232:E232" si="1457">B231</f>
        <v>45919</v>
      </c>
      <c r="C232" s="93">
        <f t="shared" si="1457"/>
        <v>45919</v>
      </c>
      <c r="D232" s="94">
        <f t="shared" si="1457"/>
        <v>6</v>
      </c>
      <c r="E232" s="95">
        <f t="shared" si="1457"/>
        <v>15</v>
      </c>
      <c r="F232" s="52"/>
      <c r="G232" s="96"/>
      <c r="H232" s="97">
        <f t="shared" ref="H232:L232" si="1458">H231</f>
        <v>25.6</v>
      </c>
      <c r="I232" s="98">
        <f t="shared" si="1458"/>
        <v>0</v>
      </c>
      <c r="J232" s="99">
        <f t="shared" si="1458"/>
        <v>20.9</v>
      </c>
      <c r="K232" s="99">
        <f t="shared" si="1458"/>
        <v>7.883</v>
      </c>
      <c r="L232" s="99">
        <f t="shared" si="1458"/>
        <v>0.55400000000000005</v>
      </c>
      <c r="M232" s="53"/>
      <c r="N232" s="53"/>
      <c r="O232" s="100">
        <f t="shared" ref="O232:P232" si="1459">O231</f>
        <v>100.62</v>
      </c>
      <c r="P232" s="101" t="str">
        <f t="shared" si="1459"/>
        <v>2,29,560</v>
      </c>
      <c r="Q232" s="11" t="str">
        <f t="shared" si="1316"/>
        <v>2</v>
      </c>
      <c r="R232" s="11" t="str">
        <f t="shared" si="1317"/>
        <v>29,560</v>
      </c>
      <c r="S232" s="11">
        <f t="shared" si="1318"/>
        <v>4.1544444444444446E-2</v>
      </c>
      <c r="T232" s="14">
        <f t="shared" si="1319"/>
        <v>2421.9844878309709</v>
      </c>
      <c r="U232" s="39">
        <f t="shared" si="1320"/>
        <v>-100</v>
      </c>
      <c r="V232" s="105">
        <f t="shared" ref="V232:W232" si="1460">V231</f>
        <v>20.399999999999999</v>
      </c>
      <c r="W232" s="105">
        <f t="shared" si="1460"/>
        <v>1.5069999999999999</v>
      </c>
      <c r="X232" s="106">
        <f t="shared" si="1375"/>
        <v>1.504</v>
      </c>
      <c r="Y232" s="53"/>
      <c r="Z232" s="53"/>
      <c r="AA232" s="107">
        <f t="shared" ref="AA232:AB232" si="1461">AA231</f>
        <v>10.015000000000001</v>
      </c>
      <c r="AB232" s="108" t="str">
        <f t="shared" si="1461"/>
        <v>22,10,090</v>
      </c>
      <c r="AC232" s="11" t="str">
        <f t="shared" si="1323"/>
        <v>22</v>
      </c>
      <c r="AD232" s="11" t="str">
        <f t="shared" si="1324"/>
        <v>10,090</v>
      </c>
      <c r="AE232" s="11">
        <f t="shared" si="1325"/>
        <v>0.36946944444444441</v>
      </c>
      <c r="AF232" s="14">
        <f t="shared" si="1326"/>
        <v>27.106436406558959</v>
      </c>
      <c r="AG232" s="41">
        <f t="shared" si="1327"/>
        <v>-100</v>
      </c>
      <c r="AH232" s="105">
        <f t="shared" si="1383"/>
        <v>20.3</v>
      </c>
      <c r="AI232" s="105">
        <f t="shared" si="1383"/>
        <v>1.5089999999999999</v>
      </c>
      <c r="AJ232" s="105">
        <f t="shared" si="1383"/>
        <v>1.504</v>
      </c>
      <c r="AK232" s="53">
        <f t="shared" si="1328"/>
        <v>0</v>
      </c>
      <c r="AL232" s="53"/>
      <c r="AM232" s="54">
        <f t="shared" ref="AM232:AN232" si="1462">AM231</f>
        <v>5.0129999999999999</v>
      </c>
      <c r="AN232" s="101" t="str">
        <f t="shared" si="1462"/>
        <v>17,59,050</v>
      </c>
      <c r="AO232" s="11" t="str">
        <f t="shared" si="1330"/>
        <v>17</v>
      </c>
      <c r="AP232" s="11" t="str">
        <f t="shared" si="1331"/>
        <v>59,050</v>
      </c>
      <c r="AQ232" s="11">
        <f t="shared" si="1332"/>
        <v>0.29973611111111109</v>
      </c>
      <c r="AR232" s="14">
        <f t="shared" si="1333"/>
        <v>16.724711551827998</v>
      </c>
      <c r="AS232" s="41">
        <f t="shared" si="1334"/>
        <v>-100</v>
      </c>
      <c r="AT232" s="43" t="str">
        <f t="shared" si="1335"/>
        <v>NO CONFORME</v>
      </c>
      <c r="AU232" s="8" t="b">
        <f t="shared" si="1257"/>
        <v>1</v>
      </c>
      <c r="AV232" s="8" t="b">
        <f t="shared" si="1258"/>
        <v>0</v>
      </c>
      <c r="AW232" s="8" t="b">
        <f t="shared" si="1259"/>
        <v>1</v>
      </c>
      <c r="AX232" s="8" t="str">
        <f t="shared" si="1260"/>
        <v>Qcorrecto</v>
      </c>
      <c r="AY232" s="22" t="str">
        <f t="shared" si="1240"/>
        <v>aceptable</v>
      </c>
      <c r="AZ232" s="22" t="str">
        <f t="shared" si="1241"/>
        <v>aceptable</v>
      </c>
      <c r="BA232" s="22" t="str">
        <f t="shared" si="1261"/>
        <v>aceptable</v>
      </c>
      <c r="BB232" s="25" t="str">
        <f t="shared" si="1262"/>
        <v>NO CONFORME</v>
      </c>
      <c r="BC232" s="5" t="str">
        <f t="shared" si="1263"/>
        <v>NO CONFORME</v>
      </c>
      <c r="BD232" s="15">
        <f t="shared" si="1242"/>
        <v>-1</v>
      </c>
      <c r="BE232" s="15">
        <f t="shared" si="1243"/>
        <v>-1</v>
      </c>
      <c r="BF232" s="15">
        <f t="shared" si="1244"/>
        <v>-1</v>
      </c>
      <c r="BG232" s="15" t="str">
        <f t="shared" si="1245"/>
        <v>-1-1-1</v>
      </c>
      <c r="BH232" s="15" t="str">
        <f t="shared" si="1246"/>
        <v>SD</v>
      </c>
      <c r="BI232" s="15" t="str">
        <f t="shared" si="1247"/>
        <v>SI</v>
      </c>
      <c r="BJ232" s="15" t="b">
        <f t="shared" si="1248"/>
        <v>1</v>
      </c>
      <c r="BK232" s="15" t="str">
        <f t="shared" si="1249"/>
        <v>SIGIGUALES</v>
      </c>
      <c r="BL232" s="22" t="str">
        <f t="shared" si="1250"/>
        <v>NO CONFORME</v>
      </c>
    </row>
    <row r="233" spans="1:64" ht="15.75" thickBot="1" x14ac:dyDescent="0.3">
      <c r="A233" s="37">
        <v>225</v>
      </c>
      <c r="B233" s="93">
        <f t="shared" ref="B233:E233" si="1463">B232</f>
        <v>45919</v>
      </c>
      <c r="C233" s="93">
        <f t="shared" si="1463"/>
        <v>45919</v>
      </c>
      <c r="D233" s="94">
        <f t="shared" si="1463"/>
        <v>6</v>
      </c>
      <c r="E233" s="95">
        <f t="shared" si="1463"/>
        <v>15</v>
      </c>
      <c r="F233" s="52"/>
      <c r="G233" s="96"/>
      <c r="H233" s="97">
        <f t="shared" ref="H233:L233" si="1464">H232</f>
        <v>25.6</v>
      </c>
      <c r="I233" s="98">
        <f t="shared" si="1464"/>
        <v>0</v>
      </c>
      <c r="J233" s="99">
        <f t="shared" si="1464"/>
        <v>20.9</v>
      </c>
      <c r="K233" s="99">
        <f t="shared" si="1464"/>
        <v>7.883</v>
      </c>
      <c r="L233" s="99">
        <f t="shared" si="1464"/>
        <v>0.55400000000000005</v>
      </c>
      <c r="M233" s="53"/>
      <c r="N233" s="53"/>
      <c r="O233" s="100">
        <f t="shared" ref="O233:P233" si="1465">O232</f>
        <v>100.62</v>
      </c>
      <c r="P233" s="101" t="str">
        <f t="shared" si="1465"/>
        <v>2,29,560</v>
      </c>
      <c r="Q233" s="11" t="str">
        <f t="shared" si="1316"/>
        <v>2</v>
      </c>
      <c r="R233" s="11" t="str">
        <f t="shared" si="1317"/>
        <v>29,560</v>
      </c>
      <c r="S233" s="11">
        <f t="shared" si="1318"/>
        <v>4.1544444444444446E-2</v>
      </c>
      <c r="T233" s="14">
        <f t="shared" si="1319"/>
        <v>2421.9844878309709</v>
      </c>
      <c r="U233" s="39">
        <f t="shared" si="1320"/>
        <v>-100</v>
      </c>
      <c r="V233" s="105">
        <f t="shared" ref="V233:W233" si="1466">V232</f>
        <v>20.399999999999999</v>
      </c>
      <c r="W233" s="105">
        <f t="shared" si="1466"/>
        <v>1.5069999999999999</v>
      </c>
      <c r="X233" s="106">
        <f t="shared" si="1375"/>
        <v>1.504</v>
      </c>
      <c r="Y233" s="53"/>
      <c r="Z233" s="53"/>
      <c r="AA233" s="107">
        <f t="shared" ref="AA233:AB233" si="1467">AA232</f>
        <v>10.015000000000001</v>
      </c>
      <c r="AB233" s="108" t="str">
        <f t="shared" si="1467"/>
        <v>22,10,090</v>
      </c>
      <c r="AC233" s="11" t="str">
        <f t="shared" si="1323"/>
        <v>22</v>
      </c>
      <c r="AD233" s="11" t="str">
        <f t="shared" si="1324"/>
        <v>10,090</v>
      </c>
      <c r="AE233" s="11">
        <f t="shared" si="1325"/>
        <v>0.36946944444444441</v>
      </c>
      <c r="AF233" s="14">
        <f t="shared" si="1326"/>
        <v>27.106436406558959</v>
      </c>
      <c r="AG233" s="41">
        <f t="shared" si="1327"/>
        <v>-100</v>
      </c>
      <c r="AH233" s="105">
        <f t="shared" si="1383"/>
        <v>20.3</v>
      </c>
      <c r="AI233" s="105">
        <f t="shared" si="1383"/>
        <v>1.5089999999999999</v>
      </c>
      <c r="AJ233" s="105">
        <f t="shared" si="1383"/>
        <v>1.504</v>
      </c>
      <c r="AK233" s="53">
        <f t="shared" si="1328"/>
        <v>0</v>
      </c>
      <c r="AL233" s="53"/>
      <c r="AM233" s="54">
        <f t="shared" ref="AM233:AN233" si="1468">AM232</f>
        <v>5.0129999999999999</v>
      </c>
      <c r="AN233" s="101" t="str">
        <f t="shared" si="1468"/>
        <v>17,59,050</v>
      </c>
      <c r="AO233" s="11" t="str">
        <f t="shared" si="1330"/>
        <v>17</v>
      </c>
      <c r="AP233" s="11" t="str">
        <f t="shared" si="1331"/>
        <v>59,050</v>
      </c>
      <c r="AQ233" s="11">
        <f t="shared" si="1332"/>
        <v>0.29973611111111109</v>
      </c>
      <c r="AR233" s="14">
        <f t="shared" si="1333"/>
        <v>16.724711551827998</v>
      </c>
      <c r="AS233" s="41">
        <f t="shared" si="1334"/>
        <v>-100</v>
      </c>
      <c r="AT233" s="43" t="str">
        <f t="shared" si="1335"/>
        <v>NO CONFORME</v>
      </c>
      <c r="AU233" s="8" t="b">
        <f t="shared" si="1257"/>
        <v>1</v>
      </c>
      <c r="AV233" s="8" t="b">
        <f t="shared" si="1258"/>
        <v>0</v>
      </c>
      <c r="AW233" s="8" t="b">
        <f t="shared" si="1259"/>
        <v>1</v>
      </c>
      <c r="AX233" s="8" t="str">
        <f t="shared" si="1260"/>
        <v>Qcorrecto</v>
      </c>
      <c r="AY233" s="22" t="str">
        <f t="shared" si="1240"/>
        <v>aceptable</v>
      </c>
      <c r="AZ233" s="22" t="str">
        <f t="shared" si="1241"/>
        <v>aceptable</v>
      </c>
      <c r="BA233" s="22" t="str">
        <f t="shared" si="1261"/>
        <v>aceptable</v>
      </c>
      <c r="BB233" s="25" t="str">
        <f t="shared" si="1262"/>
        <v>NO CONFORME</v>
      </c>
      <c r="BC233" s="5" t="str">
        <f t="shared" si="1263"/>
        <v>NO CONFORME</v>
      </c>
      <c r="BD233" s="15">
        <f t="shared" si="1242"/>
        <v>-1</v>
      </c>
      <c r="BE233" s="15">
        <f t="shared" si="1243"/>
        <v>-1</v>
      </c>
      <c r="BF233" s="15">
        <f t="shared" si="1244"/>
        <v>-1</v>
      </c>
      <c r="BG233" s="15" t="str">
        <f t="shared" si="1245"/>
        <v>-1-1-1</v>
      </c>
      <c r="BH233" s="15" t="str">
        <f t="shared" si="1246"/>
        <v>SD</v>
      </c>
      <c r="BI233" s="15" t="str">
        <f t="shared" si="1247"/>
        <v>SI</v>
      </c>
      <c r="BJ233" s="15" t="b">
        <f t="shared" si="1248"/>
        <v>1</v>
      </c>
      <c r="BK233" s="15" t="str">
        <f t="shared" si="1249"/>
        <v>SIGIGUALES</v>
      </c>
      <c r="BL233" s="22" t="str">
        <f t="shared" si="1250"/>
        <v>NO CONFORME</v>
      </c>
    </row>
    <row r="234" spans="1:64" ht="15.75" thickBot="1" x14ac:dyDescent="0.3">
      <c r="A234" s="37">
        <v>226</v>
      </c>
      <c r="B234" s="93">
        <f t="shared" ref="B234:E234" si="1469">B233</f>
        <v>45919</v>
      </c>
      <c r="C234" s="93">
        <f t="shared" si="1469"/>
        <v>45919</v>
      </c>
      <c r="D234" s="94">
        <f t="shared" si="1469"/>
        <v>6</v>
      </c>
      <c r="E234" s="95">
        <f t="shared" si="1469"/>
        <v>15</v>
      </c>
      <c r="F234" s="52"/>
      <c r="G234" s="96"/>
      <c r="H234" s="97">
        <f t="shared" ref="H234:L234" si="1470">H233</f>
        <v>25.6</v>
      </c>
      <c r="I234" s="98">
        <f t="shared" si="1470"/>
        <v>0</v>
      </c>
      <c r="J234" s="99">
        <f t="shared" si="1470"/>
        <v>20.9</v>
      </c>
      <c r="K234" s="99">
        <f t="shared" si="1470"/>
        <v>7.883</v>
      </c>
      <c r="L234" s="99">
        <f t="shared" si="1470"/>
        <v>0.55400000000000005</v>
      </c>
      <c r="M234" s="53"/>
      <c r="N234" s="53"/>
      <c r="O234" s="100">
        <f t="shared" ref="O234:P234" si="1471">O233</f>
        <v>100.62</v>
      </c>
      <c r="P234" s="101" t="str">
        <f t="shared" si="1471"/>
        <v>2,29,560</v>
      </c>
      <c r="Q234" s="11" t="str">
        <f t="shared" si="1316"/>
        <v>2</v>
      </c>
      <c r="R234" s="11" t="str">
        <f t="shared" si="1317"/>
        <v>29,560</v>
      </c>
      <c r="S234" s="11">
        <f t="shared" si="1318"/>
        <v>4.1544444444444446E-2</v>
      </c>
      <c r="T234" s="14">
        <f t="shared" si="1319"/>
        <v>2421.9844878309709</v>
      </c>
      <c r="U234" s="39">
        <f t="shared" si="1320"/>
        <v>-100</v>
      </c>
      <c r="V234" s="105">
        <f t="shared" ref="V234:X249" si="1472">V233</f>
        <v>20.399999999999999</v>
      </c>
      <c r="W234" s="105">
        <f t="shared" si="1472"/>
        <v>1.5069999999999999</v>
      </c>
      <c r="X234" s="106">
        <f t="shared" si="1472"/>
        <v>1.504</v>
      </c>
      <c r="Y234" s="53"/>
      <c r="Z234" s="53"/>
      <c r="AA234" s="107">
        <f t="shared" ref="AA234:AB234" si="1473">AA233</f>
        <v>10.015000000000001</v>
      </c>
      <c r="AB234" s="108" t="str">
        <f t="shared" si="1473"/>
        <v>22,10,090</v>
      </c>
      <c r="AC234" s="11" t="str">
        <f t="shared" si="1323"/>
        <v>22</v>
      </c>
      <c r="AD234" s="11" t="str">
        <f t="shared" si="1324"/>
        <v>10,090</v>
      </c>
      <c r="AE234" s="11">
        <f t="shared" si="1325"/>
        <v>0.36946944444444441</v>
      </c>
      <c r="AF234" s="14">
        <f t="shared" si="1326"/>
        <v>27.106436406558959</v>
      </c>
      <c r="AG234" s="41">
        <f t="shared" si="1327"/>
        <v>-100</v>
      </c>
      <c r="AH234" s="105">
        <f t="shared" si="1383"/>
        <v>20.3</v>
      </c>
      <c r="AI234" s="105">
        <f t="shared" si="1383"/>
        <v>1.5089999999999999</v>
      </c>
      <c r="AJ234" s="105">
        <f t="shared" si="1383"/>
        <v>1.504</v>
      </c>
      <c r="AK234" s="53">
        <f t="shared" si="1328"/>
        <v>0</v>
      </c>
      <c r="AL234" s="53"/>
      <c r="AM234" s="54">
        <f t="shared" ref="AM234:AN234" si="1474">AM233</f>
        <v>5.0129999999999999</v>
      </c>
      <c r="AN234" s="101" t="str">
        <f t="shared" si="1474"/>
        <v>17,59,050</v>
      </c>
      <c r="AO234" s="11" t="str">
        <f t="shared" si="1330"/>
        <v>17</v>
      </c>
      <c r="AP234" s="11" t="str">
        <f t="shared" si="1331"/>
        <v>59,050</v>
      </c>
      <c r="AQ234" s="11">
        <f t="shared" si="1332"/>
        <v>0.29973611111111109</v>
      </c>
      <c r="AR234" s="14">
        <f t="shared" si="1333"/>
        <v>16.724711551827998</v>
      </c>
      <c r="AS234" s="41">
        <f t="shared" si="1334"/>
        <v>-100</v>
      </c>
      <c r="AT234" s="43" t="str">
        <f t="shared" si="1335"/>
        <v>NO CONFORME</v>
      </c>
      <c r="AU234" s="8" t="b">
        <f t="shared" si="1257"/>
        <v>1</v>
      </c>
      <c r="AV234" s="8" t="b">
        <f t="shared" si="1258"/>
        <v>0</v>
      </c>
      <c r="AW234" s="8" t="b">
        <f t="shared" si="1259"/>
        <v>1</v>
      </c>
      <c r="AX234" s="8" t="str">
        <f t="shared" si="1260"/>
        <v>Qcorrecto</v>
      </c>
      <c r="AY234" s="22" t="str">
        <f t="shared" si="1240"/>
        <v>aceptable</v>
      </c>
      <c r="AZ234" s="22" t="str">
        <f t="shared" si="1241"/>
        <v>aceptable</v>
      </c>
      <c r="BA234" s="22" t="str">
        <f t="shared" si="1261"/>
        <v>aceptable</v>
      </c>
      <c r="BB234" s="25" t="str">
        <f t="shared" si="1262"/>
        <v>NO CONFORME</v>
      </c>
      <c r="BC234" s="5" t="str">
        <f t="shared" si="1263"/>
        <v>NO CONFORME</v>
      </c>
      <c r="BD234" s="15">
        <f t="shared" si="1242"/>
        <v>-1</v>
      </c>
      <c r="BE234" s="15">
        <f t="shared" si="1243"/>
        <v>-1</v>
      </c>
      <c r="BF234" s="15">
        <f t="shared" si="1244"/>
        <v>-1</v>
      </c>
      <c r="BG234" s="15" t="str">
        <f t="shared" si="1245"/>
        <v>-1-1-1</v>
      </c>
      <c r="BH234" s="15" t="str">
        <f t="shared" si="1246"/>
        <v>SD</v>
      </c>
      <c r="BI234" s="15" t="str">
        <f t="shared" si="1247"/>
        <v>SI</v>
      </c>
      <c r="BJ234" s="15" t="b">
        <f t="shared" si="1248"/>
        <v>1</v>
      </c>
      <c r="BK234" s="15" t="str">
        <f t="shared" si="1249"/>
        <v>SIGIGUALES</v>
      </c>
      <c r="BL234" s="22" t="str">
        <f t="shared" si="1250"/>
        <v>NO CONFORME</v>
      </c>
    </row>
    <row r="235" spans="1:64" ht="15.75" thickBot="1" x14ac:dyDescent="0.3">
      <c r="A235" s="37">
        <v>227</v>
      </c>
      <c r="B235" s="93">
        <f t="shared" ref="B235:E235" si="1475">B234</f>
        <v>45919</v>
      </c>
      <c r="C235" s="93">
        <f t="shared" si="1475"/>
        <v>45919</v>
      </c>
      <c r="D235" s="94">
        <f t="shared" si="1475"/>
        <v>6</v>
      </c>
      <c r="E235" s="95">
        <f t="shared" si="1475"/>
        <v>15</v>
      </c>
      <c r="F235" s="52"/>
      <c r="G235" s="96"/>
      <c r="H235" s="97">
        <f t="shared" ref="H235:L235" si="1476">H234</f>
        <v>25.6</v>
      </c>
      <c r="I235" s="98">
        <f t="shared" si="1476"/>
        <v>0</v>
      </c>
      <c r="J235" s="99">
        <f t="shared" si="1476"/>
        <v>20.9</v>
      </c>
      <c r="K235" s="99">
        <f t="shared" si="1476"/>
        <v>7.883</v>
      </c>
      <c r="L235" s="99">
        <f t="shared" si="1476"/>
        <v>0.55400000000000005</v>
      </c>
      <c r="M235" s="53"/>
      <c r="N235" s="53"/>
      <c r="O235" s="100">
        <f t="shared" ref="O235:P235" si="1477">O234</f>
        <v>100.62</v>
      </c>
      <c r="P235" s="101" t="str">
        <f t="shared" si="1477"/>
        <v>2,29,560</v>
      </c>
      <c r="Q235" s="11" t="str">
        <f t="shared" si="1316"/>
        <v>2</v>
      </c>
      <c r="R235" s="11" t="str">
        <f t="shared" si="1317"/>
        <v>29,560</v>
      </c>
      <c r="S235" s="11">
        <f t="shared" si="1318"/>
        <v>4.1544444444444446E-2</v>
      </c>
      <c r="T235" s="14">
        <f t="shared" si="1319"/>
        <v>2421.9844878309709</v>
      </c>
      <c r="U235" s="39">
        <f t="shared" si="1320"/>
        <v>-100</v>
      </c>
      <c r="V235" s="105">
        <f t="shared" ref="V235:W235" si="1478">V234</f>
        <v>20.399999999999999</v>
      </c>
      <c r="W235" s="105">
        <f t="shared" si="1478"/>
        <v>1.5069999999999999</v>
      </c>
      <c r="X235" s="106">
        <f t="shared" si="1472"/>
        <v>1.504</v>
      </c>
      <c r="Y235" s="53"/>
      <c r="Z235" s="53"/>
      <c r="AA235" s="107">
        <f t="shared" ref="AA235:AB235" si="1479">AA234</f>
        <v>10.015000000000001</v>
      </c>
      <c r="AB235" s="108" t="str">
        <f t="shared" si="1479"/>
        <v>22,10,090</v>
      </c>
      <c r="AC235" s="11" t="str">
        <f t="shared" si="1323"/>
        <v>22</v>
      </c>
      <c r="AD235" s="11" t="str">
        <f t="shared" si="1324"/>
        <v>10,090</v>
      </c>
      <c r="AE235" s="11">
        <f t="shared" si="1325"/>
        <v>0.36946944444444441</v>
      </c>
      <c r="AF235" s="14">
        <f t="shared" si="1326"/>
        <v>27.106436406558959</v>
      </c>
      <c r="AG235" s="41">
        <f t="shared" si="1327"/>
        <v>-100</v>
      </c>
      <c r="AH235" s="105">
        <f t="shared" ref="AH235:AJ250" si="1480">AH234</f>
        <v>20.3</v>
      </c>
      <c r="AI235" s="105">
        <f t="shared" si="1480"/>
        <v>1.5089999999999999</v>
      </c>
      <c r="AJ235" s="105">
        <f t="shared" si="1480"/>
        <v>1.504</v>
      </c>
      <c r="AK235" s="53">
        <f t="shared" si="1328"/>
        <v>0</v>
      </c>
      <c r="AL235" s="53"/>
      <c r="AM235" s="54">
        <f t="shared" ref="AM235:AN235" si="1481">AM234</f>
        <v>5.0129999999999999</v>
      </c>
      <c r="AN235" s="101" t="str">
        <f t="shared" si="1481"/>
        <v>17,59,050</v>
      </c>
      <c r="AO235" s="11" t="str">
        <f t="shared" si="1330"/>
        <v>17</v>
      </c>
      <c r="AP235" s="11" t="str">
        <f t="shared" si="1331"/>
        <v>59,050</v>
      </c>
      <c r="AQ235" s="11">
        <f t="shared" si="1332"/>
        <v>0.29973611111111109</v>
      </c>
      <c r="AR235" s="14">
        <f t="shared" si="1333"/>
        <v>16.724711551827998</v>
      </c>
      <c r="AS235" s="41">
        <f t="shared" si="1334"/>
        <v>-100</v>
      </c>
      <c r="AT235" s="43" t="str">
        <f t="shared" si="1335"/>
        <v>NO CONFORME</v>
      </c>
      <c r="AU235" s="8" t="b">
        <f t="shared" si="1257"/>
        <v>1</v>
      </c>
      <c r="AV235" s="8" t="b">
        <f t="shared" si="1258"/>
        <v>0</v>
      </c>
      <c r="AW235" s="8" t="b">
        <f t="shared" si="1259"/>
        <v>1</v>
      </c>
      <c r="AX235" s="8" t="str">
        <f t="shared" si="1260"/>
        <v>Qcorrecto</v>
      </c>
      <c r="AY235" s="22" t="str">
        <f t="shared" si="1240"/>
        <v>aceptable</v>
      </c>
      <c r="AZ235" s="22" t="str">
        <f t="shared" si="1241"/>
        <v>aceptable</v>
      </c>
      <c r="BA235" s="22" t="str">
        <f t="shared" si="1261"/>
        <v>aceptable</v>
      </c>
      <c r="BB235" s="25" t="str">
        <f t="shared" si="1262"/>
        <v>NO CONFORME</v>
      </c>
      <c r="BC235" s="5" t="str">
        <f t="shared" si="1263"/>
        <v>NO CONFORME</v>
      </c>
      <c r="BD235" s="15">
        <f t="shared" si="1242"/>
        <v>-1</v>
      </c>
      <c r="BE235" s="15">
        <f t="shared" si="1243"/>
        <v>-1</v>
      </c>
      <c r="BF235" s="15">
        <f t="shared" si="1244"/>
        <v>-1</v>
      </c>
      <c r="BG235" s="15" t="str">
        <f t="shared" si="1245"/>
        <v>-1-1-1</v>
      </c>
      <c r="BH235" s="15" t="str">
        <f t="shared" si="1246"/>
        <v>SD</v>
      </c>
      <c r="BI235" s="15" t="str">
        <f t="shared" si="1247"/>
        <v>SI</v>
      </c>
      <c r="BJ235" s="15" t="b">
        <f t="shared" si="1248"/>
        <v>1</v>
      </c>
      <c r="BK235" s="15" t="str">
        <f t="shared" si="1249"/>
        <v>SIGIGUALES</v>
      </c>
      <c r="BL235" s="22" t="str">
        <f t="shared" si="1250"/>
        <v>NO CONFORME</v>
      </c>
    </row>
    <row r="236" spans="1:64" ht="15.75" thickBot="1" x14ac:dyDescent="0.3">
      <c r="A236" s="37">
        <v>228</v>
      </c>
      <c r="B236" s="93">
        <f t="shared" ref="B236:E236" si="1482">B235</f>
        <v>45919</v>
      </c>
      <c r="C236" s="93">
        <f t="shared" si="1482"/>
        <v>45919</v>
      </c>
      <c r="D236" s="94">
        <f t="shared" si="1482"/>
        <v>6</v>
      </c>
      <c r="E236" s="95">
        <f t="shared" si="1482"/>
        <v>15</v>
      </c>
      <c r="F236" s="52"/>
      <c r="G236" s="96"/>
      <c r="H236" s="97">
        <f t="shared" ref="H236:L236" si="1483">H235</f>
        <v>25.6</v>
      </c>
      <c r="I236" s="98">
        <f t="shared" si="1483"/>
        <v>0</v>
      </c>
      <c r="J236" s="99">
        <f t="shared" si="1483"/>
        <v>20.9</v>
      </c>
      <c r="K236" s="99">
        <f t="shared" si="1483"/>
        <v>7.883</v>
      </c>
      <c r="L236" s="99">
        <f t="shared" si="1483"/>
        <v>0.55400000000000005</v>
      </c>
      <c r="M236" s="53"/>
      <c r="N236" s="53"/>
      <c r="O236" s="100">
        <f t="shared" ref="O236:P236" si="1484">O235</f>
        <v>100.62</v>
      </c>
      <c r="P236" s="101" t="str">
        <f t="shared" si="1484"/>
        <v>2,29,560</v>
      </c>
      <c r="Q236" s="11" t="str">
        <f t="shared" si="1316"/>
        <v>2</v>
      </c>
      <c r="R236" s="11" t="str">
        <f t="shared" si="1317"/>
        <v>29,560</v>
      </c>
      <c r="S236" s="11">
        <f t="shared" si="1318"/>
        <v>4.1544444444444446E-2</v>
      </c>
      <c r="T236" s="14">
        <f t="shared" si="1319"/>
        <v>2421.9844878309709</v>
      </c>
      <c r="U236" s="39">
        <f t="shared" si="1320"/>
        <v>-100</v>
      </c>
      <c r="V236" s="105">
        <f t="shared" ref="V236:W236" si="1485">V235</f>
        <v>20.399999999999999</v>
      </c>
      <c r="W236" s="105">
        <f t="shared" si="1485"/>
        <v>1.5069999999999999</v>
      </c>
      <c r="X236" s="106">
        <f t="shared" si="1472"/>
        <v>1.504</v>
      </c>
      <c r="Y236" s="53"/>
      <c r="Z236" s="53"/>
      <c r="AA236" s="107">
        <f t="shared" ref="AA236:AB236" si="1486">AA235</f>
        <v>10.015000000000001</v>
      </c>
      <c r="AB236" s="108" t="str">
        <f t="shared" si="1486"/>
        <v>22,10,090</v>
      </c>
      <c r="AC236" s="11" t="str">
        <f t="shared" si="1323"/>
        <v>22</v>
      </c>
      <c r="AD236" s="11" t="str">
        <f t="shared" si="1324"/>
        <v>10,090</v>
      </c>
      <c r="AE236" s="11">
        <f t="shared" si="1325"/>
        <v>0.36946944444444441</v>
      </c>
      <c r="AF236" s="14">
        <f t="shared" si="1326"/>
        <v>27.106436406558959</v>
      </c>
      <c r="AG236" s="41">
        <f t="shared" si="1327"/>
        <v>-100</v>
      </c>
      <c r="AH236" s="105">
        <f t="shared" si="1480"/>
        <v>20.3</v>
      </c>
      <c r="AI236" s="105">
        <f t="shared" si="1480"/>
        <v>1.5089999999999999</v>
      </c>
      <c r="AJ236" s="105">
        <f t="shared" si="1480"/>
        <v>1.504</v>
      </c>
      <c r="AK236" s="53">
        <f t="shared" si="1328"/>
        <v>0</v>
      </c>
      <c r="AL236" s="53"/>
      <c r="AM236" s="54">
        <f t="shared" ref="AM236:AN236" si="1487">AM235</f>
        <v>5.0129999999999999</v>
      </c>
      <c r="AN236" s="101" t="str">
        <f t="shared" si="1487"/>
        <v>17,59,050</v>
      </c>
      <c r="AO236" s="11" t="str">
        <f t="shared" si="1330"/>
        <v>17</v>
      </c>
      <c r="AP236" s="11" t="str">
        <f t="shared" si="1331"/>
        <v>59,050</v>
      </c>
      <c r="AQ236" s="11">
        <f t="shared" si="1332"/>
        <v>0.29973611111111109</v>
      </c>
      <c r="AR236" s="14">
        <f t="shared" si="1333"/>
        <v>16.724711551827998</v>
      </c>
      <c r="AS236" s="41">
        <f t="shared" si="1334"/>
        <v>-100</v>
      </c>
      <c r="AT236" s="43" t="str">
        <f t="shared" si="1335"/>
        <v>NO CONFORME</v>
      </c>
      <c r="AU236" s="8" t="b">
        <f t="shared" si="1257"/>
        <v>1</v>
      </c>
      <c r="AV236" s="8" t="b">
        <f t="shared" si="1258"/>
        <v>0</v>
      </c>
      <c r="AW236" s="8" t="b">
        <f t="shared" si="1259"/>
        <v>1</v>
      </c>
      <c r="AX236" s="8" t="str">
        <f t="shared" si="1260"/>
        <v>Qcorrecto</v>
      </c>
      <c r="AY236" s="22" t="str">
        <f t="shared" si="1240"/>
        <v>aceptable</v>
      </c>
      <c r="AZ236" s="22" t="str">
        <f t="shared" si="1241"/>
        <v>aceptable</v>
      </c>
      <c r="BA236" s="22" t="str">
        <f t="shared" si="1261"/>
        <v>aceptable</v>
      </c>
      <c r="BB236" s="25" t="str">
        <f t="shared" si="1262"/>
        <v>NO CONFORME</v>
      </c>
      <c r="BC236" s="5" t="str">
        <f t="shared" si="1263"/>
        <v>NO CONFORME</v>
      </c>
      <c r="BD236" s="15">
        <f t="shared" si="1242"/>
        <v>-1</v>
      </c>
      <c r="BE236" s="15">
        <f t="shared" si="1243"/>
        <v>-1</v>
      </c>
      <c r="BF236" s="15">
        <f t="shared" si="1244"/>
        <v>-1</v>
      </c>
      <c r="BG236" s="15" t="str">
        <f t="shared" si="1245"/>
        <v>-1-1-1</v>
      </c>
      <c r="BH236" s="15" t="str">
        <f t="shared" si="1246"/>
        <v>SD</v>
      </c>
      <c r="BI236" s="15" t="str">
        <f t="shared" si="1247"/>
        <v>SI</v>
      </c>
      <c r="BJ236" s="15" t="b">
        <f t="shared" si="1248"/>
        <v>1</v>
      </c>
      <c r="BK236" s="15" t="str">
        <f t="shared" si="1249"/>
        <v>SIGIGUALES</v>
      </c>
      <c r="BL236" s="22" t="str">
        <f t="shared" si="1250"/>
        <v>NO CONFORME</v>
      </c>
    </row>
    <row r="237" spans="1:64" ht="15.75" thickBot="1" x14ac:dyDescent="0.3">
      <c r="A237" s="37">
        <v>229</v>
      </c>
      <c r="B237" s="93">
        <f t="shared" ref="B237:E237" si="1488">B236</f>
        <v>45919</v>
      </c>
      <c r="C237" s="93">
        <f t="shared" si="1488"/>
        <v>45919</v>
      </c>
      <c r="D237" s="94">
        <f t="shared" si="1488"/>
        <v>6</v>
      </c>
      <c r="E237" s="95">
        <f t="shared" si="1488"/>
        <v>15</v>
      </c>
      <c r="F237" s="52"/>
      <c r="G237" s="96"/>
      <c r="H237" s="97">
        <f t="shared" ref="H237:L237" si="1489">H236</f>
        <v>25.6</v>
      </c>
      <c r="I237" s="98">
        <f t="shared" si="1489"/>
        <v>0</v>
      </c>
      <c r="J237" s="99">
        <f t="shared" si="1489"/>
        <v>20.9</v>
      </c>
      <c r="K237" s="99">
        <f t="shared" si="1489"/>
        <v>7.883</v>
      </c>
      <c r="L237" s="99">
        <f t="shared" si="1489"/>
        <v>0.55400000000000005</v>
      </c>
      <c r="M237" s="53"/>
      <c r="N237" s="53"/>
      <c r="O237" s="100">
        <f t="shared" ref="O237:P237" si="1490">O236</f>
        <v>100.62</v>
      </c>
      <c r="P237" s="101" t="str">
        <f t="shared" si="1490"/>
        <v>2,29,560</v>
      </c>
      <c r="Q237" s="11" t="str">
        <f t="shared" si="1316"/>
        <v>2</v>
      </c>
      <c r="R237" s="11" t="str">
        <f t="shared" si="1317"/>
        <v>29,560</v>
      </c>
      <c r="S237" s="11">
        <f t="shared" si="1318"/>
        <v>4.1544444444444446E-2</v>
      </c>
      <c r="T237" s="14">
        <f t="shared" si="1319"/>
        <v>2421.9844878309709</v>
      </c>
      <c r="U237" s="39">
        <f t="shared" si="1320"/>
        <v>-100</v>
      </c>
      <c r="V237" s="105">
        <f t="shared" ref="V237:W237" si="1491">V236</f>
        <v>20.399999999999999</v>
      </c>
      <c r="W237" s="105">
        <f t="shared" si="1491"/>
        <v>1.5069999999999999</v>
      </c>
      <c r="X237" s="106">
        <f t="shared" si="1472"/>
        <v>1.504</v>
      </c>
      <c r="Y237" s="53"/>
      <c r="Z237" s="53"/>
      <c r="AA237" s="107">
        <f t="shared" ref="AA237:AB237" si="1492">AA236</f>
        <v>10.015000000000001</v>
      </c>
      <c r="AB237" s="108" t="str">
        <f t="shared" si="1492"/>
        <v>22,10,090</v>
      </c>
      <c r="AC237" s="11" t="str">
        <f t="shared" si="1323"/>
        <v>22</v>
      </c>
      <c r="AD237" s="11" t="str">
        <f t="shared" si="1324"/>
        <v>10,090</v>
      </c>
      <c r="AE237" s="11">
        <f t="shared" si="1325"/>
        <v>0.36946944444444441</v>
      </c>
      <c r="AF237" s="14">
        <f t="shared" si="1326"/>
        <v>27.106436406558959</v>
      </c>
      <c r="AG237" s="41">
        <f t="shared" si="1327"/>
        <v>-100</v>
      </c>
      <c r="AH237" s="105">
        <f t="shared" si="1480"/>
        <v>20.3</v>
      </c>
      <c r="AI237" s="105">
        <f t="shared" si="1480"/>
        <v>1.5089999999999999</v>
      </c>
      <c r="AJ237" s="105">
        <f t="shared" si="1480"/>
        <v>1.504</v>
      </c>
      <c r="AK237" s="53">
        <f t="shared" si="1328"/>
        <v>0</v>
      </c>
      <c r="AL237" s="53"/>
      <c r="AM237" s="54">
        <f t="shared" ref="AM237:AN237" si="1493">AM236</f>
        <v>5.0129999999999999</v>
      </c>
      <c r="AN237" s="101" t="str">
        <f t="shared" si="1493"/>
        <v>17,59,050</v>
      </c>
      <c r="AO237" s="11" t="str">
        <f t="shared" si="1330"/>
        <v>17</v>
      </c>
      <c r="AP237" s="11" t="str">
        <f t="shared" si="1331"/>
        <v>59,050</v>
      </c>
      <c r="AQ237" s="11">
        <f t="shared" si="1332"/>
        <v>0.29973611111111109</v>
      </c>
      <c r="AR237" s="14">
        <f t="shared" si="1333"/>
        <v>16.724711551827998</v>
      </c>
      <c r="AS237" s="41">
        <f t="shared" si="1334"/>
        <v>-100</v>
      </c>
      <c r="AT237" s="43" t="str">
        <f t="shared" si="1335"/>
        <v>NO CONFORME</v>
      </c>
      <c r="AU237" s="8" t="b">
        <f t="shared" si="1257"/>
        <v>1</v>
      </c>
      <c r="AV237" s="8" t="b">
        <f t="shared" si="1258"/>
        <v>0</v>
      </c>
      <c r="AW237" s="8" t="b">
        <f t="shared" si="1259"/>
        <v>1</v>
      </c>
      <c r="AX237" s="8" t="str">
        <f t="shared" si="1260"/>
        <v>Qcorrecto</v>
      </c>
      <c r="AY237" s="22" t="str">
        <f t="shared" si="1240"/>
        <v>aceptable</v>
      </c>
      <c r="AZ237" s="22" t="str">
        <f t="shared" si="1241"/>
        <v>aceptable</v>
      </c>
      <c r="BA237" s="22" t="str">
        <f t="shared" si="1261"/>
        <v>aceptable</v>
      </c>
      <c r="BB237" s="25" t="str">
        <f t="shared" si="1262"/>
        <v>NO CONFORME</v>
      </c>
      <c r="BC237" s="5" t="str">
        <f t="shared" si="1263"/>
        <v>NO CONFORME</v>
      </c>
      <c r="BD237" s="15">
        <f t="shared" si="1242"/>
        <v>-1</v>
      </c>
      <c r="BE237" s="15">
        <f t="shared" si="1243"/>
        <v>-1</v>
      </c>
      <c r="BF237" s="15">
        <f t="shared" si="1244"/>
        <v>-1</v>
      </c>
      <c r="BG237" s="15" t="str">
        <f t="shared" si="1245"/>
        <v>-1-1-1</v>
      </c>
      <c r="BH237" s="15" t="str">
        <f t="shared" si="1246"/>
        <v>SD</v>
      </c>
      <c r="BI237" s="15" t="str">
        <f t="shared" si="1247"/>
        <v>SI</v>
      </c>
      <c r="BJ237" s="15" t="b">
        <f t="shared" si="1248"/>
        <v>1</v>
      </c>
      <c r="BK237" s="15" t="str">
        <f t="shared" si="1249"/>
        <v>SIGIGUALES</v>
      </c>
      <c r="BL237" s="22" t="str">
        <f t="shared" si="1250"/>
        <v>NO CONFORME</v>
      </c>
    </row>
    <row r="238" spans="1:64" ht="15.75" thickBot="1" x14ac:dyDescent="0.3">
      <c r="A238" s="37">
        <v>230</v>
      </c>
      <c r="B238" s="93">
        <f t="shared" ref="B238:E238" si="1494">B237</f>
        <v>45919</v>
      </c>
      <c r="C238" s="93">
        <f t="shared" si="1494"/>
        <v>45919</v>
      </c>
      <c r="D238" s="94">
        <f t="shared" si="1494"/>
        <v>6</v>
      </c>
      <c r="E238" s="95">
        <f t="shared" si="1494"/>
        <v>15</v>
      </c>
      <c r="F238" s="52"/>
      <c r="G238" s="96"/>
      <c r="H238" s="97">
        <f t="shared" ref="H238:L238" si="1495">H237</f>
        <v>25.6</v>
      </c>
      <c r="I238" s="98">
        <f t="shared" si="1495"/>
        <v>0</v>
      </c>
      <c r="J238" s="99">
        <f t="shared" si="1495"/>
        <v>20.9</v>
      </c>
      <c r="K238" s="99">
        <f t="shared" si="1495"/>
        <v>7.883</v>
      </c>
      <c r="L238" s="99">
        <f t="shared" si="1495"/>
        <v>0.55400000000000005</v>
      </c>
      <c r="M238" s="53"/>
      <c r="N238" s="53"/>
      <c r="O238" s="100">
        <f t="shared" ref="O238:P238" si="1496">O237</f>
        <v>100.62</v>
      </c>
      <c r="P238" s="101" t="str">
        <f t="shared" si="1496"/>
        <v>2,29,560</v>
      </c>
      <c r="Q238" s="11" t="str">
        <f t="shared" si="1316"/>
        <v>2</v>
      </c>
      <c r="R238" s="11" t="str">
        <f t="shared" si="1317"/>
        <v>29,560</v>
      </c>
      <c r="S238" s="11">
        <f t="shared" si="1318"/>
        <v>4.1544444444444446E-2</v>
      </c>
      <c r="T238" s="14">
        <f t="shared" si="1319"/>
        <v>2421.9844878309709</v>
      </c>
      <c r="U238" s="39">
        <f t="shared" si="1320"/>
        <v>-100</v>
      </c>
      <c r="V238" s="105">
        <f t="shared" ref="V238:W238" si="1497">V237</f>
        <v>20.399999999999999</v>
      </c>
      <c r="W238" s="105">
        <f t="shared" si="1497"/>
        <v>1.5069999999999999</v>
      </c>
      <c r="X238" s="106">
        <f t="shared" si="1472"/>
        <v>1.504</v>
      </c>
      <c r="Y238" s="53"/>
      <c r="Z238" s="53"/>
      <c r="AA238" s="107">
        <f t="shared" ref="AA238:AB238" si="1498">AA237</f>
        <v>10.015000000000001</v>
      </c>
      <c r="AB238" s="108" t="str">
        <f t="shared" si="1498"/>
        <v>22,10,090</v>
      </c>
      <c r="AC238" s="11" t="str">
        <f t="shared" si="1323"/>
        <v>22</v>
      </c>
      <c r="AD238" s="11" t="str">
        <f t="shared" si="1324"/>
        <v>10,090</v>
      </c>
      <c r="AE238" s="11">
        <f t="shared" si="1325"/>
        <v>0.36946944444444441</v>
      </c>
      <c r="AF238" s="14">
        <f t="shared" si="1326"/>
        <v>27.106436406558959</v>
      </c>
      <c r="AG238" s="41">
        <f t="shared" si="1327"/>
        <v>-100</v>
      </c>
      <c r="AH238" s="105">
        <f t="shared" si="1480"/>
        <v>20.3</v>
      </c>
      <c r="AI238" s="105">
        <f t="shared" si="1480"/>
        <v>1.5089999999999999</v>
      </c>
      <c r="AJ238" s="105">
        <f t="shared" si="1480"/>
        <v>1.504</v>
      </c>
      <c r="AK238" s="53">
        <f t="shared" si="1328"/>
        <v>0</v>
      </c>
      <c r="AL238" s="53"/>
      <c r="AM238" s="54">
        <f t="shared" ref="AM238:AN238" si="1499">AM237</f>
        <v>5.0129999999999999</v>
      </c>
      <c r="AN238" s="101" t="str">
        <f t="shared" si="1499"/>
        <v>17,59,050</v>
      </c>
      <c r="AO238" s="11" t="str">
        <f t="shared" si="1330"/>
        <v>17</v>
      </c>
      <c r="AP238" s="11" t="str">
        <f t="shared" si="1331"/>
        <v>59,050</v>
      </c>
      <c r="AQ238" s="11">
        <f t="shared" si="1332"/>
        <v>0.29973611111111109</v>
      </c>
      <c r="AR238" s="14">
        <f t="shared" si="1333"/>
        <v>16.724711551827998</v>
      </c>
      <c r="AS238" s="41">
        <f t="shared" si="1334"/>
        <v>-100</v>
      </c>
      <c r="AT238" s="43" t="str">
        <f t="shared" si="1335"/>
        <v>NO CONFORME</v>
      </c>
      <c r="AU238" s="8" t="b">
        <f t="shared" si="1257"/>
        <v>1</v>
      </c>
      <c r="AV238" s="8" t="b">
        <f t="shared" si="1258"/>
        <v>0</v>
      </c>
      <c r="AW238" s="8" t="b">
        <f t="shared" si="1259"/>
        <v>1</v>
      </c>
      <c r="AX238" s="8" t="str">
        <f t="shared" si="1260"/>
        <v>Qcorrecto</v>
      </c>
      <c r="AY238" s="22" t="str">
        <f t="shared" si="1240"/>
        <v>aceptable</v>
      </c>
      <c r="AZ238" s="22" t="str">
        <f t="shared" si="1241"/>
        <v>aceptable</v>
      </c>
      <c r="BA238" s="22" t="str">
        <f t="shared" si="1261"/>
        <v>aceptable</v>
      </c>
      <c r="BB238" s="25" t="str">
        <f t="shared" si="1262"/>
        <v>NO CONFORME</v>
      </c>
      <c r="BC238" s="5" t="str">
        <f t="shared" si="1263"/>
        <v>NO CONFORME</v>
      </c>
      <c r="BD238" s="15">
        <f t="shared" si="1242"/>
        <v>-1</v>
      </c>
      <c r="BE238" s="15">
        <f t="shared" si="1243"/>
        <v>-1</v>
      </c>
      <c r="BF238" s="15">
        <f t="shared" si="1244"/>
        <v>-1</v>
      </c>
      <c r="BG238" s="15" t="str">
        <f t="shared" si="1245"/>
        <v>-1-1-1</v>
      </c>
      <c r="BH238" s="15" t="str">
        <f t="shared" si="1246"/>
        <v>SD</v>
      </c>
      <c r="BI238" s="15" t="str">
        <f t="shared" si="1247"/>
        <v>SI</v>
      </c>
      <c r="BJ238" s="15" t="b">
        <f t="shared" si="1248"/>
        <v>1</v>
      </c>
      <c r="BK238" s="15" t="str">
        <f t="shared" si="1249"/>
        <v>SIGIGUALES</v>
      </c>
      <c r="BL238" s="22" t="str">
        <f t="shared" si="1250"/>
        <v>NO CONFORME</v>
      </c>
    </row>
    <row r="239" spans="1:64" ht="15.75" thickBot="1" x14ac:dyDescent="0.3">
      <c r="A239" s="37">
        <v>231</v>
      </c>
      <c r="B239" s="93">
        <f t="shared" ref="B239:E239" si="1500">B238</f>
        <v>45919</v>
      </c>
      <c r="C239" s="93">
        <f t="shared" si="1500"/>
        <v>45919</v>
      </c>
      <c r="D239" s="94">
        <f t="shared" si="1500"/>
        <v>6</v>
      </c>
      <c r="E239" s="95">
        <f t="shared" si="1500"/>
        <v>15</v>
      </c>
      <c r="F239" s="52"/>
      <c r="G239" s="96"/>
      <c r="H239" s="97">
        <f t="shared" ref="H239:L239" si="1501">H238</f>
        <v>25.6</v>
      </c>
      <c r="I239" s="98">
        <f t="shared" si="1501"/>
        <v>0</v>
      </c>
      <c r="J239" s="99">
        <f t="shared" si="1501"/>
        <v>20.9</v>
      </c>
      <c r="K239" s="99">
        <f t="shared" si="1501"/>
        <v>7.883</v>
      </c>
      <c r="L239" s="99">
        <f t="shared" si="1501"/>
        <v>0.55400000000000005</v>
      </c>
      <c r="M239" s="53"/>
      <c r="N239" s="53"/>
      <c r="O239" s="100">
        <f t="shared" ref="O239:P239" si="1502">O238</f>
        <v>100.62</v>
      </c>
      <c r="P239" s="101" t="str">
        <f t="shared" si="1502"/>
        <v>2,29,560</v>
      </c>
      <c r="Q239" s="11" t="str">
        <f t="shared" si="1316"/>
        <v>2</v>
      </c>
      <c r="R239" s="11" t="str">
        <f t="shared" si="1317"/>
        <v>29,560</v>
      </c>
      <c r="S239" s="11">
        <f t="shared" si="1318"/>
        <v>4.1544444444444446E-2</v>
      </c>
      <c r="T239" s="14">
        <f t="shared" si="1319"/>
        <v>2421.9844878309709</v>
      </c>
      <c r="U239" s="39">
        <f t="shared" si="1320"/>
        <v>-100</v>
      </c>
      <c r="V239" s="105">
        <f t="shared" ref="V239:W239" si="1503">V238</f>
        <v>20.399999999999999</v>
      </c>
      <c r="W239" s="105">
        <f t="shared" si="1503"/>
        <v>1.5069999999999999</v>
      </c>
      <c r="X239" s="106">
        <f t="shared" si="1472"/>
        <v>1.504</v>
      </c>
      <c r="Y239" s="53"/>
      <c r="Z239" s="53"/>
      <c r="AA239" s="107">
        <f t="shared" ref="AA239:AB239" si="1504">AA238</f>
        <v>10.015000000000001</v>
      </c>
      <c r="AB239" s="108" t="str">
        <f t="shared" si="1504"/>
        <v>22,10,090</v>
      </c>
      <c r="AC239" s="11" t="str">
        <f t="shared" si="1323"/>
        <v>22</v>
      </c>
      <c r="AD239" s="11" t="str">
        <f t="shared" si="1324"/>
        <v>10,090</v>
      </c>
      <c r="AE239" s="11">
        <f t="shared" si="1325"/>
        <v>0.36946944444444441</v>
      </c>
      <c r="AF239" s="14">
        <f t="shared" si="1326"/>
        <v>27.106436406558959</v>
      </c>
      <c r="AG239" s="41">
        <f t="shared" si="1327"/>
        <v>-100</v>
      </c>
      <c r="AH239" s="105">
        <f t="shared" si="1480"/>
        <v>20.3</v>
      </c>
      <c r="AI239" s="105">
        <f t="shared" si="1480"/>
        <v>1.5089999999999999</v>
      </c>
      <c r="AJ239" s="105">
        <f t="shared" si="1480"/>
        <v>1.504</v>
      </c>
      <c r="AK239" s="53">
        <f t="shared" si="1328"/>
        <v>0</v>
      </c>
      <c r="AL239" s="53"/>
      <c r="AM239" s="54">
        <f t="shared" ref="AM239:AN239" si="1505">AM238</f>
        <v>5.0129999999999999</v>
      </c>
      <c r="AN239" s="101" t="str">
        <f t="shared" si="1505"/>
        <v>17,59,050</v>
      </c>
      <c r="AO239" s="11" t="str">
        <f t="shared" si="1330"/>
        <v>17</v>
      </c>
      <c r="AP239" s="11" t="str">
        <f t="shared" si="1331"/>
        <v>59,050</v>
      </c>
      <c r="AQ239" s="11">
        <f t="shared" si="1332"/>
        <v>0.29973611111111109</v>
      </c>
      <c r="AR239" s="14">
        <f t="shared" si="1333"/>
        <v>16.724711551827998</v>
      </c>
      <c r="AS239" s="41">
        <f t="shared" si="1334"/>
        <v>-100</v>
      </c>
      <c r="AT239" s="43" t="str">
        <f t="shared" si="1335"/>
        <v>NO CONFORME</v>
      </c>
      <c r="AU239" s="8" t="b">
        <f t="shared" si="1257"/>
        <v>1</v>
      </c>
      <c r="AV239" s="8" t="b">
        <f t="shared" si="1258"/>
        <v>0</v>
      </c>
      <c r="AW239" s="8" t="b">
        <f t="shared" si="1259"/>
        <v>1</v>
      </c>
      <c r="AX239" s="8" t="str">
        <f t="shared" si="1260"/>
        <v>Qcorrecto</v>
      </c>
      <c r="AY239" s="22" t="str">
        <f t="shared" si="1240"/>
        <v>aceptable</v>
      </c>
      <c r="AZ239" s="22" t="str">
        <f t="shared" si="1241"/>
        <v>aceptable</v>
      </c>
      <c r="BA239" s="22" t="str">
        <f t="shared" si="1261"/>
        <v>aceptable</v>
      </c>
      <c r="BB239" s="25" t="str">
        <f t="shared" si="1262"/>
        <v>NO CONFORME</v>
      </c>
      <c r="BC239" s="5" t="str">
        <f t="shared" si="1263"/>
        <v>NO CONFORME</v>
      </c>
      <c r="BD239" s="15">
        <f t="shared" si="1242"/>
        <v>-1</v>
      </c>
      <c r="BE239" s="15">
        <f t="shared" si="1243"/>
        <v>-1</v>
      </c>
      <c r="BF239" s="15">
        <f t="shared" si="1244"/>
        <v>-1</v>
      </c>
      <c r="BG239" s="15" t="str">
        <f t="shared" si="1245"/>
        <v>-1-1-1</v>
      </c>
      <c r="BH239" s="15" t="str">
        <f t="shared" si="1246"/>
        <v>SD</v>
      </c>
      <c r="BI239" s="15" t="str">
        <f t="shared" si="1247"/>
        <v>SI</v>
      </c>
      <c r="BJ239" s="15" t="b">
        <f t="shared" si="1248"/>
        <v>1</v>
      </c>
      <c r="BK239" s="15" t="str">
        <f t="shared" si="1249"/>
        <v>SIGIGUALES</v>
      </c>
      <c r="BL239" s="22" t="str">
        <f t="shared" si="1250"/>
        <v>NO CONFORME</v>
      </c>
    </row>
    <row r="240" spans="1:64" ht="15.75" thickBot="1" x14ac:dyDescent="0.3">
      <c r="A240" s="37">
        <v>232</v>
      </c>
      <c r="B240" s="93">
        <f t="shared" ref="B240:E240" si="1506">B239</f>
        <v>45919</v>
      </c>
      <c r="C240" s="93">
        <f t="shared" si="1506"/>
        <v>45919</v>
      </c>
      <c r="D240" s="94">
        <f t="shared" si="1506"/>
        <v>6</v>
      </c>
      <c r="E240" s="95">
        <f t="shared" si="1506"/>
        <v>15</v>
      </c>
      <c r="F240" s="52"/>
      <c r="G240" s="96"/>
      <c r="H240" s="97">
        <f t="shared" ref="H240:L240" si="1507">H239</f>
        <v>25.6</v>
      </c>
      <c r="I240" s="98">
        <f t="shared" si="1507"/>
        <v>0</v>
      </c>
      <c r="J240" s="99">
        <f t="shared" si="1507"/>
        <v>20.9</v>
      </c>
      <c r="K240" s="99">
        <f t="shared" si="1507"/>
        <v>7.883</v>
      </c>
      <c r="L240" s="99">
        <f t="shared" si="1507"/>
        <v>0.55400000000000005</v>
      </c>
      <c r="M240" s="53"/>
      <c r="N240" s="53"/>
      <c r="O240" s="100">
        <f t="shared" ref="O240:P240" si="1508">O239</f>
        <v>100.62</v>
      </c>
      <c r="P240" s="101" t="str">
        <f t="shared" si="1508"/>
        <v>2,29,560</v>
      </c>
      <c r="Q240" s="11" t="str">
        <f t="shared" si="1316"/>
        <v>2</v>
      </c>
      <c r="R240" s="11" t="str">
        <f t="shared" si="1317"/>
        <v>29,560</v>
      </c>
      <c r="S240" s="11">
        <f t="shared" si="1318"/>
        <v>4.1544444444444446E-2</v>
      </c>
      <c r="T240" s="14">
        <f t="shared" si="1319"/>
        <v>2421.9844878309709</v>
      </c>
      <c r="U240" s="39">
        <f t="shared" si="1320"/>
        <v>-100</v>
      </c>
      <c r="V240" s="105">
        <f t="shared" ref="V240:W240" si="1509">V239</f>
        <v>20.399999999999999</v>
      </c>
      <c r="W240" s="105">
        <f t="shared" si="1509"/>
        <v>1.5069999999999999</v>
      </c>
      <c r="X240" s="106">
        <f t="shared" si="1472"/>
        <v>1.504</v>
      </c>
      <c r="Y240" s="53"/>
      <c r="Z240" s="53"/>
      <c r="AA240" s="107">
        <f t="shared" ref="AA240:AB240" si="1510">AA239</f>
        <v>10.015000000000001</v>
      </c>
      <c r="AB240" s="108" t="str">
        <f t="shared" si="1510"/>
        <v>22,10,090</v>
      </c>
      <c r="AC240" s="11" t="str">
        <f t="shared" si="1323"/>
        <v>22</v>
      </c>
      <c r="AD240" s="11" t="str">
        <f t="shared" si="1324"/>
        <v>10,090</v>
      </c>
      <c r="AE240" s="11">
        <f t="shared" si="1325"/>
        <v>0.36946944444444441</v>
      </c>
      <c r="AF240" s="14">
        <f t="shared" si="1326"/>
        <v>27.106436406558959</v>
      </c>
      <c r="AG240" s="41">
        <f t="shared" si="1327"/>
        <v>-100</v>
      </c>
      <c r="AH240" s="105">
        <f t="shared" si="1480"/>
        <v>20.3</v>
      </c>
      <c r="AI240" s="105">
        <f t="shared" si="1480"/>
        <v>1.5089999999999999</v>
      </c>
      <c r="AJ240" s="105">
        <f t="shared" si="1480"/>
        <v>1.504</v>
      </c>
      <c r="AK240" s="53">
        <f t="shared" si="1328"/>
        <v>0</v>
      </c>
      <c r="AL240" s="53"/>
      <c r="AM240" s="54">
        <f t="shared" ref="AM240:AN240" si="1511">AM239</f>
        <v>5.0129999999999999</v>
      </c>
      <c r="AN240" s="101" t="str">
        <f t="shared" si="1511"/>
        <v>17,59,050</v>
      </c>
      <c r="AO240" s="11" t="str">
        <f t="shared" si="1330"/>
        <v>17</v>
      </c>
      <c r="AP240" s="11" t="str">
        <f t="shared" si="1331"/>
        <v>59,050</v>
      </c>
      <c r="AQ240" s="11">
        <f t="shared" si="1332"/>
        <v>0.29973611111111109</v>
      </c>
      <c r="AR240" s="14">
        <f t="shared" si="1333"/>
        <v>16.724711551827998</v>
      </c>
      <c r="AS240" s="41">
        <f t="shared" si="1334"/>
        <v>-100</v>
      </c>
      <c r="AT240" s="43" t="str">
        <f t="shared" si="1335"/>
        <v>NO CONFORME</v>
      </c>
      <c r="AU240" s="8" t="b">
        <f t="shared" si="1257"/>
        <v>1</v>
      </c>
      <c r="AV240" s="8" t="b">
        <f t="shared" si="1258"/>
        <v>0</v>
      </c>
      <c r="AW240" s="8" t="b">
        <f t="shared" si="1259"/>
        <v>1</v>
      </c>
      <c r="AX240" s="8" t="str">
        <f t="shared" si="1260"/>
        <v>Qcorrecto</v>
      </c>
      <c r="AY240" s="22" t="str">
        <f t="shared" si="1240"/>
        <v>aceptable</v>
      </c>
      <c r="AZ240" s="22" t="str">
        <f t="shared" si="1241"/>
        <v>aceptable</v>
      </c>
      <c r="BA240" s="22" t="str">
        <f t="shared" si="1261"/>
        <v>aceptable</v>
      </c>
      <c r="BB240" s="25" t="str">
        <f t="shared" si="1262"/>
        <v>NO CONFORME</v>
      </c>
      <c r="BC240" s="5" t="str">
        <f t="shared" si="1263"/>
        <v>NO CONFORME</v>
      </c>
      <c r="BD240" s="15">
        <f t="shared" si="1242"/>
        <v>-1</v>
      </c>
      <c r="BE240" s="15">
        <f t="shared" si="1243"/>
        <v>-1</v>
      </c>
      <c r="BF240" s="15">
        <f t="shared" si="1244"/>
        <v>-1</v>
      </c>
      <c r="BG240" s="15" t="str">
        <f t="shared" si="1245"/>
        <v>-1-1-1</v>
      </c>
      <c r="BH240" s="15" t="str">
        <f t="shared" si="1246"/>
        <v>SD</v>
      </c>
      <c r="BI240" s="15" t="str">
        <f t="shared" si="1247"/>
        <v>SI</v>
      </c>
      <c r="BJ240" s="15" t="b">
        <f t="shared" si="1248"/>
        <v>1</v>
      </c>
      <c r="BK240" s="15" t="str">
        <f t="shared" si="1249"/>
        <v>SIGIGUALES</v>
      </c>
      <c r="BL240" s="22" t="str">
        <f t="shared" si="1250"/>
        <v>NO CONFORME</v>
      </c>
    </row>
    <row r="241" spans="1:64" ht="15.75" thickBot="1" x14ac:dyDescent="0.3">
      <c r="A241" s="37">
        <v>233</v>
      </c>
      <c r="B241" s="93">
        <f t="shared" ref="B241:E241" si="1512">B240</f>
        <v>45919</v>
      </c>
      <c r="C241" s="93">
        <f t="shared" si="1512"/>
        <v>45919</v>
      </c>
      <c r="D241" s="94">
        <f t="shared" si="1512"/>
        <v>6</v>
      </c>
      <c r="E241" s="95">
        <f t="shared" si="1512"/>
        <v>15</v>
      </c>
      <c r="F241" s="52"/>
      <c r="G241" s="96"/>
      <c r="H241" s="97">
        <f t="shared" ref="H241:L241" si="1513">H240</f>
        <v>25.6</v>
      </c>
      <c r="I241" s="98">
        <f t="shared" si="1513"/>
        <v>0</v>
      </c>
      <c r="J241" s="99">
        <f t="shared" si="1513"/>
        <v>20.9</v>
      </c>
      <c r="K241" s="99">
        <f t="shared" si="1513"/>
        <v>7.883</v>
      </c>
      <c r="L241" s="99">
        <f t="shared" si="1513"/>
        <v>0.55400000000000005</v>
      </c>
      <c r="M241" s="53"/>
      <c r="N241" s="53"/>
      <c r="O241" s="100">
        <f t="shared" ref="O241:P241" si="1514">O240</f>
        <v>100.62</v>
      </c>
      <c r="P241" s="101" t="str">
        <f t="shared" si="1514"/>
        <v>2,29,560</v>
      </c>
      <c r="Q241" s="11" t="str">
        <f t="shared" si="1316"/>
        <v>2</v>
      </c>
      <c r="R241" s="11" t="str">
        <f t="shared" si="1317"/>
        <v>29,560</v>
      </c>
      <c r="S241" s="11">
        <f t="shared" si="1318"/>
        <v>4.1544444444444446E-2</v>
      </c>
      <c r="T241" s="14">
        <f t="shared" si="1319"/>
        <v>2421.9844878309709</v>
      </c>
      <c r="U241" s="39">
        <f t="shared" si="1320"/>
        <v>-100</v>
      </c>
      <c r="V241" s="105">
        <f t="shared" ref="V241:W241" si="1515">V240</f>
        <v>20.399999999999999</v>
      </c>
      <c r="W241" s="105">
        <f t="shared" si="1515"/>
        <v>1.5069999999999999</v>
      </c>
      <c r="X241" s="106">
        <f t="shared" si="1472"/>
        <v>1.504</v>
      </c>
      <c r="Y241" s="53"/>
      <c r="Z241" s="53"/>
      <c r="AA241" s="107">
        <f t="shared" ref="AA241:AB241" si="1516">AA240</f>
        <v>10.015000000000001</v>
      </c>
      <c r="AB241" s="108" t="str">
        <f t="shared" si="1516"/>
        <v>22,10,090</v>
      </c>
      <c r="AC241" s="11" t="str">
        <f t="shared" si="1323"/>
        <v>22</v>
      </c>
      <c r="AD241" s="11" t="str">
        <f t="shared" si="1324"/>
        <v>10,090</v>
      </c>
      <c r="AE241" s="11">
        <f t="shared" si="1325"/>
        <v>0.36946944444444441</v>
      </c>
      <c r="AF241" s="14">
        <f t="shared" si="1326"/>
        <v>27.106436406558959</v>
      </c>
      <c r="AG241" s="41">
        <f t="shared" si="1327"/>
        <v>-100</v>
      </c>
      <c r="AH241" s="105">
        <f t="shared" si="1480"/>
        <v>20.3</v>
      </c>
      <c r="AI241" s="105">
        <f t="shared" si="1480"/>
        <v>1.5089999999999999</v>
      </c>
      <c r="AJ241" s="105">
        <f t="shared" si="1480"/>
        <v>1.504</v>
      </c>
      <c r="AK241" s="53">
        <f t="shared" si="1328"/>
        <v>0</v>
      </c>
      <c r="AL241" s="53"/>
      <c r="AM241" s="54">
        <f t="shared" ref="AM241:AN241" si="1517">AM240</f>
        <v>5.0129999999999999</v>
      </c>
      <c r="AN241" s="101" t="str">
        <f t="shared" si="1517"/>
        <v>17,59,050</v>
      </c>
      <c r="AO241" s="11" t="str">
        <f t="shared" si="1330"/>
        <v>17</v>
      </c>
      <c r="AP241" s="11" t="str">
        <f t="shared" si="1331"/>
        <v>59,050</v>
      </c>
      <c r="AQ241" s="11">
        <f t="shared" si="1332"/>
        <v>0.29973611111111109</v>
      </c>
      <c r="AR241" s="14">
        <f t="shared" si="1333"/>
        <v>16.724711551827998</v>
      </c>
      <c r="AS241" s="41">
        <f t="shared" si="1334"/>
        <v>-100</v>
      </c>
      <c r="AT241" s="43" t="str">
        <f t="shared" si="1335"/>
        <v>NO CONFORME</v>
      </c>
      <c r="AU241" s="8" t="b">
        <f t="shared" si="1257"/>
        <v>1</v>
      </c>
      <c r="AV241" s="8" t="b">
        <f t="shared" si="1258"/>
        <v>0</v>
      </c>
      <c r="AW241" s="8" t="b">
        <f t="shared" si="1259"/>
        <v>1</v>
      </c>
      <c r="AX241" s="8" t="str">
        <f t="shared" si="1260"/>
        <v>Qcorrecto</v>
      </c>
      <c r="AY241" s="22" t="str">
        <f t="shared" si="1240"/>
        <v>aceptable</v>
      </c>
      <c r="AZ241" s="22" t="str">
        <f t="shared" si="1241"/>
        <v>aceptable</v>
      </c>
      <c r="BA241" s="22" t="str">
        <f t="shared" si="1261"/>
        <v>aceptable</v>
      </c>
      <c r="BB241" s="25" t="str">
        <f t="shared" si="1262"/>
        <v>NO CONFORME</v>
      </c>
      <c r="BC241" s="5" t="str">
        <f t="shared" si="1263"/>
        <v>NO CONFORME</v>
      </c>
      <c r="BD241" s="15">
        <f t="shared" si="1242"/>
        <v>-1</v>
      </c>
      <c r="BE241" s="15">
        <f t="shared" si="1243"/>
        <v>-1</v>
      </c>
      <c r="BF241" s="15">
        <f t="shared" si="1244"/>
        <v>-1</v>
      </c>
      <c r="BG241" s="15" t="str">
        <f t="shared" si="1245"/>
        <v>-1-1-1</v>
      </c>
      <c r="BH241" s="15" t="str">
        <f t="shared" si="1246"/>
        <v>SD</v>
      </c>
      <c r="BI241" s="15" t="str">
        <f t="shared" si="1247"/>
        <v>SI</v>
      </c>
      <c r="BJ241" s="15" t="b">
        <f t="shared" si="1248"/>
        <v>1</v>
      </c>
      <c r="BK241" s="15" t="str">
        <f t="shared" si="1249"/>
        <v>SIGIGUALES</v>
      </c>
      <c r="BL241" s="22" t="str">
        <f t="shared" si="1250"/>
        <v>NO CONFORME</v>
      </c>
    </row>
    <row r="242" spans="1:64" ht="15.75" thickBot="1" x14ac:dyDescent="0.3">
      <c r="A242" s="37">
        <v>234</v>
      </c>
      <c r="B242" s="93">
        <f t="shared" ref="B242:E242" si="1518">B241</f>
        <v>45919</v>
      </c>
      <c r="C242" s="93">
        <f t="shared" si="1518"/>
        <v>45919</v>
      </c>
      <c r="D242" s="94">
        <f t="shared" si="1518"/>
        <v>6</v>
      </c>
      <c r="E242" s="95">
        <f t="shared" si="1518"/>
        <v>15</v>
      </c>
      <c r="F242" s="52"/>
      <c r="G242" s="96"/>
      <c r="H242" s="97">
        <f t="shared" ref="H242:L242" si="1519">H241</f>
        <v>25.6</v>
      </c>
      <c r="I242" s="98">
        <f t="shared" si="1519"/>
        <v>0</v>
      </c>
      <c r="J242" s="99">
        <f t="shared" si="1519"/>
        <v>20.9</v>
      </c>
      <c r="K242" s="99">
        <f t="shared" si="1519"/>
        <v>7.883</v>
      </c>
      <c r="L242" s="99">
        <f t="shared" si="1519"/>
        <v>0.55400000000000005</v>
      </c>
      <c r="M242" s="53"/>
      <c r="N242" s="53"/>
      <c r="O242" s="100">
        <f t="shared" ref="O242:P242" si="1520">O241</f>
        <v>100.62</v>
      </c>
      <c r="P242" s="101" t="str">
        <f t="shared" si="1520"/>
        <v>2,29,560</v>
      </c>
      <c r="Q242" s="11" t="str">
        <f t="shared" si="1316"/>
        <v>2</v>
      </c>
      <c r="R242" s="11" t="str">
        <f t="shared" si="1317"/>
        <v>29,560</v>
      </c>
      <c r="S242" s="11">
        <f t="shared" si="1318"/>
        <v>4.1544444444444446E-2</v>
      </c>
      <c r="T242" s="14">
        <f t="shared" si="1319"/>
        <v>2421.9844878309709</v>
      </c>
      <c r="U242" s="39">
        <f t="shared" si="1320"/>
        <v>-100</v>
      </c>
      <c r="V242" s="105">
        <f t="shared" ref="V242:W242" si="1521">V241</f>
        <v>20.399999999999999</v>
      </c>
      <c r="W242" s="105">
        <f t="shared" si="1521"/>
        <v>1.5069999999999999</v>
      </c>
      <c r="X242" s="106">
        <f t="shared" si="1472"/>
        <v>1.504</v>
      </c>
      <c r="Y242" s="53"/>
      <c r="Z242" s="53"/>
      <c r="AA242" s="107">
        <f t="shared" ref="AA242:AB242" si="1522">AA241</f>
        <v>10.015000000000001</v>
      </c>
      <c r="AB242" s="108" t="str">
        <f t="shared" si="1522"/>
        <v>22,10,090</v>
      </c>
      <c r="AC242" s="11" t="str">
        <f t="shared" si="1323"/>
        <v>22</v>
      </c>
      <c r="AD242" s="11" t="str">
        <f t="shared" si="1324"/>
        <v>10,090</v>
      </c>
      <c r="AE242" s="11">
        <f t="shared" si="1325"/>
        <v>0.36946944444444441</v>
      </c>
      <c r="AF242" s="14">
        <f t="shared" si="1326"/>
        <v>27.106436406558959</v>
      </c>
      <c r="AG242" s="41">
        <f t="shared" si="1327"/>
        <v>-100</v>
      </c>
      <c r="AH242" s="105">
        <f t="shared" si="1480"/>
        <v>20.3</v>
      </c>
      <c r="AI242" s="105">
        <f t="shared" si="1480"/>
        <v>1.5089999999999999</v>
      </c>
      <c r="AJ242" s="105">
        <f t="shared" si="1480"/>
        <v>1.504</v>
      </c>
      <c r="AK242" s="53">
        <f t="shared" si="1328"/>
        <v>0</v>
      </c>
      <c r="AL242" s="53"/>
      <c r="AM242" s="54">
        <f t="shared" ref="AM242:AN242" si="1523">AM241</f>
        <v>5.0129999999999999</v>
      </c>
      <c r="AN242" s="101" t="str">
        <f t="shared" si="1523"/>
        <v>17,59,050</v>
      </c>
      <c r="AO242" s="11" t="str">
        <f t="shared" si="1330"/>
        <v>17</v>
      </c>
      <c r="AP242" s="11" t="str">
        <f t="shared" si="1331"/>
        <v>59,050</v>
      </c>
      <c r="AQ242" s="11">
        <f t="shared" si="1332"/>
        <v>0.29973611111111109</v>
      </c>
      <c r="AR242" s="14">
        <f t="shared" si="1333"/>
        <v>16.724711551827998</v>
      </c>
      <c r="AS242" s="41">
        <f t="shared" si="1334"/>
        <v>-100</v>
      </c>
      <c r="AT242" s="43" t="str">
        <f t="shared" si="1335"/>
        <v>NO CONFORME</v>
      </c>
      <c r="AU242" s="8" t="b">
        <f t="shared" si="1257"/>
        <v>1</v>
      </c>
      <c r="AV242" s="8" t="b">
        <f t="shared" si="1258"/>
        <v>0</v>
      </c>
      <c r="AW242" s="8" t="b">
        <f t="shared" si="1259"/>
        <v>1</v>
      </c>
      <c r="AX242" s="8" t="str">
        <f t="shared" si="1260"/>
        <v>Qcorrecto</v>
      </c>
      <c r="AY242" s="22" t="str">
        <f t="shared" si="1240"/>
        <v>aceptable</v>
      </c>
      <c r="AZ242" s="22" t="str">
        <f t="shared" si="1241"/>
        <v>aceptable</v>
      </c>
      <c r="BA242" s="22" t="str">
        <f t="shared" si="1261"/>
        <v>aceptable</v>
      </c>
      <c r="BB242" s="25" t="str">
        <f t="shared" si="1262"/>
        <v>NO CONFORME</v>
      </c>
      <c r="BC242" s="5" t="str">
        <f t="shared" si="1263"/>
        <v>NO CONFORME</v>
      </c>
      <c r="BD242" s="15">
        <f t="shared" si="1242"/>
        <v>-1</v>
      </c>
      <c r="BE242" s="15">
        <f t="shared" si="1243"/>
        <v>-1</v>
      </c>
      <c r="BF242" s="15">
        <f t="shared" si="1244"/>
        <v>-1</v>
      </c>
      <c r="BG242" s="15" t="str">
        <f t="shared" si="1245"/>
        <v>-1-1-1</v>
      </c>
      <c r="BH242" s="15" t="str">
        <f t="shared" si="1246"/>
        <v>SD</v>
      </c>
      <c r="BI242" s="15" t="str">
        <f t="shared" si="1247"/>
        <v>SI</v>
      </c>
      <c r="BJ242" s="15" t="b">
        <f t="shared" si="1248"/>
        <v>1</v>
      </c>
      <c r="BK242" s="15" t="str">
        <f t="shared" si="1249"/>
        <v>SIGIGUALES</v>
      </c>
      <c r="BL242" s="22" t="str">
        <f t="shared" si="1250"/>
        <v>NO CONFORME</v>
      </c>
    </row>
    <row r="243" spans="1:64" ht="15.75" thickBot="1" x14ac:dyDescent="0.3">
      <c r="A243" s="37">
        <v>235</v>
      </c>
      <c r="B243" s="93">
        <f t="shared" ref="B243:E243" si="1524">B242</f>
        <v>45919</v>
      </c>
      <c r="C243" s="93">
        <f t="shared" si="1524"/>
        <v>45919</v>
      </c>
      <c r="D243" s="94">
        <f t="shared" si="1524"/>
        <v>6</v>
      </c>
      <c r="E243" s="95">
        <f t="shared" si="1524"/>
        <v>15</v>
      </c>
      <c r="F243" s="52"/>
      <c r="G243" s="96"/>
      <c r="H243" s="97">
        <f t="shared" ref="H243:L243" si="1525">H242</f>
        <v>25.6</v>
      </c>
      <c r="I243" s="98">
        <f t="shared" si="1525"/>
        <v>0</v>
      </c>
      <c r="J243" s="99">
        <f t="shared" si="1525"/>
        <v>20.9</v>
      </c>
      <c r="K243" s="99">
        <f t="shared" si="1525"/>
        <v>7.883</v>
      </c>
      <c r="L243" s="99">
        <f t="shared" si="1525"/>
        <v>0.55400000000000005</v>
      </c>
      <c r="M243" s="53"/>
      <c r="N243" s="53"/>
      <c r="O243" s="100">
        <f t="shared" ref="O243:P243" si="1526">O242</f>
        <v>100.62</v>
      </c>
      <c r="P243" s="101" t="str">
        <f t="shared" si="1526"/>
        <v>2,29,560</v>
      </c>
      <c r="Q243" s="11" t="str">
        <f t="shared" si="1316"/>
        <v>2</v>
      </c>
      <c r="R243" s="11" t="str">
        <f t="shared" si="1317"/>
        <v>29,560</v>
      </c>
      <c r="S243" s="11">
        <f t="shared" si="1318"/>
        <v>4.1544444444444446E-2</v>
      </c>
      <c r="T243" s="14">
        <f t="shared" si="1319"/>
        <v>2421.9844878309709</v>
      </c>
      <c r="U243" s="39">
        <f t="shared" si="1320"/>
        <v>-100</v>
      </c>
      <c r="V243" s="105">
        <f t="shared" ref="V243:W243" si="1527">V242</f>
        <v>20.399999999999999</v>
      </c>
      <c r="W243" s="105">
        <f t="shared" si="1527"/>
        <v>1.5069999999999999</v>
      </c>
      <c r="X243" s="106">
        <f t="shared" si="1472"/>
        <v>1.504</v>
      </c>
      <c r="Y243" s="53"/>
      <c r="Z243" s="53"/>
      <c r="AA243" s="107">
        <f t="shared" ref="AA243:AB243" si="1528">AA242</f>
        <v>10.015000000000001</v>
      </c>
      <c r="AB243" s="108" t="str">
        <f t="shared" si="1528"/>
        <v>22,10,090</v>
      </c>
      <c r="AC243" s="11" t="str">
        <f t="shared" si="1323"/>
        <v>22</v>
      </c>
      <c r="AD243" s="11" t="str">
        <f t="shared" si="1324"/>
        <v>10,090</v>
      </c>
      <c r="AE243" s="11">
        <f t="shared" si="1325"/>
        <v>0.36946944444444441</v>
      </c>
      <c r="AF243" s="14">
        <f t="shared" si="1326"/>
        <v>27.106436406558959</v>
      </c>
      <c r="AG243" s="41">
        <f t="shared" si="1327"/>
        <v>-100</v>
      </c>
      <c r="AH243" s="105">
        <f t="shared" si="1480"/>
        <v>20.3</v>
      </c>
      <c r="AI243" s="105">
        <f t="shared" si="1480"/>
        <v>1.5089999999999999</v>
      </c>
      <c r="AJ243" s="105">
        <f t="shared" si="1480"/>
        <v>1.504</v>
      </c>
      <c r="AK243" s="53">
        <f t="shared" si="1328"/>
        <v>0</v>
      </c>
      <c r="AL243" s="53"/>
      <c r="AM243" s="54">
        <f t="shared" ref="AM243:AN243" si="1529">AM242</f>
        <v>5.0129999999999999</v>
      </c>
      <c r="AN243" s="101" t="str">
        <f t="shared" si="1529"/>
        <v>17,59,050</v>
      </c>
      <c r="AO243" s="11" t="str">
        <f t="shared" si="1330"/>
        <v>17</v>
      </c>
      <c r="AP243" s="11" t="str">
        <f t="shared" si="1331"/>
        <v>59,050</v>
      </c>
      <c r="AQ243" s="11">
        <f t="shared" si="1332"/>
        <v>0.29973611111111109</v>
      </c>
      <c r="AR243" s="14">
        <f t="shared" si="1333"/>
        <v>16.724711551827998</v>
      </c>
      <c r="AS243" s="41">
        <f t="shared" si="1334"/>
        <v>-100</v>
      </c>
      <c r="AT243" s="43" t="str">
        <f t="shared" si="1335"/>
        <v>NO CONFORME</v>
      </c>
      <c r="AU243" s="8" t="b">
        <f t="shared" si="1257"/>
        <v>1</v>
      </c>
      <c r="AV243" s="8" t="b">
        <f t="shared" si="1258"/>
        <v>0</v>
      </c>
      <c r="AW243" s="8" t="b">
        <f t="shared" si="1259"/>
        <v>1</v>
      </c>
      <c r="AX243" s="8" t="str">
        <f t="shared" si="1260"/>
        <v>Qcorrecto</v>
      </c>
      <c r="AY243" s="22" t="str">
        <f t="shared" si="1240"/>
        <v>aceptable</v>
      </c>
      <c r="AZ243" s="22" t="str">
        <f t="shared" si="1241"/>
        <v>aceptable</v>
      </c>
      <c r="BA243" s="22" t="str">
        <f t="shared" si="1261"/>
        <v>aceptable</v>
      </c>
      <c r="BB243" s="25" t="str">
        <f t="shared" si="1262"/>
        <v>NO CONFORME</v>
      </c>
      <c r="BC243" s="5" t="str">
        <f t="shared" si="1263"/>
        <v>NO CONFORME</v>
      </c>
      <c r="BD243" s="15">
        <f t="shared" si="1242"/>
        <v>-1</v>
      </c>
      <c r="BE243" s="15">
        <f t="shared" si="1243"/>
        <v>-1</v>
      </c>
      <c r="BF243" s="15">
        <f t="shared" si="1244"/>
        <v>-1</v>
      </c>
      <c r="BG243" s="15" t="str">
        <f t="shared" si="1245"/>
        <v>-1-1-1</v>
      </c>
      <c r="BH243" s="15" t="str">
        <f t="shared" si="1246"/>
        <v>SD</v>
      </c>
      <c r="BI243" s="15" t="str">
        <f t="shared" si="1247"/>
        <v>SI</v>
      </c>
      <c r="BJ243" s="15" t="b">
        <f t="shared" si="1248"/>
        <v>1</v>
      </c>
      <c r="BK243" s="15" t="str">
        <f t="shared" si="1249"/>
        <v>SIGIGUALES</v>
      </c>
      <c r="BL243" s="22" t="str">
        <f t="shared" si="1250"/>
        <v>NO CONFORME</v>
      </c>
    </row>
    <row r="244" spans="1:64" ht="15.75" thickBot="1" x14ac:dyDescent="0.3">
      <c r="A244" s="37">
        <v>236</v>
      </c>
      <c r="B244" s="93">
        <f t="shared" ref="B244:E244" si="1530">B243</f>
        <v>45919</v>
      </c>
      <c r="C244" s="93">
        <f t="shared" si="1530"/>
        <v>45919</v>
      </c>
      <c r="D244" s="94">
        <f t="shared" si="1530"/>
        <v>6</v>
      </c>
      <c r="E244" s="95">
        <f t="shared" si="1530"/>
        <v>15</v>
      </c>
      <c r="F244" s="52"/>
      <c r="G244" s="96"/>
      <c r="H244" s="97">
        <f t="shared" ref="H244:L244" si="1531">H243</f>
        <v>25.6</v>
      </c>
      <c r="I244" s="98">
        <f t="shared" si="1531"/>
        <v>0</v>
      </c>
      <c r="J244" s="99">
        <f t="shared" si="1531"/>
        <v>20.9</v>
      </c>
      <c r="K244" s="99">
        <f t="shared" si="1531"/>
        <v>7.883</v>
      </c>
      <c r="L244" s="99">
        <f t="shared" si="1531"/>
        <v>0.55400000000000005</v>
      </c>
      <c r="M244" s="53"/>
      <c r="N244" s="53"/>
      <c r="O244" s="100">
        <f t="shared" ref="O244:P244" si="1532">O243</f>
        <v>100.62</v>
      </c>
      <c r="P244" s="101" t="str">
        <f t="shared" si="1532"/>
        <v>2,29,560</v>
      </c>
      <c r="Q244" s="11" t="str">
        <f t="shared" si="1316"/>
        <v>2</v>
      </c>
      <c r="R244" s="11" t="str">
        <f t="shared" si="1317"/>
        <v>29,560</v>
      </c>
      <c r="S244" s="11">
        <f t="shared" si="1318"/>
        <v>4.1544444444444446E-2</v>
      </c>
      <c r="T244" s="14">
        <f t="shared" si="1319"/>
        <v>2421.9844878309709</v>
      </c>
      <c r="U244" s="39">
        <f t="shared" si="1320"/>
        <v>-100</v>
      </c>
      <c r="V244" s="105">
        <f t="shared" ref="V244:W244" si="1533">V243</f>
        <v>20.399999999999999</v>
      </c>
      <c r="W244" s="105">
        <f t="shared" si="1533"/>
        <v>1.5069999999999999</v>
      </c>
      <c r="X244" s="106">
        <f t="shared" si="1472"/>
        <v>1.504</v>
      </c>
      <c r="Y244" s="53"/>
      <c r="Z244" s="53"/>
      <c r="AA244" s="107">
        <f t="shared" ref="AA244:AB244" si="1534">AA243</f>
        <v>10.015000000000001</v>
      </c>
      <c r="AB244" s="108" t="str">
        <f t="shared" si="1534"/>
        <v>22,10,090</v>
      </c>
      <c r="AC244" s="11" t="str">
        <f t="shared" si="1323"/>
        <v>22</v>
      </c>
      <c r="AD244" s="11" t="str">
        <f t="shared" si="1324"/>
        <v>10,090</v>
      </c>
      <c r="AE244" s="11">
        <f t="shared" si="1325"/>
        <v>0.36946944444444441</v>
      </c>
      <c r="AF244" s="14">
        <f t="shared" si="1326"/>
        <v>27.106436406558959</v>
      </c>
      <c r="AG244" s="41">
        <f t="shared" si="1327"/>
        <v>-100</v>
      </c>
      <c r="AH244" s="105">
        <f t="shared" si="1480"/>
        <v>20.3</v>
      </c>
      <c r="AI244" s="105">
        <f t="shared" si="1480"/>
        <v>1.5089999999999999</v>
      </c>
      <c r="AJ244" s="105">
        <f t="shared" si="1480"/>
        <v>1.504</v>
      </c>
      <c r="AK244" s="53">
        <f t="shared" si="1328"/>
        <v>0</v>
      </c>
      <c r="AL244" s="53"/>
      <c r="AM244" s="54">
        <f t="shared" ref="AM244:AN244" si="1535">AM243</f>
        <v>5.0129999999999999</v>
      </c>
      <c r="AN244" s="101" t="str">
        <f t="shared" si="1535"/>
        <v>17,59,050</v>
      </c>
      <c r="AO244" s="11" t="str">
        <f t="shared" si="1330"/>
        <v>17</v>
      </c>
      <c r="AP244" s="11" t="str">
        <f t="shared" si="1331"/>
        <v>59,050</v>
      </c>
      <c r="AQ244" s="11">
        <f t="shared" si="1332"/>
        <v>0.29973611111111109</v>
      </c>
      <c r="AR244" s="14">
        <f t="shared" si="1333"/>
        <v>16.724711551827998</v>
      </c>
      <c r="AS244" s="41">
        <f t="shared" si="1334"/>
        <v>-100</v>
      </c>
      <c r="AT244" s="43" t="str">
        <f t="shared" si="1335"/>
        <v>NO CONFORME</v>
      </c>
      <c r="AU244" s="8" t="b">
        <f t="shared" si="1257"/>
        <v>1</v>
      </c>
      <c r="AV244" s="8" t="b">
        <f t="shared" si="1258"/>
        <v>0</v>
      </c>
      <c r="AW244" s="8" t="b">
        <f t="shared" si="1259"/>
        <v>1</v>
      </c>
      <c r="AX244" s="8" t="str">
        <f t="shared" si="1260"/>
        <v>Qcorrecto</v>
      </c>
      <c r="AY244" s="22" t="str">
        <f t="shared" si="1240"/>
        <v>aceptable</v>
      </c>
      <c r="AZ244" s="22" t="str">
        <f t="shared" si="1241"/>
        <v>aceptable</v>
      </c>
      <c r="BA244" s="22" t="str">
        <f t="shared" si="1261"/>
        <v>aceptable</v>
      </c>
      <c r="BB244" s="25" t="str">
        <f t="shared" si="1262"/>
        <v>NO CONFORME</v>
      </c>
      <c r="BC244" s="5" t="str">
        <f t="shared" si="1263"/>
        <v>NO CONFORME</v>
      </c>
      <c r="BD244" s="15">
        <f t="shared" si="1242"/>
        <v>-1</v>
      </c>
      <c r="BE244" s="15">
        <f t="shared" si="1243"/>
        <v>-1</v>
      </c>
      <c r="BF244" s="15">
        <f t="shared" si="1244"/>
        <v>-1</v>
      </c>
      <c r="BG244" s="15" t="str">
        <f t="shared" si="1245"/>
        <v>-1-1-1</v>
      </c>
      <c r="BH244" s="15" t="str">
        <f t="shared" si="1246"/>
        <v>SD</v>
      </c>
      <c r="BI244" s="15" t="str">
        <f t="shared" si="1247"/>
        <v>SI</v>
      </c>
      <c r="BJ244" s="15" t="b">
        <f t="shared" si="1248"/>
        <v>1</v>
      </c>
      <c r="BK244" s="15" t="str">
        <f t="shared" si="1249"/>
        <v>SIGIGUALES</v>
      </c>
      <c r="BL244" s="22" t="str">
        <f t="shared" si="1250"/>
        <v>NO CONFORME</v>
      </c>
    </row>
    <row r="245" spans="1:64" ht="15.75" thickBot="1" x14ac:dyDescent="0.3">
      <c r="A245" s="37">
        <v>237</v>
      </c>
      <c r="B245" s="93">
        <f t="shared" ref="B245:E245" si="1536">B244</f>
        <v>45919</v>
      </c>
      <c r="C245" s="93">
        <f t="shared" si="1536"/>
        <v>45919</v>
      </c>
      <c r="D245" s="94">
        <f t="shared" si="1536"/>
        <v>6</v>
      </c>
      <c r="E245" s="95">
        <f t="shared" si="1536"/>
        <v>15</v>
      </c>
      <c r="F245" s="52"/>
      <c r="G245" s="96"/>
      <c r="H245" s="97">
        <f t="shared" ref="H245:L245" si="1537">H244</f>
        <v>25.6</v>
      </c>
      <c r="I245" s="98">
        <f t="shared" si="1537"/>
        <v>0</v>
      </c>
      <c r="J245" s="99">
        <f t="shared" si="1537"/>
        <v>20.9</v>
      </c>
      <c r="K245" s="99">
        <f t="shared" si="1537"/>
        <v>7.883</v>
      </c>
      <c r="L245" s="99">
        <f t="shared" si="1537"/>
        <v>0.55400000000000005</v>
      </c>
      <c r="M245" s="53"/>
      <c r="N245" s="53"/>
      <c r="O245" s="100">
        <f t="shared" ref="O245:P245" si="1538">O244</f>
        <v>100.62</v>
      </c>
      <c r="P245" s="101" t="str">
        <f t="shared" si="1538"/>
        <v>2,29,560</v>
      </c>
      <c r="Q245" s="11" t="str">
        <f t="shared" si="1316"/>
        <v>2</v>
      </c>
      <c r="R245" s="11" t="str">
        <f t="shared" si="1317"/>
        <v>29,560</v>
      </c>
      <c r="S245" s="11">
        <f t="shared" si="1318"/>
        <v>4.1544444444444446E-2</v>
      </c>
      <c r="T245" s="14">
        <f t="shared" si="1319"/>
        <v>2421.9844878309709</v>
      </c>
      <c r="U245" s="39">
        <f t="shared" si="1320"/>
        <v>-100</v>
      </c>
      <c r="V245" s="105">
        <f t="shared" ref="V245:W245" si="1539">V244</f>
        <v>20.399999999999999</v>
      </c>
      <c r="W245" s="105">
        <f t="shared" si="1539"/>
        <v>1.5069999999999999</v>
      </c>
      <c r="X245" s="106">
        <f t="shared" si="1472"/>
        <v>1.504</v>
      </c>
      <c r="Y245" s="53"/>
      <c r="Z245" s="53"/>
      <c r="AA245" s="107">
        <f t="shared" ref="AA245:AB245" si="1540">AA244</f>
        <v>10.015000000000001</v>
      </c>
      <c r="AB245" s="108" t="str">
        <f t="shared" si="1540"/>
        <v>22,10,090</v>
      </c>
      <c r="AC245" s="11" t="str">
        <f t="shared" si="1323"/>
        <v>22</v>
      </c>
      <c r="AD245" s="11" t="str">
        <f t="shared" si="1324"/>
        <v>10,090</v>
      </c>
      <c r="AE245" s="11">
        <f t="shared" si="1325"/>
        <v>0.36946944444444441</v>
      </c>
      <c r="AF245" s="14">
        <f t="shared" si="1326"/>
        <v>27.106436406558959</v>
      </c>
      <c r="AG245" s="41">
        <f t="shared" si="1327"/>
        <v>-100</v>
      </c>
      <c r="AH245" s="105">
        <f t="shared" si="1480"/>
        <v>20.3</v>
      </c>
      <c r="AI245" s="105">
        <f t="shared" si="1480"/>
        <v>1.5089999999999999</v>
      </c>
      <c r="AJ245" s="105">
        <f t="shared" si="1480"/>
        <v>1.504</v>
      </c>
      <c r="AK245" s="53">
        <f t="shared" si="1328"/>
        <v>0</v>
      </c>
      <c r="AL245" s="53"/>
      <c r="AM245" s="54">
        <f t="shared" ref="AM245:AN245" si="1541">AM244</f>
        <v>5.0129999999999999</v>
      </c>
      <c r="AN245" s="101" t="str">
        <f t="shared" si="1541"/>
        <v>17,59,050</v>
      </c>
      <c r="AO245" s="11" t="str">
        <f t="shared" si="1330"/>
        <v>17</v>
      </c>
      <c r="AP245" s="11" t="str">
        <f t="shared" si="1331"/>
        <v>59,050</v>
      </c>
      <c r="AQ245" s="11">
        <f t="shared" si="1332"/>
        <v>0.29973611111111109</v>
      </c>
      <c r="AR245" s="14">
        <f t="shared" si="1333"/>
        <v>16.724711551827998</v>
      </c>
      <c r="AS245" s="41">
        <f t="shared" si="1334"/>
        <v>-100</v>
      </c>
      <c r="AT245" s="43" t="str">
        <f t="shared" si="1335"/>
        <v>NO CONFORME</v>
      </c>
      <c r="AU245" s="8" t="b">
        <f t="shared" si="1257"/>
        <v>1</v>
      </c>
      <c r="AV245" s="8" t="b">
        <f t="shared" si="1258"/>
        <v>0</v>
      </c>
      <c r="AW245" s="8" t="b">
        <f t="shared" si="1259"/>
        <v>1</v>
      </c>
      <c r="AX245" s="8" t="str">
        <f t="shared" si="1260"/>
        <v>Qcorrecto</v>
      </c>
      <c r="AY245" s="22" t="str">
        <f t="shared" si="1240"/>
        <v>aceptable</v>
      </c>
      <c r="AZ245" s="22" t="str">
        <f t="shared" si="1241"/>
        <v>aceptable</v>
      </c>
      <c r="BA245" s="22" t="str">
        <f t="shared" si="1261"/>
        <v>aceptable</v>
      </c>
      <c r="BB245" s="25" t="str">
        <f t="shared" si="1262"/>
        <v>NO CONFORME</v>
      </c>
      <c r="BC245" s="5" t="str">
        <f t="shared" si="1263"/>
        <v>NO CONFORME</v>
      </c>
      <c r="BD245" s="15">
        <f t="shared" si="1242"/>
        <v>-1</v>
      </c>
      <c r="BE245" s="15">
        <f t="shared" si="1243"/>
        <v>-1</v>
      </c>
      <c r="BF245" s="15">
        <f t="shared" si="1244"/>
        <v>-1</v>
      </c>
      <c r="BG245" s="15" t="str">
        <f t="shared" si="1245"/>
        <v>-1-1-1</v>
      </c>
      <c r="BH245" s="15" t="str">
        <f t="shared" si="1246"/>
        <v>SD</v>
      </c>
      <c r="BI245" s="15" t="str">
        <f t="shared" si="1247"/>
        <v>SI</v>
      </c>
      <c r="BJ245" s="15" t="b">
        <f t="shared" si="1248"/>
        <v>1</v>
      </c>
      <c r="BK245" s="15" t="str">
        <f t="shared" si="1249"/>
        <v>SIGIGUALES</v>
      </c>
      <c r="BL245" s="22" t="str">
        <f t="shared" si="1250"/>
        <v>NO CONFORME</v>
      </c>
    </row>
    <row r="246" spans="1:64" ht="15.75" thickBot="1" x14ac:dyDescent="0.3">
      <c r="A246" s="37">
        <v>238</v>
      </c>
      <c r="B246" s="93">
        <f t="shared" ref="B246:E246" si="1542">B245</f>
        <v>45919</v>
      </c>
      <c r="C246" s="93">
        <f t="shared" si="1542"/>
        <v>45919</v>
      </c>
      <c r="D246" s="94">
        <f t="shared" si="1542"/>
        <v>6</v>
      </c>
      <c r="E246" s="95">
        <f t="shared" si="1542"/>
        <v>15</v>
      </c>
      <c r="F246" s="52"/>
      <c r="G246" s="96"/>
      <c r="H246" s="97">
        <f t="shared" ref="H246:L246" si="1543">H245</f>
        <v>25.6</v>
      </c>
      <c r="I246" s="98">
        <f t="shared" si="1543"/>
        <v>0</v>
      </c>
      <c r="J246" s="99">
        <f t="shared" si="1543"/>
        <v>20.9</v>
      </c>
      <c r="K246" s="99">
        <f t="shared" si="1543"/>
        <v>7.883</v>
      </c>
      <c r="L246" s="99">
        <f t="shared" si="1543"/>
        <v>0.55400000000000005</v>
      </c>
      <c r="M246" s="53"/>
      <c r="N246" s="53"/>
      <c r="O246" s="100">
        <f t="shared" ref="O246:P246" si="1544">O245</f>
        <v>100.62</v>
      </c>
      <c r="P246" s="101" t="str">
        <f t="shared" si="1544"/>
        <v>2,29,560</v>
      </c>
      <c r="Q246" s="11" t="str">
        <f t="shared" si="1316"/>
        <v>2</v>
      </c>
      <c r="R246" s="11" t="str">
        <f t="shared" si="1317"/>
        <v>29,560</v>
      </c>
      <c r="S246" s="11">
        <f t="shared" si="1318"/>
        <v>4.1544444444444446E-2</v>
      </c>
      <c r="T246" s="14">
        <f t="shared" si="1319"/>
        <v>2421.9844878309709</v>
      </c>
      <c r="U246" s="39">
        <f t="shared" si="1320"/>
        <v>-100</v>
      </c>
      <c r="V246" s="105">
        <f t="shared" ref="V246:W246" si="1545">V245</f>
        <v>20.399999999999999</v>
      </c>
      <c r="W246" s="105">
        <f t="shared" si="1545"/>
        <v>1.5069999999999999</v>
      </c>
      <c r="X246" s="106">
        <f t="shared" si="1472"/>
        <v>1.504</v>
      </c>
      <c r="Y246" s="53"/>
      <c r="Z246" s="53"/>
      <c r="AA246" s="107">
        <f t="shared" ref="AA246:AB246" si="1546">AA245</f>
        <v>10.015000000000001</v>
      </c>
      <c r="AB246" s="108" t="str">
        <f t="shared" si="1546"/>
        <v>22,10,090</v>
      </c>
      <c r="AC246" s="11" t="str">
        <f t="shared" si="1323"/>
        <v>22</v>
      </c>
      <c r="AD246" s="11" t="str">
        <f t="shared" si="1324"/>
        <v>10,090</v>
      </c>
      <c r="AE246" s="11">
        <f t="shared" si="1325"/>
        <v>0.36946944444444441</v>
      </c>
      <c r="AF246" s="14">
        <f t="shared" si="1326"/>
        <v>27.106436406558959</v>
      </c>
      <c r="AG246" s="41">
        <f t="shared" si="1327"/>
        <v>-100</v>
      </c>
      <c r="AH246" s="105">
        <f t="shared" si="1480"/>
        <v>20.3</v>
      </c>
      <c r="AI246" s="105">
        <f t="shared" si="1480"/>
        <v>1.5089999999999999</v>
      </c>
      <c r="AJ246" s="105">
        <f t="shared" si="1480"/>
        <v>1.504</v>
      </c>
      <c r="AK246" s="53">
        <f t="shared" si="1328"/>
        <v>0</v>
      </c>
      <c r="AL246" s="53"/>
      <c r="AM246" s="54">
        <f t="shared" ref="AM246:AN246" si="1547">AM245</f>
        <v>5.0129999999999999</v>
      </c>
      <c r="AN246" s="101" t="str">
        <f t="shared" si="1547"/>
        <v>17,59,050</v>
      </c>
      <c r="AO246" s="11" t="str">
        <f t="shared" si="1330"/>
        <v>17</v>
      </c>
      <c r="AP246" s="11" t="str">
        <f t="shared" si="1331"/>
        <v>59,050</v>
      </c>
      <c r="AQ246" s="11">
        <f t="shared" si="1332"/>
        <v>0.29973611111111109</v>
      </c>
      <c r="AR246" s="14">
        <f t="shared" si="1333"/>
        <v>16.724711551827998</v>
      </c>
      <c r="AS246" s="41">
        <f t="shared" si="1334"/>
        <v>-100</v>
      </c>
      <c r="AT246" s="43" t="str">
        <f t="shared" si="1335"/>
        <v>NO CONFORME</v>
      </c>
      <c r="AU246" s="8" t="b">
        <f t="shared" si="1257"/>
        <v>1</v>
      </c>
      <c r="AV246" s="8" t="b">
        <f t="shared" si="1258"/>
        <v>0</v>
      </c>
      <c r="AW246" s="8" t="b">
        <f t="shared" si="1259"/>
        <v>1</v>
      </c>
      <c r="AX246" s="8" t="str">
        <f t="shared" si="1260"/>
        <v>Qcorrecto</v>
      </c>
      <c r="AY246" s="22" t="str">
        <f t="shared" si="1240"/>
        <v>aceptable</v>
      </c>
      <c r="AZ246" s="22" t="str">
        <f t="shared" si="1241"/>
        <v>aceptable</v>
      </c>
      <c r="BA246" s="22" t="str">
        <f t="shared" si="1261"/>
        <v>aceptable</v>
      </c>
      <c r="BB246" s="25" t="str">
        <f t="shared" si="1262"/>
        <v>NO CONFORME</v>
      </c>
      <c r="BC246" s="5" t="str">
        <f t="shared" si="1263"/>
        <v>NO CONFORME</v>
      </c>
      <c r="BD246" s="15">
        <f t="shared" si="1242"/>
        <v>-1</v>
      </c>
      <c r="BE246" s="15">
        <f t="shared" si="1243"/>
        <v>-1</v>
      </c>
      <c r="BF246" s="15">
        <f t="shared" si="1244"/>
        <v>-1</v>
      </c>
      <c r="BG246" s="15" t="str">
        <f t="shared" si="1245"/>
        <v>-1-1-1</v>
      </c>
      <c r="BH246" s="15" t="str">
        <f t="shared" si="1246"/>
        <v>SD</v>
      </c>
      <c r="BI246" s="15" t="str">
        <f t="shared" si="1247"/>
        <v>SI</v>
      </c>
      <c r="BJ246" s="15" t="b">
        <f t="shared" si="1248"/>
        <v>1</v>
      </c>
      <c r="BK246" s="15" t="str">
        <f t="shared" si="1249"/>
        <v>SIGIGUALES</v>
      </c>
      <c r="BL246" s="22" t="str">
        <f t="shared" si="1250"/>
        <v>NO CONFORME</v>
      </c>
    </row>
    <row r="247" spans="1:64" ht="15.75" thickBot="1" x14ac:dyDescent="0.3">
      <c r="A247" s="37">
        <v>239</v>
      </c>
      <c r="B247" s="93">
        <f t="shared" ref="B247:E247" si="1548">B246</f>
        <v>45919</v>
      </c>
      <c r="C247" s="93">
        <f t="shared" si="1548"/>
        <v>45919</v>
      </c>
      <c r="D247" s="94">
        <f t="shared" si="1548"/>
        <v>6</v>
      </c>
      <c r="E247" s="95">
        <f t="shared" si="1548"/>
        <v>15</v>
      </c>
      <c r="F247" s="52"/>
      <c r="G247" s="96"/>
      <c r="H247" s="97">
        <f t="shared" ref="H247:L247" si="1549">H246</f>
        <v>25.6</v>
      </c>
      <c r="I247" s="98">
        <f t="shared" si="1549"/>
        <v>0</v>
      </c>
      <c r="J247" s="99">
        <f t="shared" si="1549"/>
        <v>20.9</v>
      </c>
      <c r="K247" s="99">
        <f t="shared" si="1549"/>
        <v>7.883</v>
      </c>
      <c r="L247" s="99">
        <f t="shared" si="1549"/>
        <v>0.55400000000000005</v>
      </c>
      <c r="M247" s="53"/>
      <c r="N247" s="53"/>
      <c r="O247" s="100">
        <f t="shared" ref="O247:P247" si="1550">O246</f>
        <v>100.62</v>
      </c>
      <c r="P247" s="101" t="str">
        <f t="shared" si="1550"/>
        <v>2,29,560</v>
      </c>
      <c r="Q247" s="11" t="str">
        <f t="shared" si="1316"/>
        <v>2</v>
      </c>
      <c r="R247" s="11" t="str">
        <f t="shared" si="1317"/>
        <v>29,560</v>
      </c>
      <c r="S247" s="11">
        <f t="shared" si="1318"/>
        <v>4.1544444444444446E-2</v>
      </c>
      <c r="T247" s="14">
        <f t="shared" si="1319"/>
        <v>2421.9844878309709</v>
      </c>
      <c r="U247" s="39">
        <f t="shared" si="1320"/>
        <v>-100</v>
      </c>
      <c r="V247" s="105">
        <f t="shared" ref="V247:W247" si="1551">V246</f>
        <v>20.399999999999999</v>
      </c>
      <c r="W247" s="105">
        <f t="shared" si="1551"/>
        <v>1.5069999999999999</v>
      </c>
      <c r="X247" s="106">
        <f t="shared" si="1472"/>
        <v>1.504</v>
      </c>
      <c r="Y247" s="53"/>
      <c r="Z247" s="53"/>
      <c r="AA247" s="107">
        <f t="shared" ref="AA247:AB247" si="1552">AA246</f>
        <v>10.015000000000001</v>
      </c>
      <c r="AB247" s="108" t="str">
        <f t="shared" si="1552"/>
        <v>22,10,090</v>
      </c>
      <c r="AC247" s="11" t="str">
        <f t="shared" si="1323"/>
        <v>22</v>
      </c>
      <c r="AD247" s="11" t="str">
        <f t="shared" si="1324"/>
        <v>10,090</v>
      </c>
      <c r="AE247" s="11">
        <f t="shared" si="1325"/>
        <v>0.36946944444444441</v>
      </c>
      <c r="AF247" s="14">
        <f t="shared" si="1326"/>
        <v>27.106436406558959</v>
      </c>
      <c r="AG247" s="41">
        <f t="shared" si="1327"/>
        <v>-100</v>
      </c>
      <c r="AH247" s="105">
        <f t="shared" si="1480"/>
        <v>20.3</v>
      </c>
      <c r="AI247" s="105">
        <f t="shared" si="1480"/>
        <v>1.5089999999999999</v>
      </c>
      <c r="AJ247" s="105">
        <f t="shared" si="1480"/>
        <v>1.504</v>
      </c>
      <c r="AK247" s="53">
        <f t="shared" si="1328"/>
        <v>0</v>
      </c>
      <c r="AL247" s="53"/>
      <c r="AM247" s="54">
        <f t="shared" ref="AM247:AN247" si="1553">AM246</f>
        <v>5.0129999999999999</v>
      </c>
      <c r="AN247" s="101" t="str">
        <f t="shared" si="1553"/>
        <v>17,59,050</v>
      </c>
      <c r="AO247" s="11" t="str">
        <f t="shared" si="1330"/>
        <v>17</v>
      </c>
      <c r="AP247" s="11" t="str">
        <f t="shared" si="1331"/>
        <v>59,050</v>
      </c>
      <c r="AQ247" s="11">
        <f t="shared" si="1332"/>
        <v>0.29973611111111109</v>
      </c>
      <c r="AR247" s="14">
        <f t="shared" si="1333"/>
        <v>16.724711551827998</v>
      </c>
      <c r="AS247" s="41">
        <f t="shared" si="1334"/>
        <v>-100</v>
      </c>
      <c r="AT247" s="43" t="str">
        <f t="shared" si="1335"/>
        <v>NO CONFORME</v>
      </c>
      <c r="AU247" s="8" t="b">
        <f t="shared" si="1257"/>
        <v>1</v>
      </c>
      <c r="AV247" s="8" t="b">
        <f t="shared" si="1258"/>
        <v>0</v>
      </c>
      <c r="AW247" s="8" t="b">
        <f t="shared" si="1259"/>
        <v>1</v>
      </c>
      <c r="AX247" s="8" t="str">
        <f t="shared" si="1260"/>
        <v>Qcorrecto</v>
      </c>
      <c r="AY247" s="22" t="str">
        <f t="shared" si="1240"/>
        <v>aceptable</v>
      </c>
      <c r="AZ247" s="22" t="str">
        <f t="shared" si="1241"/>
        <v>aceptable</v>
      </c>
      <c r="BA247" s="22" t="str">
        <f t="shared" si="1261"/>
        <v>aceptable</v>
      </c>
      <c r="BB247" s="25" t="str">
        <f t="shared" si="1262"/>
        <v>NO CONFORME</v>
      </c>
      <c r="BC247" s="5" t="str">
        <f t="shared" si="1263"/>
        <v>NO CONFORME</v>
      </c>
      <c r="BD247" s="15">
        <f t="shared" si="1242"/>
        <v>-1</v>
      </c>
      <c r="BE247" s="15">
        <f t="shared" si="1243"/>
        <v>-1</v>
      </c>
      <c r="BF247" s="15">
        <f t="shared" si="1244"/>
        <v>-1</v>
      </c>
      <c r="BG247" s="15" t="str">
        <f t="shared" si="1245"/>
        <v>-1-1-1</v>
      </c>
      <c r="BH247" s="15" t="str">
        <f t="shared" si="1246"/>
        <v>SD</v>
      </c>
      <c r="BI247" s="15" t="str">
        <f t="shared" si="1247"/>
        <v>SI</v>
      </c>
      <c r="BJ247" s="15" t="b">
        <f t="shared" si="1248"/>
        <v>1</v>
      </c>
      <c r="BK247" s="15" t="str">
        <f t="shared" si="1249"/>
        <v>SIGIGUALES</v>
      </c>
      <c r="BL247" s="22" t="str">
        <f t="shared" si="1250"/>
        <v>NO CONFORME</v>
      </c>
    </row>
    <row r="248" spans="1:64" ht="15.75" thickBot="1" x14ac:dyDescent="0.3">
      <c r="A248" s="37">
        <v>240</v>
      </c>
      <c r="B248" s="93">
        <f t="shared" ref="B248:E248" si="1554">B247</f>
        <v>45919</v>
      </c>
      <c r="C248" s="93">
        <f t="shared" si="1554"/>
        <v>45919</v>
      </c>
      <c r="D248" s="94">
        <f t="shared" si="1554"/>
        <v>6</v>
      </c>
      <c r="E248" s="95">
        <f t="shared" si="1554"/>
        <v>15</v>
      </c>
      <c r="F248" s="52"/>
      <c r="G248" s="96"/>
      <c r="H248" s="97">
        <f t="shared" ref="H248:L248" si="1555">H247</f>
        <v>25.6</v>
      </c>
      <c r="I248" s="98">
        <f t="shared" si="1555"/>
        <v>0</v>
      </c>
      <c r="J248" s="99">
        <f t="shared" si="1555"/>
        <v>20.9</v>
      </c>
      <c r="K248" s="99">
        <f t="shared" si="1555"/>
        <v>7.883</v>
      </c>
      <c r="L248" s="99">
        <f t="shared" si="1555"/>
        <v>0.55400000000000005</v>
      </c>
      <c r="M248" s="53"/>
      <c r="N248" s="53"/>
      <c r="O248" s="100">
        <f t="shared" ref="O248:P248" si="1556">O247</f>
        <v>100.62</v>
      </c>
      <c r="P248" s="101" t="str">
        <f t="shared" si="1556"/>
        <v>2,29,560</v>
      </c>
      <c r="Q248" s="11" t="str">
        <f t="shared" si="1316"/>
        <v>2</v>
      </c>
      <c r="R248" s="11" t="str">
        <f t="shared" si="1317"/>
        <v>29,560</v>
      </c>
      <c r="S248" s="11">
        <f t="shared" si="1318"/>
        <v>4.1544444444444446E-2</v>
      </c>
      <c r="T248" s="14">
        <f t="shared" si="1319"/>
        <v>2421.9844878309709</v>
      </c>
      <c r="U248" s="39">
        <f t="shared" si="1320"/>
        <v>-100</v>
      </c>
      <c r="V248" s="105">
        <f t="shared" ref="V248:W248" si="1557">V247</f>
        <v>20.399999999999999</v>
      </c>
      <c r="W248" s="105">
        <f t="shared" si="1557"/>
        <v>1.5069999999999999</v>
      </c>
      <c r="X248" s="106">
        <f t="shared" si="1472"/>
        <v>1.504</v>
      </c>
      <c r="Y248" s="53"/>
      <c r="Z248" s="53"/>
      <c r="AA248" s="107">
        <f t="shared" ref="AA248:AB248" si="1558">AA247</f>
        <v>10.015000000000001</v>
      </c>
      <c r="AB248" s="108" t="str">
        <f t="shared" si="1558"/>
        <v>22,10,090</v>
      </c>
      <c r="AC248" s="11" t="str">
        <f t="shared" si="1323"/>
        <v>22</v>
      </c>
      <c r="AD248" s="11" t="str">
        <f t="shared" si="1324"/>
        <v>10,090</v>
      </c>
      <c r="AE248" s="11">
        <f t="shared" si="1325"/>
        <v>0.36946944444444441</v>
      </c>
      <c r="AF248" s="14">
        <f t="shared" si="1326"/>
        <v>27.106436406558959</v>
      </c>
      <c r="AG248" s="41">
        <f t="shared" si="1327"/>
        <v>-100</v>
      </c>
      <c r="AH248" s="105">
        <f t="shared" si="1480"/>
        <v>20.3</v>
      </c>
      <c r="AI248" s="105">
        <f t="shared" si="1480"/>
        <v>1.5089999999999999</v>
      </c>
      <c r="AJ248" s="105">
        <f t="shared" si="1480"/>
        <v>1.504</v>
      </c>
      <c r="AK248" s="53">
        <f t="shared" si="1328"/>
        <v>0</v>
      </c>
      <c r="AL248" s="53"/>
      <c r="AM248" s="54">
        <f t="shared" ref="AM248:AN248" si="1559">AM247</f>
        <v>5.0129999999999999</v>
      </c>
      <c r="AN248" s="101" t="str">
        <f t="shared" si="1559"/>
        <v>17,59,050</v>
      </c>
      <c r="AO248" s="11" t="str">
        <f t="shared" si="1330"/>
        <v>17</v>
      </c>
      <c r="AP248" s="11" t="str">
        <f t="shared" si="1331"/>
        <v>59,050</v>
      </c>
      <c r="AQ248" s="11">
        <f t="shared" si="1332"/>
        <v>0.29973611111111109</v>
      </c>
      <c r="AR248" s="14">
        <f t="shared" si="1333"/>
        <v>16.724711551827998</v>
      </c>
      <c r="AS248" s="41">
        <f t="shared" si="1334"/>
        <v>-100</v>
      </c>
      <c r="AT248" s="43" t="str">
        <f t="shared" si="1335"/>
        <v>NO CONFORME</v>
      </c>
      <c r="AU248" s="8" t="b">
        <f t="shared" si="1257"/>
        <v>1</v>
      </c>
      <c r="AV248" s="8" t="b">
        <f t="shared" si="1258"/>
        <v>0</v>
      </c>
      <c r="AW248" s="8" t="b">
        <f t="shared" si="1259"/>
        <v>1</v>
      </c>
      <c r="AX248" s="8" t="str">
        <f t="shared" si="1260"/>
        <v>Qcorrecto</v>
      </c>
      <c r="AY248" s="22" t="str">
        <f t="shared" si="1240"/>
        <v>aceptable</v>
      </c>
      <c r="AZ248" s="22" t="str">
        <f t="shared" si="1241"/>
        <v>aceptable</v>
      </c>
      <c r="BA248" s="22" t="str">
        <f t="shared" si="1261"/>
        <v>aceptable</v>
      </c>
      <c r="BB248" s="25" t="str">
        <f t="shared" si="1262"/>
        <v>NO CONFORME</v>
      </c>
      <c r="BC248" s="5" t="str">
        <f t="shared" si="1263"/>
        <v>NO CONFORME</v>
      </c>
      <c r="BD248" s="15">
        <f t="shared" si="1242"/>
        <v>-1</v>
      </c>
      <c r="BE248" s="15">
        <f t="shared" si="1243"/>
        <v>-1</v>
      </c>
      <c r="BF248" s="15">
        <f t="shared" si="1244"/>
        <v>-1</v>
      </c>
      <c r="BG248" s="15" t="str">
        <f t="shared" si="1245"/>
        <v>-1-1-1</v>
      </c>
      <c r="BH248" s="15" t="str">
        <f t="shared" si="1246"/>
        <v>SD</v>
      </c>
      <c r="BI248" s="15" t="str">
        <f t="shared" si="1247"/>
        <v>SI</v>
      </c>
      <c r="BJ248" s="15" t="b">
        <f t="shared" si="1248"/>
        <v>1</v>
      </c>
      <c r="BK248" s="15" t="str">
        <f t="shared" si="1249"/>
        <v>SIGIGUALES</v>
      </c>
      <c r="BL248" s="22" t="str">
        <f t="shared" si="1250"/>
        <v>NO CONFORME</v>
      </c>
    </row>
    <row r="249" spans="1:64" ht="15.75" thickBot="1" x14ac:dyDescent="0.3">
      <c r="A249" s="37">
        <v>241</v>
      </c>
      <c r="B249" s="93">
        <f t="shared" ref="B249:E249" si="1560">B248</f>
        <v>45919</v>
      </c>
      <c r="C249" s="93">
        <f t="shared" si="1560"/>
        <v>45919</v>
      </c>
      <c r="D249" s="94">
        <f t="shared" si="1560"/>
        <v>6</v>
      </c>
      <c r="E249" s="95">
        <f t="shared" si="1560"/>
        <v>15</v>
      </c>
      <c r="F249" s="52"/>
      <c r="G249" s="96"/>
      <c r="H249" s="97">
        <f t="shared" ref="H249:L249" si="1561">H248</f>
        <v>25.6</v>
      </c>
      <c r="I249" s="98">
        <f t="shared" si="1561"/>
        <v>0</v>
      </c>
      <c r="J249" s="99">
        <f t="shared" si="1561"/>
        <v>20.9</v>
      </c>
      <c r="K249" s="99">
        <f t="shared" si="1561"/>
        <v>7.883</v>
      </c>
      <c r="L249" s="99">
        <f t="shared" si="1561"/>
        <v>0.55400000000000005</v>
      </c>
      <c r="M249" s="53"/>
      <c r="N249" s="53"/>
      <c r="O249" s="100">
        <f t="shared" ref="O249:P249" si="1562">O248</f>
        <v>100.62</v>
      </c>
      <c r="P249" s="101" t="str">
        <f t="shared" si="1562"/>
        <v>2,29,560</v>
      </c>
      <c r="Q249" s="11" t="str">
        <f t="shared" si="1316"/>
        <v>2</v>
      </c>
      <c r="R249" s="11" t="str">
        <f t="shared" si="1317"/>
        <v>29,560</v>
      </c>
      <c r="S249" s="11">
        <f t="shared" si="1318"/>
        <v>4.1544444444444446E-2</v>
      </c>
      <c r="T249" s="14">
        <f t="shared" si="1319"/>
        <v>2421.9844878309709</v>
      </c>
      <c r="U249" s="39">
        <f t="shared" si="1320"/>
        <v>-100</v>
      </c>
      <c r="V249" s="105">
        <f t="shared" ref="V249:W249" si="1563">V248</f>
        <v>20.399999999999999</v>
      </c>
      <c r="W249" s="105">
        <f t="shared" si="1563"/>
        <v>1.5069999999999999</v>
      </c>
      <c r="X249" s="106">
        <f t="shared" si="1472"/>
        <v>1.504</v>
      </c>
      <c r="Y249" s="53"/>
      <c r="Z249" s="53"/>
      <c r="AA249" s="107">
        <f t="shared" ref="AA249:AB249" si="1564">AA248</f>
        <v>10.015000000000001</v>
      </c>
      <c r="AB249" s="108" t="str">
        <f t="shared" si="1564"/>
        <v>22,10,090</v>
      </c>
      <c r="AC249" s="11" t="str">
        <f t="shared" si="1323"/>
        <v>22</v>
      </c>
      <c r="AD249" s="11" t="str">
        <f t="shared" si="1324"/>
        <v>10,090</v>
      </c>
      <c r="AE249" s="11">
        <f t="shared" si="1325"/>
        <v>0.36946944444444441</v>
      </c>
      <c r="AF249" s="14">
        <f t="shared" si="1326"/>
        <v>27.106436406558959</v>
      </c>
      <c r="AG249" s="41">
        <f t="shared" si="1327"/>
        <v>-100</v>
      </c>
      <c r="AH249" s="105">
        <f t="shared" si="1480"/>
        <v>20.3</v>
      </c>
      <c r="AI249" s="105">
        <f t="shared" si="1480"/>
        <v>1.5089999999999999</v>
      </c>
      <c r="AJ249" s="105">
        <f t="shared" si="1480"/>
        <v>1.504</v>
      </c>
      <c r="AK249" s="53">
        <f t="shared" si="1328"/>
        <v>0</v>
      </c>
      <c r="AL249" s="53"/>
      <c r="AM249" s="54">
        <f t="shared" ref="AM249:AN249" si="1565">AM248</f>
        <v>5.0129999999999999</v>
      </c>
      <c r="AN249" s="101" t="str">
        <f t="shared" si="1565"/>
        <v>17,59,050</v>
      </c>
      <c r="AO249" s="11" t="str">
        <f t="shared" si="1330"/>
        <v>17</v>
      </c>
      <c r="AP249" s="11" t="str">
        <f t="shared" si="1331"/>
        <v>59,050</v>
      </c>
      <c r="AQ249" s="11">
        <f t="shared" si="1332"/>
        <v>0.29973611111111109</v>
      </c>
      <c r="AR249" s="14">
        <f t="shared" si="1333"/>
        <v>16.724711551827998</v>
      </c>
      <c r="AS249" s="41">
        <f t="shared" si="1334"/>
        <v>-100</v>
      </c>
      <c r="AT249" s="43" t="str">
        <f t="shared" si="1335"/>
        <v>NO CONFORME</v>
      </c>
      <c r="AU249" s="8" t="b">
        <f t="shared" si="1257"/>
        <v>1</v>
      </c>
      <c r="AV249" s="8" t="b">
        <f t="shared" si="1258"/>
        <v>0</v>
      </c>
      <c r="AW249" s="8" t="b">
        <f t="shared" si="1259"/>
        <v>1</v>
      </c>
      <c r="AX249" s="8" t="str">
        <f t="shared" si="1260"/>
        <v>Qcorrecto</v>
      </c>
      <c r="AY249" s="22" t="str">
        <f t="shared" si="1240"/>
        <v>aceptable</v>
      </c>
      <c r="AZ249" s="22" t="str">
        <f t="shared" si="1241"/>
        <v>aceptable</v>
      </c>
      <c r="BA249" s="22" t="str">
        <f t="shared" si="1261"/>
        <v>aceptable</v>
      </c>
      <c r="BB249" s="25" t="str">
        <f t="shared" si="1262"/>
        <v>NO CONFORME</v>
      </c>
      <c r="BC249" s="5" t="str">
        <f t="shared" si="1263"/>
        <v>NO CONFORME</v>
      </c>
      <c r="BD249" s="15">
        <f t="shared" si="1242"/>
        <v>-1</v>
      </c>
      <c r="BE249" s="15">
        <f t="shared" si="1243"/>
        <v>-1</v>
      </c>
      <c r="BF249" s="15">
        <f t="shared" si="1244"/>
        <v>-1</v>
      </c>
      <c r="BG249" s="15" t="str">
        <f t="shared" si="1245"/>
        <v>-1-1-1</v>
      </c>
      <c r="BH249" s="15" t="str">
        <f t="shared" si="1246"/>
        <v>SD</v>
      </c>
      <c r="BI249" s="15" t="str">
        <f t="shared" si="1247"/>
        <v>SI</v>
      </c>
      <c r="BJ249" s="15" t="b">
        <f t="shared" si="1248"/>
        <v>1</v>
      </c>
      <c r="BK249" s="15" t="str">
        <f t="shared" si="1249"/>
        <v>SIGIGUALES</v>
      </c>
      <c r="BL249" s="22" t="str">
        <f t="shared" si="1250"/>
        <v>NO CONFORME</v>
      </c>
    </row>
    <row r="250" spans="1:64" ht="15.75" thickBot="1" x14ac:dyDescent="0.3">
      <c r="A250" s="37">
        <v>242</v>
      </c>
      <c r="B250" s="93">
        <f t="shared" ref="B250:E250" si="1566">B249</f>
        <v>45919</v>
      </c>
      <c r="C250" s="93">
        <f t="shared" si="1566"/>
        <v>45919</v>
      </c>
      <c r="D250" s="94">
        <f t="shared" si="1566"/>
        <v>6</v>
      </c>
      <c r="E250" s="95">
        <f t="shared" si="1566"/>
        <v>15</v>
      </c>
      <c r="F250" s="52"/>
      <c r="G250" s="96"/>
      <c r="H250" s="97">
        <f t="shared" ref="H250:L250" si="1567">H249</f>
        <v>25.6</v>
      </c>
      <c r="I250" s="98">
        <f t="shared" si="1567"/>
        <v>0</v>
      </c>
      <c r="J250" s="99">
        <f t="shared" si="1567"/>
        <v>20.9</v>
      </c>
      <c r="K250" s="99">
        <f t="shared" si="1567"/>
        <v>7.883</v>
      </c>
      <c r="L250" s="99">
        <f t="shared" si="1567"/>
        <v>0.55400000000000005</v>
      </c>
      <c r="M250" s="53"/>
      <c r="N250" s="53"/>
      <c r="O250" s="100">
        <f t="shared" ref="O250:P250" si="1568">O249</f>
        <v>100.62</v>
      </c>
      <c r="P250" s="101" t="str">
        <f t="shared" si="1568"/>
        <v>2,29,560</v>
      </c>
      <c r="Q250" s="11" t="str">
        <f t="shared" si="1316"/>
        <v>2</v>
      </c>
      <c r="R250" s="11" t="str">
        <f t="shared" si="1317"/>
        <v>29,560</v>
      </c>
      <c r="S250" s="11">
        <f t="shared" si="1318"/>
        <v>4.1544444444444446E-2</v>
      </c>
      <c r="T250" s="14">
        <f t="shared" si="1319"/>
        <v>2421.9844878309709</v>
      </c>
      <c r="U250" s="39">
        <f t="shared" si="1320"/>
        <v>-100</v>
      </c>
      <c r="V250" s="105">
        <f t="shared" ref="V250:X265" si="1569">V249</f>
        <v>20.399999999999999</v>
      </c>
      <c r="W250" s="105">
        <f t="shared" si="1569"/>
        <v>1.5069999999999999</v>
      </c>
      <c r="X250" s="106">
        <f t="shared" si="1569"/>
        <v>1.504</v>
      </c>
      <c r="Y250" s="53"/>
      <c r="Z250" s="53"/>
      <c r="AA250" s="107">
        <f t="shared" ref="AA250:AB250" si="1570">AA249</f>
        <v>10.015000000000001</v>
      </c>
      <c r="AB250" s="108" t="str">
        <f t="shared" si="1570"/>
        <v>22,10,090</v>
      </c>
      <c r="AC250" s="11" t="str">
        <f t="shared" si="1323"/>
        <v>22</v>
      </c>
      <c r="AD250" s="11" t="str">
        <f t="shared" si="1324"/>
        <v>10,090</v>
      </c>
      <c r="AE250" s="11">
        <f t="shared" si="1325"/>
        <v>0.36946944444444441</v>
      </c>
      <c r="AF250" s="14">
        <f t="shared" si="1326"/>
        <v>27.106436406558959</v>
      </c>
      <c r="AG250" s="41">
        <f t="shared" si="1327"/>
        <v>-100</v>
      </c>
      <c r="AH250" s="105">
        <f t="shared" si="1480"/>
        <v>20.3</v>
      </c>
      <c r="AI250" s="105">
        <f t="shared" si="1480"/>
        <v>1.5089999999999999</v>
      </c>
      <c r="AJ250" s="105">
        <f t="shared" si="1480"/>
        <v>1.504</v>
      </c>
      <c r="AK250" s="53">
        <f t="shared" si="1328"/>
        <v>0</v>
      </c>
      <c r="AL250" s="53"/>
      <c r="AM250" s="54">
        <f t="shared" ref="AM250:AN250" si="1571">AM249</f>
        <v>5.0129999999999999</v>
      </c>
      <c r="AN250" s="101" t="str">
        <f t="shared" si="1571"/>
        <v>17,59,050</v>
      </c>
      <c r="AO250" s="11" t="str">
        <f t="shared" si="1330"/>
        <v>17</v>
      </c>
      <c r="AP250" s="11" t="str">
        <f t="shared" si="1331"/>
        <v>59,050</v>
      </c>
      <c r="AQ250" s="11">
        <f t="shared" si="1332"/>
        <v>0.29973611111111109</v>
      </c>
      <c r="AR250" s="14">
        <f t="shared" si="1333"/>
        <v>16.724711551827998</v>
      </c>
      <c r="AS250" s="41">
        <f t="shared" si="1334"/>
        <v>-100</v>
      </c>
      <c r="AT250" s="43" t="str">
        <f t="shared" si="1335"/>
        <v>NO CONFORME</v>
      </c>
      <c r="AU250" s="8" t="b">
        <f t="shared" si="1257"/>
        <v>1</v>
      </c>
      <c r="AV250" s="8" t="b">
        <f t="shared" si="1258"/>
        <v>0</v>
      </c>
      <c r="AW250" s="8" t="b">
        <f t="shared" si="1259"/>
        <v>1</v>
      </c>
      <c r="AX250" s="8" t="str">
        <f t="shared" si="1260"/>
        <v>Qcorrecto</v>
      </c>
      <c r="AY250" s="22" t="str">
        <f t="shared" si="1240"/>
        <v>aceptable</v>
      </c>
      <c r="AZ250" s="22" t="str">
        <f t="shared" si="1241"/>
        <v>aceptable</v>
      </c>
      <c r="BA250" s="22" t="str">
        <f t="shared" si="1261"/>
        <v>aceptable</v>
      </c>
      <c r="BB250" s="25" t="str">
        <f t="shared" si="1262"/>
        <v>NO CONFORME</v>
      </c>
      <c r="BC250" s="5" t="str">
        <f t="shared" si="1263"/>
        <v>NO CONFORME</v>
      </c>
      <c r="BD250" s="15">
        <f t="shared" si="1242"/>
        <v>-1</v>
      </c>
      <c r="BE250" s="15">
        <f t="shared" si="1243"/>
        <v>-1</v>
      </c>
      <c r="BF250" s="15">
        <f t="shared" si="1244"/>
        <v>-1</v>
      </c>
      <c r="BG250" s="15" t="str">
        <f t="shared" si="1245"/>
        <v>-1-1-1</v>
      </c>
      <c r="BH250" s="15" t="str">
        <f t="shared" si="1246"/>
        <v>SD</v>
      </c>
      <c r="BI250" s="15" t="str">
        <f t="shared" si="1247"/>
        <v>SI</v>
      </c>
      <c r="BJ250" s="15" t="b">
        <f t="shared" si="1248"/>
        <v>1</v>
      </c>
      <c r="BK250" s="15" t="str">
        <f t="shared" si="1249"/>
        <v>SIGIGUALES</v>
      </c>
      <c r="BL250" s="22" t="str">
        <f t="shared" si="1250"/>
        <v>NO CONFORME</v>
      </c>
    </row>
    <row r="251" spans="1:64" ht="15.75" thickBot="1" x14ac:dyDescent="0.3">
      <c r="A251" s="37">
        <v>243</v>
      </c>
      <c r="B251" s="93">
        <f t="shared" ref="B251:E251" si="1572">B250</f>
        <v>45919</v>
      </c>
      <c r="C251" s="93">
        <f t="shared" si="1572"/>
        <v>45919</v>
      </c>
      <c r="D251" s="94">
        <f t="shared" si="1572"/>
        <v>6</v>
      </c>
      <c r="E251" s="95">
        <f t="shared" si="1572"/>
        <v>15</v>
      </c>
      <c r="F251" s="52"/>
      <c r="G251" s="96"/>
      <c r="H251" s="97">
        <f t="shared" ref="H251:L251" si="1573">H250</f>
        <v>25.6</v>
      </c>
      <c r="I251" s="98">
        <f t="shared" si="1573"/>
        <v>0</v>
      </c>
      <c r="J251" s="99">
        <f t="shared" si="1573"/>
        <v>20.9</v>
      </c>
      <c r="K251" s="99">
        <f t="shared" si="1573"/>
        <v>7.883</v>
      </c>
      <c r="L251" s="99">
        <f t="shared" si="1573"/>
        <v>0.55400000000000005</v>
      </c>
      <c r="M251" s="53"/>
      <c r="N251" s="53"/>
      <c r="O251" s="100">
        <f t="shared" ref="O251:P251" si="1574">O250</f>
        <v>100.62</v>
      </c>
      <c r="P251" s="101" t="str">
        <f t="shared" si="1574"/>
        <v>2,29,560</v>
      </c>
      <c r="Q251" s="11" t="str">
        <f t="shared" si="1316"/>
        <v>2</v>
      </c>
      <c r="R251" s="11" t="str">
        <f t="shared" si="1317"/>
        <v>29,560</v>
      </c>
      <c r="S251" s="11">
        <f t="shared" si="1318"/>
        <v>4.1544444444444446E-2</v>
      </c>
      <c r="T251" s="14">
        <f t="shared" si="1319"/>
        <v>2421.9844878309709</v>
      </c>
      <c r="U251" s="39">
        <f t="shared" si="1320"/>
        <v>-100</v>
      </c>
      <c r="V251" s="105">
        <f t="shared" ref="V251:W251" si="1575">V250</f>
        <v>20.399999999999999</v>
      </c>
      <c r="W251" s="105">
        <f t="shared" si="1575"/>
        <v>1.5069999999999999</v>
      </c>
      <c r="X251" s="106">
        <f t="shared" si="1569"/>
        <v>1.504</v>
      </c>
      <c r="Y251" s="53"/>
      <c r="Z251" s="53"/>
      <c r="AA251" s="107">
        <f t="shared" ref="AA251:AB251" si="1576">AA250</f>
        <v>10.015000000000001</v>
      </c>
      <c r="AB251" s="108" t="str">
        <f t="shared" si="1576"/>
        <v>22,10,090</v>
      </c>
      <c r="AC251" s="11" t="str">
        <f t="shared" si="1323"/>
        <v>22</v>
      </c>
      <c r="AD251" s="11" t="str">
        <f t="shared" si="1324"/>
        <v>10,090</v>
      </c>
      <c r="AE251" s="11">
        <f t="shared" si="1325"/>
        <v>0.36946944444444441</v>
      </c>
      <c r="AF251" s="14">
        <f t="shared" si="1326"/>
        <v>27.106436406558959</v>
      </c>
      <c r="AG251" s="41">
        <f t="shared" si="1327"/>
        <v>-100</v>
      </c>
      <c r="AH251" s="105">
        <f t="shared" ref="AH251:AJ266" si="1577">AH250</f>
        <v>20.3</v>
      </c>
      <c r="AI251" s="105">
        <f t="shared" si="1577"/>
        <v>1.5089999999999999</v>
      </c>
      <c r="AJ251" s="105">
        <f t="shared" si="1577"/>
        <v>1.504</v>
      </c>
      <c r="AK251" s="53">
        <f t="shared" si="1328"/>
        <v>0</v>
      </c>
      <c r="AL251" s="53"/>
      <c r="AM251" s="54">
        <f t="shared" ref="AM251:AN251" si="1578">AM250</f>
        <v>5.0129999999999999</v>
      </c>
      <c r="AN251" s="101" t="str">
        <f t="shared" si="1578"/>
        <v>17,59,050</v>
      </c>
      <c r="AO251" s="11" t="str">
        <f t="shared" si="1330"/>
        <v>17</v>
      </c>
      <c r="AP251" s="11" t="str">
        <f t="shared" si="1331"/>
        <v>59,050</v>
      </c>
      <c r="AQ251" s="11">
        <f t="shared" si="1332"/>
        <v>0.29973611111111109</v>
      </c>
      <c r="AR251" s="14">
        <f t="shared" si="1333"/>
        <v>16.724711551827998</v>
      </c>
      <c r="AS251" s="41">
        <f t="shared" si="1334"/>
        <v>-100</v>
      </c>
      <c r="AT251" s="43" t="str">
        <f t="shared" si="1335"/>
        <v>NO CONFORME</v>
      </c>
      <c r="AU251" s="8" t="b">
        <f t="shared" si="1257"/>
        <v>1</v>
      </c>
      <c r="AV251" s="8" t="b">
        <f t="shared" si="1258"/>
        <v>0</v>
      </c>
      <c r="AW251" s="8" t="b">
        <f t="shared" si="1259"/>
        <v>1</v>
      </c>
      <c r="AX251" s="8" t="str">
        <f t="shared" si="1260"/>
        <v>Qcorrecto</v>
      </c>
      <c r="AY251" s="22" t="str">
        <f t="shared" si="1240"/>
        <v>aceptable</v>
      </c>
      <c r="AZ251" s="22" t="str">
        <f t="shared" si="1241"/>
        <v>aceptable</v>
      </c>
      <c r="BA251" s="22" t="str">
        <f t="shared" si="1261"/>
        <v>aceptable</v>
      </c>
      <c r="BB251" s="25" t="str">
        <f t="shared" si="1262"/>
        <v>NO CONFORME</v>
      </c>
      <c r="BC251" s="5" t="str">
        <f t="shared" si="1263"/>
        <v>NO CONFORME</v>
      </c>
      <c r="BD251" s="15">
        <f t="shared" si="1242"/>
        <v>-1</v>
      </c>
      <c r="BE251" s="15">
        <f t="shared" si="1243"/>
        <v>-1</v>
      </c>
      <c r="BF251" s="15">
        <f t="shared" si="1244"/>
        <v>-1</v>
      </c>
      <c r="BG251" s="15" t="str">
        <f t="shared" si="1245"/>
        <v>-1-1-1</v>
      </c>
      <c r="BH251" s="15" t="str">
        <f t="shared" si="1246"/>
        <v>SD</v>
      </c>
      <c r="BI251" s="15" t="str">
        <f t="shared" si="1247"/>
        <v>SI</v>
      </c>
      <c r="BJ251" s="15" t="b">
        <f t="shared" si="1248"/>
        <v>1</v>
      </c>
      <c r="BK251" s="15" t="str">
        <f t="shared" si="1249"/>
        <v>SIGIGUALES</v>
      </c>
      <c r="BL251" s="22" t="str">
        <f t="shared" si="1250"/>
        <v>NO CONFORME</v>
      </c>
    </row>
    <row r="252" spans="1:64" ht="15.75" thickBot="1" x14ac:dyDescent="0.3">
      <c r="A252" s="37">
        <v>244</v>
      </c>
      <c r="B252" s="93">
        <f t="shared" ref="B252:E252" si="1579">B251</f>
        <v>45919</v>
      </c>
      <c r="C252" s="93">
        <f t="shared" si="1579"/>
        <v>45919</v>
      </c>
      <c r="D252" s="94">
        <f t="shared" si="1579"/>
        <v>6</v>
      </c>
      <c r="E252" s="95">
        <f t="shared" si="1579"/>
        <v>15</v>
      </c>
      <c r="F252" s="52"/>
      <c r="G252" s="96"/>
      <c r="H252" s="97">
        <f t="shared" ref="H252:L252" si="1580">H251</f>
        <v>25.6</v>
      </c>
      <c r="I252" s="98">
        <f t="shared" si="1580"/>
        <v>0</v>
      </c>
      <c r="J252" s="99">
        <f t="shared" si="1580"/>
        <v>20.9</v>
      </c>
      <c r="K252" s="99">
        <f t="shared" si="1580"/>
        <v>7.883</v>
      </c>
      <c r="L252" s="99">
        <f t="shared" si="1580"/>
        <v>0.55400000000000005</v>
      </c>
      <c r="M252" s="53"/>
      <c r="N252" s="53"/>
      <c r="O252" s="100">
        <f t="shared" ref="O252:P252" si="1581">O251</f>
        <v>100.62</v>
      </c>
      <c r="P252" s="101" t="str">
        <f t="shared" si="1581"/>
        <v>2,29,560</v>
      </c>
      <c r="Q252" s="11" t="str">
        <f t="shared" si="1316"/>
        <v>2</v>
      </c>
      <c r="R252" s="11" t="str">
        <f t="shared" si="1317"/>
        <v>29,560</v>
      </c>
      <c r="S252" s="11">
        <f t="shared" si="1318"/>
        <v>4.1544444444444446E-2</v>
      </c>
      <c r="T252" s="14">
        <f t="shared" si="1319"/>
        <v>2421.9844878309709</v>
      </c>
      <c r="U252" s="39">
        <f t="shared" si="1320"/>
        <v>-100</v>
      </c>
      <c r="V252" s="105">
        <f t="shared" ref="V252:W252" si="1582">V251</f>
        <v>20.399999999999999</v>
      </c>
      <c r="W252" s="105">
        <f t="shared" si="1582"/>
        <v>1.5069999999999999</v>
      </c>
      <c r="X252" s="106">
        <f t="shared" si="1569"/>
        <v>1.504</v>
      </c>
      <c r="Y252" s="53"/>
      <c r="Z252" s="53"/>
      <c r="AA252" s="107">
        <f t="shared" ref="AA252:AB252" si="1583">AA251</f>
        <v>10.015000000000001</v>
      </c>
      <c r="AB252" s="108" t="str">
        <f t="shared" si="1583"/>
        <v>22,10,090</v>
      </c>
      <c r="AC252" s="11" t="str">
        <f t="shared" si="1323"/>
        <v>22</v>
      </c>
      <c r="AD252" s="11" t="str">
        <f t="shared" si="1324"/>
        <v>10,090</v>
      </c>
      <c r="AE252" s="11">
        <f t="shared" si="1325"/>
        <v>0.36946944444444441</v>
      </c>
      <c r="AF252" s="14">
        <f t="shared" si="1326"/>
        <v>27.106436406558959</v>
      </c>
      <c r="AG252" s="41">
        <f t="shared" si="1327"/>
        <v>-100</v>
      </c>
      <c r="AH252" s="105">
        <f t="shared" si="1577"/>
        <v>20.3</v>
      </c>
      <c r="AI252" s="105">
        <f t="shared" si="1577"/>
        <v>1.5089999999999999</v>
      </c>
      <c r="AJ252" s="105">
        <f t="shared" si="1577"/>
        <v>1.504</v>
      </c>
      <c r="AK252" s="53">
        <f t="shared" si="1328"/>
        <v>0</v>
      </c>
      <c r="AL252" s="53"/>
      <c r="AM252" s="54">
        <f t="shared" ref="AM252:AN252" si="1584">AM251</f>
        <v>5.0129999999999999</v>
      </c>
      <c r="AN252" s="101" t="str">
        <f t="shared" si="1584"/>
        <v>17,59,050</v>
      </c>
      <c r="AO252" s="11" t="str">
        <f t="shared" si="1330"/>
        <v>17</v>
      </c>
      <c r="AP252" s="11" t="str">
        <f t="shared" si="1331"/>
        <v>59,050</v>
      </c>
      <c r="AQ252" s="11">
        <f t="shared" si="1332"/>
        <v>0.29973611111111109</v>
      </c>
      <c r="AR252" s="14">
        <f t="shared" si="1333"/>
        <v>16.724711551827998</v>
      </c>
      <c r="AS252" s="41">
        <f t="shared" si="1334"/>
        <v>-100</v>
      </c>
      <c r="AT252" s="43" t="str">
        <f t="shared" si="1335"/>
        <v>NO CONFORME</v>
      </c>
      <c r="AU252" s="8" t="b">
        <f t="shared" si="1257"/>
        <v>1</v>
      </c>
      <c r="AV252" s="8" t="b">
        <f t="shared" si="1258"/>
        <v>0</v>
      </c>
      <c r="AW252" s="8" t="b">
        <f t="shared" si="1259"/>
        <v>1</v>
      </c>
      <c r="AX252" s="8" t="str">
        <f t="shared" si="1260"/>
        <v>Qcorrecto</v>
      </c>
      <c r="AY252" s="22" t="str">
        <f t="shared" si="1240"/>
        <v>aceptable</v>
      </c>
      <c r="AZ252" s="22" t="str">
        <f t="shared" si="1241"/>
        <v>aceptable</v>
      </c>
      <c r="BA252" s="22" t="str">
        <f t="shared" si="1261"/>
        <v>aceptable</v>
      </c>
      <c r="BB252" s="25" t="str">
        <f t="shared" si="1262"/>
        <v>NO CONFORME</v>
      </c>
      <c r="BC252" s="5" t="str">
        <f t="shared" si="1263"/>
        <v>NO CONFORME</v>
      </c>
      <c r="BD252" s="15">
        <f t="shared" si="1242"/>
        <v>-1</v>
      </c>
      <c r="BE252" s="15">
        <f t="shared" si="1243"/>
        <v>-1</v>
      </c>
      <c r="BF252" s="15">
        <f t="shared" si="1244"/>
        <v>-1</v>
      </c>
      <c r="BG252" s="15" t="str">
        <f t="shared" si="1245"/>
        <v>-1-1-1</v>
      </c>
      <c r="BH252" s="15" t="str">
        <f t="shared" si="1246"/>
        <v>SD</v>
      </c>
      <c r="BI252" s="15" t="str">
        <f t="shared" si="1247"/>
        <v>SI</v>
      </c>
      <c r="BJ252" s="15" t="b">
        <f t="shared" si="1248"/>
        <v>1</v>
      </c>
      <c r="BK252" s="15" t="str">
        <f t="shared" si="1249"/>
        <v>SIGIGUALES</v>
      </c>
      <c r="BL252" s="22" t="str">
        <f t="shared" si="1250"/>
        <v>NO CONFORME</v>
      </c>
    </row>
    <row r="253" spans="1:64" ht="15.75" thickBot="1" x14ac:dyDescent="0.3">
      <c r="A253" s="37">
        <v>245</v>
      </c>
      <c r="B253" s="93">
        <f t="shared" ref="B253:E253" si="1585">B252</f>
        <v>45919</v>
      </c>
      <c r="C253" s="93">
        <f t="shared" si="1585"/>
        <v>45919</v>
      </c>
      <c r="D253" s="94">
        <f t="shared" si="1585"/>
        <v>6</v>
      </c>
      <c r="E253" s="95">
        <f t="shared" si="1585"/>
        <v>15</v>
      </c>
      <c r="F253" s="52"/>
      <c r="G253" s="96"/>
      <c r="H253" s="97">
        <f t="shared" ref="H253:L253" si="1586">H252</f>
        <v>25.6</v>
      </c>
      <c r="I253" s="98">
        <f t="shared" si="1586"/>
        <v>0</v>
      </c>
      <c r="J253" s="99">
        <f t="shared" si="1586"/>
        <v>20.9</v>
      </c>
      <c r="K253" s="99">
        <f t="shared" si="1586"/>
        <v>7.883</v>
      </c>
      <c r="L253" s="99">
        <f t="shared" si="1586"/>
        <v>0.55400000000000005</v>
      </c>
      <c r="M253" s="53"/>
      <c r="N253" s="53"/>
      <c r="O253" s="100">
        <f t="shared" ref="O253:P253" si="1587">O252</f>
        <v>100.62</v>
      </c>
      <c r="P253" s="101" t="str">
        <f t="shared" si="1587"/>
        <v>2,29,560</v>
      </c>
      <c r="Q253" s="11" t="str">
        <f t="shared" si="1316"/>
        <v>2</v>
      </c>
      <c r="R253" s="11" t="str">
        <f t="shared" si="1317"/>
        <v>29,560</v>
      </c>
      <c r="S253" s="11">
        <f t="shared" si="1318"/>
        <v>4.1544444444444446E-2</v>
      </c>
      <c r="T253" s="14">
        <f t="shared" si="1319"/>
        <v>2421.9844878309709</v>
      </c>
      <c r="U253" s="39">
        <f t="shared" si="1320"/>
        <v>-100</v>
      </c>
      <c r="V253" s="105">
        <f t="shared" ref="V253:W253" si="1588">V252</f>
        <v>20.399999999999999</v>
      </c>
      <c r="W253" s="105">
        <f t="shared" si="1588"/>
        <v>1.5069999999999999</v>
      </c>
      <c r="X253" s="106">
        <f t="shared" si="1569"/>
        <v>1.504</v>
      </c>
      <c r="Y253" s="53"/>
      <c r="Z253" s="53"/>
      <c r="AA253" s="107">
        <f t="shared" ref="AA253:AB253" si="1589">AA252</f>
        <v>10.015000000000001</v>
      </c>
      <c r="AB253" s="108" t="str">
        <f t="shared" si="1589"/>
        <v>22,10,090</v>
      </c>
      <c r="AC253" s="11" t="str">
        <f t="shared" si="1323"/>
        <v>22</v>
      </c>
      <c r="AD253" s="11" t="str">
        <f t="shared" si="1324"/>
        <v>10,090</v>
      </c>
      <c r="AE253" s="11">
        <f t="shared" si="1325"/>
        <v>0.36946944444444441</v>
      </c>
      <c r="AF253" s="14">
        <f t="shared" si="1326"/>
        <v>27.106436406558959</v>
      </c>
      <c r="AG253" s="41">
        <f t="shared" si="1327"/>
        <v>-100</v>
      </c>
      <c r="AH253" s="105">
        <f t="shared" si="1577"/>
        <v>20.3</v>
      </c>
      <c r="AI253" s="105">
        <f t="shared" si="1577"/>
        <v>1.5089999999999999</v>
      </c>
      <c r="AJ253" s="105">
        <f t="shared" si="1577"/>
        <v>1.504</v>
      </c>
      <c r="AK253" s="53">
        <f t="shared" si="1328"/>
        <v>0</v>
      </c>
      <c r="AL253" s="53"/>
      <c r="AM253" s="54">
        <f t="shared" ref="AM253:AN253" si="1590">AM252</f>
        <v>5.0129999999999999</v>
      </c>
      <c r="AN253" s="101" t="str">
        <f t="shared" si="1590"/>
        <v>17,59,050</v>
      </c>
      <c r="AO253" s="11" t="str">
        <f t="shared" si="1330"/>
        <v>17</v>
      </c>
      <c r="AP253" s="11" t="str">
        <f t="shared" si="1331"/>
        <v>59,050</v>
      </c>
      <c r="AQ253" s="11">
        <f t="shared" si="1332"/>
        <v>0.29973611111111109</v>
      </c>
      <c r="AR253" s="14">
        <f t="shared" si="1333"/>
        <v>16.724711551827998</v>
      </c>
      <c r="AS253" s="41">
        <f t="shared" si="1334"/>
        <v>-100</v>
      </c>
      <c r="AT253" s="43" t="str">
        <f t="shared" si="1335"/>
        <v>NO CONFORME</v>
      </c>
      <c r="AU253" s="8" t="b">
        <f t="shared" si="1257"/>
        <v>1</v>
      </c>
      <c r="AV253" s="8" t="b">
        <f t="shared" si="1258"/>
        <v>0</v>
      </c>
      <c r="AW253" s="8" t="b">
        <f t="shared" si="1259"/>
        <v>1</v>
      </c>
      <c r="AX253" s="8" t="str">
        <f t="shared" si="1260"/>
        <v>Qcorrecto</v>
      </c>
      <c r="AY253" s="22" t="str">
        <f t="shared" si="1240"/>
        <v>aceptable</v>
      </c>
      <c r="AZ253" s="22" t="str">
        <f t="shared" si="1241"/>
        <v>aceptable</v>
      </c>
      <c r="BA253" s="22" t="str">
        <f t="shared" si="1261"/>
        <v>aceptable</v>
      </c>
      <c r="BB253" s="25" t="str">
        <f t="shared" si="1262"/>
        <v>NO CONFORME</v>
      </c>
      <c r="BC253" s="5" t="str">
        <f t="shared" si="1263"/>
        <v>NO CONFORME</v>
      </c>
      <c r="BD253" s="15">
        <f t="shared" si="1242"/>
        <v>-1</v>
      </c>
      <c r="BE253" s="15">
        <f t="shared" si="1243"/>
        <v>-1</v>
      </c>
      <c r="BF253" s="15">
        <f t="shared" si="1244"/>
        <v>-1</v>
      </c>
      <c r="BG253" s="15" t="str">
        <f t="shared" si="1245"/>
        <v>-1-1-1</v>
      </c>
      <c r="BH253" s="15" t="str">
        <f t="shared" si="1246"/>
        <v>SD</v>
      </c>
      <c r="BI253" s="15" t="str">
        <f t="shared" si="1247"/>
        <v>SI</v>
      </c>
      <c r="BJ253" s="15" t="b">
        <f t="shared" si="1248"/>
        <v>1</v>
      </c>
      <c r="BK253" s="15" t="str">
        <f t="shared" si="1249"/>
        <v>SIGIGUALES</v>
      </c>
      <c r="BL253" s="22" t="str">
        <f t="shared" si="1250"/>
        <v>NO CONFORME</v>
      </c>
    </row>
    <row r="254" spans="1:64" ht="15.75" thickBot="1" x14ac:dyDescent="0.3">
      <c r="A254" s="37">
        <v>246</v>
      </c>
      <c r="B254" s="93">
        <f t="shared" ref="B254:E254" si="1591">B253</f>
        <v>45919</v>
      </c>
      <c r="C254" s="93">
        <f t="shared" si="1591"/>
        <v>45919</v>
      </c>
      <c r="D254" s="94">
        <f t="shared" si="1591"/>
        <v>6</v>
      </c>
      <c r="E254" s="95">
        <f t="shared" si="1591"/>
        <v>15</v>
      </c>
      <c r="F254" s="52"/>
      <c r="G254" s="96"/>
      <c r="H254" s="97">
        <f t="shared" ref="H254:L254" si="1592">H253</f>
        <v>25.6</v>
      </c>
      <c r="I254" s="98">
        <f t="shared" si="1592"/>
        <v>0</v>
      </c>
      <c r="J254" s="99">
        <f t="shared" si="1592"/>
        <v>20.9</v>
      </c>
      <c r="K254" s="99">
        <f t="shared" si="1592"/>
        <v>7.883</v>
      </c>
      <c r="L254" s="99">
        <f t="shared" si="1592"/>
        <v>0.55400000000000005</v>
      </c>
      <c r="M254" s="53"/>
      <c r="N254" s="53"/>
      <c r="O254" s="100">
        <f t="shared" ref="O254:P254" si="1593">O253</f>
        <v>100.62</v>
      </c>
      <c r="P254" s="101" t="str">
        <f t="shared" si="1593"/>
        <v>2,29,560</v>
      </c>
      <c r="Q254" s="11" t="str">
        <f t="shared" si="1316"/>
        <v>2</v>
      </c>
      <c r="R254" s="11" t="str">
        <f t="shared" si="1317"/>
        <v>29,560</v>
      </c>
      <c r="S254" s="11">
        <f t="shared" si="1318"/>
        <v>4.1544444444444446E-2</v>
      </c>
      <c r="T254" s="14">
        <f t="shared" si="1319"/>
        <v>2421.9844878309709</v>
      </c>
      <c r="U254" s="39">
        <f t="shared" si="1320"/>
        <v>-100</v>
      </c>
      <c r="V254" s="105">
        <f t="shared" ref="V254:W254" si="1594">V253</f>
        <v>20.399999999999999</v>
      </c>
      <c r="W254" s="105">
        <f t="shared" si="1594"/>
        <v>1.5069999999999999</v>
      </c>
      <c r="X254" s="106">
        <f t="shared" si="1569"/>
        <v>1.504</v>
      </c>
      <c r="Y254" s="53"/>
      <c r="Z254" s="53"/>
      <c r="AA254" s="107">
        <f t="shared" ref="AA254:AB254" si="1595">AA253</f>
        <v>10.015000000000001</v>
      </c>
      <c r="AB254" s="108" t="str">
        <f t="shared" si="1595"/>
        <v>22,10,090</v>
      </c>
      <c r="AC254" s="11" t="str">
        <f t="shared" si="1323"/>
        <v>22</v>
      </c>
      <c r="AD254" s="11" t="str">
        <f t="shared" si="1324"/>
        <v>10,090</v>
      </c>
      <c r="AE254" s="11">
        <f t="shared" si="1325"/>
        <v>0.36946944444444441</v>
      </c>
      <c r="AF254" s="14">
        <f t="shared" si="1326"/>
        <v>27.106436406558959</v>
      </c>
      <c r="AG254" s="41">
        <f t="shared" si="1327"/>
        <v>-100</v>
      </c>
      <c r="AH254" s="105">
        <f t="shared" si="1577"/>
        <v>20.3</v>
      </c>
      <c r="AI254" s="105">
        <f t="shared" si="1577"/>
        <v>1.5089999999999999</v>
      </c>
      <c r="AJ254" s="105">
        <f t="shared" si="1577"/>
        <v>1.504</v>
      </c>
      <c r="AK254" s="53">
        <f t="shared" si="1328"/>
        <v>0</v>
      </c>
      <c r="AL254" s="53"/>
      <c r="AM254" s="54">
        <f t="shared" ref="AM254:AN254" si="1596">AM253</f>
        <v>5.0129999999999999</v>
      </c>
      <c r="AN254" s="101" t="str">
        <f t="shared" si="1596"/>
        <v>17,59,050</v>
      </c>
      <c r="AO254" s="11" t="str">
        <f t="shared" si="1330"/>
        <v>17</v>
      </c>
      <c r="AP254" s="11" t="str">
        <f t="shared" si="1331"/>
        <v>59,050</v>
      </c>
      <c r="AQ254" s="11">
        <f t="shared" si="1332"/>
        <v>0.29973611111111109</v>
      </c>
      <c r="AR254" s="14">
        <f t="shared" si="1333"/>
        <v>16.724711551827998</v>
      </c>
      <c r="AS254" s="41">
        <f t="shared" si="1334"/>
        <v>-100</v>
      </c>
      <c r="AT254" s="43" t="str">
        <f t="shared" si="1335"/>
        <v>NO CONFORME</v>
      </c>
      <c r="AU254" s="8" t="b">
        <f t="shared" si="1257"/>
        <v>1</v>
      </c>
      <c r="AV254" s="8" t="b">
        <f t="shared" si="1258"/>
        <v>0</v>
      </c>
      <c r="AW254" s="8" t="b">
        <f t="shared" si="1259"/>
        <v>1</v>
      </c>
      <c r="AX254" s="8" t="str">
        <f t="shared" si="1260"/>
        <v>Qcorrecto</v>
      </c>
      <c r="AY254" s="22" t="str">
        <f t="shared" si="1240"/>
        <v>aceptable</v>
      </c>
      <c r="AZ254" s="22" t="str">
        <f t="shared" si="1241"/>
        <v>aceptable</v>
      </c>
      <c r="BA254" s="22" t="str">
        <f t="shared" si="1261"/>
        <v>aceptable</v>
      </c>
      <c r="BB254" s="25" t="str">
        <f t="shared" si="1262"/>
        <v>NO CONFORME</v>
      </c>
      <c r="BC254" s="5" t="str">
        <f t="shared" si="1263"/>
        <v>NO CONFORME</v>
      </c>
      <c r="BD254" s="15">
        <f t="shared" si="1242"/>
        <v>-1</v>
      </c>
      <c r="BE254" s="15">
        <f t="shared" si="1243"/>
        <v>-1</v>
      </c>
      <c r="BF254" s="15">
        <f t="shared" si="1244"/>
        <v>-1</v>
      </c>
      <c r="BG254" s="15" t="str">
        <f t="shared" si="1245"/>
        <v>-1-1-1</v>
      </c>
      <c r="BH254" s="15" t="str">
        <f t="shared" si="1246"/>
        <v>SD</v>
      </c>
      <c r="BI254" s="15" t="str">
        <f t="shared" si="1247"/>
        <v>SI</v>
      </c>
      <c r="BJ254" s="15" t="b">
        <f t="shared" si="1248"/>
        <v>1</v>
      </c>
      <c r="BK254" s="15" t="str">
        <f t="shared" si="1249"/>
        <v>SIGIGUALES</v>
      </c>
      <c r="BL254" s="22" t="str">
        <f t="shared" si="1250"/>
        <v>NO CONFORME</v>
      </c>
    </row>
    <row r="255" spans="1:64" ht="15.75" thickBot="1" x14ac:dyDescent="0.3">
      <c r="A255" s="37">
        <v>247</v>
      </c>
      <c r="B255" s="93">
        <f t="shared" ref="B255:E255" si="1597">B254</f>
        <v>45919</v>
      </c>
      <c r="C255" s="93">
        <f t="shared" si="1597"/>
        <v>45919</v>
      </c>
      <c r="D255" s="94">
        <f t="shared" si="1597"/>
        <v>6</v>
      </c>
      <c r="E255" s="95">
        <f t="shared" si="1597"/>
        <v>15</v>
      </c>
      <c r="F255" s="52"/>
      <c r="G255" s="96"/>
      <c r="H255" s="97">
        <f t="shared" ref="H255:L255" si="1598">H254</f>
        <v>25.6</v>
      </c>
      <c r="I255" s="98">
        <f t="shared" si="1598"/>
        <v>0</v>
      </c>
      <c r="J255" s="99">
        <f t="shared" si="1598"/>
        <v>20.9</v>
      </c>
      <c r="K255" s="99">
        <f t="shared" si="1598"/>
        <v>7.883</v>
      </c>
      <c r="L255" s="99">
        <f t="shared" si="1598"/>
        <v>0.55400000000000005</v>
      </c>
      <c r="M255" s="53"/>
      <c r="N255" s="53"/>
      <c r="O255" s="100">
        <f t="shared" ref="O255:P255" si="1599">O254</f>
        <v>100.62</v>
      </c>
      <c r="P255" s="101" t="str">
        <f t="shared" si="1599"/>
        <v>2,29,560</v>
      </c>
      <c r="Q255" s="11" t="str">
        <f t="shared" si="1316"/>
        <v>2</v>
      </c>
      <c r="R255" s="11" t="str">
        <f t="shared" si="1317"/>
        <v>29,560</v>
      </c>
      <c r="S255" s="11">
        <f t="shared" si="1318"/>
        <v>4.1544444444444446E-2</v>
      </c>
      <c r="T255" s="14">
        <f t="shared" si="1319"/>
        <v>2421.9844878309709</v>
      </c>
      <c r="U255" s="39">
        <f t="shared" si="1320"/>
        <v>-100</v>
      </c>
      <c r="V255" s="105">
        <f t="shared" ref="V255:W255" si="1600">V254</f>
        <v>20.399999999999999</v>
      </c>
      <c r="W255" s="105">
        <f t="shared" si="1600"/>
        <v>1.5069999999999999</v>
      </c>
      <c r="X255" s="106">
        <f t="shared" si="1569"/>
        <v>1.504</v>
      </c>
      <c r="Y255" s="53"/>
      <c r="Z255" s="53"/>
      <c r="AA255" s="107">
        <f t="shared" ref="AA255:AB255" si="1601">AA254</f>
        <v>10.015000000000001</v>
      </c>
      <c r="AB255" s="108" t="str">
        <f t="shared" si="1601"/>
        <v>22,10,090</v>
      </c>
      <c r="AC255" s="11" t="str">
        <f t="shared" si="1323"/>
        <v>22</v>
      </c>
      <c r="AD255" s="11" t="str">
        <f t="shared" si="1324"/>
        <v>10,090</v>
      </c>
      <c r="AE255" s="11">
        <f t="shared" si="1325"/>
        <v>0.36946944444444441</v>
      </c>
      <c r="AF255" s="14">
        <f t="shared" si="1326"/>
        <v>27.106436406558959</v>
      </c>
      <c r="AG255" s="41">
        <f t="shared" si="1327"/>
        <v>-100</v>
      </c>
      <c r="AH255" s="105">
        <f t="shared" si="1577"/>
        <v>20.3</v>
      </c>
      <c r="AI255" s="105">
        <f t="shared" si="1577"/>
        <v>1.5089999999999999</v>
      </c>
      <c r="AJ255" s="105">
        <f t="shared" si="1577"/>
        <v>1.504</v>
      </c>
      <c r="AK255" s="53">
        <f t="shared" si="1328"/>
        <v>0</v>
      </c>
      <c r="AL255" s="53"/>
      <c r="AM255" s="54">
        <f t="shared" ref="AM255:AN255" si="1602">AM254</f>
        <v>5.0129999999999999</v>
      </c>
      <c r="AN255" s="101" t="str">
        <f t="shared" si="1602"/>
        <v>17,59,050</v>
      </c>
      <c r="AO255" s="11" t="str">
        <f t="shared" si="1330"/>
        <v>17</v>
      </c>
      <c r="AP255" s="11" t="str">
        <f t="shared" si="1331"/>
        <v>59,050</v>
      </c>
      <c r="AQ255" s="11">
        <f t="shared" si="1332"/>
        <v>0.29973611111111109</v>
      </c>
      <c r="AR255" s="14">
        <f t="shared" si="1333"/>
        <v>16.724711551827998</v>
      </c>
      <c r="AS255" s="41">
        <f t="shared" si="1334"/>
        <v>-100</v>
      </c>
      <c r="AT255" s="43" t="str">
        <f t="shared" si="1335"/>
        <v>NO CONFORME</v>
      </c>
      <c r="AU255" s="8" t="b">
        <f t="shared" si="1257"/>
        <v>1</v>
      </c>
      <c r="AV255" s="8" t="b">
        <f t="shared" si="1258"/>
        <v>0</v>
      </c>
      <c r="AW255" s="8" t="b">
        <f t="shared" si="1259"/>
        <v>1</v>
      </c>
      <c r="AX255" s="8" t="str">
        <f t="shared" si="1260"/>
        <v>Qcorrecto</v>
      </c>
      <c r="AY255" s="22" t="str">
        <f t="shared" si="1240"/>
        <v>aceptable</v>
      </c>
      <c r="AZ255" s="22" t="str">
        <f t="shared" si="1241"/>
        <v>aceptable</v>
      </c>
      <c r="BA255" s="22" t="str">
        <f t="shared" si="1261"/>
        <v>aceptable</v>
      </c>
      <c r="BB255" s="25" t="str">
        <f t="shared" si="1262"/>
        <v>NO CONFORME</v>
      </c>
      <c r="BC255" s="5" t="str">
        <f t="shared" si="1263"/>
        <v>NO CONFORME</v>
      </c>
      <c r="BD255" s="15">
        <f t="shared" si="1242"/>
        <v>-1</v>
      </c>
      <c r="BE255" s="15">
        <f t="shared" si="1243"/>
        <v>-1</v>
      </c>
      <c r="BF255" s="15">
        <f t="shared" si="1244"/>
        <v>-1</v>
      </c>
      <c r="BG255" s="15" t="str">
        <f t="shared" si="1245"/>
        <v>-1-1-1</v>
      </c>
      <c r="BH255" s="15" t="str">
        <f t="shared" si="1246"/>
        <v>SD</v>
      </c>
      <c r="BI255" s="15" t="str">
        <f t="shared" si="1247"/>
        <v>SI</v>
      </c>
      <c r="BJ255" s="15" t="b">
        <f t="shared" si="1248"/>
        <v>1</v>
      </c>
      <c r="BK255" s="15" t="str">
        <f t="shared" si="1249"/>
        <v>SIGIGUALES</v>
      </c>
      <c r="BL255" s="22" t="str">
        <f t="shared" si="1250"/>
        <v>NO CONFORME</v>
      </c>
    </row>
    <row r="256" spans="1:64" ht="15.75" thickBot="1" x14ac:dyDescent="0.3">
      <c r="A256" s="37">
        <v>248</v>
      </c>
      <c r="B256" s="93">
        <f t="shared" ref="B256:E256" si="1603">B255</f>
        <v>45919</v>
      </c>
      <c r="C256" s="93">
        <f t="shared" si="1603"/>
        <v>45919</v>
      </c>
      <c r="D256" s="94">
        <f t="shared" si="1603"/>
        <v>6</v>
      </c>
      <c r="E256" s="95">
        <f t="shared" si="1603"/>
        <v>15</v>
      </c>
      <c r="F256" s="52"/>
      <c r="G256" s="96"/>
      <c r="H256" s="97">
        <f t="shared" ref="H256:L256" si="1604">H255</f>
        <v>25.6</v>
      </c>
      <c r="I256" s="98">
        <f t="shared" si="1604"/>
        <v>0</v>
      </c>
      <c r="J256" s="99">
        <f t="shared" si="1604"/>
        <v>20.9</v>
      </c>
      <c r="K256" s="99">
        <f t="shared" si="1604"/>
        <v>7.883</v>
      </c>
      <c r="L256" s="99">
        <f t="shared" si="1604"/>
        <v>0.55400000000000005</v>
      </c>
      <c r="M256" s="53"/>
      <c r="N256" s="53"/>
      <c r="O256" s="100">
        <f t="shared" ref="O256:P256" si="1605">O255</f>
        <v>100.62</v>
      </c>
      <c r="P256" s="101" t="str">
        <f t="shared" si="1605"/>
        <v>2,29,560</v>
      </c>
      <c r="Q256" s="11" t="str">
        <f t="shared" si="1316"/>
        <v>2</v>
      </c>
      <c r="R256" s="11" t="str">
        <f t="shared" si="1317"/>
        <v>29,560</v>
      </c>
      <c r="S256" s="11">
        <f t="shared" si="1318"/>
        <v>4.1544444444444446E-2</v>
      </c>
      <c r="T256" s="14">
        <f t="shared" si="1319"/>
        <v>2421.9844878309709</v>
      </c>
      <c r="U256" s="39">
        <f t="shared" si="1320"/>
        <v>-100</v>
      </c>
      <c r="V256" s="105">
        <f t="shared" ref="V256:W256" si="1606">V255</f>
        <v>20.399999999999999</v>
      </c>
      <c r="W256" s="105">
        <f t="shared" si="1606"/>
        <v>1.5069999999999999</v>
      </c>
      <c r="X256" s="106">
        <f t="shared" si="1569"/>
        <v>1.504</v>
      </c>
      <c r="Y256" s="53"/>
      <c r="Z256" s="53"/>
      <c r="AA256" s="107">
        <f t="shared" ref="AA256:AB256" si="1607">AA255</f>
        <v>10.015000000000001</v>
      </c>
      <c r="AB256" s="108" t="str">
        <f t="shared" si="1607"/>
        <v>22,10,090</v>
      </c>
      <c r="AC256" s="11" t="str">
        <f t="shared" si="1323"/>
        <v>22</v>
      </c>
      <c r="AD256" s="11" t="str">
        <f t="shared" si="1324"/>
        <v>10,090</v>
      </c>
      <c r="AE256" s="11">
        <f t="shared" si="1325"/>
        <v>0.36946944444444441</v>
      </c>
      <c r="AF256" s="14">
        <f t="shared" si="1326"/>
        <v>27.106436406558959</v>
      </c>
      <c r="AG256" s="41">
        <f t="shared" si="1327"/>
        <v>-100</v>
      </c>
      <c r="AH256" s="105">
        <f t="shared" si="1577"/>
        <v>20.3</v>
      </c>
      <c r="AI256" s="105">
        <f t="shared" si="1577"/>
        <v>1.5089999999999999</v>
      </c>
      <c r="AJ256" s="105">
        <f t="shared" si="1577"/>
        <v>1.504</v>
      </c>
      <c r="AK256" s="53">
        <f t="shared" si="1328"/>
        <v>0</v>
      </c>
      <c r="AL256" s="53"/>
      <c r="AM256" s="54">
        <f t="shared" ref="AM256:AN256" si="1608">AM255</f>
        <v>5.0129999999999999</v>
      </c>
      <c r="AN256" s="101" t="str">
        <f t="shared" si="1608"/>
        <v>17,59,050</v>
      </c>
      <c r="AO256" s="11" t="str">
        <f t="shared" si="1330"/>
        <v>17</v>
      </c>
      <c r="AP256" s="11" t="str">
        <f t="shared" si="1331"/>
        <v>59,050</v>
      </c>
      <c r="AQ256" s="11">
        <f t="shared" si="1332"/>
        <v>0.29973611111111109</v>
      </c>
      <c r="AR256" s="14">
        <f t="shared" si="1333"/>
        <v>16.724711551827998</v>
      </c>
      <c r="AS256" s="41">
        <f t="shared" si="1334"/>
        <v>-100</v>
      </c>
      <c r="AT256" s="43" t="str">
        <f t="shared" si="1335"/>
        <v>NO CONFORME</v>
      </c>
      <c r="AU256" s="8" t="b">
        <f t="shared" si="1257"/>
        <v>1</v>
      </c>
      <c r="AV256" s="8" t="b">
        <f t="shared" si="1258"/>
        <v>0</v>
      </c>
      <c r="AW256" s="8" t="b">
        <f t="shared" si="1259"/>
        <v>1</v>
      </c>
      <c r="AX256" s="8" t="str">
        <f t="shared" si="1260"/>
        <v>Qcorrecto</v>
      </c>
      <c r="AY256" s="22" t="str">
        <f t="shared" si="1240"/>
        <v>aceptable</v>
      </c>
      <c r="AZ256" s="22" t="str">
        <f t="shared" si="1241"/>
        <v>aceptable</v>
      </c>
      <c r="BA256" s="22" t="str">
        <f t="shared" si="1261"/>
        <v>aceptable</v>
      </c>
      <c r="BB256" s="25" t="str">
        <f t="shared" si="1262"/>
        <v>NO CONFORME</v>
      </c>
      <c r="BC256" s="5" t="str">
        <f t="shared" si="1263"/>
        <v>NO CONFORME</v>
      </c>
      <c r="BD256" s="15">
        <f t="shared" si="1242"/>
        <v>-1</v>
      </c>
      <c r="BE256" s="15">
        <f t="shared" si="1243"/>
        <v>-1</v>
      </c>
      <c r="BF256" s="15">
        <f t="shared" si="1244"/>
        <v>-1</v>
      </c>
      <c r="BG256" s="15" t="str">
        <f t="shared" si="1245"/>
        <v>-1-1-1</v>
      </c>
      <c r="BH256" s="15" t="str">
        <f t="shared" si="1246"/>
        <v>SD</v>
      </c>
      <c r="BI256" s="15" t="str">
        <f t="shared" si="1247"/>
        <v>SI</v>
      </c>
      <c r="BJ256" s="15" t="b">
        <f t="shared" si="1248"/>
        <v>1</v>
      </c>
      <c r="BK256" s="15" t="str">
        <f t="shared" si="1249"/>
        <v>SIGIGUALES</v>
      </c>
      <c r="BL256" s="22" t="str">
        <f t="shared" si="1250"/>
        <v>NO CONFORME</v>
      </c>
    </row>
    <row r="257" spans="1:64" ht="15.75" thickBot="1" x14ac:dyDescent="0.3">
      <c r="A257" s="37">
        <v>249</v>
      </c>
      <c r="B257" s="93">
        <f t="shared" ref="B257:E257" si="1609">B256</f>
        <v>45919</v>
      </c>
      <c r="C257" s="93">
        <f t="shared" si="1609"/>
        <v>45919</v>
      </c>
      <c r="D257" s="94">
        <f t="shared" si="1609"/>
        <v>6</v>
      </c>
      <c r="E257" s="95">
        <f t="shared" si="1609"/>
        <v>15</v>
      </c>
      <c r="F257" s="52"/>
      <c r="G257" s="96"/>
      <c r="H257" s="97">
        <f t="shared" ref="H257:L257" si="1610">H256</f>
        <v>25.6</v>
      </c>
      <c r="I257" s="98">
        <f t="shared" si="1610"/>
        <v>0</v>
      </c>
      <c r="J257" s="99">
        <f t="shared" si="1610"/>
        <v>20.9</v>
      </c>
      <c r="K257" s="99">
        <f t="shared" si="1610"/>
        <v>7.883</v>
      </c>
      <c r="L257" s="99">
        <f t="shared" si="1610"/>
        <v>0.55400000000000005</v>
      </c>
      <c r="M257" s="53"/>
      <c r="N257" s="53"/>
      <c r="O257" s="100">
        <f t="shared" ref="O257:P257" si="1611">O256</f>
        <v>100.62</v>
      </c>
      <c r="P257" s="101" t="str">
        <f t="shared" si="1611"/>
        <v>2,29,560</v>
      </c>
      <c r="Q257" s="11" t="str">
        <f t="shared" si="1316"/>
        <v>2</v>
      </c>
      <c r="R257" s="11" t="str">
        <f t="shared" si="1317"/>
        <v>29,560</v>
      </c>
      <c r="S257" s="11">
        <f t="shared" si="1318"/>
        <v>4.1544444444444446E-2</v>
      </c>
      <c r="T257" s="14">
        <f t="shared" si="1319"/>
        <v>2421.9844878309709</v>
      </c>
      <c r="U257" s="39">
        <f t="shared" si="1320"/>
        <v>-100</v>
      </c>
      <c r="V257" s="105">
        <f t="shared" ref="V257:W257" si="1612">V256</f>
        <v>20.399999999999999</v>
      </c>
      <c r="W257" s="105">
        <f t="shared" si="1612"/>
        <v>1.5069999999999999</v>
      </c>
      <c r="X257" s="106">
        <f t="shared" si="1569"/>
        <v>1.504</v>
      </c>
      <c r="Y257" s="53"/>
      <c r="Z257" s="53"/>
      <c r="AA257" s="107">
        <f t="shared" ref="AA257:AB257" si="1613">AA256</f>
        <v>10.015000000000001</v>
      </c>
      <c r="AB257" s="108" t="str">
        <f t="shared" si="1613"/>
        <v>22,10,090</v>
      </c>
      <c r="AC257" s="11" t="str">
        <f t="shared" si="1323"/>
        <v>22</v>
      </c>
      <c r="AD257" s="11" t="str">
        <f t="shared" si="1324"/>
        <v>10,090</v>
      </c>
      <c r="AE257" s="11">
        <f t="shared" si="1325"/>
        <v>0.36946944444444441</v>
      </c>
      <c r="AF257" s="14">
        <f t="shared" si="1326"/>
        <v>27.106436406558959</v>
      </c>
      <c r="AG257" s="41">
        <f t="shared" si="1327"/>
        <v>-100</v>
      </c>
      <c r="AH257" s="105">
        <f t="shared" si="1577"/>
        <v>20.3</v>
      </c>
      <c r="AI257" s="105">
        <f t="shared" si="1577"/>
        <v>1.5089999999999999</v>
      </c>
      <c r="AJ257" s="105">
        <f t="shared" si="1577"/>
        <v>1.504</v>
      </c>
      <c r="AK257" s="53">
        <f t="shared" si="1328"/>
        <v>0</v>
      </c>
      <c r="AL257" s="53"/>
      <c r="AM257" s="54">
        <f t="shared" ref="AM257:AN257" si="1614">AM256</f>
        <v>5.0129999999999999</v>
      </c>
      <c r="AN257" s="101" t="str">
        <f t="shared" si="1614"/>
        <v>17,59,050</v>
      </c>
      <c r="AO257" s="11" t="str">
        <f t="shared" si="1330"/>
        <v>17</v>
      </c>
      <c r="AP257" s="11" t="str">
        <f t="shared" si="1331"/>
        <v>59,050</v>
      </c>
      <c r="AQ257" s="11">
        <f t="shared" si="1332"/>
        <v>0.29973611111111109</v>
      </c>
      <c r="AR257" s="14">
        <f t="shared" si="1333"/>
        <v>16.724711551827998</v>
      </c>
      <c r="AS257" s="41">
        <f t="shared" si="1334"/>
        <v>-100</v>
      </c>
      <c r="AT257" s="43" t="str">
        <f t="shared" si="1335"/>
        <v>NO CONFORME</v>
      </c>
      <c r="AU257" s="8" t="b">
        <f t="shared" si="1257"/>
        <v>1</v>
      </c>
      <c r="AV257" s="8" t="b">
        <f t="shared" si="1258"/>
        <v>0</v>
      </c>
      <c r="AW257" s="8" t="b">
        <f t="shared" si="1259"/>
        <v>1</v>
      </c>
      <c r="AX257" s="8" t="str">
        <f t="shared" si="1260"/>
        <v>Qcorrecto</v>
      </c>
      <c r="AY257" s="22" t="str">
        <f t="shared" si="1240"/>
        <v>aceptable</v>
      </c>
      <c r="AZ257" s="22" t="str">
        <f t="shared" si="1241"/>
        <v>aceptable</v>
      </c>
      <c r="BA257" s="22" t="str">
        <f t="shared" si="1261"/>
        <v>aceptable</v>
      </c>
      <c r="BB257" s="25" t="str">
        <f t="shared" si="1262"/>
        <v>NO CONFORME</v>
      </c>
      <c r="BC257" s="5" t="str">
        <f t="shared" si="1263"/>
        <v>NO CONFORME</v>
      </c>
      <c r="BD257" s="15">
        <f t="shared" si="1242"/>
        <v>-1</v>
      </c>
      <c r="BE257" s="15">
        <f t="shared" si="1243"/>
        <v>-1</v>
      </c>
      <c r="BF257" s="15">
        <f t="shared" si="1244"/>
        <v>-1</v>
      </c>
      <c r="BG257" s="15" t="str">
        <f t="shared" si="1245"/>
        <v>-1-1-1</v>
      </c>
      <c r="BH257" s="15" t="str">
        <f t="shared" si="1246"/>
        <v>SD</v>
      </c>
      <c r="BI257" s="15" t="str">
        <f t="shared" si="1247"/>
        <v>SI</v>
      </c>
      <c r="BJ257" s="15" t="b">
        <f t="shared" si="1248"/>
        <v>1</v>
      </c>
      <c r="BK257" s="15" t="str">
        <f t="shared" si="1249"/>
        <v>SIGIGUALES</v>
      </c>
      <c r="BL257" s="22" t="str">
        <f t="shared" si="1250"/>
        <v>NO CONFORME</v>
      </c>
    </row>
    <row r="258" spans="1:64" ht="15.75" thickBot="1" x14ac:dyDescent="0.3">
      <c r="A258" s="37">
        <v>250</v>
      </c>
      <c r="B258" s="93">
        <f t="shared" ref="B258:E258" si="1615">B257</f>
        <v>45919</v>
      </c>
      <c r="C258" s="93">
        <f t="shared" si="1615"/>
        <v>45919</v>
      </c>
      <c r="D258" s="94">
        <f t="shared" si="1615"/>
        <v>6</v>
      </c>
      <c r="E258" s="95">
        <f t="shared" si="1615"/>
        <v>15</v>
      </c>
      <c r="F258" s="52"/>
      <c r="G258" s="96"/>
      <c r="H258" s="97">
        <f t="shared" ref="H258:L258" si="1616">H257</f>
        <v>25.6</v>
      </c>
      <c r="I258" s="98">
        <f t="shared" si="1616"/>
        <v>0</v>
      </c>
      <c r="J258" s="99">
        <f t="shared" si="1616"/>
        <v>20.9</v>
      </c>
      <c r="K258" s="99">
        <f t="shared" si="1616"/>
        <v>7.883</v>
      </c>
      <c r="L258" s="99">
        <f t="shared" si="1616"/>
        <v>0.55400000000000005</v>
      </c>
      <c r="M258" s="53"/>
      <c r="N258" s="53"/>
      <c r="O258" s="100">
        <f t="shared" ref="O258:P258" si="1617">O257</f>
        <v>100.62</v>
      </c>
      <c r="P258" s="101" t="str">
        <f t="shared" si="1617"/>
        <v>2,29,560</v>
      </c>
      <c r="Q258" s="11" t="str">
        <f t="shared" si="1316"/>
        <v>2</v>
      </c>
      <c r="R258" s="11" t="str">
        <f t="shared" si="1317"/>
        <v>29,560</v>
      </c>
      <c r="S258" s="11">
        <f t="shared" si="1318"/>
        <v>4.1544444444444446E-2</v>
      </c>
      <c r="T258" s="14">
        <f t="shared" si="1319"/>
        <v>2421.9844878309709</v>
      </c>
      <c r="U258" s="39">
        <f t="shared" si="1320"/>
        <v>-100</v>
      </c>
      <c r="V258" s="105">
        <f t="shared" ref="V258:W258" si="1618">V257</f>
        <v>20.399999999999999</v>
      </c>
      <c r="W258" s="105">
        <f t="shared" si="1618"/>
        <v>1.5069999999999999</v>
      </c>
      <c r="X258" s="106">
        <f t="shared" si="1569"/>
        <v>1.504</v>
      </c>
      <c r="Y258" s="53"/>
      <c r="Z258" s="53"/>
      <c r="AA258" s="107">
        <f t="shared" ref="AA258:AB258" si="1619">AA257</f>
        <v>10.015000000000001</v>
      </c>
      <c r="AB258" s="108" t="str">
        <f t="shared" si="1619"/>
        <v>22,10,090</v>
      </c>
      <c r="AC258" s="11" t="str">
        <f t="shared" si="1323"/>
        <v>22</v>
      </c>
      <c r="AD258" s="11" t="str">
        <f t="shared" si="1324"/>
        <v>10,090</v>
      </c>
      <c r="AE258" s="11">
        <f t="shared" si="1325"/>
        <v>0.36946944444444441</v>
      </c>
      <c r="AF258" s="14">
        <f t="shared" si="1326"/>
        <v>27.106436406558959</v>
      </c>
      <c r="AG258" s="41">
        <f t="shared" si="1327"/>
        <v>-100</v>
      </c>
      <c r="AH258" s="105">
        <f t="shared" si="1577"/>
        <v>20.3</v>
      </c>
      <c r="AI258" s="105">
        <f t="shared" si="1577"/>
        <v>1.5089999999999999</v>
      </c>
      <c r="AJ258" s="105">
        <f t="shared" si="1577"/>
        <v>1.504</v>
      </c>
      <c r="AK258" s="53">
        <f t="shared" si="1328"/>
        <v>0</v>
      </c>
      <c r="AL258" s="53"/>
      <c r="AM258" s="54">
        <f t="shared" ref="AM258:AN258" si="1620">AM257</f>
        <v>5.0129999999999999</v>
      </c>
      <c r="AN258" s="101" t="str">
        <f t="shared" si="1620"/>
        <v>17,59,050</v>
      </c>
      <c r="AO258" s="11" t="str">
        <f t="shared" si="1330"/>
        <v>17</v>
      </c>
      <c r="AP258" s="11" t="str">
        <f t="shared" si="1331"/>
        <v>59,050</v>
      </c>
      <c r="AQ258" s="11">
        <f t="shared" si="1332"/>
        <v>0.29973611111111109</v>
      </c>
      <c r="AR258" s="14">
        <f t="shared" si="1333"/>
        <v>16.724711551827998</v>
      </c>
      <c r="AS258" s="41">
        <f t="shared" si="1334"/>
        <v>-100</v>
      </c>
      <c r="AT258" s="43" t="str">
        <f t="shared" si="1335"/>
        <v>NO CONFORME</v>
      </c>
      <c r="AU258" s="8" t="b">
        <f t="shared" si="1257"/>
        <v>1</v>
      </c>
      <c r="AV258" s="8" t="b">
        <f t="shared" si="1258"/>
        <v>0</v>
      </c>
      <c r="AW258" s="8" t="b">
        <f t="shared" si="1259"/>
        <v>1</v>
      </c>
      <c r="AX258" s="8" t="str">
        <f t="shared" si="1260"/>
        <v>Qcorrecto</v>
      </c>
      <c r="AY258" s="22" t="str">
        <f t="shared" si="1240"/>
        <v>aceptable</v>
      </c>
      <c r="AZ258" s="22" t="str">
        <f t="shared" si="1241"/>
        <v>aceptable</v>
      </c>
      <c r="BA258" s="22" t="str">
        <f t="shared" si="1261"/>
        <v>aceptable</v>
      </c>
      <c r="BB258" s="25" t="str">
        <f t="shared" si="1262"/>
        <v>NO CONFORME</v>
      </c>
      <c r="BC258" s="5" t="str">
        <f t="shared" si="1263"/>
        <v>NO CONFORME</v>
      </c>
      <c r="BD258" s="15">
        <f t="shared" si="1242"/>
        <v>-1</v>
      </c>
      <c r="BE258" s="15">
        <f t="shared" si="1243"/>
        <v>-1</v>
      </c>
      <c r="BF258" s="15">
        <f t="shared" si="1244"/>
        <v>-1</v>
      </c>
      <c r="BG258" s="15" t="str">
        <f t="shared" si="1245"/>
        <v>-1-1-1</v>
      </c>
      <c r="BH258" s="15" t="str">
        <f t="shared" si="1246"/>
        <v>SD</v>
      </c>
      <c r="BI258" s="15" t="str">
        <f t="shared" si="1247"/>
        <v>SI</v>
      </c>
      <c r="BJ258" s="15" t="b">
        <f t="shared" si="1248"/>
        <v>1</v>
      </c>
      <c r="BK258" s="15" t="str">
        <f t="shared" si="1249"/>
        <v>SIGIGUALES</v>
      </c>
      <c r="BL258" s="22" t="str">
        <f t="shared" si="1250"/>
        <v>NO CONFORME</v>
      </c>
    </row>
    <row r="259" spans="1:64" ht="15.75" thickBot="1" x14ac:dyDescent="0.3">
      <c r="A259" s="37">
        <v>251</v>
      </c>
      <c r="B259" s="93">
        <f t="shared" ref="B259:E259" si="1621">B258</f>
        <v>45919</v>
      </c>
      <c r="C259" s="93">
        <f t="shared" si="1621"/>
        <v>45919</v>
      </c>
      <c r="D259" s="94">
        <f t="shared" si="1621"/>
        <v>6</v>
      </c>
      <c r="E259" s="95">
        <f t="shared" si="1621"/>
        <v>15</v>
      </c>
      <c r="F259" s="52"/>
      <c r="G259" s="96"/>
      <c r="H259" s="97">
        <f t="shared" ref="H259:L259" si="1622">H258</f>
        <v>25.6</v>
      </c>
      <c r="I259" s="98">
        <f t="shared" si="1622"/>
        <v>0</v>
      </c>
      <c r="J259" s="99">
        <f t="shared" si="1622"/>
        <v>20.9</v>
      </c>
      <c r="K259" s="99">
        <f t="shared" si="1622"/>
        <v>7.883</v>
      </c>
      <c r="L259" s="99">
        <f t="shared" si="1622"/>
        <v>0.55400000000000005</v>
      </c>
      <c r="M259" s="53"/>
      <c r="N259" s="53"/>
      <c r="O259" s="100">
        <f t="shared" ref="O259:P259" si="1623">O258</f>
        <v>100.62</v>
      </c>
      <c r="P259" s="101" t="str">
        <f t="shared" si="1623"/>
        <v>2,29,560</v>
      </c>
      <c r="Q259" s="11" t="str">
        <f t="shared" si="1316"/>
        <v>2</v>
      </c>
      <c r="R259" s="11" t="str">
        <f t="shared" si="1317"/>
        <v>29,560</v>
      </c>
      <c r="S259" s="11">
        <f t="shared" si="1318"/>
        <v>4.1544444444444446E-2</v>
      </c>
      <c r="T259" s="14">
        <f t="shared" si="1319"/>
        <v>2421.9844878309709</v>
      </c>
      <c r="U259" s="39">
        <f t="shared" si="1320"/>
        <v>-100</v>
      </c>
      <c r="V259" s="105">
        <f t="shared" ref="V259:W259" si="1624">V258</f>
        <v>20.399999999999999</v>
      </c>
      <c r="W259" s="105">
        <f t="shared" si="1624"/>
        <v>1.5069999999999999</v>
      </c>
      <c r="X259" s="106">
        <f t="shared" si="1569"/>
        <v>1.504</v>
      </c>
      <c r="Y259" s="53"/>
      <c r="Z259" s="53"/>
      <c r="AA259" s="107">
        <f t="shared" ref="AA259:AB259" si="1625">AA258</f>
        <v>10.015000000000001</v>
      </c>
      <c r="AB259" s="108" t="str">
        <f t="shared" si="1625"/>
        <v>22,10,090</v>
      </c>
      <c r="AC259" s="11" t="str">
        <f t="shared" si="1323"/>
        <v>22</v>
      </c>
      <c r="AD259" s="11" t="str">
        <f t="shared" si="1324"/>
        <v>10,090</v>
      </c>
      <c r="AE259" s="11">
        <f t="shared" si="1325"/>
        <v>0.36946944444444441</v>
      </c>
      <c r="AF259" s="14">
        <f t="shared" si="1326"/>
        <v>27.106436406558959</v>
      </c>
      <c r="AG259" s="41">
        <f t="shared" si="1327"/>
        <v>-100</v>
      </c>
      <c r="AH259" s="105">
        <f t="shared" si="1577"/>
        <v>20.3</v>
      </c>
      <c r="AI259" s="105">
        <f t="shared" si="1577"/>
        <v>1.5089999999999999</v>
      </c>
      <c r="AJ259" s="105">
        <f t="shared" si="1577"/>
        <v>1.504</v>
      </c>
      <c r="AK259" s="53">
        <f t="shared" si="1328"/>
        <v>0</v>
      </c>
      <c r="AL259" s="53"/>
      <c r="AM259" s="54">
        <f t="shared" ref="AM259:AN259" si="1626">AM258</f>
        <v>5.0129999999999999</v>
      </c>
      <c r="AN259" s="101" t="str">
        <f t="shared" si="1626"/>
        <v>17,59,050</v>
      </c>
      <c r="AO259" s="11" t="str">
        <f t="shared" si="1330"/>
        <v>17</v>
      </c>
      <c r="AP259" s="11" t="str">
        <f t="shared" si="1331"/>
        <v>59,050</v>
      </c>
      <c r="AQ259" s="11">
        <f t="shared" si="1332"/>
        <v>0.29973611111111109</v>
      </c>
      <c r="AR259" s="14">
        <f t="shared" si="1333"/>
        <v>16.724711551827998</v>
      </c>
      <c r="AS259" s="41">
        <f t="shared" si="1334"/>
        <v>-100</v>
      </c>
      <c r="AT259" s="43" t="str">
        <f t="shared" si="1335"/>
        <v>NO CONFORME</v>
      </c>
      <c r="AU259" s="8" t="b">
        <f t="shared" si="1257"/>
        <v>1</v>
      </c>
      <c r="AV259" s="8" t="b">
        <f t="shared" si="1258"/>
        <v>0</v>
      </c>
      <c r="AW259" s="8" t="b">
        <f t="shared" si="1259"/>
        <v>1</v>
      </c>
      <c r="AX259" s="8" t="str">
        <f t="shared" si="1260"/>
        <v>Qcorrecto</v>
      </c>
      <c r="AY259" s="22" t="str">
        <f t="shared" si="1240"/>
        <v>aceptable</v>
      </c>
      <c r="AZ259" s="22" t="str">
        <f t="shared" si="1241"/>
        <v>aceptable</v>
      </c>
      <c r="BA259" s="22" t="str">
        <f t="shared" si="1261"/>
        <v>aceptable</v>
      </c>
      <c r="BB259" s="25" t="str">
        <f t="shared" si="1262"/>
        <v>NO CONFORME</v>
      </c>
      <c r="BC259" s="5" t="str">
        <f t="shared" si="1263"/>
        <v>NO CONFORME</v>
      </c>
      <c r="BD259" s="15">
        <f t="shared" si="1242"/>
        <v>-1</v>
      </c>
      <c r="BE259" s="15">
        <f t="shared" si="1243"/>
        <v>-1</v>
      </c>
      <c r="BF259" s="15">
        <f t="shared" si="1244"/>
        <v>-1</v>
      </c>
      <c r="BG259" s="15" t="str">
        <f t="shared" si="1245"/>
        <v>-1-1-1</v>
      </c>
      <c r="BH259" s="15" t="str">
        <f t="shared" si="1246"/>
        <v>SD</v>
      </c>
      <c r="BI259" s="15" t="str">
        <f t="shared" si="1247"/>
        <v>SI</v>
      </c>
      <c r="BJ259" s="15" t="b">
        <f t="shared" si="1248"/>
        <v>1</v>
      </c>
      <c r="BK259" s="15" t="str">
        <f t="shared" si="1249"/>
        <v>SIGIGUALES</v>
      </c>
      <c r="BL259" s="22" t="str">
        <f t="shared" si="1250"/>
        <v>NO CONFORME</v>
      </c>
    </row>
    <row r="260" spans="1:64" ht="15.75" thickBot="1" x14ac:dyDescent="0.3">
      <c r="A260" s="37">
        <v>252</v>
      </c>
      <c r="B260" s="93">
        <f t="shared" ref="B260:E260" si="1627">B259</f>
        <v>45919</v>
      </c>
      <c r="C260" s="93">
        <f t="shared" si="1627"/>
        <v>45919</v>
      </c>
      <c r="D260" s="94">
        <f t="shared" si="1627"/>
        <v>6</v>
      </c>
      <c r="E260" s="95">
        <f t="shared" si="1627"/>
        <v>15</v>
      </c>
      <c r="F260" s="52"/>
      <c r="G260" s="96"/>
      <c r="H260" s="97">
        <f t="shared" ref="H260:L260" si="1628">H259</f>
        <v>25.6</v>
      </c>
      <c r="I260" s="98">
        <f t="shared" si="1628"/>
        <v>0</v>
      </c>
      <c r="J260" s="99">
        <f t="shared" si="1628"/>
        <v>20.9</v>
      </c>
      <c r="K260" s="99">
        <f t="shared" si="1628"/>
        <v>7.883</v>
      </c>
      <c r="L260" s="99">
        <f t="shared" si="1628"/>
        <v>0.55400000000000005</v>
      </c>
      <c r="M260" s="53"/>
      <c r="N260" s="53"/>
      <c r="O260" s="100">
        <f t="shared" ref="O260:P260" si="1629">O259</f>
        <v>100.62</v>
      </c>
      <c r="P260" s="101" t="str">
        <f t="shared" si="1629"/>
        <v>2,29,560</v>
      </c>
      <c r="Q260" s="11" t="str">
        <f t="shared" si="1316"/>
        <v>2</v>
      </c>
      <c r="R260" s="11" t="str">
        <f t="shared" si="1317"/>
        <v>29,560</v>
      </c>
      <c r="S260" s="11">
        <f t="shared" si="1318"/>
        <v>4.1544444444444446E-2</v>
      </c>
      <c r="T260" s="14">
        <f t="shared" si="1319"/>
        <v>2421.9844878309709</v>
      </c>
      <c r="U260" s="39">
        <f t="shared" si="1320"/>
        <v>-100</v>
      </c>
      <c r="V260" s="105">
        <f t="shared" ref="V260:W260" si="1630">V259</f>
        <v>20.399999999999999</v>
      </c>
      <c r="W260" s="105">
        <f t="shared" si="1630"/>
        <v>1.5069999999999999</v>
      </c>
      <c r="X260" s="106">
        <f t="shared" si="1569"/>
        <v>1.504</v>
      </c>
      <c r="Y260" s="53"/>
      <c r="Z260" s="53"/>
      <c r="AA260" s="107">
        <f t="shared" ref="AA260:AB260" si="1631">AA259</f>
        <v>10.015000000000001</v>
      </c>
      <c r="AB260" s="108" t="str">
        <f t="shared" si="1631"/>
        <v>22,10,090</v>
      </c>
      <c r="AC260" s="11" t="str">
        <f t="shared" si="1323"/>
        <v>22</v>
      </c>
      <c r="AD260" s="11" t="str">
        <f t="shared" si="1324"/>
        <v>10,090</v>
      </c>
      <c r="AE260" s="11">
        <f t="shared" si="1325"/>
        <v>0.36946944444444441</v>
      </c>
      <c r="AF260" s="14">
        <f t="shared" si="1326"/>
        <v>27.106436406558959</v>
      </c>
      <c r="AG260" s="41">
        <f t="shared" si="1327"/>
        <v>-100</v>
      </c>
      <c r="AH260" s="105">
        <f t="shared" si="1577"/>
        <v>20.3</v>
      </c>
      <c r="AI260" s="105">
        <f t="shared" si="1577"/>
        <v>1.5089999999999999</v>
      </c>
      <c r="AJ260" s="105">
        <f t="shared" si="1577"/>
        <v>1.504</v>
      </c>
      <c r="AK260" s="53">
        <f t="shared" si="1328"/>
        <v>0</v>
      </c>
      <c r="AL260" s="53"/>
      <c r="AM260" s="54">
        <f t="shared" ref="AM260:AN260" si="1632">AM259</f>
        <v>5.0129999999999999</v>
      </c>
      <c r="AN260" s="101" t="str">
        <f t="shared" si="1632"/>
        <v>17,59,050</v>
      </c>
      <c r="AO260" s="11" t="str">
        <f t="shared" si="1330"/>
        <v>17</v>
      </c>
      <c r="AP260" s="11" t="str">
        <f t="shared" si="1331"/>
        <v>59,050</v>
      </c>
      <c r="AQ260" s="11">
        <f t="shared" si="1332"/>
        <v>0.29973611111111109</v>
      </c>
      <c r="AR260" s="14">
        <f t="shared" si="1333"/>
        <v>16.724711551827998</v>
      </c>
      <c r="AS260" s="41">
        <f t="shared" si="1334"/>
        <v>-100</v>
      </c>
      <c r="AT260" s="43" t="str">
        <f t="shared" si="1335"/>
        <v>NO CONFORME</v>
      </c>
      <c r="AU260" s="8" t="b">
        <f t="shared" si="1257"/>
        <v>1</v>
      </c>
      <c r="AV260" s="8" t="b">
        <f t="shared" si="1258"/>
        <v>0</v>
      </c>
      <c r="AW260" s="8" t="b">
        <f t="shared" si="1259"/>
        <v>1</v>
      </c>
      <c r="AX260" s="8" t="str">
        <f t="shared" si="1260"/>
        <v>Qcorrecto</v>
      </c>
      <c r="AY260" s="22" t="str">
        <f t="shared" si="1240"/>
        <v>aceptable</v>
      </c>
      <c r="AZ260" s="22" t="str">
        <f t="shared" si="1241"/>
        <v>aceptable</v>
      </c>
      <c r="BA260" s="22" t="str">
        <f t="shared" si="1261"/>
        <v>aceptable</v>
      </c>
      <c r="BB260" s="25" t="str">
        <f t="shared" si="1262"/>
        <v>NO CONFORME</v>
      </c>
      <c r="BC260" s="5" t="str">
        <f t="shared" si="1263"/>
        <v>NO CONFORME</v>
      </c>
      <c r="BD260" s="15">
        <f t="shared" si="1242"/>
        <v>-1</v>
      </c>
      <c r="BE260" s="15">
        <f t="shared" si="1243"/>
        <v>-1</v>
      </c>
      <c r="BF260" s="15">
        <f t="shared" si="1244"/>
        <v>-1</v>
      </c>
      <c r="BG260" s="15" t="str">
        <f t="shared" si="1245"/>
        <v>-1-1-1</v>
      </c>
      <c r="BH260" s="15" t="str">
        <f t="shared" si="1246"/>
        <v>SD</v>
      </c>
      <c r="BI260" s="15" t="str">
        <f t="shared" si="1247"/>
        <v>SI</v>
      </c>
      <c r="BJ260" s="15" t="b">
        <f t="shared" si="1248"/>
        <v>1</v>
      </c>
      <c r="BK260" s="15" t="str">
        <f t="shared" si="1249"/>
        <v>SIGIGUALES</v>
      </c>
      <c r="BL260" s="22" t="str">
        <f t="shared" si="1250"/>
        <v>NO CONFORME</v>
      </c>
    </row>
    <row r="261" spans="1:64" ht="15.75" thickBot="1" x14ac:dyDescent="0.3">
      <c r="A261" s="37">
        <v>253</v>
      </c>
      <c r="B261" s="93">
        <f t="shared" ref="B261:E261" si="1633">B260</f>
        <v>45919</v>
      </c>
      <c r="C261" s="93">
        <f t="shared" si="1633"/>
        <v>45919</v>
      </c>
      <c r="D261" s="94">
        <f t="shared" si="1633"/>
        <v>6</v>
      </c>
      <c r="E261" s="95">
        <f t="shared" si="1633"/>
        <v>15</v>
      </c>
      <c r="F261" s="52"/>
      <c r="G261" s="96"/>
      <c r="H261" s="97">
        <f t="shared" ref="H261:L261" si="1634">H260</f>
        <v>25.6</v>
      </c>
      <c r="I261" s="98">
        <f t="shared" si="1634"/>
        <v>0</v>
      </c>
      <c r="J261" s="99">
        <f t="shared" si="1634"/>
        <v>20.9</v>
      </c>
      <c r="K261" s="99">
        <f t="shared" si="1634"/>
        <v>7.883</v>
      </c>
      <c r="L261" s="99">
        <f t="shared" si="1634"/>
        <v>0.55400000000000005</v>
      </c>
      <c r="M261" s="53"/>
      <c r="N261" s="53"/>
      <c r="O261" s="100">
        <f t="shared" ref="O261:P261" si="1635">O260</f>
        <v>100.62</v>
      </c>
      <c r="P261" s="101" t="str">
        <f t="shared" si="1635"/>
        <v>2,29,560</v>
      </c>
      <c r="Q261" s="11" t="str">
        <f t="shared" si="1316"/>
        <v>2</v>
      </c>
      <c r="R261" s="11" t="str">
        <f t="shared" si="1317"/>
        <v>29,560</v>
      </c>
      <c r="S261" s="11">
        <f t="shared" si="1318"/>
        <v>4.1544444444444446E-2</v>
      </c>
      <c r="T261" s="14">
        <f t="shared" si="1319"/>
        <v>2421.9844878309709</v>
      </c>
      <c r="U261" s="39">
        <f t="shared" si="1320"/>
        <v>-100</v>
      </c>
      <c r="V261" s="105">
        <f t="shared" ref="V261:W261" si="1636">V260</f>
        <v>20.399999999999999</v>
      </c>
      <c r="W261" s="105">
        <f t="shared" si="1636"/>
        <v>1.5069999999999999</v>
      </c>
      <c r="X261" s="106">
        <f t="shared" si="1569"/>
        <v>1.504</v>
      </c>
      <c r="Y261" s="53"/>
      <c r="Z261" s="53"/>
      <c r="AA261" s="107">
        <f t="shared" ref="AA261:AB261" si="1637">AA260</f>
        <v>10.015000000000001</v>
      </c>
      <c r="AB261" s="108" t="str">
        <f t="shared" si="1637"/>
        <v>22,10,090</v>
      </c>
      <c r="AC261" s="11" t="str">
        <f t="shared" si="1323"/>
        <v>22</v>
      </c>
      <c r="AD261" s="11" t="str">
        <f t="shared" si="1324"/>
        <v>10,090</v>
      </c>
      <c r="AE261" s="11">
        <f t="shared" si="1325"/>
        <v>0.36946944444444441</v>
      </c>
      <c r="AF261" s="14">
        <f t="shared" si="1326"/>
        <v>27.106436406558959</v>
      </c>
      <c r="AG261" s="41">
        <f t="shared" si="1327"/>
        <v>-100</v>
      </c>
      <c r="AH261" s="105">
        <f t="shared" si="1577"/>
        <v>20.3</v>
      </c>
      <c r="AI261" s="105">
        <f t="shared" si="1577"/>
        <v>1.5089999999999999</v>
      </c>
      <c r="AJ261" s="105">
        <f t="shared" si="1577"/>
        <v>1.504</v>
      </c>
      <c r="AK261" s="53">
        <f t="shared" si="1328"/>
        <v>0</v>
      </c>
      <c r="AL261" s="53"/>
      <c r="AM261" s="54">
        <f t="shared" ref="AM261:AN261" si="1638">AM260</f>
        <v>5.0129999999999999</v>
      </c>
      <c r="AN261" s="101" t="str">
        <f t="shared" si="1638"/>
        <v>17,59,050</v>
      </c>
      <c r="AO261" s="11" t="str">
        <f t="shared" si="1330"/>
        <v>17</v>
      </c>
      <c r="AP261" s="11" t="str">
        <f t="shared" si="1331"/>
        <v>59,050</v>
      </c>
      <c r="AQ261" s="11">
        <f t="shared" si="1332"/>
        <v>0.29973611111111109</v>
      </c>
      <c r="AR261" s="14">
        <f t="shared" si="1333"/>
        <v>16.724711551827998</v>
      </c>
      <c r="AS261" s="41">
        <f t="shared" si="1334"/>
        <v>-100</v>
      </c>
      <c r="AT261" s="43" t="str">
        <f t="shared" si="1335"/>
        <v>NO CONFORME</v>
      </c>
      <c r="AU261" s="8" t="b">
        <f t="shared" si="1257"/>
        <v>1</v>
      </c>
      <c r="AV261" s="8" t="b">
        <f t="shared" si="1258"/>
        <v>0</v>
      </c>
      <c r="AW261" s="8" t="b">
        <f t="shared" si="1259"/>
        <v>1</v>
      </c>
      <c r="AX261" s="8" t="str">
        <f t="shared" si="1260"/>
        <v>Qcorrecto</v>
      </c>
      <c r="AY261" s="22" t="str">
        <f t="shared" si="1240"/>
        <v>aceptable</v>
      </c>
      <c r="AZ261" s="22" t="str">
        <f t="shared" si="1241"/>
        <v>aceptable</v>
      </c>
      <c r="BA261" s="22" t="str">
        <f t="shared" si="1261"/>
        <v>aceptable</v>
      </c>
      <c r="BB261" s="25" t="str">
        <f t="shared" si="1262"/>
        <v>NO CONFORME</v>
      </c>
      <c r="BC261" s="5" t="str">
        <f t="shared" si="1263"/>
        <v>NO CONFORME</v>
      </c>
      <c r="BD261" s="15">
        <f t="shared" si="1242"/>
        <v>-1</v>
      </c>
      <c r="BE261" s="15">
        <f t="shared" si="1243"/>
        <v>-1</v>
      </c>
      <c r="BF261" s="15">
        <f t="shared" si="1244"/>
        <v>-1</v>
      </c>
      <c r="BG261" s="15" t="str">
        <f t="shared" si="1245"/>
        <v>-1-1-1</v>
      </c>
      <c r="BH261" s="15" t="str">
        <f t="shared" si="1246"/>
        <v>SD</v>
      </c>
      <c r="BI261" s="15" t="str">
        <f t="shared" si="1247"/>
        <v>SI</v>
      </c>
      <c r="BJ261" s="15" t="b">
        <f t="shared" si="1248"/>
        <v>1</v>
      </c>
      <c r="BK261" s="15" t="str">
        <f t="shared" si="1249"/>
        <v>SIGIGUALES</v>
      </c>
      <c r="BL261" s="22" t="str">
        <f t="shared" si="1250"/>
        <v>NO CONFORME</v>
      </c>
    </row>
    <row r="262" spans="1:64" ht="15.75" thickBot="1" x14ac:dyDescent="0.3">
      <c r="A262" s="37">
        <v>254</v>
      </c>
      <c r="B262" s="93">
        <f t="shared" ref="B262:E262" si="1639">B261</f>
        <v>45919</v>
      </c>
      <c r="C262" s="93">
        <f t="shared" si="1639"/>
        <v>45919</v>
      </c>
      <c r="D262" s="94">
        <f t="shared" si="1639"/>
        <v>6</v>
      </c>
      <c r="E262" s="95">
        <f t="shared" si="1639"/>
        <v>15</v>
      </c>
      <c r="F262" s="52"/>
      <c r="G262" s="96"/>
      <c r="H262" s="97">
        <f t="shared" ref="H262:L262" si="1640">H261</f>
        <v>25.6</v>
      </c>
      <c r="I262" s="98">
        <f t="shared" si="1640"/>
        <v>0</v>
      </c>
      <c r="J262" s="99">
        <f t="shared" si="1640"/>
        <v>20.9</v>
      </c>
      <c r="K262" s="99">
        <f t="shared" si="1640"/>
        <v>7.883</v>
      </c>
      <c r="L262" s="99">
        <f t="shared" si="1640"/>
        <v>0.55400000000000005</v>
      </c>
      <c r="M262" s="53"/>
      <c r="N262" s="53"/>
      <c r="O262" s="100">
        <f t="shared" ref="O262:P262" si="1641">O261</f>
        <v>100.62</v>
      </c>
      <c r="P262" s="101" t="str">
        <f t="shared" si="1641"/>
        <v>2,29,560</v>
      </c>
      <c r="Q262" s="11" t="str">
        <f t="shared" si="1316"/>
        <v>2</v>
      </c>
      <c r="R262" s="11" t="str">
        <f t="shared" si="1317"/>
        <v>29,560</v>
      </c>
      <c r="S262" s="11">
        <f t="shared" si="1318"/>
        <v>4.1544444444444446E-2</v>
      </c>
      <c r="T262" s="14">
        <f t="shared" si="1319"/>
        <v>2421.9844878309709</v>
      </c>
      <c r="U262" s="39">
        <f t="shared" si="1320"/>
        <v>-100</v>
      </c>
      <c r="V262" s="105">
        <f t="shared" ref="V262:W262" si="1642">V261</f>
        <v>20.399999999999999</v>
      </c>
      <c r="W262" s="105">
        <f t="shared" si="1642"/>
        <v>1.5069999999999999</v>
      </c>
      <c r="X262" s="106">
        <f t="shared" si="1569"/>
        <v>1.504</v>
      </c>
      <c r="Y262" s="53"/>
      <c r="Z262" s="53"/>
      <c r="AA262" s="107">
        <f t="shared" ref="AA262:AB262" si="1643">AA261</f>
        <v>10.015000000000001</v>
      </c>
      <c r="AB262" s="108" t="str">
        <f t="shared" si="1643"/>
        <v>22,10,090</v>
      </c>
      <c r="AC262" s="11" t="str">
        <f t="shared" si="1323"/>
        <v>22</v>
      </c>
      <c r="AD262" s="11" t="str">
        <f t="shared" si="1324"/>
        <v>10,090</v>
      </c>
      <c r="AE262" s="11">
        <f t="shared" si="1325"/>
        <v>0.36946944444444441</v>
      </c>
      <c r="AF262" s="14">
        <f t="shared" si="1326"/>
        <v>27.106436406558959</v>
      </c>
      <c r="AG262" s="41">
        <f t="shared" si="1327"/>
        <v>-100</v>
      </c>
      <c r="AH262" s="105">
        <f t="shared" si="1577"/>
        <v>20.3</v>
      </c>
      <c r="AI262" s="105">
        <f t="shared" si="1577"/>
        <v>1.5089999999999999</v>
      </c>
      <c r="AJ262" s="105">
        <f t="shared" si="1577"/>
        <v>1.504</v>
      </c>
      <c r="AK262" s="53">
        <f t="shared" si="1328"/>
        <v>0</v>
      </c>
      <c r="AL262" s="53"/>
      <c r="AM262" s="54">
        <f t="shared" ref="AM262:AN262" si="1644">AM261</f>
        <v>5.0129999999999999</v>
      </c>
      <c r="AN262" s="101" t="str">
        <f t="shared" si="1644"/>
        <v>17,59,050</v>
      </c>
      <c r="AO262" s="11" t="str">
        <f t="shared" si="1330"/>
        <v>17</v>
      </c>
      <c r="AP262" s="11" t="str">
        <f t="shared" si="1331"/>
        <v>59,050</v>
      </c>
      <c r="AQ262" s="11">
        <f t="shared" si="1332"/>
        <v>0.29973611111111109</v>
      </c>
      <c r="AR262" s="14">
        <f t="shared" si="1333"/>
        <v>16.724711551827998</v>
      </c>
      <c r="AS262" s="41">
        <f t="shared" si="1334"/>
        <v>-100</v>
      </c>
      <c r="AT262" s="43" t="str">
        <f t="shared" si="1335"/>
        <v>NO CONFORME</v>
      </c>
      <c r="AU262" s="8" t="b">
        <f t="shared" si="1257"/>
        <v>1</v>
      </c>
      <c r="AV262" s="8" t="b">
        <f t="shared" si="1258"/>
        <v>0</v>
      </c>
      <c r="AW262" s="8" t="b">
        <f t="shared" si="1259"/>
        <v>1</v>
      </c>
      <c r="AX262" s="8" t="str">
        <f t="shared" si="1260"/>
        <v>Qcorrecto</v>
      </c>
      <c r="AY262" s="22" t="str">
        <f t="shared" si="1240"/>
        <v>aceptable</v>
      </c>
      <c r="AZ262" s="22" t="str">
        <f t="shared" si="1241"/>
        <v>aceptable</v>
      </c>
      <c r="BA262" s="22" t="str">
        <f t="shared" si="1261"/>
        <v>aceptable</v>
      </c>
      <c r="BB262" s="25" t="str">
        <f t="shared" si="1262"/>
        <v>NO CONFORME</v>
      </c>
      <c r="BC262" s="5" t="str">
        <f t="shared" si="1263"/>
        <v>NO CONFORME</v>
      </c>
      <c r="BD262" s="15">
        <f t="shared" si="1242"/>
        <v>-1</v>
      </c>
      <c r="BE262" s="15">
        <f t="shared" si="1243"/>
        <v>-1</v>
      </c>
      <c r="BF262" s="15">
        <f t="shared" si="1244"/>
        <v>-1</v>
      </c>
      <c r="BG262" s="15" t="str">
        <f t="shared" si="1245"/>
        <v>-1-1-1</v>
      </c>
      <c r="BH262" s="15" t="str">
        <f t="shared" si="1246"/>
        <v>SD</v>
      </c>
      <c r="BI262" s="15" t="str">
        <f t="shared" si="1247"/>
        <v>SI</v>
      </c>
      <c r="BJ262" s="15" t="b">
        <f t="shared" si="1248"/>
        <v>1</v>
      </c>
      <c r="BK262" s="15" t="str">
        <f t="shared" si="1249"/>
        <v>SIGIGUALES</v>
      </c>
      <c r="BL262" s="22" t="str">
        <f t="shared" si="1250"/>
        <v>NO CONFORME</v>
      </c>
    </row>
    <row r="263" spans="1:64" ht="15.75" thickBot="1" x14ac:dyDescent="0.3">
      <c r="A263" s="37">
        <v>255</v>
      </c>
      <c r="B263" s="93">
        <f t="shared" ref="B263:E263" si="1645">B262</f>
        <v>45919</v>
      </c>
      <c r="C263" s="93">
        <f t="shared" si="1645"/>
        <v>45919</v>
      </c>
      <c r="D263" s="94">
        <f t="shared" si="1645"/>
        <v>6</v>
      </c>
      <c r="E263" s="95">
        <f t="shared" si="1645"/>
        <v>15</v>
      </c>
      <c r="F263" s="52"/>
      <c r="G263" s="96"/>
      <c r="H263" s="97">
        <f t="shared" ref="H263:L263" si="1646">H262</f>
        <v>25.6</v>
      </c>
      <c r="I263" s="98">
        <f t="shared" si="1646"/>
        <v>0</v>
      </c>
      <c r="J263" s="99">
        <f t="shared" si="1646"/>
        <v>20.9</v>
      </c>
      <c r="K263" s="99">
        <f t="shared" si="1646"/>
        <v>7.883</v>
      </c>
      <c r="L263" s="99">
        <f t="shared" si="1646"/>
        <v>0.55400000000000005</v>
      </c>
      <c r="M263" s="53"/>
      <c r="N263" s="53"/>
      <c r="O263" s="100">
        <f t="shared" ref="O263:P263" si="1647">O262</f>
        <v>100.62</v>
      </c>
      <c r="P263" s="101" t="str">
        <f t="shared" si="1647"/>
        <v>2,29,560</v>
      </c>
      <c r="Q263" s="11" t="str">
        <f t="shared" si="1316"/>
        <v>2</v>
      </c>
      <c r="R263" s="11" t="str">
        <f t="shared" si="1317"/>
        <v>29,560</v>
      </c>
      <c r="S263" s="11">
        <f t="shared" si="1318"/>
        <v>4.1544444444444446E-2</v>
      </c>
      <c r="T263" s="14">
        <f t="shared" si="1319"/>
        <v>2421.9844878309709</v>
      </c>
      <c r="U263" s="39">
        <f t="shared" si="1320"/>
        <v>-100</v>
      </c>
      <c r="V263" s="105">
        <f t="shared" ref="V263:W263" si="1648">V262</f>
        <v>20.399999999999999</v>
      </c>
      <c r="W263" s="105">
        <f t="shared" si="1648"/>
        <v>1.5069999999999999</v>
      </c>
      <c r="X263" s="106">
        <f t="shared" si="1569"/>
        <v>1.504</v>
      </c>
      <c r="Y263" s="53"/>
      <c r="Z263" s="53"/>
      <c r="AA263" s="107">
        <f t="shared" ref="AA263:AB263" si="1649">AA262</f>
        <v>10.015000000000001</v>
      </c>
      <c r="AB263" s="108" t="str">
        <f t="shared" si="1649"/>
        <v>22,10,090</v>
      </c>
      <c r="AC263" s="11" t="str">
        <f t="shared" si="1323"/>
        <v>22</v>
      </c>
      <c r="AD263" s="11" t="str">
        <f t="shared" si="1324"/>
        <v>10,090</v>
      </c>
      <c r="AE263" s="11">
        <f t="shared" si="1325"/>
        <v>0.36946944444444441</v>
      </c>
      <c r="AF263" s="14">
        <f t="shared" si="1326"/>
        <v>27.106436406558959</v>
      </c>
      <c r="AG263" s="41">
        <f t="shared" si="1327"/>
        <v>-100</v>
      </c>
      <c r="AH263" s="105">
        <f t="shared" si="1577"/>
        <v>20.3</v>
      </c>
      <c r="AI263" s="105">
        <f t="shared" si="1577"/>
        <v>1.5089999999999999</v>
      </c>
      <c r="AJ263" s="105">
        <f t="shared" si="1577"/>
        <v>1.504</v>
      </c>
      <c r="AK263" s="53">
        <f t="shared" si="1328"/>
        <v>0</v>
      </c>
      <c r="AL263" s="53"/>
      <c r="AM263" s="54">
        <f t="shared" ref="AM263:AN263" si="1650">AM262</f>
        <v>5.0129999999999999</v>
      </c>
      <c r="AN263" s="101" t="str">
        <f t="shared" si="1650"/>
        <v>17,59,050</v>
      </c>
      <c r="AO263" s="11" t="str">
        <f t="shared" si="1330"/>
        <v>17</v>
      </c>
      <c r="AP263" s="11" t="str">
        <f t="shared" si="1331"/>
        <v>59,050</v>
      </c>
      <c r="AQ263" s="11">
        <f t="shared" si="1332"/>
        <v>0.29973611111111109</v>
      </c>
      <c r="AR263" s="14">
        <f t="shared" si="1333"/>
        <v>16.724711551827998</v>
      </c>
      <c r="AS263" s="41">
        <f t="shared" si="1334"/>
        <v>-100</v>
      </c>
      <c r="AT263" s="43" t="str">
        <f t="shared" si="1335"/>
        <v>NO CONFORME</v>
      </c>
      <c r="AU263" s="8" t="b">
        <f t="shared" si="1257"/>
        <v>1</v>
      </c>
      <c r="AV263" s="8" t="b">
        <f t="shared" si="1258"/>
        <v>0</v>
      </c>
      <c r="AW263" s="8" t="b">
        <f t="shared" si="1259"/>
        <v>1</v>
      </c>
      <c r="AX263" s="8" t="str">
        <f t="shared" si="1260"/>
        <v>Qcorrecto</v>
      </c>
      <c r="AY263" s="22" t="str">
        <f t="shared" si="1240"/>
        <v>aceptable</v>
      </c>
      <c r="AZ263" s="22" t="str">
        <f t="shared" si="1241"/>
        <v>aceptable</v>
      </c>
      <c r="BA263" s="22" t="str">
        <f t="shared" si="1261"/>
        <v>aceptable</v>
      </c>
      <c r="BB263" s="25" t="str">
        <f t="shared" si="1262"/>
        <v>NO CONFORME</v>
      </c>
      <c r="BC263" s="5" t="str">
        <f t="shared" si="1263"/>
        <v>NO CONFORME</v>
      </c>
      <c r="BD263" s="15">
        <f t="shared" si="1242"/>
        <v>-1</v>
      </c>
      <c r="BE263" s="15">
        <f t="shared" si="1243"/>
        <v>-1</v>
      </c>
      <c r="BF263" s="15">
        <f t="shared" si="1244"/>
        <v>-1</v>
      </c>
      <c r="BG263" s="15" t="str">
        <f t="shared" si="1245"/>
        <v>-1-1-1</v>
      </c>
      <c r="BH263" s="15" t="str">
        <f t="shared" si="1246"/>
        <v>SD</v>
      </c>
      <c r="BI263" s="15" t="str">
        <f t="shared" si="1247"/>
        <v>SI</v>
      </c>
      <c r="BJ263" s="15" t="b">
        <f t="shared" si="1248"/>
        <v>1</v>
      </c>
      <c r="BK263" s="15" t="str">
        <f t="shared" si="1249"/>
        <v>SIGIGUALES</v>
      </c>
      <c r="BL263" s="22" t="str">
        <f t="shared" si="1250"/>
        <v>NO CONFORME</v>
      </c>
    </row>
    <row r="264" spans="1:64" ht="15.75" thickBot="1" x14ac:dyDescent="0.3">
      <c r="A264" s="37">
        <v>256</v>
      </c>
      <c r="B264" s="93">
        <f t="shared" ref="B264:E264" si="1651">B263</f>
        <v>45919</v>
      </c>
      <c r="C264" s="93">
        <f t="shared" si="1651"/>
        <v>45919</v>
      </c>
      <c r="D264" s="94">
        <f t="shared" si="1651"/>
        <v>6</v>
      </c>
      <c r="E264" s="95">
        <f t="shared" si="1651"/>
        <v>15</v>
      </c>
      <c r="F264" s="52"/>
      <c r="G264" s="96"/>
      <c r="H264" s="97">
        <f t="shared" ref="H264:L264" si="1652">H263</f>
        <v>25.6</v>
      </c>
      <c r="I264" s="98">
        <f t="shared" si="1652"/>
        <v>0</v>
      </c>
      <c r="J264" s="99">
        <f t="shared" si="1652"/>
        <v>20.9</v>
      </c>
      <c r="K264" s="99">
        <f t="shared" si="1652"/>
        <v>7.883</v>
      </c>
      <c r="L264" s="99">
        <f t="shared" si="1652"/>
        <v>0.55400000000000005</v>
      </c>
      <c r="M264" s="53"/>
      <c r="N264" s="53"/>
      <c r="O264" s="100">
        <f t="shared" ref="O264:P264" si="1653">O263</f>
        <v>100.62</v>
      </c>
      <c r="P264" s="101" t="str">
        <f t="shared" si="1653"/>
        <v>2,29,560</v>
      </c>
      <c r="Q264" s="11" t="str">
        <f t="shared" si="1316"/>
        <v>2</v>
      </c>
      <c r="R264" s="11" t="str">
        <f t="shared" si="1317"/>
        <v>29,560</v>
      </c>
      <c r="S264" s="11">
        <f t="shared" si="1318"/>
        <v>4.1544444444444446E-2</v>
      </c>
      <c r="T264" s="14">
        <f t="shared" si="1319"/>
        <v>2421.9844878309709</v>
      </c>
      <c r="U264" s="39">
        <f t="shared" si="1320"/>
        <v>-100</v>
      </c>
      <c r="V264" s="105">
        <f t="shared" ref="V264:W264" si="1654">V263</f>
        <v>20.399999999999999</v>
      </c>
      <c r="W264" s="105">
        <f t="shared" si="1654"/>
        <v>1.5069999999999999</v>
      </c>
      <c r="X264" s="106">
        <f t="shared" si="1569"/>
        <v>1.504</v>
      </c>
      <c r="Y264" s="53"/>
      <c r="Z264" s="53"/>
      <c r="AA264" s="107">
        <f t="shared" ref="AA264:AB264" si="1655">AA263</f>
        <v>10.015000000000001</v>
      </c>
      <c r="AB264" s="108" t="str">
        <f t="shared" si="1655"/>
        <v>22,10,090</v>
      </c>
      <c r="AC264" s="11" t="str">
        <f t="shared" si="1323"/>
        <v>22</v>
      </c>
      <c r="AD264" s="11" t="str">
        <f t="shared" si="1324"/>
        <v>10,090</v>
      </c>
      <c r="AE264" s="11">
        <f t="shared" si="1325"/>
        <v>0.36946944444444441</v>
      </c>
      <c r="AF264" s="14">
        <f t="shared" si="1326"/>
        <v>27.106436406558959</v>
      </c>
      <c r="AG264" s="41">
        <f t="shared" si="1327"/>
        <v>-100</v>
      </c>
      <c r="AH264" s="105">
        <f t="shared" si="1577"/>
        <v>20.3</v>
      </c>
      <c r="AI264" s="105">
        <f t="shared" si="1577"/>
        <v>1.5089999999999999</v>
      </c>
      <c r="AJ264" s="105">
        <f t="shared" si="1577"/>
        <v>1.504</v>
      </c>
      <c r="AK264" s="53">
        <f t="shared" si="1328"/>
        <v>0</v>
      </c>
      <c r="AL264" s="53"/>
      <c r="AM264" s="54">
        <f t="shared" ref="AM264:AN264" si="1656">AM263</f>
        <v>5.0129999999999999</v>
      </c>
      <c r="AN264" s="101" t="str">
        <f t="shared" si="1656"/>
        <v>17,59,050</v>
      </c>
      <c r="AO264" s="11" t="str">
        <f t="shared" si="1330"/>
        <v>17</v>
      </c>
      <c r="AP264" s="11" t="str">
        <f t="shared" si="1331"/>
        <v>59,050</v>
      </c>
      <c r="AQ264" s="11">
        <f t="shared" si="1332"/>
        <v>0.29973611111111109</v>
      </c>
      <c r="AR264" s="14">
        <f t="shared" si="1333"/>
        <v>16.724711551827998</v>
      </c>
      <c r="AS264" s="41">
        <f t="shared" si="1334"/>
        <v>-100</v>
      </c>
      <c r="AT264" s="43" t="str">
        <f t="shared" si="1335"/>
        <v>NO CONFORME</v>
      </c>
      <c r="AU264" s="8" t="b">
        <f t="shared" si="1257"/>
        <v>1</v>
      </c>
      <c r="AV264" s="8" t="b">
        <f t="shared" si="1258"/>
        <v>0</v>
      </c>
      <c r="AW264" s="8" t="b">
        <f t="shared" si="1259"/>
        <v>1</v>
      </c>
      <c r="AX264" s="8" t="str">
        <f t="shared" si="1260"/>
        <v>Qcorrecto</v>
      </c>
      <c r="AY264" s="22" t="str">
        <f t="shared" si="1240"/>
        <v>aceptable</v>
      </c>
      <c r="AZ264" s="22" t="str">
        <f t="shared" si="1241"/>
        <v>aceptable</v>
      </c>
      <c r="BA264" s="22" t="str">
        <f t="shared" si="1261"/>
        <v>aceptable</v>
      </c>
      <c r="BB264" s="25" t="str">
        <f t="shared" si="1262"/>
        <v>NO CONFORME</v>
      </c>
      <c r="BC264" s="5" t="str">
        <f t="shared" si="1263"/>
        <v>NO CONFORME</v>
      </c>
      <c r="BD264" s="15">
        <f t="shared" si="1242"/>
        <v>-1</v>
      </c>
      <c r="BE264" s="15">
        <f t="shared" si="1243"/>
        <v>-1</v>
      </c>
      <c r="BF264" s="15">
        <f t="shared" si="1244"/>
        <v>-1</v>
      </c>
      <c r="BG264" s="15" t="str">
        <f t="shared" si="1245"/>
        <v>-1-1-1</v>
      </c>
      <c r="BH264" s="15" t="str">
        <f t="shared" si="1246"/>
        <v>SD</v>
      </c>
      <c r="BI264" s="15" t="str">
        <f t="shared" si="1247"/>
        <v>SI</v>
      </c>
      <c r="BJ264" s="15" t="b">
        <f t="shared" si="1248"/>
        <v>1</v>
      </c>
      <c r="BK264" s="15" t="str">
        <f t="shared" si="1249"/>
        <v>SIGIGUALES</v>
      </c>
      <c r="BL264" s="22" t="str">
        <f t="shared" si="1250"/>
        <v>NO CONFORME</v>
      </c>
    </row>
    <row r="265" spans="1:64" ht="15.75" thickBot="1" x14ac:dyDescent="0.3">
      <c r="A265" s="37">
        <v>257</v>
      </c>
      <c r="B265" s="93">
        <f t="shared" ref="B265:E265" si="1657">B264</f>
        <v>45919</v>
      </c>
      <c r="C265" s="93">
        <f t="shared" si="1657"/>
        <v>45919</v>
      </c>
      <c r="D265" s="94">
        <f t="shared" si="1657"/>
        <v>6</v>
      </c>
      <c r="E265" s="95">
        <f t="shared" si="1657"/>
        <v>15</v>
      </c>
      <c r="F265" s="52"/>
      <c r="G265" s="96"/>
      <c r="H265" s="97">
        <f t="shared" ref="H265:L265" si="1658">H264</f>
        <v>25.6</v>
      </c>
      <c r="I265" s="98">
        <f t="shared" si="1658"/>
        <v>0</v>
      </c>
      <c r="J265" s="99">
        <f t="shared" si="1658"/>
        <v>20.9</v>
      </c>
      <c r="K265" s="99">
        <f t="shared" si="1658"/>
        <v>7.883</v>
      </c>
      <c r="L265" s="99">
        <f t="shared" si="1658"/>
        <v>0.55400000000000005</v>
      </c>
      <c r="M265" s="53"/>
      <c r="N265" s="53"/>
      <c r="O265" s="100">
        <f t="shared" ref="O265:P265" si="1659">O264</f>
        <v>100.62</v>
      </c>
      <c r="P265" s="101" t="str">
        <f t="shared" si="1659"/>
        <v>2,29,560</v>
      </c>
      <c r="Q265" s="11" t="str">
        <f t="shared" si="1316"/>
        <v>2</v>
      </c>
      <c r="R265" s="11" t="str">
        <f t="shared" si="1317"/>
        <v>29,560</v>
      </c>
      <c r="S265" s="11">
        <f t="shared" si="1318"/>
        <v>4.1544444444444446E-2</v>
      </c>
      <c r="T265" s="14">
        <f t="shared" si="1319"/>
        <v>2421.9844878309709</v>
      </c>
      <c r="U265" s="39">
        <f t="shared" si="1320"/>
        <v>-100</v>
      </c>
      <c r="V265" s="105">
        <f t="shared" ref="V265:W265" si="1660">V264</f>
        <v>20.399999999999999</v>
      </c>
      <c r="W265" s="105">
        <f t="shared" si="1660"/>
        <v>1.5069999999999999</v>
      </c>
      <c r="X265" s="106">
        <f t="shared" si="1569"/>
        <v>1.504</v>
      </c>
      <c r="Y265" s="53"/>
      <c r="Z265" s="53"/>
      <c r="AA265" s="107">
        <f t="shared" ref="AA265:AB265" si="1661">AA264</f>
        <v>10.015000000000001</v>
      </c>
      <c r="AB265" s="108" t="str">
        <f t="shared" si="1661"/>
        <v>22,10,090</v>
      </c>
      <c r="AC265" s="11" t="str">
        <f t="shared" si="1323"/>
        <v>22</v>
      </c>
      <c r="AD265" s="11" t="str">
        <f t="shared" si="1324"/>
        <v>10,090</v>
      </c>
      <c r="AE265" s="11">
        <f t="shared" si="1325"/>
        <v>0.36946944444444441</v>
      </c>
      <c r="AF265" s="14">
        <f t="shared" si="1326"/>
        <v>27.106436406558959</v>
      </c>
      <c r="AG265" s="41">
        <f t="shared" si="1327"/>
        <v>-100</v>
      </c>
      <c r="AH265" s="105">
        <f t="shared" si="1577"/>
        <v>20.3</v>
      </c>
      <c r="AI265" s="105">
        <f t="shared" si="1577"/>
        <v>1.5089999999999999</v>
      </c>
      <c r="AJ265" s="105">
        <f t="shared" si="1577"/>
        <v>1.504</v>
      </c>
      <c r="AK265" s="53">
        <f t="shared" si="1328"/>
        <v>0</v>
      </c>
      <c r="AL265" s="53"/>
      <c r="AM265" s="54">
        <f t="shared" ref="AM265:AN265" si="1662">AM264</f>
        <v>5.0129999999999999</v>
      </c>
      <c r="AN265" s="101" t="str">
        <f t="shared" si="1662"/>
        <v>17,59,050</v>
      </c>
      <c r="AO265" s="11" t="str">
        <f t="shared" si="1330"/>
        <v>17</v>
      </c>
      <c r="AP265" s="11" t="str">
        <f t="shared" si="1331"/>
        <v>59,050</v>
      </c>
      <c r="AQ265" s="11">
        <f t="shared" si="1332"/>
        <v>0.29973611111111109</v>
      </c>
      <c r="AR265" s="14">
        <f t="shared" si="1333"/>
        <v>16.724711551827998</v>
      </c>
      <c r="AS265" s="41">
        <f t="shared" si="1334"/>
        <v>-100</v>
      </c>
      <c r="AT265" s="43" t="str">
        <f t="shared" si="1335"/>
        <v>NO CONFORME</v>
      </c>
      <c r="AU265" s="8" t="b">
        <f t="shared" si="1257"/>
        <v>1</v>
      </c>
      <c r="AV265" s="8" t="b">
        <f t="shared" si="1258"/>
        <v>0</v>
      </c>
      <c r="AW265" s="8" t="b">
        <f t="shared" si="1259"/>
        <v>1</v>
      </c>
      <c r="AX265" s="8" t="str">
        <f t="shared" si="1260"/>
        <v>Qcorrecto</v>
      </c>
      <c r="AY265" s="22" t="str">
        <f t="shared" ref="AY265:AY328" si="1663">IF(AR265&lt;$AH$6,"error",IF(AR265&gt;$AH$6*1.1,"error","aceptable"))</f>
        <v>aceptable</v>
      </c>
      <c r="AZ265" s="22" t="str">
        <f t="shared" ref="AZ265:AZ328" si="1664">IF(AF265&lt;$V$6,"error",IF(AF265&gt;$V$6*1.1,"error","aceptable"))</f>
        <v>aceptable</v>
      </c>
      <c r="BA265" s="22" t="str">
        <f t="shared" si="1261"/>
        <v>aceptable</v>
      </c>
      <c r="BB265" s="25" t="str">
        <f t="shared" si="1262"/>
        <v>NO CONFORME</v>
      </c>
      <c r="BC265" s="5" t="str">
        <f t="shared" si="1263"/>
        <v>NO CONFORME</v>
      </c>
      <c r="BD265" s="15">
        <f t="shared" ref="BD265:BD328" si="1665">SIGN(U265)</f>
        <v>-1</v>
      </c>
      <c r="BE265" s="15">
        <f t="shared" ref="BE265:BE328" si="1666">SIGN(AG265)</f>
        <v>-1</v>
      </c>
      <c r="BF265" s="15">
        <f t="shared" ref="BF265:BF328" si="1667">SIGN(AS265)</f>
        <v>-1</v>
      </c>
      <c r="BG265" s="15" t="str">
        <f t="shared" ref="BG265:BG328" si="1668">CONCATENATE(BD265,BE265,BF265)</f>
        <v>-1-1-1</v>
      </c>
      <c r="BH265" s="15" t="str">
        <f t="shared" ref="BH265:BH328" si="1669">IF(BG265="111","SI","SD")</f>
        <v>SD</v>
      </c>
      <c r="BI265" s="15" t="str">
        <f t="shared" ref="BI265:BI328" si="1670">IF(BG265="-1-1-1","SI","SD")</f>
        <v>SI</v>
      </c>
      <c r="BJ265" s="15" t="b">
        <f t="shared" ref="BJ265:BJ328" si="1671">OR(BH265="SI",BI265="SI")</f>
        <v>1</v>
      </c>
      <c r="BK265" s="15" t="str">
        <f t="shared" ref="BK265:BK328" si="1672">IF(BJ265=FALSE,"SIGDIFERENTES","SIGIGUALES")</f>
        <v>SIGIGUALES</v>
      </c>
      <c r="BL265" s="22" t="str">
        <f t="shared" ref="BL265:BL328" si="1673">IF(BC265="NO CONFORME","NO CONFORME",IF(BB265="CONFORME","CONFORME","NO CONFORME"))</f>
        <v>NO CONFORME</v>
      </c>
    </row>
    <row r="266" spans="1:64" ht="15.75" thickBot="1" x14ac:dyDescent="0.3">
      <c r="A266" s="37">
        <v>258</v>
      </c>
      <c r="B266" s="93">
        <f t="shared" ref="B266:E266" si="1674">B265</f>
        <v>45919</v>
      </c>
      <c r="C266" s="93">
        <f t="shared" si="1674"/>
        <v>45919</v>
      </c>
      <c r="D266" s="94">
        <f t="shared" si="1674"/>
        <v>6</v>
      </c>
      <c r="E266" s="95">
        <f t="shared" si="1674"/>
        <v>15</v>
      </c>
      <c r="F266" s="52"/>
      <c r="G266" s="96"/>
      <c r="H266" s="97">
        <f t="shared" ref="H266:L266" si="1675">H265</f>
        <v>25.6</v>
      </c>
      <c r="I266" s="98">
        <f t="shared" si="1675"/>
        <v>0</v>
      </c>
      <c r="J266" s="99">
        <f t="shared" si="1675"/>
        <v>20.9</v>
      </c>
      <c r="K266" s="99">
        <f t="shared" si="1675"/>
        <v>7.883</v>
      </c>
      <c r="L266" s="99">
        <f t="shared" si="1675"/>
        <v>0.55400000000000005</v>
      </c>
      <c r="M266" s="53"/>
      <c r="N266" s="53"/>
      <c r="O266" s="100">
        <f t="shared" ref="O266:P266" si="1676">O265</f>
        <v>100.62</v>
      </c>
      <c r="P266" s="101" t="str">
        <f t="shared" si="1676"/>
        <v>2,29,560</v>
      </c>
      <c r="Q266" s="11" t="str">
        <f t="shared" si="1316"/>
        <v>2</v>
      </c>
      <c r="R266" s="11" t="str">
        <f t="shared" si="1317"/>
        <v>29,560</v>
      </c>
      <c r="S266" s="11">
        <f t="shared" si="1318"/>
        <v>4.1544444444444446E-2</v>
      </c>
      <c r="T266" s="14">
        <f t="shared" si="1319"/>
        <v>2421.9844878309709</v>
      </c>
      <c r="U266" s="39">
        <f t="shared" si="1320"/>
        <v>-100</v>
      </c>
      <c r="V266" s="105">
        <f t="shared" ref="V266:X281" si="1677">V265</f>
        <v>20.399999999999999</v>
      </c>
      <c r="W266" s="105">
        <f t="shared" si="1677"/>
        <v>1.5069999999999999</v>
      </c>
      <c r="X266" s="106">
        <f t="shared" si="1677"/>
        <v>1.504</v>
      </c>
      <c r="Y266" s="53"/>
      <c r="Z266" s="53"/>
      <c r="AA266" s="107">
        <f t="shared" ref="AA266:AB266" si="1678">AA265</f>
        <v>10.015000000000001</v>
      </c>
      <c r="AB266" s="108" t="str">
        <f t="shared" si="1678"/>
        <v>22,10,090</v>
      </c>
      <c r="AC266" s="11" t="str">
        <f t="shared" si="1323"/>
        <v>22</v>
      </c>
      <c r="AD266" s="11" t="str">
        <f t="shared" si="1324"/>
        <v>10,090</v>
      </c>
      <c r="AE266" s="11">
        <f t="shared" si="1325"/>
        <v>0.36946944444444441</v>
      </c>
      <c r="AF266" s="14">
        <f t="shared" si="1326"/>
        <v>27.106436406558959</v>
      </c>
      <c r="AG266" s="41">
        <f t="shared" si="1327"/>
        <v>-100</v>
      </c>
      <c r="AH266" s="105">
        <f t="shared" si="1577"/>
        <v>20.3</v>
      </c>
      <c r="AI266" s="105">
        <f t="shared" si="1577"/>
        <v>1.5089999999999999</v>
      </c>
      <c r="AJ266" s="105">
        <f t="shared" si="1577"/>
        <v>1.504</v>
      </c>
      <c r="AK266" s="53">
        <f t="shared" si="1328"/>
        <v>0</v>
      </c>
      <c r="AL266" s="53"/>
      <c r="AM266" s="54">
        <f t="shared" ref="AM266:AN266" si="1679">AM265</f>
        <v>5.0129999999999999</v>
      </c>
      <c r="AN266" s="101" t="str">
        <f t="shared" si="1679"/>
        <v>17,59,050</v>
      </c>
      <c r="AO266" s="11" t="str">
        <f t="shared" si="1330"/>
        <v>17</v>
      </c>
      <c r="AP266" s="11" t="str">
        <f t="shared" si="1331"/>
        <v>59,050</v>
      </c>
      <c r="AQ266" s="11">
        <f t="shared" si="1332"/>
        <v>0.29973611111111109</v>
      </c>
      <c r="AR266" s="14">
        <f t="shared" si="1333"/>
        <v>16.724711551827998</v>
      </c>
      <c r="AS266" s="41">
        <f t="shared" si="1334"/>
        <v>-100</v>
      </c>
      <c r="AT266" s="43" t="str">
        <f t="shared" si="1335"/>
        <v>NO CONFORME</v>
      </c>
      <c r="AU266" s="8" t="b">
        <f t="shared" ref="AU266:AU329" si="1680">B266=C266</f>
        <v>1</v>
      </c>
      <c r="AV266" s="8" t="b">
        <f t="shared" ref="AV266:AV329" si="1681">N266&lt;Y266</f>
        <v>0</v>
      </c>
      <c r="AW266" s="8" t="b">
        <f t="shared" ref="AW266:AW329" si="1682">Z266&lt;=AK266</f>
        <v>1</v>
      </c>
      <c r="AX266" s="8" t="str">
        <f t="shared" ref="AX266:AX329" si="1683">IF(I266&gt;=1,"Qcorrecto",IF(AND(AY266="aceptable",AZ266="aceptable",BA266="aceptable"),"Qcorrecto","Qincorrecto"))</f>
        <v>Qcorrecto</v>
      </c>
      <c r="AY266" s="22" t="str">
        <f t="shared" si="1663"/>
        <v>aceptable</v>
      </c>
      <c r="AZ266" s="22" t="str">
        <f t="shared" si="1664"/>
        <v>aceptable</v>
      </c>
      <c r="BA266" s="22" t="str">
        <f t="shared" ref="BA266:BA329" si="1684">IF(T266&lt;$J$6*0.9,"error",IF(T266&gt;$J$6,"error","aceptable"))</f>
        <v>aceptable</v>
      </c>
      <c r="BB266" s="25" t="str">
        <f t="shared" ref="BB266:BB329" si="1685">(IF(ABS(U266)&lt;1.05,"CONFORME",IF(ABS(AG266)&lt;1.05,"CONFORME",IF(ABS(AS266)&lt;2.55,"CONFORME","NO CONFORME"))))</f>
        <v>NO CONFORME</v>
      </c>
      <c r="BC266" s="5" t="str">
        <f t="shared" ref="BC266:BC329" si="1686">(IF(ABS(U266)&gt;2.05,"NO CONFORME",IF(ABS(AG266)&gt;2.05,"NO CONFORME",IF(ABS(AS266)&gt;5.05,"NO CONFORME","CONFORME"))))</f>
        <v>NO CONFORME</v>
      </c>
      <c r="BD266" s="15">
        <f t="shared" si="1665"/>
        <v>-1</v>
      </c>
      <c r="BE266" s="15">
        <f t="shared" si="1666"/>
        <v>-1</v>
      </c>
      <c r="BF266" s="15">
        <f t="shared" si="1667"/>
        <v>-1</v>
      </c>
      <c r="BG266" s="15" t="str">
        <f t="shared" si="1668"/>
        <v>-1-1-1</v>
      </c>
      <c r="BH266" s="15" t="str">
        <f t="shared" si="1669"/>
        <v>SD</v>
      </c>
      <c r="BI266" s="15" t="str">
        <f t="shared" si="1670"/>
        <v>SI</v>
      </c>
      <c r="BJ266" s="15" t="b">
        <f t="shared" si="1671"/>
        <v>1</v>
      </c>
      <c r="BK266" s="15" t="str">
        <f t="shared" si="1672"/>
        <v>SIGIGUALES</v>
      </c>
      <c r="BL266" s="22" t="str">
        <f t="shared" si="1673"/>
        <v>NO CONFORME</v>
      </c>
    </row>
    <row r="267" spans="1:64" ht="15.75" thickBot="1" x14ac:dyDescent="0.3">
      <c r="A267" s="37">
        <v>259</v>
      </c>
      <c r="B267" s="93">
        <f t="shared" ref="B267:E267" si="1687">B266</f>
        <v>45919</v>
      </c>
      <c r="C267" s="93">
        <f t="shared" si="1687"/>
        <v>45919</v>
      </c>
      <c r="D267" s="94">
        <f t="shared" si="1687"/>
        <v>6</v>
      </c>
      <c r="E267" s="95">
        <f t="shared" si="1687"/>
        <v>15</v>
      </c>
      <c r="F267" s="52"/>
      <c r="G267" s="96"/>
      <c r="H267" s="97">
        <f t="shared" ref="H267:L267" si="1688">H266</f>
        <v>25.6</v>
      </c>
      <c r="I267" s="98">
        <f t="shared" si="1688"/>
        <v>0</v>
      </c>
      <c r="J267" s="99">
        <f t="shared" si="1688"/>
        <v>20.9</v>
      </c>
      <c r="K267" s="99">
        <f t="shared" si="1688"/>
        <v>7.883</v>
      </c>
      <c r="L267" s="99">
        <f t="shared" si="1688"/>
        <v>0.55400000000000005</v>
      </c>
      <c r="M267" s="53"/>
      <c r="N267" s="53"/>
      <c r="O267" s="100">
        <f t="shared" ref="O267:P267" si="1689">O266</f>
        <v>100.62</v>
      </c>
      <c r="P267" s="101" t="str">
        <f t="shared" si="1689"/>
        <v>2,29,560</v>
      </c>
      <c r="Q267" s="11" t="str">
        <f t="shared" si="1316"/>
        <v>2</v>
      </c>
      <c r="R267" s="11" t="str">
        <f t="shared" si="1317"/>
        <v>29,560</v>
      </c>
      <c r="S267" s="11">
        <f t="shared" si="1318"/>
        <v>4.1544444444444446E-2</v>
      </c>
      <c r="T267" s="14">
        <f t="shared" si="1319"/>
        <v>2421.9844878309709</v>
      </c>
      <c r="U267" s="39">
        <f t="shared" si="1320"/>
        <v>-100</v>
      </c>
      <c r="V267" s="105">
        <f t="shared" ref="V267:W267" si="1690">V266</f>
        <v>20.399999999999999</v>
      </c>
      <c r="W267" s="105">
        <f t="shared" si="1690"/>
        <v>1.5069999999999999</v>
      </c>
      <c r="X267" s="106">
        <f t="shared" si="1677"/>
        <v>1.504</v>
      </c>
      <c r="Y267" s="53"/>
      <c r="Z267" s="53"/>
      <c r="AA267" s="107">
        <f t="shared" ref="AA267:AB267" si="1691">AA266</f>
        <v>10.015000000000001</v>
      </c>
      <c r="AB267" s="108" t="str">
        <f t="shared" si="1691"/>
        <v>22,10,090</v>
      </c>
      <c r="AC267" s="11" t="str">
        <f t="shared" si="1323"/>
        <v>22</v>
      </c>
      <c r="AD267" s="11" t="str">
        <f t="shared" si="1324"/>
        <v>10,090</v>
      </c>
      <c r="AE267" s="11">
        <f t="shared" si="1325"/>
        <v>0.36946944444444441</v>
      </c>
      <c r="AF267" s="14">
        <f t="shared" si="1326"/>
        <v>27.106436406558959</v>
      </c>
      <c r="AG267" s="41">
        <f t="shared" si="1327"/>
        <v>-100</v>
      </c>
      <c r="AH267" s="105">
        <f t="shared" ref="AH267:AJ282" si="1692">AH266</f>
        <v>20.3</v>
      </c>
      <c r="AI267" s="105">
        <f t="shared" si="1692"/>
        <v>1.5089999999999999</v>
      </c>
      <c r="AJ267" s="105">
        <f t="shared" si="1692"/>
        <v>1.504</v>
      </c>
      <c r="AK267" s="53">
        <f t="shared" si="1328"/>
        <v>0</v>
      </c>
      <c r="AL267" s="53"/>
      <c r="AM267" s="54">
        <f t="shared" ref="AM267:AN267" si="1693">AM266</f>
        <v>5.0129999999999999</v>
      </c>
      <c r="AN267" s="101" t="str">
        <f t="shared" si="1693"/>
        <v>17,59,050</v>
      </c>
      <c r="AO267" s="11" t="str">
        <f t="shared" si="1330"/>
        <v>17</v>
      </c>
      <c r="AP267" s="11" t="str">
        <f t="shared" si="1331"/>
        <v>59,050</v>
      </c>
      <c r="AQ267" s="11">
        <f t="shared" si="1332"/>
        <v>0.29973611111111109</v>
      </c>
      <c r="AR267" s="14">
        <f t="shared" si="1333"/>
        <v>16.724711551827998</v>
      </c>
      <c r="AS267" s="41">
        <f t="shared" si="1334"/>
        <v>-100</v>
      </c>
      <c r="AT267" s="43" t="str">
        <f t="shared" si="1335"/>
        <v>NO CONFORME</v>
      </c>
      <c r="AU267" s="8" t="b">
        <f t="shared" si="1680"/>
        <v>1</v>
      </c>
      <c r="AV267" s="8" t="b">
        <f t="shared" si="1681"/>
        <v>0</v>
      </c>
      <c r="AW267" s="8" t="b">
        <f t="shared" si="1682"/>
        <v>1</v>
      </c>
      <c r="AX267" s="8" t="str">
        <f t="shared" si="1683"/>
        <v>Qcorrecto</v>
      </c>
      <c r="AY267" s="22" t="str">
        <f t="shared" si="1663"/>
        <v>aceptable</v>
      </c>
      <c r="AZ267" s="22" t="str">
        <f t="shared" si="1664"/>
        <v>aceptable</v>
      </c>
      <c r="BA267" s="22" t="str">
        <f t="shared" si="1684"/>
        <v>aceptable</v>
      </c>
      <c r="BB267" s="25" t="str">
        <f t="shared" si="1685"/>
        <v>NO CONFORME</v>
      </c>
      <c r="BC267" s="5" t="str">
        <f t="shared" si="1686"/>
        <v>NO CONFORME</v>
      </c>
      <c r="BD267" s="15">
        <f t="shared" si="1665"/>
        <v>-1</v>
      </c>
      <c r="BE267" s="15">
        <f t="shared" si="1666"/>
        <v>-1</v>
      </c>
      <c r="BF267" s="15">
        <f t="shared" si="1667"/>
        <v>-1</v>
      </c>
      <c r="BG267" s="15" t="str">
        <f t="shared" si="1668"/>
        <v>-1-1-1</v>
      </c>
      <c r="BH267" s="15" t="str">
        <f t="shared" si="1669"/>
        <v>SD</v>
      </c>
      <c r="BI267" s="15" t="str">
        <f t="shared" si="1670"/>
        <v>SI</v>
      </c>
      <c r="BJ267" s="15" t="b">
        <f t="shared" si="1671"/>
        <v>1</v>
      </c>
      <c r="BK267" s="15" t="str">
        <f t="shared" si="1672"/>
        <v>SIGIGUALES</v>
      </c>
      <c r="BL267" s="22" t="str">
        <f t="shared" si="1673"/>
        <v>NO CONFORME</v>
      </c>
    </row>
    <row r="268" spans="1:64" ht="15.75" thickBot="1" x14ac:dyDescent="0.3">
      <c r="A268" s="37">
        <v>260</v>
      </c>
      <c r="B268" s="93">
        <f t="shared" ref="B268:E268" si="1694">B267</f>
        <v>45919</v>
      </c>
      <c r="C268" s="93">
        <f t="shared" si="1694"/>
        <v>45919</v>
      </c>
      <c r="D268" s="94">
        <f t="shared" si="1694"/>
        <v>6</v>
      </c>
      <c r="E268" s="95">
        <f t="shared" si="1694"/>
        <v>15</v>
      </c>
      <c r="F268" s="52"/>
      <c r="G268" s="96"/>
      <c r="H268" s="97">
        <f t="shared" ref="H268:L268" si="1695">H267</f>
        <v>25.6</v>
      </c>
      <c r="I268" s="98">
        <f t="shared" si="1695"/>
        <v>0</v>
      </c>
      <c r="J268" s="99">
        <f t="shared" si="1695"/>
        <v>20.9</v>
      </c>
      <c r="K268" s="99">
        <f t="shared" si="1695"/>
        <v>7.883</v>
      </c>
      <c r="L268" s="99">
        <f t="shared" si="1695"/>
        <v>0.55400000000000005</v>
      </c>
      <c r="M268" s="53"/>
      <c r="N268" s="53"/>
      <c r="O268" s="100">
        <f t="shared" ref="O268:P268" si="1696">O267</f>
        <v>100.62</v>
      </c>
      <c r="P268" s="101" t="str">
        <f t="shared" si="1696"/>
        <v>2,29,560</v>
      </c>
      <c r="Q268" s="11" t="str">
        <f t="shared" si="1316"/>
        <v>2</v>
      </c>
      <c r="R268" s="11" t="str">
        <f t="shared" si="1317"/>
        <v>29,560</v>
      </c>
      <c r="S268" s="11">
        <f t="shared" si="1318"/>
        <v>4.1544444444444446E-2</v>
      </c>
      <c r="T268" s="14">
        <f t="shared" si="1319"/>
        <v>2421.9844878309709</v>
      </c>
      <c r="U268" s="39">
        <f t="shared" si="1320"/>
        <v>-100</v>
      </c>
      <c r="V268" s="105">
        <f t="shared" ref="V268:W268" si="1697">V267</f>
        <v>20.399999999999999</v>
      </c>
      <c r="W268" s="105">
        <f t="shared" si="1697"/>
        <v>1.5069999999999999</v>
      </c>
      <c r="X268" s="106">
        <f t="shared" si="1677"/>
        <v>1.504</v>
      </c>
      <c r="Y268" s="53"/>
      <c r="Z268" s="53"/>
      <c r="AA268" s="107">
        <f t="shared" ref="AA268:AB268" si="1698">AA267</f>
        <v>10.015000000000001</v>
      </c>
      <c r="AB268" s="108" t="str">
        <f t="shared" si="1698"/>
        <v>22,10,090</v>
      </c>
      <c r="AC268" s="11" t="str">
        <f t="shared" si="1323"/>
        <v>22</v>
      </c>
      <c r="AD268" s="11" t="str">
        <f t="shared" si="1324"/>
        <v>10,090</v>
      </c>
      <c r="AE268" s="11">
        <f t="shared" si="1325"/>
        <v>0.36946944444444441</v>
      </c>
      <c r="AF268" s="14">
        <f t="shared" si="1326"/>
        <v>27.106436406558959</v>
      </c>
      <c r="AG268" s="41">
        <f t="shared" si="1327"/>
        <v>-100</v>
      </c>
      <c r="AH268" s="105">
        <f t="shared" si="1692"/>
        <v>20.3</v>
      </c>
      <c r="AI268" s="105">
        <f t="shared" si="1692"/>
        <v>1.5089999999999999</v>
      </c>
      <c r="AJ268" s="105">
        <f t="shared" si="1692"/>
        <v>1.504</v>
      </c>
      <c r="AK268" s="53">
        <f t="shared" si="1328"/>
        <v>0</v>
      </c>
      <c r="AL268" s="53"/>
      <c r="AM268" s="54">
        <f t="shared" ref="AM268:AN268" si="1699">AM267</f>
        <v>5.0129999999999999</v>
      </c>
      <c r="AN268" s="101" t="str">
        <f t="shared" si="1699"/>
        <v>17,59,050</v>
      </c>
      <c r="AO268" s="11" t="str">
        <f t="shared" si="1330"/>
        <v>17</v>
      </c>
      <c r="AP268" s="11" t="str">
        <f t="shared" si="1331"/>
        <v>59,050</v>
      </c>
      <c r="AQ268" s="11">
        <f t="shared" si="1332"/>
        <v>0.29973611111111109</v>
      </c>
      <c r="AR268" s="14">
        <f t="shared" si="1333"/>
        <v>16.724711551827998</v>
      </c>
      <c r="AS268" s="41">
        <f t="shared" si="1334"/>
        <v>-100</v>
      </c>
      <c r="AT268" s="43" t="str">
        <f t="shared" si="1335"/>
        <v>NO CONFORME</v>
      </c>
      <c r="AU268" s="8" t="b">
        <f t="shared" si="1680"/>
        <v>1</v>
      </c>
      <c r="AV268" s="8" t="b">
        <f t="shared" si="1681"/>
        <v>0</v>
      </c>
      <c r="AW268" s="8" t="b">
        <f t="shared" si="1682"/>
        <v>1</v>
      </c>
      <c r="AX268" s="8" t="str">
        <f t="shared" si="1683"/>
        <v>Qcorrecto</v>
      </c>
      <c r="AY268" s="22" t="str">
        <f t="shared" si="1663"/>
        <v>aceptable</v>
      </c>
      <c r="AZ268" s="22" t="str">
        <f t="shared" si="1664"/>
        <v>aceptable</v>
      </c>
      <c r="BA268" s="22" t="str">
        <f t="shared" si="1684"/>
        <v>aceptable</v>
      </c>
      <c r="BB268" s="25" t="str">
        <f t="shared" si="1685"/>
        <v>NO CONFORME</v>
      </c>
      <c r="BC268" s="5" t="str">
        <f t="shared" si="1686"/>
        <v>NO CONFORME</v>
      </c>
      <c r="BD268" s="15">
        <f t="shared" si="1665"/>
        <v>-1</v>
      </c>
      <c r="BE268" s="15">
        <f t="shared" si="1666"/>
        <v>-1</v>
      </c>
      <c r="BF268" s="15">
        <f t="shared" si="1667"/>
        <v>-1</v>
      </c>
      <c r="BG268" s="15" t="str">
        <f t="shared" si="1668"/>
        <v>-1-1-1</v>
      </c>
      <c r="BH268" s="15" t="str">
        <f t="shared" si="1669"/>
        <v>SD</v>
      </c>
      <c r="BI268" s="15" t="str">
        <f t="shared" si="1670"/>
        <v>SI</v>
      </c>
      <c r="BJ268" s="15" t="b">
        <f t="shared" si="1671"/>
        <v>1</v>
      </c>
      <c r="BK268" s="15" t="str">
        <f t="shared" si="1672"/>
        <v>SIGIGUALES</v>
      </c>
      <c r="BL268" s="22" t="str">
        <f t="shared" si="1673"/>
        <v>NO CONFORME</v>
      </c>
    </row>
    <row r="269" spans="1:64" ht="15.75" thickBot="1" x14ac:dyDescent="0.3">
      <c r="A269" s="37">
        <v>261</v>
      </c>
      <c r="B269" s="93">
        <f t="shared" ref="B269:E269" si="1700">B268</f>
        <v>45919</v>
      </c>
      <c r="C269" s="93">
        <f t="shared" si="1700"/>
        <v>45919</v>
      </c>
      <c r="D269" s="94">
        <f t="shared" si="1700"/>
        <v>6</v>
      </c>
      <c r="E269" s="95">
        <f t="shared" si="1700"/>
        <v>15</v>
      </c>
      <c r="F269" s="52"/>
      <c r="G269" s="96"/>
      <c r="H269" s="97">
        <f t="shared" ref="H269:L269" si="1701">H268</f>
        <v>25.6</v>
      </c>
      <c r="I269" s="98">
        <f t="shared" si="1701"/>
        <v>0</v>
      </c>
      <c r="J269" s="99">
        <f t="shared" si="1701"/>
        <v>20.9</v>
      </c>
      <c r="K269" s="99">
        <f t="shared" si="1701"/>
        <v>7.883</v>
      </c>
      <c r="L269" s="99">
        <f t="shared" si="1701"/>
        <v>0.55400000000000005</v>
      </c>
      <c r="M269" s="53"/>
      <c r="N269" s="53"/>
      <c r="O269" s="100">
        <f t="shared" ref="O269:P269" si="1702">O268</f>
        <v>100.62</v>
      </c>
      <c r="P269" s="101" t="str">
        <f t="shared" si="1702"/>
        <v>2,29,560</v>
      </c>
      <c r="Q269" s="11" t="str">
        <f t="shared" si="1316"/>
        <v>2</v>
      </c>
      <c r="R269" s="11" t="str">
        <f t="shared" si="1317"/>
        <v>29,560</v>
      </c>
      <c r="S269" s="11">
        <f t="shared" si="1318"/>
        <v>4.1544444444444446E-2</v>
      </c>
      <c r="T269" s="14">
        <f t="shared" si="1319"/>
        <v>2421.9844878309709</v>
      </c>
      <c r="U269" s="39">
        <f t="shared" si="1320"/>
        <v>-100</v>
      </c>
      <c r="V269" s="105">
        <f t="shared" ref="V269:W269" si="1703">V268</f>
        <v>20.399999999999999</v>
      </c>
      <c r="W269" s="105">
        <f t="shared" si="1703"/>
        <v>1.5069999999999999</v>
      </c>
      <c r="X269" s="106">
        <f t="shared" si="1677"/>
        <v>1.504</v>
      </c>
      <c r="Y269" s="53"/>
      <c r="Z269" s="53"/>
      <c r="AA269" s="107">
        <f t="shared" ref="AA269:AB269" si="1704">AA268</f>
        <v>10.015000000000001</v>
      </c>
      <c r="AB269" s="108" t="str">
        <f t="shared" si="1704"/>
        <v>22,10,090</v>
      </c>
      <c r="AC269" s="11" t="str">
        <f t="shared" si="1323"/>
        <v>22</v>
      </c>
      <c r="AD269" s="11" t="str">
        <f t="shared" si="1324"/>
        <v>10,090</v>
      </c>
      <c r="AE269" s="11">
        <f t="shared" si="1325"/>
        <v>0.36946944444444441</v>
      </c>
      <c r="AF269" s="14">
        <f t="shared" si="1326"/>
        <v>27.106436406558959</v>
      </c>
      <c r="AG269" s="41">
        <f t="shared" si="1327"/>
        <v>-100</v>
      </c>
      <c r="AH269" s="105">
        <f t="shared" si="1692"/>
        <v>20.3</v>
      </c>
      <c r="AI269" s="105">
        <f t="shared" si="1692"/>
        <v>1.5089999999999999</v>
      </c>
      <c r="AJ269" s="105">
        <f t="shared" si="1692"/>
        <v>1.504</v>
      </c>
      <c r="AK269" s="53">
        <f t="shared" si="1328"/>
        <v>0</v>
      </c>
      <c r="AL269" s="53"/>
      <c r="AM269" s="54">
        <f t="shared" ref="AM269:AN269" si="1705">AM268</f>
        <v>5.0129999999999999</v>
      </c>
      <c r="AN269" s="101" t="str">
        <f t="shared" si="1705"/>
        <v>17,59,050</v>
      </c>
      <c r="AO269" s="11" t="str">
        <f t="shared" si="1330"/>
        <v>17</v>
      </c>
      <c r="AP269" s="11" t="str">
        <f t="shared" si="1331"/>
        <v>59,050</v>
      </c>
      <c r="AQ269" s="11">
        <f t="shared" si="1332"/>
        <v>0.29973611111111109</v>
      </c>
      <c r="AR269" s="14">
        <f t="shared" si="1333"/>
        <v>16.724711551827998</v>
      </c>
      <c r="AS269" s="41">
        <f t="shared" si="1334"/>
        <v>-100</v>
      </c>
      <c r="AT269" s="43" t="str">
        <f t="shared" si="1335"/>
        <v>NO CONFORME</v>
      </c>
      <c r="AU269" s="8" t="b">
        <f t="shared" si="1680"/>
        <v>1</v>
      </c>
      <c r="AV269" s="8" t="b">
        <f t="shared" si="1681"/>
        <v>0</v>
      </c>
      <c r="AW269" s="8" t="b">
        <f t="shared" si="1682"/>
        <v>1</v>
      </c>
      <c r="AX269" s="8" t="str">
        <f t="shared" si="1683"/>
        <v>Qcorrecto</v>
      </c>
      <c r="AY269" s="22" t="str">
        <f t="shared" si="1663"/>
        <v>aceptable</v>
      </c>
      <c r="AZ269" s="22" t="str">
        <f t="shared" si="1664"/>
        <v>aceptable</v>
      </c>
      <c r="BA269" s="22" t="str">
        <f t="shared" si="1684"/>
        <v>aceptable</v>
      </c>
      <c r="BB269" s="25" t="str">
        <f t="shared" si="1685"/>
        <v>NO CONFORME</v>
      </c>
      <c r="BC269" s="5" t="str">
        <f t="shared" si="1686"/>
        <v>NO CONFORME</v>
      </c>
      <c r="BD269" s="15">
        <f t="shared" si="1665"/>
        <v>-1</v>
      </c>
      <c r="BE269" s="15">
        <f t="shared" si="1666"/>
        <v>-1</v>
      </c>
      <c r="BF269" s="15">
        <f t="shared" si="1667"/>
        <v>-1</v>
      </c>
      <c r="BG269" s="15" t="str">
        <f t="shared" si="1668"/>
        <v>-1-1-1</v>
      </c>
      <c r="BH269" s="15" t="str">
        <f t="shared" si="1669"/>
        <v>SD</v>
      </c>
      <c r="BI269" s="15" t="str">
        <f t="shared" si="1670"/>
        <v>SI</v>
      </c>
      <c r="BJ269" s="15" t="b">
        <f t="shared" si="1671"/>
        <v>1</v>
      </c>
      <c r="BK269" s="15" t="str">
        <f t="shared" si="1672"/>
        <v>SIGIGUALES</v>
      </c>
      <c r="BL269" s="22" t="str">
        <f t="shared" si="1673"/>
        <v>NO CONFORME</v>
      </c>
    </row>
    <row r="270" spans="1:64" ht="15.75" thickBot="1" x14ac:dyDescent="0.3">
      <c r="A270" s="37">
        <v>262</v>
      </c>
      <c r="B270" s="93">
        <f t="shared" ref="B270:E270" si="1706">B269</f>
        <v>45919</v>
      </c>
      <c r="C270" s="93">
        <f t="shared" si="1706"/>
        <v>45919</v>
      </c>
      <c r="D270" s="94">
        <f t="shared" si="1706"/>
        <v>6</v>
      </c>
      <c r="E270" s="95">
        <f t="shared" si="1706"/>
        <v>15</v>
      </c>
      <c r="F270" s="52"/>
      <c r="G270" s="96"/>
      <c r="H270" s="97">
        <f t="shared" ref="H270:L270" si="1707">H269</f>
        <v>25.6</v>
      </c>
      <c r="I270" s="98">
        <f t="shared" si="1707"/>
        <v>0</v>
      </c>
      <c r="J270" s="99">
        <f t="shared" si="1707"/>
        <v>20.9</v>
      </c>
      <c r="K270" s="99">
        <f t="shared" si="1707"/>
        <v>7.883</v>
      </c>
      <c r="L270" s="99">
        <f t="shared" si="1707"/>
        <v>0.55400000000000005</v>
      </c>
      <c r="M270" s="53"/>
      <c r="N270" s="53"/>
      <c r="O270" s="100">
        <f t="shared" ref="O270:P270" si="1708">O269</f>
        <v>100.62</v>
      </c>
      <c r="P270" s="101" t="str">
        <f t="shared" si="1708"/>
        <v>2,29,560</v>
      </c>
      <c r="Q270" s="11" t="str">
        <f t="shared" si="1316"/>
        <v>2</v>
      </c>
      <c r="R270" s="11" t="str">
        <f t="shared" si="1317"/>
        <v>29,560</v>
      </c>
      <c r="S270" s="11">
        <f t="shared" si="1318"/>
        <v>4.1544444444444446E-2</v>
      </c>
      <c r="T270" s="14">
        <f t="shared" si="1319"/>
        <v>2421.9844878309709</v>
      </c>
      <c r="U270" s="39">
        <f t="shared" si="1320"/>
        <v>-100</v>
      </c>
      <c r="V270" s="105">
        <f t="shared" ref="V270:W270" si="1709">V269</f>
        <v>20.399999999999999</v>
      </c>
      <c r="W270" s="105">
        <f t="shared" si="1709"/>
        <v>1.5069999999999999</v>
      </c>
      <c r="X270" s="106">
        <f t="shared" si="1677"/>
        <v>1.504</v>
      </c>
      <c r="Y270" s="53"/>
      <c r="Z270" s="53"/>
      <c r="AA270" s="107">
        <f t="shared" ref="AA270:AB270" si="1710">AA269</f>
        <v>10.015000000000001</v>
      </c>
      <c r="AB270" s="108" t="str">
        <f t="shared" si="1710"/>
        <v>22,10,090</v>
      </c>
      <c r="AC270" s="11" t="str">
        <f t="shared" si="1323"/>
        <v>22</v>
      </c>
      <c r="AD270" s="11" t="str">
        <f t="shared" si="1324"/>
        <v>10,090</v>
      </c>
      <c r="AE270" s="11">
        <f t="shared" si="1325"/>
        <v>0.36946944444444441</v>
      </c>
      <c r="AF270" s="14">
        <f t="shared" si="1326"/>
        <v>27.106436406558959</v>
      </c>
      <c r="AG270" s="41">
        <f t="shared" si="1327"/>
        <v>-100</v>
      </c>
      <c r="AH270" s="105">
        <f t="shared" si="1692"/>
        <v>20.3</v>
      </c>
      <c r="AI270" s="105">
        <f t="shared" si="1692"/>
        <v>1.5089999999999999</v>
      </c>
      <c r="AJ270" s="105">
        <f t="shared" si="1692"/>
        <v>1.504</v>
      </c>
      <c r="AK270" s="53">
        <f t="shared" si="1328"/>
        <v>0</v>
      </c>
      <c r="AL270" s="53"/>
      <c r="AM270" s="54">
        <f t="shared" ref="AM270:AN270" si="1711">AM269</f>
        <v>5.0129999999999999</v>
      </c>
      <c r="AN270" s="101" t="str">
        <f t="shared" si="1711"/>
        <v>17,59,050</v>
      </c>
      <c r="AO270" s="11" t="str">
        <f t="shared" si="1330"/>
        <v>17</v>
      </c>
      <c r="AP270" s="11" t="str">
        <f t="shared" si="1331"/>
        <v>59,050</v>
      </c>
      <c r="AQ270" s="11">
        <f t="shared" si="1332"/>
        <v>0.29973611111111109</v>
      </c>
      <c r="AR270" s="14">
        <f t="shared" si="1333"/>
        <v>16.724711551827998</v>
      </c>
      <c r="AS270" s="41">
        <f t="shared" si="1334"/>
        <v>-100</v>
      </c>
      <c r="AT270" s="43" t="str">
        <f t="shared" si="1335"/>
        <v>NO CONFORME</v>
      </c>
      <c r="AU270" s="8" t="b">
        <f t="shared" si="1680"/>
        <v>1</v>
      </c>
      <c r="AV270" s="8" t="b">
        <f t="shared" si="1681"/>
        <v>0</v>
      </c>
      <c r="AW270" s="8" t="b">
        <f t="shared" si="1682"/>
        <v>1</v>
      </c>
      <c r="AX270" s="8" t="str">
        <f t="shared" si="1683"/>
        <v>Qcorrecto</v>
      </c>
      <c r="AY270" s="22" t="str">
        <f t="shared" si="1663"/>
        <v>aceptable</v>
      </c>
      <c r="AZ270" s="22" t="str">
        <f t="shared" si="1664"/>
        <v>aceptable</v>
      </c>
      <c r="BA270" s="22" t="str">
        <f t="shared" si="1684"/>
        <v>aceptable</v>
      </c>
      <c r="BB270" s="25" t="str">
        <f t="shared" si="1685"/>
        <v>NO CONFORME</v>
      </c>
      <c r="BC270" s="5" t="str">
        <f t="shared" si="1686"/>
        <v>NO CONFORME</v>
      </c>
      <c r="BD270" s="15">
        <f t="shared" si="1665"/>
        <v>-1</v>
      </c>
      <c r="BE270" s="15">
        <f t="shared" si="1666"/>
        <v>-1</v>
      </c>
      <c r="BF270" s="15">
        <f t="shared" si="1667"/>
        <v>-1</v>
      </c>
      <c r="BG270" s="15" t="str">
        <f t="shared" si="1668"/>
        <v>-1-1-1</v>
      </c>
      <c r="BH270" s="15" t="str">
        <f t="shared" si="1669"/>
        <v>SD</v>
      </c>
      <c r="BI270" s="15" t="str">
        <f t="shared" si="1670"/>
        <v>SI</v>
      </c>
      <c r="BJ270" s="15" t="b">
        <f t="shared" si="1671"/>
        <v>1</v>
      </c>
      <c r="BK270" s="15" t="str">
        <f t="shared" si="1672"/>
        <v>SIGIGUALES</v>
      </c>
      <c r="BL270" s="22" t="str">
        <f t="shared" si="1673"/>
        <v>NO CONFORME</v>
      </c>
    </row>
    <row r="271" spans="1:64" ht="15.75" thickBot="1" x14ac:dyDescent="0.3">
      <c r="A271" s="37">
        <v>263</v>
      </c>
      <c r="B271" s="93">
        <f t="shared" ref="B271:E271" si="1712">B270</f>
        <v>45919</v>
      </c>
      <c r="C271" s="93">
        <f t="shared" si="1712"/>
        <v>45919</v>
      </c>
      <c r="D271" s="94">
        <f t="shared" si="1712"/>
        <v>6</v>
      </c>
      <c r="E271" s="95">
        <f t="shared" si="1712"/>
        <v>15</v>
      </c>
      <c r="F271" s="52"/>
      <c r="G271" s="96"/>
      <c r="H271" s="97">
        <f t="shared" ref="H271:L271" si="1713">H270</f>
        <v>25.6</v>
      </c>
      <c r="I271" s="98">
        <f t="shared" si="1713"/>
        <v>0</v>
      </c>
      <c r="J271" s="99">
        <f t="shared" si="1713"/>
        <v>20.9</v>
      </c>
      <c r="K271" s="99">
        <f t="shared" si="1713"/>
        <v>7.883</v>
      </c>
      <c r="L271" s="99">
        <f t="shared" si="1713"/>
        <v>0.55400000000000005</v>
      </c>
      <c r="M271" s="53"/>
      <c r="N271" s="53"/>
      <c r="O271" s="100">
        <f t="shared" ref="O271:P271" si="1714">O270</f>
        <v>100.62</v>
      </c>
      <c r="P271" s="101" t="str">
        <f t="shared" si="1714"/>
        <v>2,29,560</v>
      </c>
      <c r="Q271" s="11" t="str">
        <f t="shared" si="1316"/>
        <v>2</v>
      </c>
      <c r="R271" s="11" t="str">
        <f t="shared" si="1317"/>
        <v>29,560</v>
      </c>
      <c r="S271" s="11">
        <f t="shared" si="1318"/>
        <v>4.1544444444444446E-2</v>
      </c>
      <c r="T271" s="14">
        <f t="shared" si="1319"/>
        <v>2421.9844878309709</v>
      </c>
      <c r="U271" s="39">
        <f t="shared" si="1320"/>
        <v>-100</v>
      </c>
      <c r="V271" s="105">
        <f t="shared" ref="V271:W271" si="1715">V270</f>
        <v>20.399999999999999</v>
      </c>
      <c r="W271" s="105">
        <f t="shared" si="1715"/>
        <v>1.5069999999999999</v>
      </c>
      <c r="X271" s="106">
        <f t="shared" si="1677"/>
        <v>1.504</v>
      </c>
      <c r="Y271" s="53"/>
      <c r="Z271" s="53"/>
      <c r="AA271" s="107">
        <f t="shared" ref="AA271:AB271" si="1716">AA270</f>
        <v>10.015000000000001</v>
      </c>
      <c r="AB271" s="108" t="str">
        <f t="shared" si="1716"/>
        <v>22,10,090</v>
      </c>
      <c r="AC271" s="11" t="str">
        <f t="shared" si="1323"/>
        <v>22</v>
      </c>
      <c r="AD271" s="11" t="str">
        <f t="shared" si="1324"/>
        <v>10,090</v>
      </c>
      <c r="AE271" s="11">
        <f t="shared" si="1325"/>
        <v>0.36946944444444441</v>
      </c>
      <c r="AF271" s="14">
        <f t="shared" si="1326"/>
        <v>27.106436406558959</v>
      </c>
      <c r="AG271" s="41">
        <f t="shared" si="1327"/>
        <v>-100</v>
      </c>
      <c r="AH271" s="105">
        <f t="shared" si="1692"/>
        <v>20.3</v>
      </c>
      <c r="AI271" s="105">
        <f t="shared" si="1692"/>
        <v>1.5089999999999999</v>
      </c>
      <c r="AJ271" s="105">
        <f t="shared" si="1692"/>
        <v>1.504</v>
      </c>
      <c r="AK271" s="53">
        <f t="shared" si="1328"/>
        <v>0</v>
      </c>
      <c r="AL271" s="53"/>
      <c r="AM271" s="54">
        <f t="shared" ref="AM271:AN271" si="1717">AM270</f>
        <v>5.0129999999999999</v>
      </c>
      <c r="AN271" s="101" t="str">
        <f t="shared" si="1717"/>
        <v>17,59,050</v>
      </c>
      <c r="AO271" s="11" t="str">
        <f t="shared" si="1330"/>
        <v>17</v>
      </c>
      <c r="AP271" s="11" t="str">
        <f t="shared" si="1331"/>
        <v>59,050</v>
      </c>
      <c r="AQ271" s="11">
        <f t="shared" si="1332"/>
        <v>0.29973611111111109</v>
      </c>
      <c r="AR271" s="14">
        <f t="shared" si="1333"/>
        <v>16.724711551827998</v>
      </c>
      <c r="AS271" s="41">
        <f t="shared" si="1334"/>
        <v>-100</v>
      </c>
      <c r="AT271" s="43" t="str">
        <f t="shared" si="1335"/>
        <v>NO CONFORME</v>
      </c>
      <c r="AU271" s="8" t="b">
        <f t="shared" si="1680"/>
        <v>1</v>
      </c>
      <c r="AV271" s="8" t="b">
        <f t="shared" si="1681"/>
        <v>0</v>
      </c>
      <c r="AW271" s="8" t="b">
        <f t="shared" si="1682"/>
        <v>1</v>
      </c>
      <c r="AX271" s="8" t="str">
        <f t="shared" si="1683"/>
        <v>Qcorrecto</v>
      </c>
      <c r="AY271" s="22" t="str">
        <f t="shared" si="1663"/>
        <v>aceptable</v>
      </c>
      <c r="AZ271" s="22" t="str">
        <f t="shared" si="1664"/>
        <v>aceptable</v>
      </c>
      <c r="BA271" s="22" t="str">
        <f t="shared" si="1684"/>
        <v>aceptable</v>
      </c>
      <c r="BB271" s="25" t="str">
        <f t="shared" si="1685"/>
        <v>NO CONFORME</v>
      </c>
      <c r="BC271" s="5" t="str">
        <f t="shared" si="1686"/>
        <v>NO CONFORME</v>
      </c>
      <c r="BD271" s="15">
        <f t="shared" si="1665"/>
        <v>-1</v>
      </c>
      <c r="BE271" s="15">
        <f t="shared" si="1666"/>
        <v>-1</v>
      </c>
      <c r="BF271" s="15">
        <f t="shared" si="1667"/>
        <v>-1</v>
      </c>
      <c r="BG271" s="15" t="str">
        <f t="shared" si="1668"/>
        <v>-1-1-1</v>
      </c>
      <c r="BH271" s="15" t="str">
        <f t="shared" si="1669"/>
        <v>SD</v>
      </c>
      <c r="BI271" s="15" t="str">
        <f t="shared" si="1670"/>
        <v>SI</v>
      </c>
      <c r="BJ271" s="15" t="b">
        <f t="shared" si="1671"/>
        <v>1</v>
      </c>
      <c r="BK271" s="15" t="str">
        <f t="shared" si="1672"/>
        <v>SIGIGUALES</v>
      </c>
      <c r="BL271" s="22" t="str">
        <f t="shared" si="1673"/>
        <v>NO CONFORME</v>
      </c>
    </row>
    <row r="272" spans="1:64" ht="15.75" thickBot="1" x14ac:dyDescent="0.3">
      <c r="A272" s="37">
        <v>264</v>
      </c>
      <c r="B272" s="93">
        <f t="shared" ref="B272:E272" si="1718">B271</f>
        <v>45919</v>
      </c>
      <c r="C272" s="93">
        <f t="shared" si="1718"/>
        <v>45919</v>
      </c>
      <c r="D272" s="94">
        <f t="shared" si="1718"/>
        <v>6</v>
      </c>
      <c r="E272" s="95">
        <f t="shared" si="1718"/>
        <v>15</v>
      </c>
      <c r="F272" s="52"/>
      <c r="G272" s="96"/>
      <c r="H272" s="97">
        <f t="shared" ref="H272:L272" si="1719">H271</f>
        <v>25.6</v>
      </c>
      <c r="I272" s="98">
        <f t="shared" si="1719"/>
        <v>0</v>
      </c>
      <c r="J272" s="99">
        <f t="shared" si="1719"/>
        <v>20.9</v>
      </c>
      <c r="K272" s="99">
        <f t="shared" si="1719"/>
        <v>7.883</v>
      </c>
      <c r="L272" s="99">
        <f t="shared" si="1719"/>
        <v>0.55400000000000005</v>
      </c>
      <c r="M272" s="53"/>
      <c r="N272" s="53"/>
      <c r="O272" s="100">
        <f t="shared" ref="O272:P272" si="1720">O271</f>
        <v>100.62</v>
      </c>
      <c r="P272" s="101" t="str">
        <f t="shared" si="1720"/>
        <v>2,29,560</v>
      </c>
      <c r="Q272" s="11" t="str">
        <f t="shared" si="1316"/>
        <v>2</v>
      </c>
      <c r="R272" s="11" t="str">
        <f t="shared" si="1317"/>
        <v>29,560</v>
      </c>
      <c r="S272" s="11">
        <f t="shared" si="1318"/>
        <v>4.1544444444444446E-2</v>
      </c>
      <c r="T272" s="14">
        <f t="shared" si="1319"/>
        <v>2421.9844878309709</v>
      </c>
      <c r="U272" s="39">
        <f t="shared" si="1320"/>
        <v>-100</v>
      </c>
      <c r="V272" s="105">
        <f t="shared" ref="V272:W272" si="1721">V271</f>
        <v>20.399999999999999</v>
      </c>
      <c r="W272" s="105">
        <f t="shared" si="1721"/>
        <v>1.5069999999999999</v>
      </c>
      <c r="X272" s="106">
        <f t="shared" si="1677"/>
        <v>1.504</v>
      </c>
      <c r="Y272" s="53"/>
      <c r="Z272" s="53"/>
      <c r="AA272" s="107">
        <f t="shared" ref="AA272:AB272" si="1722">AA271</f>
        <v>10.015000000000001</v>
      </c>
      <c r="AB272" s="108" t="str">
        <f t="shared" si="1722"/>
        <v>22,10,090</v>
      </c>
      <c r="AC272" s="11" t="str">
        <f t="shared" si="1323"/>
        <v>22</v>
      </c>
      <c r="AD272" s="11" t="str">
        <f t="shared" si="1324"/>
        <v>10,090</v>
      </c>
      <c r="AE272" s="11">
        <f t="shared" si="1325"/>
        <v>0.36946944444444441</v>
      </c>
      <c r="AF272" s="14">
        <f t="shared" si="1326"/>
        <v>27.106436406558959</v>
      </c>
      <c r="AG272" s="41">
        <f t="shared" si="1327"/>
        <v>-100</v>
      </c>
      <c r="AH272" s="105">
        <f t="shared" si="1692"/>
        <v>20.3</v>
      </c>
      <c r="AI272" s="105">
        <f t="shared" si="1692"/>
        <v>1.5089999999999999</v>
      </c>
      <c r="AJ272" s="105">
        <f t="shared" si="1692"/>
        <v>1.504</v>
      </c>
      <c r="AK272" s="53">
        <f t="shared" si="1328"/>
        <v>0</v>
      </c>
      <c r="AL272" s="53"/>
      <c r="AM272" s="54">
        <f t="shared" ref="AM272:AN272" si="1723">AM271</f>
        <v>5.0129999999999999</v>
      </c>
      <c r="AN272" s="101" t="str">
        <f t="shared" si="1723"/>
        <v>17,59,050</v>
      </c>
      <c r="AO272" s="11" t="str">
        <f t="shared" si="1330"/>
        <v>17</v>
      </c>
      <c r="AP272" s="11" t="str">
        <f t="shared" si="1331"/>
        <v>59,050</v>
      </c>
      <c r="AQ272" s="11">
        <f t="shared" si="1332"/>
        <v>0.29973611111111109</v>
      </c>
      <c r="AR272" s="14">
        <f t="shared" si="1333"/>
        <v>16.724711551827998</v>
      </c>
      <c r="AS272" s="41">
        <f t="shared" si="1334"/>
        <v>-100</v>
      </c>
      <c r="AT272" s="43" t="str">
        <f t="shared" si="1335"/>
        <v>NO CONFORME</v>
      </c>
      <c r="AU272" s="8" t="b">
        <f t="shared" si="1680"/>
        <v>1</v>
      </c>
      <c r="AV272" s="8" t="b">
        <f t="shared" si="1681"/>
        <v>0</v>
      </c>
      <c r="AW272" s="8" t="b">
        <f t="shared" si="1682"/>
        <v>1</v>
      </c>
      <c r="AX272" s="8" t="str">
        <f t="shared" si="1683"/>
        <v>Qcorrecto</v>
      </c>
      <c r="AY272" s="22" t="str">
        <f t="shared" si="1663"/>
        <v>aceptable</v>
      </c>
      <c r="AZ272" s="22" t="str">
        <f t="shared" si="1664"/>
        <v>aceptable</v>
      </c>
      <c r="BA272" s="22" t="str">
        <f t="shared" si="1684"/>
        <v>aceptable</v>
      </c>
      <c r="BB272" s="25" t="str">
        <f t="shared" si="1685"/>
        <v>NO CONFORME</v>
      </c>
      <c r="BC272" s="5" t="str">
        <f t="shared" si="1686"/>
        <v>NO CONFORME</v>
      </c>
      <c r="BD272" s="15">
        <f t="shared" si="1665"/>
        <v>-1</v>
      </c>
      <c r="BE272" s="15">
        <f t="shared" si="1666"/>
        <v>-1</v>
      </c>
      <c r="BF272" s="15">
        <f t="shared" si="1667"/>
        <v>-1</v>
      </c>
      <c r="BG272" s="15" t="str">
        <f t="shared" si="1668"/>
        <v>-1-1-1</v>
      </c>
      <c r="BH272" s="15" t="str">
        <f t="shared" si="1669"/>
        <v>SD</v>
      </c>
      <c r="BI272" s="15" t="str">
        <f t="shared" si="1670"/>
        <v>SI</v>
      </c>
      <c r="BJ272" s="15" t="b">
        <f t="shared" si="1671"/>
        <v>1</v>
      </c>
      <c r="BK272" s="15" t="str">
        <f t="shared" si="1672"/>
        <v>SIGIGUALES</v>
      </c>
      <c r="BL272" s="22" t="str">
        <f t="shared" si="1673"/>
        <v>NO CONFORME</v>
      </c>
    </row>
    <row r="273" spans="1:64" ht="15.75" thickBot="1" x14ac:dyDescent="0.3">
      <c r="A273" s="37">
        <v>265</v>
      </c>
      <c r="B273" s="93">
        <f t="shared" ref="B273:E273" si="1724">B272</f>
        <v>45919</v>
      </c>
      <c r="C273" s="93">
        <f t="shared" si="1724"/>
        <v>45919</v>
      </c>
      <c r="D273" s="94">
        <f t="shared" si="1724"/>
        <v>6</v>
      </c>
      <c r="E273" s="95">
        <f t="shared" si="1724"/>
        <v>15</v>
      </c>
      <c r="F273" s="52"/>
      <c r="G273" s="96"/>
      <c r="H273" s="97">
        <f t="shared" ref="H273:L273" si="1725">H272</f>
        <v>25.6</v>
      </c>
      <c r="I273" s="98">
        <f t="shared" si="1725"/>
        <v>0</v>
      </c>
      <c r="J273" s="99">
        <f t="shared" si="1725"/>
        <v>20.9</v>
      </c>
      <c r="K273" s="99">
        <f t="shared" si="1725"/>
        <v>7.883</v>
      </c>
      <c r="L273" s="99">
        <f t="shared" si="1725"/>
        <v>0.55400000000000005</v>
      </c>
      <c r="M273" s="53"/>
      <c r="N273" s="53"/>
      <c r="O273" s="100">
        <f t="shared" ref="O273:P273" si="1726">O272</f>
        <v>100.62</v>
      </c>
      <c r="P273" s="101" t="str">
        <f t="shared" si="1726"/>
        <v>2,29,560</v>
      </c>
      <c r="Q273" s="11" t="str">
        <f t="shared" si="1316"/>
        <v>2</v>
      </c>
      <c r="R273" s="11" t="str">
        <f t="shared" si="1317"/>
        <v>29,560</v>
      </c>
      <c r="S273" s="11">
        <f t="shared" si="1318"/>
        <v>4.1544444444444446E-2</v>
      </c>
      <c r="T273" s="14">
        <f t="shared" si="1319"/>
        <v>2421.9844878309709</v>
      </c>
      <c r="U273" s="39">
        <f t="shared" si="1320"/>
        <v>-100</v>
      </c>
      <c r="V273" s="105">
        <f t="shared" ref="V273:W273" si="1727">V272</f>
        <v>20.399999999999999</v>
      </c>
      <c r="W273" s="105">
        <f t="shared" si="1727"/>
        <v>1.5069999999999999</v>
      </c>
      <c r="X273" s="106">
        <f t="shared" si="1677"/>
        <v>1.504</v>
      </c>
      <c r="Y273" s="53"/>
      <c r="Z273" s="53"/>
      <c r="AA273" s="107">
        <f t="shared" ref="AA273:AB273" si="1728">AA272</f>
        <v>10.015000000000001</v>
      </c>
      <c r="AB273" s="108" t="str">
        <f t="shared" si="1728"/>
        <v>22,10,090</v>
      </c>
      <c r="AC273" s="11" t="str">
        <f t="shared" si="1323"/>
        <v>22</v>
      </c>
      <c r="AD273" s="11" t="str">
        <f t="shared" si="1324"/>
        <v>10,090</v>
      </c>
      <c r="AE273" s="11">
        <f t="shared" si="1325"/>
        <v>0.36946944444444441</v>
      </c>
      <c r="AF273" s="14">
        <f t="shared" si="1326"/>
        <v>27.106436406558959</v>
      </c>
      <c r="AG273" s="41">
        <f t="shared" si="1327"/>
        <v>-100</v>
      </c>
      <c r="AH273" s="105">
        <f t="shared" si="1692"/>
        <v>20.3</v>
      </c>
      <c r="AI273" s="105">
        <f t="shared" si="1692"/>
        <v>1.5089999999999999</v>
      </c>
      <c r="AJ273" s="105">
        <f t="shared" si="1692"/>
        <v>1.504</v>
      </c>
      <c r="AK273" s="53">
        <f t="shared" si="1328"/>
        <v>0</v>
      </c>
      <c r="AL273" s="53"/>
      <c r="AM273" s="54">
        <f t="shared" ref="AM273:AN273" si="1729">AM272</f>
        <v>5.0129999999999999</v>
      </c>
      <c r="AN273" s="101" t="str">
        <f t="shared" si="1729"/>
        <v>17,59,050</v>
      </c>
      <c r="AO273" s="11" t="str">
        <f t="shared" si="1330"/>
        <v>17</v>
      </c>
      <c r="AP273" s="11" t="str">
        <f t="shared" si="1331"/>
        <v>59,050</v>
      </c>
      <c r="AQ273" s="11">
        <f t="shared" si="1332"/>
        <v>0.29973611111111109</v>
      </c>
      <c r="AR273" s="14">
        <f t="shared" si="1333"/>
        <v>16.724711551827998</v>
      </c>
      <c r="AS273" s="41">
        <f t="shared" si="1334"/>
        <v>-100</v>
      </c>
      <c r="AT273" s="43" t="str">
        <f t="shared" si="1335"/>
        <v>NO CONFORME</v>
      </c>
      <c r="AU273" s="8" t="b">
        <f t="shared" si="1680"/>
        <v>1</v>
      </c>
      <c r="AV273" s="8" t="b">
        <f t="shared" si="1681"/>
        <v>0</v>
      </c>
      <c r="AW273" s="8" t="b">
        <f t="shared" si="1682"/>
        <v>1</v>
      </c>
      <c r="AX273" s="8" t="str">
        <f t="shared" si="1683"/>
        <v>Qcorrecto</v>
      </c>
      <c r="AY273" s="22" t="str">
        <f t="shared" si="1663"/>
        <v>aceptable</v>
      </c>
      <c r="AZ273" s="22" t="str">
        <f t="shared" si="1664"/>
        <v>aceptable</v>
      </c>
      <c r="BA273" s="22" t="str">
        <f t="shared" si="1684"/>
        <v>aceptable</v>
      </c>
      <c r="BB273" s="25" t="str">
        <f t="shared" si="1685"/>
        <v>NO CONFORME</v>
      </c>
      <c r="BC273" s="5" t="str">
        <f t="shared" si="1686"/>
        <v>NO CONFORME</v>
      </c>
      <c r="BD273" s="15">
        <f t="shared" si="1665"/>
        <v>-1</v>
      </c>
      <c r="BE273" s="15">
        <f t="shared" si="1666"/>
        <v>-1</v>
      </c>
      <c r="BF273" s="15">
        <f t="shared" si="1667"/>
        <v>-1</v>
      </c>
      <c r="BG273" s="15" t="str">
        <f t="shared" si="1668"/>
        <v>-1-1-1</v>
      </c>
      <c r="BH273" s="15" t="str">
        <f t="shared" si="1669"/>
        <v>SD</v>
      </c>
      <c r="BI273" s="15" t="str">
        <f t="shared" si="1670"/>
        <v>SI</v>
      </c>
      <c r="BJ273" s="15" t="b">
        <f t="shared" si="1671"/>
        <v>1</v>
      </c>
      <c r="BK273" s="15" t="str">
        <f t="shared" si="1672"/>
        <v>SIGIGUALES</v>
      </c>
      <c r="BL273" s="22" t="str">
        <f t="shared" si="1673"/>
        <v>NO CONFORME</v>
      </c>
    </row>
    <row r="274" spans="1:64" ht="15.75" thickBot="1" x14ac:dyDescent="0.3">
      <c r="A274" s="37">
        <v>266</v>
      </c>
      <c r="B274" s="93">
        <f t="shared" ref="B274:E274" si="1730">B273</f>
        <v>45919</v>
      </c>
      <c r="C274" s="93">
        <f t="shared" si="1730"/>
        <v>45919</v>
      </c>
      <c r="D274" s="94">
        <f t="shared" si="1730"/>
        <v>6</v>
      </c>
      <c r="E274" s="95">
        <f t="shared" si="1730"/>
        <v>15</v>
      </c>
      <c r="F274" s="52"/>
      <c r="G274" s="96"/>
      <c r="H274" s="97">
        <f t="shared" ref="H274:L274" si="1731">H273</f>
        <v>25.6</v>
      </c>
      <c r="I274" s="98">
        <f t="shared" si="1731"/>
        <v>0</v>
      </c>
      <c r="J274" s="99">
        <f t="shared" si="1731"/>
        <v>20.9</v>
      </c>
      <c r="K274" s="99">
        <f t="shared" si="1731"/>
        <v>7.883</v>
      </c>
      <c r="L274" s="99">
        <f t="shared" si="1731"/>
        <v>0.55400000000000005</v>
      </c>
      <c r="M274" s="53"/>
      <c r="N274" s="53"/>
      <c r="O274" s="100">
        <f t="shared" ref="O274:P274" si="1732">O273</f>
        <v>100.62</v>
      </c>
      <c r="P274" s="101" t="str">
        <f t="shared" si="1732"/>
        <v>2,29,560</v>
      </c>
      <c r="Q274" s="11" t="str">
        <f t="shared" si="1316"/>
        <v>2</v>
      </c>
      <c r="R274" s="11" t="str">
        <f t="shared" si="1317"/>
        <v>29,560</v>
      </c>
      <c r="S274" s="11">
        <f t="shared" si="1318"/>
        <v>4.1544444444444446E-2</v>
      </c>
      <c r="T274" s="14">
        <f t="shared" si="1319"/>
        <v>2421.9844878309709</v>
      </c>
      <c r="U274" s="39">
        <f t="shared" si="1320"/>
        <v>-100</v>
      </c>
      <c r="V274" s="105">
        <f t="shared" ref="V274:W274" si="1733">V273</f>
        <v>20.399999999999999</v>
      </c>
      <c r="W274" s="105">
        <f t="shared" si="1733"/>
        <v>1.5069999999999999</v>
      </c>
      <c r="X274" s="106">
        <f t="shared" si="1677"/>
        <v>1.504</v>
      </c>
      <c r="Y274" s="53"/>
      <c r="Z274" s="53"/>
      <c r="AA274" s="107">
        <f t="shared" ref="AA274:AB274" si="1734">AA273</f>
        <v>10.015000000000001</v>
      </c>
      <c r="AB274" s="108" t="str">
        <f t="shared" si="1734"/>
        <v>22,10,090</v>
      </c>
      <c r="AC274" s="11" t="str">
        <f t="shared" si="1323"/>
        <v>22</v>
      </c>
      <c r="AD274" s="11" t="str">
        <f t="shared" si="1324"/>
        <v>10,090</v>
      </c>
      <c r="AE274" s="11">
        <f t="shared" si="1325"/>
        <v>0.36946944444444441</v>
      </c>
      <c r="AF274" s="14">
        <f t="shared" si="1326"/>
        <v>27.106436406558959</v>
      </c>
      <c r="AG274" s="41">
        <f t="shared" si="1327"/>
        <v>-100</v>
      </c>
      <c r="AH274" s="105">
        <f t="shared" si="1692"/>
        <v>20.3</v>
      </c>
      <c r="AI274" s="105">
        <f t="shared" si="1692"/>
        <v>1.5089999999999999</v>
      </c>
      <c r="AJ274" s="105">
        <f t="shared" si="1692"/>
        <v>1.504</v>
      </c>
      <c r="AK274" s="53">
        <f t="shared" si="1328"/>
        <v>0</v>
      </c>
      <c r="AL274" s="53"/>
      <c r="AM274" s="54">
        <f t="shared" ref="AM274:AN274" si="1735">AM273</f>
        <v>5.0129999999999999</v>
      </c>
      <c r="AN274" s="101" t="str">
        <f t="shared" si="1735"/>
        <v>17,59,050</v>
      </c>
      <c r="AO274" s="11" t="str">
        <f t="shared" si="1330"/>
        <v>17</v>
      </c>
      <c r="AP274" s="11" t="str">
        <f t="shared" si="1331"/>
        <v>59,050</v>
      </c>
      <c r="AQ274" s="11">
        <f t="shared" si="1332"/>
        <v>0.29973611111111109</v>
      </c>
      <c r="AR274" s="14">
        <f t="shared" si="1333"/>
        <v>16.724711551827998</v>
      </c>
      <c r="AS274" s="41">
        <f t="shared" si="1334"/>
        <v>-100</v>
      </c>
      <c r="AT274" s="43" t="str">
        <f t="shared" si="1335"/>
        <v>NO CONFORME</v>
      </c>
      <c r="AU274" s="8" t="b">
        <f t="shared" si="1680"/>
        <v>1</v>
      </c>
      <c r="AV274" s="8" t="b">
        <f t="shared" si="1681"/>
        <v>0</v>
      </c>
      <c r="AW274" s="8" t="b">
        <f t="shared" si="1682"/>
        <v>1</v>
      </c>
      <c r="AX274" s="8" t="str">
        <f t="shared" si="1683"/>
        <v>Qcorrecto</v>
      </c>
      <c r="AY274" s="22" t="str">
        <f t="shared" si="1663"/>
        <v>aceptable</v>
      </c>
      <c r="AZ274" s="22" t="str">
        <f t="shared" si="1664"/>
        <v>aceptable</v>
      </c>
      <c r="BA274" s="22" t="str">
        <f t="shared" si="1684"/>
        <v>aceptable</v>
      </c>
      <c r="BB274" s="25" t="str">
        <f t="shared" si="1685"/>
        <v>NO CONFORME</v>
      </c>
      <c r="BC274" s="5" t="str">
        <f t="shared" si="1686"/>
        <v>NO CONFORME</v>
      </c>
      <c r="BD274" s="15">
        <f t="shared" si="1665"/>
        <v>-1</v>
      </c>
      <c r="BE274" s="15">
        <f t="shared" si="1666"/>
        <v>-1</v>
      </c>
      <c r="BF274" s="15">
        <f t="shared" si="1667"/>
        <v>-1</v>
      </c>
      <c r="BG274" s="15" t="str">
        <f t="shared" si="1668"/>
        <v>-1-1-1</v>
      </c>
      <c r="BH274" s="15" t="str">
        <f t="shared" si="1669"/>
        <v>SD</v>
      </c>
      <c r="BI274" s="15" t="str">
        <f t="shared" si="1670"/>
        <v>SI</v>
      </c>
      <c r="BJ274" s="15" t="b">
        <f t="shared" si="1671"/>
        <v>1</v>
      </c>
      <c r="BK274" s="15" t="str">
        <f t="shared" si="1672"/>
        <v>SIGIGUALES</v>
      </c>
      <c r="BL274" s="22" t="str">
        <f t="shared" si="1673"/>
        <v>NO CONFORME</v>
      </c>
    </row>
    <row r="275" spans="1:64" ht="15.75" thickBot="1" x14ac:dyDescent="0.3">
      <c r="A275" s="37">
        <v>267</v>
      </c>
      <c r="B275" s="93">
        <f t="shared" ref="B275:E275" si="1736">B274</f>
        <v>45919</v>
      </c>
      <c r="C275" s="93">
        <f t="shared" si="1736"/>
        <v>45919</v>
      </c>
      <c r="D275" s="94">
        <f t="shared" si="1736"/>
        <v>6</v>
      </c>
      <c r="E275" s="95">
        <f t="shared" si="1736"/>
        <v>15</v>
      </c>
      <c r="F275" s="52"/>
      <c r="G275" s="96"/>
      <c r="H275" s="97">
        <f t="shared" ref="H275:L275" si="1737">H274</f>
        <v>25.6</v>
      </c>
      <c r="I275" s="98">
        <f t="shared" si="1737"/>
        <v>0</v>
      </c>
      <c r="J275" s="99">
        <f t="shared" si="1737"/>
        <v>20.9</v>
      </c>
      <c r="K275" s="99">
        <f t="shared" si="1737"/>
        <v>7.883</v>
      </c>
      <c r="L275" s="99">
        <f t="shared" si="1737"/>
        <v>0.55400000000000005</v>
      </c>
      <c r="M275" s="53"/>
      <c r="N275" s="53"/>
      <c r="O275" s="100">
        <f t="shared" ref="O275:P275" si="1738">O274</f>
        <v>100.62</v>
      </c>
      <c r="P275" s="101" t="str">
        <f t="shared" si="1738"/>
        <v>2,29,560</v>
      </c>
      <c r="Q275" s="11" t="str">
        <f t="shared" ref="Q275:Q338" si="1739">LEFT(P275,1)</f>
        <v>2</v>
      </c>
      <c r="R275" s="11" t="str">
        <f t="shared" ref="R275:R338" si="1740">RIGHT(P275,6)</f>
        <v>29,560</v>
      </c>
      <c r="S275" s="11">
        <f t="shared" ref="S275:S338" si="1741">+(Q275*60+R275)/(60*60)</f>
        <v>4.1544444444444446E-2</v>
      </c>
      <c r="T275" s="14">
        <f t="shared" ref="T275:T338" si="1742">+O275/S275</f>
        <v>2421.9844878309709</v>
      </c>
      <c r="U275" s="39">
        <f t="shared" ref="U275:U338" si="1743">+(((N275-M275-O275)/O275)*100)</f>
        <v>-100</v>
      </c>
      <c r="V275" s="105">
        <f t="shared" ref="V275:W275" si="1744">V274</f>
        <v>20.399999999999999</v>
      </c>
      <c r="W275" s="105">
        <f t="shared" si="1744"/>
        <v>1.5069999999999999</v>
      </c>
      <c r="X275" s="106">
        <f t="shared" si="1677"/>
        <v>1.504</v>
      </c>
      <c r="Y275" s="53"/>
      <c r="Z275" s="53"/>
      <c r="AA275" s="107">
        <f t="shared" ref="AA275:AB275" si="1745">AA274</f>
        <v>10.015000000000001</v>
      </c>
      <c r="AB275" s="108" t="str">
        <f t="shared" si="1745"/>
        <v>22,10,090</v>
      </c>
      <c r="AC275" s="11" t="str">
        <f t="shared" ref="AC275:AC338" si="1746">LEFT(AB275,2)</f>
        <v>22</v>
      </c>
      <c r="AD275" s="11" t="str">
        <f t="shared" ref="AD275:AD338" si="1747">RIGHT(AB275,6)</f>
        <v>10,090</v>
      </c>
      <c r="AE275" s="11">
        <f t="shared" ref="AE275:AE338" si="1748">+(AC275*60+AD275)/(60*60)</f>
        <v>0.36946944444444441</v>
      </c>
      <c r="AF275" s="14">
        <f t="shared" ref="AF275:AF338" si="1749">+AA275/AE275</f>
        <v>27.106436406558959</v>
      </c>
      <c r="AG275" s="41">
        <f t="shared" ref="AG275:AG338" si="1750">+(((Z275-Y275-AA275)/AA275)*100)</f>
        <v>-100</v>
      </c>
      <c r="AH275" s="105">
        <f t="shared" si="1692"/>
        <v>20.3</v>
      </c>
      <c r="AI275" s="105">
        <f t="shared" si="1692"/>
        <v>1.5089999999999999</v>
      </c>
      <c r="AJ275" s="105">
        <f t="shared" si="1692"/>
        <v>1.504</v>
      </c>
      <c r="AK275" s="53">
        <f t="shared" ref="AK275:AK338" si="1751">Z275</f>
        <v>0</v>
      </c>
      <c r="AL275" s="53"/>
      <c r="AM275" s="54">
        <f t="shared" ref="AM275:AN275" si="1752">AM274</f>
        <v>5.0129999999999999</v>
      </c>
      <c r="AN275" s="101" t="str">
        <f t="shared" si="1752"/>
        <v>17,59,050</v>
      </c>
      <c r="AO275" s="11" t="str">
        <f t="shared" ref="AO275:AO338" si="1753">LEFT(AN275,2)</f>
        <v>17</v>
      </c>
      <c r="AP275" s="11" t="str">
        <f t="shared" ref="AP275:AP338" si="1754">RIGHT(AN275,6)</f>
        <v>59,050</v>
      </c>
      <c r="AQ275" s="11">
        <f t="shared" ref="AQ275:AQ338" si="1755">+(AO275*60+AP275)/(60*60)</f>
        <v>0.29973611111111109</v>
      </c>
      <c r="AR275" s="14">
        <f t="shared" ref="AR275:AR338" si="1756">+AM275/AQ275</f>
        <v>16.724711551827998</v>
      </c>
      <c r="AS275" s="41">
        <f t="shared" ref="AS275:AS338" si="1757">+(((AL275-AK275-AM275)/AM275)*100)</f>
        <v>-100</v>
      </c>
      <c r="AT275" s="43" t="str">
        <f t="shared" ref="AT275:AT338" si="1758">IF(I275&gt;=1,"NO CONFORME",IF(BK275="SIGDIFERENTES",BC275,BL275))</f>
        <v>NO CONFORME</v>
      </c>
      <c r="AU275" s="8" t="b">
        <f t="shared" si="1680"/>
        <v>1</v>
      </c>
      <c r="AV275" s="8" t="b">
        <f t="shared" si="1681"/>
        <v>0</v>
      </c>
      <c r="AW275" s="8" t="b">
        <f t="shared" si="1682"/>
        <v>1</v>
      </c>
      <c r="AX275" s="8" t="str">
        <f t="shared" si="1683"/>
        <v>Qcorrecto</v>
      </c>
      <c r="AY275" s="22" t="str">
        <f t="shared" si="1663"/>
        <v>aceptable</v>
      </c>
      <c r="AZ275" s="22" t="str">
        <f t="shared" si="1664"/>
        <v>aceptable</v>
      </c>
      <c r="BA275" s="22" t="str">
        <f t="shared" si="1684"/>
        <v>aceptable</v>
      </c>
      <c r="BB275" s="25" t="str">
        <f t="shared" si="1685"/>
        <v>NO CONFORME</v>
      </c>
      <c r="BC275" s="5" t="str">
        <f t="shared" si="1686"/>
        <v>NO CONFORME</v>
      </c>
      <c r="BD275" s="15">
        <f t="shared" si="1665"/>
        <v>-1</v>
      </c>
      <c r="BE275" s="15">
        <f t="shared" si="1666"/>
        <v>-1</v>
      </c>
      <c r="BF275" s="15">
        <f t="shared" si="1667"/>
        <v>-1</v>
      </c>
      <c r="BG275" s="15" t="str">
        <f t="shared" si="1668"/>
        <v>-1-1-1</v>
      </c>
      <c r="BH275" s="15" t="str">
        <f t="shared" si="1669"/>
        <v>SD</v>
      </c>
      <c r="BI275" s="15" t="str">
        <f t="shared" si="1670"/>
        <v>SI</v>
      </c>
      <c r="BJ275" s="15" t="b">
        <f t="shared" si="1671"/>
        <v>1</v>
      </c>
      <c r="BK275" s="15" t="str">
        <f t="shared" si="1672"/>
        <v>SIGIGUALES</v>
      </c>
      <c r="BL275" s="22" t="str">
        <f t="shared" si="1673"/>
        <v>NO CONFORME</v>
      </c>
    </row>
    <row r="276" spans="1:64" ht="15.75" thickBot="1" x14ac:dyDescent="0.3">
      <c r="A276" s="37">
        <v>268</v>
      </c>
      <c r="B276" s="93">
        <f t="shared" ref="B276:E276" si="1759">B275</f>
        <v>45919</v>
      </c>
      <c r="C276" s="93">
        <f t="shared" si="1759"/>
        <v>45919</v>
      </c>
      <c r="D276" s="94">
        <f t="shared" si="1759"/>
        <v>6</v>
      </c>
      <c r="E276" s="95">
        <f t="shared" si="1759"/>
        <v>15</v>
      </c>
      <c r="F276" s="52"/>
      <c r="G276" s="96"/>
      <c r="H276" s="97">
        <f t="shared" ref="H276:L276" si="1760">H275</f>
        <v>25.6</v>
      </c>
      <c r="I276" s="98">
        <f t="shared" si="1760"/>
        <v>0</v>
      </c>
      <c r="J276" s="99">
        <f t="shared" si="1760"/>
        <v>20.9</v>
      </c>
      <c r="K276" s="99">
        <f t="shared" si="1760"/>
        <v>7.883</v>
      </c>
      <c r="L276" s="99">
        <f t="shared" si="1760"/>
        <v>0.55400000000000005</v>
      </c>
      <c r="M276" s="53"/>
      <c r="N276" s="53"/>
      <c r="O276" s="100">
        <f t="shared" ref="O276:P276" si="1761">O275</f>
        <v>100.62</v>
      </c>
      <c r="P276" s="101" t="str">
        <f t="shared" si="1761"/>
        <v>2,29,560</v>
      </c>
      <c r="Q276" s="11" t="str">
        <f t="shared" si="1739"/>
        <v>2</v>
      </c>
      <c r="R276" s="11" t="str">
        <f t="shared" si="1740"/>
        <v>29,560</v>
      </c>
      <c r="S276" s="11">
        <f t="shared" si="1741"/>
        <v>4.1544444444444446E-2</v>
      </c>
      <c r="T276" s="14">
        <f t="shared" si="1742"/>
        <v>2421.9844878309709</v>
      </c>
      <c r="U276" s="39">
        <f t="shared" si="1743"/>
        <v>-100</v>
      </c>
      <c r="V276" s="105">
        <f t="shared" ref="V276:W276" si="1762">V275</f>
        <v>20.399999999999999</v>
      </c>
      <c r="W276" s="105">
        <f t="shared" si="1762"/>
        <v>1.5069999999999999</v>
      </c>
      <c r="X276" s="106">
        <f t="shared" si="1677"/>
        <v>1.504</v>
      </c>
      <c r="Y276" s="53"/>
      <c r="Z276" s="53"/>
      <c r="AA276" s="107">
        <f t="shared" ref="AA276:AB276" si="1763">AA275</f>
        <v>10.015000000000001</v>
      </c>
      <c r="AB276" s="108" t="str">
        <f t="shared" si="1763"/>
        <v>22,10,090</v>
      </c>
      <c r="AC276" s="11" t="str">
        <f t="shared" si="1746"/>
        <v>22</v>
      </c>
      <c r="AD276" s="11" t="str">
        <f t="shared" si="1747"/>
        <v>10,090</v>
      </c>
      <c r="AE276" s="11">
        <f t="shared" si="1748"/>
        <v>0.36946944444444441</v>
      </c>
      <c r="AF276" s="14">
        <f t="shared" si="1749"/>
        <v>27.106436406558959</v>
      </c>
      <c r="AG276" s="41">
        <f t="shared" si="1750"/>
        <v>-100</v>
      </c>
      <c r="AH276" s="105">
        <f t="shared" si="1692"/>
        <v>20.3</v>
      </c>
      <c r="AI276" s="105">
        <f t="shared" si="1692"/>
        <v>1.5089999999999999</v>
      </c>
      <c r="AJ276" s="105">
        <f t="shared" si="1692"/>
        <v>1.504</v>
      </c>
      <c r="AK276" s="53">
        <f t="shared" si="1751"/>
        <v>0</v>
      </c>
      <c r="AL276" s="53"/>
      <c r="AM276" s="54">
        <f t="shared" ref="AM276:AN276" si="1764">AM275</f>
        <v>5.0129999999999999</v>
      </c>
      <c r="AN276" s="101" t="str">
        <f t="shared" si="1764"/>
        <v>17,59,050</v>
      </c>
      <c r="AO276" s="11" t="str">
        <f t="shared" si="1753"/>
        <v>17</v>
      </c>
      <c r="AP276" s="11" t="str">
        <f t="shared" si="1754"/>
        <v>59,050</v>
      </c>
      <c r="AQ276" s="11">
        <f t="shared" si="1755"/>
        <v>0.29973611111111109</v>
      </c>
      <c r="AR276" s="14">
        <f t="shared" si="1756"/>
        <v>16.724711551827998</v>
      </c>
      <c r="AS276" s="41">
        <f t="shared" si="1757"/>
        <v>-100</v>
      </c>
      <c r="AT276" s="43" t="str">
        <f t="shared" si="1758"/>
        <v>NO CONFORME</v>
      </c>
      <c r="AU276" s="8" t="b">
        <f t="shared" si="1680"/>
        <v>1</v>
      </c>
      <c r="AV276" s="8" t="b">
        <f t="shared" si="1681"/>
        <v>0</v>
      </c>
      <c r="AW276" s="8" t="b">
        <f t="shared" si="1682"/>
        <v>1</v>
      </c>
      <c r="AX276" s="8" t="str">
        <f t="shared" si="1683"/>
        <v>Qcorrecto</v>
      </c>
      <c r="AY276" s="22" t="str">
        <f t="shared" si="1663"/>
        <v>aceptable</v>
      </c>
      <c r="AZ276" s="22" t="str">
        <f t="shared" si="1664"/>
        <v>aceptable</v>
      </c>
      <c r="BA276" s="22" t="str">
        <f t="shared" si="1684"/>
        <v>aceptable</v>
      </c>
      <c r="BB276" s="25" t="str">
        <f t="shared" si="1685"/>
        <v>NO CONFORME</v>
      </c>
      <c r="BC276" s="5" t="str">
        <f t="shared" si="1686"/>
        <v>NO CONFORME</v>
      </c>
      <c r="BD276" s="15">
        <f t="shared" si="1665"/>
        <v>-1</v>
      </c>
      <c r="BE276" s="15">
        <f t="shared" si="1666"/>
        <v>-1</v>
      </c>
      <c r="BF276" s="15">
        <f t="shared" si="1667"/>
        <v>-1</v>
      </c>
      <c r="BG276" s="15" t="str">
        <f t="shared" si="1668"/>
        <v>-1-1-1</v>
      </c>
      <c r="BH276" s="15" t="str">
        <f t="shared" si="1669"/>
        <v>SD</v>
      </c>
      <c r="BI276" s="15" t="str">
        <f t="shared" si="1670"/>
        <v>SI</v>
      </c>
      <c r="BJ276" s="15" t="b">
        <f t="shared" si="1671"/>
        <v>1</v>
      </c>
      <c r="BK276" s="15" t="str">
        <f t="shared" si="1672"/>
        <v>SIGIGUALES</v>
      </c>
      <c r="BL276" s="22" t="str">
        <f t="shared" si="1673"/>
        <v>NO CONFORME</v>
      </c>
    </row>
    <row r="277" spans="1:64" ht="15.75" thickBot="1" x14ac:dyDescent="0.3">
      <c r="A277" s="37">
        <v>269</v>
      </c>
      <c r="B277" s="93">
        <f t="shared" ref="B277:E277" si="1765">B276</f>
        <v>45919</v>
      </c>
      <c r="C277" s="93">
        <f t="shared" si="1765"/>
        <v>45919</v>
      </c>
      <c r="D277" s="94">
        <f t="shared" si="1765"/>
        <v>6</v>
      </c>
      <c r="E277" s="95">
        <f t="shared" si="1765"/>
        <v>15</v>
      </c>
      <c r="F277" s="52"/>
      <c r="G277" s="96"/>
      <c r="H277" s="97">
        <f t="shared" ref="H277:L277" si="1766">H276</f>
        <v>25.6</v>
      </c>
      <c r="I277" s="98">
        <f t="shared" si="1766"/>
        <v>0</v>
      </c>
      <c r="J277" s="99">
        <f t="shared" si="1766"/>
        <v>20.9</v>
      </c>
      <c r="K277" s="99">
        <f t="shared" si="1766"/>
        <v>7.883</v>
      </c>
      <c r="L277" s="99">
        <f t="shared" si="1766"/>
        <v>0.55400000000000005</v>
      </c>
      <c r="M277" s="53"/>
      <c r="N277" s="53"/>
      <c r="O277" s="100">
        <f t="shared" ref="O277:P277" si="1767">O276</f>
        <v>100.62</v>
      </c>
      <c r="P277" s="101" t="str">
        <f t="shared" si="1767"/>
        <v>2,29,560</v>
      </c>
      <c r="Q277" s="11" t="str">
        <f t="shared" si="1739"/>
        <v>2</v>
      </c>
      <c r="R277" s="11" t="str">
        <f t="shared" si="1740"/>
        <v>29,560</v>
      </c>
      <c r="S277" s="11">
        <f t="shared" si="1741"/>
        <v>4.1544444444444446E-2</v>
      </c>
      <c r="T277" s="14">
        <f t="shared" si="1742"/>
        <v>2421.9844878309709</v>
      </c>
      <c r="U277" s="39">
        <f t="shared" si="1743"/>
        <v>-100</v>
      </c>
      <c r="V277" s="105">
        <f t="shared" ref="V277:W277" si="1768">V276</f>
        <v>20.399999999999999</v>
      </c>
      <c r="W277" s="105">
        <f t="shared" si="1768"/>
        <v>1.5069999999999999</v>
      </c>
      <c r="X277" s="106">
        <f t="shared" si="1677"/>
        <v>1.504</v>
      </c>
      <c r="Y277" s="53"/>
      <c r="Z277" s="53"/>
      <c r="AA277" s="107">
        <f t="shared" ref="AA277:AB277" si="1769">AA276</f>
        <v>10.015000000000001</v>
      </c>
      <c r="AB277" s="108" t="str">
        <f t="shared" si="1769"/>
        <v>22,10,090</v>
      </c>
      <c r="AC277" s="11" t="str">
        <f t="shared" si="1746"/>
        <v>22</v>
      </c>
      <c r="AD277" s="11" t="str">
        <f t="shared" si="1747"/>
        <v>10,090</v>
      </c>
      <c r="AE277" s="11">
        <f t="shared" si="1748"/>
        <v>0.36946944444444441</v>
      </c>
      <c r="AF277" s="14">
        <f t="shared" si="1749"/>
        <v>27.106436406558959</v>
      </c>
      <c r="AG277" s="41">
        <f t="shared" si="1750"/>
        <v>-100</v>
      </c>
      <c r="AH277" s="105">
        <f t="shared" si="1692"/>
        <v>20.3</v>
      </c>
      <c r="AI277" s="105">
        <f t="shared" si="1692"/>
        <v>1.5089999999999999</v>
      </c>
      <c r="AJ277" s="105">
        <f t="shared" si="1692"/>
        <v>1.504</v>
      </c>
      <c r="AK277" s="53">
        <f t="shared" si="1751"/>
        <v>0</v>
      </c>
      <c r="AL277" s="53"/>
      <c r="AM277" s="54">
        <f t="shared" ref="AM277:AN277" si="1770">AM276</f>
        <v>5.0129999999999999</v>
      </c>
      <c r="AN277" s="101" t="str">
        <f t="shared" si="1770"/>
        <v>17,59,050</v>
      </c>
      <c r="AO277" s="11" t="str">
        <f t="shared" si="1753"/>
        <v>17</v>
      </c>
      <c r="AP277" s="11" t="str">
        <f t="shared" si="1754"/>
        <v>59,050</v>
      </c>
      <c r="AQ277" s="11">
        <f t="shared" si="1755"/>
        <v>0.29973611111111109</v>
      </c>
      <c r="AR277" s="14">
        <f t="shared" si="1756"/>
        <v>16.724711551827998</v>
      </c>
      <c r="AS277" s="41">
        <f t="shared" si="1757"/>
        <v>-100</v>
      </c>
      <c r="AT277" s="43" t="str">
        <f t="shared" si="1758"/>
        <v>NO CONFORME</v>
      </c>
      <c r="AU277" s="8" t="b">
        <f t="shared" si="1680"/>
        <v>1</v>
      </c>
      <c r="AV277" s="8" t="b">
        <f t="shared" si="1681"/>
        <v>0</v>
      </c>
      <c r="AW277" s="8" t="b">
        <f t="shared" si="1682"/>
        <v>1</v>
      </c>
      <c r="AX277" s="8" t="str">
        <f t="shared" si="1683"/>
        <v>Qcorrecto</v>
      </c>
      <c r="AY277" s="22" t="str">
        <f t="shared" si="1663"/>
        <v>aceptable</v>
      </c>
      <c r="AZ277" s="22" t="str">
        <f t="shared" si="1664"/>
        <v>aceptable</v>
      </c>
      <c r="BA277" s="22" t="str">
        <f t="shared" si="1684"/>
        <v>aceptable</v>
      </c>
      <c r="BB277" s="25" t="str">
        <f t="shared" si="1685"/>
        <v>NO CONFORME</v>
      </c>
      <c r="BC277" s="5" t="str">
        <f t="shared" si="1686"/>
        <v>NO CONFORME</v>
      </c>
      <c r="BD277" s="15">
        <f t="shared" si="1665"/>
        <v>-1</v>
      </c>
      <c r="BE277" s="15">
        <f t="shared" si="1666"/>
        <v>-1</v>
      </c>
      <c r="BF277" s="15">
        <f t="shared" si="1667"/>
        <v>-1</v>
      </c>
      <c r="BG277" s="15" t="str">
        <f t="shared" si="1668"/>
        <v>-1-1-1</v>
      </c>
      <c r="BH277" s="15" t="str">
        <f t="shared" si="1669"/>
        <v>SD</v>
      </c>
      <c r="BI277" s="15" t="str">
        <f t="shared" si="1670"/>
        <v>SI</v>
      </c>
      <c r="BJ277" s="15" t="b">
        <f t="shared" si="1671"/>
        <v>1</v>
      </c>
      <c r="BK277" s="15" t="str">
        <f t="shared" si="1672"/>
        <v>SIGIGUALES</v>
      </c>
      <c r="BL277" s="22" t="str">
        <f t="shared" si="1673"/>
        <v>NO CONFORME</v>
      </c>
    </row>
    <row r="278" spans="1:64" ht="15.75" thickBot="1" x14ac:dyDescent="0.3">
      <c r="A278" s="37">
        <v>270</v>
      </c>
      <c r="B278" s="93">
        <f t="shared" ref="B278:E278" si="1771">B277</f>
        <v>45919</v>
      </c>
      <c r="C278" s="93">
        <f t="shared" si="1771"/>
        <v>45919</v>
      </c>
      <c r="D278" s="94">
        <f t="shared" si="1771"/>
        <v>6</v>
      </c>
      <c r="E278" s="95">
        <f t="shared" si="1771"/>
        <v>15</v>
      </c>
      <c r="F278" s="52"/>
      <c r="G278" s="96"/>
      <c r="H278" s="97">
        <f t="shared" ref="H278:L278" si="1772">H277</f>
        <v>25.6</v>
      </c>
      <c r="I278" s="98">
        <f t="shared" si="1772"/>
        <v>0</v>
      </c>
      <c r="J278" s="99">
        <f t="shared" si="1772"/>
        <v>20.9</v>
      </c>
      <c r="K278" s="99">
        <f t="shared" si="1772"/>
        <v>7.883</v>
      </c>
      <c r="L278" s="99">
        <f t="shared" si="1772"/>
        <v>0.55400000000000005</v>
      </c>
      <c r="M278" s="53"/>
      <c r="N278" s="53"/>
      <c r="O278" s="100">
        <f t="shared" ref="O278:P278" si="1773">O277</f>
        <v>100.62</v>
      </c>
      <c r="P278" s="101" t="str">
        <f t="shared" si="1773"/>
        <v>2,29,560</v>
      </c>
      <c r="Q278" s="11" t="str">
        <f t="shared" si="1739"/>
        <v>2</v>
      </c>
      <c r="R278" s="11" t="str">
        <f t="shared" si="1740"/>
        <v>29,560</v>
      </c>
      <c r="S278" s="11">
        <f t="shared" si="1741"/>
        <v>4.1544444444444446E-2</v>
      </c>
      <c r="T278" s="14">
        <f t="shared" si="1742"/>
        <v>2421.9844878309709</v>
      </c>
      <c r="U278" s="39">
        <f t="shared" si="1743"/>
        <v>-100</v>
      </c>
      <c r="V278" s="105">
        <f t="shared" ref="V278:W278" si="1774">V277</f>
        <v>20.399999999999999</v>
      </c>
      <c r="W278" s="105">
        <f t="shared" si="1774"/>
        <v>1.5069999999999999</v>
      </c>
      <c r="X278" s="106">
        <f t="shared" si="1677"/>
        <v>1.504</v>
      </c>
      <c r="Y278" s="53"/>
      <c r="Z278" s="53"/>
      <c r="AA278" s="107">
        <f t="shared" ref="AA278:AB278" si="1775">AA277</f>
        <v>10.015000000000001</v>
      </c>
      <c r="AB278" s="108" t="str">
        <f t="shared" si="1775"/>
        <v>22,10,090</v>
      </c>
      <c r="AC278" s="11" t="str">
        <f t="shared" si="1746"/>
        <v>22</v>
      </c>
      <c r="AD278" s="11" t="str">
        <f t="shared" si="1747"/>
        <v>10,090</v>
      </c>
      <c r="AE278" s="11">
        <f t="shared" si="1748"/>
        <v>0.36946944444444441</v>
      </c>
      <c r="AF278" s="14">
        <f t="shared" si="1749"/>
        <v>27.106436406558959</v>
      </c>
      <c r="AG278" s="41">
        <f t="shared" si="1750"/>
        <v>-100</v>
      </c>
      <c r="AH278" s="105">
        <f t="shared" si="1692"/>
        <v>20.3</v>
      </c>
      <c r="AI278" s="105">
        <f t="shared" si="1692"/>
        <v>1.5089999999999999</v>
      </c>
      <c r="AJ278" s="105">
        <f t="shared" si="1692"/>
        <v>1.504</v>
      </c>
      <c r="AK278" s="53">
        <f t="shared" si="1751"/>
        <v>0</v>
      </c>
      <c r="AL278" s="53"/>
      <c r="AM278" s="54">
        <f t="shared" ref="AM278:AN278" si="1776">AM277</f>
        <v>5.0129999999999999</v>
      </c>
      <c r="AN278" s="101" t="str">
        <f t="shared" si="1776"/>
        <v>17,59,050</v>
      </c>
      <c r="AO278" s="11" t="str">
        <f t="shared" si="1753"/>
        <v>17</v>
      </c>
      <c r="AP278" s="11" t="str">
        <f t="shared" si="1754"/>
        <v>59,050</v>
      </c>
      <c r="AQ278" s="11">
        <f t="shared" si="1755"/>
        <v>0.29973611111111109</v>
      </c>
      <c r="AR278" s="14">
        <f t="shared" si="1756"/>
        <v>16.724711551827998</v>
      </c>
      <c r="AS278" s="41">
        <f t="shared" si="1757"/>
        <v>-100</v>
      </c>
      <c r="AT278" s="43" t="str">
        <f t="shared" si="1758"/>
        <v>NO CONFORME</v>
      </c>
      <c r="AU278" s="8" t="b">
        <f t="shared" si="1680"/>
        <v>1</v>
      </c>
      <c r="AV278" s="8" t="b">
        <f t="shared" si="1681"/>
        <v>0</v>
      </c>
      <c r="AW278" s="8" t="b">
        <f t="shared" si="1682"/>
        <v>1</v>
      </c>
      <c r="AX278" s="8" t="str">
        <f t="shared" si="1683"/>
        <v>Qcorrecto</v>
      </c>
      <c r="AY278" s="22" t="str">
        <f t="shared" si="1663"/>
        <v>aceptable</v>
      </c>
      <c r="AZ278" s="22" t="str">
        <f t="shared" si="1664"/>
        <v>aceptable</v>
      </c>
      <c r="BA278" s="22" t="str">
        <f t="shared" si="1684"/>
        <v>aceptable</v>
      </c>
      <c r="BB278" s="25" t="str">
        <f t="shared" si="1685"/>
        <v>NO CONFORME</v>
      </c>
      <c r="BC278" s="5" t="str">
        <f t="shared" si="1686"/>
        <v>NO CONFORME</v>
      </c>
      <c r="BD278" s="15">
        <f t="shared" si="1665"/>
        <v>-1</v>
      </c>
      <c r="BE278" s="15">
        <f t="shared" si="1666"/>
        <v>-1</v>
      </c>
      <c r="BF278" s="15">
        <f t="shared" si="1667"/>
        <v>-1</v>
      </c>
      <c r="BG278" s="15" t="str">
        <f t="shared" si="1668"/>
        <v>-1-1-1</v>
      </c>
      <c r="BH278" s="15" t="str">
        <f t="shared" si="1669"/>
        <v>SD</v>
      </c>
      <c r="BI278" s="15" t="str">
        <f t="shared" si="1670"/>
        <v>SI</v>
      </c>
      <c r="BJ278" s="15" t="b">
        <f t="shared" si="1671"/>
        <v>1</v>
      </c>
      <c r="BK278" s="15" t="str">
        <f t="shared" si="1672"/>
        <v>SIGIGUALES</v>
      </c>
      <c r="BL278" s="22" t="str">
        <f t="shared" si="1673"/>
        <v>NO CONFORME</v>
      </c>
    </row>
    <row r="279" spans="1:64" ht="15.75" thickBot="1" x14ac:dyDescent="0.3">
      <c r="A279" s="37">
        <v>271</v>
      </c>
      <c r="B279" s="93">
        <f t="shared" ref="B279:E279" si="1777">B278</f>
        <v>45919</v>
      </c>
      <c r="C279" s="93">
        <f t="shared" si="1777"/>
        <v>45919</v>
      </c>
      <c r="D279" s="94">
        <f t="shared" si="1777"/>
        <v>6</v>
      </c>
      <c r="E279" s="95">
        <f t="shared" si="1777"/>
        <v>15</v>
      </c>
      <c r="F279" s="52"/>
      <c r="G279" s="96"/>
      <c r="H279" s="97">
        <f t="shared" ref="H279:L279" si="1778">H278</f>
        <v>25.6</v>
      </c>
      <c r="I279" s="98">
        <f t="shared" si="1778"/>
        <v>0</v>
      </c>
      <c r="J279" s="99">
        <f t="shared" si="1778"/>
        <v>20.9</v>
      </c>
      <c r="K279" s="99">
        <f t="shared" si="1778"/>
        <v>7.883</v>
      </c>
      <c r="L279" s="99">
        <f t="shared" si="1778"/>
        <v>0.55400000000000005</v>
      </c>
      <c r="M279" s="53"/>
      <c r="N279" s="53"/>
      <c r="O279" s="100">
        <f t="shared" ref="O279:P279" si="1779">O278</f>
        <v>100.62</v>
      </c>
      <c r="P279" s="101" t="str">
        <f t="shared" si="1779"/>
        <v>2,29,560</v>
      </c>
      <c r="Q279" s="11" t="str">
        <f t="shared" si="1739"/>
        <v>2</v>
      </c>
      <c r="R279" s="11" t="str">
        <f t="shared" si="1740"/>
        <v>29,560</v>
      </c>
      <c r="S279" s="11">
        <f t="shared" si="1741"/>
        <v>4.1544444444444446E-2</v>
      </c>
      <c r="T279" s="14">
        <f t="shared" si="1742"/>
        <v>2421.9844878309709</v>
      </c>
      <c r="U279" s="39">
        <f t="shared" si="1743"/>
        <v>-100</v>
      </c>
      <c r="V279" s="105">
        <f t="shared" ref="V279:W279" si="1780">V278</f>
        <v>20.399999999999999</v>
      </c>
      <c r="W279" s="105">
        <f t="shared" si="1780"/>
        <v>1.5069999999999999</v>
      </c>
      <c r="X279" s="106">
        <f t="shared" si="1677"/>
        <v>1.504</v>
      </c>
      <c r="Y279" s="53"/>
      <c r="Z279" s="53"/>
      <c r="AA279" s="107">
        <f t="shared" ref="AA279:AB279" si="1781">AA278</f>
        <v>10.015000000000001</v>
      </c>
      <c r="AB279" s="108" t="str">
        <f t="shared" si="1781"/>
        <v>22,10,090</v>
      </c>
      <c r="AC279" s="11" t="str">
        <f t="shared" si="1746"/>
        <v>22</v>
      </c>
      <c r="AD279" s="11" t="str">
        <f t="shared" si="1747"/>
        <v>10,090</v>
      </c>
      <c r="AE279" s="11">
        <f t="shared" si="1748"/>
        <v>0.36946944444444441</v>
      </c>
      <c r="AF279" s="14">
        <f t="shared" si="1749"/>
        <v>27.106436406558959</v>
      </c>
      <c r="AG279" s="41">
        <f t="shared" si="1750"/>
        <v>-100</v>
      </c>
      <c r="AH279" s="105">
        <f t="shared" si="1692"/>
        <v>20.3</v>
      </c>
      <c r="AI279" s="105">
        <f t="shared" si="1692"/>
        <v>1.5089999999999999</v>
      </c>
      <c r="AJ279" s="105">
        <f t="shared" si="1692"/>
        <v>1.504</v>
      </c>
      <c r="AK279" s="53">
        <f t="shared" si="1751"/>
        <v>0</v>
      </c>
      <c r="AL279" s="53"/>
      <c r="AM279" s="54">
        <f t="shared" ref="AM279:AN279" si="1782">AM278</f>
        <v>5.0129999999999999</v>
      </c>
      <c r="AN279" s="101" t="str">
        <f t="shared" si="1782"/>
        <v>17,59,050</v>
      </c>
      <c r="AO279" s="11" t="str">
        <f t="shared" si="1753"/>
        <v>17</v>
      </c>
      <c r="AP279" s="11" t="str">
        <f t="shared" si="1754"/>
        <v>59,050</v>
      </c>
      <c r="AQ279" s="11">
        <f t="shared" si="1755"/>
        <v>0.29973611111111109</v>
      </c>
      <c r="AR279" s="14">
        <f t="shared" si="1756"/>
        <v>16.724711551827998</v>
      </c>
      <c r="AS279" s="41">
        <f t="shared" si="1757"/>
        <v>-100</v>
      </c>
      <c r="AT279" s="43" t="str">
        <f t="shared" si="1758"/>
        <v>NO CONFORME</v>
      </c>
      <c r="AU279" s="8" t="b">
        <f t="shared" si="1680"/>
        <v>1</v>
      </c>
      <c r="AV279" s="8" t="b">
        <f t="shared" si="1681"/>
        <v>0</v>
      </c>
      <c r="AW279" s="8" t="b">
        <f t="shared" si="1682"/>
        <v>1</v>
      </c>
      <c r="AX279" s="8" t="str">
        <f t="shared" si="1683"/>
        <v>Qcorrecto</v>
      </c>
      <c r="AY279" s="22" t="str">
        <f t="shared" si="1663"/>
        <v>aceptable</v>
      </c>
      <c r="AZ279" s="22" t="str">
        <f t="shared" si="1664"/>
        <v>aceptable</v>
      </c>
      <c r="BA279" s="22" t="str">
        <f t="shared" si="1684"/>
        <v>aceptable</v>
      </c>
      <c r="BB279" s="25" t="str">
        <f t="shared" si="1685"/>
        <v>NO CONFORME</v>
      </c>
      <c r="BC279" s="5" t="str">
        <f t="shared" si="1686"/>
        <v>NO CONFORME</v>
      </c>
      <c r="BD279" s="15">
        <f t="shared" si="1665"/>
        <v>-1</v>
      </c>
      <c r="BE279" s="15">
        <f t="shared" si="1666"/>
        <v>-1</v>
      </c>
      <c r="BF279" s="15">
        <f t="shared" si="1667"/>
        <v>-1</v>
      </c>
      <c r="BG279" s="15" t="str">
        <f t="shared" si="1668"/>
        <v>-1-1-1</v>
      </c>
      <c r="BH279" s="15" t="str">
        <f t="shared" si="1669"/>
        <v>SD</v>
      </c>
      <c r="BI279" s="15" t="str">
        <f t="shared" si="1670"/>
        <v>SI</v>
      </c>
      <c r="BJ279" s="15" t="b">
        <f t="shared" si="1671"/>
        <v>1</v>
      </c>
      <c r="BK279" s="15" t="str">
        <f t="shared" si="1672"/>
        <v>SIGIGUALES</v>
      </c>
      <c r="BL279" s="22" t="str">
        <f t="shared" si="1673"/>
        <v>NO CONFORME</v>
      </c>
    </row>
    <row r="280" spans="1:64" ht="15.75" thickBot="1" x14ac:dyDescent="0.3">
      <c r="A280" s="37">
        <v>272</v>
      </c>
      <c r="B280" s="93">
        <f t="shared" ref="B280:E280" si="1783">B279</f>
        <v>45919</v>
      </c>
      <c r="C280" s="93">
        <f t="shared" si="1783"/>
        <v>45919</v>
      </c>
      <c r="D280" s="94">
        <f t="shared" si="1783"/>
        <v>6</v>
      </c>
      <c r="E280" s="95">
        <f t="shared" si="1783"/>
        <v>15</v>
      </c>
      <c r="F280" s="52"/>
      <c r="G280" s="96"/>
      <c r="H280" s="97">
        <f t="shared" ref="H280:L280" si="1784">H279</f>
        <v>25.6</v>
      </c>
      <c r="I280" s="98">
        <f t="shared" si="1784"/>
        <v>0</v>
      </c>
      <c r="J280" s="99">
        <f t="shared" si="1784"/>
        <v>20.9</v>
      </c>
      <c r="K280" s="99">
        <f t="shared" si="1784"/>
        <v>7.883</v>
      </c>
      <c r="L280" s="99">
        <f t="shared" si="1784"/>
        <v>0.55400000000000005</v>
      </c>
      <c r="M280" s="53"/>
      <c r="N280" s="53"/>
      <c r="O280" s="100">
        <f t="shared" ref="O280:P280" si="1785">O279</f>
        <v>100.62</v>
      </c>
      <c r="P280" s="101" t="str">
        <f t="shared" si="1785"/>
        <v>2,29,560</v>
      </c>
      <c r="Q280" s="11" t="str">
        <f t="shared" si="1739"/>
        <v>2</v>
      </c>
      <c r="R280" s="11" t="str">
        <f t="shared" si="1740"/>
        <v>29,560</v>
      </c>
      <c r="S280" s="11">
        <f t="shared" si="1741"/>
        <v>4.1544444444444446E-2</v>
      </c>
      <c r="T280" s="14">
        <f t="shared" si="1742"/>
        <v>2421.9844878309709</v>
      </c>
      <c r="U280" s="39">
        <f t="shared" si="1743"/>
        <v>-100</v>
      </c>
      <c r="V280" s="105">
        <f t="shared" ref="V280:W280" si="1786">V279</f>
        <v>20.399999999999999</v>
      </c>
      <c r="W280" s="105">
        <f t="shared" si="1786"/>
        <v>1.5069999999999999</v>
      </c>
      <c r="X280" s="106">
        <f t="shared" si="1677"/>
        <v>1.504</v>
      </c>
      <c r="Y280" s="53"/>
      <c r="Z280" s="53"/>
      <c r="AA280" s="107">
        <f t="shared" ref="AA280:AB280" si="1787">AA279</f>
        <v>10.015000000000001</v>
      </c>
      <c r="AB280" s="108" t="str">
        <f t="shared" si="1787"/>
        <v>22,10,090</v>
      </c>
      <c r="AC280" s="11" t="str">
        <f t="shared" si="1746"/>
        <v>22</v>
      </c>
      <c r="AD280" s="11" t="str">
        <f t="shared" si="1747"/>
        <v>10,090</v>
      </c>
      <c r="AE280" s="11">
        <f t="shared" si="1748"/>
        <v>0.36946944444444441</v>
      </c>
      <c r="AF280" s="14">
        <f t="shared" si="1749"/>
        <v>27.106436406558959</v>
      </c>
      <c r="AG280" s="41">
        <f t="shared" si="1750"/>
        <v>-100</v>
      </c>
      <c r="AH280" s="105">
        <f t="shared" si="1692"/>
        <v>20.3</v>
      </c>
      <c r="AI280" s="105">
        <f t="shared" si="1692"/>
        <v>1.5089999999999999</v>
      </c>
      <c r="AJ280" s="105">
        <f t="shared" si="1692"/>
        <v>1.504</v>
      </c>
      <c r="AK280" s="53">
        <f t="shared" si="1751"/>
        <v>0</v>
      </c>
      <c r="AL280" s="53"/>
      <c r="AM280" s="54">
        <f t="shared" ref="AM280:AN280" si="1788">AM279</f>
        <v>5.0129999999999999</v>
      </c>
      <c r="AN280" s="101" t="str">
        <f t="shared" si="1788"/>
        <v>17,59,050</v>
      </c>
      <c r="AO280" s="11" t="str">
        <f t="shared" si="1753"/>
        <v>17</v>
      </c>
      <c r="AP280" s="11" t="str">
        <f t="shared" si="1754"/>
        <v>59,050</v>
      </c>
      <c r="AQ280" s="11">
        <f t="shared" si="1755"/>
        <v>0.29973611111111109</v>
      </c>
      <c r="AR280" s="14">
        <f t="shared" si="1756"/>
        <v>16.724711551827998</v>
      </c>
      <c r="AS280" s="41">
        <f t="shared" si="1757"/>
        <v>-100</v>
      </c>
      <c r="AT280" s="43" t="str">
        <f t="shared" si="1758"/>
        <v>NO CONFORME</v>
      </c>
      <c r="AU280" s="8" t="b">
        <f t="shared" si="1680"/>
        <v>1</v>
      </c>
      <c r="AV280" s="8" t="b">
        <f t="shared" si="1681"/>
        <v>0</v>
      </c>
      <c r="AW280" s="8" t="b">
        <f t="shared" si="1682"/>
        <v>1</v>
      </c>
      <c r="AX280" s="8" t="str">
        <f t="shared" si="1683"/>
        <v>Qcorrecto</v>
      </c>
      <c r="AY280" s="22" t="str">
        <f t="shared" si="1663"/>
        <v>aceptable</v>
      </c>
      <c r="AZ280" s="22" t="str">
        <f t="shared" si="1664"/>
        <v>aceptable</v>
      </c>
      <c r="BA280" s="22" t="str">
        <f t="shared" si="1684"/>
        <v>aceptable</v>
      </c>
      <c r="BB280" s="25" t="str">
        <f t="shared" si="1685"/>
        <v>NO CONFORME</v>
      </c>
      <c r="BC280" s="5" t="str">
        <f t="shared" si="1686"/>
        <v>NO CONFORME</v>
      </c>
      <c r="BD280" s="15">
        <f t="shared" si="1665"/>
        <v>-1</v>
      </c>
      <c r="BE280" s="15">
        <f t="shared" si="1666"/>
        <v>-1</v>
      </c>
      <c r="BF280" s="15">
        <f t="shared" si="1667"/>
        <v>-1</v>
      </c>
      <c r="BG280" s="15" t="str">
        <f t="shared" si="1668"/>
        <v>-1-1-1</v>
      </c>
      <c r="BH280" s="15" t="str">
        <f t="shared" si="1669"/>
        <v>SD</v>
      </c>
      <c r="BI280" s="15" t="str">
        <f t="shared" si="1670"/>
        <v>SI</v>
      </c>
      <c r="BJ280" s="15" t="b">
        <f t="shared" si="1671"/>
        <v>1</v>
      </c>
      <c r="BK280" s="15" t="str">
        <f t="shared" si="1672"/>
        <v>SIGIGUALES</v>
      </c>
      <c r="BL280" s="22" t="str">
        <f t="shared" si="1673"/>
        <v>NO CONFORME</v>
      </c>
    </row>
    <row r="281" spans="1:64" ht="15.75" thickBot="1" x14ac:dyDescent="0.3">
      <c r="A281" s="37">
        <v>273</v>
      </c>
      <c r="B281" s="93">
        <f t="shared" ref="B281:E281" si="1789">B280</f>
        <v>45919</v>
      </c>
      <c r="C281" s="93">
        <f t="shared" si="1789"/>
        <v>45919</v>
      </c>
      <c r="D281" s="94">
        <f t="shared" si="1789"/>
        <v>6</v>
      </c>
      <c r="E281" s="95">
        <f t="shared" si="1789"/>
        <v>15</v>
      </c>
      <c r="F281" s="52"/>
      <c r="G281" s="96"/>
      <c r="H281" s="97">
        <f t="shared" ref="H281:L281" si="1790">H280</f>
        <v>25.6</v>
      </c>
      <c r="I281" s="98">
        <f t="shared" si="1790"/>
        <v>0</v>
      </c>
      <c r="J281" s="99">
        <f t="shared" si="1790"/>
        <v>20.9</v>
      </c>
      <c r="K281" s="99">
        <f t="shared" si="1790"/>
        <v>7.883</v>
      </c>
      <c r="L281" s="99">
        <f t="shared" si="1790"/>
        <v>0.55400000000000005</v>
      </c>
      <c r="M281" s="53"/>
      <c r="N281" s="53"/>
      <c r="O281" s="100">
        <f t="shared" ref="O281:P281" si="1791">O280</f>
        <v>100.62</v>
      </c>
      <c r="P281" s="101" t="str">
        <f t="shared" si="1791"/>
        <v>2,29,560</v>
      </c>
      <c r="Q281" s="11" t="str">
        <f t="shared" si="1739"/>
        <v>2</v>
      </c>
      <c r="R281" s="11" t="str">
        <f t="shared" si="1740"/>
        <v>29,560</v>
      </c>
      <c r="S281" s="11">
        <f t="shared" si="1741"/>
        <v>4.1544444444444446E-2</v>
      </c>
      <c r="T281" s="14">
        <f t="shared" si="1742"/>
        <v>2421.9844878309709</v>
      </c>
      <c r="U281" s="39">
        <f t="shared" si="1743"/>
        <v>-100</v>
      </c>
      <c r="V281" s="105">
        <f t="shared" ref="V281:W281" si="1792">V280</f>
        <v>20.399999999999999</v>
      </c>
      <c r="W281" s="105">
        <f t="shared" si="1792"/>
        <v>1.5069999999999999</v>
      </c>
      <c r="X281" s="106">
        <f t="shared" si="1677"/>
        <v>1.504</v>
      </c>
      <c r="Y281" s="53"/>
      <c r="Z281" s="53"/>
      <c r="AA281" s="107">
        <f t="shared" ref="AA281:AB281" si="1793">AA280</f>
        <v>10.015000000000001</v>
      </c>
      <c r="AB281" s="108" t="str">
        <f t="shared" si="1793"/>
        <v>22,10,090</v>
      </c>
      <c r="AC281" s="11" t="str">
        <f t="shared" si="1746"/>
        <v>22</v>
      </c>
      <c r="AD281" s="11" t="str">
        <f t="shared" si="1747"/>
        <v>10,090</v>
      </c>
      <c r="AE281" s="11">
        <f t="shared" si="1748"/>
        <v>0.36946944444444441</v>
      </c>
      <c r="AF281" s="14">
        <f t="shared" si="1749"/>
        <v>27.106436406558959</v>
      </c>
      <c r="AG281" s="41">
        <f t="shared" si="1750"/>
        <v>-100</v>
      </c>
      <c r="AH281" s="105">
        <f t="shared" si="1692"/>
        <v>20.3</v>
      </c>
      <c r="AI281" s="105">
        <f t="shared" si="1692"/>
        <v>1.5089999999999999</v>
      </c>
      <c r="AJ281" s="105">
        <f t="shared" si="1692"/>
        <v>1.504</v>
      </c>
      <c r="AK281" s="53">
        <f t="shared" si="1751"/>
        <v>0</v>
      </c>
      <c r="AL281" s="53"/>
      <c r="AM281" s="54">
        <f t="shared" ref="AM281:AN281" si="1794">AM280</f>
        <v>5.0129999999999999</v>
      </c>
      <c r="AN281" s="101" t="str">
        <f t="shared" si="1794"/>
        <v>17,59,050</v>
      </c>
      <c r="AO281" s="11" t="str">
        <f t="shared" si="1753"/>
        <v>17</v>
      </c>
      <c r="AP281" s="11" t="str">
        <f t="shared" si="1754"/>
        <v>59,050</v>
      </c>
      <c r="AQ281" s="11">
        <f t="shared" si="1755"/>
        <v>0.29973611111111109</v>
      </c>
      <c r="AR281" s="14">
        <f t="shared" si="1756"/>
        <v>16.724711551827998</v>
      </c>
      <c r="AS281" s="41">
        <f t="shared" si="1757"/>
        <v>-100</v>
      </c>
      <c r="AT281" s="43" t="str">
        <f t="shared" si="1758"/>
        <v>NO CONFORME</v>
      </c>
      <c r="AU281" s="8" t="b">
        <f t="shared" si="1680"/>
        <v>1</v>
      </c>
      <c r="AV281" s="8" t="b">
        <f t="shared" si="1681"/>
        <v>0</v>
      </c>
      <c r="AW281" s="8" t="b">
        <f t="shared" si="1682"/>
        <v>1</v>
      </c>
      <c r="AX281" s="8" t="str">
        <f t="shared" si="1683"/>
        <v>Qcorrecto</v>
      </c>
      <c r="AY281" s="22" t="str">
        <f t="shared" si="1663"/>
        <v>aceptable</v>
      </c>
      <c r="AZ281" s="22" t="str">
        <f t="shared" si="1664"/>
        <v>aceptable</v>
      </c>
      <c r="BA281" s="22" t="str">
        <f t="shared" si="1684"/>
        <v>aceptable</v>
      </c>
      <c r="BB281" s="25" t="str">
        <f t="shared" si="1685"/>
        <v>NO CONFORME</v>
      </c>
      <c r="BC281" s="5" t="str">
        <f t="shared" si="1686"/>
        <v>NO CONFORME</v>
      </c>
      <c r="BD281" s="15">
        <f t="shared" si="1665"/>
        <v>-1</v>
      </c>
      <c r="BE281" s="15">
        <f t="shared" si="1666"/>
        <v>-1</v>
      </c>
      <c r="BF281" s="15">
        <f t="shared" si="1667"/>
        <v>-1</v>
      </c>
      <c r="BG281" s="15" t="str">
        <f t="shared" si="1668"/>
        <v>-1-1-1</v>
      </c>
      <c r="BH281" s="15" t="str">
        <f t="shared" si="1669"/>
        <v>SD</v>
      </c>
      <c r="BI281" s="15" t="str">
        <f t="shared" si="1670"/>
        <v>SI</v>
      </c>
      <c r="BJ281" s="15" t="b">
        <f t="shared" si="1671"/>
        <v>1</v>
      </c>
      <c r="BK281" s="15" t="str">
        <f t="shared" si="1672"/>
        <v>SIGIGUALES</v>
      </c>
      <c r="BL281" s="22" t="str">
        <f t="shared" si="1673"/>
        <v>NO CONFORME</v>
      </c>
    </row>
    <row r="282" spans="1:64" ht="15.75" thickBot="1" x14ac:dyDescent="0.3">
      <c r="A282" s="37">
        <v>274</v>
      </c>
      <c r="B282" s="93">
        <f t="shared" ref="B282:E282" si="1795">B281</f>
        <v>45919</v>
      </c>
      <c r="C282" s="93">
        <f t="shared" si="1795"/>
        <v>45919</v>
      </c>
      <c r="D282" s="94">
        <f t="shared" si="1795"/>
        <v>6</v>
      </c>
      <c r="E282" s="95">
        <f t="shared" si="1795"/>
        <v>15</v>
      </c>
      <c r="F282" s="52"/>
      <c r="G282" s="96"/>
      <c r="H282" s="97">
        <f t="shared" ref="H282:L282" si="1796">H281</f>
        <v>25.6</v>
      </c>
      <c r="I282" s="98">
        <f t="shared" si="1796"/>
        <v>0</v>
      </c>
      <c r="J282" s="99">
        <f t="shared" si="1796"/>
        <v>20.9</v>
      </c>
      <c r="K282" s="99">
        <f t="shared" si="1796"/>
        <v>7.883</v>
      </c>
      <c r="L282" s="99">
        <f t="shared" si="1796"/>
        <v>0.55400000000000005</v>
      </c>
      <c r="M282" s="53"/>
      <c r="N282" s="53"/>
      <c r="O282" s="100">
        <f t="shared" ref="O282:P282" si="1797">O281</f>
        <v>100.62</v>
      </c>
      <c r="P282" s="101" t="str">
        <f t="shared" si="1797"/>
        <v>2,29,560</v>
      </c>
      <c r="Q282" s="11" t="str">
        <f t="shared" si="1739"/>
        <v>2</v>
      </c>
      <c r="R282" s="11" t="str">
        <f t="shared" si="1740"/>
        <v>29,560</v>
      </c>
      <c r="S282" s="11">
        <f t="shared" si="1741"/>
        <v>4.1544444444444446E-2</v>
      </c>
      <c r="T282" s="14">
        <f t="shared" si="1742"/>
        <v>2421.9844878309709</v>
      </c>
      <c r="U282" s="39">
        <f t="shared" si="1743"/>
        <v>-100</v>
      </c>
      <c r="V282" s="105">
        <f t="shared" ref="V282:X297" si="1798">V281</f>
        <v>20.399999999999999</v>
      </c>
      <c r="W282" s="105">
        <f t="shared" si="1798"/>
        <v>1.5069999999999999</v>
      </c>
      <c r="X282" s="106">
        <f t="shared" si="1798"/>
        <v>1.504</v>
      </c>
      <c r="Y282" s="53"/>
      <c r="Z282" s="53"/>
      <c r="AA282" s="107">
        <f t="shared" ref="AA282:AB282" si="1799">AA281</f>
        <v>10.015000000000001</v>
      </c>
      <c r="AB282" s="108" t="str">
        <f t="shared" si="1799"/>
        <v>22,10,090</v>
      </c>
      <c r="AC282" s="11" t="str">
        <f t="shared" si="1746"/>
        <v>22</v>
      </c>
      <c r="AD282" s="11" t="str">
        <f t="shared" si="1747"/>
        <v>10,090</v>
      </c>
      <c r="AE282" s="11">
        <f t="shared" si="1748"/>
        <v>0.36946944444444441</v>
      </c>
      <c r="AF282" s="14">
        <f t="shared" si="1749"/>
        <v>27.106436406558959</v>
      </c>
      <c r="AG282" s="41">
        <f t="shared" si="1750"/>
        <v>-100</v>
      </c>
      <c r="AH282" s="105">
        <f t="shared" si="1692"/>
        <v>20.3</v>
      </c>
      <c r="AI282" s="105">
        <f t="shared" si="1692"/>
        <v>1.5089999999999999</v>
      </c>
      <c r="AJ282" s="105">
        <f t="shared" si="1692"/>
        <v>1.504</v>
      </c>
      <c r="AK282" s="53">
        <f t="shared" si="1751"/>
        <v>0</v>
      </c>
      <c r="AL282" s="53"/>
      <c r="AM282" s="54">
        <f t="shared" ref="AM282:AN282" si="1800">AM281</f>
        <v>5.0129999999999999</v>
      </c>
      <c r="AN282" s="101" t="str">
        <f t="shared" si="1800"/>
        <v>17,59,050</v>
      </c>
      <c r="AO282" s="11" t="str">
        <f t="shared" si="1753"/>
        <v>17</v>
      </c>
      <c r="AP282" s="11" t="str">
        <f t="shared" si="1754"/>
        <v>59,050</v>
      </c>
      <c r="AQ282" s="11">
        <f t="shared" si="1755"/>
        <v>0.29973611111111109</v>
      </c>
      <c r="AR282" s="14">
        <f t="shared" si="1756"/>
        <v>16.724711551827998</v>
      </c>
      <c r="AS282" s="41">
        <f t="shared" si="1757"/>
        <v>-100</v>
      </c>
      <c r="AT282" s="43" t="str">
        <f t="shared" si="1758"/>
        <v>NO CONFORME</v>
      </c>
      <c r="AU282" s="8" t="b">
        <f t="shared" si="1680"/>
        <v>1</v>
      </c>
      <c r="AV282" s="8" t="b">
        <f t="shared" si="1681"/>
        <v>0</v>
      </c>
      <c r="AW282" s="8" t="b">
        <f t="shared" si="1682"/>
        <v>1</v>
      </c>
      <c r="AX282" s="8" t="str">
        <f t="shared" si="1683"/>
        <v>Qcorrecto</v>
      </c>
      <c r="AY282" s="22" t="str">
        <f t="shared" si="1663"/>
        <v>aceptable</v>
      </c>
      <c r="AZ282" s="22" t="str">
        <f t="shared" si="1664"/>
        <v>aceptable</v>
      </c>
      <c r="BA282" s="22" t="str">
        <f t="shared" si="1684"/>
        <v>aceptable</v>
      </c>
      <c r="BB282" s="25" t="str">
        <f t="shared" si="1685"/>
        <v>NO CONFORME</v>
      </c>
      <c r="BC282" s="5" t="str">
        <f t="shared" si="1686"/>
        <v>NO CONFORME</v>
      </c>
      <c r="BD282" s="15">
        <f t="shared" si="1665"/>
        <v>-1</v>
      </c>
      <c r="BE282" s="15">
        <f t="shared" si="1666"/>
        <v>-1</v>
      </c>
      <c r="BF282" s="15">
        <f t="shared" si="1667"/>
        <v>-1</v>
      </c>
      <c r="BG282" s="15" t="str">
        <f t="shared" si="1668"/>
        <v>-1-1-1</v>
      </c>
      <c r="BH282" s="15" t="str">
        <f t="shared" si="1669"/>
        <v>SD</v>
      </c>
      <c r="BI282" s="15" t="str">
        <f t="shared" si="1670"/>
        <v>SI</v>
      </c>
      <c r="BJ282" s="15" t="b">
        <f t="shared" si="1671"/>
        <v>1</v>
      </c>
      <c r="BK282" s="15" t="str">
        <f t="shared" si="1672"/>
        <v>SIGIGUALES</v>
      </c>
      <c r="BL282" s="22" t="str">
        <f t="shared" si="1673"/>
        <v>NO CONFORME</v>
      </c>
    </row>
    <row r="283" spans="1:64" ht="15.75" thickBot="1" x14ac:dyDescent="0.3">
      <c r="A283" s="37">
        <v>275</v>
      </c>
      <c r="B283" s="93">
        <f t="shared" ref="B283:E283" si="1801">B282</f>
        <v>45919</v>
      </c>
      <c r="C283" s="93">
        <f t="shared" si="1801"/>
        <v>45919</v>
      </c>
      <c r="D283" s="94">
        <f t="shared" si="1801"/>
        <v>6</v>
      </c>
      <c r="E283" s="95">
        <f t="shared" si="1801"/>
        <v>15</v>
      </c>
      <c r="F283" s="52"/>
      <c r="G283" s="96"/>
      <c r="H283" s="97">
        <f t="shared" ref="H283:L283" si="1802">H282</f>
        <v>25.6</v>
      </c>
      <c r="I283" s="98">
        <f t="shared" si="1802"/>
        <v>0</v>
      </c>
      <c r="J283" s="99">
        <f t="shared" si="1802"/>
        <v>20.9</v>
      </c>
      <c r="K283" s="99">
        <f t="shared" si="1802"/>
        <v>7.883</v>
      </c>
      <c r="L283" s="99">
        <f t="shared" si="1802"/>
        <v>0.55400000000000005</v>
      </c>
      <c r="M283" s="53"/>
      <c r="N283" s="53"/>
      <c r="O283" s="100">
        <f t="shared" ref="O283:P283" si="1803">O282</f>
        <v>100.62</v>
      </c>
      <c r="P283" s="101" t="str">
        <f t="shared" si="1803"/>
        <v>2,29,560</v>
      </c>
      <c r="Q283" s="11" t="str">
        <f t="shared" si="1739"/>
        <v>2</v>
      </c>
      <c r="R283" s="11" t="str">
        <f t="shared" si="1740"/>
        <v>29,560</v>
      </c>
      <c r="S283" s="11">
        <f t="shared" si="1741"/>
        <v>4.1544444444444446E-2</v>
      </c>
      <c r="T283" s="14">
        <f t="shared" si="1742"/>
        <v>2421.9844878309709</v>
      </c>
      <c r="U283" s="39">
        <f t="shared" si="1743"/>
        <v>-100</v>
      </c>
      <c r="V283" s="105">
        <f t="shared" ref="V283:W283" si="1804">V282</f>
        <v>20.399999999999999</v>
      </c>
      <c r="W283" s="105">
        <f t="shared" si="1804"/>
        <v>1.5069999999999999</v>
      </c>
      <c r="X283" s="106">
        <f t="shared" si="1798"/>
        <v>1.504</v>
      </c>
      <c r="Y283" s="53"/>
      <c r="Z283" s="53"/>
      <c r="AA283" s="107">
        <f t="shared" ref="AA283:AB283" si="1805">AA282</f>
        <v>10.015000000000001</v>
      </c>
      <c r="AB283" s="108" t="str">
        <f t="shared" si="1805"/>
        <v>22,10,090</v>
      </c>
      <c r="AC283" s="11" t="str">
        <f t="shared" si="1746"/>
        <v>22</v>
      </c>
      <c r="AD283" s="11" t="str">
        <f t="shared" si="1747"/>
        <v>10,090</v>
      </c>
      <c r="AE283" s="11">
        <f t="shared" si="1748"/>
        <v>0.36946944444444441</v>
      </c>
      <c r="AF283" s="14">
        <f t="shared" si="1749"/>
        <v>27.106436406558959</v>
      </c>
      <c r="AG283" s="41">
        <f t="shared" si="1750"/>
        <v>-100</v>
      </c>
      <c r="AH283" s="105">
        <f t="shared" ref="AH283:AJ298" si="1806">AH282</f>
        <v>20.3</v>
      </c>
      <c r="AI283" s="105">
        <f t="shared" si="1806"/>
        <v>1.5089999999999999</v>
      </c>
      <c r="AJ283" s="105">
        <f t="shared" si="1806"/>
        <v>1.504</v>
      </c>
      <c r="AK283" s="53">
        <f t="shared" si="1751"/>
        <v>0</v>
      </c>
      <c r="AL283" s="53"/>
      <c r="AM283" s="54">
        <f t="shared" ref="AM283:AN283" si="1807">AM282</f>
        <v>5.0129999999999999</v>
      </c>
      <c r="AN283" s="101" t="str">
        <f t="shared" si="1807"/>
        <v>17,59,050</v>
      </c>
      <c r="AO283" s="11" t="str">
        <f t="shared" si="1753"/>
        <v>17</v>
      </c>
      <c r="AP283" s="11" t="str">
        <f t="shared" si="1754"/>
        <v>59,050</v>
      </c>
      <c r="AQ283" s="11">
        <f t="shared" si="1755"/>
        <v>0.29973611111111109</v>
      </c>
      <c r="AR283" s="14">
        <f t="shared" si="1756"/>
        <v>16.724711551827998</v>
      </c>
      <c r="AS283" s="41">
        <f t="shared" si="1757"/>
        <v>-100</v>
      </c>
      <c r="AT283" s="43" t="str">
        <f t="shared" si="1758"/>
        <v>NO CONFORME</v>
      </c>
      <c r="AU283" s="8" t="b">
        <f t="shared" si="1680"/>
        <v>1</v>
      </c>
      <c r="AV283" s="8" t="b">
        <f t="shared" si="1681"/>
        <v>0</v>
      </c>
      <c r="AW283" s="8" t="b">
        <f t="shared" si="1682"/>
        <v>1</v>
      </c>
      <c r="AX283" s="8" t="str">
        <f t="shared" si="1683"/>
        <v>Qcorrecto</v>
      </c>
      <c r="AY283" s="22" t="str">
        <f t="shared" si="1663"/>
        <v>aceptable</v>
      </c>
      <c r="AZ283" s="22" t="str">
        <f t="shared" si="1664"/>
        <v>aceptable</v>
      </c>
      <c r="BA283" s="22" t="str">
        <f t="shared" si="1684"/>
        <v>aceptable</v>
      </c>
      <c r="BB283" s="25" t="str">
        <f t="shared" si="1685"/>
        <v>NO CONFORME</v>
      </c>
      <c r="BC283" s="5" t="str">
        <f t="shared" si="1686"/>
        <v>NO CONFORME</v>
      </c>
      <c r="BD283" s="15">
        <f t="shared" si="1665"/>
        <v>-1</v>
      </c>
      <c r="BE283" s="15">
        <f t="shared" si="1666"/>
        <v>-1</v>
      </c>
      <c r="BF283" s="15">
        <f t="shared" si="1667"/>
        <v>-1</v>
      </c>
      <c r="BG283" s="15" t="str">
        <f t="shared" si="1668"/>
        <v>-1-1-1</v>
      </c>
      <c r="BH283" s="15" t="str">
        <f t="shared" si="1669"/>
        <v>SD</v>
      </c>
      <c r="BI283" s="15" t="str">
        <f t="shared" si="1670"/>
        <v>SI</v>
      </c>
      <c r="BJ283" s="15" t="b">
        <f t="shared" si="1671"/>
        <v>1</v>
      </c>
      <c r="BK283" s="15" t="str">
        <f t="shared" si="1672"/>
        <v>SIGIGUALES</v>
      </c>
      <c r="BL283" s="22" t="str">
        <f t="shared" si="1673"/>
        <v>NO CONFORME</v>
      </c>
    </row>
    <row r="284" spans="1:64" ht="15.75" thickBot="1" x14ac:dyDescent="0.3">
      <c r="A284" s="37">
        <v>276</v>
      </c>
      <c r="B284" s="93">
        <f t="shared" ref="B284:E284" si="1808">B283</f>
        <v>45919</v>
      </c>
      <c r="C284" s="93">
        <f t="shared" si="1808"/>
        <v>45919</v>
      </c>
      <c r="D284" s="94">
        <f t="shared" si="1808"/>
        <v>6</v>
      </c>
      <c r="E284" s="95">
        <f t="shared" si="1808"/>
        <v>15</v>
      </c>
      <c r="F284" s="52"/>
      <c r="G284" s="96"/>
      <c r="H284" s="97">
        <f t="shared" ref="H284:L284" si="1809">H283</f>
        <v>25.6</v>
      </c>
      <c r="I284" s="98">
        <f t="shared" si="1809"/>
        <v>0</v>
      </c>
      <c r="J284" s="99">
        <f t="shared" si="1809"/>
        <v>20.9</v>
      </c>
      <c r="K284" s="99">
        <f t="shared" si="1809"/>
        <v>7.883</v>
      </c>
      <c r="L284" s="99">
        <f t="shared" si="1809"/>
        <v>0.55400000000000005</v>
      </c>
      <c r="M284" s="53"/>
      <c r="N284" s="53"/>
      <c r="O284" s="100">
        <f t="shared" ref="O284:P284" si="1810">O283</f>
        <v>100.62</v>
      </c>
      <c r="P284" s="101" t="str">
        <f t="shared" si="1810"/>
        <v>2,29,560</v>
      </c>
      <c r="Q284" s="11" t="str">
        <f t="shared" si="1739"/>
        <v>2</v>
      </c>
      <c r="R284" s="11" t="str">
        <f t="shared" si="1740"/>
        <v>29,560</v>
      </c>
      <c r="S284" s="11">
        <f t="shared" si="1741"/>
        <v>4.1544444444444446E-2</v>
      </c>
      <c r="T284" s="14">
        <f t="shared" si="1742"/>
        <v>2421.9844878309709</v>
      </c>
      <c r="U284" s="39">
        <f t="shared" si="1743"/>
        <v>-100</v>
      </c>
      <c r="V284" s="105">
        <f t="shared" ref="V284:W284" si="1811">V283</f>
        <v>20.399999999999999</v>
      </c>
      <c r="W284" s="105">
        <f t="shared" si="1811"/>
        <v>1.5069999999999999</v>
      </c>
      <c r="X284" s="106">
        <f t="shared" si="1798"/>
        <v>1.504</v>
      </c>
      <c r="Y284" s="53"/>
      <c r="Z284" s="53"/>
      <c r="AA284" s="107">
        <f t="shared" ref="AA284:AB284" si="1812">AA283</f>
        <v>10.015000000000001</v>
      </c>
      <c r="AB284" s="108" t="str">
        <f t="shared" si="1812"/>
        <v>22,10,090</v>
      </c>
      <c r="AC284" s="11" t="str">
        <f t="shared" si="1746"/>
        <v>22</v>
      </c>
      <c r="AD284" s="11" t="str">
        <f t="shared" si="1747"/>
        <v>10,090</v>
      </c>
      <c r="AE284" s="11">
        <f t="shared" si="1748"/>
        <v>0.36946944444444441</v>
      </c>
      <c r="AF284" s="14">
        <f t="shared" si="1749"/>
        <v>27.106436406558959</v>
      </c>
      <c r="AG284" s="41">
        <f t="shared" si="1750"/>
        <v>-100</v>
      </c>
      <c r="AH284" s="105">
        <f t="shared" si="1806"/>
        <v>20.3</v>
      </c>
      <c r="AI284" s="105">
        <f t="shared" si="1806"/>
        <v>1.5089999999999999</v>
      </c>
      <c r="AJ284" s="105">
        <f t="shared" si="1806"/>
        <v>1.504</v>
      </c>
      <c r="AK284" s="53">
        <f t="shared" si="1751"/>
        <v>0</v>
      </c>
      <c r="AL284" s="53"/>
      <c r="AM284" s="54">
        <f t="shared" ref="AM284:AN284" si="1813">AM283</f>
        <v>5.0129999999999999</v>
      </c>
      <c r="AN284" s="101" t="str">
        <f t="shared" si="1813"/>
        <v>17,59,050</v>
      </c>
      <c r="AO284" s="11" t="str">
        <f t="shared" si="1753"/>
        <v>17</v>
      </c>
      <c r="AP284" s="11" t="str">
        <f t="shared" si="1754"/>
        <v>59,050</v>
      </c>
      <c r="AQ284" s="11">
        <f t="shared" si="1755"/>
        <v>0.29973611111111109</v>
      </c>
      <c r="AR284" s="14">
        <f t="shared" si="1756"/>
        <v>16.724711551827998</v>
      </c>
      <c r="AS284" s="41">
        <f t="shared" si="1757"/>
        <v>-100</v>
      </c>
      <c r="AT284" s="43" t="str">
        <f t="shared" si="1758"/>
        <v>NO CONFORME</v>
      </c>
      <c r="AU284" s="8" t="b">
        <f t="shared" si="1680"/>
        <v>1</v>
      </c>
      <c r="AV284" s="8" t="b">
        <f t="shared" si="1681"/>
        <v>0</v>
      </c>
      <c r="AW284" s="8" t="b">
        <f t="shared" si="1682"/>
        <v>1</v>
      </c>
      <c r="AX284" s="8" t="str">
        <f t="shared" si="1683"/>
        <v>Qcorrecto</v>
      </c>
      <c r="AY284" s="22" t="str">
        <f t="shared" si="1663"/>
        <v>aceptable</v>
      </c>
      <c r="AZ284" s="22" t="str">
        <f t="shared" si="1664"/>
        <v>aceptable</v>
      </c>
      <c r="BA284" s="22" t="str">
        <f t="shared" si="1684"/>
        <v>aceptable</v>
      </c>
      <c r="BB284" s="25" t="str">
        <f t="shared" si="1685"/>
        <v>NO CONFORME</v>
      </c>
      <c r="BC284" s="5" t="str">
        <f t="shared" si="1686"/>
        <v>NO CONFORME</v>
      </c>
      <c r="BD284" s="15">
        <f t="shared" si="1665"/>
        <v>-1</v>
      </c>
      <c r="BE284" s="15">
        <f t="shared" si="1666"/>
        <v>-1</v>
      </c>
      <c r="BF284" s="15">
        <f t="shared" si="1667"/>
        <v>-1</v>
      </c>
      <c r="BG284" s="15" t="str">
        <f t="shared" si="1668"/>
        <v>-1-1-1</v>
      </c>
      <c r="BH284" s="15" t="str">
        <f t="shared" si="1669"/>
        <v>SD</v>
      </c>
      <c r="BI284" s="15" t="str">
        <f t="shared" si="1670"/>
        <v>SI</v>
      </c>
      <c r="BJ284" s="15" t="b">
        <f t="shared" si="1671"/>
        <v>1</v>
      </c>
      <c r="BK284" s="15" t="str">
        <f t="shared" si="1672"/>
        <v>SIGIGUALES</v>
      </c>
      <c r="BL284" s="22" t="str">
        <f t="shared" si="1673"/>
        <v>NO CONFORME</v>
      </c>
    </row>
    <row r="285" spans="1:64" ht="15.75" thickBot="1" x14ac:dyDescent="0.3">
      <c r="A285" s="37">
        <v>277</v>
      </c>
      <c r="B285" s="93">
        <f t="shared" ref="B285:E285" si="1814">B284</f>
        <v>45919</v>
      </c>
      <c r="C285" s="93">
        <f t="shared" si="1814"/>
        <v>45919</v>
      </c>
      <c r="D285" s="94">
        <f t="shared" si="1814"/>
        <v>6</v>
      </c>
      <c r="E285" s="95">
        <f t="shared" si="1814"/>
        <v>15</v>
      </c>
      <c r="F285" s="52"/>
      <c r="G285" s="96"/>
      <c r="H285" s="97">
        <f t="shared" ref="H285:L285" si="1815">H284</f>
        <v>25.6</v>
      </c>
      <c r="I285" s="98">
        <f t="shared" si="1815"/>
        <v>0</v>
      </c>
      <c r="J285" s="99">
        <f t="shared" si="1815"/>
        <v>20.9</v>
      </c>
      <c r="K285" s="99">
        <f t="shared" si="1815"/>
        <v>7.883</v>
      </c>
      <c r="L285" s="99">
        <f t="shared" si="1815"/>
        <v>0.55400000000000005</v>
      </c>
      <c r="M285" s="53"/>
      <c r="N285" s="53"/>
      <c r="O285" s="100">
        <f t="shared" ref="O285:P285" si="1816">O284</f>
        <v>100.62</v>
      </c>
      <c r="P285" s="101" t="str">
        <f t="shared" si="1816"/>
        <v>2,29,560</v>
      </c>
      <c r="Q285" s="11" t="str">
        <f t="shared" si="1739"/>
        <v>2</v>
      </c>
      <c r="R285" s="11" t="str">
        <f t="shared" si="1740"/>
        <v>29,560</v>
      </c>
      <c r="S285" s="11">
        <f t="shared" si="1741"/>
        <v>4.1544444444444446E-2</v>
      </c>
      <c r="T285" s="14">
        <f t="shared" si="1742"/>
        <v>2421.9844878309709</v>
      </c>
      <c r="U285" s="39">
        <f t="shared" si="1743"/>
        <v>-100</v>
      </c>
      <c r="V285" s="105">
        <f t="shared" ref="V285:W285" si="1817">V284</f>
        <v>20.399999999999999</v>
      </c>
      <c r="W285" s="105">
        <f t="shared" si="1817"/>
        <v>1.5069999999999999</v>
      </c>
      <c r="X285" s="106">
        <f t="shared" si="1798"/>
        <v>1.504</v>
      </c>
      <c r="Y285" s="53"/>
      <c r="Z285" s="53"/>
      <c r="AA285" s="107">
        <f t="shared" ref="AA285:AB285" si="1818">AA284</f>
        <v>10.015000000000001</v>
      </c>
      <c r="AB285" s="108" t="str">
        <f t="shared" si="1818"/>
        <v>22,10,090</v>
      </c>
      <c r="AC285" s="11" t="str">
        <f t="shared" si="1746"/>
        <v>22</v>
      </c>
      <c r="AD285" s="11" t="str">
        <f t="shared" si="1747"/>
        <v>10,090</v>
      </c>
      <c r="AE285" s="11">
        <f t="shared" si="1748"/>
        <v>0.36946944444444441</v>
      </c>
      <c r="AF285" s="14">
        <f t="shared" si="1749"/>
        <v>27.106436406558959</v>
      </c>
      <c r="AG285" s="41">
        <f t="shared" si="1750"/>
        <v>-100</v>
      </c>
      <c r="AH285" s="105">
        <f t="shared" si="1806"/>
        <v>20.3</v>
      </c>
      <c r="AI285" s="105">
        <f t="shared" si="1806"/>
        <v>1.5089999999999999</v>
      </c>
      <c r="AJ285" s="105">
        <f t="shared" si="1806"/>
        <v>1.504</v>
      </c>
      <c r="AK285" s="53">
        <f t="shared" si="1751"/>
        <v>0</v>
      </c>
      <c r="AL285" s="53"/>
      <c r="AM285" s="54">
        <f t="shared" ref="AM285:AN285" si="1819">AM284</f>
        <v>5.0129999999999999</v>
      </c>
      <c r="AN285" s="101" t="str">
        <f t="shared" si="1819"/>
        <v>17,59,050</v>
      </c>
      <c r="AO285" s="11" t="str">
        <f t="shared" si="1753"/>
        <v>17</v>
      </c>
      <c r="AP285" s="11" t="str">
        <f t="shared" si="1754"/>
        <v>59,050</v>
      </c>
      <c r="AQ285" s="11">
        <f t="shared" si="1755"/>
        <v>0.29973611111111109</v>
      </c>
      <c r="AR285" s="14">
        <f t="shared" si="1756"/>
        <v>16.724711551827998</v>
      </c>
      <c r="AS285" s="41">
        <f t="shared" si="1757"/>
        <v>-100</v>
      </c>
      <c r="AT285" s="43" t="str">
        <f t="shared" si="1758"/>
        <v>NO CONFORME</v>
      </c>
      <c r="AU285" s="8" t="b">
        <f t="shared" si="1680"/>
        <v>1</v>
      </c>
      <c r="AV285" s="8" t="b">
        <f t="shared" si="1681"/>
        <v>0</v>
      </c>
      <c r="AW285" s="8" t="b">
        <f t="shared" si="1682"/>
        <v>1</v>
      </c>
      <c r="AX285" s="8" t="str">
        <f t="shared" si="1683"/>
        <v>Qcorrecto</v>
      </c>
      <c r="AY285" s="22" t="str">
        <f t="shared" si="1663"/>
        <v>aceptable</v>
      </c>
      <c r="AZ285" s="22" t="str">
        <f t="shared" si="1664"/>
        <v>aceptable</v>
      </c>
      <c r="BA285" s="22" t="str">
        <f t="shared" si="1684"/>
        <v>aceptable</v>
      </c>
      <c r="BB285" s="25" t="str">
        <f t="shared" si="1685"/>
        <v>NO CONFORME</v>
      </c>
      <c r="BC285" s="5" t="str">
        <f t="shared" si="1686"/>
        <v>NO CONFORME</v>
      </c>
      <c r="BD285" s="15">
        <f t="shared" si="1665"/>
        <v>-1</v>
      </c>
      <c r="BE285" s="15">
        <f t="shared" si="1666"/>
        <v>-1</v>
      </c>
      <c r="BF285" s="15">
        <f t="shared" si="1667"/>
        <v>-1</v>
      </c>
      <c r="BG285" s="15" t="str">
        <f t="shared" si="1668"/>
        <v>-1-1-1</v>
      </c>
      <c r="BH285" s="15" t="str">
        <f t="shared" si="1669"/>
        <v>SD</v>
      </c>
      <c r="BI285" s="15" t="str">
        <f t="shared" si="1670"/>
        <v>SI</v>
      </c>
      <c r="BJ285" s="15" t="b">
        <f t="shared" si="1671"/>
        <v>1</v>
      </c>
      <c r="BK285" s="15" t="str">
        <f t="shared" si="1672"/>
        <v>SIGIGUALES</v>
      </c>
      <c r="BL285" s="22" t="str">
        <f t="shared" si="1673"/>
        <v>NO CONFORME</v>
      </c>
    </row>
    <row r="286" spans="1:64" ht="15.75" thickBot="1" x14ac:dyDescent="0.3">
      <c r="A286" s="37">
        <v>278</v>
      </c>
      <c r="B286" s="93">
        <f t="shared" ref="B286:E286" si="1820">B285</f>
        <v>45919</v>
      </c>
      <c r="C286" s="93">
        <f t="shared" si="1820"/>
        <v>45919</v>
      </c>
      <c r="D286" s="94">
        <f t="shared" si="1820"/>
        <v>6</v>
      </c>
      <c r="E286" s="95">
        <f t="shared" si="1820"/>
        <v>15</v>
      </c>
      <c r="F286" s="52"/>
      <c r="G286" s="96"/>
      <c r="H286" s="97">
        <f t="shared" ref="H286:L286" si="1821">H285</f>
        <v>25.6</v>
      </c>
      <c r="I286" s="98">
        <f t="shared" si="1821"/>
        <v>0</v>
      </c>
      <c r="J286" s="99">
        <f t="shared" si="1821"/>
        <v>20.9</v>
      </c>
      <c r="K286" s="99">
        <f t="shared" si="1821"/>
        <v>7.883</v>
      </c>
      <c r="L286" s="99">
        <f t="shared" si="1821"/>
        <v>0.55400000000000005</v>
      </c>
      <c r="M286" s="53"/>
      <c r="N286" s="53"/>
      <c r="O286" s="100">
        <f t="shared" ref="O286:P286" si="1822">O285</f>
        <v>100.62</v>
      </c>
      <c r="P286" s="101" t="str">
        <f t="shared" si="1822"/>
        <v>2,29,560</v>
      </c>
      <c r="Q286" s="11" t="str">
        <f t="shared" si="1739"/>
        <v>2</v>
      </c>
      <c r="R286" s="11" t="str">
        <f t="shared" si="1740"/>
        <v>29,560</v>
      </c>
      <c r="S286" s="11">
        <f t="shared" si="1741"/>
        <v>4.1544444444444446E-2</v>
      </c>
      <c r="T286" s="14">
        <f t="shared" si="1742"/>
        <v>2421.9844878309709</v>
      </c>
      <c r="U286" s="39">
        <f t="shared" si="1743"/>
        <v>-100</v>
      </c>
      <c r="V286" s="105">
        <f t="shared" ref="V286:W286" si="1823">V285</f>
        <v>20.399999999999999</v>
      </c>
      <c r="W286" s="105">
        <f t="shared" si="1823"/>
        <v>1.5069999999999999</v>
      </c>
      <c r="X286" s="106">
        <f t="shared" si="1798"/>
        <v>1.504</v>
      </c>
      <c r="Y286" s="53"/>
      <c r="Z286" s="53"/>
      <c r="AA286" s="107">
        <f t="shared" ref="AA286:AB286" si="1824">AA285</f>
        <v>10.015000000000001</v>
      </c>
      <c r="AB286" s="108" t="str">
        <f t="shared" si="1824"/>
        <v>22,10,090</v>
      </c>
      <c r="AC286" s="11" t="str">
        <f t="shared" si="1746"/>
        <v>22</v>
      </c>
      <c r="AD286" s="11" t="str">
        <f t="shared" si="1747"/>
        <v>10,090</v>
      </c>
      <c r="AE286" s="11">
        <f t="shared" si="1748"/>
        <v>0.36946944444444441</v>
      </c>
      <c r="AF286" s="14">
        <f t="shared" si="1749"/>
        <v>27.106436406558959</v>
      </c>
      <c r="AG286" s="41">
        <f t="shared" si="1750"/>
        <v>-100</v>
      </c>
      <c r="AH286" s="105">
        <f t="shared" si="1806"/>
        <v>20.3</v>
      </c>
      <c r="AI286" s="105">
        <f t="shared" si="1806"/>
        <v>1.5089999999999999</v>
      </c>
      <c r="AJ286" s="105">
        <f t="shared" si="1806"/>
        <v>1.504</v>
      </c>
      <c r="AK286" s="53">
        <f t="shared" si="1751"/>
        <v>0</v>
      </c>
      <c r="AL286" s="53"/>
      <c r="AM286" s="54">
        <f t="shared" ref="AM286:AN286" si="1825">AM285</f>
        <v>5.0129999999999999</v>
      </c>
      <c r="AN286" s="101" t="str">
        <f t="shared" si="1825"/>
        <v>17,59,050</v>
      </c>
      <c r="AO286" s="11" t="str">
        <f t="shared" si="1753"/>
        <v>17</v>
      </c>
      <c r="AP286" s="11" t="str">
        <f t="shared" si="1754"/>
        <v>59,050</v>
      </c>
      <c r="AQ286" s="11">
        <f t="shared" si="1755"/>
        <v>0.29973611111111109</v>
      </c>
      <c r="AR286" s="14">
        <f t="shared" si="1756"/>
        <v>16.724711551827998</v>
      </c>
      <c r="AS286" s="41">
        <f t="shared" si="1757"/>
        <v>-100</v>
      </c>
      <c r="AT286" s="43" t="str">
        <f t="shared" si="1758"/>
        <v>NO CONFORME</v>
      </c>
      <c r="AU286" s="8" t="b">
        <f t="shared" si="1680"/>
        <v>1</v>
      </c>
      <c r="AV286" s="8" t="b">
        <f t="shared" si="1681"/>
        <v>0</v>
      </c>
      <c r="AW286" s="8" t="b">
        <f t="shared" si="1682"/>
        <v>1</v>
      </c>
      <c r="AX286" s="8" t="str">
        <f t="shared" si="1683"/>
        <v>Qcorrecto</v>
      </c>
      <c r="AY286" s="22" t="str">
        <f t="shared" si="1663"/>
        <v>aceptable</v>
      </c>
      <c r="AZ286" s="22" t="str">
        <f t="shared" si="1664"/>
        <v>aceptable</v>
      </c>
      <c r="BA286" s="22" t="str">
        <f t="shared" si="1684"/>
        <v>aceptable</v>
      </c>
      <c r="BB286" s="25" t="str">
        <f t="shared" si="1685"/>
        <v>NO CONFORME</v>
      </c>
      <c r="BC286" s="5" t="str">
        <f t="shared" si="1686"/>
        <v>NO CONFORME</v>
      </c>
      <c r="BD286" s="15">
        <f t="shared" si="1665"/>
        <v>-1</v>
      </c>
      <c r="BE286" s="15">
        <f t="shared" si="1666"/>
        <v>-1</v>
      </c>
      <c r="BF286" s="15">
        <f t="shared" si="1667"/>
        <v>-1</v>
      </c>
      <c r="BG286" s="15" t="str">
        <f t="shared" si="1668"/>
        <v>-1-1-1</v>
      </c>
      <c r="BH286" s="15" t="str">
        <f t="shared" si="1669"/>
        <v>SD</v>
      </c>
      <c r="BI286" s="15" t="str">
        <f t="shared" si="1670"/>
        <v>SI</v>
      </c>
      <c r="BJ286" s="15" t="b">
        <f t="shared" si="1671"/>
        <v>1</v>
      </c>
      <c r="BK286" s="15" t="str">
        <f t="shared" si="1672"/>
        <v>SIGIGUALES</v>
      </c>
      <c r="BL286" s="22" t="str">
        <f t="shared" si="1673"/>
        <v>NO CONFORME</v>
      </c>
    </row>
    <row r="287" spans="1:64" ht="15.75" thickBot="1" x14ac:dyDescent="0.3">
      <c r="A287" s="37">
        <v>279</v>
      </c>
      <c r="B287" s="93">
        <f t="shared" ref="B287:E287" si="1826">B286</f>
        <v>45919</v>
      </c>
      <c r="C287" s="93">
        <f t="shared" si="1826"/>
        <v>45919</v>
      </c>
      <c r="D287" s="94">
        <f t="shared" si="1826"/>
        <v>6</v>
      </c>
      <c r="E287" s="95">
        <f t="shared" si="1826"/>
        <v>15</v>
      </c>
      <c r="F287" s="52"/>
      <c r="G287" s="96"/>
      <c r="H287" s="97">
        <f t="shared" ref="H287:L287" si="1827">H286</f>
        <v>25.6</v>
      </c>
      <c r="I287" s="98">
        <f t="shared" si="1827"/>
        <v>0</v>
      </c>
      <c r="J287" s="99">
        <f t="shared" si="1827"/>
        <v>20.9</v>
      </c>
      <c r="K287" s="99">
        <f t="shared" si="1827"/>
        <v>7.883</v>
      </c>
      <c r="L287" s="99">
        <f t="shared" si="1827"/>
        <v>0.55400000000000005</v>
      </c>
      <c r="M287" s="53"/>
      <c r="N287" s="53"/>
      <c r="O287" s="100">
        <f t="shared" ref="O287:P287" si="1828">O286</f>
        <v>100.62</v>
      </c>
      <c r="P287" s="101" t="str">
        <f t="shared" si="1828"/>
        <v>2,29,560</v>
      </c>
      <c r="Q287" s="11" t="str">
        <f t="shared" si="1739"/>
        <v>2</v>
      </c>
      <c r="R287" s="11" t="str">
        <f t="shared" si="1740"/>
        <v>29,560</v>
      </c>
      <c r="S287" s="11">
        <f t="shared" si="1741"/>
        <v>4.1544444444444446E-2</v>
      </c>
      <c r="T287" s="14">
        <f t="shared" si="1742"/>
        <v>2421.9844878309709</v>
      </c>
      <c r="U287" s="39">
        <f t="shared" si="1743"/>
        <v>-100</v>
      </c>
      <c r="V287" s="105">
        <f t="shared" ref="V287:W287" si="1829">V286</f>
        <v>20.399999999999999</v>
      </c>
      <c r="W287" s="105">
        <f t="shared" si="1829"/>
        <v>1.5069999999999999</v>
      </c>
      <c r="X287" s="106">
        <f t="shared" si="1798"/>
        <v>1.504</v>
      </c>
      <c r="Y287" s="53"/>
      <c r="Z287" s="53"/>
      <c r="AA287" s="107">
        <f t="shared" ref="AA287:AB287" si="1830">AA286</f>
        <v>10.015000000000001</v>
      </c>
      <c r="AB287" s="108" t="str">
        <f t="shared" si="1830"/>
        <v>22,10,090</v>
      </c>
      <c r="AC287" s="11" t="str">
        <f t="shared" si="1746"/>
        <v>22</v>
      </c>
      <c r="AD287" s="11" t="str">
        <f t="shared" si="1747"/>
        <v>10,090</v>
      </c>
      <c r="AE287" s="11">
        <f t="shared" si="1748"/>
        <v>0.36946944444444441</v>
      </c>
      <c r="AF287" s="14">
        <f t="shared" si="1749"/>
        <v>27.106436406558959</v>
      </c>
      <c r="AG287" s="41">
        <f t="shared" si="1750"/>
        <v>-100</v>
      </c>
      <c r="AH287" s="105">
        <f t="shared" si="1806"/>
        <v>20.3</v>
      </c>
      <c r="AI287" s="105">
        <f t="shared" si="1806"/>
        <v>1.5089999999999999</v>
      </c>
      <c r="AJ287" s="105">
        <f t="shared" si="1806"/>
        <v>1.504</v>
      </c>
      <c r="AK287" s="53">
        <f t="shared" si="1751"/>
        <v>0</v>
      </c>
      <c r="AL287" s="53"/>
      <c r="AM287" s="54">
        <f t="shared" ref="AM287:AN287" si="1831">AM286</f>
        <v>5.0129999999999999</v>
      </c>
      <c r="AN287" s="101" t="str">
        <f t="shared" si="1831"/>
        <v>17,59,050</v>
      </c>
      <c r="AO287" s="11" t="str">
        <f t="shared" si="1753"/>
        <v>17</v>
      </c>
      <c r="AP287" s="11" t="str">
        <f t="shared" si="1754"/>
        <v>59,050</v>
      </c>
      <c r="AQ287" s="11">
        <f t="shared" si="1755"/>
        <v>0.29973611111111109</v>
      </c>
      <c r="AR287" s="14">
        <f t="shared" si="1756"/>
        <v>16.724711551827998</v>
      </c>
      <c r="AS287" s="41">
        <f t="shared" si="1757"/>
        <v>-100</v>
      </c>
      <c r="AT287" s="43" t="str">
        <f t="shared" si="1758"/>
        <v>NO CONFORME</v>
      </c>
      <c r="AU287" s="8" t="b">
        <f t="shared" si="1680"/>
        <v>1</v>
      </c>
      <c r="AV287" s="8" t="b">
        <f t="shared" si="1681"/>
        <v>0</v>
      </c>
      <c r="AW287" s="8" t="b">
        <f t="shared" si="1682"/>
        <v>1</v>
      </c>
      <c r="AX287" s="8" t="str">
        <f t="shared" si="1683"/>
        <v>Qcorrecto</v>
      </c>
      <c r="AY287" s="22" t="str">
        <f t="shared" si="1663"/>
        <v>aceptable</v>
      </c>
      <c r="AZ287" s="22" t="str">
        <f t="shared" si="1664"/>
        <v>aceptable</v>
      </c>
      <c r="BA287" s="22" t="str">
        <f t="shared" si="1684"/>
        <v>aceptable</v>
      </c>
      <c r="BB287" s="25" t="str">
        <f t="shared" si="1685"/>
        <v>NO CONFORME</v>
      </c>
      <c r="BC287" s="5" t="str">
        <f t="shared" si="1686"/>
        <v>NO CONFORME</v>
      </c>
      <c r="BD287" s="15">
        <f t="shared" si="1665"/>
        <v>-1</v>
      </c>
      <c r="BE287" s="15">
        <f t="shared" si="1666"/>
        <v>-1</v>
      </c>
      <c r="BF287" s="15">
        <f t="shared" si="1667"/>
        <v>-1</v>
      </c>
      <c r="BG287" s="15" t="str">
        <f t="shared" si="1668"/>
        <v>-1-1-1</v>
      </c>
      <c r="BH287" s="15" t="str">
        <f t="shared" si="1669"/>
        <v>SD</v>
      </c>
      <c r="BI287" s="15" t="str">
        <f t="shared" si="1670"/>
        <v>SI</v>
      </c>
      <c r="BJ287" s="15" t="b">
        <f t="shared" si="1671"/>
        <v>1</v>
      </c>
      <c r="BK287" s="15" t="str">
        <f t="shared" si="1672"/>
        <v>SIGIGUALES</v>
      </c>
      <c r="BL287" s="22" t="str">
        <f t="shared" si="1673"/>
        <v>NO CONFORME</v>
      </c>
    </row>
    <row r="288" spans="1:64" ht="15.75" thickBot="1" x14ac:dyDescent="0.3">
      <c r="A288" s="37">
        <v>280</v>
      </c>
      <c r="B288" s="93">
        <f t="shared" ref="B288:E288" si="1832">B287</f>
        <v>45919</v>
      </c>
      <c r="C288" s="93">
        <f t="shared" si="1832"/>
        <v>45919</v>
      </c>
      <c r="D288" s="94">
        <f t="shared" si="1832"/>
        <v>6</v>
      </c>
      <c r="E288" s="95">
        <f t="shared" si="1832"/>
        <v>15</v>
      </c>
      <c r="F288" s="52"/>
      <c r="G288" s="96"/>
      <c r="H288" s="97">
        <f t="shared" ref="H288:L288" si="1833">H287</f>
        <v>25.6</v>
      </c>
      <c r="I288" s="98">
        <f t="shared" si="1833"/>
        <v>0</v>
      </c>
      <c r="J288" s="99">
        <f t="shared" si="1833"/>
        <v>20.9</v>
      </c>
      <c r="K288" s="99">
        <f t="shared" si="1833"/>
        <v>7.883</v>
      </c>
      <c r="L288" s="99">
        <f t="shared" si="1833"/>
        <v>0.55400000000000005</v>
      </c>
      <c r="M288" s="53"/>
      <c r="N288" s="53"/>
      <c r="O288" s="100">
        <f t="shared" ref="O288:P288" si="1834">O287</f>
        <v>100.62</v>
      </c>
      <c r="P288" s="101" t="str">
        <f t="shared" si="1834"/>
        <v>2,29,560</v>
      </c>
      <c r="Q288" s="11" t="str">
        <f t="shared" si="1739"/>
        <v>2</v>
      </c>
      <c r="R288" s="11" t="str">
        <f t="shared" si="1740"/>
        <v>29,560</v>
      </c>
      <c r="S288" s="11">
        <f t="shared" si="1741"/>
        <v>4.1544444444444446E-2</v>
      </c>
      <c r="T288" s="14">
        <f t="shared" si="1742"/>
        <v>2421.9844878309709</v>
      </c>
      <c r="U288" s="39">
        <f t="shared" si="1743"/>
        <v>-100</v>
      </c>
      <c r="V288" s="105">
        <f t="shared" ref="V288:W288" si="1835">V287</f>
        <v>20.399999999999999</v>
      </c>
      <c r="W288" s="105">
        <f t="shared" si="1835"/>
        <v>1.5069999999999999</v>
      </c>
      <c r="X288" s="106">
        <f t="shared" si="1798"/>
        <v>1.504</v>
      </c>
      <c r="Y288" s="53"/>
      <c r="Z288" s="53"/>
      <c r="AA288" s="107">
        <f t="shared" ref="AA288:AB288" si="1836">AA287</f>
        <v>10.015000000000001</v>
      </c>
      <c r="AB288" s="108" t="str">
        <f t="shared" si="1836"/>
        <v>22,10,090</v>
      </c>
      <c r="AC288" s="11" t="str">
        <f t="shared" si="1746"/>
        <v>22</v>
      </c>
      <c r="AD288" s="11" t="str">
        <f t="shared" si="1747"/>
        <v>10,090</v>
      </c>
      <c r="AE288" s="11">
        <f t="shared" si="1748"/>
        <v>0.36946944444444441</v>
      </c>
      <c r="AF288" s="14">
        <f t="shared" si="1749"/>
        <v>27.106436406558959</v>
      </c>
      <c r="AG288" s="41">
        <f t="shared" si="1750"/>
        <v>-100</v>
      </c>
      <c r="AH288" s="105">
        <f t="shared" si="1806"/>
        <v>20.3</v>
      </c>
      <c r="AI288" s="105">
        <f t="shared" si="1806"/>
        <v>1.5089999999999999</v>
      </c>
      <c r="AJ288" s="105">
        <f t="shared" si="1806"/>
        <v>1.504</v>
      </c>
      <c r="AK288" s="53">
        <f t="shared" si="1751"/>
        <v>0</v>
      </c>
      <c r="AL288" s="53"/>
      <c r="AM288" s="54">
        <f t="shared" ref="AM288:AN288" si="1837">AM287</f>
        <v>5.0129999999999999</v>
      </c>
      <c r="AN288" s="101" t="str">
        <f t="shared" si="1837"/>
        <v>17,59,050</v>
      </c>
      <c r="AO288" s="11" t="str">
        <f t="shared" si="1753"/>
        <v>17</v>
      </c>
      <c r="AP288" s="11" t="str">
        <f t="shared" si="1754"/>
        <v>59,050</v>
      </c>
      <c r="AQ288" s="11">
        <f t="shared" si="1755"/>
        <v>0.29973611111111109</v>
      </c>
      <c r="AR288" s="14">
        <f t="shared" si="1756"/>
        <v>16.724711551827998</v>
      </c>
      <c r="AS288" s="41">
        <f t="shared" si="1757"/>
        <v>-100</v>
      </c>
      <c r="AT288" s="43" t="str">
        <f t="shared" si="1758"/>
        <v>NO CONFORME</v>
      </c>
      <c r="AU288" s="8" t="b">
        <f t="shared" si="1680"/>
        <v>1</v>
      </c>
      <c r="AV288" s="8" t="b">
        <f t="shared" si="1681"/>
        <v>0</v>
      </c>
      <c r="AW288" s="8" t="b">
        <f t="shared" si="1682"/>
        <v>1</v>
      </c>
      <c r="AX288" s="8" t="str">
        <f t="shared" si="1683"/>
        <v>Qcorrecto</v>
      </c>
      <c r="AY288" s="22" t="str">
        <f t="shared" si="1663"/>
        <v>aceptable</v>
      </c>
      <c r="AZ288" s="22" t="str">
        <f t="shared" si="1664"/>
        <v>aceptable</v>
      </c>
      <c r="BA288" s="22" t="str">
        <f t="shared" si="1684"/>
        <v>aceptable</v>
      </c>
      <c r="BB288" s="25" t="str">
        <f t="shared" si="1685"/>
        <v>NO CONFORME</v>
      </c>
      <c r="BC288" s="5" t="str">
        <f t="shared" si="1686"/>
        <v>NO CONFORME</v>
      </c>
      <c r="BD288" s="15">
        <f t="shared" si="1665"/>
        <v>-1</v>
      </c>
      <c r="BE288" s="15">
        <f t="shared" si="1666"/>
        <v>-1</v>
      </c>
      <c r="BF288" s="15">
        <f t="shared" si="1667"/>
        <v>-1</v>
      </c>
      <c r="BG288" s="15" t="str">
        <f t="shared" si="1668"/>
        <v>-1-1-1</v>
      </c>
      <c r="BH288" s="15" t="str">
        <f t="shared" si="1669"/>
        <v>SD</v>
      </c>
      <c r="BI288" s="15" t="str">
        <f t="shared" si="1670"/>
        <v>SI</v>
      </c>
      <c r="BJ288" s="15" t="b">
        <f t="shared" si="1671"/>
        <v>1</v>
      </c>
      <c r="BK288" s="15" t="str">
        <f t="shared" si="1672"/>
        <v>SIGIGUALES</v>
      </c>
      <c r="BL288" s="22" t="str">
        <f t="shared" si="1673"/>
        <v>NO CONFORME</v>
      </c>
    </row>
    <row r="289" spans="1:64" ht="15.75" thickBot="1" x14ac:dyDescent="0.3">
      <c r="A289" s="37">
        <v>281</v>
      </c>
      <c r="B289" s="93">
        <f t="shared" ref="B289:E289" si="1838">B288</f>
        <v>45919</v>
      </c>
      <c r="C289" s="93">
        <f t="shared" si="1838"/>
        <v>45919</v>
      </c>
      <c r="D289" s="94">
        <f t="shared" si="1838"/>
        <v>6</v>
      </c>
      <c r="E289" s="95">
        <f t="shared" si="1838"/>
        <v>15</v>
      </c>
      <c r="F289" s="52"/>
      <c r="G289" s="96"/>
      <c r="H289" s="97">
        <f t="shared" ref="H289:L289" si="1839">H288</f>
        <v>25.6</v>
      </c>
      <c r="I289" s="98">
        <f t="shared" si="1839"/>
        <v>0</v>
      </c>
      <c r="J289" s="99">
        <f t="shared" si="1839"/>
        <v>20.9</v>
      </c>
      <c r="K289" s="99">
        <f t="shared" si="1839"/>
        <v>7.883</v>
      </c>
      <c r="L289" s="99">
        <f t="shared" si="1839"/>
        <v>0.55400000000000005</v>
      </c>
      <c r="M289" s="53"/>
      <c r="N289" s="53"/>
      <c r="O289" s="100">
        <f t="shared" ref="O289:P289" si="1840">O288</f>
        <v>100.62</v>
      </c>
      <c r="P289" s="101" t="str">
        <f t="shared" si="1840"/>
        <v>2,29,560</v>
      </c>
      <c r="Q289" s="11" t="str">
        <f t="shared" si="1739"/>
        <v>2</v>
      </c>
      <c r="R289" s="11" t="str">
        <f t="shared" si="1740"/>
        <v>29,560</v>
      </c>
      <c r="S289" s="11">
        <f t="shared" si="1741"/>
        <v>4.1544444444444446E-2</v>
      </c>
      <c r="T289" s="14">
        <f t="shared" si="1742"/>
        <v>2421.9844878309709</v>
      </c>
      <c r="U289" s="39">
        <f t="shared" si="1743"/>
        <v>-100</v>
      </c>
      <c r="V289" s="105">
        <f t="shared" ref="V289:W289" si="1841">V288</f>
        <v>20.399999999999999</v>
      </c>
      <c r="W289" s="105">
        <f t="shared" si="1841"/>
        <v>1.5069999999999999</v>
      </c>
      <c r="X289" s="106">
        <f t="shared" si="1798"/>
        <v>1.504</v>
      </c>
      <c r="Y289" s="53"/>
      <c r="Z289" s="53"/>
      <c r="AA289" s="107">
        <f t="shared" ref="AA289:AB289" si="1842">AA288</f>
        <v>10.015000000000001</v>
      </c>
      <c r="AB289" s="108" t="str">
        <f t="shared" si="1842"/>
        <v>22,10,090</v>
      </c>
      <c r="AC289" s="11" t="str">
        <f t="shared" si="1746"/>
        <v>22</v>
      </c>
      <c r="AD289" s="11" t="str">
        <f t="shared" si="1747"/>
        <v>10,090</v>
      </c>
      <c r="AE289" s="11">
        <f t="shared" si="1748"/>
        <v>0.36946944444444441</v>
      </c>
      <c r="AF289" s="14">
        <f t="shared" si="1749"/>
        <v>27.106436406558959</v>
      </c>
      <c r="AG289" s="41">
        <f t="shared" si="1750"/>
        <v>-100</v>
      </c>
      <c r="AH289" s="105">
        <f t="shared" si="1806"/>
        <v>20.3</v>
      </c>
      <c r="AI289" s="105">
        <f t="shared" si="1806"/>
        <v>1.5089999999999999</v>
      </c>
      <c r="AJ289" s="105">
        <f t="shared" si="1806"/>
        <v>1.504</v>
      </c>
      <c r="AK289" s="53">
        <f t="shared" si="1751"/>
        <v>0</v>
      </c>
      <c r="AL289" s="53"/>
      <c r="AM289" s="54">
        <f t="shared" ref="AM289:AN289" si="1843">AM288</f>
        <v>5.0129999999999999</v>
      </c>
      <c r="AN289" s="101" t="str">
        <f t="shared" si="1843"/>
        <v>17,59,050</v>
      </c>
      <c r="AO289" s="11" t="str">
        <f t="shared" si="1753"/>
        <v>17</v>
      </c>
      <c r="AP289" s="11" t="str">
        <f t="shared" si="1754"/>
        <v>59,050</v>
      </c>
      <c r="AQ289" s="11">
        <f t="shared" si="1755"/>
        <v>0.29973611111111109</v>
      </c>
      <c r="AR289" s="14">
        <f t="shared" si="1756"/>
        <v>16.724711551827998</v>
      </c>
      <c r="AS289" s="41">
        <f t="shared" si="1757"/>
        <v>-100</v>
      </c>
      <c r="AT289" s="43" t="str">
        <f t="shared" si="1758"/>
        <v>NO CONFORME</v>
      </c>
      <c r="AU289" s="8" t="b">
        <f t="shared" si="1680"/>
        <v>1</v>
      </c>
      <c r="AV289" s="8" t="b">
        <f t="shared" si="1681"/>
        <v>0</v>
      </c>
      <c r="AW289" s="8" t="b">
        <f t="shared" si="1682"/>
        <v>1</v>
      </c>
      <c r="AX289" s="8" t="str">
        <f t="shared" si="1683"/>
        <v>Qcorrecto</v>
      </c>
      <c r="AY289" s="22" t="str">
        <f t="shared" si="1663"/>
        <v>aceptable</v>
      </c>
      <c r="AZ289" s="22" t="str">
        <f t="shared" si="1664"/>
        <v>aceptable</v>
      </c>
      <c r="BA289" s="22" t="str">
        <f t="shared" si="1684"/>
        <v>aceptable</v>
      </c>
      <c r="BB289" s="25" t="str">
        <f t="shared" si="1685"/>
        <v>NO CONFORME</v>
      </c>
      <c r="BC289" s="5" t="str">
        <f t="shared" si="1686"/>
        <v>NO CONFORME</v>
      </c>
      <c r="BD289" s="15">
        <f t="shared" si="1665"/>
        <v>-1</v>
      </c>
      <c r="BE289" s="15">
        <f t="shared" si="1666"/>
        <v>-1</v>
      </c>
      <c r="BF289" s="15">
        <f t="shared" si="1667"/>
        <v>-1</v>
      </c>
      <c r="BG289" s="15" t="str">
        <f t="shared" si="1668"/>
        <v>-1-1-1</v>
      </c>
      <c r="BH289" s="15" t="str">
        <f t="shared" si="1669"/>
        <v>SD</v>
      </c>
      <c r="BI289" s="15" t="str">
        <f t="shared" si="1670"/>
        <v>SI</v>
      </c>
      <c r="BJ289" s="15" t="b">
        <f t="shared" si="1671"/>
        <v>1</v>
      </c>
      <c r="BK289" s="15" t="str">
        <f t="shared" si="1672"/>
        <v>SIGIGUALES</v>
      </c>
      <c r="BL289" s="22" t="str">
        <f t="shared" si="1673"/>
        <v>NO CONFORME</v>
      </c>
    </row>
    <row r="290" spans="1:64" ht="15.75" thickBot="1" x14ac:dyDescent="0.3">
      <c r="A290" s="37">
        <v>282</v>
      </c>
      <c r="B290" s="93">
        <f t="shared" ref="B290:E290" si="1844">B289</f>
        <v>45919</v>
      </c>
      <c r="C290" s="93">
        <f t="shared" si="1844"/>
        <v>45919</v>
      </c>
      <c r="D290" s="94">
        <f t="shared" si="1844"/>
        <v>6</v>
      </c>
      <c r="E290" s="95">
        <f t="shared" si="1844"/>
        <v>15</v>
      </c>
      <c r="F290" s="52"/>
      <c r="G290" s="96"/>
      <c r="H290" s="97">
        <f t="shared" ref="H290:L290" si="1845">H289</f>
        <v>25.6</v>
      </c>
      <c r="I290" s="98">
        <f t="shared" si="1845"/>
        <v>0</v>
      </c>
      <c r="J290" s="99">
        <f t="shared" si="1845"/>
        <v>20.9</v>
      </c>
      <c r="K290" s="99">
        <f t="shared" si="1845"/>
        <v>7.883</v>
      </c>
      <c r="L290" s="99">
        <f t="shared" si="1845"/>
        <v>0.55400000000000005</v>
      </c>
      <c r="M290" s="53"/>
      <c r="N290" s="53"/>
      <c r="O290" s="100">
        <f t="shared" ref="O290:P290" si="1846">O289</f>
        <v>100.62</v>
      </c>
      <c r="P290" s="101" t="str">
        <f t="shared" si="1846"/>
        <v>2,29,560</v>
      </c>
      <c r="Q290" s="11" t="str">
        <f t="shared" si="1739"/>
        <v>2</v>
      </c>
      <c r="R290" s="11" t="str">
        <f t="shared" si="1740"/>
        <v>29,560</v>
      </c>
      <c r="S290" s="11">
        <f t="shared" si="1741"/>
        <v>4.1544444444444446E-2</v>
      </c>
      <c r="T290" s="14">
        <f t="shared" si="1742"/>
        <v>2421.9844878309709</v>
      </c>
      <c r="U290" s="39">
        <f t="shared" si="1743"/>
        <v>-100</v>
      </c>
      <c r="V290" s="105">
        <f t="shared" ref="V290:W290" si="1847">V289</f>
        <v>20.399999999999999</v>
      </c>
      <c r="W290" s="105">
        <f t="shared" si="1847"/>
        <v>1.5069999999999999</v>
      </c>
      <c r="X290" s="106">
        <f t="shared" si="1798"/>
        <v>1.504</v>
      </c>
      <c r="Y290" s="53"/>
      <c r="Z290" s="53"/>
      <c r="AA290" s="107">
        <f t="shared" ref="AA290:AB290" si="1848">AA289</f>
        <v>10.015000000000001</v>
      </c>
      <c r="AB290" s="108" t="str">
        <f t="shared" si="1848"/>
        <v>22,10,090</v>
      </c>
      <c r="AC290" s="11" t="str">
        <f t="shared" si="1746"/>
        <v>22</v>
      </c>
      <c r="AD290" s="11" t="str">
        <f t="shared" si="1747"/>
        <v>10,090</v>
      </c>
      <c r="AE290" s="11">
        <f t="shared" si="1748"/>
        <v>0.36946944444444441</v>
      </c>
      <c r="AF290" s="14">
        <f t="shared" si="1749"/>
        <v>27.106436406558959</v>
      </c>
      <c r="AG290" s="41">
        <f t="shared" si="1750"/>
        <v>-100</v>
      </c>
      <c r="AH290" s="105">
        <f t="shared" si="1806"/>
        <v>20.3</v>
      </c>
      <c r="AI290" s="105">
        <f t="shared" si="1806"/>
        <v>1.5089999999999999</v>
      </c>
      <c r="AJ290" s="105">
        <f t="shared" si="1806"/>
        <v>1.504</v>
      </c>
      <c r="AK290" s="53">
        <f t="shared" si="1751"/>
        <v>0</v>
      </c>
      <c r="AL290" s="53"/>
      <c r="AM290" s="54">
        <f t="shared" ref="AM290:AN290" si="1849">AM289</f>
        <v>5.0129999999999999</v>
      </c>
      <c r="AN290" s="101" t="str">
        <f t="shared" si="1849"/>
        <v>17,59,050</v>
      </c>
      <c r="AO290" s="11" t="str">
        <f t="shared" si="1753"/>
        <v>17</v>
      </c>
      <c r="AP290" s="11" t="str">
        <f t="shared" si="1754"/>
        <v>59,050</v>
      </c>
      <c r="AQ290" s="11">
        <f t="shared" si="1755"/>
        <v>0.29973611111111109</v>
      </c>
      <c r="AR290" s="14">
        <f t="shared" si="1756"/>
        <v>16.724711551827998</v>
      </c>
      <c r="AS290" s="41">
        <f t="shared" si="1757"/>
        <v>-100</v>
      </c>
      <c r="AT290" s="43" t="str">
        <f t="shared" si="1758"/>
        <v>NO CONFORME</v>
      </c>
      <c r="AU290" s="8" t="b">
        <f t="shared" si="1680"/>
        <v>1</v>
      </c>
      <c r="AV290" s="8" t="b">
        <f t="shared" si="1681"/>
        <v>0</v>
      </c>
      <c r="AW290" s="8" t="b">
        <f t="shared" si="1682"/>
        <v>1</v>
      </c>
      <c r="AX290" s="8" t="str">
        <f t="shared" si="1683"/>
        <v>Qcorrecto</v>
      </c>
      <c r="AY290" s="22" t="str">
        <f t="shared" si="1663"/>
        <v>aceptable</v>
      </c>
      <c r="AZ290" s="22" t="str">
        <f t="shared" si="1664"/>
        <v>aceptable</v>
      </c>
      <c r="BA290" s="22" t="str">
        <f t="shared" si="1684"/>
        <v>aceptable</v>
      </c>
      <c r="BB290" s="25" t="str">
        <f t="shared" si="1685"/>
        <v>NO CONFORME</v>
      </c>
      <c r="BC290" s="5" t="str">
        <f t="shared" si="1686"/>
        <v>NO CONFORME</v>
      </c>
      <c r="BD290" s="15">
        <f t="shared" si="1665"/>
        <v>-1</v>
      </c>
      <c r="BE290" s="15">
        <f t="shared" si="1666"/>
        <v>-1</v>
      </c>
      <c r="BF290" s="15">
        <f t="shared" si="1667"/>
        <v>-1</v>
      </c>
      <c r="BG290" s="15" t="str">
        <f t="shared" si="1668"/>
        <v>-1-1-1</v>
      </c>
      <c r="BH290" s="15" t="str">
        <f t="shared" si="1669"/>
        <v>SD</v>
      </c>
      <c r="BI290" s="15" t="str">
        <f t="shared" si="1670"/>
        <v>SI</v>
      </c>
      <c r="BJ290" s="15" t="b">
        <f t="shared" si="1671"/>
        <v>1</v>
      </c>
      <c r="BK290" s="15" t="str">
        <f t="shared" si="1672"/>
        <v>SIGIGUALES</v>
      </c>
      <c r="BL290" s="22" t="str">
        <f t="shared" si="1673"/>
        <v>NO CONFORME</v>
      </c>
    </row>
    <row r="291" spans="1:64" ht="15.75" thickBot="1" x14ac:dyDescent="0.3">
      <c r="A291" s="37">
        <v>283</v>
      </c>
      <c r="B291" s="93">
        <f t="shared" ref="B291:E291" si="1850">B290</f>
        <v>45919</v>
      </c>
      <c r="C291" s="93">
        <f t="shared" si="1850"/>
        <v>45919</v>
      </c>
      <c r="D291" s="94">
        <f t="shared" si="1850"/>
        <v>6</v>
      </c>
      <c r="E291" s="95">
        <f t="shared" si="1850"/>
        <v>15</v>
      </c>
      <c r="F291" s="52"/>
      <c r="G291" s="96"/>
      <c r="H291" s="97">
        <f t="shared" ref="H291:L291" si="1851">H290</f>
        <v>25.6</v>
      </c>
      <c r="I291" s="98">
        <f t="shared" si="1851"/>
        <v>0</v>
      </c>
      <c r="J291" s="99">
        <f t="shared" si="1851"/>
        <v>20.9</v>
      </c>
      <c r="K291" s="99">
        <f t="shared" si="1851"/>
        <v>7.883</v>
      </c>
      <c r="L291" s="99">
        <f t="shared" si="1851"/>
        <v>0.55400000000000005</v>
      </c>
      <c r="M291" s="53"/>
      <c r="N291" s="53"/>
      <c r="O291" s="100">
        <f t="shared" ref="O291:P291" si="1852">O290</f>
        <v>100.62</v>
      </c>
      <c r="P291" s="101" t="str">
        <f t="shared" si="1852"/>
        <v>2,29,560</v>
      </c>
      <c r="Q291" s="11" t="str">
        <f t="shared" si="1739"/>
        <v>2</v>
      </c>
      <c r="R291" s="11" t="str">
        <f t="shared" si="1740"/>
        <v>29,560</v>
      </c>
      <c r="S291" s="11">
        <f t="shared" si="1741"/>
        <v>4.1544444444444446E-2</v>
      </c>
      <c r="T291" s="14">
        <f t="shared" si="1742"/>
        <v>2421.9844878309709</v>
      </c>
      <c r="U291" s="39">
        <f t="shared" si="1743"/>
        <v>-100</v>
      </c>
      <c r="V291" s="105">
        <f t="shared" ref="V291:W291" si="1853">V290</f>
        <v>20.399999999999999</v>
      </c>
      <c r="W291" s="105">
        <f t="shared" si="1853"/>
        <v>1.5069999999999999</v>
      </c>
      <c r="X291" s="106">
        <f t="shared" si="1798"/>
        <v>1.504</v>
      </c>
      <c r="Y291" s="53"/>
      <c r="Z291" s="53"/>
      <c r="AA291" s="107">
        <f t="shared" ref="AA291:AB291" si="1854">AA290</f>
        <v>10.015000000000001</v>
      </c>
      <c r="AB291" s="108" t="str">
        <f t="shared" si="1854"/>
        <v>22,10,090</v>
      </c>
      <c r="AC291" s="11" t="str">
        <f t="shared" si="1746"/>
        <v>22</v>
      </c>
      <c r="AD291" s="11" t="str">
        <f t="shared" si="1747"/>
        <v>10,090</v>
      </c>
      <c r="AE291" s="11">
        <f t="shared" si="1748"/>
        <v>0.36946944444444441</v>
      </c>
      <c r="AF291" s="14">
        <f t="shared" si="1749"/>
        <v>27.106436406558959</v>
      </c>
      <c r="AG291" s="41">
        <f t="shared" si="1750"/>
        <v>-100</v>
      </c>
      <c r="AH291" s="105">
        <f t="shared" si="1806"/>
        <v>20.3</v>
      </c>
      <c r="AI291" s="105">
        <f t="shared" si="1806"/>
        <v>1.5089999999999999</v>
      </c>
      <c r="AJ291" s="105">
        <f t="shared" si="1806"/>
        <v>1.504</v>
      </c>
      <c r="AK291" s="53">
        <f t="shared" si="1751"/>
        <v>0</v>
      </c>
      <c r="AL291" s="53"/>
      <c r="AM291" s="54">
        <f t="shared" ref="AM291:AN291" si="1855">AM290</f>
        <v>5.0129999999999999</v>
      </c>
      <c r="AN291" s="101" t="str">
        <f t="shared" si="1855"/>
        <v>17,59,050</v>
      </c>
      <c r="AO291" s="11" t="str">
        <f t="shared" si="1753"/>
        <v>17</v>
      </c>
      <c r="AP291" s="11" t="str">
        <f t="shared" si="1754"/>
        <v>59,050</v>
      </c>
      <c r="AQ291" s="11">
        <f t="shared" si="1755"/>
        <v>0.29973611111111109</v>
      </c>
      <c r="AR291" s="14">
        <f t="shared" si="1756"/>
        <v>16.724711551827998</v>
      </c>
      <c r="AS291" s="41">
        <f t="shared" si="1757"/>
        <v>-100</v>
      </c>
      <c r="AT291" s="43" t="str">
        <f t="shared" si="1758"/>
        <v>NO CONFORME</v>
      </c>
      <c r="AU291" s="8" t="b">
        <f t="shared" si="1680"/>
        <v>1</v>
      </c>
      <c r="AV291" s="8" t="b">
        <f t="shared" si="1681"/>
        <v>0</v>
      </c>
      <c r="AW291" s="8" t="b">
        <f t="shared" si="1682"/>
        <v>1</v>
      </c>
      <c r="AX291" s="8" t="str">
        <f t="shared" si="1683"/>
        <v>Qcorrecto</v>
      </c>
      <c r="AY291" s="22" t="str">
        <f t="shared" si="1663"/>
        <v>aceptable</v>
      </c>
      <c r="AZ291" s="22" t="str">
        <f t="shared" si="1664"/>
        <v>aceptable</v>
      </c>
      <c r="BA291" s="22" t="str">
        <f t="shared" si="1684"/>
        <v>aceptable</v>
      </c>
      <c r="BB291" s="25" t="str">
        <f t="shared" si="1685"/>
        <v>NO CONFORME</v>
      </c>
      <c r="BC291" s="5" t="str">
        <f t="shared" si="1686"/>
        <v>NO CONFORME</v>
      </c>
      <c r="BD291" s="15">
        <f t="shared" si="1665"/>
        <v>-1</v>
      </c>
      <c r="BE291" s="15">
        <f t="shared" si="1666"/>
        <v>-1</v>
      </c>
      <c r="BF291" s="15">
        <f t="shared" si="1667"/>
        <v>-1</v>
      </c>
      <c r="BG291" s="15" t="str">
        <f t="shared" si="1668"/>
        <v>-1-1-1</v>
      </c>
      <c r="BH291" s="15" t="str">
        <f t="shared" si="1669"/>
        <v>SD</v>
      </c>
      <c r="BI291" s="15" t="str">
        <f t="shared" si="1670"/>
        <v>SI</v>
      </c>
      <c r="BJ291" s="15" t="b">
        <f t="shared" si="1671"/>
        <v>1</v>
      </c>
      <c r="BK291" s="15" t="str">
        <f t="shared" si="1672"/>
        <v>SIGIGUALES</v>
      </c>
      <c r="BL291" s="22" t="str">
        <f t="shared" si="1673"/>
        <v>NO CONFORME</v>
      </c>
    </row>
    <row r="292" spans="1:64" ht="15.75" thickBot="1" x14ac:dyDescent="0.3">
      <c r="A292" s="37">
        <v>284</v>
      </c>
      <c r="B292" s="93">
        <f t="shared" ref="B292:E292" si="1856">B291</f>
        <v>45919</v>
      </c>
      <c r="C292" s="93">
        <f t="shared" si="1856"/>
        <v>45919</v>
      </c>
      <c r="D292" s="94">
        <f t="shared" si="1856"/>
        <v>6</v>
      </c>
      <c r="E292" s="95">
        <f t="shared" si="1856"/>
        <v>15</v>
      </c>
      <c r="F292" s="52"/>
      <c r="G292" s="96"/>
      <c r="H292" s="97">
        <f t="shared" ref="H292:L292" si="1857">H291</f>
        <v>25.6</v>
      </c>
      <c r="I292" s="98">
        <f t="shared" si="1857"/>
        <v>0</v>
      </c>
      <c r="J292" s="99">
        <f t="shared" si="1857"/>
        <v>20.9</v>
      </c>
      <c r="K292" s="99">
        <f t="shared" si="1857"/>
        <v>7.883</v>
      </c>
      <c r="L292" s="99">
        <f t="shared" si="1857"/>
        <v>0.55400000000000005</v>
      </c>
      <c r="M292" s="53"/>
      <c r="N292" s="53"/>
      <c r="O292" s="100">
        <f t="shared" ref="O292:P292" si="1858">O291</f>
        <v>100.62</v>
      </c>
      <c r="P292" s="101" t="str">
        <f t="shared" si="1858"/>
        <v>2,29,560</v>
      </c>
      <c r="Q292" s="11" t="str">
        <f t="shared" si="1739"/>
        <v>2</v>
      </c>
      <c r="R292" s="11" t="str">
        <f t="shared" si="1740"/>
        <v>29,560</v>
      </c>
      <c r="S292" s="11">
        <f t="shared" si="1741"/>
        <v>4.1544444444444446E-2</v>
      </c>
      <c r="T292" s="14">
        <f t="shared" si="1742"/>
        <v>2421.9844878309709</v>
      </c>
      <c r="U292" s="39">
        <f t="shared" si="1743"/>
        <v>-100</v>
      </c>
      <c r="V292" s="105">
        <f t="shared" ref="V292:W292" si="1859">V291</f>
        <v>20.399999999999999</v>
      </c>
      <c r="W292" s="105">
        <f t="shared" si="1859"/>
        <v>1.5069999999999999</v>
      </c>
      <c r="X292" s="106">
        <f t="shared" si="1798"/>
        <v>1.504</v>
      </c>
      <c r="Y292" s="53"/>
      <c r="Z292" s="53"/>
      <c r="AA292" s="107">
        <f t="shared" ref="AA292:AB292" si="1860">AA291</f>
        <v>10.015000000000001</v>
      </c>
      <c r="AB292" s="108" t="str">
        <f t="shared" si="1860"/>
        <v>22,10,090</v>
      </c>
      <c r="AC292" s="11" t="str">
        <f t="shared" si="1746"/>
        <v>22</v>
      </c>
      <c r="AD292" s="11" t="str">
        <f t="shared" si="1747"/>
        <v>10,090</v>
      </c>
      <c r="AE292" s="11">
        <f t="shared" si="1748"/>
        <v>0.36946944444444441</v>
      </c>
      <c r="AF292" s="14">
        <f t="shared" si="1749"/>
        <v>27.106436406558959</v>
      </c>
      <c r="AG292" s="41">
        <f t="shared" si="1750"/>
        <v>-100</v>
      </c>
      <c r="AH292" s="105">
        <f t="shared" si="1806"/>
        <v>20.3</v>
      </c>
      <c r="AI292" s="105">
        <f t="shared" si="1806"/>
        <v>1.5089999999999999</v>
      </c>
      <c r="AJ292" s="105">
        <f t="shared" si="1806"/>
        <v>1.504</v>
      </c>
      <c r="AK292" s="53">
        <f t="shared" si="1751"/>
        <v>0</v>
      </c>
      <c r="AL292" s="53"/>
      <c r="AM292" s="54">
        <f t="shared" ref="AM292:AN292" si="1861">AM291</f>
        <v>5.0129999999999999</v>
      </c>
      <c r="AN292" s="101" t="str">
        <f t="shared" si="1861"/>
        <v>17,59,050</v>
      </c>
      <c r="AO292" s="11" t="str">
        <f t="shared" si="1753"/>
        <v>17</v>
      </c>
      <c r="AP292" s="11" t="str">
        <f t="shared" si="1754"/>
        <v>59,050</v>
      </c>
      <c r="AQ292" s="11">
        <f t="shared" si="1755"/>
        <v>0.29973611111111109</v>
      </c>
      <c r="AR292" s="14">
        <f t="shared" si="1756"/>
        <v>16.724711551827998</v>
      </c>
      <c r="AS292" s="41">
        <f t="shared" si="1757"/>
        <v>-100</v>
      </c>
      <c r="AT292" s="43" t="str">
        <f t="shared" si="1758"/>
        <v>NO CONFORME</v>
      </c>
      <c r="AU292" s="8" t="b">
        <f t="shared" si="1680"/>
        <v>1</v>
      </c>
      <c r="AV292" s="8" t="b">
        <f t="shared" si="1681"/>
        <v>0</v>
      </c>
      <c r="AW292" s="8" t="b">
        <f t="shared" si="1682"/>
        <v>1</v>
      </c>
      <c r="AX292" s="8" t="str">
        <f t="shared" si="1683"/>
        <v>Qcorrecto</v>
      </c>
      <c r="AY292" s="22" t="str">
        <f t="shared" si="1663"/>
        <v>aceptable</v>
      </c>
      <c r="AZ292" s="22" t="str">
        <f t="shared" si="1664"/>
        <v>aceptable</v>
      </c>
      <c r="BA292" s="22" t="str">
        <f t="shared" si="1684"/>
        <v>aceptable</v>
      </c>
      <c r="BB292" s="25" t="str">
        <f t="shared" si="1685"/>
        <v>NO CONFORME</v>
      </c>
      <c r="BC292" s="5" t="str">
        <f t="shared" si="1686"/>
        <v>NO CONFORME</v>
      </c>
      <c r="BD292" s="15">
        <f t="shared" si="1665"/>
        <v>-1</v>
      </c>
      <c r="BE292" s="15">
        <f t="shared" si="1666"/>
        <v>-1</v>
      </c>
      <c r="BF292" s="15">
        <f t="shared" si="1667"/>
        <v>-1</v>
      </c>
      <c r="BG292" s="15" t="str">
        <f t="shared" si="1668"/>
        <v>-1-1-1</v>
      </c>
      <c r="BH292" s="15" t="str">
        <f t="shared" si="1669"/>
        <v>SD</v>
      </c>
      <c r="BI292" s="15" t="str">
        <f t="shared" si="1670"/>
        <v>SI</v>
      </c>
      <c r="BJ292" s="15" t="b">
        <f t="shared" si="1671"/>
        <v>1</v>
      </c>
      <c r="BK292" s="15" t="str">
        <f t="shared" si="1672"/>
        <v>SIGIGUALES</v>
      </c>
      <c r="BL292" s="22" t="str">
        <f t="shared" si="1673"/>
        <v>NO CONFORME</v>
      </c>
    </row>
    <row r="293" spans="1:64" ht="15.75" thickBot="1" x14ac:dyDescent="0.3">
      <c r="A293" s="37">
        <v>285</v>
      </c>
      <c r="B293" s="93">
        <f t="shared" ref="B293:E293" si="1862">B292</f>
        <v>45919</v>
      </c>
      <c r="C293" s="93">
        <f t="shared" si="1862"/>
        <v>45919</v>
      </c>
      <c r="D293" s="94">
        <f t="shared" si="1862"/>
        <v>6</v>
      </c>
      <c r="E293" s="95">
        <f t="shared" si="1862"/>
        <v>15</v>
      </c>
      <c r="F293" s="52"/>
      <c r="G293" s="96"/>
      <c r="H293" s="97">
        <f t="shared" ref="H293:L293" si="1863">H292</f>
        <v>25.6</v>
      </c>
      <c r="I293" s="98">
        <f t="shared" si="1863"/>
        <v>0</v>
      </c>
      <c r="J293" s="99">
        <f t="shared" si="1863"/>
        <v>20.9</v>
      </c>
      <c r="K293" s="99">
        <f t="shared" si="1863"/>
        <v>7.883</v>
      </c>
      <c r="L293" s="99">
        <f t="shared" si="1863"/>
        <v>0.55400000000000005</v>
      </c>
      <c r="M293" s="53"/>
      <c r="N293" s="53"/>
      <c r="O293" s="100">
        <f t="shared" ref="O293:P293" si="1864">O292</f>
        <v>100.62</v>
      </c>
      <c r="P293" s="101" t="str">
        <f t="shared" si="1864"/>
        <v>2,29,560</v>
      </c>
      <c r="Q293" s="11" t="str">
        <f t="shared" si="1739"/>
        <v>2</v>
      </c>
      <c r="R293" s="11" t="str">
        <f t="shared" si="1740"/>
        <v>29,560</v>
      </c>
      <c r="S293" s="11">
        <f t="shared" si="1741"/>
        <v>4.1544444444444446E-2</v>
      </c>
      <c r="T293" s="14">
        <f t="shared" si="1742"/>
        <v>2421.9844878309709</v>
      </c>
      <c r="U293" s="39">
        <f t="shared" si="1743"/>
        <v>-100</v>
      </c>
      <c r="V293" s="105">
        <f t="shared" ref="V293:W293" si="1865">V292</f>
        <v>20.399999999999999</v>
      </c>
      <c r="W293" s="105">
        <f t="shared" si="1865"/>
        <v>1.5069999999999999</v>
      </c>
      <c r="X293" s="106">
        <f t="shared" si="1798"/>
        <v>1.504</v>
      </c>
      <c r="Y293" s="53"/>
      <c r="Z293" s="53"/>
      <c r="AA293" s="107">
        <f t="shared" ref="AA293:AB293" si="1866">AA292</f>
        <v>10.015000000000001</v>
      </c>
      <c r="AB293" s="108" t="str">
        <f t="shared" si="1866"/>
        <v>22,10,090</v>
      </c>
      <c r="AC293" s="11" t="str">
        <f t="shared" si="1746"/>
        <v>22</v>
      </c>
      <c r="AD293" s="11" t="str">
        <f t="shared" si="1747"/>
        <v>10,090</v>
      </c>
      <c r="AE293" s="11">
        <f t="shared" si="1748"/>
        <v>0.36946944444444441</v>
      </c>
      <c r="AF293" s="14">
        <f t="shared" si="1749"/>
        <v>27.106436406558959</v>
      </c>
      <c r="AG293" s="41">
        <f t="shared" si="1750"/>
        <v>-100</v>
      </c>
      <c r="AH293" s="105">
        <f t="shared" si="1806"/>
        <v>20.3</v>
      </c>
      <c r="AI293" s="105">
        <f t="shared" si="1806"/>
        <v>1.5089999999999999</v>
      </c>
      <c r="AJ293" s="105">
        <f t="shared" si="1806"/>
        <v>1.504</v>
      </c>
      <c r="AK293" s="53">
        <f t="shared" si="1751"/>
        <v>0</v>
      </c>
      <c r="AL293" s="53"/>
      <c r="AM293" s="54">
        <f t="shared" ref="AM293:AN293" si="1867">AM292</f>
        <v>5.0129999999999999</v>
      </c>
      <c r="AN293" s="101" t="str">
        <f t="shared" si="1867"/>
        <v>17,59,050</v>
      </c>
      <c r="AO293" s="11" t="str">
        <f t="shared" si="1753"/>
        <v>17</v>
      </c>
      <c r="AP293" s="11" t="str">
        <f t="shared" si="1754"/>
        <v>59,050</v>
      </c>
      <c r="AQ293" s="11">
        <f t="shared" si="1755"/>
        <v>0.29973611111111109</v>
      </c>
      <c r="AR293" s="14">
        <f t="shared" si="1756"/>
        <v>16.724711551827998</v>
      </c>
      <c r="AS293" s="41">
        <f t="shared" si="1757"/>
        <v>-100</v>
      </c>
      <c r="AT293" s="43" t="str">
        <f t="shared" si="1758"/>
        <v>NO CONFORME</v>
      </c>
      <c r="AU293" s="8" t="b">
        <f t="shared" si="1680"/>
        <v>1</v>
      </c>
      <c r="AV293" s="8" t="b">
        <f t="shared" si="1681"/>
        <v>0</v>
      </c>
      <c r="AW293" s="8" t="b">
        <f t="shared" si="1682"/>
        <v>1</v>
      </c>
      <c r="AX293" s="8" t="str">
        <f t="shared" si="1683"/>
        <v>Qcorrecto</v>
      </c>
      <c r="AY293" s="22" t="str">
        <f t="shared" si="1663"/>
        <v>aceptable</v>
      </c>
      <c r="AZ293" s="22" t="str">
        <f t="shared" si="1664"/>
        <v>aceptable</v>
      </c>
      <c r="BA293" s="22" t="str">
        <f t="shared" si="1684"/>
        <v>aceptable</v>
      </c>
      <c r="BB293" s="25" t="str">
        <f t="shared" si="1685"/>
        <v>NO CONFORME</v>
      </c>
      <c r="BC293" s="5" t="str">
        <f t="shared" si="1686"/>
        <v>NO CONFORME</v>
      </c>
      <c r="BD293" s="15">
        <f t="shared" si="1665"/>
        <v>-1</v>
      </c>
      <c r="BE293" s="15">
        <f t="shared" si="1666"/>
        <v>-1</v>
      </c>
      <c r="BF293" s="15">
        <f t="shared" si="1667"/>
        <v>-1</v>
      </c>
      <c r="BG293" s="15" t="str">
        <f t="shared" si="1668"/>
        <v>-1-1-1</v>
      </c>
      <c r="BH293" s="15" t="str">
        <f t="shared" si="1669"/>
        <v>SD</v>
      </c>
      <c r="BI293" s="15" t="str">
        <f t="shared" si="1670"/>
        <v>SI</v>
      </c>
      <c r="BJ293" s="15" t="b">
        <f t="shared" si="1671"/>
        <v>1</v>
      </c>
      <c r="BK293" s="15" t="str">
        <f t="shared" si="1672"/>
        <v>SIGIGUALES</v>
      </c>
      <c r="BL293" s="22" t="str">
        <f t="shared" si="1673"/>
        <v>NO CONFORME</v>
      </c>
    </row>
    <row r="294" spans="1:64" ht="15.75" thickBot="1" x14ac:dyDescent="0.3">
      <c r="A294" s="37">
        <v>286</v>
      </c>
      <c r="B294" s="93">
        <f t="shared" ref="B294:E294" si="1868">B293</f>
        <v>45919</v>
      </c>
      <c r="C294" s="93">
        <f t="shared" si="1868"/>
        <v>45919</v>
      </c>
      <c r="D294" s="94">
        <f t="shared" si="1868"/>
        <v>6</v>
      </c>
      <c r="E294" s="95">
        <f t="shared" si="1868"/>
        <v>15</v>
      </c>
      <c r="F294" s="52"/>
      <c r="G294" s="96"/>
      <c r="H294" s="97">
        <f t="shared" ref="H294:L294" si="1869">H293</f>
        <v>25.6</v>
      </c>
      <c r="I294" s="98">
        <f t="shared" si="1869"/>
        <v>0</v>
      </c>
      <c r="J294" s="99">
        <f t="shared" si="1869"/>
        <v>20.9</v>
      </c>
      <c r="K294" s="99">
        <f t="shared" si="1869"/>
        <v>7.883</v>
      </c>
      <c r="L294" s="99">
        <f t="shared" si="1869"/>
        <v>0.55400000000000005</v>
      </c>
      <c r="M294" s="53"/>
      <c r="N294" s="53"/>
      <c r="O294" s="100">
        <f t="shared" ref="O294:P294" si="1870">O293</f>
        <v>100.62</v>
      </c>
      <c r="P294" s="101" t="str">
        <f t="shared" si="1870"/>
        <v>2,29,560</v>
      </c>
      <c r="Q294" s="11" t="str">
        <f t="shared" si="1739"/>
        <v>2</v>
      </c>
      <c r="R294" s="11" t="str">
        <f t="shared" si="1740"/>
        <v>29,560</v>
      </c>
      <c r="S294" s="11">
        <f t="shared" si="1741"/>
        <v>4.1544444444444446E-2</v>
      </c>
      <c r="T294" s="14">
        <f t="shared" si="1742"/>
        <v>2421.9844878309709</v>
      </c>
      <c r="U294" s="39">
        <f t="shared" si="1743"/>
        <v>-100</v>
      </c>
      <c r="V294" s="105">
        <f t="shared" ref="V294:W294" si="1871">V293</f>
        <v>20.399999999999999</v>
      </c>
      <c r="W294" s="105">
        <f t="shared" si="1871"/>
        <v>1.5069999999999999</v>
      </c>
      <c r="X294" s="106">
        <f t="shared" si="1798"/>
        <v>1.504</v>
      </c>
      <c r="Y294" s="53"/>
      <c r="Z294" s="53"/>
      <c r="AA294" s="107">
        <f t="shared" ref="AA294:AB294" si="1872">AA293</f>
        <v>10.015000000000001</v>
      </c>
      <c r="AB294" s="108" t="str">
        <f t="shared" si="1872"/>
        <v>22,10,090</v>
      </c>
      <c r="AC294" s="11" t="str">
        <f t="shared" si="1746"/>
        <v>22</v>
      </c>
      <c r="AD294" s="11" t="str">
        <f t="shared" si="1747"/>
        <v>10,090</v>
      </c>
      <c r="AE294" s="11">
        <f t="shared" si="1748"/>
        <v>0.36946944444444441</v>
      </c>
      <c r="AF294" s="14">
        <f t="shared" si="1749"/>
        <v>27.106436406558959</v>
      </c>
      <c r="AG294" s="41">
        <f t="shared" si="1750"/>
        <v>-100</v>
      </c>
      <c r="AH294" s="105">
        <f t="shared" si="1806"/>
        <v>20.3</v>
      </c>
      <c r="AI294" s="105">
        <f t="shared" si="1806"/>
        <v>1.5089999999999999</v>
      </c>
      <c r="AJ294" s="105">
        <f t="shared" si="1806"/>
        <v>1.504</v>
      </c>
      <c r="AK294" s="53">
        <f t="shared" si="1751"/>
        <v>0</v>
      </c>
      <c r="AL294" s="53"/>
      <c r="AM294" s="54">
        <f t="shared" ref="AM294:AN294" si="1873">AM293</f>
        <v>5.0129999999999999</v>
      </c>
      <c r="AN294" s="101" t="str">
        <f t="shared" si="1873"/>
        <v>17,59,050</v>
      </c>
      <c r="AO294" s="11" t="str">
        <f t="shared" si="1753"/>
        <v>17</v>
      </c>
      <c r="AP294" s="11" t="str">
        <f t="shared" si="1754"/>
        <v>59,050</v>
      </c>
      <c r="AQ294" s="11">
        <f t="shared" si="1755"/>
        <v>0.29973611111111109</v>
      </c>
      <c r="AR294" s="14">
        <f t="shared" si="1756"/>
        <v>16.724711551827998</v>
      </c>
      <c r="AS294" s="41">
        <f t="shared" si="1757"/>
        <v>-100</v>
      </c>
      <c r="AT294" s="43" t="str">
        <f t="shared" si="1758"/>
        <v>NO CONFORME</v>
      </c>
      <c r="AU294" s="8" t="b">
        <f t="shared" si="1680"/>
        <v>1</v>
      </c>
      <c r="AV294" s="8" t="b">
        <f t="shared" si="1681"/>
        <v>0</v>
      </c>
      <c r="AW294" s="8" t="b">
        <f t="shared" si="1682"/>
        <v>1</v>
      </c>
      <c r="AX294" s="8" t="str">
        <f t="shared" si="1683"/>
        <v>Qcorrecto</v>
      </c>
      <c r="AY294" s="22" t="str">
        <f t="shared" si="1663"/>
        <v>aceptable</v>
      </c>
      <c r="AZ294" s="22" t="str">
        <f t="shared" si="1664"/>
        <v>aceptable</v>
      </c>
      <c r="BA294" s="22" t="str">
        <f t="shared" si="1684"/>
        <v>aceptable</v>
      </c>
      <c r="BB294" s="25" t="str">
        <f t="shared" si="1685"/>
        <v>NO CONFORME</v>
      </c>
      <c r="BC294" s="5" t="str">
        <f t="shared" si="1686"/>
        <v>NO CONFORME</v>
      </c>
      <c r="BD294" s="15">
        <f t="shared" si="1665"/>
        <v>-1</v>
      </c>
      <c r="BE294" s="15">
        <f t="shared" si="1666"/>
        <v>-1</v>
      </c>
      <c r="BF294" s="15">
        <f t="shared" si="1667"/>
        <v>-1</v>
      </c>
      <c r="BG294" s="15" t="str">
        <f t="shared" si="1668"/>
        <v>-1-1-1</v>
      </c>
      <c r="BH294" s="15" t="str">
        <f t="shared" si="1669"/>
        <v>SD</v>
      </c>
      <c r="BI294" s="15" t="str">
        <f t="shared" si="1670"/>
        <v>SI</v>
      </c>
      <c r="BJ294" s="15" t="b">
        <f t="shared" si="1671"/>
        <v>1</v>
      </c>
      <c r="BK294" s="15" t="str">
        <f t="shared" si="1672"/>
        <v>SIGIGUALES</v>
      </c>
      <c r="BL294" s="22" t="str">
        <f t="shared" si="1673"/>
        <v>NO CONFORME</v>
      </c>
    </row>
    <row r="295" spans="1:64" ht="15.75" thickBot="1" x14ac:dyDescent="0.3">
      <c r="A295" s="37">
        <v>287</v>
      </c>
      <c r="B295" s="93">
        <f t="shared" ref="B295:E295" si="1874">B294</f>
        <v>45919</v>
      </c>
      <c r="C295" s="93">
        <f t="shared" si="1874"/>
        <v>45919</v>
      </c>
      <c r="D295" s="94">
        <f t="shared" si="1874"/>
        <v>6</v>
      </c>
      <c r="E295" s="95">
        <f t="shared" si="1874"/>
        <v>15</v>
      </c>
      <c r="F295" s="52"/>
      <c r="G295" s="96"/>
      <c r="H295" s="97">
        <f t="shared" ref="H295:L295" si="1875">H294</f>
        <v>25.6</v>
      </c>
      <c r="I295" s="98">
        <f t="shared" si="1875"/>
        <v>0</v>
      </c>
      <c r="J295" s="99">
        <f t="shared" si="1875"/>
        <v>20.9</v>
      </c>
      <c r="K295" s="99">
        <f t="shared" si="1875"/>
        <v>7.883</v>
      </c>
      <c r="L295" s="99">
        <f t="shared" si="1875"/>
        <v>0.55400000000000005</v>
      </c>
      <c r="M295" s="53"/>
      <c r="N295" s="53"/>
      <c r="O295" s="100">
        <f t="shared" ref="O295:P295" si="1876">O294</f>
        <v>100.62</v>
      </c>
      <c r="P295" s="101" t="str">
        <f t="shared" si="1876"/>
        <v>2,29,560</v>
      </c>
      <c r="Q295" s="11" t="str">
        <f t="shared" si="1739"/>
        <v>2</v>
      </c>
      <c r="R295" s="11" t="str">
        <f t="shared" si="1740"/>
        <v>29,560</v>
      </c>
      <c r="S295" s="11">
        <f t="shared" si="1741"/>
        <v>4.1544444444444446E-2</v>
      </c>
      <c r="T295" s="14">
        <f t="shared" si="1742"/>
        <v>2421.9844878309709</v>
      </c>
      <c r="U295" s="39">
        <f t="shared" si="1743"/>
        <v>-100</v>
      </c>
      <c r="V295" s="105">
        <f t="shared" ref="V295:W295" si="1877">V294</f>
        <v>20.399999999999999</v>
      </c>
      <c r="W295" s="105">
        <f t="shared" si="1877"/>
        <v>1.5069999999999999</v>
      </c>
      <c r="X295" s="106">
        <f t="shared" si="1798"/>
        <v>1.504</v>
      </c>
      <c r="Y295" s="53"/>
      <c r="Z295" s="53"/>
      <c r="AA295" s="107">
        <f t="shared" ref="AA295:AB295" si="1878">AA294</f>
        <v>10.015000000000001</v>
      </c>
      <c r="AB295" s="108" t="str">
        <f t="shared" si="1878"/>
        <v>22,10,090</v>
      </c>
      <c r="AC295" s="11" t="str">
        <f t="shared" si="1746"/>
        <v>22</v>
      </c>
      <c r="AD295" s="11" t="str">
        <f t="shared" si="1747"/>
        <v>10,090</v>
      </c>
      <c r="AE295" s="11">
        <f t="shared" si="1748"/>
        <v>0.36946944444444441</v>
      </c>
      <c r="AF295" s="14">
        <f t="shared" si="1749"/>
        <v>27.106436406558959</v>
      </c>
      <c r="AG295" s="41">
        <f t="shared" si="1750"/>
        <v>-100</v>
      </c>
      <c r="AH295" s="105">
        <f t="shared" si="1806"/>
        <v>20.3</v>
      </c>
      <c r="AI295" s="105">
        <f t="shared" si="1806"/>
        <v>1.5089999999999999</v>
      </c>
      <c r="AJ295" s="105">
        <f t="shared" si="1806"/>
        <v>1.504</v>
      </c>
      <c r="AK295" s="53">
        <f t="shared" si="1751"/>
        <v>0</v>
      </c>
      <c r="AL295" s="53"/>
      <c r="AM295" s="54">
        <f t="shared" ref="AM295:AN295" si="1879">AM294</f>
        <v>5.0129999999999999</v>
      </c>
      <c r="AN295" s="101" t="str">
        <f t="shared" si="1879"/>
        <v>17,59,050</v>
      </c>
      <c r="AO295" s="11" t="str">
        <f t="shared" si="1753"/>
        <v>17</v>
      </c>
      <c r="AP295" s="11" t="str">
        <f t="shared" si="1754"/>
        <v>59,050</v>
      </c>
      <c r="AQ295" s="11">
        <f t="shared" si="1755"/>
        <v>0.29973611111111109</v>
      </c>
      <c r="AR295" s="14">
        <f t="shared" si="1756"/>
        <v>16.724711551827998</v>
      </c>
      <c r="AS295" s="41">
        <f t="shared" si="1757"/>
        <v>-100</v>
      </c>
      <c r="AT295" s="43" t="str">
        <f t="shared" si="1758"/>
        <v>NO CONFORME</v>
      </c>
      <c r="AU295" s="8" t="b">
        <f t="shared" si="1680"/>
        <v>1</v>
      </c>
      <c r="AV295" s="8" t="b">
        <f t="shared" si="1681"/>
        <v>0</v>
      </c>
      <c r="AW295" s="8" t="b">
        <f t="shared" si="1682"/>
        <v>1</v>
      </c>
      <c r="AX295" s="8" t="str">
        <f t="shared" si="1683"/>
        <v>Qcorrecto</v>
      </c>
      <c r="AY295" s="22" t="str">
        <f t="shared" si="1663"/>
        <v>aceptable</v>
      </c>
      <c r="AZ295" s="22" t="str">
        <f t="shared" si="1664"/>
        <v>aceptable</v>
      </c>
      <c r="BA295" s="22" t="str">
        <f t="shared" si="1684"/>
        <v>aceptable</v>
      </c>
      <c r="BB295" s="25" t="str">
        <f t="shared" si="1685"/>
        <v>NO CONFORME</v>
      </c>
      <c r="BC295" s="5" t="str">
        <f t="shared" si="1686"/>
        <v>NO CONFORME</v>
      </c>
      <c r="BD295" s="15">
        <f t="shared" si="1665"/>
        <v>-1</v>
      </c>
      <c r="BE295" s="15">
        <f t="shared" si="1666"/>
        <v>-1</v>
      </c>
      <c r="BF295" s="15">
        <f t="shared" si="1667"/>
        <v>-1</v>
      </c>
      <c r="BG295" s="15" t="str">
        <f t="shared" si="1668"/>
        <v>-1-1-1</v>
      </c>
      <c r="BH295" s="15" t="str">
        <f t="shared" si="1669"/>
        <v>SD</v>
      </c>
      <c r="BI295" s="15" t="str">
        <f t="shared" si="1670"/>
        <v>SI</v>
      </c>
      <c r="BJ295" s="15" t="b">
        <f t="shared" si="1671"/>
        <v>1</v>
      </c>
      <c r="BK295" s="15" t="str">
        <f t="shared" si="1672"/>
        <v>SIGIGUALES</v>
      </c>
      <c r="BL295" s="22" t="str">
        <f t="shared" si="1673"/>
        <v>NO CONFORME</v>
      </c>
    </row>
    <row r="296" spans="1:64" ht="15.75" thickBot="1" x14ac:dyDescent="0.3">
      <c r="A296" s="37">
        <v>288</v>
      </c>
      <c r="B296" s="93">
        <f t="shared" ref="B296:E296" si="1880">B295</f>
        <v>45919</v>
      </c>
      <c r="C296" s="93">
        <f t="shared" si="1880"/>
        <v>45919</v>
      </c>
      <c r="D296" s="94">
        <f t="shared" si="1880"/>
        <v>6</v>
      </c>
      <c r="E296" s="95">
        <f t="shared" si="1880"/>
        <v>15</v>
      </c>
      <c r="F296" s="52"/>
      <c r="G296" s="96"/>
      <c r="H296" s="97">
        <f t="shared" ref="H296:L296" si="1881">H295</f>
        <v>25.6</v>
      </c>
      <c r="I296" s="98">
        <f t="shared" si="1881"/>
        <v>0</v>
      </c>
      <c r="J296" s="99">
        <f t="shared" si="1881"/>
        <v>20.9</v>
      </c>
      <c r="K296" s="99">
        <f t="shared" si="1881"/>
        <v>7.883</v>
      </c>
      <c r="L296" s="99">
        <f t="shared" si="1881"/>
        <v>0.55400000000000005</v>
      </c>
      <c r="M296" s="53"/>
      <c r="N296" s="53"/>
      <c r="O296" s="100">
        <f t="shared" ref="O296:P296" si="1882">O295</f>
        <v>100.62</v>
      </c>
      <c r="P296" s="101" t="str">
        <f t="shared" si="1882"/>
        <v>2,29,560</v>
      </c>
      <c r="Q296" s="11" t="str">
        <f t="shared" si="1739"/>
        <v>2</v>
      </c>
      <c r="R296" s="11" t="str">
        <f t="shared" si="1740"/>
        <v>29,560</v>
      </c>
      <c r="S296" s="11">
        <f t="shared" si="1741"/>
        <v>4.1544444444444446E-2</v>
      </c>
      <c r="T296" s="14">
        <f t="shared" si="1742"/>
        <v>2421.9844878309709</v>
      </c>
      <c r="U296" s="39">
        <f t="shared" si="1743"/>
        <v>-100</v>
      </c>
      <c r="V296" s="105">
        <f t="shared" ref="V296:W296" si="1883">V295</f>
        <v>20.399999999999999</v>
      </c>
      <c r="W296" s="105">
        <f t="shared" si="1883"/>
        <v>1.5069999999999999</v>
      </c>
      <c r="X296" s="106">
        <f t="shared" si="1798"/>
        <v>1.504</v>
      </c>
      <c r="Y296" s="53"/>
      <c r="Z296" s="53"/>
      <c r="AA296" s="107">
        <f t="shared" ref="AA296:AB296" si="1884">AA295</f>
        <v>10.015000000000001</v>
      </c>
      <c r="AB296" s="108" t="str">
        <f t="shared" si="1884"/>
        <v>22,10,090</v>
      </c>
      <c r="AC296" s="11" t="str">
        <f t="shared" si="1746"/>
        <v>22</v>
      </c>
      <c r="AD296" s="11" t="str">
        <f t="shared" si="1747"/>
        <v>10,090</v>
      </c>
      <c r="AE296" s="11">
        <f t="shared" si="1748"/>
        <v>0.36946944444444441</v>
      </c>
      <c r="AF296" s="14">
        <f t="shared" si="1749"/>
        <v>27.106436406558959</v>
      </c>
      <c r="AG296" s="41">
        <f t="shared" si="1750"/>
        <v>-100</v>
      </c>
      <c r="AH296" s="105">
        <f t="shared" si="1806"/>
        <v>20.3</v>
      </c>
      <c r="AI296" s="105">
        <f t="shared" si="1806"/>
        <v>1.5089999999999999</v>
      </c>
      <c r="AJ296" s="105">
        <f t="shared" si="1806"/>
        <v>1.504</v>
      </c>
      <c r="AK296" s="53">
        <f t="shared" si="1751"/>
        <v>0</v>
      </c>
      <c r="AL296" s="53"/>
      <c r="AM296" s="54">
        <f t="shared" ref="AM296:AN296" si="1885">AM295</f>
        <v>5.0129999999999999</v>
      </c>
      <c r="AN296" s="101" t="str">
        <f t="shared" si="1885"/>
        <v>17,59,050</v>
      </c>
      <c r="AO296" s="11" t="str">
        <f t="shared" si="1753"/>
        <v>17</v>
      </c>
      <c r="AP296" s="11" t="str">
        <f t="shared" si="1754"/>
        <v>59,050</v>
      </c>
      <c r="AQ296" s="11">
        <f t="shared" si="1755"/>
        <v>0.29973611111111109</v>
      </c>
      <c r="AR296" s="14">
        <f t="shared" si="1756"/>
        <v>16.724711551827998</v>
      </c>
      <c r="AS296" s="41">
        <f t="shared" si="1757"/>
        <v>-100</v>
      </c>
      <c r="AT296" s="43" t="str">
        <f t="shared" si="1758"/>
        <v>NO CONFORME</v>
      </c>
      <c r="AU296" s="8" t="b">
        <f t="shared" si="1680"/>
        <v>1</v>
      </c>
      <c r="AV296" s="8" t="b">
        <f t="shared" si="1681"/>
        <v>0</v>
      </c>
      <c r="AW296" s="8" t="b">
        <f t="shared" si="1682"/>
        <v>1</v>
      </c>
      <c r="AX296" s="8" t="str">
        <f t="shared" si="1683"/>
        <v>Qcorrecto</v>
      </c>
      <c r="AY296" s="22" t="str">
        <f t="shared" si="1663"/>
        <v>aceptable</v>
      </c>
      <c r="AZ296" s="22" t="str">
        <f t="shared" si="1664"/>
        <v>aceptable</v>
      </c>
      <c r="BA296" s="22" t="str">
        <f t="shared" si="1684"/>
        <v>aceptable</v>
      </c>
      <c r="BB296" s="25" t="str">
        <f t="shared" si="1685"/>
        <v>NO CONFORME</v>
      </c>
      <c r="BC296" s="5" t="str">
        <f t="shared" si="1686"/>
        <v>NO CONFORME</v>
      </c>
      <c r="BD296" s="15">
        <f t="shared" si="1665"/>
        <v>-1</v>
      </c>
      <c r="BE296" s="15">
        <f t="shared" si="1666"/>
        <v>-1</v>
      </c>
      <c r="BF296" s="15">
        <f t="shared" si="1667"/>
        <v>-1</v>
      </c>
      <c r="BG296" s="15" t="str">
        <f t="shared" si="1668"/>
        <v>-1-1-1</v>
      </c>
      <c r="BH296" s="15" t="str">
        <f t="shared" si="1669"/>
        <v>SD</v>
      </c>
      <c r="BI296" s="15" t="str">
        <f t="shared" si="1670"/>
        <v>SI</v>
      </c>
      <c r="BJ296" s="15" t="b">
        <f t="shared" si="1671"/>
        <v>1</v>
      </c>
      <c r="BK296" s="15" t="str">
        <f t="shared" si="1672"/>
        <v>SIGIGUALES</v>
      </c>
      <c r="BL296" s="22" t="str">
        <f t="shared" si="1673"/>
        <v>NO CONFORME</v>
      </c>
    </row>
    <row r="297" spans="1:64" ht="15.75" thickBot="1" x14ac:dyDescent="0.3">
      <c r="A297" s="37">
        <v>289</v>
      </c>
      <c r="B297" s="93">
        <f t="shared" ref="B297:E297" si="1886">B296</f>
        <v>45919</v>
      </c>
      <c r="C297" s="93">
        <f t="shared" si="1886"/>
        <v>45919</v>
      </c>
      <c r="D297" s="94">
        <f t="shared" si="1886"/>
        <v>6</v>
      </c>
      <c r="E297" s="95">
        <f t="shared" si="1886"/>
        <v>15</v>
      </c>
      <c r="F297" s="52"/>
      <c r="G297" s="96"/>
      <c r="H297" s="97">
        <f t="shared" ref="H297:L297" si="1887">H296</f>
        <v>25.6</v>
      </c>
      <c r="I297" s="98">
        <f t="shared" si="1887"/>
        <v>0</v>
      </c>
      <c r="J297" s="99">
        <f t="shared" si="1887"/>
        <v>20.9</v>
      </c>
      <c r="K297" s="99">
        <f t="shared" si="1887"/>
        <v>7.883</v>
      </c>
      <c r="L297" s="99">
        <f t="shared" si="1887"/>
        <v>0.55400000000000005</v>
      </c>
      <c r="M297" s="53"/>
      <c r="N297" s="53"/>
      <c r="O297" s="100">
        <f t="shared" ref="O297:P297" si="1888">O296</f>
        <v>100.62</v>
      </c>
      <c r="P297" s="101" t="str">
        <f t="shared" si="1888"/>
        <v>2,29,560</v>
      </c>
      <c r="Q297" s="11" t="str">
        <f t="shared" si="1739"/>
        <v>2</v>
      </c>
      <c r="R297" s="11" t="str">
        <f t="shared" si="1740"/>
        <v>29,560</v>
      </c>
      <c r="S297" s="11">
        <f t="shared" si="1741"/>
        <v>4.1544444444444446E-2</v>
      </c>
      <c r="T297" s="14">
        <f t="shared" si="1742"/>
        <v>2421.9844878309709</v>
      </c>
      <c r="U297" s="39">
        <f t="shared" si="1743"/>
        <v>-100</v>
      </c>
      <c r="V297" s="105">
        <f t="shared" ref="V297:W297" si="1889">V296</f>
        <v>20.399999999999999</v>
      </c>
      <c r="W297" s="105">
        <f t="shared" si="1889"/>
        <v>1.5069999999999999</v>
      </c>
      <c r="X297" s="106">
        <f t="shared" si="1798"/>
        <v>1.504</v>
      </c>
      <c r="Y297" s="53"/>
      <c r="Z297" s="53"/>
      <c r="AA297" s="107">
        <f t="shared" ref="AA297:AB297" si="1890">AA296</f>
        <v>10.015000000000001</v>
      </c>
      <c r="AB297" s="108" t="str">
        <f t="shared" si="1890"/>
        <v>22,10,090</v>
      </c>
      <c r="AC297" s="11" t="str">
        <f t="shared" si="1746"/>
        <v>22</v>
      </c>
      <c r="AD297" s="11" t="str">
        <f t="shared" si="1747"/>
        <v>10,090</v>
      </c>
      <c r="AE297" s="11">
        <f t="shared" si="1748"/>
        <v>0.36946944444444441</v>
      </c>
      <c r="AF297" s="14">
        <f t="shared" si="1749"/>
        <v>27.106436406558959</v>
      </c>
      <c r="AG297" s="41">
        <f t="shared" si="1750"/>
        <v>-100</v>
      </c>
      <c r="AH297" s="105">
        <f t="shared" si="1806"/>
        <v>20.3</v>
      </c>
      <c r="AI297" s="105">
        <f t="shared" si="1806"/>
        <v>1.5089999999999999</v>
      </c>
      <c r="AJ297" s="105">
        <f t="shared" si="1806"/>
        <v>1.504</v>
      </c>
      <c r="AK297" s="53">
        <f t="shared" si="1751"/>
        <v>0</v>
      </c>
      <c r="AL297" s="53"/>
      <c r="AM297" s="54">
        <f t="shared" ref="AM297:AN297" si="1891">AM296</f>
        <v>5.0129999999999999</v>
      </c>
      <c r="AN297" s="101" t="str">
        <f t="shared" si="1891"/>
        <v>17,59,050</v>
      </c>
      <c r="AO297" s="11" t="str">
        <f t="shared" si="1753"/>
        <v>17</v>
      </c>
      <c r="AP297" s="11" t="str">
        <f t="shared" si="1754"/>
        <v>59,050</v>
      </c>
      <c r="AQ297" s="11">
        <f t="shared" si="1755"/>
        <v>0.29973611111111109</v>
      </c>
      <c r="AR297" s="14">
        <f t="shared" si="1756"/>
        <v>16.724711551827998</v>
      </c>
      <c r="AS297" s="41">
        <f t="shared" si="1757"/>
        <v>-100</v>
      </c>
      <c r="AT297" s="43" t="str">
        <f t="shared" si="1758"/>
        <v>NO CONFORME</v>
      </c>
      <c r="AU297" s="8" t="b">
        <f t="shared" si="1680"/>
        <v>1</v>
      </c>
      <c r="AV297" s="8" t="b">
        <f t="shared" si="1681"/>
        <v>0</v>
      </c>
      <c r="AW297" s="8" t="b">
        <f t="shared" si="1682"/>
        <v>1</v>
      </c>
      <c r="AX297" s="8" t="str">
        <f t="shared" si="1683"/>
        <v>Qcorrecto</v>
      </c>
      <c r="AY297" s="22" t="str">
        <f t="shared" si="1663"/>
        <v>aceptable</v>
      </c>
      <c r="AZ297" s="22" t="str">
        <f t="shared" si="1664"/>
        <v>aceptable</v>
      </c>
      <c r="BA297" s="22" t="str">
        <f t="shared" si="1684"/>
        <v>aceptable</v>
      </c>
      <c r="BB297" s="25" t="str">
        <f t="shared" si="1685"/>
        <v>NO CONFORME</v>
      </c>
      <c r="BC297" s="5" t="str">
        <f t="shared" si="1686"/>
        <v>NO CONFORME</v>
      </c>
      <c r="BD297" s="15">
        <f t="shared" si="1665"/>
        <v>-1</v>
      </c>
      <c r="BE297" s="15">
        <f t="shared" si="1666"/>
        <v>-1</v>
      </c>
      <c r="BF297" s="15">
        <f t="shared" si="1667"/>
        <v>-1</v>
      </c>
      <c r="BG297" s="15" t="str">
        <f t="shared" si="1668"/>
        <v>-1-1-1</v>
      </c>
      <c r="BH297" s="15" t="str">
        <f t="shared" si="1669"/>
        <v>SD</v>
      </c>
      <c r="BI297" s="15" t="str">
        <f t="shared" si="1670"/>
        <v>SI</v>
      </c>
      <c r="BJ297" s="15" t="b">
        <f t="shared" si="1671"/>
        <v>1</v>
      </c>
      <c r="BK297" s="15" t="str">
        <f t="shared" si="1672"/>
        <v>SIGIGUALES</v>
      </c>
      <c r="BL297" s="22" t="str">
        <f t="shared" si="1673"/>
        <v>NO CONFORME</v>
      </c>
    </row>
    <row r="298" spans="1:64" ht="15.75" thickBot="1" x14ac:dyDescent="0.3">
      <c r="A298" s="37">
        <v>290</v>
      </c>
      <c r="B298" s="93">
        <f t="shared" ref="B298:E298" si="1892">B297</f>
        <v>45919</v>
      </c>
      <c r="C298" s="93">
        <f t="shared" si="1892"/>
        <v>45919</v>
      </c>
      <c r="D298" s="94">
        <f t="shared" si="1892"/>
        <v>6</v>
      </c>
      <c r="E298" s="95">
        <f t="shared" si="1892"/>
        <v>15</v>
      </c>
      <c r="F298" s="52"/>
      <c r="G298" s="96"/>
      <c r="H298" s="97">
        <f t="shared" ref="H298:L298" si="1893">H297</f>
        <v>25.6</v>
      </c>
      <c r="I298" s="98">
        <f t="shared" si="1893"/>
        <v>0</v>
      </c>
      <c r="J298" s="99">
        <f t="shared" si="1893"/>
        <v>20.9</v>
      </c>
      <c r="K298" s="99">
        <f t="shared" si="1893"/>
        <v>7.883</v>
      </c>
      <c r="L298" s="99">
        <f t="shared" si="1893"/>
        <v>0.55400000000000005</v>
      </c>
      <c r="M298" s="53"/>
      <c r="N298" s="53"/>
      <c r="O298" s="100">
        <f t="shared" ref="O298:P298" si="1894">O297</f>
        <v>100.62</v>
      </c>
      <c r="P298" s="101" t="str">
        <f t="shared" si="1894"/>
        <v>2,29,560</v>
      </c>
      <c r="Q298" s="11" t="str">
        <f t="shared" si="1739"/>
        <v>2</v>
      </c>
      <c r="R298" s="11" t="str">
        <f t="shared" si="1740"/>
        <v>29,560</v>
      </c>
      <c r="S298" s="11">
        <f t="shared" si="1741"/>
        <v>4.1544444444444446E-2</v>
      </c>
      <c r="T298" s="14">
        <f t="shared" si="1742"/>
        <v>2421.9844878309709</v>
      </c>
      <c r="U298" s="39">
        <f t="shared" si="1743"/>
        <v>-100</v>
      </c>
      <c r="V298" s="105">
        <f t="shared" ref="V298:X313" si="1895">V297</f>
        <v>20.399999999999999</v>
      </c>
      <c r="W298" s="105">
        <f t="shared" si="1895"/>
        <v>1.5069999999999999</v>
      </c>
      <c r="X298" s="106">
        <f t="shared" si="1895"/>
        <v>1.504</v>
      </c>
      <c r="Y298" s="53"/>
      <c r="Z298" s="53"/>
      <c r="AA298" s="107">
        <f t="shared" ref="AA298:AB298" si="1896">AA297</f>
        <v>10.015000000000001</v>
      </c>
      <c r="AB298" s="108" t="str">
        <f t="shared" si="1896"/>
        <v>22,10,090</v>
      </c>
      <c r="AC298" s="11" t="str">
        <f t="shared" si="1746"/>
        <v>22</v>
      </c>
      <c r="AD298" s="11" t="str">
        <f t="shared" si="1747"/>
        <v>10,090</v>
      </c>
      <c r="AE298" s="11">
        <f t="shared" si="1748"/>
        <v>0.36946944444444441</v>
      </c>
      <c r="AF298" s="14">
        <f t="shared" si="1749"/>
        <v>27.106436406558959</v>
      </c>
      <c r="AG298" s="41">
        <f t="shared" si="1750"/>
        <v>-100</v>
      </c>
      <c r="AH298" s="105">
        <f t="shared" si="1806"/>
        <v>20.3</v>
      </c>
      <c r="AI298" s="105">
        <f t="shared" si="1806"/>
        <v>1.5089999999999999</v>
      </c>
      <c r="AJ298" s="105">
        <f t="shared" si="1806"/>
        <v>1.504</v>
      </c>
      <c r="AK298" s="53">
        <f t="shared" si="1751"/>
        <v>0</v>
      </c>
      <c r="AL298" s="53"/>
      <c r="AM298" s="54">
        <f t="shared" ref="AM298:AN298" si="1897">AM297</f>
        <v>5.0129999999999999</v>
      </c>
      <c r="AN298" s="101" t="str">
        <f t="shared" si="1897"/>
        <v>17,59,050</v>
      </c>
      <c r="AO298" s="11" t="str">
        <f t="shared" si="1753"/>
        <v>17</v>
      </c>
      <c r="AP298" s="11" t="str">
        <f t="shared" si="1754"/>
        <v>59,050</v>
      </c>
      <c r="AQ298" s="11">
        <f t="shared" si="1755"/>
        <v>0.29973611111111109</v>
      </c>
      <c r="AR298" s="14">
        <f t="shared" si="1756"/>
        <v>16.724711551827998</v>
      </c>
      <c r="AS298" s="41">
        <f t="shared" si="1757"/>
        <v>-100</v>
      </c>
      <c r="AT298" s="43" t="str">
        <f t="shared" si="1758"/>
        <v>NO CONFORME</v>
      </c>
      <c r="AU298" s="8" t="b">
        <f t="shared" si="1680"/>
        <v>1</v>
      </c>
      <c r="AV298" s="8" t="b">
        <f t="shared" si="1681"/>
        <v>0</v>
      </c>
      <c r="AW298" s="8" t="b">
        <f t="shared" si="1682"/>
        <v>1</v>
      </c>
      <c r="AX298" s="8" t="str">
        <f t="shared" si="1683"/>
        <v>Qcorrecto</v>
      </c>
      <c r="AY298" s="22" t="str">
        <f t="shared" si="1663"/>
        <v>aceptable</v>
      </c>
      <c r="AZ298" s="22" t="str">
        <f t="shared" si="1664"/>
        <v>aceptable</v>
      </c>
      <c r="BA298" s="22" t="str">
        <f t="shared" si="1684"/>
        <v>aceptable</v>
      </c>
      <c r="BB298" s="25" t="str">
        <f t="shared" si="1685"/>
        <v>NO CONFORME</v>
      </c>
      <c r="BC298" s="5" t="str">
        <f t="shared" si="1686"/>
        <v>NO CONFORME</v>
      </c>
      <c r="BD298" s="15">
        <f t="shared" si="1665"/>
        <v>-1</v>
      </c>
      <c r="BE298" s="15">
        <f t="shared" si="1666"/>
        <v>-1</v>
      </c>
      <c r="BF298" s="15">
        <f t="shared" si="1667"/>
        <v>-1</v>
      </c>
      <c r="BG298" s="15" t="str">
        <f t="shared" si="1668"/>
        <v>-1-1-1</v>
      </c>
      <c r="BH298" s="15" t="str">
        <f t="shared" si="1669"/>
        <v>SD</v>
      </c>
      <c r="BI298" s="15" t="str">
        <f t="shared" si="1670"/>
        <v>SI</v>
      </c>
      <c r="BJ298" s="15" t="b">
        <f t="shared" si="1671"/>
        <v>1</v>
      </c>
      <c r="BK298" s="15" t="str">
        <f t="shared" si="1672"/>
        <v>SIGIGUALES</v>
      </c>
      <c r="BL298" s="22" t="str">
        <f t="shared" si="1673"/>
        <v>NO CONFORME</v>
      </c>
    </row>
    <row r="299" spans="1:64" ht="15.75" thickBot="1" x14ac:dyDescent="0.3">
      <c r="A299" s="37">
        <v>291</v>
      </c>
      <c r="B299" s="93">
        <f t="shared" ref="B299:E299" si="1898">B298</f>
        <v>45919</v>
      </c>
      <c r="C299" s="93">
        <f t="shared" si="1898"/>
        <v>45919</v>
      </c>
      <c r="D299" s="94">
        <f t="shared" si="1898"/>
        <v>6</v>
      </c>
      <c r="E299" s="95">
        <f t="shared" si="1898"/>
        <v>15</v>
      </c>
      <c r="F299" s="52"/>
      <c r="G299" s="96"/>
      <c r="H299" s="97">
        <f t="shared" ref="H299:L299" si="1899">H298</f>
        <v>25.6</v>
      </c>
      <c r="I299" s="98">
        <f t="shared" si="1899"/>
        <v>0</v>
      </c>
      <c r="J299" s="99">
        <f t="shared" si="1899"/>
        <v>20.9</v>
      </c>
      <c r="K299" s="99">
        <f t="shared" si="1899"/>
        <v>7.883</v>
      </c>
      <c r="L299" s="99">
        <f t="shared" si="1899"/>
        <v>0.55400000000000005</v>
      </c>
      <c r="M299" s="53"/>
      <c r="N299" s="53"/>
      <c r="O299" s="100">
        <f t="shared" ref="O299:P299" si="1900">O298</f>
        <v>100.62</v>
      </c>
      <c r="P299" s="101" t="str">
        <f t="shared" si="1900"/>
        <v>2,29,560</v>
      </c>
      <c r="Q299" s="11" t="str">
        <f t="shared" si="1739"/>
        <v>2</v>
      </c>
      <c r="R299" s="11" t="str">
        <f t="shared" si="1740"/>
        <v>29,560</v>
      </c>
      <c r="S299" s="11">
        <f t="shared" si="1741"/>
        <v>4.1544444444444446E-2</v>
      </c>
      <c r="T299" s="14">
        <f t="shared" si="1742"/>
        <v>2421.9844878309709</v>
      </c>
      <c r="U299" s="39">
        <f t="shared" si="1743"/>
        <v>-100</v>
      </c>
      <c r="V299" s="105">
        <f t="shared" ref="V299:W299" si="1901">V298</f>
        <v>20.399999999999999</v>
      </c>
      <c r="W299" s="105">
        <f t="shared" si="1901"/>
        <v>1.5069999999999999</v>
      </c>
      <c r="X299" s="106">
        <f t="shared" si="1895"/>
        <v>1.504</v>
      </c>
      <c r="Y299" s="53"/>
      <c r="Z299" s="53"/>
      <c r="AA299" s="107">
        <f t="shared" ref="AA299:AB299" si="1902">AA298</f>
        <v>10.015000000000001</v>
      </c>
      <c r="AB299" s="108" t="str">
        <f t="shared" si="1902"/>
        <v>22,10,090</v>
      </c>
      <c r="AC299" s="11" t="str">
        <f t="shared" si="1746"/>
        <v>22</v>
      </c>
      <c r="AD299" s="11" t="str">
        <f t="shared" si="1747"/>
        <v>10,090</v>
      </c>
      <c r="AE299" s="11">
        <f t="shared" si="1748"/>
        <v>0.36946944444444441</v>
      </c>
      <c r="AF299" s="14">
        <f t="shared" si="1749"/>
        <v>27.106436406558959</v>
      </c>
      <c r="AG299" s="41">
        <f t="shared" si="1750"/>
        <v>-100</v>
      </c>
      <c r="AH299" s="105">
        <f t="shared" ref="AH299:AJ314" si="1903">AH298</f>
        <v>20.3</v>
      </c>
      <c r="AI299" s="105">
        <f t="shared" si="1903"/>
        <v>1.5089999999999999</v>
      </c>
      <c r="AJ299" s="105">
        <f t="shared" si="1903"/>
        <v>1.504</v>
      </c>
      <c r="AK299" s="53">
        <f t="shared" si="1751"/>
        <v>0</v>
      </c>
      <c r="AL299" s="53"/>
      <c r="AM299" s="54">
        <f t="shared" ref="AM299:AN299" si="1904">AM298</f>
        <v>5.0129999999999999</v>
      </c>
      <c r="AN299" s="101" t="str">
        <f t="shared" si="1904"/>
        <v>17,59,050</v>
      </c>
      <c r="AO299" s="11" t="str">
        <f t="shared" si="1753"/>
        <v>17</v>
      </c>
      <c r="AP299" s="11" t="str">
        <f t="shared" si="1754"/>
        <v>59,050</v>
      </c>
      <c r="AQ299" s="11">
        <f t="shared" si="1755"/>
        <v>0.29973611111111109</v>
      </c>
      <c r="AR299" s="14">
        <f t="shared" si="1756"/>
        <v>16.724711551827998</v>
      </c>
      <c r="AS299" s="41">
        <f t="shared" si="1757"/>
        <v>-100</v>
      </c>
      <c r="AT299" s="43" t="str">
        <f t="shared" si="1758"/>
        <v>NO CONFORME</v>
      </c>
      <c r="AU299" s="8" t="b">
        <f t="shared" si="1680"/>
        <v>1</v>
      </c>
      <c r="AV299" s="8" t="b">
        <f t="shared" si="1681"/>
        <v>0</v>
      </c>
      <c r="AW299" s="8" t="b">
        <f t="shared" si="1682"/>
        <v>1</v>
      </c>
      <c r="AX299" s="8" t="str">
        <f t="shared" si="1683"/>
        <v>Qcorrecto</v>
      </c>
      <c r="AY299" s="22" t="str">
        <f t="shared" si="1663"/>
        <v>aceptable</v>
      </c>
      <c r="AZ299" s="22" t="str">
        <f t="shared" si="1664"/>
        <v>aceptable</v>
      </c>
      <c r="BA299" s="22" t="str">
        <f t="shared" si="1684"/>
        <v>aceptable</v>
      </c>
      <c r="BB299" s="25" t="str">
        <f t="shared" si="1685"/>
        <v>NO CONFORME</v>
      </c>
      <c r="BC299" s="5" t="str">
        <f t="shared" si="1686"/>
        <v>NO CONFORME</v>
      </c>
      <c r="BD299" s="15">
        <f t="shared" si="1665"/>
        <v>-1</v>
      </c>
      <c r="BE299" s="15">
        <f t="shared" si="1666"/>
        <v>-1</v>
      </c>
      <c r="BF299" s="15">
        <f t="shared" si="1667"/>
        <v>-1</v>
      </c>
      <c r="BG299" s="15" t="str">
        <f t="shared" si="1668"/>
        <v>-1-1-1</v>
      </c>
      <c r="BH299" s="15" t="str">
        <f t="shared" si="1669"/>
        <v>SD</v>
      </c>
      <c r="BI299" s="15" t="str">
        <f t="shared" si="1670"/>
        <v>SI</v>
      </c>
      <c r="BJ299" s="15" t="b">
        <f t="shared" si="1671"/>
        <v>1</v>
      </c>
      <c r="BK299" s="15" t="str">
        <f t="shared" si="1672"/>
        <v>SIGIGUALES</v>
      </c>
      <c r="BL299" s="22" t="str">
        <f t="shared" si="1673"/>
        <v>NO CONFORME</v>
      </c>
    </row>
    <row r="300" spans="1:64" ht="15.75" thickBot="1" x14ac:dyDescent="0.3">
      <c r="A300" s="37">
        <v>292</v>
      </c>
      <c r="B300" s="93">
        <f t="shared" ref="B300:E300" si="1905">B299</f>
        <v>45919</v>
      </c>
      <c r="C300" s="93">
        <f t="shared" si="1905"/>
        <v>45919</v>
      </c>
      <c r="D300" s="94">
        <f t="shared" si="1905"/>
        <v>6</v>
      </c>
      <c r="E300" s="95">
        <f t="shared" si="1905"/>
        <v>15</v>
      </c>
      <c r="F300" s="52"/>
      <c r="G300" s="96"/>
      <c r="H300" s="97">
        <f t="shared" ref="H300:L300" si="1906">H299</f>
        <v>25.6</v>
      </c>
      <c r="I300" s="98">
        <f t="shared" si="1906"/>
        <v>0</v>
      </c>
      <c r="J300" s="99">
        <f t="shared" si="1906"/>
        <v>20.9</v>
      </c>
      <c r="K300" s="99">
        <f t="shared" si="1906"/>
        <v>7.883</v>
      </c>
      <c r="L300" s="99">
        <f t="shared" si="1906"/>
        <v>0.55400000000000005</v>
      </c>
      <c r="M300" s="53"/>
      <c r="N300" s="53"/>
      <c r="O300" s="100">
        <f t="shared" ref="O300:P300" si="1907">O299</f>
        <v>100.62</v>
      </c>
      <c r="P300" s="101" t="str">
        <f t="shared" si="1907"/>
        <v>2,29,560</v>
      </c>
      <c r="Q300" s="11" t="str">
        <f t="shared" si="1739"/>
        <v>2</v>
      </c>
      <c r="R300" s="11" t="str">
        <f t="shared" si="1740"/>
        <v>29,560</v>
      </c>
      <c r="S300" s="11">
        <f t="shared" si="1741"/>
        <v>4.1544444444444446E-2</v>
      </c>
      <c r="T300" s="14">
        <f t="shared" si="1742"/>
        <v>2421.9844878309709</v>
      </c>
      <c r="U300" s="39">
        <f t="shared" si="1743"/>
        <v>-100</v>
      </c>
      <c r="V300" s="105">
        <f t="shared" ref="V300:W300" si="1908">V299</f>
        <v>20.399999999999999</v>
      </c>
      <c r="W300" s="105">
        <f t="shared" si="1908"/>
        <v>1.5069999999999999</v>
      </c>
      <c r="X300" s="106">
        <f t="shared" si="1895"/>
        <v>1.504</v>
      </c>
      <c r="Y300" s="53"/>
      <c r="Z300" s="53"/>
      <c r="AA300" s="107">
        <f t="shared" ref="AA300:AB300" si="1909">AA299</f>
        <v>10.015000000000001</v>
      </c>
      <c r="AB300" s="108" t="str">
        <f t="shared" si="1909"/>
        <v>22,10,090</v>
      </c>
      <c r="AC300" s="11" t="str">
        <f t="shared" si="1746"/>
        <v>22</v>
      </c>
      <c r="AD300" s="11" t="str">
        <f t="shared" si="1747"/>
        <v>10,090</v>
      </c>
      <c r="AE300" s="11">
        <f t="shared" si="1748"/>
        <v>0.36946944444444441</v>
      </c>
      <c r="AF300" s="14">
        <f t="shared" si="1749"/>
        <v>27.106436406558959</v>
      </c>
      <c r="AG300" s="41">
        <f t="shared" si="1750"/>
        <v>-100</v>
      </c>
      <c r="AH300" s="105">
        <f t="shared" si="1903"/>
        <v>20.3</v>
      </c>
      <c r="AI300" s="105">
        <f t="shared" si="1903"/>
        <v>1.5089999999999999</v>
      </c>
      <c r="AJ300" s="105">
        <f t="shared" si="1903"/>
        <v>1.504</v>
      </c>
      <c r="AK300" s="53">
        <f t="shared" si="1751"/>
        <v>0</v>
      </c>
      <c r="AL300" s="53"/>
      <c r="AM300" s="54">
        <f t="shared" ref="AM300:AN300" si="1910">AM299</f>
        <v>5.0129999999999999</v>
      </c>
      <c r="AN300" s="101" t="str">
        <f t="shared" si="1910"/>
        <v>17,59,050</v>
      </c>
      <c r="AO300" s="11" t="str">
        <f t="shared" si="1753"/>
        <v>17</v>
      </c>
      <c r="AP300" s="11" t="str">
        <f t="shared" si="1754"/>
        <v>59,050</v>
      </c>
      <c r="AQ300" s="11">
        <f t="shared" si="1755"/>
        <v>0.29973611111111109</v>
      </c>
      <c r="AR300" s="14">
        <f t="shared" si="1756"/>
        <v>16.724711551827998</v>
      </c>
      <c r="AS300" s="41">
        <f t="shared" si="1757"/>
        <v>-100</v>
      </c>
      <c r="AT300" s="43" t="str">
        <f t="shared" si="1758"/>
        <v>NO CONFORME</v>
      </c>
      <c r="AU300" s="8" t="b">
        <f t="shared" si="1680"/>
        <v>1</v>
      </c>
      <c r="AV300" s="8" t="b">
        <f t="shared" si="1681"/>
        <v>0</v>
      </c>
      <c r="AW300" s="8" t="b">
        <f t="shared" si="1682"/>
        <v>1</v>
      </c>
      <c r="AX300" s="8" t="str">
        <f t="shared" si="1683"/>
        <v>Qcorrecto</v>
      </c>
      <c r="AY300" s="22" t="str">
        <f t="shared" si="1663"/>
        <v>aceptable</v>
      </c>
      <c r="AZ300" s="22" t="str">
        <f t="shared" si="1664"/>
        <v>aceptable</v>
      </c>
      <c r="BA300" s="22" t="str">
        <f t="shared" si="1684"/>
        <v>aceptable</v>
      </c>
      <c r="BB300" s="25" t="str">
        <f t="shared" si="1685"/>
        <v>NO CONFORME</v>
      </c>
      <c r="BC300" s="5" t="str">
        <f t="shared" si="1686"/>
        <v>NO CONFORME</v>
      </c>
      <c r="BD300" s="15">
        <f t="shared" si="1665"/>
        <v>-1</v>
      </c>
      <c r="BE300" s="15">
        <f t="shared" si="1666"/>
        <v>-1</v>
      </c>
      <c r="BF300" s="15">
        <f t="shared" si="1667"/>
        <v>-1</v>
      </c>
      <c r="BG300" s="15" t="str">
        <f t="shared" si="1668"/>
        <v>-1-1-1</v>
      </c>
      <c r="BH300" s="15" t="str">
        <f t="shared" si="1669"/>
        <v>SD</v>
      </c>
      <c r="BI300" s="15" t="str">
        <f t="shared" si="1670"/>
        <v>SI</v>
      </c>
      <c r="BJ300" s="15" t="b">
        <f t="shared" si="1671"/>
        <v>1</v>
      </c>
      <c r="BK300" s="15" t="str">
        <f t="shared" si="1672"/>
        <v>SIGIGUALES</v>
      </c>
      <c r="BL300" s="22" t="str">
        <f t="shared" si="1673"/>
        <v>NO CONFORME</v>
      </c>
    </row>
    <row r="301" spans="1:64" ht="15.75" thickBot="1" x14ac:dyDescent="0.3">
      <c r="A301" s="37">
        <v>293</v>
      </c>
      <c r="B301" s="93">
        <f t="shared" ref="B301:E301" si="1911">B300</f>
        <v>45919</v>
      </c>
      <c r="C301" s="93">
        <f t="shared" si="1911"/>
        <v>45919</v>
      </c>
      <c r="D301" s="94">
        <f t="shared" si="1911"/>
        <v>6</v>
      </c>
      <c r="E301" s="95">
        <f t="shared" si="1911"/>
        <v>15</v>
      </c>
      <c r="F301" s="52"/>
      <c r="G301" s="96"/>
      <c r="H301" s="97">
        <f t="shared" ref="H301:L301" si="1912">H300</f>
        <v>25.6</v>
      </c>
      <c r="I301" s="98">
        <f t="shared" si="1912"/>
        <v>0</v>
      </c>
      <c r="J301" s="99">
        <f t="shared" si="1912"/>
        <v>20.9</v>
      </c>
      <c r="K301" s="99">
        <f t="shared" si="1912"/>
        <v>7.883</v>
      </c>
      <c r="L301" s="99">
        <f t="shared" si="1912"/>
        <v>0.55400000000000005</v>
      </c>
      <c r="M301" s="53"/>
      <c r="N301" s="53"/>
      <c r="O301" s="100">
        <f t="shared" ref="O301:P301" si="1913">O300</f>
        <v>100.62</v>
      </c>
      <c r="P301" s="101" t="str">
        <f t="shared" si="1913"/>
        <v>2,29,560</v>
      </c>
      <c r="Q301" s="11" t="str">
        <f t="shared" si="1739"/>
        <v>2</v>
      </c>
      <c r="R301" s="11" t="str">
        <f t="shared" si="1740"/>
        <v>29,560</v>
      </c>
      <c r="S301" s="11">
        <f t="shared" si="1741"/>
        <v>4.1544444444444446E-2</v>
      </c>
      <c r="T301" s="14">
        <f t="shared" si="1742"/>
        <v>2421.9844878309709</v>
      </c>
      <c r="U301" s="39">
        <f t="shared" si="1743"/>
        <v>-100</v>
      </c>
      <c r="V301" s="105">
        <f t="shared" ref="V301:W301" si="1914">V300</f>
        <v>20.399999999999999</v>
      </c>
      <c r="W301" s="105">
        <f t="shared" si="1914"/>
        <v>1.5069999999999999</v>
      </c>
      <c r="X301" s="106">
        <f t="shared" si="1895"/>
        <v>1.504</v>
      </c>
      <c r="Y301" s="53"/>
      <c r="Z301" s="53"/>
      <c r="AA301" s="107">
        <f t="shared" ref="AA301:AB301" si="1915">AA300</f>
        <v>10.015000000000001</v>
      </c>
      <c r="AB301" s="108" t="str">
        <f t="shared" si="1915"/>
        <v>22,10,090</v>
      </c>
      <c r="AC301" s="11" t="str">
        <f t="shared" si="1746"/>
        <v>22</v>
      </c>
      <c r="AD301" s="11" t="str">
        <f t="shared" si="1747"/>
        <v>10,090</v>
      </c>
      <c r="AE301" s="11">
        <f t="shared" si="1748"/>
        <v>0.36946944444444441</v>
      </c>
      <c r="AF301" s="14">
        <f t="shared" si="1749"/>
        <v>27.106436406558959</v>
      </c>
      <c r="AG301" s="41">
        <f t="shared" si="1750"/>
        <v>-100</v>
      </c>
      <c r="AH301" s="105">
        <f t="shared" si="1903"/>
        <v>20.3</v>
      </c>
      <c r="AI301" s="105">
        <f t="shared" si="1903"/>
        <v>1.5089999999999999</v>
      </c>
      <c r="AJ301" s="105">
        <f t="shared" si="1903"/>
        <v>1.504</v>
      </c>
      <c r="AK301" s="53">
        <f t="shared" si="1751"/>
        <v>0</v>
      </c>
      <c r="AL301" s="53"/>
      <c r="AM301" s="54">
        <f t="shared" ref="AM301:AN301" si="1916">AM300</f>
        <v>5.0129999999999999</v>
      </c>
      <c r="AN301" s="101" t="str">
        <f t="shared" si="1916"/>
        <v>17,59,050</v>
      </c>
      <c r="AO301" s="11" t="str">
        <f t="shared" si="1753"/>
        <v>17</v>
      </c>
      <c r="AP301" s="11" t="str">
        <f t="shared" si="1754"/>
        <v>59,050</v>
      </c>
      <c r="AQ301" s="11">
        <f t="shared" si="1755"/>
        <v>0.29973611111111109</v>
      </c>
      <c r="AR301" s="14">
        <f t="shared" si="1756"/>
        <v>16.724711551827998</v>
      </c>
      <c r="AS301" s="41">
        <f t="shared" si="1757"/>
        <v>-100</v>
      </c>
      <c r="AT301" s="43" t="str">
        <f t="shared" si="1758"/>
        <v>NO CONFORME</v>
      </c>
      <c r="AU301" s="8" t="b">
        <f t="shared" si="1680"/>
        <v>1</v>
      </c>
      <c r="AV301" s="8" t="b">
        <f t="shared" si="1681"/>
        <v>0</v>
      </c>
      <c r="AW301" s="8" t="b">
        <f t="shared" si="1682"/>
        <v>1</v>
      </c>
      <c r="AX301" s="8" t="str">
        <f t="shared" si="1683"/>
        <v>Qcorrecto</v>
      </c>
      <c r="AY301" s="22" t="str">
        <f t="shared" si="1663"/>
        <v>aceptable</v>
      </c>
      <c r="AZ301" s="22" t="str">
        <f t="shared" si="1664"/>
        <v>aceptable</v>
      </c>
      <c r="BA301" s="22" t="str">
        <f t="shared" si="1684"/>
        <v>aceptable</v>
      </c>
      <c r="BB301" s="25" t="str">
        <f t="shared" si="1685"/>
        <v>NO CONFORME</v>
      </c>
      <c r="BC301" s="5" t="str">
        <f t="shared" si="1686"/>
        <v>NO CONFORME</v>
      </c>
      <c r="BD301" s="15">
        <f t="shared" si="1665"/>
        <v>-1</v>
      </c>
      <c r="BE301" s="15">
        <f t="shared" si="1666"/>
        <v>-1</v>
      </c>
      <c r="BF301" s="15">
        <f t="shared" si="1667"/>
        <v>-1</v>
      </c>
      <c r="BG301" s="15" t="str">
        <f t="shared" si="1668"/>
        <v>-1-1-1</v>
      </c>
      <c r="BH301" s="15" t="str">
        <f t="shared" si="1669"/>
        <v>SD</v>
      </c>
      <c r="BI301" s="15" t="str">
        <f t="shared" si="1670"/>
        <v>SI</v>
      </c>
      <c r="BJ301" s="15" t="b">
        <f t="shared" si="1671"/>
        <v>1</v>
      </c>
      <c r="BK301" s="15" t="str">
        <f t="shared" si="1672"/>
        <v>SIGIGUALES</v>
      </c>
      <c r="BL301" s="22" t="str">
        <f t="shared" si="1673"/>
        <v>NO CONFORME</v>
      </c>
    </row>
    <row r="302" spans="1:64" ht="15.75" thickBot="1" x14ac:dyDescent="0.3">
      <c r="A302" s="37">
        <v>294</v>
      </c>
      <c r="B302" s="93">
        <f t="shared" ref="B302:E302" si="1917">B301</f>
        <v>45919</v>
      </c>
      <c r="C302" s="93">
        <f t="shared" si="1917"/>
        <v>45919</v>
      </c>
      <c r="D302" s="94">
        <f t="shared" si="1917"/>
        <v>6</v>
      </c>
      <c r="E302" s="95">
        <f t="shared" si="1917"/>
        <v>15</v>
      </c>
      <c r="F302" s="52"/>
      <c r="G302" s="96"/>
      <c r="H302" s="97">
        <f t="shared" ref="H302:L302" si="1918">H301</f>
        <v>25.6</v>
      </c>
      <c r="I302" s="98">
        <f t="shared" si="1918"/>
        <v>0</v>
      </c>
      <c r="J302" s="99">
        <f t="shared" si="1918"/>
        <v>20.9</v>
      </c>
      <c r="K302" s="99">
        <f t="shared" si="1918"/>
        <v>7.883</v>
      </c>
      <c r="L302" s="99">
        <f t="shared" si="1918"/>
        <v>0.55400000000000005</v>
      </c>
      <c r="M302" s="53"/>
      <c r="N302" s="53"/>
      <c r="O302" s="100">
        <f t="shared" ref="O302:P302" si="1919">O301</f>
        <v>100.62</v>
      </c>
      <c r="P302" s="101" t="str">
        <f t="shared" si="1919"/>
        <v>2,29,560</v>
      </c>
      <c r="Q302" s="11" t="str">
        <f t="shared" si="1739"/>
        <v>2</v>
      </c>
      <c r="R302" s="11" t="str">
        <f t="shared" si="1740"/>
        <v>29,560</v>
      </c>
      <c r="S302" s="11">
        <f t="shared" si="1741"/>
        <v>4.1544444444444446E-2</v>
      </c>
      <c r="T302" s="14">
        <f t="shared" si="1742"/>
        <v>2421.9844878309709</v>
      </c>
      <c r="U302" s="39">
        <f t="shared" si="1743"/>
        <v>-100</v>
      </c>
      <c r="V302" s="105">
        <f t="shared" ref="V302:W302" si="1920">V301</f>
        <v>20.399999999999999</v>
      </c>
      <c r="W302" s="105">
        <f t="shared" si="1920"/>
        <v>1.5069999999999999</v>
      </c>
      <c r="X302" s="106">
        <f t="shared" si="1895"/>
        <v>1.504</v>
      </c>
      <c r="Y302" s="53"/>
      <c r="Z302" s="53"/>
      <c r="AA302" s="107">
        <f t="shared" ref="AA302:AB302" si="1921">AA301</f>
        <v>10.015000000000001</v>
      </c>
      <c r="AB302" s="108" t="str">
        <f t="shared" si="1921"/>
        <v>22,10,090</v>
      </c>
      <c r="AC302" s="11" t="str">
        <f t="shared" si="1746"/>
        <v>22</v>
      </c>
      <c r="AD302" s="11" t="str">
        <f t="shared" si="1747"/>
        <v>10,090</v>
      </c>
      <c r="AE302" s="11">
        <f t="shared" si="1748"/>
        <v>0.36946944444444441</v>
      </c>
      <c r="AF302" s="14">
        <f t="shared" si="1749"/>
        <v>27.106436406558959</v>
      </c>
      <c r="AG302" s="41">
        <f t="shared" si="1750"/>
        <v>-100</v>
      </c>
      <c r="AH302" s="105">
        <f t="shared" si="1903"/>
        <v>20.3</v>
      </c>
      <c r="AI302" s="105">
        <f t="shared" si="1903"/>
        <v>1.5089999999999999</v>
      </c>
      <c r="AJ302" s="105">
        <f t="shared" si="1903"/>
        <v>1.504</v>
      </c>
      <c r="AK302" s="53">
        <f t="shared" si="1751"/>
        <v>0</v>
      </c>
      <c r="AL302" s="53"/>
      <c r="AM302" s="54">
        <f t="shared" ref="AM302:AN302" si="1922">AM301</f>
        <v>5.0129999999999999</v>
      </c>
      <c r="AN302" s="101" t="str">
        <f t="shared" si="1922"/>
        <v>17,59,050</v>
      </c>
      <c r="AO302" s="11" t="str">
        <f t="shared" si="1753"/>
        <v>17</v>
      </c>
      <c r="AP302" s="11" t="str">
        <f t="shared" si="1754"/>
        <v>59,050</v>
      </c>
      <c r="AQ302" s="11">
        <f t="shared" si="1755"/>
        <v>0.29973611111111109</v>
      </c>
      <c r="AR302" s="14">
        <f t="shared" si="1756"/>
        <v>16.724711551827998</v>
      </c>
      <c r="AS302" s="41">
        <f t="shared" si="1757"/>
        <v>-100</v>
      </c>
      <c r="AT302" s="43" t="str">
        <f t="shared" si="1758"/>
        <v>NO CONFORME</v>
      </c>
      <c r="AU302" s="8" t="b">
        <f t="shared" si="1680"/>
        <v>1</v>
      </c>
      <c r="AV302" s="8" t="b">
        <f t="shared" si="1681"/>
        <v>0</v>
      </c>
      <c r="AW302" s="8" t="b">
        <f t="shared" si="1682"/>
        <v>1</v>
      </c>
      <c r="AX302" s="8" t="str">
        <f t="shared" si="1683"/>
        <v>Qcorrecto</v>
      </c>
      <c r="AY302" s="22" t="str">
        <f t="shared" si="1663"/>
        <v>aceptable</v>
      </c>
      <c r="AZ302" s="22" t="str">
        <f t="shared" si="1664"/>
        <v>aceptable</v>
      </c>
      <c r="BA302" s="22" t="str">
        <f t="shared" si="1684"/>
        <v>aceptable</v>
      </c>
      <c r="BB302" s="25" t="str">
        <f t="shared" si="1685"/>
        <v>NO CONFORME</v>
      </c>
      <c r="BC302" s="5" t="str">
        <f t="shared" si="1686"/>
        <v>NO CONFORME</v>
      </c>
      <c r="BD302" s="15">
        <f t="shared" si="1665"/>
        <v>-1</v>
      </c>
      <c r="BE302" s="15">
        <f t="shared" si="1666"/>
        <v>-1</v>
      </c>
      <c r="BF302" s="15">
        <f t="shared" si="1667"/>
        <v>-1</v>
      </c>
      <c r="BG302" s="15" t="str">
        <f t="shared" si="1668"/>
        <v>-1-1-1</v>
      </c>
      <c r="BH302" s="15" t="str">
        <f t="shared" si="1669"/>
        <v>SD</v>
      </c>
      <c r="BI302" s="15" t="str">
        <f t="shared" si="1670"/>
        <v>SI</v>
      </c>
      <c r="BJ302" s="15" t="b">
        <f t="shared" si="1671"/>
        <v>1</v>
      </c>
      <c r="BK302" s="15" t="str">
        <f t="shared" si="1672"/>
        <v>SIGIGUALES</v>
      </c>
      <c r="BL302" s="22" t="str">
        <f t="shared" si="1673"/>
        <v>NO CONFORME</v>
      </c>
    </row>
    <row r="303" spans="1:64" ht="15.75" thickBot="1" x14ac:dyDescent="0.3">
      <c r="A303" s="37">
        <v>295</v>
      </c>
      <c r="B303" s="93">
        <f t="shared" ref="B303:E303" si="1923">B302</f>
        <v>45919</v>
      </c>
      <c r="C303" s="93">
        <f t="shared" si="1923"/>
        <v>45919</v>
      </c>
      <c r="D303" s="94">
        <f t="shared" si="1923"/>
        <v>6</v>
      </c>
      <c r="E303" s="95">
        <f t="shared" si="1923"/>
        <v>15</v>
      </c>
      <c r="F303" s="52"/>
      <c r="G303" s="96"/>
      <c r="H303" s="97">
        <f t="shared" ref="H303:L303" si="1924">H302</f>
        <v>25.6</v>
      </c>
      <c r="I303" s="98">
        <f t="shared" si="1924"/>
        <v>0</v>
      </c>
      <c r="J303" s="99">
        <f t="shared" si="1924"/>
        <v>20.9</v>
      </c>
      <c r="K303" s="99">
        <f t="shared" si="1924"/>
        <v>7.883</v>
      </c>
      <c r="L303" s="99">
        <f t="shared" si="1924"/>
        <v>0.55400000000000005</v>
      </c>
      <c r="M303" s="53"/>
      <c r="N303" s="53"/>
      <c r="O303" s="100">
        <f t="shared" ref="O303:P303" si="1925">O302</f>
        <v>100.62</v>
      </c>
      <c r="P303" s="101" t="str">
        <f t="shared" si="1925"/>
        <v>2,29,560</v>
      </c>
      <c r="Q303" s="11" t="str">
        <f t="shared" si="1739"/>
        <v>2</v>
      </c>
      <c r="R303" s="11" t="str">
        <f t="shared" si="1740"/>
        <v>29,560</v>
      </c>
      <c r="S303" s="11">
        <f t="shared" si="1741"/>
        <v>4.1544444444444446E-2</v>
      </c>
      <c r="T303" s="14">
        <f t="shared" si="1742"/>
        <v>2421.9844878309709</v>
      </c>
      <c r="U303" s="39">
        <f t="shared" si="1743"/>
        <v>-100</v>
      </c>
      <c r="V303" s="105">
        <f t="shared" ref="V303:W303" si="1926">V302</f>
        <v>20.399999999999999</v>
      </c>
      <c r="W303" s="105">
        <f t="shared" si="1926"/>
        <v>1.5069999999999999</v>
      </c>
      <c r="X303" s="106">
        <f t="shared" si="1895"/>
        <v>1.504</v>
      </c>
      <c r="Y303" s="53"/>
      <c r="Z303" s="53"/>
      <c r="AA303" s="107">
        <f t="shared" ref="AA303:AB303" si="1927">AA302</f>
        <v>10.015000000000001</v>
      </c>
      <c r="AB303" s="108" t="str">
        <f t="shared" si="1927"/>
        <v>22,10,090</v>
      </c>
      <c r="AC303" s="11" t="str">
        <f t="shared" si="1746"/>
        <v>22</v>
      </c>
      <c r="AD303" s="11" t="str">
        <f t="shared" si="1747"/>
        <v>10,090</v>
      </c>
      <c r="AE303" s="11">
        <f t="shared" si="1748"/>
        <v>0.36946944444444441</v>
      </c>
      <c r="AF303" s="14">
        <f t="shared" si="1749"/>
        <v>27.106436406558959</v>
      </c>
      <c r="AG303" s="41">
        <f t="shared" si="1750"/>
        <v>-100</v>
      </c>
      <c r="AH303" s="105">
        <f t="shared" si="1903"/>
        <v>20.3</v>
      </c>
      <c r="AI303" s="105">
        <f t="shared" si="1903"/>
        <v>1.5089999999999999</v>
      </c>
      <c r="AJ303" s="105">
        <f t="shared" si="1903"/>
        <v>1.504</v>
      </c>
      <c r="AK303" s="53">
        <f t="shared" si="1751"/>
        <v>0</v>
      </c>
      <c r="AL303" s="53"/>
      <c r="AM303" s="54">
        <f t="shared" ref="AM303:AN303" si="1928">AM302</f>
        <v>5.0129999999999999</v>
      </c>
      <c r="AN303" s="101" t="str">
        <f t="shared" si="1928"/>
        <v>17,59,050</v>
      </c>
      <c r="AO303" s="11" t="str">
        <f t="shared" si="1753"/>
        <v>17</v>
      </c>
      <c r="AP303" s="11" t="str">
        <f t="shared" si="1754"/>
        <v>59,050</v>
      </c>
      <c r="AQ303" s="11">
        <f t="shared" si="1755"/>
        <v>0.29973611111111109</v>
      </c>
      <c r="AR303" s="14">
        <f t="shared" si="1756"/>
        <v>16.724711551827998</v>
      </c>
      <c r="AS303" s="41">
        <f t="shared" si="1757"/>
        <v>-100</v>
      </c>
      <c r="AT303" s="43" t="str">
        <f t="shared" si="1758"/>
        <v>NO CONFORME</v>
      </c>
      <c r="AU303" s="8" t="b">
        <f t="shared" si="1680"/>
        <v>1</v>
      </c>
      <c r="AV303" s="8" t="b">
        <f t="shared" si="1681"/>
        <v>0</v>
      </c>
      <c r="AW303" s="8" t="b">
        <f t="shared" si="1682"/>
        <v>1</v>
      </c>
      <c r="AX303" s="8" t="str">
        <f t="shared" si="1683"/>
        <v>Qcorrecto</v>
      </c>
      <c r="AY303" s="22" t="str">
        <f t="shared" si="1663"/>
        <v>aceptable</v>
      </c>
      <c r="AZ303" s="22" t="str">
        <f t="shared" si="1664"/>
        <v>aceptable</v>
      </c>
      <c r="BA303" s="22" t="str">
        <f t="shared" si="1684"/>
        <v>aceptable</v>
      </c>
      <c r="BB303" s="25" t="str">
        <f t="shared" si="1685"/>
        <v>NO CONFORME</v>
      </c>
      <c r="BC303" s="5" t="str">
        <f t="shared" si="1686"/>
        <v>NO CONFORME</v>
      </c>
      <c r="BD303" s="15">
        <f t="shared" si="1665"/>
        <v>-1</v>
      </c>
      <c r="BE303" s="15">
        <f t="shared" si="1666"/>
        <v>-1</v>
      </c>
      <c r="BF303" s="15">
        <f t="shared" si="1667"/>
        <v>-1</v>
      </c>
      <c r="BG303" s="15" t="str">
        <f t="shared" si="1668"/>
        <v>-1-1-1</v>
      </c>
      <c r="BH303" s="15" t="str">
        <f t="shared" si="1669"/>
        <v>SD</v>
      </c>
      <c r="BI303" s="15" t="str">
        <f t="shared" si="1670"/>
        <v>SI</v>
      </c>
      <c r="BJ303" s="15" t="b">
        <f t="shared" si="1671"/>
        <v>1</v>
      </c>
      <c r="BK303" s="15" t="str">
        <f t="shared" si="1672"/>
        <v>SIGIGUALES</v>
      </c>
      <c r="BL303" s="22" t="str">
        <f t="shared" si="1673"/>
        <v>NO CONFORME</v>
      </c>
    </row>
    <row r="304" spans="1:64" ht="15.75" thickBot="1" x14ac:dyDescent="0.3">
      <c r="A304" s="37">
        <v>296</v>
      </c>
      <c r="B304" s="93">
        <f t="shared" ref="B304:E304" si="1929">B303</f>
        <v>45919</v>
      </c>
      <c r="C304" s="93">
        <f t="shared" si="1929"/>
        <v>45919</v>
      </c>
      <c r="D304" s="94">
        <f t="shared" si="1929"/>
        <v>6</v>
      </c>
      <c r="E304" s="95">
        <f t="shared" si="1929"/>
        <v>15</v>
      </c>
      <c r="F304" s="52"/>
      <c r="G304" s="96"/>
      <c r="H304" s="97">
        <f t="shared" ref="H304:L304" si="1930">H303</f>
        <v>25.6</v>
      </c>
      <c r="I304" s="98">
        <f t="shared" si="1930"/>
        <v>0</v>
      </c>
      <c r="J304" s="99">
        <f t="shared" si="1930"/>
        <v>20.9</v>
      </c>
      <c r="K304" s="99">
        <f t="shared" si="1930"/>
        <v>7.883</v>
      </c>
      <c r="L304" s="99">
        <f t="shared" si="1930"/>
        <v>0.55400000000000005</v>
      </c>
      <c r="M304" s="53"/>
      <c r="N304" s="53"/>
      <c r="O304" s="100">
        <f t="shared" ref="O304:P304" si="1931">O303</f>
        <v>100.62</v>
      </c>
      <c r="P304" s="101" t="str">
        <f t="shared" si="1931"/>
        <v>2,29,560</v>
      </c>
      <c r="Q304" s="11" t="str">
        <f t="shared" si="1739"/>
        <v>2</v>
      </c>
      <c r="R304" s="11" t="str">
        <f t="shared" si="1740"/>
        <v>29,560</v>
      </c>
      <c r="S304" s="11">
        <f t="shared" si="1741"/>
        <v>4.1544444444444446E-2</v>
      </c>
      <c r="T304" s="14">
        <f t="shared" si="1742"/>
        <v>2421.9844878309709</v>
      </c>
      <c r="U304" s="39">
        <f t="shared" si="1743"/>
        <v>-100</v>
      </c>
      <c r="V304" s="105">
        <f t="shared" ref="V304:W304" si="1932">V303</f>
        <v>20.399999999999999</v>
      </c>
      <c r="W304" s="105">
        <f t="shared" si="1932"/>
        <v>1.5069999999999999</v>
      </c>
      <c r="X304" s="106">
        <f t="shared" si="1895"/>
        <v>1.504</v>
      </c>
      <c r="Y304" s="53"/>
      <c r="Z304" s="53"/>
      <c r="AA304" s="107">
        <f t="shared" ref="AA304:AB304" si="1933">AA303</f>
        <v>10.015000000000001</v>
      </c>
      <c r="AB304" s="108" t="str">
        <f t="shared" si="1933"/>
        <v>22,10,090</v>
      </c>
      <c r="AC304" s="11" t="str">
        <f t="shared" si="1746"/>
        <v>22</v>
      </c>
      <c r="AD304" s="11" t="str">
        <f t="shared" si="1747"/>
        <v>10,090</v>
      </c>
      <c r="AE304" s="11">
        <f t="shared" si="1748"/>
        <v>0.36946944444444441</v>
      </c>
      <c r="AF304" s="14">
        <f t="shared" si="1749"/>
        <v>27.106436406558959</v>
      </c>
      <c r="AG304" s="41">
        <f t="shared" si="1750"/>
        <v>-100</v>
      </c>
      <c r="AH304" s="105">
        <f t="shared" si="1903"/>
        <v>20.3</v>
      </c>
      <c r="AI304" s="105">
        <f t="shared" si="1903"/>
        <v>1.5089999999999999</v>
      </c>
      <c r="AJ304" s="105">
        <f t="shared" si="1903"/>
        <v>1.504</v>
      </c>
      <c r="AK304" s="53">
        <f t="shared" si="1751"/>
        <v>0</v>
      </c>
      <c r="AL304" s="53"/>
      <c r="AM304" s="54">
        <f t="shared" ref="AM304:AN304" si="1934">AM303</f>
        <v>5.0129999999999999</v>
      </c>
      <c r="AN304" s="101" t="str">
        <f t="shared" si="1934"/>
        <v>17,59,050</v>
      </c>
      <c r="AO304" s="11" t="str">
        <f t="shared" si="1753"/>
        <v>17</v>
      </c>
      <c r="AP304" s="11" t="str">
        <f t="shared" si="1754"/>
        <v>59,050</v>
      </c>
      <c r="AQ304" s="11">
        <f t="shared" si="1755"/>
        <v>0.29973611111111109</v>
      </c>
      <c r="AR304" s="14">
        <f t="shared" si="1756"/>
        <v>16.724711551827998</v>
      </c>
      <c r="AS304" s="41">
        <f t="shared" si="1757"/>
        <v>-100</v>
      </c>
      <c r="AT304" s="43" t="str">
        <f t="shared" si="1758"/>
        <v>NO CONFORME</v>
      </c>
      <c r="AU304" s="8" t="b">
        <f t="shared" si="1680"/>
        <v>1</v>
      </c>
      <c r="AV304" s="8" t="b">
        <f t="shared" si="1681"/>
        <v>0</v>
      </c>
      <c r="AW304" s="8" t="b">
        <f t="shared" si="1682"/>
        <v>1</v>
      </c>
      <c r="AX304" s="8" t="str">
        <f t="shared" si="1683"/>
        <v>Qcorrecto</v>
      </c>
      <c r="AY304" s="22" t="str">
        <f t="shared" si="1663"/>
        <v>aceptable</v>
      </c>
      <c r="AZ304" s="22" t="str">
        <f t="shared" si="1664"/>
        <v>aceptable</v>
      </c>
      <c r="BA304" s="22" t="str">
        <f t="shared" si="1684"/>
        <v>aceptable</v>
      </c>
      <c r="BB304" s="25" t="str">
        <f t="shared" si="1685"/>
        <v>NO CONFORME</v>
      </c>
      <c r="BC304" s="5" t="str">
        <f t="shared" si="1686"/>
        <v>NO CONFORME</v>
      </c>
      <c r="BD304" s="15">
        <f t="shared" si="1665"/>
        <v>-1</v>
      </c>
      <c r="BE304" s="15">
        <f t="shared" si="1666"/>
        <v>-1</v>
      </c>
      <c r="BF304" s="15">
        <f t="shared" si="1667"/>
        <v>-1</v>
      </c>
      <c r="BG304" s="15" t="str">
        <f t="shared" si="1668"/>
        <v>-1-1-1</v>
      </c>
      <c r="BH304" s="15" t="str">
        <f t="shared" si="1669"/>
        <v>SD</v>
      </c>
      <c r="BI304" s="15" t="str">
        <f t="shared" si="1670"/>
        <v>SI</v>
      </c>
      <c r="BJ304" s="15" t="b">
        <f t="shared" si="1671"/>
        <v>1</v>
      </c>
      <c r="BK304" s="15" t="str">
        <f t="shared" si="1672"/>
        <v>SIGIGUALES</v>
      </c>
      <c r="BL304" s="22" t="str">
        <f t="shared" si="1673"/>
        <v>NO CONFORME</v>
      </c>
    </row>
    <row r="305" spans="1:64" ht="15.75" thickBot="1" x14ac:dyDescent="0.3">
      <c r="A305" s="37">
        <v>297</v>
      </c>
      <c r="B305" s="93">
        <f t="shared" ref="B305:E305" si="1935">B304</f>
        <v>45919</v>
      </c>
      <c r="C305" s="93">
        <f t="shared" si="1935"/>
        <v>45919</v>
      </c>
      <c r="D305" s="94">
        <f t="shared" si="1935"/>
        <v>6</v>
      </c>
      <c r="E305" s="95">
        <f t="shared" si="1935"/>
        <v>15</v>
      </c>
      <c r="F305" s="52"/>
      <c r="G305" s="96"/>
      <c r="H305" s="97">
        <f t="shared" ref="H305:L305" si="1936">H304</f>
        <v>25.6</v>
      </c>
      <c r="I305" s="98">
        <f t="shared" si="1936"/>
        <v>0</v>
      </c>
      <c r="J305" s="99">
        <f t="shared" si="1936"/>
        <v>20.9</v>
      </c>
      <c r="K305" s="99">
        <f t="shared" si="1936"/>
        <v>7.883</v>
      </c>
      <c r="L305" s="99">
        <f t="shared" si="1936"/>
        <v>0.55400000000000005</v>
      </c>
      <c r="M305" s="53"/>
      <c r="N305" s="53"/>
      <c r="O305" s="100">
        <f t="shared" ref="O305:P305" si="1937">O304</f>
        <v>100.62</v>
      </c>
      <c r="P305" s="101" t="str">
        <f t="shared" si="1937"/>
        <v>2,29,560</v>
      </c>
      <c r="Q305" s="11" t="str">
        <f t="shared" si="1739"/>
        <v>2</v>
      </c>
      <c r="R305" s="11" t="str">
        <f t="shared" si="1740"/>
        <v>29,560</v>
      </c>
      <c r="S305" s="11">
        <f t="shared" si="1741"/>
        <v>4.1544444444444446E-2</v>
      </c>
      <c r="T305" s="14">
        <f t="shared" si="1742"/>
        <v>2421.9844878309709</v>
      </c>
      <c r="U305" s="39">
        <f t="shared" si="1743"/>
        <v>-100</v>
      </c>
      <c r="V305" s="105">
        <f t="shared" ref="V305:W305" si="1938">V304</f>
        <v>20.399999999999999</v>
      </c>
      <c r="W305" s="105">
        <f t="shared" si="1938"/>
        <v>1.5069999999999999</v>
      </c>
      <c r="X305" s="106">
        <f t="shared" si="1895"/>
        <v>1.504</v>
      </c>
      <c r="Y305" s="53"/>
      <c r="Z305" s="53"/>
      <c r="AA305" s="107">
        <f t="shared" ref="AA305:AB305" si="1939">AA304</f>
        <v>10.015000000000001</v>
      </c>
      <c r="AB305" s="108" t="str">
        <f t="shared" si="1939"/>
        <v>22,10,090</v>
      </c>
      <c r="AC305" s="11" t="str">
        <f t="shared" si="1746"/>
        <v>22</v>
      </c>
      <c r="AD305" s="11" t="str">
        <f t="shared" si="1747"/>
        <v>10,090</v>
      </c>
      <c r="AE305" s="11">
        <f t="shared" si="1748"/>
        <v>0.36946944444444441</v>
      </c>
      <c r="AF305" s="14">
        <f t="shared" si="1749"/>
        <v>27.106436406558959</v>
      </c>
      <c r="AG305" s="41">
        <f t="shared" si="1750"/>
        <v>-100</v>
      </c>
      <c r="AH305" s="105">
        <f t="shared" si="1903"/>
        <v>20.3</v>
      </c>
      <c r="AI305" s="105">
        <f t="shared" si="1903"/>
        <v>1.5089999999999999</v>
      </c>
      <c r="AJ305" s="105">
        <f t="shared" si="1903"/>
        <v>1.504</v>
      </c>
      <c r="AK305" s="53">
        <f t="shared" si="1751"/>
        <v>0</v>
      </c>
      <c r="AL305" s="53"/>
      <c r="AM305" s="54">
        <f t="shared" ref="AM305:AN305" si="1940">AM304</f>
        <v>5.0129999999999999</v>
      </c>
      <c r="AN305" s="101" t="str">
        <f t="shared" si="1940"/>
        <v>17,59,050</v>
      </c>
      <c r="AO305" s="11" t="str">
        <f t="shared" si="1753"/>
        <v>17</v>
      </c>
      <c r="AP305" s="11" t="str">
        <f t="shared" si="1754"/>
        <v>59,050</v>
      </c>
      <c r="AQ305" s="11">
        <f t="shared" si="1755"/>
        <v>0.29973611111111109</v>
      </c>
      <c r="AR305" s="14">
        <f t="shared" si="1756"/>
        <v>16.724711551827998</v>
      </c>
      <c r="AS305" s="41">
        <f t="shared" si="1757"/>
        <v>-100</v>
      </c>
      <c r="AT305" s="43" t="str">
        <f t="shared" si="1758"/>
        <v>NO CONFORME</v>
      </c>
      <c r="AU305" s="8" t="b">
        <f t="shared" si="1680"/>
        <v>1</v>
      </c>
      <c r="AV305" s="8" t="b">
        <f t="shared" si="1681"/>
        <v>0</v>
      </c>
      <c r="AW305" s="8" t="b">
        <f t="shared" si="1682"/>
        <v>1</v>
      </c>
      <c r="AX305" s="8" t="str">
        <f t="shared" si="1683"/>
        <v>Qcorrecto</v>
      </c>
      <c r="AY305" s="22" t="str">
        <f t="shared" si="1663"/>
        <v>aceptable</v>
      </c>
      <c r="AZ305" s="22" t="str">
        <f t="shared" si="1664"/>
        <v>aceptable</v>
      </c>
      <c r="BA305" s="22" t="str">
        <f t="shared" si="1684"/>
        <v>aceptable</v>
      </c>
      <c r="BB305" s="25" t="str">
        <f t="shared" si="1685"/>
        <v>NO CONFORME</v>
      </c>
      <c r="BC305" s="5" t="str">
        <f t="shared" si="1686"/>
        <v>NO CONFORME</v>
      </c>
      <c r="BD305" s="15">
        <f t="shared" si="1665"/>
        <v>-1</v>
      </c>
      <c r="BE305" s="15">
        <f t="shared" si="1666"/>
        <v>-1</v>
      </c>
      <c r="BF305" s="15">
        <f t="shared" si="1667"/>
        <v>-1</v>
      </c>
      <c r="BG305" s="15" t="str">
        <f t="shared" si="1668"/>
        <v>-1-1-1</v>
      </c>
      <c r="BH305" s="15" t="str">
        <f t="shared" si="1669"/>
        <v>SD</v>
      </c>
      <c r="BI305" s="15" t="str">
        <f t="shared" si="1670"/>
        <v>SI</v>
      </c>
      <c r="BJ305" s="15" t="b">
        <f t="shared" si="1671"/>
        <v>1</v>
      </c>
      <c r="BK305" s="15" t="str">
        <f t="shared" si="1672"/>
        <v>SIGIGUALES</v>
      </c>
      <c r="BL305" s="22" t="str">
        <f t="shared" si="1673"/>
        <v>NO CONFORME</v>
      </c>
    </row>
    <row r="306" spans="1:64" ht="15.75" thickBot="1" x14ac:dyDescent="0.3">
      <c r="A306" s="37">
        <v>298</v>
      </c>
      <c r="B306" s="93">
        <f t="shared" ref="B306:E306" si="1941">B305</f>
        <v>45919</v>
      </c>
      <c r="C306" s="93">
        <f t="shared" si="1941"/>
        <v>45919</v>
      </c>
      <c r="D306" s="94">
        <f t="shared" si="1941"/>
        <v>6</v>
      </c>
      <c r="E306" s="95">
        <f t="shared" si="1941"/>
        <v>15</v>
      </c>
      <c r="F306" s="52"/>
      <c r="G306" s="96"/>
      <c r="H306" s="97">
        <f t="shared" ref="H306:L306" si="1942">H305</f>
        <v>25.6</v>
      </c>
      <c r="I306" s="98">
        <f t="shared" si="1942"/>
        <v>0</v>
      </c>
      <c r="J306" s="99">
        <f t="shared" si="1942"/>
        <v>20.9</v>
      </c>
      <c r="K306" s="99">
        <f t="shared" si="1942"/>
        <v>7.883</v>
      </c>
      <c r="L306" s="99">
        <f t="shared" si="1942"/>
        <v>0.55400000000000005</v>
      </c>
      <c r="M306" s="53"/>
      <c r="N306" s="53"/>
      <c r="O306" s="100">
        <f t="shared" ref="O306:P306" si="1943">O305</f>
        <v>100.62</v>
      </c>
      <c r="P306" s="101" t="str">
        <f t="shared" si="1943"/>
        <v>2,29,560</v>
      </c>
      <c r="Q306" s="11" t="str">
        <f t="shared" si="1739"/>
        <v>2</v>
      </c>
      <c r="R306" s="11" t="str">
        <f t="shared" si="1740"/>
        <v>29,560</v>
      </c>
      <c r="S306" s="11">
        <f t="shared" si="1741"/>
        <v>4.1544444444444446E-2</v>
      </c>
      <c r="T306" s="14">
        <f t="shared" si="1742"/>
        <v>2421.9844878309709</v>
      </c>
      <c r="U306" s="39">
        <f t="shared" si="1743"/>
        <v>-100</v>
      </c>
      <c r="V306" s="105">
        <f t="shared" ref="V306:W306" si="1944">V305</f>
        <v>20.399999999999999</v>
      </c>
      <c r="W306" s="105">
        <f t="shared" si="1944"/>
        <v>1.5069999999999999</v>
      </c>
      <c r="X306" s="106">
        <f t="shared" si="1895"/>
        <v>1.504</v>
      </c>
      <c r="Y306" s="53"/>
      <c r="Z306" s="53"/>
      <c r="AA306" s="107">
        <f t="shared" ref="AA306:AB306" si="1945">AA305</f>
        <v>10.015000000000001</v>
      </c>
      <c r="AB306" s="108" t="str">
        <f t="shared" si="1945"/>
        <v>22,10,090</v>
      </c>
      <c r="AC306" s="11" t="str">
        <f t="shared" si="1746"/>
        <v>22</v>
      </c>
      <c r="AD306" s="11" t="str">
        <f t="shared" si="1747"/>
        <v>10,090</v>
      </c>
      <c r="AE306" s="11">
        <f t="shared" si="1748"/>
        <v>0.36946944444444441</v>
      </c>
      <c r="AF306" s="14">
        <f t="shared" si="1749"/>
        <v>27.106436406558959</v>
      </c>
      <c r="AG306" s="41">
        <f t="shared" si="1750"/>
        <v>-100</v>
      </c>
      <c r="AH306" s="105">
        <f t="shared" si="1903"/>
        <v>20.3</v>
      </c>
      <c r="AI306" s="105">
        <f t="shared" si="1903"/>
        <v>1.5089999999999999</v>
      </c>
      <c r="AJ306" s="105">
        <f t="shared" si="1903"/>
        <v>1.504</v>
      </c>
      <c r="AK306" s="53">
        <f t="shared" si="1751"/>
        <v>0</v>
      </c>
      <c r="AL306" s="53"/>
      <c r="AM306" s="54">
        <f t="shared" ref="AM306:AN306" si="1946">AM305</f>
        <v>5.0129999999999999</v>
      </c>
      <c r="AN306" s="101" t="str">
        <f t="shared" si="1946"/>
        <v>17,59,050</v>
      </c>
      <c r="AO306" s="11" t="str">
        <f t="shared" si="1753"/>
        <v>17</v>
      </c>
      <c r="AP306" s="11" t="str">
        <f t="shared" si="1754"/>
        <v>59,050</v>
      </c>
      <c r="AQ306" s="11">
        <f t="shared" si="1755"/>
        <v>0.29973611111111109</v>
      </c>
      <c r="AR306" s="14">
        <f t="shared" si="1756"/>
        <v>16.724711551827998</v>
      </c>
      <c r="AS306" s="41">
        <f t="shared" si="1757"/>
        <v>-100</v>
      </c>
      <c r="AT306" s="43" t="str">
        <f t="shared" si="1758"/>
        <v>NO CONFORME</v>
      </c>
      <c r="AU306" s="8" t="b">
        <f t="shared" si="1680"/>
        <v>1</v>
      </c>
      <c r="AV306" s="8" t="b">
        <f t="shared" si="1681"/>
        <v>0</v>
      </c>
      <c r="AW306" s="8" t="b">
        <f t="shared" si="1682"/>
        <v>1</v>
      </c>
      <c r="AX306" s="8" t="str">
        <f t="shared" si="1683"/>
        <v>Qcorrecto</v>
      </c>
      <c r="AY306" s="22" t="str">
        <f t="shared" si="1663"/>
        <v>aceptable</v>
      </c>
      <c r="AZ306" s="22" t="str">
        <f t="shared" si="1664"/>
        <v>aceptable</v>
      </c>
      <c r="BA306" s="22" t="str">
        <f t="shared" si="1684"/>
        <v>aceptable</v>
      </c>
      <c r="BB306" s="25" t="str">
        <f t="shared" si="1685"/>
        <v>NO CONFORME</v>
      </c>
      <c r="BC306" s="5" t="str">
        <f t="shared" si="1686"/>
        <v>NO CONFORME</v>
      </c>
      <c r="BD306" s="15">
        <f t="shared" si="1665"/>
        <v>-1</v>
      </c>
      <c r="BE306" s="15">
        <f t="shared" si="1666"/>
        <v>-1</v>
      </c>
      <c r="BF306" s="15">
        <f t="shared" si="1667"/>
        <v>-1</v>
      </c>
      <c r="BG306" s="15" t="str">
        <f t="shared" si="1668"/>
        <v>-1-1-1</v>
      </c>
      <c r="BH306" s="15" t="str">
        <f t="shared" si="1669"/>
        <v>SD</v>
      </c>
      <c r="BI306" s="15" t="str">
        <f t="shared" si="1670"/>
        <v>SI</v>
      </c>
      <c r="BJ306" s="15" t="b">
        <f t="shared" si="1671"/>
        <v>1</v>
      </c>
      <c r="BK306" s="15" t="str">
        <f t="shared" si="1672"/>
        <v>SIGIGUALES</v>
      </c>
      <c r="BL306" s="22" t="str">
        <f t="shared" si="1673"/>
        <v>NO CONFORME</v>
      </c>
    </row>
    <row r="307" spans="1:64" ht="15.75" thickBot="1" x14ac:dyDescent="0.3">
      <c r="A307" s="37">
        <v>299</v>
      </c>
      <c r="B307" s="93">
        <f t="shared" ref="B307:E307" si="1947">B306</f>
        <v>45919</v>
      </c>
      <c r="C307" s="93">
        <f t="shared" si="1947"/>
        <v>45919</v>
      </c>
      <c r="D307" s="94">
        <f t="shared" si="1947"/>
        <v>6</v>
      </c>
      <c r="E307" s="95">
        <f t="shared" si="1947"/>
        <v>15</v>
      </c>
      <c r="F307" s="52"/>
      <c r="G307" s="96"/>
      <c r="H307" s="97">
        <f t="shared" ref="H307:L307" si="1948">H306</f>
        <v>25.6</v>
      </c>
      <c r="I307" s="98">
        <f t="shared" si="1948"/>
        <v>0</v>
      </c>
      <c r="J307" s="99">
        <f t="shared" si="1948"/>
        <v>20.9</v>
      </c>
      <c r="K307" s="99">
        <f t="shared" si="1948"/>
        <v>7.883</v>
      </c>
      <c r="L307" s="99">
        <f t="shared" si="1948"/>
        <v>0.55400000000000005</v>
      </c>
      <c r="M307" s="53"/>
      <c r="N307" s="53"/>
      <c r="O307" s="100">
        <f t="shared" ref="O307:P307" si="1949">O306</f>
        <v>100.62</v>
      </c>
      <c r="P307" s="101" t="str">
        <f t="shared" si="1949"/>
        <v>2,29,560</v>
      </c>
      <c r="Q307" s="11" t="str">
        <f t="shared" si="1739"/>
        <v>2</v>
      </c>
      <c r="R307" s="11" t="str">
        <f t="shared" si="1740"/>
        <v>29,560</v>
      </c>
      <c r="S307" s="11">
        <f t="shared" si="1741"/>
        <v>4.1544444444444446E-2</v>
      </c>
      <c r="T307" s="14">
        <f t="shared" si="1742"/>
        <v>2421.9844878309709</v>
      </c>
      <c r="U307" s="39">
        <f t="shared" si="1743"/>
        <v>-100</v>
      </c>
      <c r="V307" s="105">
        <f t="shared" ref="V307:W307" si="1950">V306</f>
        <v>20.399999999999999</v>
      </c>
      <c r="W307" s="105">
        <f t="shared" si="1950"/>
        <v>1.5069999999999999</v>
      </c>
      <c r="X307" s="106">
        <f t="shared" si="1895"/>
        <v>1.504</v>
      </c>
      <c r="Y307" s="53"/>
      <c r="Z307" s="53"/>
      <c r="AA307" s="107">
        <f t="shared" ref="AA307:AB307" si="1951">AA306</f>
        <v>10.015000000000001</v>
      </c>
      <c r="AB307" s="108" t="str">
        <f t="shared" si="1951"/>
        <v>22,10,090</v>
      </c>
      <c r="AC307" s="11" t="str">
        <f t="shared" si="1746"/>
        <v>22</v>
      </c>
      <c r="AD307" s="11" t="str">
        <f t="shared" si="1747"/>
        <v>10,090</v>
      </c>
      <c r="AE307" s="11">
        <f t="shared" si="1748"/>
        <v>0.36946944444444441</v>
      </c>
      <c r="AF307" s="14">
        <f t="shared" si="1749"/>
        <v>27.106436406558959</v>
      </c>
      <c r="AG307" s="41">
        <f t="shared" si="1750"/>
        <v>-100</v>
      </c>
      <c r="AH307" s="105">
        <f t="shared" si="1903"/>
        <v>20.3</v>
      </c>
      <c r="AI307" s="105">
        <f t="shared" si="1903"/>
        <v>1.5089999999999999</v>
      </c>
      <c r="AJ307" s="105">
        <f t="shared" si="1903"/>
        <v>1.504</v>
      </c>
      <c r="AK307" s="53">
        <f t="shared" si="1751"/>
        <v>0</v>
      </c>
      <c r="AL307" s="53"/>
      <c r="AM307" s="54">
        <f t="shared" ref="AM307:AN307" si="1952">AM306</f>
        <v>5.0129999999999999</v>
      </c>
      <c r="AN307" s="101" t="str">
        <f t="shared" si="1952"/>
        <v>17,59,050</v>
      </c>
      <c r="AO307" s="11" t="str">
        <f t="shared" si="1753"/>
        <v>17</v>
      </c>
      <c r="AP307" s="11" t="str">
        <f t="shared" si="1754"/>
        <v>59,050</v>
      </c>
      <c r="AQ307" s="11">
        <f t="shared" si="1755"/>
        <v>0.29973611111111109</v>
      </c>
      <c r="AR307" s="14">
        <f t="shared" si="1756"/>
        <v>16.724711551827998</v>
      </c>
      <c r="AS307" s="41">
        <f t="shared" si="1757"/>
        <v>-100</v>
      </c>
      <c r="AT307" s="43" t="str">
        <f t="shared" si="1758"/>
        <v>NO CONFORME</v>
      </c>
      <c r="AU307" s="8" t="b">
        <f t="shared" si="1680"/>
        <v>1</v>
      </c>
      <c r="AV307" s="8" t="b">
        <f t="shared" si="1681"/>
        <v>0</v>
      </c>
      <c r="AW307" s="8" t="b">
        <f t="shared" si="1682"/>
        <v>1</v>
      </c>
      <c r="AX307" s="8" t="str">
        <f t="shared" si="1683"/>
        <v>Qcorrecto</v>
      </c>
      <c r="AY307" s="22" t="str">
        <f t="shared" si="1663"/>
        <v>aceptable</v>
      </c>
      <c r="AZ307" s="22" t="str">
        <f t="shared" si="1664"/>
        <v>aceptable</v>
      </c>
      <c r="BA307" s="22" t="str">
        <f t="shared" si="1684"/>
        <v>aceptable</v>
      </c>
      <c r="BB307" s="25" t="str">
        <f t="shared" si="1685"/>
        <v>NO CONFORME</v>
      </c>
      <c r="BC307" s="5" t="str">
        <f t="shared" si="1686"/>
        <v>NO CONFORME</v>
      </c>
      <c r="BD307" s="15">
        <f t="shared" si="1665"/>
        <v>-1</v>
      </c>
      <c r="BE307" s="15">
        <f t="shared" si="1666"/>
        <v>-1</v>
      </c>
      <c r="BF307" s="15">
        <f t="shared" si="1667"/>
        <v>-1</v>
      </c>
      <c r="BG307" s="15" t="str">
        <f t="shared" si="1668"/>
        <v>-1-1-1</v>
      </c>
      <c r="BH307" s="15" t="str">
        <f t="shared" si="1669"/>
        <v>SD</v>
      </c>
      <c r="BI307" s="15" t="str">
        <f t="shared" si="1670"/>
        <v>SI</v>
      </c>
      <c r="BJ307" s="15" t="b">
        <f t="shared" si="1671"/>
        <v>1</v>
      </c>
      <c r="BK307" s="15" t="str">
        <f t="shared" si="1672"/>
        <v>SIGIGUALES</v>
      </c>
      <c r="BL307" s="22" t="str">
        <f t="shared" si="1673"/>
        <v>NO CONFORME</v>
      </c>
    </row>
    <row r="308" spans="1:64" ht="15.75" thickBot="1" x14ac:dyDescent="0.3">
      <c r="A308" s="37">
        <v>300</v>
      </c>
      <c r="B308" s="93">
        <f t="shared" ref="B308:E308" si="1953">B307</f>
        <v>45919</v>
      </c>
      <c r="C308" s="93">
        <f t="shared" si="1953"/>
        <v>45919</v>
      </c>
      <c r="D308" s="94">
        <f t="shared" si="1953"/>
        <v>6</v>
      </c>
      <c r="E308" s="95">
        <f t="shared" si="1953"/>
        <v>15</v>
      </c>
      <c r="F308" s="52"/>
      <c r="G308" s="96"/>
      <c r="H308" s="97">
        <f t="shared" ref="H308:L308" si="1954">H307</f>
        <v>25.6</v>
      </c>
      <c r="I308" s="98">
        <f t="shared" si="1954"/>
        <v>0</v>
      </c>
      <c r="J308" s="99">
        <f t="shared" si="1954"/>
        <v>20.9</v>
      </c>
      <c r="K308" s="99">
        <f t="shared" si="1954"/>
        <v>7.883</v>
      </c>
      <c r="L308" s="99">
        <f t="shared" si="1954"/>
        <v>0.55400000000000005</v>
      </c>
      <c r="M308" s="53"/>
      <c r="N308" s="53"/>
      <c r="O308" s="100">
        <f t="shared" ref="O308:P308" si="1955">O307</f>
        <v>100.62</v>
      </c>
      <c r="P308" s="101" t="str">
        <f t="shared" si="1955"/>
        <v>2,29,560</v>
      </c>
      <c r="Q308" s="11" t="str">
        <f t="shared" si="1739"/>
        <v>2</v>
      </c>
      <c r="R308" s="11" t="str">
        <f t="shared" si="1740"/>
        <v>29,560</v>
      </c>
      <c r="S308" s="11">
        <f t="shared" si="1741"/>
        <v>4.1544444444444446E-2</v>
      </c>
      <c r="T308" s="14">
        <f t="shared" si="1742"/>
        <v>2421.9844878309709</v>
      </c>
      <c r="U308" s="39">
        <f t="shared" si="1743"/>
        <v>-100</v>
      </c>
      <c r="V308" s="105">
        <f t="shared" ref="V308:W308" si="1956">V307</f>
        <v>20.399999999999999</v>
      </c>
      <c r="W308" s="105">
        <f t="shared" si="1956"/>
        <v>1.5069999999999999</v>
      </c>
      <c r="X308" s="106">
        <f t="shared" si="1895"/>
        <v>1.504</v>
      </c>
      <c r="Y308" s="53"/>
      <c r="Z308" s="53"/>
      <c r="AA308" s="107">
        <f t="shared" ref="AA308:AB308" si="1957">AA307</f>
        <v>10.015000000000001</v>
      </c>
      <c r="AB308" s="108" t="str">
        <f t="shared" si="1957"/>
        <v>22,10,090</v>
      </c>
      <c r="AC308" s="11" t="str">
        <f t="shared" si="1746"/>
        <v>22</v>
      </c>
      <c r="AD308" s="11" t="str">
        <f t="shared" si="1747"/>
        <v>10,090</v>
      </c>
      <c r="AE308" s="11">
        <f t="shared" si="1748"/>
        <v>0.36946944444444441</v>
      </c>
      <c r="AF308" s="14">
        <f t="shared" si="1749"/>
        <v>27.106436406558959</v>
      </c>
      <c r="AG308" s="41">
        <f t="shared" si="1750"/>
        <v>-100</v>
      </c>
      <c r="AH308" s="105">
        <f t="shared" si="1903"/>
        <v>20.3</v>
      </c>
      <c r="AI308" s="105">
        <f t="shared" si="1903"/>
        <v>1.5089999999999999</v>
      </c>
      <c r="AJ308" s="105">
        <f t="shared" si="1903"/>
        <v>1.504</v>
      </c>
      <c r="AK308" s="53">
        <f t="shared" si="1751"/>
        <v>0</v>
      </c>
      <c r="AL308" s="53"/>
      <c r="AM308" s="54">
        <f t="shared" ref="AM308:AN308" si="1958">AM307</f>
        <v>5.0129999999999999</v>
      </c>
      <c r="AN308" s="101" t="str">
        <f t="shared" si="1958"/>
        <v>17,59,050</v>
      </c>
      <c r="AO308" s="11" t="str">
        <f t="shared" si="1753"/>
        <v>17</v>
      </c>
      <c r="AP308" s="11" t="str">
        <f t="shared" si="1754"/>
        <v>59,050</v>
      </c>
      <c r="AQ308" s="11">
        <f t="shared" si="1755"/>
        <v>0.29973611111111109</v>
      </c>
      <c r="AR308" s="14">
        <f t="shared" si="1756"/>
        <v>16.724711551827998</v>
      </c>
      <c r="AS308" s="41">
        <f t="shared" si="1757"/>
        <v>-100</v>
      </c>
      <c r="AT308" s="43" t="str">
        <f t="shared" si="1758"/>
        <v>NO CONFORME</v>
      </c>
      <c r="AU308" s="8" t="b">
        <f t="shared" si="1680"/>
        <v>1</v>
      </c>
      <c r="AV308" s="8" t="b">
        <f t="shared" si="1681"/>
        <v>0</v>
      </c>
      <c r="AW308" s="8" t="b">
        <f t="shared" si="1682"/>
        <v>1</v>
      </c>
      <c r="AX308" s="8" t="str">
        <f t="shared" si="1683"/>
        <v>Qcorrecto</v>
      </c>
      <c r="AY308" s="22" t="str">
        <f t="shared" si="1663"/>
        <v>aceptable</v>
      </c>
      <c r="AZ308" s="22" t="str">
        <f t="shared" si="1664"/>
        <v>aceptable</v>
      </c>
      <c r="BA308" s="22" t="str">
        <f t="shared" si="1684"/>
        <v>aceptable</v>
      </c>
      <c r="BB308" s="25" t="str">
        <f t="shared" si="1685"/>
        <v>NO CONFORME</v>
      </c>
      <c r="BC308" s="5" t="str">
        <f t="shared" si="1686"/>
        <v>NO CONFORME</v>
      </c>
      <c r="BD308" s="15">
        <f t="shared" si="1665"/>
        <v>-1</v>
      </c>
      <c r="BE308" s="15">
        <f t="shared" si="1666"/>
        <v>-1</v>
      </c>
      <c r="BF308" s="15">
        <f t="shared" si="1667"/>
        <v>-1</v>
      </c>
      <c r="BG308" s="15" t="str">
        <f t="shared" si="1668"/>
        <v>-1-1-1</v>
      </c>
      <c r="BH308" s="15" t="str">
        <f t="shared" si="1669"/>
        <v>SD</v>
      </c>
      <c r="BI308" s="15" t="str">
        <f t="shared" si="1670"/>
        <v>SI</v>
      </c>
      <c r="BJ308" s="15" t="b">
        <f t="shared" si="1671"/>
        <v>1</v>
      </c>
      <c r="BK308" s="15" t="str">
        <f t="shared" si="1672"/>
        <v>SIGIGUALES</v>
      </c>
      <c r="BL308" s="22" t="str">
        <f t="shared" si="1673"/>
        <v>NO CONFORME</v>
      </c>
    </row>
    <row r="309" spans="1:64" ht="15.75" thickBot="1" x14ac:dyDescent="0.3">
      <c r="A309" s="37">
        <v>301</v>
      </c>
      <c r="B309" s="93">
        <f t="shared" ref="B309:E309" si="1959">B308</f>
        <v>45919</v>
      </c>
      <c r="C309" s="93">
        <f t="shared" si="1959"/>
        <v>45919</v>
      </c>
      <c r="D309" s="94">
        <f t="shared" si="1959"/>
        <v>6</v>
      </c>
      <c r="E309" s="95">
        <f t="shared" si="1959"/>
        <v>15</v>
      </c>
      <c r="F309" s="52"/>
      <c r="G309" s="96"/>
      <c r="H309" s="97">
        <f t="shared" ref="H309:L309" si="1960">H308</f>
        <v>25.6</v>
      </c>
      <c r="I309" s="98">
        <f t="shared" si="1960"/>
        <v>0</v>
      </c>
      <c r="J309" s="99">
        <f t="shared" si="1960"/>
        <v>20.9</v>
      </c>
      <c r="K309" s="99">
        <f t="shared" si="1960"/>
        <v>7.883</v>
      </c>
      <c r="L309" s="99">
        <f t="shared" si="1960"/>
        <v>0.55400000000000005</v>
      </c>
      <c r="M309" s="53"/>
      <c r="N309" s="53"/>
      <c r="O309" s="100">
        <f t="shared" ref="O309:P309" si="1961">O308</f>
        <v>100.62</v>
      </c>
      <c r="P309" s="101" t="str">
        <f t="shared" si="1961"/>
        <v>2,29,560</v>
      </c>
      <c r="Q309" s="11" t="str">
        <f t="shared" si="1739"/>
        <v>2</v>
      </c>
      <c r="R309" s="11" t="str">
        <f t="shared" si="1740"/>
        <v>29,560</v>
      </c>
      <c r="S309" s="11">
        <f t="shared" si="1741"/>
        <v>4.1544444444444446E-2</v>
      </c>
      <c r="T309" s="14">
        <f t="shared" si="1742"/>
        <v>2421.9844878309709</v>
      </c>
      <c r="U309" s="39">
        <f t="shared" si="1743"/>
        <v>-100</v>
      </c>
      <c r="V309" s="105">
        <f t="shared" ref="V309:W309" si="1962">V308</f>
        <v>20.399999999999999</v>
      </c>
      <c r="W309" s="105">
        <f t="shared" si="1962"/>
        <v>1.5069999999999999</v>
      </c>
      <c r="X309" s="106">
        <f t="shared" si="1895"/>
        <v>1.504</v>
      </c>
      <c r="Y309" s="53"/>
      <c r="Z309" s="53"/>
      <c r="AA309" s="107">
        <f t="shared" ref="AA309:AB309" si="1963">AA308</f>
        <v>10.015000000000001</v>
      </c>
      <c r="AB309" s="108" t="str">
        <f t="shared" si="1963"/>
        <v>22,10,090</v>
      </c>
      <c r="AC309" s="11" t="str">
        <f t="shared" si="1746"/>
        <v>22</v>
      </c>
      <c r="AD309" s="11" t="str">
        <f t="shared" si="1747"/>
        <v>10,090</v>
      </c>
      <c r="AE309" s="11">
        <f t="shared" si="1748"/>
        <v>0.36946944444444441</v>
      </c>
      <c r="AF309" s="14">
        <f t="shared" si="1749"/>
        <v>27.106436406558959</v>
      </c>
      <c r="AG309" s="41">
        <f t="shared" si="1750"/>
        <v>-100</v>
      </c>
      <c r="AH309" s="105">
        <f t="shared" si="1903"/>
        <v>20.3</v>
      </c>
      <c r="AI309" s="105">
        <f t="shared" si="1903"/>
        <v>1.5089999999999999</v>
      </c>
      <c r="AJ309" s="105">
        <f t="shared" si="1903"/>
        <v>1.504</v>
      </c>
      <c r="AK309" s="53">
        <f t="shared" si="1751"/>
        <v>0</v>
      </c>
      <c r="AL309" s="53"/>
      <c r="AM309" s="54">
        <f t="shared" ref="AM309:AN309" si="1964">AM308</f>
        <v>5.0129999999999999</v>
      </c>
      <c r="AN309" s="101" t="str">
        <f t="shared" si="1964"/>
        <v>17,59,050</v>
      </c>
      <c r="AO309" s="11" t="str">
        <f t="shared" si="1753"/>
        <v>17</v>
      </c>
      <c r="AP309" s="11" t="str">
        <f t="shared" si="1754"/>
        <v>59,050</v>
      </c>
      <c r="AQ309" s="11">
        <f t="shared" si="1755"/>
        <v>0.29973611111111109</v>
      </c>
      <c r="AR309" s="14">
        <f t="shared" si="1756"/>
        <v>16.724711551827998</v>
      </c>
      <c r="AS309" s="41">
        <f t="shared" si="1757"/>
        <v>-100</v>
      </c>
      <c r="AT309" s="43" t="str">
        <f t="shared" si="1758"/>
        <v>NO CONFORME</v>
      </c>
      <c r="AU309" s="8" t="b">
        <f t="shared" si="1680"/>
        <v>1</v>
      </c>
      <c r="AV309" s="8" t="b">
        <f t="shared" si="1681"/>
        <v>0</v>
      </c>
      <c r="AW309" s="8" t="b">
        <f t="shared" si="1682"/>
        <v>1</v>
      </c>
      <c r="AX309" s="8" t="str">
        <f t="shared" si="1683"/>
        <v>Qcorrecto</v>
      </c>
      <c r="AY309" s="22" t="str">
        <f t="shared" si="1663"/>
        <v>aceptable</v>
      </c>
      <c r="AZ309" s="22" t="str">
        <f t="shared" si="1664"/>
        <v>aceptable</v>
      </c>
      <c r="BA309" s="22" t="str">
        <f t="shared" si="1684"/>
        <v>aceptable</v>
      </c>
      <c r="BB309" s="25" t="str">
        <f t="shared" si="1685"/>
        <v>NO CONFORME</v>
      </c>
      <c r="BC309" s="5" t="str">
        <f t="shared" si="1686"/>
        <v>NO CONFORME</v>
      </c>
      <c r="BD309" s="15">
        <f t="shared" si="1665"/>
        <v>-1</v>
      </c>
      <c r="BE309" s="15">
        <f t="shared" si="1666"/>
        <v>-1</v>
      </c>
      <c r="BF309" s="15">
        <f t="shared" si="1667"/>
        <v>-1</v>
      </c>
      <c r="BG309" s="15" t="str">
        <f t="shared" si="1668"/>
        <v>-1-1-1</v>
      </c>
      <c r="BH309" s="15" t="str">
        <f t="shared" si="1669"/>
        <v>SD</v>
      </c>
      <c r="BI309" s="15" t="str">
        <f t="shared" si="1670"/>
        <v>SI</v>
      </c>
      <c r="BJ309" s="15" t="b">
        <f t="shared" si="1671"/>
        <v>1</v>
      </c>
      <c r="BK309" s="15" t="str">
        <f t="shared" si="1672"/>
        <v>SIGIGUALES</v>
      </c>
      <c r="BL309" s="22" t="str">
        <f t="shared" si="1673"/>
        <v>NO CONFORME</v>
      </c>
    </row>
    <row r="310" spans="1:64" ht="15.75" thickBot="1" x14ac:dyDescent="0.3">
      <c r="A310" s="37">
        <v>302</v>
      </c>
      <c r="B310" s="93">
        <f t="shared" ref="B310:E310" si="1965">B309</f>
        <v>45919</v>
      </c>
      <c r="C310" s="93">
        <f t="shared" si="1965"/>
        <v>45919</v>
      </c>
      <c r="D310" s="94">
        <f t="shared" si="1965"/>
        <v>6</v>
      </c>
      <c r="E310" s="95">
        <f t="shared" si="1965"/>
        <v>15</v>
      </c>
      <c r="F310" s="52"/>
      <c r="G310" s="96"/>
      <c r="H310" s="97">
        <f t="shared" ref="H310:L310" si="1966">H309</f>
        <v>25.6</v>
      </c>
      <c r="I310" s="98">
        <f t="shared" si="1966"/>
        <v>0</v>
      </c>
      <c r="J310" s="99">
        <f t="shared" si="1966"/>
        <v>20.9</v>
      </c>
      <c r="K310" s="99">
        <f t="shared" si="1966"/>
        <v>7.883</v>
      </c>
      <c r="L310" s="99">
        <f t="shared" si="1966"/>
        <v>0.55400000000000005</v>
      </c>
      <c r="M310" s="53"/>
      <c r="N310" s="53"/>
      <c r="O310" s="100">
        <f t="shared" ref="O310:P310" si="1967">O309</f>
        <v>100.62</v>
      </c>
      <c r="P310" s="101" t="str">
        <f t="shared" si="1967"/>
        <v>2,29,560</v>
      </c>
      <c r="Q310" s="11" t="str">
        <f t="shared" si="1739"/>
        <v>2</v>
      </c>
      <c r="R310" s="11" t="str">
        <f t="shared" si="1740"/>
        <v>29,560</v>
      </c>
      <c r="S310" s="11">
        <f t="shared" si="1741"/>
        <v>4.1544444444444446E-2</v>
      </c>
      <c r="T310" s="14">
        <f t="shared" si="1742"/>
        <v>2421.9844878309709</v>
      </c>
      <c r="U310" s="39">
        <f t="shared" si="1743"/>
        <v>-100</v>
      </c>
      <c r="V310" s="105">
        <f t="shared" ref="V310:W310" si="1968">V309</f>
        <v>20.399999999999999</v>
      </c>
      <c r="W310" s="105">
        <f t="shared" si="1968"/>
        <v>1.5069999999999999</v>
      </c>
      <c r="X310" s="106">
        <f t="shared" si="1895"/>
        <v>1.504</v>
      </c>
      <c r="Y310" s="53"/>
      <c r="Z310" s="53"/>
      <c r="AA310" s="107">
        <f t="shared" ref="AA310:AB310" si="1969">AA309</f>
        <v>10.015000000000001</v>
      </c>
      <c r="AB310" s="108" t="str">
        <f t="shared" si="1969"/>
        <v>22,10,090</v>
      </c>
      <c r="AC310" s="11" t="str">
        <f t="shared" si="1746"/>
        <v>22</v>
      </c>
      <c r="AD310" s="11" t="str">
        <f t="shared" si="1747"/>
        <v>10,090</v>
      </c>
      <c r="AE310" s="11">
        <f t="shared" si="1748"/>
        <v>0.36946944444444441</v>
      </c>
      <c r="AF310" s="14">
        <f t="shared" si="1749"/>
        <v>27.106436406558959</v>
      </c>
      <c r="AG310" s="41">
        <f t="shared" si="1750"/>
        <v>-100</v>
      </c>
      <c r="AH310" s="105">
        <f t="shared" si="1903"/>
        <v>20.3</v>
      </c>
      <c r="AI310" s="105">
        <f t="shared" si="1903"/>
        <v>1.5089999999999999</v>
      </c>
      <c r="AJ310" s="105">
        <f t="shared" si="1903"/>
        <v>1.504</v>
      </c>
      <c r="AK310" s="53">
        <f t="shared" si="1751"/>
        <v>0</v>
      </c>
      <c r="AL310" s="53"/>
      <c r="AM310" s="54">
        <f t="shared" ref="AM310:AN310" si="1970">AM309</f>
        <v>5.0129999999999999</v>
      </c>
      <c r="AN310" s="101" t="str">
        <f t="shared" si="1970"/>
        <v>17,59,050</v>
      </c>
      <c r="AO310" s="11" t="str">
        <f t="shared" si="1753"/>
        <v>17</v>
      </c>
      <c r="AP310" s="11" t="str">
        <f t="shared" si="1754"/>
        <v>59,050</v>
      </c>
      <c r="AQ310" s="11">
        <f t="shared" si="1755"/>
        <v>0.29973611111111109</v>
      </c>
      <c r="AR310" s="14">
        <f t="shared" si="1756"/>
        <v>16.724711551827998</v>
      </c>
      <c r="AS310" s="41">
        <f t="shared" si="1757"/>
        <v>-100</v>
      </c>
      <c r="AT310" s="43" t="str">
        <f t="shared" si="1758"/>
        <v>NO CONFORME</v>
      </c>
      <c r="AU310" s="8" t="b">
        <f t="shared" si="1680"/>
        <v>1</v>
      </c>
      <c r="AV310" s="8" t="b">
        <f t="shared" si="1681"/>
        <v>0</v>
      </c>
      <c r="AW310" s="8" t="b">
        <f t="shared" si="1682"/>
        <v>1</v>
      </c>
      <c r="AX310" s="8" t="str">
        <f t="shared" si="1683"/>
        <v>Qcorrecto</v>
      </c>
      <c r="AY310" s="22" t="str">
        <f t="shared" si="1663"/>
        <v>aceptable</v>
      </c>
      <c r="AZ310" s="22" t="str">
        <f t="shared" si="1664"/>
        <v>aceptable</v>
      </c>
      <c r="BA310" s="22" t="str">
        <f t="shared" si="1684"/>
        <v>aceptable</v>
      </c>
      <c r="BB310" s="25" t="str">
        <f t="shared" si="1685"/>
        <v>NO CONFORME</v>
      </c>
      <c r="BC310" s="5" t="str">
        <f t="shared" si="1686"/>
        <v>NO CONFORME</v>
      </c>
      <c r="BD310" s="15">
        <f t="shared" si="1665"/>
        <v>-1</v>
      </c>
      <c r="BE310" s="15">
        <f t="shared" si="1666"/>
        <v>-1</v>
      </c>
      <c r="BF310" s="15">
        <f t="shared" si="1667"/>
        <v>-1</v>
      </c>
      <c r="BG310" s="15" t="str">
        <f t="shared" si="1668"/>
        <v>-1-1-1</v>
      </c>
      <c r="BH310" s="15" t="str">
        <f t="shared" si="1669"/>
        <v>SD</v>
      </c>
      <c r="BI310" s="15" t="str">
        <f t="shared" si="1670"/>
        <v>SI</v>
      </c>
      <c r="BJ310" s="15" t="b">
        <f t="shared" si="1671"/>
        <v>1</v>
      </c>
      <c r="BK310" s="15" t="str">
        <f t="shared" si="1672"/>
        <v>SIGIGUALES</v>
      </c>
      <c r="BL310" s="22" t="str">
        <f t="shared" si="1673"/>
        <v>NO CONFORME</v>
      </c>
    </row>
    <row r="311" spans="1:64" ht="15.75" thickBot="1" x14ac:dyDescent="0.3">
      <c r="A311" s="37">
        <v>303</v>
      </c>
      <c r="B311" s="93">
        <f t="shared" ref="B311:E311" si="1971">B310</f>
        <v>45919</v>
      </c>
      <c r="C311" s="93">
        <f t="shared" si="1971"/>
        <v>45919</v>
      </c>
      <c r="D311" s="94">
        <f t="shared" si="1971"/>
        <v>6</v>
      </c>
      <c r="E311" s="95">
        <f t="shared" si="1971"/>
        <v>15</v>
      </c>
      <c r="F311" s="52"/>
      <c r="G311" s="96"/>
      <c r="H311" s="97">
        <f t="shared" ref="H311:L311" si="1972">H310</f>
        <v>25.6</v>
      </c>
      <c r="I311" s="98">
        <f t="shared" si="1972"/>
        <v>0</v>
      </c>
      <c r="J311" s="99">
        <f t="shared" si="1972"/>
        <v>20.9</v>
      </c>
      <c r="K311" s="99">
        <f t="shared" si="1972"/>
        <v>7.883</v>
      </c>
      <c r="L311" s="99">
        <f t="shared" si="1972"/>
        <v>0.55400000000000005</v>
      </c>
      <c r="M311" s="53"/>
      <c r="N311" s="53"/>
      <c r="O311" s="100">
        <f t="shared" ref="O311:P311" si="1973">O310</f>
        <v>100.62</v>
      </c>
      <c r="P311" s="101" t="str">
        <f t="shared" si="1973"/>
        <v>2,29,560</v>
      </c>
      <c r="Q311" s="11" t="str">
        <f t="shared" si="1739"/>
        <v>2</v>
      </c>
      <c r="R311" s="11" t="str">
        <f t="shared" si="1740"/>
        <v>29,560</v>
      </c>
      <c r="S311" s="11">
        <f t="shared" si="1741"/>
        <v>4.1544444444444446E-2</v>
      </c>
      <c r="T311" s="14">
        <f t="shared" si="1742"/>
        <v>2421.9844878309709</v>
      </c>
      <c r="U311" s="39">
        <f t="shared" si="1743"/>
        <v>-100</v>
      </c>
      <c r="V311" s="105">
        <f t="shared" ref="V311:W311" si="1974">V310</f>
        <v>20.399999999999999</v>
      </c>
      <c r="W311" s="105">
        <f t="shared" si="1974"/>
        <v>1.5069999999999999</v>
      </c>
      <c r="X311" s="106">
        <f t="shared" si="1895"/>
        <v>1.504</v>
      </c>
      <c r="Y311" s="53"/>
      <c r="Z311" s="53"/>
      <c r="AA311" s="107">
        <f t="shared" ref="AA311:AB311" si="1975">AA310</f>
        <v>10.015000000000001</v>
      </c>
      <c r="AB311" s="108" t="str">
        <f t="shared" si="1975"/>
        <v>22,10,090</v>
      </c>
      <c r="AC311" s="11" t="str">
        <f t="shared" si="1746"/>
        <v>22</v>
      </c>
      <c r="AD311" s="11" t="str">
        <f t="shared" si="1747"/>
        <v>10,090</v>
      </c>
      <c r="AE311" s="11">
        <f t="shared" si="1748"/>
        <v>0.36946944444444441</v>
      </c>
      <c r="AF311" s="14">
        <f t="shared" si="1749"/>
        <v>27.106436406558959</v>
      </c>
      <c r="AG311" s="41">
        <f t="shared" si="1750"/>
        <v>-100</v>
      </c>
      <c r="AH311" s="105">
        <f t="shared" si="1903"/>
        <v>20.3</v>
      </c>
      <c r="AI311" s="105">
        <f t="shared" si="1903"/>
        <v>1.5089999999999999</v>
      </c>
      <c r="AJ311" s="105">
        <f t="shared" si="1903"/>
        <v>1.504</v>
      </c>
      <c r="AK311" s="53">
        <f t="shared" si="1751"/>
        <v>0</v>
      </c>
      <c r="AL311" s="53"/>
      <c r="AM311" s="54">
        <f t="shared" ref="AM311:AN311" si="1976">AM310</f>
        <v>5.0129999999999999</v>
      </c>
      <c r="AN311" s="101" t="str">
        <f t="shared" si="1976"/>
        <v>17,59,050</v>
      </c>
      <c r="AO311" s="11" t="str">
        <f t="shared" si="1753"/>
        <v>17</v>
      </c>
      <c r="AP311" s="11" t="str">
        <f t="shared" si="1754"/>
        <v>59,050</v>
      </c>
      <c r="AQ311" s="11">
        <f t="shared" si="1755"/>
        <v>0.29973611111111109</v>
      </c>
      <c r="AR311" s="14">
        <f t="shared" si="1756"/>
        <v>16.724711551827998</v>
      </c>
      <c r="AS311" s="41">
        <f t="shared" si="1757"/>
        <v>-100</v>
      </c>
      <c r="AT311" s="43" t="str">
        <f t="shared" si="1758"/>
        <v>NO CONFORME</v>
      </c>
      <c r="AU311" s="8" t="b">
        <f t="shared" si="1680"/>
        <v>1</v>
      </c>
      <c r="AV311" s="8" t="b">
        <f t="shared" si="1681"/>
        <v>0</v>
      </c>
      <c r="AW311" s="8" t="b">
        <f t="shared" si="1682"/>
        <v>1</v>
      </c>
      <c r="AX311" s="8" t="str">
        <f t="shared" si="1683"/>
        <v>Qcorrecto</v>
      </c>
      <c r="AY311" s="22" t="str">
        <f t="shared" si="1663"/>
        <v>aceptable</v>
      </c>
      <c r="AZ311" s="22" t="str">
        <f t="shared" si="1664"/>
        <v>aceptable</v>
      </c>
      <c r="BA311" s="22" t="str">
        <f t="shared" si="1684"/>
        <v>aceptable</v>
      </c>
      <c r="BB311" s="25" t="str">
        <f t="shared" si="1685"/>
        <v>NO CONFORME</v>
      </c>
      <c r="BC311" s="5" t="str">
        <f t="shared" si="1686"/>
        <v>NO CONFORME</v>
      </c>
      <c r="BD311" s="15">
        <f t="shared" si="1665"/>
        <v>-1</v>
      </c>
      <c r="BE311" s="15">
        <f t="shared" si="1666"/>
        <v>-1</v>
      </c>
      <c r="BF311" s="15">
        <f t="shared" si="1667"/>
        <v>-1</v>
      </c>
      <c r="BG311" s="15" t="str">
        <f t="shared" si="1668"/>
        <v>-1-1-1</v>
      </c>
      <c r="BH311" s="15" t="str">
        <f t="shared" si="1669"/>
        <v>SD</v>
      </c>
      <c r="BI311" s="15" t="str">
        <f t="shared" si="1670"/>
        <v>SI</v>
      </c>
      <c r="BJ311" s="15" t="b">
        <f t="shared" si="1671"/>
        <v>1</v>
      </c>
      <c r="BK311" s="15" t="str">
        <f t="shared" si="1672"/>
        <v>SIGIGUALES</v>
      </c>
      <c r="BL311" s="22" t="str">
        <f t="shared" si="1673"/>
        <v>NO CONFORME</v>
      </c>
    </row>
    <row r="312" spans="1:64" ht="15.75" thickBot="1" x14ac:dyDescent="0.3">
      <c r="A312" s="37">
        <v>304</v>
      </c>
      <c r="B312" s="93">
        <f t="shared" ref="B312:E312" si="1977">B311</f>
        <v>45919</v>
      </c>
      <c r="C312" s="93">
        <f t="shared" si="1977"/>
        <v>45919</v>
      </c>
      <c r="D312" s="94">
        <f t="shared" si="1977"/>
        <v>6</v>
      </c>
      <c r="E312" s="95">
        <f t="shared" si="1977"/>
        <v>15</v>
      </c>
      <c r="F312" s="52"/>
      <c r="G312" s="96"/>
      <c r="H312" s="97">
        <f t="shared" ref="H312:L312" si="1978">H311</f>
        <v>25.6</v>
      </c>
      <c r="I312" s="98">
        <f t="shared" si="1978"/>
        <v>0</v>
      </c>
      <c r="J312" s="99">
        <f t="shared" si="1978"/>
        <v>20.9</v>
      </c>
      <c r="K312" s="99">
        <f t="shared" si="1978"/>
        <v>7.883</v>
      </c>
      <c r="L312" s="99">
        <f t="shared" si="1978"/>
        <v>0.55400000000000005</v>
      </c>
      <c r="M312" s="53"/>
      <c r="N312" s="53"/>
      <c r="O312" s="100">
        <f t="shared" ref="O312:P312" si="1979">O311</f>
        <v>100.62</v>
      </c>
      <c r="P312" s="101" t="str">
        <f t="shared" si="1979"/>
        <v>2,29,560</v>
      </c>
      <c r="Q312" s="11" t="str">
        <f t="shared" si="1739"/>
        <v>2</v>
      </c>
      <c r="R312" s="11" t="str">
        <f t="shared" si="1740"/>
        <v>29,560</v>
      </c>
      <c r="S312" s="11">
        <f t="shared" si="1741"/>
        <v>4.1544444444444446E-2</v>
      </c>
      <c r="T312" s="14">
        <f t="shared" si="1742"/>
        <v>2421.9844878309709</v>
      </c>
      <c r="U312" s="39">
        <f t="shared" si="1743"/>
        <v>-100</v>
      </c>
      <c r="V312" s="105">
        <f t="shared" ref="V312:W312" si="1980">V311</f>
        <v>20.399999999999999</v>
      </c>
      <c r="W312" s="105">
        <f t="shared" si="1980"/>
        <v>1.5069999999999999</v>
      </c>
      <c r="X312" s="106">
        <f t="shared" si="1895"/>
        <v>1.504</v>
      </c>
      <c r="Y312" s="53"/>
      <c r="Z312" s="53"/>
      <c r="AA312" s="107">
        <f t="shared" ref="AA312:AB312" si="1981">AA311</f>
        <v>10.015000000000001</v>
      </c>
      <c r="AB312" s="108" t="str">
        <f t="shared" si="1981"/>
        <v>22,10,090</v>
      </c>
      <c r="AC312" s="11" t="str">
        <f t="shared" si="1746"/>
        <v>22</v>
      </c>
      <c r="AD312" s="11" t="str">
        <f t="shared" si="1747"/>
        <v>10,090</v>
      </c>
      <c r="AE312" s="11">
        <f t="shared" si="1748"/>
        <v>0.36946944444444441</v>
      </c>
      <c r="AF312" s="14">
        <f t="shared" si="1749"/>
        <v>27.106436406558959</v>
      </c>
      <c r="AG312" s="41">
        <f t="shared" si="1750"/>
        <v>-100</v>
      </c>
      <c r="AH312" s="105">
        <f t="shared" si="1903"/>
        <v>20.3</v>
      </c>
      <c r="AI312" s="105">
        <f t="shared" si="1903"/>
        <v>1.5089999999999999</v>
      </c>
      <c r="AJ312" s="105">
        <f t="shared" si="1903"/>
        <v>1.504</v>
      </c>
      <c r="AK312" s="53">
        <f t="shared" si="1751"/>
        <v>0</v>
      </c>
      <c r="AL312" s="53"/>
      <c r="AM312" s="54">
        <f t="shared" ref="AM312:AN312" si="1982">AM311</f>
        <v>5.0129999999999999</v>
      </c>
      <c r="AN312" s="101" t="str">
        <f t="shared" si="1982"/>
        <v>17,59,050</v>
      </c>
      <c r="AO312" s="11" t="str">
        <f t="shared" si="1753"/>
        <v>17</v>
      </c>
      <c r="AP312" s="11" t="str">
        <f t="shared" si="1754"/>
        <v>59,050</v>
      </c>
      <c r="AQ312" s="11">
        <f t="shared" si="1755"/>
        <v>0.29973611111111109</v>
      </c>
      <c r="AR312" s="14">
        <f t="shared" si="1756"/>
        <v>16.724711551827998</v>
      </c>
      <c r="AS312" s="41">
        <f t="shared" si="1757"/>
        <v>-100</v>
      </c>
      <c r="AT312" s="43" t="str">
        <f t="shared" si="1758"/>
        <v>NO CONFORME</v>
      </c>
      <c r="AU312" s="8" t="b">
        <f t="shared" si="1680"/>
        <v>1</v>
      </c>
      <c r="AV312" s="8" t="b">
        <f t="shared" si="1681"/>
        <v>0</v>
      </c>
      <c r="AW312" s="8" t="b">
        <f t="shared" si="1682"/>
        <v>1</v>
      </c>
      <c r="AX312" s="8" t="str">
        <f t="shared" si="1683"/>
        <v>Qcorrecto</v>
      </c>
      <c r="AY312" s="22" t="str">
        <f t="shared" si="1663"/>
        <v>aceptable</v>
      </c>
      <c r="AZ312" s="22" t="str">
        <f t="shared" si="1664"/>
        <v>aceptable</v>
      </c>
      <c r="BA312" s="22" t="str">
        <f t="shared" si="1684"/>
        <v>aceptable</v>
      </c>
      <c r="BB312" s="25" t="str">
        <f t="shared" si="1685"/>
        <v>NO CONFORME</v>
      </c>
      <c r="BC312" s="5" t="str">
        <f t="shared" si="1686"/>
        <v>NO CONFORME</v>
      </c>
      <c r="BD312" s="15">
        <f t="shared" si="1665"/>
        <v>-1</v>
      </c>
      <c r="BE312" s="15">
        <f t="shared" si="1666"/>
        <v>-1</v>
      </c>
      <c r="BF312" s="15">
        <f t="shared" si="1667"/>
        <v>-1</v>
      </c>
      <c r="BG312" s="15" t="str">
        <f t="shared" si="1668"/>
        <v>-1-1-1</v>
      </c>
      <c r="BH312" s="15" t="str">
        <f t="shared" si="1669"/>
        <v>SD</v>
      </c>
      <c r="BI312" s="15" t="str">
        <f t="shared" si="1670"/>
        <v>SI</v>
      </c>
      <c r="BJ312" s="15" t="b">
        <f t="shared" si="1671"/>
        <v>1</v>
      </c>
      <c r="BK312" s="15" t="str">
        <f t="shared" si="1672"/>
        <v>SIGIGUALES</v>
      </c>
      <c r="BL312" s="22" t="str">
        <f t="shared" si="1673"/>
        <v>NO CONFORME</v>
      </c>
    </row>
    <row r="313" spans="1:64" ht="15.75" thickBot="1" x14ac:dyDescent="0.3">
      <c r="A313" s="37">
        <v>305</v>
      </c>
      <c r="B313" s="93">
        <f t="shared" ref="B313:E313" si="1983">B312</f>
        <v>45919</v>
      </c>
      <c r="C313" s="93">
        <f t="shared" si="1983"/>
        <v>45919</v>
      </c>
      <c r="D313" s="94">
        <f t="shared" si="1983"/>
        <v>6</v>
      </c>
      <c r="E313" s="95">
        <f t="shared" si="1983"/>
        <v>15</v>
      </c>
      <c r="F313" s="52"/>
      <c r="G313" s="96"/>
      <c r="H313" s="97">
        <f t="shared" ref="H313:L313" si="1984">H312</f>
        <v>25.6</v>
      </c>
      <c r="I313" s="98">
        <f t="shared" si="1984"/>
        <v>0</v>
      </c>
      <c r="J313" s="99">
        <f t="shared" si="1984"/>
        <v>20.9</v>
      </c>
      <c r="K313" s="99">
        <f t="shared" si="1984"/>
        <v>7.883</v>
      </c>
      <c r="L313" s="99">
        <f t="shared" si="1984"/>
        <v>0.55400000000000005</v>
      </c>
      <c r="M313" s="53"/>
      <c r="N313" s="53"/>
      <c r="O313" s="100">
        <f t="shared" ref="O313:P313" si="1985">O312</f>
        <v>100.62</v>
      </c>
      <c r="P313" s="101" t="str">
        <f t="shared" si="1985"/>
        <v>2,29,560</v>
      </c>
      <c r="Q313" s="11" t="str">
        <f t="shared" si="1739"/>
        <v>2</v>
      </c>
      <c r="R313" s="11" t="str">
        <f t="shared" si="1740"/>
        <v>29,560</v>
      </c>
      <c r="S313" s="11">
        <f t="shared" si="1741"/>
        <v>4.1544444444444446E-2</v>
      </c>
      <c r="T313" s="14">
        <f t="shared" si="1742"/>
        <v>2421.9844878309709</v>
      </c>
      <c r="U313" s="39">
        <f t="shared" si="1743"/>
        <v>-100</v>
      </c>
      <c r="V313" s="105">
        <f t="shared" ref="V313:W313" si="1986">V312</f>
        <v>20.399999999999999</v>
      </c>
      <c r="W313" s="105">
        <f t="shared" si="1986"/>
        <v>1.5069999999999999</v>
      </c>
      <c r="X313" s="106">
        <f t="shared" si="1895"/>
        <v>1.504</v>
      </c>
      <c r="Y313" s="53"/>
      <c r="Z313" s="53"/>
      <c r="AA313" s="107">
        <f t="shared" ref="AA313:AB313" si="1987">AA312</f>
        <v>10.015000000000001</v>
      </c>
      <c r="AB313" s="108" t="str">
        <f t="shared" si="1987"/>
        <v>22,10,090</v>
      </c>
      <c r="AC313" s="11" t="str">
        <f t="shared" si="1746"/>
        <v>22</v>
      </c>
      <c r="AD313" s="11" t="str">
        <f t="shared" si="1747"/>
        <v>10,090</v>
      </c>
      <c r="AE313" s="11">
        <f t="shared" si="1748"/>
        <v>0.36946944444444441</v>
      </c>
      <c r="AF313" s="14">
        <f t="shared" si="1749"/>
        <v>27.106436406558959</v>
      </c>
      <c r="AG313" s="41">
        <f t="shared" si="1750"/>
        <v>-100</v>
      </c>
      <c r="AH313" s="105">
        <f t="shared" si="1903"/>
        <v>20.3</v>
      </c>
      <c r="AI313" s="105">
        <f t="shared" si="1903"/>
        <v>1.5089999999999999</v>
      </c>
      <c r="AJ313" s="105">
        <f t="shared" si="1903"/>
        <v>1.504</v>
      </c>
      <c r="AK313" s="53">
        <f t="shared" si="1751"/>
        <v>0</v>
      </c>
      <c r="AL313" s="53"/>
      <c r="AM313" s="54">
        <f t="shared" ref="AM313:AN313" si="1988">AM312</f>
        <v>5.0129999999999999</v>
      </c>
      <c r="AN313" s="101" t="str">
        <f t="shared" si="1988"/>
        <v>17,59,050</v>
      </c>
      <c r="AO313" s="11" t="str">
        <f t="shared" si="1753"/>
        <v>17</v>
      </c>
      <c r="AP313" s="11" t="str">
        <f t="shared" si="1754"/>
        <v>59,050</v>
      </c>
      <c r="AQ313" s="11">
        <f t="shared" si="1755"/>
        <v>0.29973611111111109</v>
      </c>
      <c r="AR313" s="14">
        <f t="shared" si="1756"/>
        <v>16.724711551827998</v>
      </c>
      <c r="AS313" s="41">
        <f t="shared" si="1757"/>
        <v>-100</v>
      </c>
      <c r="AT313" s="43" t="str">
        <f t="shared" si="1758"/>
        <v>NO CONFORME</v>
      </c>
      <c r="AU313" s="8" t="b">
        <f t="shared" si="1680"/>
        <v>1</v>
      </c>
      <c r="AV313" s="8" t="b">
        <f t="shared" si="1681"/>
        <v>0</v>
      </c>
      <c r="AW313" s="8" t="b">
        <f t="shared" si="1682"/>
        <v>1</v>
      </c>
      <c r="AX313" s="8" t="str">
        <f t="shared" si="1683"/>
        <v>Qcorrecto</v>
      </c>
      <c r="AY313" s="22" t="str">
        <f t="shared" si="1663"/>
        <v>aceptable</v>
      </c>
      <c r="AZ313" s="22" t="str">
        <f t="shared" si="1664"/>
        <v>aceptable</v>
      </c>
      <c r="BA313" s="22" t="str">
        <f t="shared" si="1684"/>
        <v>aceptable</v>
      </c>
      <c r="BB313" s="25" t="str">
        <f t="shared" si="1685"/>
        <v>NO CONFORME</v>
      </c>
      <c r="BC313" s="5" t="str">
        <f t="shared" si="1686"/>
        <v>NO CONFORME</v>
      </c>
      <c r="BD313" s="15">
        <f t="shared" si="1665"/>
        <v>-1</v>
      </c>
      <c r="BE313" s="15">
        <f t="shared" si="1666"/>
        <v>-1</v>
      </c>
      <c r="BF313" s="15">
        <f t="shared" si="1667"/>
        <v>-1</v>
      </c>
      <c r="BG313" s="15" t="str">
        <f t="shared" si="1668"/>
        <v>-1-1-1</v>
      </c>
      <c r="BH313" s="15" t="str">
        <f t="shared" si="1669"/>
        <v>SD</v>
      </c>
      <c r="BI313" s="15" t="str">
        <f t="shared" si="1670"/>
        <v>SI</v>
      </c>
      <c r="BJ313" s="15" t="b">
        <f t="shared" si="1671"/>
        <v>1</v>
      </c>
      <c r="BK313" s="15" t="str">
        <f t="shared" si="1672"/>
        <v>SIGIGUALES</v>
      </c>
      <c r="BL313" s="22" t="str">
        <f t="shared" si="1673"/>
        <v>NO CONFORME</v>
      </c>
    </row>
    <row r="314" spans="1:64" ht="15.75" thickBot="1" x14ac:dyDescent="0.3">
      <c r="A314" s="37">
        <v>306</v>
      </c>
      <c r="B314" s="93">
        <f t="shared" ref="B314:E314" si="1989">B313</f>
        <v>45919</v>
      </c>
      <c r="C314" s="93">
        <f t="shared" si="1989"/>
        <v>45919</v>
      </c>
      <c r="D314" s="94">
        <f t="shared" si="1989"/>
        <v>6</v>
      </c>
      <c r="E314" s="95">
        <f t="shared" si="1989"/>
        <v>15</v>
      </c>
      <c r="F314" s="52"/>
      <c r="G314" s="96"/>
      <c r="H314" s="97">
        <f t="shared" ref="H314:L314" si="1990">H313</f>
        <v>25.6</v>
      </c>
      <c r="I314" s="98">
        <f t="shared" si="1990"/>
        <v>0</v>
      </c>
      <c r="J314" s="99">
        <f t="shared" si="1990"/>
        <v>20.9</v>
      </c>
      <c r="K314" s="99">
        <f t="shared" si="1990"/>
        <v>7.883</v>
      </c>
      <c r="L314" s="99">
        <f t="shared" si="1990"/>
        <v>0.55400000000000005</v>
      </c>
      <c r="M314" s="53"/>
      <c r="N314" s="53"/>
      <c r="O314" s="100">
        <f t="shared" ref="O314:P314" si="1991">O313</f>
        <v>100.62</v>
      </c>
      <c r="P314" s="101" t="str">
        <f t="shared" si="1991"/>
        <v>2,29,560</v>
      </c>
      <c r="Q314" s="11" t="str">
        <f t="shared" si="1739"/>
        <v>2</v>
      </c>
      <c r="R314" s="11" t="str">
        <f t="shared" si="1740"/>
        <v>29,560</v>
      </c>
      <c r="S314" s="11">
        <f t="shared" si="1741"/>
        <v>4.1544444444444446E-2</v>
      </c>
      <c r="T314" s="14">
        <f t="shared" si="1742"/>
        <v>2421.9844878309709</v>
      </c>
      <c r="U314" s="39">
        <f t="shared" si="1743"/>
        <v>-100</v>
      </c>
      <c r="V314" s="105">
        <f t="shared" ref="V314:X329" si="1992">V313</f>
        <v>20.399999999999999</v>
      </c>
      <c r="W314" s="105">
        <f t="shared" si="1992"/>
        <v>1.5069999999999999</v>
      </c>
      <c r="X314" s="106">
        <f t="shared" si="1992"/>
        <v>1.504</v>
      </c>
      <c r="Y314" s="53"/>
      <c r="Z314" s="53"/>
      <c r="AA314" s="107">
        <f t="shared" ref="AA314:AB314" si="1993">AA313</f>
        <v>10.015000000000001</v>
      </c>
      <c r="AB314" s="108" t="str">
        <f t="shared" si="1993"/>
        <v>22,10,090</v>
      </c>
      <c r="AC314" s="11" t="str">
        <f t="shared" si="1746"/>
        <v>22</v>
      </c>
      <c r="AD314" s="11" t="str">
        <f t="shared" si="1747"/>
        <v>10,090</v>
      </c>
      <c r="AE314" s="11">
        <f t="shared" si="1748"/>
        <v>0.36946944444444441</v>
      </c>
      <c r="AF314" s="14">
        <f t="shared" si="1749"/>
        <v>27.106436406558959</v>
      </c>
      <c r="AG314" s="41">
        <f t="shared" si="1750"/>
        <v>-100</v>
      </c>
      <c r="AH314" s="105">
        <f t="shared" si="1903"/>
        <v>20.3</v>
      </c>
      <c r="AI314" s="105">
        <f t="shared" si="1903"/>
        <v>1.5089999999999999</v>
      </c>
      <c r="AJ314" s="105">
        <f t="shared" si="1903"/>
        <v>1.504</v>
      </c>
      <c r="AK314" s="53">
        <f t="shared" si="1751"/>
        <v>0</v>
      </c>
      <c r="AL314" s="53"/>
      <c r="AM314" s="54">
        <f t="shared" ref="AM314:AN314" si="1994">AM313</f>
        <v>5.0129999999999999</v>
      </c>
      <c r="AN314" s="101" t="str">
        <f t="shared" si="1994"/>
        <v>17,59,050</v>
      </c>
      <c r="AO314" s="11" t="str">
        <f t="shared" si="1753"/>
        <v>17</v>
      </c>
      <c r="AP314" s="11" t="str">
        <f t="shared" si="1754"/>
        <v>59,050</v>
      </c>
      <c r="AQ314" s="11">
        <f t="shared" si="1755"/>
        <v>0.29973611111111109</v>
      </c>
      <c r="AR314" s="14">
        <f t="shared" si="1756"/>
        <v>16.724711551827998</v>
      </c>
      <c r="AS314" s="41">
        <f t="shared" si="1757"/>
        <v>-100</v>
      </c>
      <c r="AT314" s="43" t="str">
        <f t="shared" si="1758"/>
        <v>NO CONFORME</v>
      </c>
      <c r="AU314" s="8" t="b">
        <f t="shared" si="1680"/>
        <v>1</v>
      </c>
      <c r="AV314" s="8" t="b">
        <f t="shared" si="1681"/>
        <v>0</v>
      </c>
      <c r="AW314" s="8" t="b">
        <f t="shared" si="1682"/>
        <v>1</v>
      </c>
      <c r="AX314" s="8" t="str">
        <f t="shared" si="1683"/>
        <v>Qcorrecto</v>
      </c>
      <c r="AY314" s="22" t="str">
        <f t="shared" si="1663"/>
        <v>aceptable</v>
      </c>
      <c r="AZ314" s="22" t="str">
        <f t="shared" si="1664"/>
        <v>aceptable</v>
      </c>
      <c r="BA314" s="22" t="str">
        <f t="shared" si="1684"/>
        <v>aceptable</v>
      </c>
      <c r="BB314" s="25" t="str">
        <f t="shared" si="1685"/>
        <v>NO CONFORME</v>
      </c>
      <c r="BC314" s="5" t="str">
        <f t="shared" si="1686"/>
        <v>NO CONFORME</v>
      </c>
      <c r="BD314" s="15">
        <f t="shared" si="1665"/>
        <v>-1</v>
      </c>
      <c r="BE314" s="15">
        <f t="shared" si="1666"/>
        <v>-1</v>
      </c>
      <c r="BF314" s="15">
        <f t="shared" si="1667"/>
        <v>-1</v>
      </c>
      <c r="BG314" s="15" t="str">
        <f t="shared" si="1668"/>
        <v>-1-1-1</v>
      </c>
      <c r="BH314" s="15" t="str">
        <f t="shared" si="1669"/>
        <v>SD</v>
      </c>
      <c r="BI314" s="15" t="str">
        <f t="shared" si="1670"/>
        <v>SI</v>
      </c>
      <c r="BJ314" s="15" t="b">
        <f t="shared" si="1671"/>
        <v>1</v>
      </c>
      <c r="BK314" s="15" t="str">
        <f t="shared" si="1672"/>
        <v>SIGIGUALES</v>
      </c>
      <c r="BL314" s="22" t="str">
        <f t="shared" si="1673"/>
        <v>NO CONFORME</v>
      </c>
    </row>
    <row r="315" spans="1:64" ht="15.75" thickBot="1" x14ac:dyDescent="0.3">
      <c r="A315" s="37">
        <v>307</v>
      </c>
      <c r="B315" s="93">
        <f t="shared" ref="B315:E315" si="1995">B314</f>
        <v>45919</v>
      </c>
      <c r="C315" s="93">
        <f t="shared" si="1995"/>
        <v>45919</v>
      </c>
      <c r="D315" s="94">
        <f t="shared" si="1995"/>
        <v>6</v>
      </c>
      <c r="E315" s="95">
        <f t="shared" si="1995"/>
        <v>15</v>
      </c>
      <c r="F315" s="52"/>
      <c r="G315" s="96"/>
      <c r="H315" s="97">
        <f t="shared" ref="H315:L315" si="1996">H314</f>
        <v>25.6</v>
      </c>
      <c r="I315" s="98">
        <f t="shared" si="1996"/>
        <v>0</v>
      </c>
      <c r="J315" s="99">
        <f t="shared" si="1996"/>
        <v>20.9</v>
      </c>
      <c r="K315" s="99">
        <f t="shared" si="1996"/>
        <v>7.883</v>
      </c>
      <c r="L315" s="99">
        <f t="shared" si="1996"/>
        <v>0.55400000000000005</v>
      </c>
      <c r="M315" s="53"/>
      <c r="N315" s="53"/>
      <c r="O315" s="100">
        <f t="shared" ref="O315:P315" si="1997">O314</f>
        <v>100.62</v>
      </c>
      <c r="P315" s="101" t="str">
        <f t="shared" si="1997"/>
        <v>2,29,560</v>
      </c>
      <c r="Q315" s="11" t="str">
        <f t="shared" si="1739"/>
        <v>2</v>
      </c>
      <c r="R315" s="11" t="str">
        <f t="shared" si="1740"/>
        <v>29,560</v>
      </c>
      <c r="S315" s="11">
        <f t="shared" si="1741"/>
        <v>4.1544444444444446E-2</v>
      </c>
      <c r="T315" s="14">
        <f t="shared" si="1742"/>
        <v>2421.9844878309709</v>
      </c>
      <c r="U315" s="39">
        <f t="shared" si="1743"/>
        <v>-100</v>
      </c>
      <c r="V315" s="105">
        <f t="shared" ref="V315:W315" si="1998">V314</f>
        <v>20.399999999999999</v>
      </c>
      <c r="W315" s="105">
        <f t="shared" si="1998"/>
        <v>1.5069999999999999</v>
      </c>
      <c r="X315" s="106">
        <f t="shared" si="1992"/>
        <v>1.504</v>
      </c>
      <c r="Y315" s="53"/>
      <c r="Z315" s="53"/>
      <c r="AA315" s="107">
        <f t="shared" ref="AA315:AB315" si="1999">AA314</f>
        <v>10.015000000000001</v>
      </c>
      <c r="AB315" s="108" t="str">
        <f t="shared" si="1999"/>
        <v>22,10,090</v>
      </c>
      <c r="AC315" s="11" t="str">
        <f t="shared" si="1746"/>
        <v>22</v>
      </c>
      <c r="AD315" s="11" t="str">
        <f t="shared" si="1747"/>
        <v>10,090</v>
      </c>
      <c r="AE315" s="11">
        <f t="shared" si="1748"/>
        <v>0.36946944444444441</v>
      </c>
      <c r="AF315" s="14">
        <f t="shared" si="1749"/>
        <v>27.106436406558959</v>
      </c>
      <c r="AG315" s="41">
        <f t="shared" si="1750"/>
        <v>-100</v>
      </c>
      <c r="AH315" s="105">
        <f t="shared" ref="AH315:AJ330" si="2000">AH314</f>
        <v>20.3</v>
      </c>
      <c r="AI315" s="105">
        <f t="shared" si="2000"/>
        <v>1.5089999999999999</v>
      </c>
      <c r="AJ315" s="105">
        <f t="shared" si="2000"/>
        <v>1.504</v>
      </c>
      <c r="AK315" s="53">
        <f t="shared" si="1751"/>
        <v>0</v>
      </c>
      <c r="AL315" s="53"/>
      <c r="AM315" s="54">
        <f t="shared" ref="AM315:AN315" si="2001">AM314</f>
        <v>5.0129999999999999</v>
      </c>
      <c r="AN315" s="101" t="str">
        <f t="shared" si="2001"/>
        <v>17,59,050</v>
      </c>
      <c r="AO315" s="11" t="str">
        <f t="shared" si="1753"/>
        <v>17</v>
      </c>
      <c r="AP315" s="11" t="str">
        <f t="shared" si="1754"/>
        <v>59,050</v>
      </c>
      <c r="AQ315" s="11">
        <f t="shared" si="1755"/>
        <v>0.29973611111111109</v>
      </c>
      <c r="AR315" s="14">
        <f t="shared" si="1756"/>
        <v>16.724711551827998</v>
      </c>
      <c r="AS315" s="41">
        <f t="shared" si="1757"/>
        <v>-100</v>
      </c>
      <c r="AT315" s="43" t="str">
        <f t="shared" si="1758"/>
        <v>NO CONFORME</v>
      </c>
      <c r="AU315" s="8" t="b">
        <f t="shared" si="1680"/>
        <v>1</v>
      </c>
      <c r="AV315" s="8" t="b">
        <f t="shared" si="1681"/>
        <v>0</v>
      </c>
      <c r="AW315" s="8" t="b">
        <f t="shared" si="1682"/>
        <v>1</v>
      </c>
      <c r="AX315" s="8" t="str">
        <f t="shared" si="1683"/>
        <v>Qcorrecto</v>
      </c>
      <c r="AY315" s="22" t="str">
        <f t="shared" si="1663"/>
        <v>aceptable</v>
      </c>
      <c r="AZ315" s="22" t="str">
        <f t="shared" si="1664"/>
        <v>aceptable</v>
      </c>
      <c r="BA315" s="22" t="str">
        <f t="shared" si="1684"/>
        <v>aceptable</v>
      </c>
      <c r="BB315" s="25" t="str">
        <f t="shared" si="1685"/>
        <v>NO CONFORME</v>
      </c>
      <c r="BC315" s="5" t="str">
        <f t="shared" si="1686"/>
        <v>NO CONFORME</v>
      </c>
      <c r="BD315" s="15">
        <f t="shared" si="1665"/>
        <v>-1</v>
      </c>
      <c r="BE315" s="15">
        <f t="shared" si="1666"/>
        <v>-1</v>
      </c>
      <c r="BF315" s="15">
        <f t="shared" si="1667"/>
        <v>-1</v>
      </c>
      <c r="BG315" s="15" t="str">
        <f t="shared" si="1668"/>
        <v>-1-1-1</v>
      </c>
      <c r="BH315" s="15" t="str">
        <f t="shared" si="1669"/>
        <v>SD</v>
      </c>
      <c r="BI315" s="15" t="str">
        <f t="shared" si="1670"/>
        <v>SI</v>
      </c>
      <c r="BJ315" s="15" t="b">
        <f t="shared" si="1671"/>
        <v>1</v>
      </c>
      <c r="BK315" s="15" t="str">
        <f t="shared" si="1672"/>
        <v>SIGIGUALES</v>
      </c>
      <c r="BL315" s="22" t="str">
        <f t="shared" si="1673"/>
        <v>NO CONFORME</v>
      </c>
    </row>
    <row r="316" spans="1:64" ht="15.75" thickBot="1" x14ac:dyDescent="0.3">
      <c r="A316" s="37">
        <v>308</v>
      </c>
      <c r="B316" s="93">
        <f t="shared" ref="B316:E316" si="2002">B315</f>
        <v>45919</v>
      </c>
      <c r="C316" s="93">
        <f t="shared" si="2002"/>
        <v>45919</v>
      </c>
      <c r="D316" s="94">
        <f t="shared" si="2002"/>
        <v>6</v>
      </c>
      <c r="E316" s="95">
        <f t="shared" si="2002"/>
        <v>15</v>
      </c>
      <c r="F316" s="52"/>
      <c r="G316" s="96"/>
      <c r="H316" s="97">
        <f t="shared" ref="H316:L316" si="2003">H315</f>
        <v>25.6</v>
      </c>
      <c r="I316" s="98">
        <f t="shared" si="2003"/>
        <v>0</v>
      </c>
      <c r="J316" s="99">
        <f t="shared" si="2003"/>
        <v>20.9</v>
      </c>
      <c r="K316" s="99">
        <f t="shared" si="2003"/>
        <v>7.883</v>
      </c>
      <c r="L316" s="99">
        <f t="shared" si="2003"/>
        <v>0.55400000000000005</v>
      </c>
      <c r="M316" s="53"/>
      <c r="N316" s="53"/>
      <c r="O316" s="100">
        <f t="shared" ref="O316:P316" si="2004">O315</f>
        <v>100.62</v>
      </c>
      <c r="P316" s="101" t="str">
        <f t="shared" si="2004"/>
        <v>2,29,560</v>
      </c>
      <c r="Q316" s="11" t="str">
        <f t="shared" si="1739"/>
        <v>2</v>
      </c>
      <c r="R316" s="11" t="str">
        <f t="shared" si="1740"/>
        <v>29,560</v>
      </c>
      <c r="S316" s="11">
        <f t="shared" si="1741"/>
        <v>4.1544444444444446E-2</v>
      </c>
      <c r="T316" s="14">
        <f t="shared" si="1742"/>
        <v>2421.9844878309709</v>
      </c>
      <c r="U316" s="39">
        <f t="shared" si="1743"/>
        <v>-100</v>
      </c>
      <c r="V316" s="105">
        <f t="shared" ref="V316:W316" si="2005">V315</f>
        <v>20.399999999999999</v>
      </c>
      <c r="W316" s="105">
        <f t="shared" si="2005"/>
        <v>1.5069999999999999</v>
      </c>
      <c r="X316" s="106">
        <f t="shared" si="1992"/>
        <v>1.504</v>
      </c>
      <c r="Y316" s="53"/>
      <c r="Z316" s="53"/>
      <c r="AA316" s="107">
        <f t="shared" ref="AA316:AB316" si="2006">AA315</f>
        <v>10.015000000000001</v>
      </c>
      <c r="AB316" s="108" t="str">
        <f t="shared" si="2006"/>
        <v>22,10,090</v>
      </c>
      <c r="AC316" s="11" t="str">
        <f t="shared" si="1746"/>
        <v>22</v>
      </c>
      <c r="AD316" s="11" t="str">
        <f t="shared" si="1747"/>
        <v>10,090</v>
      </c>
      <c r="AE316" s="11">
        <f t="shared" si="1748"/>
        <v>0.36946944444444441</v>
      </c>
      <c r="AF316" s="14">
        <f t="shared" si="1749"/>
        <v>27.106436406558959</v>
      </c>
      <c r="AG316" s="41">
        <f t="shared" si="1750"/>
        <v>-100</v>
      </c>
      <c r="AH316" s="105">
        <f t="shared" si="2000"/>
        <v>20.3</v>
      </c>
      <c r="AI316" s="105">
        <f t="shared" si="2000"/>
        <v>1.5089999999999999</v>
      </c>
      <c r="AJ316" s="105">
        <f t="shared" si="2000"/>
        <v>1.504</v>
      </c>
      <c r="AK316" s="53">
        <f t="shared" si="1751"/>
        <v>0</v>
      </c>
      <c r="AL316" s="53"/>
      <c r="AM316" s="54">
        <f t="shared" ref="AM316:AN316" si="2007">AM315</f>
        <v>5.0129999999999999</v>
      </c>
      <c r="AN316" s="101" t="str">
        <f t="shared" si="2007"/>
        <v>17,59,050</v>
      </c>
      <c r="AO316" s="11" t="str">
        <f t="shared" si="1753"/>
        <v>17</v>
      </c>
      <c r="AP316" s="11" t="str">
        <f t="shared" si="1754"/>
        <v>59,050</v>
      </c>
      <c r="AQ316" s="11">
        <f t="shared" si="1755"/>
        <v>0.29973611111111109</v>
      </c>
      <c r="AR316" s="14">
        <f t="shared" si="1756"/>
        <v>16.724711551827998</v>
      </c>
      <c r="AS316" s="41">
        <f t="shared" si="1757"/>
        <v>-100</v>
      </c>
      <c r="AT316" s="43" t="str">
        <f t="shared" si="1758"/>
        <v>NO CONFORME</v>
      </c>
      <c r="AU316" s="8" t="b">
        <f t="shared" si="1680"/>
        <v>1</v>
      </c>
      <c r="AV316" s="8" t="b">
        <f t="shared" si="1681"/>
        <v>0</v>
      </c>
      <c r="AW316" s="8" t="b">
        <f t="shared" si="1682"/>
        <v>1</v>
      </c>
      <c r="AX316" s="8" t="str">
        <f t="shared" si="1683"/>
        <v>Qcorrecto</v>
      </c>
      <c r="AY316" s="22" t="str">
        <f t="shared" si="1663"/>
        <v>aceptable</v>
      </c>
      <c r="AZ316" s="22" t="str">
        <f t="shared" si="1664"/>
        <v>aceptable</v>
      </c>
      <c r="BA316" s="22" t="str">
        <f t="shared" si="1684"/>
        <v>aceptable</v>
      </c>
      <c r="BB316" s="25" t="str">
        <f t="shared" si="1685"/>
        <v>NO CONFORME</v>
      </c>
      <c r="BC316" s="5" t="str">
        <f t="shared" si="1686"/>
        <v>NO CONFORME</v>
      </c>
      <c r="BD316" s="15">
        <f t="shared" si="1665"/>
        <v>-1</v>
      </c>
      <c r="BE316" s="15">
        <f t="shared" si="1666"/>
        <v>-1</v>
      </c>
      <c r="BF316" s="15">
        <f t="shared" si="1667"/>
        <v>-1</v>
      </c>
      <c r="BG316" s="15" t="str">
        <f t="shared" si="1668"/>
        <v>-1-1-1</v>
      </c>
      <c r="BH316" s="15" t="str">
        <f t="shared" si="1669"/>
        <v>SD</v>
      </c>
      <c r="BI316" s="15" t="str">
        <f t="shared" si="1670"/>
        <v>SI</v>
      </c>
      <c r="BJ316" s="15" t="b">
        <f t="shared" si="1671"/>
        <v>1</v>
      </c>
      <c r="BK316" s="15" t="str">
        <f t="shared" si="1672"/>
        <v>SIGIGUALES</v>
      </c>
      <c r="BL316" s="22" t="str">
        <f t="shared" si="1673"/>
        <v>NO CONFORME</v>
      </c>
    </row>
    <row r="317" spans="1:64" ht="15.75" thickBot="1" x14ac:dyDescent="0.3">
      <c r="A317" s="37">
        <v>309</v>
      </c>
      <c r="B317" s="93">
        <f t="shared" ref="B317:E317" si="2008">B316</f>
        <v>45919</v>
      </c>
      <c r="C317" s="93">
        <f t="shared" si="2008"/>
        <v>45919</v>
      </c>
      <c r="D317" s="94">
        <f t="shared" si="2008"/>
        <v>6</v>
      </c>
      <c r="E317" s="95">
        <f t="shared" si="2008"/>
        <v>15</v>
      </c>
      <c r="F317" s="52"/>
      <c r="G317" s="96"/>
      <c r="H317" s="97">
        <f t="shared" ref="H317:L317" si="2009">H316</f>
        <v>25.6</v>
      </c>
      <c r="I317" s="98">
        <f t="shared" si="2009"/>
        <v>0</v>
      </c>
      <c r="J317" s="99">
        <f t="shared" si="2009"/>
        <v>20.9</v>
      </c>
      <c r="K317" s="99">
        <f t="shared" si="2009"/>
        <v>7.883</v>
      </c>
      <c r="L317" s="99">
        <f t="shared" si="2009"/>
        <v>0.55400000000000005</v>
      </c>
      <c r="M317" s="53"/>
      <c r="N317" s="53"/>
      <c r="O317" s="100">
        <f t="shared" ref="O317:P317" si="2010">O316</f>
        <v>100.62</v>
      </c>
      <c r="P317" s="101" t="str">
        <f t="shared" si="2010"/>
        <v>2,29,560</v>
      </c>
      <c r="Q317" s="11" t="str">
        <f t="shared" si="1739"/>
        <v>2</v>
      </c>
      <c r="R317" s="11" t="str">
        <f t="shared" si="1740"/>
        <v>29,560</v>
      </c>
      <c r="S317" s="11">
        <f t="shared" si="1741"/>
        <v>4.1544444444444446E-2</v>
      </c>
      <c r="T317" s="14">
        <f t="shared" si="1742"/>
        <v>2421.9844878309709</v>
      </c>
      <c r="U317" s="39">
        <f t="shared" si="1743"/>
        <v>-100</v>
      </c>
      <c r="V317" s="105">
        <f t="shared" ref="V317:W317" si="2011">V316</f>
        <v>20.399999999999999</v>
      </c>
      <c r="W317" s="105">
        <f t="shared" si="2011"/>
        <v>1.5069999999999999</v>
      </c>
      <c r="X317" s="106">
        <f t="shared" si="1992"/>
        <v>1.504</v>
      </c>
      <c r="Y317" s="53"/>
      <c r="Z317" s="53"/>
      <c r="AA317" s="107">
        <f t="shared" ref="AA317:AB317" si="2012">AA316</f>
        <v>10.015000000000001</v>
      </c>
      <c r="AB317" s="108" t="str">
        <f t="shared" si="2012"/>
        <v>22,10,090</v>
      </c>
      <c r="AC317" s="11" t="str">
        <f t="shared" si="1746"/>
        <v>22</v>
      </c>
      <c r="AD317" s="11" t="str">
        <f t="shared" si="1747"/>
        <v>10,090</v>
      </c>
      <c r="AE317" s="11">
        <f t="shared" si="1748"/>
        <v>0.36946944444444441</v>
      </c>
      <c r="AF317" s="14">
        <f t="shared" si="1749"/>
        <v>27.106436406558959</v>
      </c>
      <c r="AG317" s="41">
        <f t="shared" si="1750"/>
        <v>-100</v>
      </c>
      <c r="AH317" s="105">
        <f t="shared" si="2000"/>
        <v>20.3</v>
      </c>
      <c r="AI317" s="105">
        <f t="shared" si="2000"/>
        <v>1.5089999999999999</v>
      </c>
      <c r="AJ317" s="105">
        <f t="shared" si="2000"/>
        <v>1.504</v>
      </c>
      <c r="AK317" s="53">
        <f t="shared" si="1751"/>
        <v>0</v>
      </c>
      <c r="AL317" s="53"/>
      <c r="AM317" s="54">
        <f t="shared" ref="AM317:AN317" si="2013">AM316</f>
        <v>5.0129999999999999</v>
      </c>
      <c r="AN317" s="101" t="str">
        <f t="shared" si="2013"/>
        <v>17,59,050</v>
      </c>
      <c r="AO317" s="11" t="str">
        <f t="shared" si="1753"/>
        <v>17</v>
      </c>
      <c r="AP317" s="11" t="str">
        <f t="shared" si="1754"/>
        <v>59,050</v>
      </c>
      <c r="AQ317" s="11">
        <f t="shared" si="1755"/>
        <v>0.29973611111111109</v>
      </c>
      <c r="AR317" s="14">
        <f t="shared" si="1756"/>
        <v>16.724711551827998</v>
      </c>
      <c r="AS317" s="41">
        <f t="shared" si="1757"/>
        <v>-100</v>
      </c>
      <c r="AT317" s="43" t="str">
        <f t="shared" si="1758"/>
        <v>NO CONFORME</v>
      </c>
      <c r="AU317" s="8" t="b">
        <f t="shared" si="1680"/>
        <v>1</v>
      </c>
      <c r="AV317" s="8" t="b">
        <f t="shared" si="1681"/>
        <v>0</v>
      </c>
      <c r="AW317" s="8" t="b">
        <f t="shared" si="1682"/>
        <v>1</v>
      </c>
      <c r="AX317" s="8" t="str">
        <f t="shared" si="1683"/>
        <v>Qcorrecto</v>
      </c>
      <c r="AY317" s="22" t="str">
        <f t="shared" si="1663"/>
        <v>aceptable</v>
      </c>
      <c r="AZ317" s="22" t="str">
        <f t="shared" si="1664"/>
        <v>aceptable</v>
      </c>
      <c r="BA317" s="22" t="str">
        <f t="shared" si="1684"/>
        <v>aceptable</v>
      </c>
      <c r="BB317" s="25" t="str">
        <f t="shared" si="1685"/>
        <v>NO CONFORME</v>
      </c>
      <c r="BC317" s="5" t="str">
        <f t="shared" si="1686"/>
        <v>NO CONFORME</v>
      </c>
      <c r="BD317" s="15">
        <f t="shared" si="1665"/>
        <v>-1</v>
      </c>
      <c r="BE317" s="15">
        <f t="shared" si="1666"/>
        <v>-1</v>
      </c>
      <c r="BF317" s="15">
        <f t="shared" si="1667"/>
        <v>-1</v>
      </c>
      <c r="BG317" s="15" t="str">
        <f t="shared" si="1668"/>
        <v>-1-1-1</v>
      </c>
      <c r="BH317" s="15" t="str">
        <f t="shared" si="1669"/>
        <v>SD</v>
      </c>
      <c r="BI317" s="15" t="str">
        <f t="shared" si="1670"/>
        <v>SI</v>
      </c>
      <c r="BJ317" s="15" t="b">
        <f t="shared" si="1671"/>
        <v>1</v>
      </c>
      <c r="BK317" s="15" t="str">
        <f t="shared" si="1672"/>
        <v>SIGIGUALES</v>
      </c>
      <c r="BL317" s="22" t="str">
        <f t="shared" si="1673"/>
        <v>NO CONFORME</v>
      </c>
    </row>
    <row r="318" spans="1:64" ht="15.75" thickBot="1" x14ac:dyDescent="0.3">
      <c r="A318" s="37">
        <v>310</v>
      </c>
      <c r="B318" s="93">
        <f t="shared" ref="B318:E318" si="2014">B317</f>
        <v>45919</v>
      </c>
      <c r="C318" s="93">
        <f t="shared" si="2014"/>
        <v>45919</v>
      </c>
      <c r="D318" s="94">
        <f t="shared" si="2014"/>
        <v>6</v>
      </c>
      <c r="E318" s="95">
        <f t="shared" si="2014"/>
        <v>15</v>
      </c>
      <c r="F318" s="52"/>
      <c r="G318" s="96"/>
      <c r="H318" s="97">
        <f t="shared" ref="H318:L318" si="2015">H317</f>
        <v>25.6</v>
      </c>
      <c r="I318" s="98">
        <f t="shared" si="2015"/>
        <v>0</v>
      </c>
      <c r="J318" s="99">
        <f t="shared" si="2015"/>
        <v>20.9</v>
      </c>
      <c r="K318" s="99">
        <f t="shared" si="2015"/>
        <v>7.883</v>
      </c>
      <c r="L318" s="99">
        <f t="shared" si="2015"/>
        <v>0.55400000000000005</v>
      </c>
      <c r="M318" s="53"/>
      <c r="N318" s="53"/>
      <c r="O318" s="100">
        <f t="shared" ref="O318:P318" si="2016">O317</f>
        <v>100.62</v>
      </c>
      <c r="P318" s="101" t="str">
        <f t="shared" si="2016"/>
        <v>2,29,560</v>
      </c>
      <c r="Q318" s="11" t="str">
        <f t="shared" si="1739"/>
        <v>2</v>
      </c>
      <c r="R318" s="11" t="str">
        <f t="shared" si="1740"/>
        <v>29,560</v>
      </c>
      <c r="S318" s="11">
        <f t="shared" si="1741"/>
        <v>4.1544444444444446E-2</v>
      </c>
      <c r="T318" s="14">
        <f t="shared" si="1742"/>
        <v>2421.9844878309709</v>
      </c>
      <c r="U318" s="39">
        <f t="shared" si="1743"/>
        <v>-100</v>
      </c>
      <c r="V318" s="105">
        <f t="shared" ref="V318:W318" si="2017">V317</f>
        <v>20.399999999999999</v>
      </c>
      <c r="W318" s="105">
        <f t="shared" si="2017"/>
        <v>1.5069999999999999</v>
      </c>
      <c r="X318" s="106">
        <f t="shared" si="1992"/>
        <v>1.504</v>
      </c>
      <c r="Y318" s="53"/>
      <c r="Z318" s="53"/>
      <c r="AA318" s="107">
        <f t="shared" ref="AA318:AB318" si="2018">AA317</f>
        <v>10.015000000000001</v>
      </c>
      <c r="AB318" s="108" t="str">
        <f t="shared" si="2018"/>
        <v>22,10,090</v>
      </c>
      <c r="AC318" s="11" t="str">
        <f t="shared" si="1746"/>
        <v>22</v>
      </c>
      <c r="AD318" s="11" t="str">
        <f t="shared" si="1747"/>
        <v>10,090</v>
      </c>
      <c r="AE318" s="11">
        <f t="shared" si="1748"/>
        <v>0.36946944444444441</v>
      </c>
      <c r="AF318" s="14">
        <f t="shared" si="1749"/>
        <v>27.106436406558959</v>
      </c>
      <c r="AG318" s="41">
        <f t="shared" si="1750"/>
        <v>-100</v>
      </c>
      <c r="AH318" s="105">
        <f t="shared" si="2000"/>
        <v>20.3</v>
      </c>
      <c r="AI318" s="105">
        <f t="shared" si="2000"/>
        <v>1.5089999999999999</v>
      </c>
      <c r="AJ318" s="105">
        <f t="shared" si="2000"/>
        <v>1.504</v>
      </c>
      <c r="AK318" s="53">
        <f t="shared" si="1751"/>
        <v>0</v>
      </c>
      <c r="AL318" s="53"/>
      <c r="AM318" s="54">
        <f t="shared" ref="AM318:AN318" si="2019">AM317</f>
        <v>5.0129999999999999</v>
      </c>
      <c r="AN318" s="101" t="str">
        <f t="shared" si="2019"/>
        <v>17,59,050</v>
      </c>
      <c r="AO318" s="11" t="str">
        <f t="shared" si="1753"/>
        <v>17</v>
      </c>
      <c r="AP318" s="11" t="str">
        <f t="shared" si="1754"/>
        <v>59,050</v>
      </c>
      <c r="AQ318" s="11">
        <f t="shared" si="1755"/>
        <v>0.29973611111111109</v>
      </c>
      <c r="AR318" s="14">
        <f t="shared" si="1756"/>
        <v>16.724711551827998</v>
      </c>
      <c r="AS318" s="41">
        <f t="shared" si="1757"/>
        <v>-100</v>
      </c>
      <c r="AT318" s="43" t="str">
        <f t="shared" si="1758"/>
        <v>NO CONFORME</v>
      </c>
      <c r="AU318" s="8" t="b">
        <f t="shared" si="1680"/>
        <v>1</v>
      </c>
      <c r="AV318" s="8" t="b">
        <f t="shared" si="1681"/>
        <v>0</v>
      </c>
      <c r="AW318" s="8" t="b">
        <f t="shared" si="1682"/>
        <v>1</v>
      </c>
      <c r="AX318" s="8" t="str">
        <f t="shared" si="1683"/>
        <v>Qcorrecto</v>
      </c>
      <c r="AY318" s="22" t="str">
        <f t="shared" si="1663"/>
        <v>aceptable</v>
      </c>
      <c r="AZ318" s="22" t="str">
        <f t="shared" si="1664"/>
        <v>aceptable</v>
      </c>
      <c r="BA318" s="22" t="str">
        <f t="shared" si="1684"/>
        <v>aceptable</v>
      </c>
      <c r="BB318" s="25" t="str">
        <f t="shared" si="1685"/>
        <v>NO CONFORME</v>
      </c>
      <c r="BC318" s="5" t="str">
        <f t="shared" si="1686"/>
        <v>NO CONFORME</v>
      </c>
      <c r="BD318" s="15">
        <f t="shared" si="1665"/>
        <v>-1</v>
      </c>
      <c r="BE318" s="15">
        <f t="shared" si="1666"/>
        <v>-1</v>
      </c>
      <c r="BF318" s="15">
        <f t="shared" si="1667"/>
        <v>-1</v>
      </c>
      <c r="BG318" s="15" t="str">
        <f t="shared" si="1668"/>
        <v>-1-1-1</v>
      </c>
      <c r="BH318" s="15" t="str">
        <f t="shared" si="1669"/>
        <v>SD</v>
      </c>
      <c r="BI318" s="15" t="str">
        <f t="shared" si="1670"/>
        <v>SI</v>
      </c>
      <c r="BJ318" s="15" t="b">
        <f t="shared" si="1671"/>
        <v>1</v>
      </c>
      <c r="BK318" s="15" t="str">
        <f t="shared" si="1672"/>
        <v>SIGIGUALES</v>
      </c>
      <c r="BL318" s="22" t="str">
        <f t="shared" si="1673"/>
        <v>NO CONFORME</v>
      </c>
    </row>
    <row r="319" spans="1:64" ht="15.75" thickBot="1" x14ac:dyDescent="0.3">
      <c r="A319" s="37">
        <v>311</v>
      </c>
      <c r="B319" s="93">
        <f t="shared" ref="B319:E319" si="2020">B318</f>
        <v>45919</v>
      </c>
      <c r="C319" s="93">
        <f t="shared" si="2020"/>
        <v>45919</v>
      </c>
      <c r="D319" s="94">
        <f t="shared" si="2020"/>
        <v>6</v>
      </c>
      <c r="E319" s="95">
        <f t="shared" si="2020"/>
        <v>15</v>
      </c>
      <c r="F319" s="52"/>
      <c r="G319" s="96"/>
      <c r="H319" s="97">
        <f t="shared" ref="H319:L319" si="2021">H318</f>
        <v>25.6</v>
      </c>
      <c r="I319" s="98">
        <f t="shared" si="2021"/>
        <v>0</v>
      </c>
      <c r="J319" s="99">
        <f t="shared" si="2021"/>
        <v>20.9</v>
      </c>
      <c r="K319" s="99">
        <f t="shared" si="2021"/>
        <v>7.883</v>
      </c>
      <c r="L319" s="99">
        <f t="shared" si="2021"/>
        <v>0.55400000000000005</v>
      </c>
      <c r="M319" s="53"/>
      <c r="N319" s="53"/>
      <c r="O319" s="100">
        <f t="shared" ref="O319:P319" si="2022">O318</f>
        <v>100.62</v>
      </c>
      <c r="P319" s="101" t="str">
        <f t="shared" si="2022"/>
        <v>2,29,560</v>
      </c>
      <c r="Q319" s="11" t="str">
        <f t="shared" si="1739"/>
        <v>2</v>
      </c>
      <c r="R319" s="11" t="str">
        <f t="shared" si="1740"/>
        <v>29,560</v>
      </c>
      <c r="S319" s="11">
        <f t="shared" si="1741"/>
        <v>4.1544444444444446E-2</v>
      </c>
      <c r="T319" s="14">
        <f t="shared" si="1742"/>
        <v>2421.9844878309709</v>
      </c>
      <c r="U319" s="39">
        <f t="shared" si="1743"/>
        <v>-100</v>
      </c>
      <c r="V319" s="105">
        <f t="shared" ref="V319:W319" si="2023">V318</f>
        <v>20.399999999999999</v>
      </c>
      <c r="W319" s="105">
        <f t="shared" si="2023"/>
        <v>1.5069999999999999</v>
      </c>
      <c r="X319" s="106">
        <f t="shared" si="1992"/>
        <v>1.504</v>
      </c>
      <c r="Y319" s="53"/>
      <c r="Z319" s="53"/>
      <c r="AA319" s="107">
        <f t="shared" ref="AA319:AB319" si="2024">AA318</f>
        <v>10.015000000000001</v>
      </c>
      <c r="AB319" s="108" t="str">
        <f t="shared" si="2024"/>
        <v>22,10,090</v>
      </c>
      <c r="AC319" s="11" t="str">
        <f t="shared" si="1746"/>
        <v>22</v>
      </c>
      <c r="AD319" s="11" t="str">
        <f t="shared" si="1747"/>
        <v>10,090</v>
      </c>
      <c r="AE319" s="11">
        <f t="shared" si="1748"/>
        <v>0.36946944444444441</v>
      </c>
      <c r="AF319" s="14">
        <f t="shared" si="1749"/>
        <v>27.106436406558959</v>
      </c>
      <c r="AG319" s="41">
        <f t="shared" si="1750"/>
        <v>-100</v>
      </c>
      <c r="AH319" s="105">
        <f t="shared" si="2000"/>
        <v>20.3</v>
      </c>
      <c r="AI319" s="105">
        <f t="shared" si="2000"/>
        <v>1.5089999999999999</v>
      </c>
      <c r="AJ319" s="105">
        <f t="shared" si="2000"/>
        <v>1.504</v>
      </c>
      <c r="AK319" s="53">
        <f t="shared" si="1751"/>
        <v>0</v>
      </c>
      <c r="AL319" s="53"/>
      <c r="AM319" s="54">
        <f t="shared" ref="AM319:AN319" si="2025">AM318</f>
        <v>5.0129999999999999</v>
      </c>
      <c r="AN319" s="101" t="str">
        <f t="shared" si="2025"/>
        <v>17,59,050</v>
      </c>
      <c r="AO319" s="11" t="str">
        <f t="shared" si="1753"/>
        <v>17</v>
      </c>
      <c r="AP319" s="11" t="str">
        <f t="shared" si="1754"/>
        <v>59,050</v>
      </c>
      <c r="AQ319" s="11">
        <f t="shared" si="1755"/>
        <v>0.29973611111111109</v>
      </c>
      <c r="AR319" s="14">
        <f t="shared" si="1756"/>
        <v>16.724711551827998</v>
      </c>
      <c r="AS319" s="41">
        <f t="shared" si="1757"/>
        <v>-100</v>
      </c>
      <c r="AT319" s="43" t="str">
        <f t="shared" si="1758"/>
        <v>NO CONFORME</v>
      </c>
      <c r="AU319" s="8" t="b">
        <f t="shared" si="1680"/>
        <v>1</v>
      </c>
      <c r="AV319" s="8" t="b">
        <f t="shared" si="1681"/>
        <v>0</v>
      </c>
      <c r="AW319" s="8" t="b">
        <f t="shared" si="1682"/>
        <v>1</v>
      </c>
      <c r="AX319" s="8" t="str">
        <f t="shared" si="1683"/>
        <v>Qcorrecto</v>
      </c>
      <c r="AY319" s="22" t="str">
        <f t="shared" si="1663"/>
        <v>aceptable</v>
      </c>
      <c r="AZ319" s="22" t="str">
        <f t="shared" si="1664"/>
        <v>aceptable</v>
      </c>
      <c r="BA319" s="22" t="str">
        <f t="shared" si="1684"/>
        <v>aceptable</v>
      </c>
      <c r="BB319" s="25" t="str">
        <f t="shared" si="1685"/>
        <v>NO CONFORME</v>
      </c>
      <c r="BC319" s="5" t="str">
        <f t="shared" si="1686"/>
        <v>NO CONFORME</v>
      </c>
      <c r="BD319" s="15">
        <f t="shared" si="1665"/>
        <v>-1</v>
      </c>
      <c r="BE319" s="15">
        <f t="shared" si="1666"/>
        <v>-1</v>
      </c>
      <c r="BF319" s="15">
        <f t="shared" si="1667"/>
        <v>-1</v>
      </c>
      <c r="BG319" s="15" t="str">
        <f t="shared" si="1668"/>
        <v>-1-1-1</v>
      </c>
      <c r="BH319" s="15" t="str">
        <f t="shared" si="1669"/>
        <v>SD</v>
      </c>
      <c r="BI319" s="15" t="str">
        <f t="shared" si="1670"/>
        <v>SI</v>
      </c>
      <c r="BJ319" s="15" t="b">
        <f t="shared" si="1671"/>
        <v>1</v>
      </c>
      <c r="BK319" s="15" t="str">
        <f t="shared" si="1672"/>
        <v>SIGIGUALES</v>
      </c>
      <c r="BL319" s="22" t="str">
        <f t="shared" si="1673"/>
        <v>NO CONFORME</v>
      </c>
    </row>
    <row r="320" spans="1:64" ht="15.75" thickBot="1" x14ac:dyDescent="0.3">
      <c r="A320" s="37">
        <v>312</v>
      </c>
      <c r="B320" s="93">
        <f t="shared" ref="B320:E320" si="2026">B319</f>
        <v>45919</v>
      </c>
      <c r="C320" s="93">
        <f t="shared" si="2026"/>
        <v>45919</v>
      </c>
      <c r="D320" s="94">
        <f t="shared" si="2026"/>
        <v>6</v>
      </c>
      <c r="E320" s="95">
        <f t="shared" si="2026"/>
        <v>15</v>
      </c>
      <c r="F320" s="52"/>
      <c r="G320" s="96"/>
      <c r="H320" s="97">
        <f t="shared" ref="H320:L320" si="2027">H319</f>
        <v>25.6</v>
      </c>
      <c r="I320" s="98">
        <f t="shared" si="2027"/>
        <v>0</v>
      </c>
      <c r="J320" s="99">
        <f t="shared" si="2027"/>
        <v>20.9</v>
      </c>
      <c r="K320" s="99">
        <f t="shared" si="2027"/>
        <v>7.883</v>
      </c>
      <c r="L320" s="99">
        <f t="shared" si="2027"/>
        <v>0.55400000000000005</v>
      </c>
      <c r="M320" s="53"/>
      <c r="N320" s="53"/>
      <c r="O320" s="100">
        <f t="shared" ref="O320:P320" si="2028">O319</f>
        <v>100.62</v>
      </c>
      <c r="P320" s="101" t="str">
        <f t="shared" si="2028"/>
        <v>2,29,560</v>
      </c>
      <c r="Q320" s="11" t="str">
        <f t="shared" si="1739"/>
        <v>2</v>
      </c>
      <c r="R320" s="11" t="str">
        <f t="shared" si="1740"/>
        <v>29,560</v>
      </c>
      <c r="S320" s="11">
        <f t="shared" si="1741"/>
        <v>4.1544444444444446E-2</v>
      </c>
      <c r="T320" s="14">
        <f t="shared" si="1742"/>
        <v>2421.9844878309709</v>
      </c>
      <c r="U320" s="39">
        <f t="shared" si="1743"/>
        <v>-100</v>
      </c>
      <c r="V320" s="105">
        <f t="shared" ref="V320:W320" si="2029">V319</f>
        <v>20.399999999999999</v>
      </c>
      <c r="W320" s="105">
        <f t="shared" si="2029"/>
        <v>1.5069999999999999</v>
      </c>
      <c r="X320" s="106">
        <f t="shared" si="1992"/>
        <v>1.504</v>
      </c>
      <c r="Y320" s="53"/>
      <c r="Z320" s="53"/>
      <c r="AA320" s="107">
        <f t="shared" ref="AA320:AB320" si="2030">AA319</f>
        <v>10.015000000000001</v>
      </c>
      <c r="AB320" s="108" t="str">
        <f t="shared" si="2030"/>
        <v>22,10,090</v>
      </c>
      <c r="AC320" s="11" t="str">
        <f t="shared" si="1746"/>
        <v>22</v>
      </c>
      <c r="AD320" s="11" t="str">
        <f t="shared" si="1747"/>
        <v>10,090</v>
      </c>
      <c r="AE320" s="11">
        <f t="shared" si="1748"/>
        <v>0.36946944444444441</v>
      </c>
      <c r="AF320" s="14">
        <f t="shared" si="1749"/>
        <v>27.106436406558959</v>
      </c>
      <c r="AG320" s="41">
        <f t="shared" si="1750"/>
        <v>-100</v>
      </c>
      <c r="AH320" s="105">
        <f t="shared" si="2000"/>
        <v>20.3</v>
      </c>
      <c r="AI320" s="105">
        <f t="shared" si="2000"/>
        <v>1.5089999999999999</v>
      </c>
      <c r="AJ320" s="105">
        <f t="shared" si="2000"/>
        <v>1.504</v>
      </c>
      <c r="AK320" s="53">
        <f t="shared" si="1751"/>
        <v>0</v>
      </c>
      <c r="AL320" s="53"/>
      <c r="AM320" s="54">
        <f t="shared" ref="AM320:AN320" si="2031">AM319</f>
        <v>5.0129999999999999</v>
      </c>
      <c r="AN320" s="101" t="str">
        <f t="shared" si="2031"/>
        <v>17,59,050</v>
      </c>
      <c r="AO320" s="11" t="str">
        <f t="shared" si="1753"/>
        <v>17</v>
      </c>
      <c r="AP320" s="11" t="str">
        <f t="shared" si="1754"/>
        <v>59,050</v>
      </c>
      <c r="AQ320" s="11">
        <f t="shared" si="1755"/>
        <v>0.29973611111111109</v>
      </c>
      <c r="AR320" s="14">
        <f t="shared" si="1756"/>
        <v>16.724711551827998</v>
      </c>
      <c r="AS320" s="41">
        <f t="shared" si="1757"/>
        <v>-100</v>
      </c>
      <c r="AT320" s="43" t="str">
        <f t="shared" si="1758"/>
        <v>NO CONFORME</v>
      </c>
      <c r="AU320" s="8" t="b">
        <f t="shared" si="1680"/>
        <v>1</v>
      </c>
      <c r="AV320" s="8" t="b">
        <f t="shared" si="1681"/>
        <v>0</v>
      </c>
      <c r="AW320" s="8" t="b">
        <f t="shared" si="1682"/>
        <v>1</v>
      </c>
      <c r="AX320" s="8" t="str">
        <f t="shared" si="1683"/>
        <v>Qcorrecto</v>
      </c>
      <c r="AY320" s="22" t="str">
        <f t="shared" si="1663"/>
        <v>aceptable</v>
      </c>
      <c r="AZ320" s="22" t="str">
        <f t="shared" si="1664"/>
        <v>aceptable</v>
      </c>
      <c r="BA320" s="22" t="str">
        <f t="shared" si="1684"/>
        <v>aceptable</v>
      </c>
      <c r="BB320" s="25" t="str">
        <f t="shared" si="1685"/>
        <v>NO CONFORME</v>
      </c>
      <c r="BC320" s="5" t="str">
        <f t="shared" si="1686"/>
        <v>NO CONFORME</v>
      </c>
      <c r="BD320" s="15">
        <f t="shared" si="1665"/>
        <v>-1</v>
      </c>
      <c r="BE320" s="15">
        <f t="shared" si="1666"/>
        <v>-1</v>
      </c>
      <c r="BF320" s="15">
        <f t="shared" si="1667"/>
        <v>-1</v>
      </c>
      <c r="BG320" s="15" t="str">
        <f t="shared" si="1668"/>
        <v>-1-1-1</v>
      </c>
      <c r="BH320" s="15" t="str">
        <f t="shared" si="1669"/>
        <v>SD</v>
      </c>
      <c r="BI320" s="15" t="str">
        <f t="shared" si="1670"/>
        <v>SI</v>
      </c>
      <c r="BJ320" s="15" t="b">
        <f t="shared" si="1671"/>
        <v>1</v>
      </c>
      <c r="BK320" s="15" t="str">
        <f t="shared" si="1672"/>
        <v>SIGIGUALES</v>
      </c>
      <c r="BL320" s="22" t="str">
        <f t="shared" si="1673"/>
        <v>NO CONFORME</v>
      </c>
    </row>
    <row r="321" spans="1:64" ht="15.75" thickBot="1" x14ac:dyDescent="0.3">
      <c r="A321" s="37">
        <v>313</v>
      </c>
      <c r="B321" s="93">
        <f t="shared" ref="B321:E321" si="2032">B320</f>
        <v>45919</v>
      </c>
      <c r="C321" s="93">
        <f t="shared" si="2032"/>
        <v>45919</v>
      </c>
      <c r="D321" s="94">
        <f t="shared" si="2032"/>
        <v>6</v>
      </c>
      <c r="E321" s="95">
        <f t="shared" si="2032"/>
        <v>15</v>
      </c>
      <c r="F321" s="52"/>
      <c r="G321" s="96"/>
      <c r="H321" s="97">
        <f t="shared" ref="H321:L321" si="2033">H320</f>
        <v>25.6</v>
      </c>
      <c r="I321" s="98">
        <f t="shared" si="2033"/>
        <v>0</v>
      </c>
      <c r="J321" s="99">
        <f t="shared" si="2033"/>
        <v>20.9</v>
      </c>
      <c r="K321" s="99">
        <f t="shared" si="2033"/>
        <v>7.883</v>
      </c>
      <c r="L321" s="99">
        <f t="shared" si="2033"/>
        <v>0.55400000000000005</v>
      </c>
      <c r="M321" s="53"/>
      <c r="N321" s="53"/>
      <c r="O321" s="100">
        <f t="shared" ref="O321:P321" si="2034">O320</f>
        <v>100.62</v>
      </c>
      <c r="P321" s="101" t="str">
        <f t="shared" si="2034"/>
        <v>2,29,560</v>
      </c>
      <c r="Q321" s="11" t="str">
        <f t="shared" si="1739"/>
        <v>2</v>
      </c>
      <c r="R321" s="11" t="str">
        <f t="shared" si="1740"/>
        <v>29,560</v>
      </c>
      <c r="S321" s="11">
        <f t="shared" si="1741"/>
        <v>4.1544444444444446E-2</v>
      </c>
      <c r="T321" s="14">
        <f t="shared" si="1742"/>
        <v>2421.9844878309709</v>
      </c>
      <c r="U321" s="39">
        <f t="shared" si="1743"/>
        <v>-100</v>
      </c>
      <c r="V321" s="105">
        <f t="shared" ref="V321:W321" si="2035">V320</f>
        <v>20.399999999999999</v>
      </c>
      <c r="W321" s="105">
        <f t="shared" si="2035"/>
        <v>1.5069999999999999</v>
      </c>
      <c r="X321" s="106">
        <f t="shared" si="1992"/>
        <v>1.504</v>
      </c>
      <c r="Y321" s="53"/>
      <c r="Z321" s="53"/>
      <c r="AA321" s="107">
        <f t="shared" ref="AA321:AB321" si="2036">AA320</f>
        <v>10.015000000000001</v>
      </c>
      <c r="AB321" s="108" t="str">
        <f t="shared" si="2036"/>
        <v>22,10,090</v>
      </c>
      <c r="AC321" s="11" t="str">
        <f t="shared" si="1746"/>
        <v>22</v>
      </c>
      <c r="AD321" s="11" t="str">
        <f t="shared" si="1747"/>
        <v>10,090</v>
      </c>
      <c r="AE321" s="11">
        <f t="shared" si="1748"/>
        <v>0.36946944444444441</v>
      </c>
      <c r="AF321" s="14">
        <f t="shared" si="1749"/>
        <v>27.106436406558959</v>
      </c>
      <c r="AG321" s="41">
        <f t="shared" si="1750"/>
        <v>-100</v>
      </c>
      <c r="AH321" s="105">
        <f t="shared" si="2000"/>
        <v>20.3</v>
      </c>
      <c r="AI321" s="105">
        <f t="shared" si="2000"/>
        <v>1.5089999999999999</v>
      </c>
      <c r="AJ321" s="105">
        <f t="shared" si="2000"/>
        <v>1.504</v>
      </c>
      <c r="AK321" s="53">
        <f t="shared" si="1751"/>
        <v>0</v>
      </c>
      <c r="AL321" s="53"/>
      <c r="AM321" s="54">
        <f t="shared" ref="AM321:AN321" si="2037">AM320</f>
        <v>5.0129999999999999</v>
      </c>
      <c r="AN321" s="101" t="str">
        <f t="shared" si="2037"/>
        <v>17,59,050</v>
      </c>
      <c r="AO321" s="11" t="str">
        <f t="shared" si="1753"/>
        <v>17</v>
      </c>
      <c r="AP321" s="11" t="str">
        <f t="shared" si="1754"/>
        <v>59,050</v>
      </c>
      <c r="AQ321" s="11">
        <f t="shared" si="1755"/>
        <v>0.29973611111111109</v>
      </c>
      <c r="AR321" s="14">
        <f t="shared" si="1756"/>
        <v>16.724711551827998</v>
      </c>
      <c r="AS321" s="41">
        <f t="shared" si="1757"/>
        <v>-100</v>
      </c>
      <c r="AT321" s="43" t="str">
        <f t="shared" si="1758"/>
        <v>NO CONFORME</v>
      </c>
      <c r="AU321" s="8" t="b">
        <f t="shared" si="1680"/>
        <v>1</v>
      </c>
      <c r="AV321" s="8" t="b">
        <f t="shared" si="1681"/>
        <v>0</v>
      </c>
      <c r="AW321" s="8" t="b">
        <f t="shared" si="1682"/>
        <v>1</v>
      </c>
      <c r="AX321" s="8" t="str">
        <f t="shared" si="1683"/>
        <v>Qcorrecto</v>
      </c>
      <c r="AY321" s="22" t="str">
        <f t="shared" si="1663"/>
        <v>aceptable</v>
      </c>
      <c r="AZ321" s="22" t="str">
        <f t="shared" si="1664"/>
        <v>aceptable</v>
      </c>
      <c r="BA321" s="22" t="str">
        <f t="shared" si="1684"/>
        <v>aceptable</v>
      </c>
      <c r="BB321" s="25" t="str">
        <f t="shared" si="1685"/>
        <v>NO CONFORME</v>
      </c>
      <c r="BC321" s="5" t="str">
        <f t="shared" si="1686"/>
        <v>NO CONFORME</v>
      </c>
      <c r="BD321" s="15">
        <f t="shared" si="1665"/>
        <v>-1</v>
      </c>
      <c r="BE321" s="15">
        <f t="shared" si="1666"/>
        <v>-1</v>
      </c>
      <c r="BF321" s="15">
        <f t="shared" si="1667"/>
        <v>-1</v>
      </c>
      <c r="BG321" s="15" t="str">
        <f t="shared" si="1668"/>
        <v>-1-1-1</v>
      </c>
      <c r="BH321" s="15" t="str">
        <f t="shared" si="1669"/>
        <v>SD</v>
      </c>
      <c r="BI321" s="15" t="str">
        <f t="shared" si="1670"/>
        <v>SI</v>
      </c>
      <c r="BJ321" s="15" t="b">
        <f t="shared" si="1671"/>
        <v>1</v>
      </c>
      <c r="BK321" s="15" t="str">
        <f t="shared" si="1672"/>
        <v>SIGIGUALES</v>
      </c>
      <c r="BL321" s="22" t="str">
        <f t="shared" si="1673"/>
        <v>NO CONFORME</v>
      </c>
    </row>
    <row r="322" spans="1:64" ht="15.75" thickBot="1" x14ac:dyDescent="0.3">
      <c r="A322" s="37">
        <v>314</v>
      </c>
      <c r="B322" s="93">
        <f t="shared" ref="B322:E322" si="2038">B321</f>
        <v>45919</v>
      </c>
      <c r="C322" s="93">
        <f t="shared" si="2038"/>
        <v>45919</v>
      </c>
      <c r="D322" s="94">
        <f t="shared" si="2038"/>
        <v>6</v>
      </c>
      <c r="E322" s="95">
        <f t="shared" si="2038"/>
        <v>15</v>
      </c>
      <c r="F322" s="52"/>
      <c r="G322" s="96"/>
      <c r="H322" s="97">
        <f t="shared" ref="H322:L322" si="2039">H321</f>
        <v>25.6</v>
      </c>
      <c r="I322" s="98">
        <f t="shared" si="2039"/>
        <v>0</v>
      </c>
      <c r="J322" s="99">
        <f t="shared" si="2039"/>
        <v>20.9</v>
      </c>
      <c r="K322" s="99">
        <f t="shared" si="2039"/>
        <v>7.883</v>
      </c>
      <c r="L322" s="99">
        <f t="shared" si="2039"/>
        <v>0.55400000000000005</v>
      </c>
      <c r="M322" s="53"/>
      <c r="N322" s="53"/>
      <c r="O322" s="100">
        <f t="shared" ref="O322:P322" si="2040">O321</f>
        <v>100.62</v>
      </c>
      <c r="P322" s="101" t="str">
        <f t="shared" si="2040"/>
        <v>2,29,560</v>
      </c>
      <c r="Q322" s="11" t="str">
        <f t="shared" si="1739"/>
        <v>2</v>
      </c>
      <c r="R322" s="11" t="str">
        <f t="shared" si="1740"/>
        <v>29,560</v>
      </c>
      <c r="S322" s="11">
        <f t="shared" si="1741"/>
        <v>4.1544444444444446E-2</v>
      </c>
      <c r="T322" s="14">
        <f t="shared" si="1742"/>
        <v>2421.9844878309709</v>
      </c>
      <c r="U322" s="39">
        <f t="shared" si="1743"/>
        <v>-100</v>
      </c>
      <c r="V322" s="105">
        <f t="shared" ref="V322:W322" si="2041">V321</f>
        <v>20.399999999999999</v>
      </c>
      <c r="W322" s="105">
        <f t="shared" si="2041"/>
        <v>1.5069999999999999</v>
      </c>
      <c r="X322" s="106">
        <f t="shared" si="1992"/>
        <v>1.504</v>
      </c>
      <c r="Y322" s="53"/>
      <c r="Z322" s="53"/>
      <c r="AA322" s="107">
        <f t="shared" ref="AA322:AB322" si="2042">AA321</f>
        <v>10.015000000000001</v>
      </c>
      <c r="AB322" s="108" t="str">
        <f t="shared" si="2042"/>
        <v>22,10,090</v>
      </c>
      <c r="AC322" s="11" t="str">
        <f t="shared" si="1746"/>
        <v>22</v>
      </c>
      <c r="AD322" s="11" t="str">
        <f t="shared" si="1747"/>
        <v>10,090</v>
      </c>
      <c r="AE322" s="11">
        <f t="shared" si="1748"/>
        <v>0.36946944444444441</v>
      </c>
      <c r="AF322" s="14">
        <f t="shared" si="1749"/>
        <v>27.106436406558959</v>
      </c>
      <c r="AG322" s="41">
        <f t="shared" si="1750"/>
        <v>-100</v>
      </c>
      <c r="AH322" s="105">
        <f t="shared" si="2000"/>
        <v>20.3</v>
      </c>
      <c r="AI322" s="105">
        <f t="shared" si="2000"/>
        <v>1.5089999999999999</v>
      </c>
      <c r="AJ322" s="105">
        <f t="shared" si="2000"/>
        <v>1.504</v>
      </c>
      <c r="AK322" s="53">
        <f t="shared" si="1751"/>
        <v>0</v>
      </c>
      <c r="AL322" s="53"/>
      <c r="AM322" s="54">
        <f t="shared" ref="AM322:AN322" si="2043">AM321</f>
        <v>5.0129999999999999</v>
      </c>
      <c r="AN322" s="101" t="str">
        <f t="shared" si="2043"/>
        <v>17,59,050</v>
      </c>
      <c r="AO322" s="11" t="str">
        <f t="shared" si="1753"/>
        <v>17</v>
      </c>
      <c r="AP322" s="11" t="str">
        <f t="shared" si="1754"/>
        <v>59,050</v>
      </c>
      <c r="AQ322" s="11">
        <f t="shared" si="1755"/>
        <v>0.29973611111111109</v>
      </c>
      <c r="AR322" s="14">
        <f t="shared" si="1756"/>
        <v>16.724711551827998</v>
      </c>
      <c r="AS322" s="41">
        <f t="shared" si="1757"/>
        <v>-100</v>
      </c>
      <c r="AT322" s="43" t="str">
        <f t="shared" si="1758"/>
        <v>NO CONFORME</v>
      </c>
      <c r="AU322" s="8" t="b">
        <f t="shared" si="1680"/>
        <v>1</v>
      </c>
      <c r="AV322" s="8" t="b">
        <f t="shared" si="1681"/>
        <v>0</v>
      </c>
      <c r="AW322" s="8" t="b">
        <f t="shared" si="1682"/>
        <v>1</v>
      </c>
      <c r="AX322" s="8" t="str">
        <f t="shared" si="1683"/>
        <v>Qcorrecto</v>
      </c>
      <c r="AY322" s="22" t="str">
        <f t="shared" si="1663"/>
        <v>aceptable</v>
      </c>
      <c r="AZ322" s="22" t="str">
        <f t="shared" si="1664"/>
        <v>aceptable</v>
      </c>
      <c r="BA322" s="22" t="str">
        <f t="shared" si="1684"/>
        <v>aceptable</v>
      </c>
      <c r="BB322" s="25" t="str">
        <f t="shared" si="1685"/>
        <v>NO CONFORME</v>
      </c>
      <c r="BC322" s="5" t="str">
        <f t="shared" si="1686"/>
        <v>NO CONFORME</v>
      </c>
      <c r="BD322" s="15">
        <f t="shared" si="1665"/>
        <v>-1</v>
      </c>
      <c r="BE322" s="15">
        <f t="shared" si="1666"/>
        <v>-1</v>
      </c>
      <c r="BF322" s="15">
        <f t="shared" si="1667"/>
        <v>-1</v>
      </c>
      <c r="BG322" s="15" t="str">
        <f t="shared" si="1668"/>
        <v>-1-1-1</v>
      </c>
      <c r="BH322" s="15" t="str">
        <f t="shared" si="1669"/>
        <v>SD</v>
      </c>
      <c r="BI322" s="15" t="str">
        <f t="shared" si="1670"/>
        <v>SI</v>
      </c>
      <c r="BJ322" s="15" t="b">
        <f t="shared" si="1671"/>
        <v>1</v>
      </c>
      <c r="BK322" s="15" t="str">
        <f t="shared" si="1672"/>
        <v>SIGIGUALES</v>
      </c>
      <c r="BL322" s="22" t="str">
        <f t="shared" si="1673"/>
        <v>NO CONFORME</v>
      </c>
    </row>
    <row r="323" spans="1:64" ht="15.75" thickBot="1" x14ac:dyDescent="0.3">
      <c r="A323" s="37">
        <v>315</v>
      </c>
      <c r="B323" s="93">
        <f t="shared" ref="B323:E323" si="2044">B322</f>
        <v>45919</v>
      </c>
      <c r="C323" s="93">
        <f t="shared" si="2044"/>
        <v>45919</v>
      </c>
      <c r="D323" s="94">
        <f t="shared" si="2044"/>
        <v>6</v>
      </c>
      <c r="E323" s="95">
        <f t="shared" si="2044"/>
        <v>15</v>
      </c>
      <c r="F323" s="52"/>
      <c r="G323" s="96"/>
      <c r="H323" s="97">
        <f t="shared" ref="H323:L323" si="2045">H322</f>
        <v>25.6</v>
      </c>
      <c r="I323" s="98">
        <f t="shared" si="2045"/>
        <v>0</v>
      </c>
      <c r="J323" s="99">
        <f t="shared" si="2045"/>
        <v>20.9</v>
      </c>
      <c r="K323" s="99">
        <f t="shared" si="2045"/>
        <v>7.883</v>
      </c>
      <c r="L323" s="99">
        <f t="shared" si="2045"/>
        <v>0.55400000000000005</v>
      </c>
      <c r="M323" s="53"/>
      <c r="N323" s="53"/>
      <c r="O323" s="100">
        <f t="shared" ref="O323:P323" si="2046">O322</f>
        <v>100.62</v>
      </c>
      <c r="P323" s="101" t="str">
        <f t="shared" si="2046"/>
        <v>2,29,560</v>
      </c>
      <c r="Q323" s="11" t="str">
        <f t="shared" si="1739"/>
        <v>2</v>
      </c>
      <c r="R323" s="11" t="str">
        <f t="shared" si="1740"/>
        <v>29,560</v>
      </c>
      <c r="S323" s="11">
        <f t="shared" si="1741"/>
        <v>4.1544444444444446E-2</v>
      </c>
      <c r="T323" s="14">
        <f t="shared" si="1742"/>
        <v>2421.9844878309709</v>
      </c>
      <c r="U323" s="39">
        <f t="shared" si="1743"/>
        <v>-100</v>
      </c>
      <c r="V323" s="105">
        <f t="shared" ref="V323:W323" si="2047">V322</f>
        <v>20.399999999999999</v>
      </c>
      <c r="W323" s="105">
        <f t="shared" si="2047"/>
        <v>1.5069999999999999</v>
      </c>
      <c r="X323" s="106">
        <f t="shared" si="1992"/>
        <v>1.504</v>
      </c>
      <c r="Y323" s="53"/>
      <c r="Z323" s="53"/>
      <c r="AA323" s="107">
        <f t="shared" ref="AA323:AB323" si="2048">AA322</f>
        <v>10.015000000000001</v>
      </c>
      <c r="AB323" s="108" t="str">
        <f t="shared" si="2048"/>
        <v>22,10,090</v>
      </c>
      <c r="AC323" s="11" t="str">
        <f t="shared" si="1746"/>
        <v>22</v>
      </c>
      <c r="AD323" s="11" t="str">
        <f t="shared" si="1747"/>
        <v>10,090</v>
      </c>
      <c r="AE323" s="11">
        <f t="shared" si="1748"/>
        <v>0.36946944444444441</v>
      </c>
      <c r="AF323" s="14">
        <f t="shared" si="1749"/>
        <v>27.106436406558959</v>
      </c>
      <c r="AG323" s="41">
        <f t="shared" si="1750"/>
        <v>-100</v>
      </c>
      <c r="AH323" s="105">
        <f t="shared" si="2000"/>
        <v>20.3</v>
      </c>
      <c r="AI323" s="105">
        <f t="shared" si="2000"/>
        <v>1.5089999999999999</v>
      </c>
      <c r="AJ323" s="105">
        <f t="shared" si="2000"/>
        <v>1.504</v>
      </c>
      <c r="AK323" s="53">
        <f t="shared" si="1751"/>
        <v>0</v>
      </c>
      <c r="AL323" s="53"/>
      <c r="AM323" s="54">
        <f t="shared" ref="AM323:AN323" si="2049">AM322</f>
        <v>5.0129999999999999</v>
      </c>
      <c r="AN323" s="101" t="str">
        <f t="shared" si="2049"/>
        <v>17,59,050</v>
      </c>
      <c r="AO323" s="11" t="str">
        <f t="shared" si="1753"/>
        <v>17</v>
      </c>
      <c r="AP323" s="11" t="str">
        <f t="shared" si="1754"/>
        <v>59,050</v>
      </c>
      <c r="AQ323" s="11">
        <f t="shared" si="1755"/>
        <v>0.29973611111111109</v>
      </c>
      <c r="AR323" s="14">
        <f t="shared" si="1756"/>
        <v>16.724711551827998</v>
      </c>
      <c r="AS323" s="41">
        <f t="shared" si="1757"/>
        <v>-100</v>
      </c>
      <c r="AT323" s="43" t="str">
        <f t="shared" si="1758"/>
        <v>NO CONFORME</v>
      </c>
      <c r="AU323" s="8" t="b">
        <f t="shared" si="1680"/>
        <v>1</v>
      </c>
      <c r="AV323" s="8" t="b">
        <f t="shared" si="1681"/>
        <v>0</v>
      </c>
      <c r="AW323" s="8" t="b">
        <f t="shared" si="1682"/>
        <v>1</v>
      </c>
      <c r="AX323" s="8" t="str">
        <f t="shared" si="1683"/>
        <v>Qcorrecto</v>
      </c>
      <c r="AY323" s="22" t="str">
        <f t="shared" si="1663"/>
        <v>aceptable</v>
      </c>
      <c r="AZ323" s="22" t="str">
        <f t="shared" si="1664"/>
        <v>aceptable</v>
      </c>
      <c r="BA323" s="22" t="str">
        <f t="shared" si="1684"/>
        <v>aceptable</v>
      </c>
      <c r="BB323" s="25" t="str">
        <f t="shared" si="1685"/>
        <v>NO CONFORME</v>
      </c>
      <c r="BC323" s="5" t="str">
        <f t="shared" si="1686"/>
        <v>NO CONFORME</v>
      </c>
      <c r="BD323" s="15">
        <f t="shared" si="1665"/>
        <v>-1</v>
      </c>
      <c r="BE323" s="15">
        <f t="shared" si="1666"/>
        <v>-1</v>
      </c>
      <c r="BF323" s="15">
        <f t="shared" si="1667"/>
        <v>-1</v>
      </c>
      <c r="BG323" s="15" t="str">
        <f t="shared" si="1668"/>
        <v>-1-1-1</v>
      </c>
      <c r="BH323" s="15" t="str">
        <f t="shared" si="1669"/>
        <v>SD</v>
      </c>
      <c r="BI323" s="15" t="str">
        <f t="shared" si="1670"/>
        <v>SI</v>
      </c>
      <c r="BJ323" s="15" t="b">
        <f t="shared" si="1671"/>
        <v>1</v>
      </c>
      <c r="BK323" s="15" t="str">
        <f t="shared" si="1672"/>
        <v>SIGIGUALES</v>
      </c>
      <c r="BL323" s="22" t="str">
        <f t="shared" si="1673"/>
        <v>NO CONFORME</v>
      </c>
    </row>
    <row r="324" spans="1:64" ht="15.75" thickBot="1" x14ac:dyDescent="0.3">
      <c r="A324" s="37">
        <v>316</v>
      </c>
      <c r="B324" s="93">
        <f t="shared" ref="B324:E324" si="2050">B323</f>
        <v>45919</v>
      </c>
      <c r="C324" s="93">
        <f t="shared" si="2050"/>
        <v>45919</v>
      </c>
      <c r="D324" s="94">
        <f t="shared" si="2050"/>
        <v>6</v>
      </c>
      <c r="E324" s="95">
        <f t="shared" si="2050"/>
        <v>15</v>
      </c>
      <c r="F324" s="52"/>
      <c r="G324" s="96"/>
      <c r="H324" s="97">
        <f t="shared" ref="H324:L324" si="2051">H323</f>
        <v>25.6</v>
      </c>
      <c r="I324" s="98">
        <f t="shared" si="2051"/>
        <v>0</v>
      </c>
      <c r="J324" s="99">
        <f t="shared" si="2051"/>
        <v>20.9</v>
      </c>
      <c r="K324" s="99">
        <f t="shared" si="2051"/>
        <v>7.883</v>
      </c>
      <c r="L324" s="99">
        <f t="shared" si="2051"/>
        <v>0.55400000000000005</v>
      </c>
      <c r="M324" s="53"/>
      <c r="N324" s="53"/>
      <c r="O324" s="100">
        <f t="shared" ref="O324:P324" si="2052">O323</f>
        <v>100.62</v>
      </c>
      <c r="P324" s="101" t="str">
        <f t="shared" si="2052"/>
        <v>2,29,560</v>
      </c>
      <c r="Q324" s="11" t="str">
        <f t="shared" si="1739"/>
        <v>2</v>
      </c>
      <c r="R324" s="11" t="str">
        <f t="shared" si="1740"/>
        <v>29,560</v>
      </c>
      <c r="S324" s="11">
        <f t="shared" si="1741"/>
        <v>4.1544444444444446E-2</v>
      </c>
      <c r="T324" s="14">
        <f t="shared" si="1742"/>
        <v>2421.9844878309709</v>
      </c>
      <c r="U324" s="39">
        <f t="shared" si="1743"/>
        <v>-100</v>
      </c>
      <c r="V324" s="105">
        <f t="shared" ref="V324:W324" si="2053">V323</f>
        <v>20.399999999999999</v>
      </c>
      <c r="W324" s="105">
        <f t="shared" si="2053"/>
        <v>1.5069999999999999</v>
      </c>
      <c r="X324" s="106">
        <f t="shared" si="1992"/>
        <v>1.504</v>
      </c>
      <c r="Y324" s="53"/>
      <c r="Z324" s="53"/>
      <c r="AA324" s="107">
        <f t="shared" ref="AA324:AB324" si="2054">AA323</f>
        <v>10.015000000000001</v>
      </c>
      <c r="AB324" s="108" t="str">
        <f t="shared" si="2054"/>
        <v>22,10,090</v>
      </c>
      <c r="AC324" s="11" t="str">
        <f t="shared" si="1746"/>
        <v>22</v>
      </c>
      <c r="AD324" s="11" t="str">
        <f t="shared" si="1747"/>
        <v>10,090</v>
      </c>
      <c r="AE324" s="11">
        <f t="shared" si="1748"/>
        <v>0.36946944444444441</v>
      </c>
      <c r="AF324" s="14">
        <f t="shared" si="1749"/>
        <v>27.106436406558959</v>
      </c>
      <c r="AG324" s="41">
        <f t="shared" si="1750"/>
        <v>-100</v>
      </c>
      <c r="AH324" s="105">
        <f t="shared" si="2000"/>
        <v>20.3</v>
      </c>
      <c r="AI324" s="105">
        <f t="shared" si="2000"/>
        <v>1.5089999999999999</v>
      </c>
      <c r="AJ324" s="105">
        <f t="shared" si="2000"/>
        <v>1.504</v>
      </c>
      <c r="AK324" s="53">
        <f t="shared" si="1751"/>
        <v>0</v>
      </c>
      <c r="AL324" s="53"/>
      <c r="AM324" s="54">
        <f t="shared" ref="AM324:AN324" si="2055">AM323</f>
        <v>5.0129999999999999</v>
      </c>
      <c r="AN324" s="101" t="str">
        <f t="shared" si="2055"/>
        <v>17,59,050</v>
      </c>
      <c r="AO324" s="11" t="str">
        <f t="shared" si="1753"/>
        <v>17</v>
      </c>
      <c r="AP324" s="11" t="str">
        <f t="shared" si="1754"/>
        <v>59,050</v>
      </c>
      <c r="AQ324" s="11">
        <f t="shared" si="1755"/>
        <v>0.29973611111111109</v>
      </c>
      <c r="AR324" s="14">
        <f t="shared" si="1756"/>
        <v>16.724711551827998</v>
      </c>
      <c r="AS324" s="41">
        <f t="shared" si="1757"/>
        <v>-100</v>
      </c>
      <c r="AT324" s="43" t="str">
        <f t="shared" si="1758"/>
        <v>NO CONFORME</v>
      </c>
      <c r="AU324" s="8" t="b">
        <f t="shared" si="1680"/>
        <v>1</v>
      </c>
      <c r="AV324" s="8" t="b">
        <f t="shared" si="1681"/>
        <v>0</v>
      </c>
      <c r="AW324" s="8" t="b">
        <f t="shared" si="1682"/>
        <v>1</v>
      </c>
      <c r="AX324" s="8" t="str">
        <f t="shared" si="1683"/>
        <v>Qcorrecto</v>
      </c>
      <c r="AY324" s="22" t="str">
        <f t="shared" si="1663"/>
        <v>aceptable</v>
      </c>
      <c r="AZ324" s="22" t="str">
        <f t="shared" si="1664"/>
        <v>aceptable</v>
      </c>
      <c r="BA324" s="22" t="str">
        <f t="shared" si="1684"/>
        <v>aceptable</v>
      </c>
      <c r="BB324" s="25" t="str">
        <f t="shared" si="1685"/>
        <v>NO CONFORME</v>
      </c>
      <c r="BC324" s="5" t="str">
        <f t="shared" si="1686"/>
        <v>NO CONFORME</v>
      </c>
      <c r="BD324" s="15">
        <f t="shared" si="1665"/>
        <v>-1</v>
      </c>
      <c r="BE324" s="15">
        <f t="shared" si="1666"/>
        <v>-1</v>
      </c>
      <c r="BF324" s="15">
        <f t="shared" si="1667"/>
        <v>-1</v>
      </c>
      <c r="BG324" s="15" t="str">
        <f t="shared" si="1668"/>
        <v>-1-1-1</v>
      </c>
      <c r="BH324" s="15" t="str">
        <f t="shared" si="1669"/>
        <v>SD</v>
      </c>
      <c r="BI324" s="15" t="str">
        <f t="shared" si="1670"/>
        <v>SI</v>
      </c>
      <c r="BJ324" s="15" t="b">
        <f t="shared" si="1671"/>
        <v>1</v>
      </c>
      <c r="BK324" s="15" t="str">
        <f t="shared" si="1672"/>
        <v>SIGIGUALES</v>
      </c>
      <c r="BL324" s="22" t="str">
        <f t="shared" si="1673"/>
        <v>NO CONFORME</v>
      </c>
    </row>
    <row r="325" spans="1:64" ht="15.75" thickBot="1" x14ac:dyDescent="0.3">
      <c r="A325" s="37">
        <v>317</v>
      </c>
      <c r="B325" s="93">
        <f t="shared" ref="B325:E325" si="2056">B324</f>
        <v>45919</v>
      </c>
      <c r="C325" s="93">
        <f t="shared" si="2056"/>
        <v>45919</v>
      </c>
      <c r="D325" s="94">
        <f t="shared" si="2056"/>
        <v>6</v>
      </c>
      <c r="E325" s="95">
        <f t="shared" si="2056"/>
        <v>15</v>
      </c>
      <c r="F325" s="52"/>
      <c r="G325" s="96"/>
      <c r="H325" s="97">
        <f t="shared" ref="H325:L325" si="2057">H324</f>
        <v>25.6</v>
      </c>
      <c r="I325" s="98">
        <f t="shared" si="2057"/>
        <v>0</v>
      </c>
      <c r="J325" s="99">
        <f t="shared" si="2057"/>
        <v>20.9</v>
      </c>
      <c r="K325" s="99">
        <f t="shared" si="2057"/>
        <v>7.883</v>
      </c>
      <c r="L325" s="99">
        <f t="shared" si="2057"/>
        <v>0.55400000000000005</v>
      </c>
      <c r="M325" s="53"/>
      <c r="N325" s="53"/>
      <c r="O325" s="100">
        <f t="shared" ref="O325:P325" si="2058">O324</f>
        <v>100.62</v>
      </c>
      <c r="P325" s="101" t="str">
        <f t="shared" si="2058"/>
        <v>2,29,560</v>
      </c>
      <c r="Q325" s="11" t="str">
        <f t="shared" si="1739"/>
        <v>2</v>
      </c>
      <c r="R325" s="11" t="str">
        <f t="shared" si="1740"/>
        <v>29,560</v>
      </c>
      <c r="S325" s="11">
        <f t="shared" si="1741"/>
        <v>4.1544444444444446E-2</v>
      </c>
      <c r="T325" s="14">
        <f t="shared" si="1742"/>
        <v>2421.9844878309709</v>
      </c>
      <c r="U325" s="39">
        <f t="shared" si="1743"/>
        <v>-100</v>
      </c>
      <c r="V325" s="105">
        <f t="shared" ref="V325:W325" si="2059">V324</f>
        <v>20.399999999999999</v>
      </c>
      <c r="W325" s="105">
        <f t="shared" si="2059"/>
        <v>1.5069999999999999</v>
      </c>
      <c r="X325" s="106">
        <f t="shared" si="1992"/>
        <v>1.504</v>
      </c>
      <c r="Y325" s="53"/>
      <c r="Z325" s="53"/>
      <c r="AA325" s="107">
        <f t="shared" ref="AA325:AB325" si="2060">AA324</f>
        <v>10.015000000000001</v>
      </c>
      <c r="AB325" s="108" t="str">
        <f t="shared" si="2060"/>
        <v>22,10,090</v>
      </c>
      <c r="AC325" s="11" t="str">
        <f t="shared" si="1746"/>
        <v>22</v>
      </c>
      <c r="AD325" s="11" t="str">
        <f t="shared" si="1747"/>
        <v>10,090</v>
      </c>
      <c r="AE325" s="11">
        <f t="shared" si="1748"/>
        <v>0.36946944444444441</v>
      </c>
      <c r="AF325" s="14">
        <f t="shared" si="1749"/>
        <v>27.106436406558959</v>
      </c>
      <c r="AG325" s="41">
        <f t="shared" si="1750"/>
        <v>-100</v>
      </c>
      <c r="AH325" s="105">
        <f t="shared" si="2000"/>
        <v>20.3</v>
      </c>
      <c r="AI325" s="105">
        <f t="shared" si="2000"/>
        <v>1.5089999999999999</v>
      </c>
      <c r="AJ325" s="105">
        <f t="shared" si="2000"/>
        <v>1.504</v>
      </c>
      <c r="AK325" s="53">
        <f t="shared" si="1751"/>
        <v>0</v>
      </c>
      <c r="AL325" s="53"/>
      <c r="AM325" s="54">
        <f t="shared" ref="AM325:AN325" si="2061">AM324</f>
        <v>5.0129999999999999</v>
      </c>
      <c r="AN325" s="101" t="str">
        <f t="shared" si="2061"/>
        <v>17,59,050</v>
      </c>
      <c r="AO325" s="11" t="str">
        <f t="shared" si="1753"/>
        <v>17</v>
      </c>
      <c r="AP325" s="11" t="str">
        <f t="shared" si="1754"/>
        <v>59,050</v>
      </c>
      <c r="AQ325" s="11">
        <f t="shared" si="1755"/>
        <v>0.29973611111111109</v>
      </c>
      <c r="AR325" s="14">
        <f t="shared" si="1756"/>
        <v>16.724711551827998</v>
      </c>
      <c r="AS325" s="41">
        <f t="shared" si="1757"/>
        <v>-100</v>
      </c>
      <c r="AT325" s="43" t="str">
        <f t="shared" si="1758"/>
        <v>NO CONFORME</v>
      </c>
      <c r="AU325" s="8" t="b">
        <f t="shared" si="1680"/>
        <v>1</v>
      </c>
      <c r="AV325" s="8" t="b">
        <f t="shared" si="1681"/>
        <v>0</v>
      </c>
      <c r="AW325" s="8" t="b">
        <f t="shared" si="1682"/>
        <v>1</v>
      </c>
      <c r="AX325" s="8" t="str">
        <f t="shared" si="1683"/>
        <v>Qcorrecto</v>
      </c>
      <c r="AY325" s="22" t="str">
        <f t="shared" si="1663"/>
        <v>aceptable</v>
      </c>
      <c r="AZ325" s="22" t="str">
        <f t="shared" si="1664"/>
        <v>aceptable</v>
      </c>
      <c r="BA325" s="22" t="str">
        <f t="shared" si="1684"/>
        <v>aceptable</v>
      </c>
      <c r="BB325" s="25" t="str">
        <f t="shared" si="1685"/>
        <v>NO CONFORME</v>
      </c>
      <c r="BC325" s="5" t="str">
        <f t="shared" si="1686"/>
        <v>NO CONFORME</v>
      </c>
      <c r="BD325" s="15">
        <f t="shared" si="1665"/>
        <v>-1</v>
      </c>
      <c r="BE325" s="15">
        <f t="shared" si="1666"/>
        <v>-1</v>
      </c>
      <c r="BF325" s="15">
        <f t="shared" si="1667"/>
        <v>-1</v>
      </c>
      <c r="BG325" s="15" t="str">
        <f t="shared" si="1668"/>
        <v>-1-1-1</v>
      </c>
      <c r="BH325" s="15" t="str">
        <f t="shared" si="1669"/>
        <v>SD</v>
      </c>
      <c r="BI325" s="15" t="str">
        <f t="shared" si="1670"/>
        <v>SI</v>
      </c>
      <c r="BJ325" s="15" t="b">
        <f t="shared" si="1671"/>
        <v>1</v>
      </c>
      <c r="BK325" s="15" t="str">
        <f t="shared" si="1672"/>
        <v>SIGIGUALES</v>
      </c>
      <c r="BL325" s="22" t="str">
        <f t="shared" si="1673"/>
        <v>NO CONFORME</v>
      </c>
    </row>
    <row r="326" spans="1:64" ht="15.75" thickBot="1" x14ac:dyDescent="0.3">
      <c r="A326" s="37">
        <v>318</v>
      </c>
      <c r="B326" s="93">
        <f t="shared" ref="B326:E326" si="2062">B325</f>
        <v>45919</v>
      </c>
      <c r="C326" s="93">
        <f t="shared" si="2062"/>
        <v>45919</v>
      </c>
      <c r="D326" s="94">
        <f t="shared" si="2062"/>
        <v>6</v>
      </c>
      <c r="E326" s="95">
        <f t="shared" si="2062"/>
        <v>15</v>
      </c>
      <c r="F326" s="52"/>
      <c r="G326" s="96"/>
      <c r="H326" s="97">
        <f t="shared" ref="H326:L326" si="2063">H325</f>
        <v>25.6</v>
      </c>
      <c r="I326" s="98">
        <f t="shared" si="2063"/>
        <v>0</v>
      </c>
      <c r="J326" s="99">
        <f t="shared" si="2063"/>
        <v>20.9</v>
      </c>
      <c r="K326" s="99">
        <f t="shared" si="2063"/>
        <v>7.883</v>
      </c>
      <c r="L326" s="99">
        <f t="shared" si="2063"/>
        <v>0.55400000000000005</v>
      </c>
      <c r="M326" s="53"/>
      <c r="N326" s="53"/>
      <c r="O326" s="100">
        <f t="shared" ref="O326:P326" si="2064">O325</f>
        <v>100.62</v>
      </c>
      <c r="P326" s="101" t="str">
        <f t="shared" si="2064"/>
        <v>2,29,560</v>
      </c>
      <c r="Q326" s="11" t="str">
        <f t="shared" si="1739"/>
        <v>2</v>
      </c>
      <c r="R326" s="11" t="str">
        <f t="shared" si="1740"/>
        <v>29,560</v>
      </c>
      <c r="S326" s="11">
        <f t="shared" si="1741"/>
        <v>4.1544444444444446E-2</v>
      </c>
      <c r="T326" s="14">
        <f t="shared" si="1742"/>
        <v>2421.9844878309709</v>
      </c>
      <c r="U326" s="39">
        <f t="shared" si="1743"/>
        <v>-100</v>
      </c>
      <c r="V326" s="105">
        <f t="shared" ref="V326:W326" si="2065">V325</f>
        <v>20.399999999999999</v>
      </c>
      <c r="W326" s="105">
        <f t="shared" si="2065"/>
        <v>1.5069999999999999</v>
      </c>
      <c r="X326" s="106">
        <f t="shared" si="1992"/>
        <v>1.504</v>
      </c>
      <c r="Y326" s="53"/>
      <c r="Z326" s="53"/>
      <c r="AA326" s="107">
        <f t="shared" ref="AA326:AB326" si="2066">AA325</f>
        <v>10.015000000000001</v>
      </c>
      <c r="AB326" s="108" t="str">
        <f t="shared" si="2066"/>
        <v>22,10,090</v>
      </c>
      <c r="AC326" s="11" t="str">
        <f t="shared" si="1746"/>
        <v>22</v>
      </c>
      <c r="AD326" s="11" t="str">
        <f t="shared" si="1747"/>
        <v>10,090</v>
      </c>
      <c r="AE326" s="11">
        <f t="shared" si="1748"/>
        <v>0.36946944444444441</v>
      </c>
      <c r="AF326" s="14">
        <f t="shared" si="1749"/>
        <v>27.106436406558959</v>
      </c>
      <c r="AG326" s="41">
        <f t="shared" si="1750"/>
        <v>-100</v>
      </c>
      <c r="AH326" s="105">
        <f t="shared" si="2000"/>
        <v>20.3</v>
      </c>
      <c r="AI326" s="105">
        <f t="shared" si="2000"/>
        <v>1.5089999999999999</v>
      </c>
      <c r="AJ326" s="105">
        <f t="shared" si="2000"/>
        <v>1.504</v>
      </c>
      <c r="AK326" s="53">
        <f t="shared" si="1751"/>
        <v>0</v>
      </c>
      <c r="AL326" s="53"/>
      <c r="AM326" s="54">
        <f t="shared" ref="AM326:AN326" si="2067">AM325</f>
        <v>5.0129999999999999</v>
      </c>
      <c r="AN326" s="101" t="str">
        <f t="shared" si="2067"/>
        <v>17,59,050</v>
      </c>
      <c r="AO326" s="11" t="str">
        <f t="shared" si="1753"/>
        <v>17</v>
      </c>
      <c r="AP326" s="11" t="str">
        <f t="shared" si="1754"/>
        <v>59,050</v>
      </c>
      <c r="AQ326" s="11">
        <f t="shared" si="1755"/>
        <v>0.29973611111111109</v>
      </c>
      <c r="AR326" s="14">
        <f t="shared" si="1756"/>
        <v>16.724711551827998</v>
      </c>
      <c r="AS326" s="41">
        <f t="shared" si="1757"/>
        <v>-100</v>
      </c>
      <c r="AT326" s="43" t="str">
        <f t="shared" si="1758"/>
        <v>NO CONFORME</v>
      </c>
      <c r="AU326" s="8" t="b">
        <f t="shared" si="1680"/>
        <v>1</v>
      </c>
      <c r="AV326" s="8" t="b">
        <f t="shared" si="1681"/>
        <v>0</v>
      </c>
      <c r="AW326" s="8" t="b">
        <f t="shared" si="1682"/>
        <v>1</v>
      </c>
      <c r="AX326" s="8" t="str">
        <f t="shared" si="1683"/>
        <v>Qcorrecto</v>
      </c>
      <c r="AY326" s="22" t="str">
        <f t="shared" si="1663"/>
        <v>aceptable</v>
      </c>
      <c r="AZ326" s="22" t="str">
        <f t="shared" si="1664"/>
        <v>aceptable</v>
      </c>
      <c r="BA326" s="22" t="str">
        <f t="shared" si="1684"/>
        <v>aceptable</v>
      </c>
      <c r="BB326" s="25" t="str">
        <f t="shared" si="1685"/>
        <v>NO CONFORME</v>
      </c>
      <c r="BC326" s="5" t="str">
        <f t="shared" si="1686"/>
        <v>NO CONFORME</v>
      </c>
      <c r="BD326" s="15">
        <f t="shared" si="1665"/>
        <v>-1</v>
      </c>
      <c r="BE326" s="15">
        <f t="shared" si="1666"/>
        <v>-1</v>
      </c>
      <c r="BF326" s="15">
        <f t="shared" si="1667"/>
        <v>-1</v>
      </c>
      <c r="BG326" s="15" t="str">
        <f t="shared" si="1668"/>
        <v>-1-1-1</v>
      </c>
      <c r="BH326" s="15" t="str">
        <f t="shared" si="1669"/>
        <v>SD</v>
      </c>
      <c r="BI326" s="15" t="str">
        <f t="shared" si="1670"/>
        <v>SI</v>
      </c>
      <c r="BJ326" s="15" t="b">
        <f t="shared" si="1671"/>
        <v>1</v>
      </c>
      <c r="BK326" s="15" t="str">
        <f t="shared" si="1672"/>
        <v>SIGIGUALES</v>
      </c>
      <c r="BL326" s="22" t="str">
        <f t="shared" si="1673"/>
        <v>NO CONFORME</v>
      </c>
    </row>
    <row r="327" spans="1:64" ht="15.75" thickBot="1" x14ac:dyDescent="0.3">
      <c r="A327" s="37">
        <v>319</v>
      </c>
      <c r="B327" s="93">
        <f t="shared" ref="B327:E327" si="2068">B326</f>
        <v>45919</v>
      </c>
      <c r="C327" s="93">
        <f t="shared" si="2068"/>
        <v>45919</v>
      </c>
      <c r="D327" s="94">
        <f t="shared" si="2068"/>
        <v>6</v>
      </c>
      <c r="E327" s="95">
        <f t="shared" si="2068"/>
        <v>15</v>
      </c>
      <c r="F327" s="52"/>
      <c r="G327" s="96"/>
      <c r="H327" s="97">
        <f t="shared" ref="H327:L327" si="2069">H326</f>
        <v>25.6</v>
      </c>
      <c r="I327" s="98">
        <f t="shared" si="2069"/>
        <v>0</v>
      </c>
      <c r="J327" s="99">
        <f t="shared" si="2069"/>
        <v>20.9</v>
      </c>
      <c r="K327" s="99">
        <f t="shared" si="2069"/>
        <v>7.883</v>
      </c>
      <c r="L327" s="99">
        <f t="shared" si="2069"/>
        <v>0.55400000000000005</v>
      </c>
      <c r="M327" s="53"/>
      <c r="N327" s="53"/>
      <c r="O327" s="100">
        <f t="shared" ref="O327:P327" si="2070">O326</f>
        <v>100.62</v>
      </c>
      <c r="P327" s="101" t="str">
        <f t="shared" si="2070"/>
        <v>2,29,560</v>
      </c>
      <c r="Q327" s="11" t="str">
        <f t="shared" si="1739"/>
        <v>2</v>
      </c>
      <c r="R327" s="11" t="str">
        <f t="shared" si="1740"/>
        <v>29,560</v>
      </c>
      <c r="S327" s="11">
        <f t="shared" si="1741"/>
        <v>4.1544444444444446E-2</v>
      </c>
      <c r="T327" s="14">
        <f t="shared" si="1742"/>
        <v>2421.9844878309709</v>
      </c>
      <c r="U327" s="39">
        <f t="shared" si="1743"/>
        <v>-100</v>
      </c>
      <c r="V327" s="105">
        <f t="shared" ref="V327:W327" si="2071">V326</f>
        <v>20.399999999999999</v>
      </c>
      <c r="W327" s="105">
        <f t="shared" si="2071"/>
        <v>1.5069999999999999</v>
      </c>
      <c r="X327" s="106">
        <f t="shared" si="1992"/>
        <v>1.504</v>
      </c>
      <c r="Y327" s="53"/>
      <c r="Z327" s="53"/>
      <c r="AA327" s="107">
        <f t="shared" ref="AA327:AB327" si="2072">AA326</f>
        <v>10.015000000000001</v>
      </c>
      <c r="AB327" s="108" t="str">
        <f t="shared" si="2072"/>
        <v>22,10,090</v>
      </c>
      <c r="AC327" s="11" t="str">
        <f t="shared" si="1746"/>
        <v>22</v>
      </c>
      <c r="AD327" s="11" t="str">
        <f t="shared" si="1747"/>
        <v>10,090</v>
      </c>
      <c r="AE327" s="11">
        <f t="shared" si="1748"/>
        <v>0.36946944444444441</v>
      </c>
      <c r="AF327" s="14">
        <f t="shared" si="1749"/>
        <v>27.106436406558959</v>
      </c>
      <c r="AG327" s="41">
        <f t="shared" si="1750"/>
        <v>-100</v>
      </c>
      <c r="AH327" s="105">
        <f t="shared" si="2000"/>
        <v>20.3</v>
      </c>
      <c r="AI327" s="105">
        <f t="shared" si="2000"/>
        <v>1.5089999999999999</v>
      </c>
      <c r="AJ327" s="105">
        <f t="shared" si="2000"/>
        <v>1.504</v>
      </c>
      <c r="AK327" s="53">
        <f t="shared" si="1751"/>
        <v>0</v>
      </c>
      <c r="AL327" s="53"/>
      <c r="AM327" s="54">
        <f t="shared" ref="AM327:AN327" si="2073">AM326</f>
        <v>5.0129999999999999</v>
      </c>
      <c r="AN327" s="101" t="str">
        <f t="shared" si="2073"/>
        <v>17,59,050</v>
      </c>
      <c r="AO327" s="11" t="str">
        <f t="shared" si="1753"/>
        <v>17</v>
      </c>
      <c r="AP327" s="11" t="str">
        <f t="shared" si="1754"/>
        <v>59,050</v>
      </c>
      <c r="AQ327" s="11">
        <f t="shared" si="1755"/>
        <v>0.29973611111111109</v>
      </c>
      <c r="AR327" s="14">
        <f t="shared" si="1756"/>
        <v>16.724711551827998</v>
      </c>
      <c r="AS327" s="41">
        <f t="shared" si="1757"/>
        <v>-100</v>
      </c>
      <c r="AT327" s="43" t="str">
        <f t="shared" si="1758"/>
        <v>NO CONFORME</v>
      </c>
      <c r="AU327" s="8" t="b">
        <f t="shared" si="1680"/>
        <v>1</v>
      </c>
      <c r="AV327" s="8" t="b">
        <f t="shared" si="1681"/>
        <v>0</v>
      </c>
      <c r="AW327" s="8" t="b">
        <f t="shared" si="1682"/>
        <v>1</v>
      </c>
      <c r="AX327" s="8" t="str">
        <f t="shared" si="1683"/>
        <v>Qcorrecto</v>
      </c>
      <c r="AY327" s="22" t="str">
        <f t="shared" si="1663"/>
        <v>aceptable</v>
      </c>
      <c r="AZ327" s="22" t="str">
        <f t="shared" si="1664"/>
        <v>aceptable</v>
      </c>
      <c r="BA327" s="22" t="str">
        <f t="shared" si="1684"/>
        <v>aceptable</v>
      </c>
      <c r="BB327" s="25" t="str">
        <f t="shared" si="1685"/>
        <v>NO CONFORME</v>
      </c>
      <c r="BC327" s="5" t="str">
        <f t="shared" si="1686"/>
        <v>NO CONFORME</v>
      </c>
      <c r="BD327" s="15">
        <f t="shared" si="1665"/>
        <v>-1</v>
      </c>
      <c r="BE327" s="15">
        <f t="shared" si="1666"/>
        <v>-1</v>
      </c>
      <c r="BF327" s="15">
        <f t="shared" si="1667"/>
        <v>-1</v>
      </c>
      <c r="BG327" s="15" t="str">
        <f t="shared" si="1668"/>
        <v>-1-1-1</v>
      </c>
      <c r="BH327" s="15" t="str">
        <f t="shared" si="1669"/>
        <v>SD</v>
      </c>
      <c r="BI327" s="15" t="str">
        <f t="shared" si="1670"/>
        <v>SI</v>
      </c>
      <c r="BJ327" s="15" t="b">
        <f t="shared" si="1671"/>
        <v>1</v>
      </c>
      <c r="BK327" s="15" t="str">
        <f t="shared" si="1672"/>
        <v>SIGIGUALES</v>
      </c>
      <c r="BL327" s="22" t="str">
        <f t="shared" si="1673"/>
        <v>NO CONFORME</v>
      </c>
    </row>
    <row r="328" spans="1:64" ht="15.75" thickBot="1" x14ac:dyDescent="0.3">
      <c r="A328" s="37">
        <v>320</v>
      </c>
      <c r="B328" s="93">
        <f t="shared" ref="B328:E328" si="2074">B327</f>
        <v>45919</v>
      </c>
      <c r="C328" s="93">
        <f t="shared" si="2074"/>
        <v>45919</v>
      </c>
      <c r="D328" s="94">
        <f t="shared" si="2074"/>
        <v>6</v>
      </c>
      <c r="E328" s="95">
        <f t="shared" si="2074"/>
        <v>15</v>
      </c>
      <c r="F328" s="52"/>
      <c r="G328" s="96"/>
      <c r="H328" s="97">
        <f t="shared" ref="H328:L328" si="2075">H327</f>
        <v>25.6</v>
      </c>
      <c r="I328" s="98">
        <f t="shared" si="2075"/>
        <v>0</v>
      </c>
      <c r="J328" s="99">
        <f t="shared" si="2075"/>
        <v>20.9</v>
      </c>
      <c r="K328" s="99">
        <f t="shared" si="2075"/>
        <v>7.883</v>
      </c>
      <c r="L328" s="99">
        <f t="shared" si="2075"/>
        <v>0.55400000000000005</v>
      </c>
      <c r="M328" s="53"/>
      <c r="N328" s="53"/>
      <c r="O328" s="100">
        <f t="shared" ref="O328:P328" si="2076">O327</f>
        <v>100.62</v>
      </c>
      <c r="P328" s="101" t="str">
        <f t="shared" si="2076"/>
        <v>2,29,560</v>
      </c>
      <c r="Q328" s="11" t="str">
        <f t="shared" si="1739"/>
        <v>2</v>
      </c>
      <c r="R328" s="11" t="str">
        <f t="shared" si="1740"/>
        <v>29,560</v>
      </c>
      <c r="S328" s="11">
        <f t="shared" si="1741"/>
        <v>4.1544444444444446E-2</v>
      </c>
      <c r="T328" s="14">
        <f t="shared" si="1742"/>
        <v>2421.9844878309709</v>
      </c>
      <c r="U328" s="39">
        <f t="shared" si="1743"/>
        <v>-100</v>
      </c>
      <c r="V328" s="105">
        <f t="shared" ref="V328:W328" si="2077">V327</f>
        <v>20.399999999999999</v>
      </c>
      <c r="W328" s="105">
        <f t="shared" si="2077"/>
        <v>1.5069999999999999</v>
      </c>
      <c r="X328" s="106">
        <f t="shared" si="1992"/>
        <v>1.504</v>
      </c>
      <c r="Y328" s="53"/>
      <c r="Z328" s="53"/>
      <c r="AA328" s="107">
        <f t="shared" ref="AA328:AB328" si="2078">AA327</f>
        <v>10.015000000000001</v>
      </c>
      <c r="AB328" s="108" t="str">
        <f t="shared" si="2078"/>
        <v>22,10,090</v>
      </c>
      <c r="AC328" s="11" t="str">
        <f t="shared" si="1746"/>
        <v>22</v>
      </c>
      <c r="AD328" s="11" t="str">
        <f t="shared" si="1747"/>
        <v>10,090</v>
      </c>
      <c r="AE328" s="11">
        <f t="shared" si="1748"/>
        <v>0.36946944444444441</v>
      </c>
      <c r="AF328" s="14">
        <f t="shared" si="1749"/>
        <v>27.106436406558959</v>
      </c>
      <c r="AG328" s="41">
        <f t="shared" si="1750"/>
        <v>-100</v>
      </c>
      <c r="AH328" s="105">
        <f t="shared" si="2000"/>
        <v>20.3</v>
      </c>
      <c r="AI328" s="105">
        <f t="shared" si="2000"/>
        <v>1.5089999999999999</v>
      </c>
      <c r="AJ328" s="105">
        <f t="shared" si="2000"/>
        <v>1.504</v>
      </c>
      <c r="AK328" s="53">
        <f t="shared" si="1751"/>
        <v>0</v>
      </c>
      <c r="AL328" s="53"/>
      <c r="AM328" s="54">
        <f t="shared" ref="AM328:AN328" si="2079">AM327</f>
        <v>5.0129999999999999</v>
      </c>
      <c r="AN328" s="101" t="str">
        <f t="shared" si="2079"/>
        <v>17,59,050</v>
      </c>
      <c r="AO328" s="11" t="str">
        <f t="shared" si="1753"/>
        <v>17</v>
      </c>
      <c r="AP328" s="11" t="str">
        <f t="shared" si="1754"/>
        <v>59,050</v>
      </c>
      <c r="AQ328" s="11">
        <f t="shared" si="1755"/>
        <v>0.29973611111111109</v>
      </c>
      <c r="AR328" s="14">
        <f t="shared" si="1756"/>
        <v>16.724711551827998</v>
      </c>
      <c r="AS328" s="41">
        <f t="shared" si="1757"/>
        <v>-100</v>
      </c>
      <c r="AT328" s="43" t="str">
        <f t="shared" si="1758"/>
        <v>NO CONFORME</v>
      </c>
      <c r="AU328" s="8" t="b">
        <f t="shared" si="1680"/>
        <v>1</v>
      </c>
      <c r="AV328" s="8" t="b">
        <f t="shared" si="1681"/>
        <v>0</v>
      </c>
      <c r="AW328" s="8" t="b">
        <f t="shared" si="1682"/>
        <v>1</v>
      </c>
      <c r="AX328" s="8" t="str">
        <f t="shared" si="1683"/>
        <v>Qcorrecto</v>
      </c>
      <c r="AY328" s="22" t="str">
        <f t="shared" si="1663"/>
        <v>aceptable</v>
      </c>
      <c r="AZ328" s="22" t="str">
        <f t="shared" si="1664"/>
        <v>aceptable</v>
      </c>
      <c r="BA328" s="22" t="str">
        <f t="shared" si="1684"/>
        <v>aceptable</v>
      </c>
      <c r="BB328" s="25" t="str">
        <f t="shared" si="1685"/>
        <v>NO CONFORME</v>
      </c>
      <c r="BC328" s="5" t="str">
        <f t="shared" si="1686"/>
        <v>NO CONFORME</v>
      </c>
      <c r="BD328" s="15">
        <f t="shared" si="1665"/>
        <v>-1</v>
      </c>
      <c r="BE328" s="15">
        <f t="shared" si="1666"/>
        <v>-1</v>
      </c>
      <c r="BF328" s="15">
        <f t="shared" si="1667"/>
        <v>-1</v>
      </c>
      <c r="BG328" s="15" t="str">
        <f t="shared" si="1668"/>
        <v>-1-1-1</v>
      </c>
      <c r="BH328" s="15" t="str">
        <f t="shared" si="1669"/>
        <v>SD</v>
      </c>
      <c r="BI328" s="15" t="str">
        <f t="shared" si="1670"/>
        <v>SI</v>
      </c>
      <c r="BJ328" s="15" t="b">
        <f t="shared" si="1671"/>
        <v>1</v>
      </c>
      <c r="BK328" s="15" t="str">
        <f t="shared" si="1672"/>
        <v>SIGIGUALES</v>
      </c>
      <c r="BL328" s="22" t="str">
        <f t="shared" si="1673"/>
        <v>NO CONFORME</v>
      </c>
    </row>
    <row r="329" spans="1:64" ht="15.75" thickBot="1" x14ac:dyDescent="0.3">
      <c r="A329" s="37">
        <v>321</v>
      </c>
      <c r="B329" s="93">
        <f t="shared" ref="B329:E329" si="2080">B328</f>
        <v>45919</v>
      </c>
      <c r="C329" s="93">
        <f t="shared" si="2080"/>
        <v>45919</v>
      </c>
      <c r="D329" s="94">
        <f t="shared" si="2080"/>
        <v>6</v>
      </c>
      <c r="E329" s="95">
        <f t="shared" si="2080"/>
        <v>15</v>
      </c>
      <c r="F329" s="52"/>
      <c r="G329" s="96"/>
      <c r="H329" s="97">
        <f t="shared" ref="H329:L329" si="2081">H328</f>
        <v>25.6</v>
      </c>
      <c r="I329" s="98">
        <f t="shared" si="2081"/>
        <v>0</v>
      </c>
      <c r="J329" s="99">
        <f t="shared" si="2081"/>
        <v>20.9</v>
      </c>
      <c r="K329" s="99">
        <f t="shared" si="2081"/>
        <v>7.883</v>
      </c>
      <c r="L329" s="99">
        <f t="shared" si="2081"/>
        <v>0.55400000000000005</v>
      </c>
      <c r="M329" s="53"/>
      <c r="N329" s="53"/>
      <c r="O329" s="100">
        <f t="shared" ref="O329:P329" si="2082">O328</f>
        <v>100.62</v>
      </c>
      <c r="P329" s="101" t="str">
        <f t="shared" si="2082"/>
        <v>2,29,560</v>
      </c>
      <c r="Q329" s="11" t="str">
        <f t="shared" si="1739"/>
        <v>2</v>
      </c>
      <c r="R329" s="11" t="str">
        <f t="shared" si="1740"/>
        <v>29,560</v>
      </c>
      <c r="S329" s="11">
        <f t="shared" si="1741"/>
        <v>4.1544444444444446E-2</v>
      </c>
      <c r="T329" s="14">
        <f t="shared" si="1742"/>
        <v>2421.9844878309709</v>
      </c>
      <c r="U329" s="39">
        <f t="shared" si="1743"/>
        <v>-100</v>
      </c>
      <c r="V329" s="105">
        <f t="shared" ref="V329:W329" si="2083">V328</f>
        <v>20.399999999999999</v>
      </c>
      <c r="W329" s="105">
        <f t="shared" si="2083"/>
        <v>1.5069999999999999</v>
      </c>
      <c r="X329" s="106">
        <f t="shared" si="1992"/>
        <v>1.504</v>
      </c>
      <c r="Y329" s="53"/>
      <c r="Z329" s="53"/>
      <c r="AA329" s="107">
        <f t="shared" ref="AA329:AB329" si="2084">AA328</f>
        <v>10.015000000000001</v>
      </c>
      <c r="AB329" s="108" t="str">
        <f t="shared" si="2084"/>
        <v>22,10,090</v>
      </c>
      <c r="AC329" s="11" t="str">
        <f t="shared" si="1746"/>
        <v>22</v>
      </c>
      <c r="AD329" s="11" t="str">
        <f t="shared" si="1747"/>
        <v>10,090</v>
      </c>
      <c r="AE329" s="11">
        <f t="shared" si="1748"/>
        <v>0.36946944444444441</v>
      </c>
      <c r="AF329" s="14">
        <f t="shared" si="1749"/>
        <v>27.106436406558959</v>
      </c>
      <c r="AG329" s="41">
        <f t="shared" si="1750"/>
        <v>-100</v>
      </c>
      <c r="AH329" s="105">
        <f t="shared" si="2000"/>
        <v>20.3</v>
      </c>
      <c r="AI329" s="105">
        <f t="shared" si="2000"/>
        <v>1.5089999999999999</v>
      </c>
      <c r="AJ329" s="105">
        <f t="shared" si="2000"/>
        <v>1.504</v>
      </c>
      <c r="AK329" s="53">
        <f t="shared" si="1751"/>
        <v>0</v>
      </c>
      <c r="AL329" s="53"/>
      <c r="AM329" s="54">
        <f t="shared" ref="AM329:AN329" si="2085">AM328</f>
        <v>5.0129999999999999</v>
      </c>
      <c r="AN329" s="101" t="str">
        <f t="shared" si="2085"/>
        <v>17,59,050</v>
      </c>
      <c r="AO329" s="11" t="str">
        <f t="shared" si="1753"/>
        <v>17</v>
      </c>
      <c r="AP329" s="11" t="str">
        <f t="shared" si="1754"/>
        <v>59,050</v>
      </c>
      <c r="AQ329" s="11">
        <f t="shared" si="1755"/>
        <v>0.29973611111111109</v>
      </c>
      <c r="AR329" s="14">
        <f t="shared" si="1756"/>
        <v>16.724711551827998</v>
      </c>
      <c r="AS329" s="41">
        <f t="shared" si="1757"/>
        <v>-100</v>
      </c>
      <c r="AT329" s="43" t="str">
        <f t="shared" si="1758"/>
        <v>NO CONFORME</v>
      </c>
      <c r="AU329" s="8" t="b">
        <f t="shared" si="1680"/>
        <v>1</v>
      </c>
      <c r="AV329" s="8" t="b">
        <f t="shared" si="1681"/>
        <v>0</v>
      </c>
      <c r="AW329" s="8" t="b">
        <f t="shared" si="1682"/>
        <v>1</v>
      </c>
      <c r="AX329" s="8" t="str">
        <f t="shared" si="1683"/>
        <v>Qcorrecto</v>
      </c>
      <c r="AY329" s="22" t="str">
        <f t="shared" ref="AY329:AY392" si="2086">IF(AR329&lt;$AH$6,"error",IF(AR329&gt;$AH$6*1.1,"error","aceptable"))</f>
        <v>aceptable</v>
      </c>
      <c r="AZ329" s="22" t="str">
        <f t="shared" ref="AZ329:AZ392" si="2087">IF(AF329&lt;$V$6,"error",IF(AF329&gt;$V$6*1.1,"error","aceptable"))</f>
        <v>aceptable</v>
      </c>
      <c r="BA329" s="22" t="str">
        <f t="shared" si="1684"/>
        <v>aceptable</v>
      </c>
      <c r="BB329" s="25" t="str">
        <f t="shared" si="1685"/>
        <v>NO CONFORME</v>
      </c>
      <c r="BC329" s="5" t="str">
        <f t="shared" si="1686"/>
        <v>NO CONFORME</v>
      </c>
      <c r="BD329" s="15">
        <f t="shared" ref="BD329:BD392" si="2088">SIGN(U329)</f>
        <v>-1</v>
      </c>
      <c r="BE329" s="15">
        <f t="shared" ref="BE329:BE392" si="2089">SIGN(AG329)</f>
        <v>-1</v>
      </c>
      <c r="BF329" s="15">
        <f t="shared" ref="BF329:BF392" si="2090">SIGN(AS329)</f>
        <v>-1</v>
      </c>
      <c r="BG329" s="15" t="str">
        <f t="shared" ref="BG329:BG392" si="2091">CONCATENATE(BD329,BE329,BF329)</f>
        <v>-1-1-1</v>
      </c>
      <c r="BH329" s="15" t="str">
        <f t="shared" ref="BH329:BH392" si="2092">IF(BG329="111","SI","SD")</f>
        <v>SD</v>
      </c>
      <c r="BI329" s="15" t="str">
        <f t="shared" ref="BI329:BI392" si="2093">IF(BG329="-1-1-1","SI","SD")</f>
        <v>SI</v>
      </c>
      <c r="BJ329" s="15" t="b">
        <f t="shared" ref="BJ329:BJ392" si="2094">OR(BH329="SI",BI329="SI")</f>
        <v>1</v>
      </c>
      <c r="BK329" s="15" t="str">
        <f t="shared" ref="BK329:BK392" si="2095">IF(BJ329=FALSE,"SIGDIFERENTES","SIGIGUALES")</f>
        <v>SIGIGUALES</v>
      </c>
      <c r="BL329" s="22" t="str">
        <f t="shared" ref="BL329:BL392" si="2096">IF(BC329="NO CONFORME","NO CONFORME",IF(BB329="CONFORME","CONFORME","NO CONFORME"))</f>
        <v>NO CONFORME</v>
      </c>
    </row>
    <row r="330" spans="1:64" ht="15.75" thickBot="1" x14ac:dyDescent="0.3">
      <c r="A330" s="37">
        <v>322</v>
      </c>
      <c r="B330" s="93">
        <f t="shared" ref="B330:E330" si="2097">B329</f>
        <v>45919</v>
      </c>
      <c r="C330" s="93">
        <f t="shared" si="2097"/>
        <v>45919</v>
      </c>
      <c r="D330" s="94">
        <f t="shared" si="2097"/>
        <v>6</v>
      </c>
      <c r="E330" s="95">
        <f t="shared" si="2097"/>
        <v>15</v>
      </c>
      <c r="F330" s="52"/>
      <c r="G330" s="96"/>
      <c r="H330" s="97">
        <f t="shared" ref="H330:L330" si="2098">H329</f>
        <v>25.6</v>
      </c>
      <c r="I330" s="98">
        <f t="shared" si="2098"/>
        <v>0</v>
      </c>
      <c r="J330" s="99">
        <f t="shared" si="2098"/>
        <v>20.9</v>
      </c>
      <c r="K330" s="99">
        <f t="shared" si="2098"/>
        <v>7.883</v>
      </c>
      <c r="L330" s="99">
        <f t="shared" si="2098"/>
        <v>0.55400000000000005</v>
      </c>
      <c r="M330" s="53"/>
      <c r="N330" s="53"/>
      <c r="O330" s="100">
        <f t="shared" ref="O330:P330" si="2099">O329</f>
        <v>100.62</v>
      </c>
      <c r="P330" s="101" t="str">
        <f t="shared" si="2099"/>
        <v>2,29,560</v>
      </c>
      <c r="Q330" s="11" t="str">
        <f t="shared" si="1739"/>
        <v>2</v>
      </c>
      <c r="R330" s="11" t="str">
        <f t="shared" si="1740"/>
        <v>29,560</v>
      </c>
      <c r="S330" s="11">
        <f t="shared" si="1741"/>
        <v>4.1544444444444446E-2</v>
      </c>
      <c r="T330" s="14">
        <f t="shared" si="1742"/>
        <v>2421.9844878309709</v>
      </c>
      <c r="U330" s="39">
        <f t="shared" si="1743"/>
        <v>-100</v>
      </c>
      <c r="V330" s="105">
        <f t="shared" ref="V330:X345" si="2100">V329</f>
        <v>20.399999999999999</v>
      </c>
      <c r="W330" s="105">
        <f t="shared" si="2100"/>
        <v>1.5069999999999999</v>
      </c>
      <c r="X330" s="106">
        <f t="shared" si="2100"/>
        <v>1.504</v>
      </c>
      <c r="Y330" s="53"/>
      <c r="Z330" s="53"/>
      <c r="AA330" s="107">
        <f t="shared" ref="AA330:AB330" si="2101">AA329</f>
        <v>10.015000000000001</v>
      </c>
      <c r="AB330" s="108" t="str">
        <f t="shared" si="2101"/>
        <v>22,10,090</v>
      </c>
      <c r="AC330" s="11" t="str">
        <f t="shared" si="1746"/>
        <v>22</v>
      </c>
      <c r="AD330" s="11" t="str">
        <f t="shared" si="1747"/>
        <v>10,090</v>
      </c>
      <c r="AE330" s="11">
        <f t="shared" si="1748"/>
        <v>0.36946944444444441</v>
      </c>
      <c r="AF330" s="14">
        <f t="shared" si="1749"/>
        <v>27.106436406558959</v>
      </c>
      <c r="AG330" s="41">
        <f t="shared" si="1750"/>
        <v>-100</v>
      </c>
      <c r="AH330" s="105">
        <f t="shared" si="2000"/>
        <v>20.3</v>
      </c>
      <c r="AI330" s="105">
        <f t="shared" si="2000"/>
        <v>1.5089999999999999</v>
      </c>
      <c r="AJ330" s="105">
        <f t="shared" si="2000"/>
        <v>1.504</v>
      </c>
      <c r="AK330" s="53">
        <f t="shared" si="1751"/>
        <v>0</v>
      </c>
      <c r="AL330" s="53"/>
      <c r="AM330" s="54">
        <f t="shared" ref="AM330:AN330" si="2102">AM329</f>
        <v>5.0129999999999999</v>
      </c>
      <c r="AN330" s="101" t="str">
        <f t="shared" si="2102"/>
        <v>17,59,050</v>
      </c>
      <c r="AO330" s="11" t="str">
        <f t="shared" si="1753"/>
        <v>17</v>
      </c>
      <c r="AP330" s="11" t="str">
        <f t="shared" si="1754"/>
        <v>59,050</v>
      </c>
      <c r="AQ330" s="11">
        <f t="shared" si="1755"/>
        <v>0.29973611111111109</v>
      </c>
      <c r="AR330" s="14">
        <f t="shared" si="1756"/>
        <v>16.724711551827998</v>
      </c>
      <c r="AS330" s="41">
        <f t="shared" si="1757"/>
        <v>-100</v>
      </c>
      <c r="AT330" s="43" t="str">
        <f t="shared" si="1758"/>
        <v>NO CONFORME</v>
      </c>
      <c r="AU330" s="8" t="b">
        <f t="shared" ref="AU330:AU393" si="2103">B330=C330</f>
        <v>1</v>
      </c>
      <c r="AV330" s="8" t="b">
        <f t="shared" ref="AV330:AV393" si="2104">N330&lt;Y330</f>
        <v>0</v>
      </c>
      <c r="AW330" s="8" t="b">
        <f t="shared" ref="AW330:AW393" si="2105">Z330&lt;=AK330</f>
        <v>1</v>
      </c>
      <c r="AX330" s="8" t="str">
        <f t="shared" ref="AX330:AX393" si="2106">IF(I330&gt;=1,"Qcorrecto",IF(AND(AY330="aceptable",AZ330="aceptable",BA330="aceptable"),"Qcorrecto","Qincorrecto"))</f>
        <v>Qcorrecto</v>
      </c>
      <c r="AY330" s="22" t="str">
        <f t="shared" si="2086"/>
        <v>aceptable</v>
      </c>
      <c r="AZ330" s="22" t="str">
        <f t="shared" si="2087"/>
        <v>aceptable</v>
      </c>
      <c r="BA330" s="22" t="str">
        <f t="shared" ref="BA330:BA393" si="2107">IF(T330&lt;$J$6*0.9,"error",IF(T330&gt;$J$6,"error","aceptable"))</f>
        <v>aceptable</v>
      </c>
      <c r="BB330" s="25" t="str">
        <f t="shared" ref="BB330:BB393" si="2108">(IF(ABS(U330)&lt;1.05,"CONFORME",IF(ABS(AG330)&lt;1.05,"CONFORME",IF(ABS(AS330)&lt;2.55,"CONFORME","NO CONFORME"))))</f>
        <v>NO CONFORME</v>
      </c>
      <c r="BC330" s="5" t="str">
        <f t="shared" ref="BC330:BC393" si="2109">(IF(ABS(U330)&gt;2.05,"NO CONFORME",IF(ABS(AG330)&gt;2.05,"NO CONFORME",IF(ABS(AS330)&gt;5.05,"NO CONFORME","CONFORME"))))</f>
        <v>NO CONFORME</v>
      </c>
      <c r="BD330" s="15">
        <f t="shared" si="2088"/>
        <v>-1</v>
      </c>
      <c r="BE330" s="15">
        <f t="shared" si="2089"/>
        <v>-1</v>
      </c>
      <c r="BF330" s="15">
        <f t="shared" si="2090"/>
        <v>-1</v>
      </c>
      <c r="BG330" s="15" t="str">
        <f t="shared" si="2091"/>
        <v>-1-1-1</v>
      </c>
      <c r="BH330" s="15" t="str">
        <f t="shared" si="2092"/>
        <v>SD</v>
      </c>
      <c r="BI330" s="15" t="str">
        <f t="shared" si="2093"/>
        <v>SI</v>
      </c>
      <c r="BJ330" s="15" t="b">
        <f t="shared" si="2094"/>
        <v>1</v>
      </c>
      <c r="BK330" s="15" t="str">
        <f t="shared" si="2095"/>
        <v>SIGIGUALES</v>
      </c>
      <c r="BL330" s="22" t="str">
        <f t="shared" si="2096"/>
        <v>NO CONFORME</v>
      </c>
    </row>
    <row r="331" spans="1:64" ht="15.75" thickBot="1" x14ac:dyDescent="0.3">
      <c r="A331" s="37">
        <v>323</v>
      </c>
      <c r="B331" s="93">
        <f t="shared" ref="B331:E331" si="2110">B330</f>
        <v>45919</v>
      </c>
      <c r="C331" s="93">
        <f t="shared" si="2110"/>
        <v>45919</v>
      </c>
      <c r="D331" s="94">
        <f t="shared" si="2110"/>
        <v>6</v>
      </c>
      <c r="E331" s="95">
        <f t="shared" si="2110"/>
        <v>15</v>
      </c>
      <c r="F331" s="52"/>
      <c r="G331" s="96"/>
      <c r="H331" s="97">
        <f t="shared" ref="H331:L331" si="2111">H330</f>
        <v>25.6</v>
      </c>
      <c r="I331" s="98">
        <f t="shared" si="2111"/>
        <v>0</v>
      </c>
      <c r="J331" s="99">
        <f t="shared" si="2111"/>
        <v>20.9</v>
      </c>
      <c r="K331" s="99">
        <f t="shared" si="2111"/>
        <v>7.883</v>
      </c>
      <c r="L331" s="99">
        <f t="shared" si="2111"/>
        <v>0.55400000000000005</v>
      </c>
      <c r="M331" s="53"/>
      <c r="N331" s="53"/>
      <c r="O331" s="100">
        <f t="shared" ref="O331:P331" si="2112">O330</f>
        <v>100.62</v>
      </c>
      <c r="P331" s="101" t="str">
        <f t="shared" si="2112"/>
        <v>2,29,560</v>
      </c>
      <c r="Q331" s="11" t="str">
        <f t="shared" si="1739"/>
        <v>2</v>
      </c>
      <c r="R331" s="11" t="str">
        <f t="shared" si="1740"/>
        <v>29,560</v>
      </c>
      <c r="S331" s="11">
        <f t="shared" si="1741"/>
        <v>4.1544444444444446E-2</v>
      </c>
      <c r="T331" s="14">
        <f t="shared" si="1742"/>
        <v>2421.9844878309709</v>
      </c>
      <c r="U331" s="39">
        <f t="shared" si="1743"/>
        <v>-100</v>
      </c>
      <c r="V331" s="105">
        <f t="shared" ref="V331:W331" si="2113">V330</f>
        <v>20.399999999999999</v>
      </c>
      <c r="W331" s="105">
        <f t="shared" si="2113"/>
        <v>1.5069999999999999</v>
      </c>
      <c r="X331" s="106">
        <f t="shared" si="2100"/>
        <v>1.504</v>
      </c>
      <c r="Y331" s="53"/>
      <c r="Z331" s="53"/>
      <c r="AA331" s="107">
        <f t="shared" ref="AA331:AB331" si="2114">AA330</f>
        <v>10.015000000000001</v>
      </c>
      <c r="AB331" s="108" t="str">
        <f t="shared" si="2114"/>
        <v>22,10,090</v>
      </c>
      <c r="AC331" s="11" t="str">
        <f t="shared" si="1746"/>
        <v>22</v>
      </c>
      <c r="AD331" s="11" t="str">
        <f t="shared" si="1747"/>
        <v>10,090</v>
      </c>
      <c r="AE331" s="11">
        <f t="shared" si="1748"/>
        <v>0.36946944444444441</v>
      </c>
      <c r="AF331" s="14">
        <f t="shared" si="1749"/>
        <v>27.106436406558959</v>
      </c>
      <c r="AG331" s="41">
        <f t="shared" si="1750"/>
        <v>-100</v>
      </c>
      <c r="AH331" s="105">
        <f t="shared" ref="AH331:AJ346" si="2115">AH330</f>
        <v>20.3</v>
      </c>
      <c r="AI331" s="105">
        <f t="shared" si="2115"/>
        <v>1.5089999999999999</v>
      </c>
      <c r="AJ331" s="105">
        <f t="shared" si="2115"/>
        <v>1.504</v>
      </c>
      <c r="AK331" s="53">
        <f t="shared" si="1751"/>
        <v>0</v>
      </c>
      <c r="AL331" s="53"/>
      <c r="AM331" s="54">
        <f t="shared" ref="AM331:AN331" si="2116">AM330</f>
        <v>5.0129999999999999</v>
      </c>
      <c r="AN331" s="101" t="str">
        <f t="shared" si="2116"/>
        <v>17,59,050</v>
      </c>
      <c r="AO331" s="11" t="str">
        <f t="shared" si="1753"/>
        <v>17</v>
      </c>
      <c r="AP331" s="11" t="str">
        <f t="shared" si="1754"/>
        <v>59,050</v>
      </c>
      <c r="AQ331" s="11">
        <f t="shared" si="1755"/>
        <v>0.29973611111111109</v>
      </c>
      <c r="AR331" s="14">
        <f t="shared" si="1756"/>
        <v>16.724711551827998</v>
      </c>
      <c r="AS331" s="41">
        <f t="shared" si="1757"/>
        <v>-100</v>
      </c>
      <c r="AT331" s="43" t="str">
        <f t="shared" si="1758"/>
        <v>NO CONFORME</v>
      </c>
      <c r="AU331" s="8" t="b">
        <f t="shared" si="2103"/>
        <v>1</v>
      </c>
      <c r="AV331" s="8" t="b">
        <f t="shared" si="2104"/>
        <v>0</v>
      </c>
      <c r="AW331" s="8" t="b">
        <f t="shared" si="2105"/>
        <v>1</v>
      </c>
      <c r="AX331" s="8" t="str">
        <f t="shared" si="2106"/>
        <v>Qcorrecto</v>
      </c>
      <c r="AY331" s="22" t="str">
        <f t="shared" si="2086"/>
        <v>aceptable</v>
      </c>
      <c r="AZ331" s="22" t="str">
        <f t="shared" si="2087"/>
        <v>aceptable</v>
      </c>
      <c r="BA331" s="22" t="str">
        <f t="shared" si="2107"/>
        <v>aceptable</v>
      </c>
      <c r="BB331" s="25" t="str">
        <f t="shared" si="2108"/>
        <v>NO CONFORME</v>
      </c>
      <c r="BC331" s="5" t="str">
        <f t="shared" si="2109"/>
        <v>NO CONFORME</v>
      </c>
      <c r="BD331" s="15">
        <f t="shared" si="2088"/>
        <v>-1</v>
      </c>
      <c r="BE331" s="15">
        <f t="shared" si="2089"/>
        <v>-1</v>
      </c>
      <c r="BF331" s="15">
        <f t="shared" si="2090"/>
        <v>-1</v>
      </c>
      <c r="BG331" s="15" t="str">
        <f t="shared" si="2091"/>
        <v>-1-1-1</v>
      </c>
      <c r="BH331" s="15" t="str">
        <f t="shared" si="2092"/>
        <v>SD</v>
      </c>
      <c r="BI331" s="15" t="str">
        <f t="shared" si="2093"/>
        <v>SI</v>
      </c>
      <c r="BJ331" s="15" t="b">
        <f t="shared" si="2094"/>
        <v>1</v>
      </c>
      <c r="BK331" s="15" t="str">
        <f t="shared" si="2095"/>
        <v>SIGIGUALES</v>
      </c>
      <c r="BL331" s="22" t="str">
        <f t="shared" si="2096"/>
        <v>NO CONFORME</v>
      </c>
    </row>
    <row r="332" spans="1:64" ht="15.75" thickBot="1" x14ac:dyDescent="0.3">
      <c r="A332" s="37">
        <v>324</v>
      </c>
      <c r="B332" s="93">
        <f t="shared" ref="B332:E332" si="2117">B331</f>
        <v>45919</v>
      </c>
      <c r="C332" s="93">
        <f t="shared" si="2117"/>
        <v>45919</v>
      </c>
      <c r="D332" s="94">
        <f t="shared" si="2117"/>
        <v>6</v>
      </c>
      <c r="E332" s="95">
        <f t="shared" si="2117"/>
        <v>15</v>
      </c>
      <c r="F332" s="52"/>
      <c r="G332" s="96"/>
      <c r="H332" s="97">
        <f t="shared" ref="H332:L332" si="2118">H331</f>
        <v>25.6</v>
      </c>
      <c r="I332" s="98">
        <f t="shared" si="2118"/>
        <v>0</v>
      </c>
      <c r="J332" s="99">
        <f t="shared" si="2118"/>
        <v>20.9</v>
      </c>
      <c r="K332" s="99">
        <f t="shared" si="2118"/>
        <v>7.883</v>
      </c>
      <c r="L332" s="99">
        <f t="shared" si="2118"/>
        <v>0.55400000000000005</v>
      </c>
      <c r="M332" s="53"/>
      <c r="N332" s="53"/>
      <c r="O332" s="100">
        <f t="shared" ref="O332:P332" si="2119">O331</f>
        <v>100.62</v>
      </c>
      <c r="P332" s="101" t="str">
        <f t="shared" si="2119"/>
        <v>2,29,560</v>
      </c>
      <c r="Q332" s="11" t="str">
        <f t="shared" si="1739"/>
        <v>2</v>
      </c>
      <c r="R332" s="11" t="str">
        <f t="shared" si="1740"/>
        <v>29,560</v>
      </c>
      <c r="S332" s="11">
        <f t="shared" si="1741"/>
        <v>4.1544444444444446E-2</v>
      </c>
      <c r="T332" s="14">
        <f t="shared" si="1742"/>
        <v>2421.9844878309709</v>
      </c>
      <c r="U332" s="39">
        <f t="shared" si="1743"/>
        <v>-100</v>
      </c>
      <c r="V332" s="105">
        <f t="shared" ref="V332:W332" si="2120">V331</f>
        <v>20.399999999999999</v>
      </c>
      <c r="W332" s="105">
        <f t="shared" si="2120"/>
        <v>1.5069999999999999</v>
      </c>
      <c r="X332" s="106">
        <f t="shared" si="2100"/>
        <v>1.504</v>
      </c>
      <c r="Y332" s="53"/>
      <c r="Z332" s="53"/>
      <c r="AA332" s="107">
        <f t="shared" ref="AA332:AB332" si="2121">AA331</f>
        <v>10.015000000000001</v>
      </c>
      <c r="AB332" s="108" t="str">
        <f t="shared" si="2121"/>
        <v>22,10,090</v>
      </c>
      <c r="AC332" s="11" t="str">
        <f t="shared" si="1746"/>
        <v>22</v>
      </c>
      <c r="AD332" s="11" t="str">
        <f t="shared" si="1747"/>
        <v>10,090</v>
      </c>
      <c r="AE332" s="11">
        <f t="shared" si="1748"/>
        <v>0.36946944444444441</v>
      </c>
      <c r="AF332" s="14">
        <f t="shared" si="1749"/>
        <v>27.106436406558959</v>
      </c>
      <c r="AG332" s="41">
        <f t="shared" si="1750"/>
        <v>-100</v>
      </c>
      <c r="AH332" s="105">
        <f t="shared" si="2115"/>
        <v>20.3</v>
      </c>
      <c r="AI332" s="105">
        <f t="shared" si="2115"/>
        <v>1.5089999999999999</v>
      </c>
      <c r="AJ332" s="105">
        <f t="shared" si="2115"/>
        <v>1.504</v>
      </c>
      <c r="AK332" s="53">
        <f t="shared" si="1751"/>
        <v>0</v>
      </c>
      <c r="AL332" s="53"/>
      <c r="AM332" s="54">
        <f t="shared" ref="AM332:AN332" si="2122">AM331</f>
        <v>5.0129999999999999</v>
      </c>
      <c r="AN332" s="101" t="str">
        <f t="shared" si="2122"/>
        <v>17,59,050</v>
      </c>
      <c r="AO332" s="11" t="str">
        <f t="shared" si="1753"/>
        <v>17</v>
      </c>
      <c r="AP332" s="11" t="str">
        <f t="shared" si="1754"/>
        <v>59,050</v>
      </c>
      <c r="AQ332" s="11">
        <f t="shared" si="1755"/>
        <v>0.29973611111111109</v>
      </c>
      <c r="AR332" s="14">
        <f t="shared" si="1756"/>
        <v>16.724711551827998</v>
      </c>
      <c r="AS332" s="41">
        <f t="shared" si="1757"/>
        <v>-100</v>
      </c>
      <c r="AT332" s="43" t="str">
        <f t="shared" si="1758"/>
        <v>NO CONFORME</v>
      </c>
      <c r="AU332" s="8" t="b">
        <f t="shared" si="2103"/>
        <v>1</v>
      </c>
      <c r="AV332" s="8" t="b">
        <f t="shared" si="2104"/>
        <v>0</v>
      </c>
      <c r="AW332" s="8" t="b">
        <f t="shared" si="2105"/>
        <v>1</v>
      </c>
      <c r="AX332" s="8" t="str">
        <f t="shared" si="2106"/>
        <v>Qcorrecto</v>
      </c>
      <c r="AY332" s="22" t="str">
        <f t="shared" si="2086"/>
        <v>aceptable</v>
      </c>
      <c r="AZ332" s="22" t="str">
        <f t="shared" si="2087"/>
        <v>aceptable</v>
      </c>
      <c r="BA332" s="22" t="str">
        <f t="shared" si="2107"/>
        <v>aceptable</v>
      </c>
      <c r="BB332" s="25" t="str">
        <f t="shared" si="2108"/>
        <v>NO CONFORME</v>
      </c>
      <c r="BC332" s="5" t="str">
        <f t="shared" si="2109"/>
        <v>NO CONFORME</v>
      </c>
      <c r="BD332" s="15">
        <f t="shared" si="2088"/>
        <v>-1</v>
      </c>
      <c r="BE332" s="15">
        <f t="shared" si="2089"/>
        <v>-1</v>
      </c>
      <c r="BF332" s="15">
        <f t="shared" si="2090"/>
        <v>-1</v>
      </c>
      <c r="BG332" s="15" t="str">
        <f t="shared" si="2091"/>
        <v>-1-1-1</v>
      </c>
      <c r="BH332" s="15" t="str">
        <f t="shared" si="2092"/>
        <v>SD</v>
      </c>
      <c r="BI332" s="15" t="str">
        <f t="shared" si="2093"/>
        <v>SI</v>
      </c>
      <c r="BJ332" s="15" t="b">
        <f t="shared" si="2094"/>
        <v>1</v>
      </c>
      <c r="BK332" s="15" t="str">
        <f t="shared" si="2095"/>
        <v>SIGIGUALES</v>
      </c>
      <c r="BL332" s="22" t="str">
        <f t="shared" si="2096"/>
        <v>NO CONFORME</v>
      </c>
    </row>
    <row r="333" spans="1:64" ht="15.75" thickBot="1" x14ac:dyDescent="0.3">
      <c r="A333" s="37">
        <v>325</v>
      </c>
      <c r="B333" s="93">
        <f t="shared" ref="B333:E333" si="2123">B332</f>
        <v>45919</v>
      </c>
      <c r="C333" s="93">
        <f t="shared" si="2123"/>
        <v>45919</v>
      </c>
      <c r="D333" s="94">
        <f t="shared" si="2123"/>
        <v>6</v>
      </c>
      <c r="E333" s="95">
        <f t="shared" si="2123"/>
        <v>15</v>
      </c>
      <c r="F333" s="52"/>
      <c r="G333" s="96"/>
      <c r="H333" s="97">
        <f t="shared" ref="H333:L333" si="2124">H332</f>
        <v>25.6</v>
      </c>
      <c r="I333" s="98">
        <f t="shared" si="2124"/>
        <v>0</v>
      </c>
      <c r="J333" s="99">
        <f t="shared" si="2124"/>
        <v>20.9</v>
      </c>
      <c r="K333" s="99">
        <f t="shared" si="2124"/>
        <v>7.883</v>
      </c>
      <c r="L333" s="99">
        <f t="shared" si="2124"/>
        <v>0.55400000000000005</v>
      </c>
      <c r="M333" s="53"/>
      <c r="N333" s="53"/>
      <c r="O333" s="100">
        <f t="shared" ref="O333:P333" si="2125">O332</f>
        <v>100.62</v>
      </c>
      <c r="P333" s="101" t="str">
        <f t="shared" si="2125"/>
        <v>2,29,560</v>
      </c>
      <c r="Q333" s="11" t="str">
        <f t="shared" si="1739"/>
        <v>2</v>
      </c>
      <c r="R333" s="11" t="str">
        <f t="shared" si="1740"/>
        <v>29,560</v>
      </c>
      <c r="S333" s="11">
        <f t="shared" si="1741"/>
        <v>4.1544444444444446E-2</v>
      </c>
      <c r="T333" s="14">
        <f t="shared" si="1742"/>
        <v>2421.9844878309709</v>
      </c>
      <c r="U333" s="39">
        <f t="shared" si="1743"/>
        <v>-100</v>
      </c>
      <c r="V333" s="105">
        <f t="shared" ref="V333:W333" si="2126">V332</f>
        <v>20.399999999999999</v>
      </c>
      <c r="W333" s="105">
        <f t="shared" si="2126"/>
        <v>1.5069999999999999</v>
      </c>
      <c r="X333" s="106">
        <f t="shared" si="2100"/>
        <v>1.504</v>
      </c>
      <c r="Y333" s="53"/>
      <c r="Z333" s="53"/>
      <c r="AA333" s="107">
        <f t="shared" ref="AA333:AB333" si="2127">AA332</f>
        <v>10.015000000000001</v>
      </c>
      <c r="AB333" s="108" t="str">
        <f t="shared" si="2127"/>
        <v>22,10,090</v>
      </c>
      <c r="AC333" s="11" t="str">
        <f t="shared" si="1746"/>
        <v>22</v>
      </c>
      <c r="AD333" s="11" t="str">
        <f t="shared" si="1747"/>
        <v>10,090</v>
      </c>
      <c r="AE333" s="11">
        <f t="shared" si="1748"/>
        <v>0.36946944444444441</v>
      </c>
      <c r="AF333" s="14">
        <f t="shared" si="1749"/>
        <v>27.106436406558959</v>
      </c>
      <c r="AG333" s="41">
        <f t="shared" si="1750"/>
        <v>-100</v>
      </c>
      <c r="AH333" s="105">
        <f t="shared" si="2115"/>
        <v>20.3</v>
      </c>
      <c r="AI333" s="105">
        <f t="shared" si="2115"/>
        <v>1.5089999999999999</v>
      </c>
      <c r="AJ333" s="105">
        <f t="shared" si="2115"/>
        <v>1.504</v>
      </c>
      <c r="AK333" s="53">
        <f t="shared" si="1751"/>
        <v>0</v>
      </c>
      <c r="AL333" s="53"/>
      <c r="AM333" s="54">
        <f t="shared" ref="AM333:AN333" si="2128">AM332</f>
        <v>5.0129999999999999</v>
      </c>
      <c r="AN333" s="101" t="str">
        <f t="shared" si="2128"/>
        <v>17,59,050</v>
      </c>
      <c r="AO333" s="11" t="str">
        <f t="shared" si="1753"/>
        <v>17</v>
      </c>
      <c r="AP333" s="11" t="str">
        <f t="shared" si="1754"/>
        <v>59,050</v>
      </c>
      <c r="AQ333" s="11">
        <f t="shared" si="1755"/>
        <v>0.29973611111111109</v>
      </c>
      <c r="AR333" s="14">
        <f t="shared" si="1756"/>
        <v>16.724711551827998</v>
      </c>
      <c r="AS333" s="41">
        <f t="shared" si="1757"/>
        <v>-100</v>
      </c>
      <c r="AT333" s="43" t="str">
        <f t="shared" si="1758"/>
        <v>NO CONFORME</v>
      </c>
      <c r="AU333" s="8" t="b">
        <f t="shared" si="2103"/>
        <v>1</v>
      </c>
      <c r="AV333" s="8" t="b">
        <f t="shared" si="2104"/>
        <v>0</v>
      </c>
      <c r="AW333" s="8" t="b">
        <f t="shared" si="2105"/>
        <v>1</v>
      </c>
      <c r="AX333" s="8" t="str">
        <f t="shared" si="2106"/>
        <v>Qcorrecto</v>
      </c>
      <c r="AY333" s="22" t="str">
        <f t="shared" si="2086"/>
        <v>aceptable</v>
      </c>
      <c r="AZ333" s="22" t="str">
        <f t="shared" si="2087"/>
        <v>aceptable</v>
      </c>
      <c r="BA333" s="22" t="str">
        <f t="shared" si="2107"/>
        <v>aceptable</v>
      </c>
      <c r="BB333" s="25" t="str">
        <f t="shared" si="2108"/>
        <v>NO CONFORME</v>
      </c>
      <c r="BC333" s="5" t="str">
        <f t="shared" si="2109"/>
        <v>NO CONFORME</v>
      </c>
      <c r="BD333" s="15">
        <f t="shared" si="2088"/>
        <v>-1</v>
      </c>
      <c r="BE333" s="15">
        <f t="shared" si="2089"/>
        <v>-1</v>
      </c>
      <c r="BF333" s="15">
        <f t="shared" si="2090"/>
        <v>-1</v>
      </c>
      <c r="BG333" s="15" t="str">
        <f t="shared" si="2091"/>
        <v>-1-1-1</v>
      </c>
      <c r="BH333" s="15" t="str">
        <f t="shared" si="2092"/>
        <v>SD</v>
      </c>
      <c r="BI333" s="15" t="str">
        <f t="shared" si="2093"/>
        <v>SI</v>
      </c>
      <c r="BJ333" s="15" t="b">
        <f t="shared" si="2094"/>
        <v>1</v>
      </c>
      <c r="BK333" s="15" t="str">
        <f t="shared" si="2095"/>
        <v>SIGIGUALES</v>
      </c>
      <c r="BL333" s="22" t="str">
        <f t="shared" si="2096"/>
        <v>NO CONFORME</v>
      </c>
    </row>
    <row r="334" spans="1:64" ht="15.75" thickBot="1" x14ac:dyDescent="0.3">
      <c r="A334" s="37">
        <v>326</v>
      </c>
      <c r="B334" s="93">
        <f t="shared" ref="B334:E334" si="2129">B333</f>
        <v>45919</v>
      </c>
      <c r="C334" s="93">
        <f t="shared" si="2129"/>
        <v>45919</v>
      </c>
      <c r="D334" s="94">
        <f t="shared" si="2129"/>
        <v>6</v>
      </c>
      <c r="E334" s="95">
        <f t="shared" si="2129"/>
        <v>15</v>
      </c>
      <c r="F334" s="52"/>
      <c r="G334" s="96"/>
      <c r="H334" s="97">
        <f t="shared" ref="H334:L334" si="2130">H333</f>
        <v>25.6</v>
      </c>
      <c r="I334" s="98">
        <f t="shared" si="2130"/>
        <v>0</v>
      </c>
      <c r="J334" s="99">
        <f t="shared" si="2130"/>
        <v>20.9</v>
      </c>
      <c r="K334" s="99">
        <f t="shared" si="2130"/>
        <v>7.883</v>
      </c>
      <c r="L334" s="99">
        <f t="shared" si="2130"/>
        <v>0.55400000000000005</v>
      </c>
      <c r="M334" s="53"/>
      <c r="N334" s="53"/>
      <c r="O334" s="100">
        <f t="shared" ref="O334:P334" si="2131">O333</f>
        <v>100.62</v>
      </c>
      <c r="P334" s="101" t="str">
        <f t="shared" si="2131"/>
        <v>2,29,560</v>
      </c>
      <c r="Q334" s="11" t="str">
        <f t="shared" si="1739"/>
        <v>2</v>
      </c>
      <c r="R334" s="11" t="str">
        <f t="shared" si="1740"/>
        <v>29,560</v>
      </c>
      <c r="S334" s="11">
        <f t="shared" si="1741"/>
        <v>4.1544444444444446E-2</v>
      </c>
      <c r="T334" s="14">
        <f t="shared" si="1742"/>
        <v>2421.9844878309709</v>
      </c>
      <c r="U334" s="39">
        <f t="shared" si="1743"/>
        <v>-100</v>
      </c>
      <c r="V334" s="105">
        <f t="shared" ref="V334:W334" si="2132">V333</f>
        <v>20.399999999999999</v>
      </c>
      <c r="W334" s="105">
        <f t="shared" si="2132"/>
        <v>1.5069999999999999</v>
      </c>
      <c r="X334" s="106">
        <f t="shared" si="2100"/>
        <v>1.504</v>
      </c>
      <c r="Y334" s="53"/>
      <c r="Z334" s="53"/>
      <c r="AA334" s="107">
        <f t="shared" ref="AA334:AB334" si="2133">AA333</f>
        <v>10.015000000000001</v>
      </c>
      <c r="AB334" s="108" t="str">
        <f t="shared" si="2133"/>
        <v>22,10,090</v>
      </c>
      <c r="AC334" s="11" t="str">
        <f t="shared" si="1746"/>
        <v>22</v>
      </c>
      <c r="AD334" s="11" t="str">
        <f t="shared" si="1747"/>
        <v>10,090</v>
      </c>
      <c r="AE334" s="11">
        <f t="shared" si="1748"/>
        <v>0.36946944444444441</v>
      </c>
      <c r="AF334" s="14">
        <f t="shared" si="1749"/>
        <v>27.106436406558959</v>
      </c>
      <c r="AG334" s="41">
        <f t="shared" si="1750"/>
        <v>-100</v>
      </c>
      <c r="AH334" s="105">
        <f t="shared" si="2115"/>
        <v>20.3</v>
      </c>
      <c r="AI334" s="105">
        <f t="shared" si="2115"/>
        <v>1.5089999999999999</v>
      </c>
      <c r="AJ334" s="105">
        <f t="shared" si="2115"/>
        <v>1.504</v>
      </c>
      <c r="AK334" s="53">
        <f t="shared" si="1751"/>
        <v>0</v>
      </c>
      <c r="AL334" s="53"/>
      <c r="AM334" s="54">
        <f t="shared" ref="AM334:AN334" si="2134">AM333</f>
        <v>5.0129999999999999</v>
      </c>
      <c r="AN334" s="101" t="str">
        <f t="shared" si="2134"/>
        <v>17,59,050</v>
      </c>
      <c r="AO334" s="11" t="str">
        <f t="shared" si="1753"/>
        <v>17</v>
      </c>
      <c r="AP334" s="11" t="str">
        <f t="shared" si="1754"/>
        <v>59,050</v>
      </c>
      <c r="AQ334" s="11">
        <f t="shared" si="1755"/>
        <v>0.29973611111111109</v>
      </c>
      <c r="AR334" s="14">
        <f t="shared" si="1756"/>
        <v>16.724711551827998</v>
      </c>
      <c r="AS334" s="41">
        <f t="shared" si="1757"/>
        <v>-100</v>
      </c>
      <c r="AT334" s="43" t="str">
        <f t="shared" si="1758"/>
        <v>NO CONFORME</v>
      </c>
      <c r="AU334" s="8" t="b">
        <f t="shared" si="2103"/>
        <v>1</v>
      </c>
      <c r="AV334" s="8" t="b">
        <f t="shared" si="2104"/>
        <v>0</v>
      </c>
      <c r="AW334" s="8" t="b">
        <f t="shared" si="2105"/>
        <v>1</v>
      </c>
      <c r="AX334" s="8" t="str">
        <f t="shared" si="2106"/>
        <v>Qcorrecto</v>
      </c>
      <c r="AY334" s="22" t="str">
        <f t="shared" si="2086"/>
        <v>aceptable</v>
      </c>
      <c r="AZ334" s="22" t="str">
        <f t="shared" si="2087"/>
        <v>aceptable</v>
      </c>
      <c r="BA334" s="22" t="str">
        <f t="shared" si="2107"/>
        <v>aceptable</v>
      </c>
      <c r="BB334" s="25" t="str">
        <f t="shared" si="2108"/>
        <v>NO CONFORME</v>
      </c>
      <c r="BC334" s="5" t="str">
        <f t="shared" si="2109"/>
        <v>NO CONFORME</v>
      </c>
      <c r="BD334" s="15">
        <f t="shared" si="2088"/>
        <v>-1</v>
      </c>
      <c r="BE334" s="15">
        <f t="shared" si="2089"/>
        <v>-1</v>
      </c>
      <c r="BF334" s="15">
        <f t="shared" si="2090"/>
        <v>-1</v>
      </c>
      <c r="BG334" s="15" t="str">
        <f t="shared" si="2091"/>
        <v>-1-1-1</v>
      </c>
      <c r="BH334" s="15" t="str">
        <f t="shared" si="2092"/>
        <v>SD</v>
      </c>
      <c r="BI334" s="15" t="str">
        <f t="shared" si="2093"/>
        <v>SI</v>
      </c>
      <c r="BJ334" s="15" t="b">
        <f t="shared" si="2094"/>
        <v>1</v>
      </c>
      <c r="BK334" s="15" t="str">
        <f t="shared" si="2095"/>
        <v>SIGIGUALES</v>
      </c>
      <c r="BL334" s="22" t="str">
        <f t="shared" si="2096"/>
        <v>NO CONFORME</v>
      </c>
    </row>
    <row r="335" spans="1:64" ht="15.75" thickBot="1" x14ac:dyDescent="0.3">
      <c r="A335" s="37">
        <v>327</v>
      </c>
      <c r="B335" s="93">
        <f t="shared" ref="B335:E335" si="2135">B334</f>
        <v>45919</v>
      </c>
      <c r="C335" s="93">
        <f t="shared" si="2135"/>
        <v>45919</v>
      </c>
      <c r="D335" s="94">
        <f t="shared" si="2135"/>
        <v>6</v>
      </c>
      <c r="E335" s="95">
        <f t="shared" si="2135"/>
        <v>15</v>
      </c>
      <c r="F335" s="52"/>
      <c r="G335" s="96"/>
      <c r="H335" s="97">
        <f t="shared" ref="H335:L335" si="2136">H334</f>
        <v>25.6</v>
      </c>
      <c r="I335" s="98">
        <f t="shared" si="2136"/>
        <v>0</v>
      </c>
      <c r="J335" s="99">
        <f t="shared" si="2136"/>
        <v>20.9</v>
      </c>
      <c r="K335" s="99">
        <f t="shared" si="2136"/>
        <v>7.883</v>
      </c>
      <c r="L335" s="99">
        <f t="shared" si="2136"/>
        <v>0.55400000000000005</v>
      </c>
      <c r="M335" s="53"/>
      <c r="N335" s="53"/>
      <c r="O335" s="100">
        <f t="shared" ref="O335:P335" si="2137">O334</f>
        <v>100.62</v>
      </c>
      <c r="P335" s="101" t="str">
        <f t="shared" si="2137"/>
        <v>2,29,560</v>
      </c>
      <c r="Q335" s="11" t="str">
        <f t="shared" si="1739"/>
        <v>2</v>
      </c>
      <c r="R335" s="11" t="str">
        <f t="shared" si="1740"/>
        <v>29,560</v>
      </c>
      <c r="S335" s="11">
        <f t="shared" si="1741"/>
        <v>4.1544444444444446E-2</v>
      </c>
      <c r="T335" s="14">
        <f t="shared" si="1742"/>
        <v>2421.9844878309709</v>
      </c>
      <c r="U335" s="39">
        <f t="shared" si="1743"/>
        <v>-100</v>
      </c>
      <c r="V335" s="105">
        <f t="shared" ref="V335:W335" si="2138">V334</f>
        <v>20.399999999999999</v>
      </c>
      <c r="W335" s="105">
        <f t="shared" si="2138"/>
        <v>1.5069999999999999</v>
      </c>
      <c r="X335" s="106">
        <f t="shared" si="2100"/>
        <v>1.504</v>
      </c>
      <c r="Y335" s="53"/>
      <c r="Z335" s="53"/>
      <c r="AA335" s="107">
        <f t="shared" ref="AA335:AB335" si="2139">AA334</f>
        <v>10.015000000000001</v>
      </c>
      <c r="AB335" s="108" t="str">
        <f t="shared" si="2139"/>
        <v>22,10,090</v>
      </c>
      <c r="AC335" s="11" t="str">
        <f t="shared" si="1746"/>
        <v>22</v>
      </c>
      <c r="AD335" s="11" t="str">
        <f t="shared" si="1747"/>
        <v>10,090</v>
      </c>
      <c r="AE335" s="11">
        <f t="shared" si="1748"/>
        <v>0.36946944444444441</v>
      </c>
      <c r="AF335" s="14">
        <f t="shared" si="1749"/>
        <v>27.106436406558959</v>
      </c>
      <c r="AG335" s="41">
        <f t="shared" si="1750"/>
        <v>-100</v>
      </c>
      <c r="AH335" s="105">
        <f t="shared" si="2115"/>
        <v>20.3</v>
      </c>
      <c r="AI335" s="105">
        <f t="shared" si="2115"/>
        <v>1.5089999999999999</v>
      </c>
      <c r="AJ335" s="105">
        <f t="shared" si="2115"/>
        <v>1.504</v>
      </c>
      <c r="AK335" s="53">
        <f t="shared" si="1751"/>
        <v>0</v>
      </c>
      <c r="AL335" s="53"/>
      <c r="AM335" s="54">
        <f t="shared" ref="AM335:AN335" si="2140">AM334</f>
        <v>5.0129999999999999</v>
      </c>
      <c r="AN335" s="101" t="str">
        <f t="shared" si="2140"/>
        <v>17,59,050</v>
      </c>
      <c r="AO335" s="11" t="str">
        <f t="shared" si="1753"/>
        <v>17</v>
      </c>
      <c r="AP335" s="11" t="str">
        <f t="shared" si="1754"/>
        <v>59,050</v>
      </c>
      <c r="AQ335" s="11">
        <f t="shared" si="1755"/>
        <v>0.29973611111111109</v>
      </c>
      <c r="AR335" s="14">
        <f t="shared" si="1756"/>
        <v>16.724711551827998</v>
      </c>
      <c r="AS335" s="41">
        <f t="shared" si="1757"/>
        <v>-100</v>
      </c>
      <c r="AT335" s="43" t="str">
        <f t="shared" si="1758"/>
        <v>NO CONFORME</v>
      </c>
      <c r="AU335" s="8" t="b">
        <f t="shared" si="2103"/>
        <v>1</v>
      </c>
      <c r="AV335" s="8" t="b">
        <f t="shared" si="2104"/>
        <v>0</v>
      </c>
      <c r="AW335" s="8" t="b">
        <f t="shared" si="2105"/>
        <v>1</v>
      </c>
      <c r="AX335" s="8" t="str">
        <f t="shared" si="2106"/>
        <v>Qcorrecto</v>
      </c>
      <c r="AY335" s="22" t="str">
        <f t="shared" si="2086"/>
        <v>aceptable</v>
      </c>
      <c r="AZ335" s="22" t="str">
        <f t="shared" si="2087"/>
        <v>aceptable</v>
      </c>
      <c r="BA335" s="22" t="str">
        <f t="shared" si="2107"/>
        <v>aceptable</v>
      </c>
      <c r="BB335" s="25" t="str">
        <f t="shared" si="2108"/>
        <v>NO CONFORME</v>
      </c>
      <c r="BC335" s="5" t="str">
        <f t="shared" si="2109"/>
        <v>NO CONFORME</v>
      </c>
      <c r="BD335" s="15">
        <f t="shared" si="2088"/>
        <v>-1</v>
      </c>
      <c r="BE335" s="15">
        <f t="shared" si="2089"/>
        <v>-1</v>
      </c>
      <c r="BF335" s="15">
        <f t="shared" si="2090"/>
        <v>-1</v>
      </c>
      <c r="BG335" s="15" t="str">
        <f t="shared" si="2091"/>
        <v>-1-1-1</v>
      </c>
      <c r="BH335" s="15" t="str">
        <f t="shared" si="2092"/>
        <v>SD</v>
      </c>
      <c r="BI335" s="15" t="str">
        <f t="shared" si="2093"/>
        <v>SI</v>
      </c>
      <c r="BJ335" s="15" t="b">
        <f t="shared" si="2094"/>
        <v>1</v>
      </c>
      <c r="BK335" s="15" t="str">
        <f t="shared" si="2095"/>
        <v>SIGIGUALES</v>
      </c>
      <c r="BL335" s="22" t="str">
        <f t="shared" si="2096"/>
        <v>NO CONFORME</v>
      </c>
    </row>
    <row r="336" spans="1:64" ht="15.75" thickBot="1" x14ac:dyDescent="0.3">
      <c r="A336" s="37">
        <v>328</v>
      </c>
      <c r="B336" s="93">
        <f t="shared" ref="B336:E336" si="2141">B335</f>
        <v>45919</v>
      </c>
      <c r="C336" s="93">
        <f t="shared" si="2141"/>
        <v>45919</v>
      </c>
      <c r="D336" s="94">
        <f t="shared" si="2141"/>
        <v>6</v>
      </c>
      <c r="E336" s="95">
        <f t="shared" si="2141"/>
        <v>15</v>
      </c>
      <c r="F336" s="52"/>
      <c r="G336" s="96"/>
      <c r="H336" s="97">
        <f t="shared" ref="H336:L336" si="2142">H335</f>
        <v>25.6</v>
      </c>
      <c r="I336" s="98">
        <f t="shared" si="2142"/>
        <v>0</v>
      </c>
      <c r="J336" s="99">
        <f t="shared" si="2142"/>
        <v>20.9</v>
      </c>
      <c r="K336" s="99">
        <f t="shared" si="2142"/>
        <v>7.883</v>
      </c>
      <c r="L336" s="99">
        <f t="shared" si="2142"/>
        <v>0.55400000000000005</v>
      </c>
      <c r="M336" s="53"/>
      <c r="N336" s="53"/>
      <c r="O336" s="100">
        <f t="shared" ref="O336:P336" si="2143">O335</f>
        <v>100.62</v>
      </c>
      <c r="P336" s="101" t="str">
        <f t="shared" si="2143"/>
        <v>2,29,560</v>
      </c>
      <c r="Q336" s="11" t="str">
        <f t="shared" si="1739"/>
        <v>2</v>
      </c>
      <c r="R336" s="11" t="str">
        <f t="shared" si="1740"/>
        <v>29,560</v>
      </c>
      <c r="S336" s="11">
        <f t="shared" si="1741"/>
        <v>4.1544444444444446E-2</v>
      </c>
      <c r="T336" s="14">
        <f t="shared" si="1742"/>
        <v>2421.9844878309709</v>
      </c>
      <c r="U336" s="39">
        <f t="shared" si="1743"/>
        <v>-100</v>
      </c>
      <c r="V336" s="105">
        <f t="shared" ref="V336:W336" si="2144">V335</f>
        <v>20.399999999999999</v>
      </c>
      <c r="W336" s="105">
        <f t="shared" si="2144"/>
        <v>1.5069999999999999</v>
      </c>
      <c r="X336" s="106">
        <f t="shared" si="2100"/>
        <v>1.504</v>
      </c>
      <c r="Y336" s="53"/>
      <c r="Z336" s="53"/>
      <c r="AA336" s="107">
        <f t="shared" ref="AA336:AB336" si="2145">AA335</f>
        <v>10.015000000000001</v>
      </c>
      <c r="AB336" s="108" t="str">
        <f t="shared" si="2145"/>
        <v>22,10,090</v>
      </c>
      <c r="AC336" s="11" t="str">
        <f t="shared" si="1746"/>
        <v>22</v>
      </c>
      <c r="AD336" s="11" t="str">
        <f t="shared" si="1747"/>
        <v>10,090</v>
      </c>
      <c r="AE336" s="11">
        <f t="shared" si="1748"/>
        <v>0.36946944444444441</v>
      </c>
      <c r="AF336" s="14">
        <f t="shared" si="1749"/>
        <v>27.106436406558959</v>
      </c>
      <c r="AG336" s="41">
        <f t="shared" si="1750"/>
        <v>-100</v>
      </c>
      <c r="AH336" s="105">
        <f t="shared" si="2115"/>
        <v>20.3</v>
      </c>
      <c r="AI336" s="105">
        <f t="shared" si="2115"/>
        <v>1.5089999999999999</v>
      </c>
      <c r="AJ336" s="105">
        <f t="shared" si="2115"/>
        <v>1.504</v>
      </c>
      <c r="AK336" s="53">
        <f t="shared" si="1751"/>
        <v>0</v>
      </c>
      <c r="AL336" s="53"/>
      <c r="AM336" s="54">
        <f t="shared" ref="AM336:AN336" si="2146">AM335</f>
        <v>5.0129999999999999</v>
      </c>
      <c r="AN336" s="101" t="str">
        <f t="shared" si="2146"/>
        <v>17,59,050</v>
      </c>
      <c r="AO336" s="11" t="str">
        <f t="shared" si="1753"/>
        <v>17</v>
      </c>
      <c r="AP336" s="11" t="str">
        <f t="shared" si="1754"/>
        <v>59,050</v>
      </c>
      <c r="AQ336" s="11">
        <f t="shared" si="1755"/>
        <v>0.29973611111111109</v>
      </c>
      <c r="AR336" s="14">
        <f t="shared" si="1756"/>
        <v>16.724711551827998</v>
      </c>
      <c r="AS336" s="41">
        <f t="shared" si="1757"/>
        <v>-100</v>
      </c>
      <c r="AT336" s="43" t="str">
        <f t="shared" si="1758"/>
        <v>NO CONFORME</v>
      </c>
      <c r="AU336" s="8" t="b">
        <f t="shared" si="2103"/>
        <v>1</v>
      </c>
      <c r="AV336" s="8" t="b">
        <f t="shared" si="2104"/>
        <v>0</v>
      </c>
      <c r="AW336" s="8" t="b">
        <f t="shared" si="2105"/>
        <v>1</v>
      </c>
      <c r="AX336" s="8" t="str">
        <f t="shared" si="2106"/>
        <v>Qcorrecto</v>
      </c>
      <c r="AY336" s="22" t="str">
        <f t="shared" si="2086"/>
        <v>aceptable</v>
      </c>
      <c r="AZ336" s="22" t="str">
        <f t="shared" si="2087"/>
        <v>aceptable</v>
      </c>
      <c r="BA336" s="22" t="str">
        <f t="shared" si="2107"/>
        <v>aceptable</v>
      </c>
      <c r="BB336" s="25" t="str">
        <f t="shared" si="2108"/>
        <v>NO CONFORME</v>
      </c>
      <c r="BC336" s="5" t="str">
        <f t="shared" si="2109"/>
        <v>NO CONFORME</v>
      </c>
      <c r="BD336" s="15">
        <f t="shared" si="2088"/>
        <v>-1</v>
      </c>
      <c r="BE336" s="15">
        <f t="shared" si="2089"/>
        <v>-1</v>
      </c>
      <c r="BF336" s="15">
        <f t="shared" si="2090"/>
        <v>-1</v>
      </c>
      <c r="BG336" s="15" t="str">
        <f t="shared" si="2091"/>
        <v>-1-1-1</v>
      </c>
      <c r="BH336" s="15" t="str">
        <f t="shared" si="2092"/>
        <v>SD</v>
      </c>
      <c r="BI336" s="15" t="str">
        <f t="shared" si="2093"/>
        <v>SI</v>
      </c>
      <c r="BJ336" s="15" t="b">
        <f t="shared" si="2094"/>
        <v>1</v>
      </c>
      <c r="BK336" s="15" t="str">
        <f t="shared" si="2095"/>
        <v>SIGIGUALES</v>
      </c>
      <c r="BL336" s="22" t="str">
        <f t="shared" si="2096"/>
        <v>NO CONFORME</v>
      </c>
    </row>
    <row r="337" spans="1:64" ht="15.75" thickBot="1" x14ac:dyDescent="0.3">
      <c r="A337" s="37">
        <v>329</v>
      </c>
      <c r="B337" s="93">
        <f t="shared" ref="B337:E337" si="2147">B336</f>
        <v>45919</v>
      </c>
      <c r="C337" s="93">
        <f t="shared" si="2147"/>
        <v>45919</v>
      </c>
      <c r="D337" s="94">
        <f t="shared" si="2147"/>
        <v>6</v>
      </c>
      <c r="E337" s="95">
        <f t="shared" si="2147"/>
        <v>15</v>
      </c>
      <c r="F337" s="52"/>
      <c r="G337" s="96"/>
      <c r="H337" s="97">
        <f t="shared" ref="H337:L337" si="2148">H336</f>
        <v>25.6</v>
      </c>
      <c r="I337" s="98">
        <f t="shared" si="2148"/>
        <v>0</v>
      </c>
      <c r="J337" s="99">
        <f t="shared" si="2148"/>
        <v>20.9</v>
      </c>
      <c r="K337" s="99">
        <f t="shared" si="2148"/>
        <v>7.883</v>
      </c>
      <c r="L337" s="99">
        <f t="shared" si="2148"/>
        <v>0.55400000000000005</v>
      </c>
      <c r="M337" s="53"/>
      <c r="N337" s="53"/>
      <c r="O337" s="100">
        <f t="shared" ref="O337:P337" si="2149">O336</f>
        <v>100.62</v>
      </c>
      <c r="P337" s="101" t="str">
        <f t="shared" si="2149"/>
        <v>2,29,560</v>
      </c>
      <c r="Q337" s="11" t="str">
        <f t="shared" si="1739"/>
        <v>2</v>
      </c>
      <c r="R337" s="11" t="str">
        <f t="shared" si="1740"/>
        <v>29,560</v>
      </c>
      <c r="S337" s="11">
        <f t="shared" si="1741"/>
        <v>4.1544444444444446E-2</v>
      </c>
      <c r="T337" s="14">
        <f t="shared" si="1742"/>
        <v>2421.9844878309709</v>
      </c>
      <c r="U337" s="39">
        <f t="shared" si="1743"/>
        <v>-100</v>
      </c>
      <c r="V337" s="105">
        <f t="shared" ref="V337:W337" si="2150">V336</f>
        <v>20.399999999999999</v>
      </c>
      <c r="W337" s="105">
        <f t="shared" si="2150"/>
        <v>1.5069999999999999</v>
      </c>
      <c r="X337" s="106">
        <f t="shared" si="2100"/>
        <v>1.504</v>
      </c>
      <c r="Y337" s="53"/>
      <c r="Z337" s="53"/>
      <c r="AA337" s="107">
        <f t="shared" ref="AA337:AB337" si="2151">AA336</f>
        <v>10.015000000000001</v>
      </c>
      <c r="AB337" s="108" t="str">
        <f t="shared" si="2151"/>
        <v>22,10,090</v>
      </c>
      <c r="AC337" s="11" t="str">
        <f t="shared" si="1746"/>
        <v>22</v>
      </c>
      <c r="AD337" s="11" t="str">
        <f t="shared" si="1747"/>
        <v>10,090</v>
      </c>
      <c r="AE337" s="11">
        <f t="shared" si="1748"/>
        <v>0.36946944444444441</v>
      </c>
      <c r="AF337" s="14">
        <f t="shared" si="1749"/>
        <v>27.106436406558959</v>
      </c>
      <c r="AG337" s="41">
        <f t="shared" si="1750"/>
        <v>-100</v>
      </c>
      <c r="AH337" s="105">
        <f t="shared" si="2115"/>
        <v>20.3</v>
      </c>
      <c r="AI337" s="105">
        <f t="shared" si="2115"/>
        <v>1.5089999999999999</v>
      </c>
      <c r="AJ337" s="105">
        <f t="shared" si="2115"/>
        <v>1.504</v>
      </c>
      <c r="AK337" s="53">
        <f t="shared" si="1751"/>
        <v>0</v>
      </c>
      <c r="AL337" s="53"/>
      <c r="AM337" s="54">
        <f t="shared" ref="AM337:AN337" si="2152">AM336</f>
        <v>5.0129999999999999</v>
      </c>
      <c r="AN337" s="101" t="str">
        <f t="shared" si="2152"/>
        <v>17,59,050</v>
      </c>
      <c r="AO337" s="11" t="str">
        <f t="shared" si="1753"/>
        <v>17</v>
      </c>
      <c r="AP337" s="11" t="str">
        <f t="shared" si="1754"/>
        <v>59,050</v>
      </c>
      <c r="AQ337" s="11">
        <f t="shared" si="1755"/>
        <v>0.29973611111111109</v>
      </c>
      <c r="AR337" s="14">
        <f t="shared" si="1756"/>
        <v>16.724711551827998</v>
      </c>
      <c r="AS337" s="41">
        <f t="shared" si="1757"/>
        <v>-100</v>
      </c>
      <c r="AT337" s="43" t="str">
        <f t="shared" si="1758"/>
        <v>NO CONFORME</v>
      </c>
      <c r="AU337" s="8" t="b">
        <f t="shared" si="2103"/>
        <v>1</v>
      </c>
      <c r="AV337" s="8" t="b">
        <f t="shared" si="2104"/>
        <v>0</v>
      </c>
      <c r="AW337" s="8" t="b">
        <f t="shared" si="2105"/>
        <v>1</v>
      </c>
      <c r="AX337" s="8" t="str">
        <f t="shared" si="2106"/>
        <v>Qcorrecto</v>
      </c>
      <c r="AY337" s="22" t="str">
        <f t="shared" si="2086"/>
        <v>aceptable</v>
      </c>
      <c r="AZ337" s="22" t="str">
        <f t="shared" si="2087"/>
        <v>aceptable</v>
      </c>
      <c r="BA337" s="22" t="str">
        <f t="shared" si="2107"/>
        <v>aceptable</v>
      </c>
      <c r="BB337" s="25" t="str">
        <f t="shared" si="2108"/>
        <v>NO CONFORME</v>
      </c>
      <c r="BC337" s="5" t="str">
        <f t="shared" si="2109"/>
        <v>NO CONFORME</v>
      </c>
      <c r="BD337" s="15">
        <f t="shared" si="2088"/>
        <v>-1</v>
      </c>
      <c r="BE337" s="15">
        <f t="shared" si="2089"/>
        <v>-1</v>
      </c>
      <c r="BF337" s="15">
        <f t="shared" si="2090"/>
        <v>-1</v>
      </c>
      <c r="BG337" s="15" t="str">
        <f t="shared" si="2091"/>
        <v>-1-1-1</v>
      </c>
      <c r="BH337" s="15" t="str">
        <f t="shared" si="2092"/>
        <v>SD</v>
      </c>
      <c r="BI337" s="15" t="str">
        <f t="shared" si="2093"/>
        <v>SI</v>
      </c>
      <c r="BJ337" s="15" t="b">
        <f t="shared" si="2094"/>
        <v>1</v>
      </c>
      <c r="BK337" s="15" t="str">
        <f t="shared" si="2095"/>
        <v>SIGIGUALES</v>
      </c>
      <c r="BL337" s="22" t="str">
        <f t="shared" si="2096"/>
        <v>NO CONFORME</v>
      </c>
    </row>
    <row r="338" spans="1:64" ht="15.75" thickBot="1" x14ac:dyDescent="0.3">
      <c r="A338" s="37">
        <v>330</v>
      </c>
      <c r="B338" s="93">
        <f t="shared" ref="B338:E338" si="2153">B337</f>
        <v>45919</v>
      </c>
      <c r="C338" s="93">
        <f t="shared" si="2153"/>
        <v>45919</v>
      </c>
      <c r="D338" s="94">
        <f t="shared" si="2153"/>
        <v>6</v>
      </c>
      <c r="E338" s="95">
        <f t="shared" si="2153"/>
        <v>15</v>
      </c>
      <c r="F338" s="52"/>
      <c r="G338" s="96"/>
      <c r="H338" s="97">
        <f t="shared" ref="H338:L338" si="2154">H337</f>
        <v>25.6</v>
      </c>
      <c r="I338" s="98">
        <f t="shared" si="2154"/>
        <v>0</v>
      </c>
      <c r="J338" s="99">
        <f t="shared" si="2154"/>
        <v>20.9</v>
      </c>
      <c r="K338" s="99">
        <f t="shared" si="2154"/>
        <v>7.883</v>
      </c>
      <c r="L338" s="99">
        <f t="shared" si="2154"/>
        <v>0.55400000000000005</v>
      </c>
      <c r="M338" s="53"/>
      <c r="N338" s="53"/>
      <c r="O338" s="100">
        <f t="shared" ref="O338:P338" si="2155">O337</f>
        <v>100.62</v>
      </c>
      <c r="P338" s="101" t="str">
        <f t="shared" si="2155"/>
        <v>2,29,560</v>
      </c>
      <c r="Q338" s="11" t="str">
        <f t="shared" si="1739"/>
        <v>2</v>
      </c>
      <c r="R338" s="11" t="str">
        <f t="shared" si="1740"/>
        <v>29,560</v>
      </c>
      <c r="S338" s="11">
        <f t="shared" si="1741"/>
        <v>4.1544444444444446E-2</v>
      </c>
      <c r="T338" s="14">
        <f t="shared" si="1742"/>
        <v>2421.9844878309709</v>
      </c>
      <c r="U338" s="39">
        <f t="shared" si="1743"/>
        <v>-100</v>
      </c>
      <c r="V338" s="105">
        <f t="shared" ref="V338:W338" si="2156">V337</f>
        <v>20.399999999999999</v>
      </c>
      <c r="W338" s="105">
        <f t="shared" si="2156"/>
        <v>1.5069999999999999</v>
      </c>
      <c r="X338" s="106">
        <f t="shared" si="2100"/>
        <v>1.504</v>
      </c>
      <c r="Y338" s="53"/>
      <c r="Z338" s="53"/>
      <c r="AA338" s="107">
        <f t="shared" ref="AA338:AB338" si="2157">AA337</f>
        <v>10.015000000000001</v>
      </c>
      <c r="AB338" s="108" t="str">
        <f t="shared" si="2157"/>
        <v>22,10,090</v>
      </c>
      <c r="AC338" s="11" t="str">
        <f t="shared" si="1746"/>
        <v>22</v>
      </c>
      <c r="AD338" s="11" t="str">
        <f t="shared" si="1747"/>
        <v>10,090</v>
      </c>
      <c r="AE338" s="11">
        <f t="shared" si="1748"/>
        <v>0.36946944444444441</v>
      </c>
      <c r="AF338" s="14">
        <f t="shared" si="1749"/>
        <v>27.106436406558959</v>
      </c>
      <c r="AG338" s="41">
        <f t="shared" si="1750"/>
        <v>-100</v>
      </c>
      <c r="AH338" s="105">
        <f t="shared" si="2115"/>
        <v>20.3</v>
      </c>
      <c r="AI338" s="105">
        <f t="shared" si="2115"/>
        <v>1.5089999999999999</v>
      </c>
      <c r="AJ338" s="105">
        <f t="shared" si="2115"/>
        <v>1.504</v>
      </c>
      <c r="AK338" s="53">
        <f t="shared" si="1751"/>
        <v>0</v>
      </c>
      <c r="AL338" s="53"/>
      <c r="AM338" s="54">
        <f t="shared" ref="AM338:AN338" si="2158">AM337</f>
        <v>5.0129999999999999</v>
      </c>
      <c r="AN338" s="101" t="str">
        <f t="shared" si="2158"/>
        <v>17,59,050</v>
      </c>
      <c r="AO338" s="11" t="str">
        <f t="shared" si="1753"/>
        <v>17</v>
      </c>
      <c r="AP338" s="11" t="str">
        <f t="shared" si="1754"/>
        <v>59,050</v>
      </c>
      <c r="AQ338" s="11">
        <f t="shared" si="1755"/>
        <v>0.29973611111111109</v>
      </c>
      <c r="AR338" s="14">
        <f t="shared" si="1756"/>
        <v>16.724711551827998</v>
      </c>
      <c r="AS338" s="41">
        <f t="shared" si="1757"/>
        <v>-100</v>
      </c>
      <c r="AT338" s="43" t="str">
        <f t="shared" si="1758"/>
        <v>NO CONFORME</v>
      </c>
      <c r="AU338" s="8" t="b">
        <f t="shared" si="2103"/>
        <v>1</v>
      </c>
      <c r="AV338" s="8" t="b">
        <f t="shared" si="2104"/>
        <v>0</v>
      </c>
      <c r="AW338" s="8" t="b">
        <f t="shared" si="2105"/>
        <v>1</v>
      </c>
      <c r="AX338" s="8" t="str">
        <f t="shared" si="2106"/>
        <v>Qcorrecto</v>
      </c>
      <c r="AY338" s="22" t="str">
        <f t="shared" si="2086"/>
        <v>aceptable</v>
      </c>
      <c r="AZ338" s="22" t="str">
        <f t="shared" si="2087"/>
        <v>aceptable</v>
      </c>
      <c r="BA338" s="22" t="str">
        <f t="shared" si="2107"/>
        <v>aceptable</v>
      </c>
      <c r="BB338" s="25" t="str">
        <f t="shared" si="2108"/>
        <v>NO CONFORME</v>
      </c>
      <c r="BC338" s="5" t="str">
        <f t="shared" si="2109"/>
        <v>NO CONFORME</v>
      </c>
      <c r="BD338" s="15">
        <f t="shared" si="2088"/>
        <v>-1</v>
      </c>
      <c r="BE338" s="15">
        <f t="shared" si="2089"/>
        <v>-1</v>
      </c>
      <c r="BF338" s="15">
        <f t="shared" si="2090"/>
        <v>-1</v>
      </c>
      <c r="BG338" s="15" t="str">
        <f t="shared" si="2091"/>
        <v>-1-1-1</v>
      </c>
      <c r="BH338" s="15" t="str">
        <f t="shared" si="2092"/>
        <v>SD</v>
      </c>
      <c r="BI338" s="15" t="str">
        <f t="shared" si="2093"/>
        <v>SI</v>
      </c>
      <c r="BJ338" s="15" t="b">
        <f t="shared" si="2094"/>
        <v>1</v>
      </c>
      <c r="BK338" s="15" t="str">
        <f t="shared" si="2095"/>
        <v>SIGIGUALES</v>
      </c>
      <c r="BL338" s="22" t="str">
        <f t="shared" si="2096"/>
        <v>NO CONFORME</v>
      </c>
    </row>
    <row r="339" spans="1:64" ht="15.75" thickBot="1" x14ac:dyDescent="0.3">
      <c r="A339" s="37">
        <v>331</v>
      </c>
      <c r="B339" s="93">
        <f t="shared" ref="B339:E339" si="2159">B338</f>
        <v>45919</v>
      </c>
      <c r="C339" s="93">
        <f t="shared" si="2159"/>
        <v>45919</v>
      </c>
      <c r="D339" s="94">
        <f t="shared" si="2159"/>
        <v>6</v>
      </c>
      <c r="E339" s="95">
        <f t="shared" si="2159"/>
        <v>15</v>
      </c>
      <c r="F339" s="52"/>
      <c r="G339" s="96"/>
      <c r="H339" s="97">
        <f t="shared" ref="H339:L339" si="2160">H338</f>
        <v>25.6</v>
      </c>
      <c r="I339" s="98">
        <f t="shared" si="2160"/>
        <v>0</v>
      </c>
      <c r="J339" s="99">
        <f t="shared" si="2160"/>
        <v>20.9</v>
      </c>
      <c r="K339" s="99">
        <f t="shared" si="2160"/>
        <v>7.883</v>
      </c>
      <c r="L339" s="99">
        <f t="shared" si="2160"/>
        <v>0.55400000000000005</v>
      </c>
      <c r="M339" s="53"/>
      <c r="N339" s="53"/>
      <c r="O339" s="100">
        <f t="shared" ref="O339:P339" si="2161">O338</f>
        <v>100.62</v>
      </c>
      <c r="P339" s="101" t="str">
        <f t="shared" si="2161"/>
        <v>2,29,560</v>
      </c>
      <c r="Q339" s="11" t="str">
        <f t="shared" ref="Q339:Q368" si="2162">LEFT(P339,1)</f>
        <v>2</v>
      </c>
      <c r="R339" s="11" t="str">
        <f t="shared" ref="R339:R368" si="2163">RIGHT(P339,6)</f>
        <v>29,560</v>
      </c>
      <c r="S339" s="11">
        <f t="shared" ref="S339:S368" si="2164">+(Q339*60+R339)/(60*60)</f>
        <v>4.1544444444444446E-2</v>
      </c>
      <c r="T339" s="14">
        <f t="shared" ref="T339:T368" si="2165">+O339/S339</f>
        <v>2421.9844878309709</v>
      </c>
      <c r="U339" s="39">
        <f t="shared" ref="U339:U368" si="2166">+(((N339-M339-O339)/O339)*100)</f>
        <v>-100</v>
      </c>
      <c r="V339" s="105">
        <f t="shared" ref="V339:W339" si="2167">V338</f>
        <v>20.399999999999999</v>
      </c>
      <c r="W339" s="105">
        <f t="shared" si="2167"/>
        <v>1.5069999999999999</v>
      </c>
      <c r="X339" s="106">
        <f t="shared" si="2100"/>
        <v>1.504</v>
      </c>
      <c r="Y339" s="53"/>
      <c r="Z339" s="53"/>
      <c r="AA339" s="107">
        <f t="shared" ref="AA339:AB339" si="2168">AA338</f>
        <v>10.015000000000001</v>
      </c>
      <c r="AB339" s="108" t="str">
        <f t="shared" si="2168"/>
        <v>22,10,090</v>
      </c>
      <c r="AC339" s="11" t="str">
        <f t="shared" ref="AC339:AC368" si="2169">LEFT(AB339,2)</f>
        <v>22</v>
      </c>
      <c r="AD339" s="11" t="str">
        <f t="shared" ref="AD339:AD368" si="2170">RIGHT(AB339,6)</f>
        <v>10,090</v>
      </c>
      <c r="AE339" s="11">
        <f t="shared" ref="AE339:AE368" si="2171">+(AC339*60+AD339)/(60*60)</f>
        <v>0.36946944444444441</v>
      </c>
      <c r="AF339" s="14">
        <f t="shared" ref="AF339:AF368" si="2172">+AA339/AE339</f>
        <v>27.106436406558959</v>
      </c>
      <c r="AG339" s="41">
        <f t="shared" ref="AG339:AG368" si="2173">+(((Z339-Y339-AA339)/AA339)*100)</f>
        <v>-100</v>
      </c>
      <c r="AH339" s="105">
        <f t="shared" si="2115"/>
        <v>20.3</v>
      </c>
      <c r="AI339" s="105">
        <f t="shared" si="2115"/>
        <v>1.5089999999999999</v>
      </c>
      <c r="AJ339" s="105">
        <f t="shared" si="2115"/>
        <v>1.504</v>
      </c>
      <c r="AK339" s="53">
        <f t="shared" ref="AK339:AK368" si="2174">Z339</f>
        <v>0</v>
      </c>
      <c r="AL339" s="53"/>
      <c r="AM339" s="54">
        <f t="shared" ref="AM339:AN339" si="2175">AM338</f>
        <v>5.0129999999999999</v>
      </c>
      <c r="AN339" s="101" t="str">
        <f t="shared" si="2175"/>
        <v>17,59,050</v>
      </c>
      <c r="AO339" s="11" t="str">
        <f t="shared" ref="AO339:AO368" si="2176">LEFT(AN339,2)</f>
        <v>17</v>
      </c>
      <c r="AP339" s="11" t="str">
        <f t="shared" ref="AP339:AP368" si="2177">RIGHT(AN339,6)</f>
        <v>59,050</v>
      </c>
      <c r="AQ339" s="11">
        <f t="shared" ref="AQ339:AQ368" si="2178">+(AO339*60+AP339)/(60*60)</f>
        <v>0.29973611111111109</v>
      </c>
      <c r="AR339" s="14">
        <f t="shared" ref="AR339:AR368" si="2179">+AM339/AQ339</f>
        <v>16.724711551827998</v>
      </c>
      <c r="AS339" s="41">
        <f t="shared" ref="AS339:AS368" si="2180">+(((AL339-AK339-AM339)/AM339)*100)</f>
        <v>-100</v>
      </c>
      <c r="AT339" s="43" t="str">
        <f t="shared" ref="AT339:AT368" si="2181">IF(I339&gt;=1,"NO CONFORME",IF(BK339="SIGDIFERENTES",BC339,BL339))</f>
        <v>NO CONFORME</v>
      </c>
      <c r="AU339" s="8" t="b">
        <f t="shared" si="2103"/>
        <v>1</v>
      </c>
      <c r="AV339" s="8" t="b">
        <f t="shared" si="2104"/>
        <v>0</v>
      </c>
      <c r="AW339" s="8" t="b">
        <f t="shared" si="2105"/>
        <v>1</v>
      </c>
      <c r="AX339" s="8" t="str">
        <f t="shared" si="2106"/>
        <v>Qcorrecto</v>
      </c>
      <c r="AY339" s="22" t="str">
        <f t="shared" si="2086"/>
        <v>aceptable</v>
      </c>
      <c r="AZ339" s="22" t="str">
        <f t="shared" si="2087"/>
        <v>aceptable</v>
      </c>
      <c r="BA339" s="22" t="str">
        <f t="shared" si="2107"/>
        <v>aceptable</v>
      </c>
      <c r="BB339" s="25" t="str">
        <f t="shared" si="2108"/>
        <v>NO CONFORME</v>
      </c>
      <c r="BC339" s="5" t="str">
        <f t="shared" si="2109"/>
        <v>NO CONFORME</v>
      </c>
      <c r="BD339" s="15">
        <f t="shared" si="2088"/>
        <v>-1</v>
      </c>
      <c r="BE339" s="15">
        <f t="shared" si="2089"/>
        <v>-1</v>
      </c>
      <c r="BF339" s="15">
        <f t="shared" si="2090"/>
        <v>-1</v>
      </c>
      <c r="BG339" s="15" t="str">
        <f t="shared" si="2091"/>
        <v>-1-1-1</v>
      </c>
      <c r="BH339" s="15" t="str">
        <f t="shared" si="2092"/>
        <v>SD</v>
      </c>
      <c r="BI339" s="15" t="str">
        <f t="shared" si="2093"/>
        <v>SI</v>
      </c>
      <c r="BJ339" s="15" t="b">
        <f t="shared" si="2094"/>
        <v>1</v>
      </c>
      <c r="BK339" s="15" t="str">
        <f t="shared" si="2095"/>
        <v>SIGIGUALES</v>
      </c>
      <c r="BL339" s="22" t="str">
        <f t="shared" si="2096"/>
        <v>NO CONFORME</v>
      </c>
    </row>
    <row r="340" spans="1:64" ht="15.75" thickBot="1" x14ac:dyDescent="0.3">
      <c r="A340" s="37">
        <v>332</v>
      </c>
      <c r="B340" s="93">
        <f t="shared" ref="B340:E340" si="2182">B339</f>
        <v>45919</v>
      </c>
      <c r="C340" s="93">
        <f t="shared" si="2182"/>
        <v>45919</v>
      </c>
      <c r="D340" s="94">
        <f t="shared" si="2182"/>
        <v>6</v>
      </c>
      <c r="E340" s="95">
        <f t="shared" si="2182"/>
        <v>15</v>
      </c>
      <c r="F340" s="52"/>
      <c r="G340" s="96"/>
      <c r="H340" s="97">
        <f t="shared" ref="H340:L340" si="2183">H339</f>
        <v>25.6</v>
      </c>
      <c r="I340" s="98">
        <f t="shared" si="2183"/>
        <v>0</v>
      </c>
      <c r="J340" s="99">
        <f t="shared" si="2183"/>
        <v>20.9</v>
      </c>
      <c r="K340" s="99">
        <f t="shared" si="2183"/>
        <v>7.883</v>
      </c>
      <c r="L340" s="99">
        <f t="shared" si="2183"/>
        <v>0.55400000000000005</v>
      </c>
      <c r="M340" s="53"/>
      <c r="N340" s="53"/>
      <c r="O340" s="100">
        <f t="shared" ref="O340:P340" si="2184">O339</f>
        <v>100.62</v>
      </c>
      <c r="P340" s="101" t="str">
        <f t="shared" si="2184"/>
        <v>2,29,560</v>
      </c>
      <c r="Q340" s="11" t="str">
        <f t="shared" si="2162"/>
        <v>2</v>
      </c>
      <c r="R340" s="11" t="str">
        <f t="shared" si="2163"/>
        <v>29,560</v>
      </c>
      <c r="S340" s="11">
        <f t="shared" si="2164"/>
        <v>4.1544444444444446E-2</v>
      </c>
      <c r="T340" s="14">
        <f t="shared" si="2165"/>
        <v>2421.9844878309709</v>
      </c>
      <c r="U340" s="39">
        <f t="shared" si="2166"/>
        <v>-100</v>
      </c>
      <c r="V340" s="105">
        <f t="shared" ref="V340:W340" si="2185">V339</f>
        <v>20.399999999999999</v>
      </c>
      <c r="W340" s="105">
        <f t="shared" si="2185"/>
        <v>1.5069999999999999</v>
      </c>
      <c r="X340" s="106">
        <f t="shared" si="2100"/>
        <v>1.504</v>
      </c>
      <c r="Y340" s="53"/>
      <c r="Z340" s="53"/>
      <c r="AA340" s="107">
        <f t="shared" ref="AA340:AB340" si="2186">AA339</f>
        <v>10.015000000000001</v>
      </c>
      <c r="AB340" s="108" t="str">
        <f t="shared" si="2186"/>
        <v>22,10,090</v>
      </c>
      <c r="AC340" s="11" t="str">
        <f t="shared" si="2169"/>
        <v>22</v>
      </c>
      <c r="AD340" s="11" t="str">
        <f t="shared" si="2170"/>
        <v>10,090</v>
      </c>
      <c r="AE340" s="11">
        <f t="shared" si="2171"/>
        <v>0.36946944444444441</v>
      </c>
      <c r="AF340" s="14">
        <f t="shared" si="2172"/>
        <v>27.106436406558959</v>
      </c>
      <c r="AG340" s="41">
        <f t="shared" si="2173"/>
        <v>-100</v>
      </c>
      <c r="AH340" s="105">
        <f t="shared" si="2115"/>
        <v>20.3</v>
      </c>
      <c r="AI340" s="105">
        <f t="shared" si="2115"/>
        <v>1.5089999999999999</v>
      </c>
      <c r="AJ340" s="105">
        <f t="shared" si="2115"/>
        <v>1.504</v>
      </c>
      <c r="AK340" s="53">
        <f t="shared" si="2174"/>
        <v>0</v>
      </c>
      <c r="AL340" s="53"/>
      <c r="AM340" s="54">
        <f t="shared" ref="AM340:AN340" si="2187">AM339</f>
        <v>5.0129999999999999</v>
      </c>
      <c r="AN340" s="101" t="str">
        <f t="shared" si="2187"/>
        <v>17,59,050</v>
      </c>
      <c r="AO340" s="11" t="str">
        <f t="shared" si="2176"/>
        <v>17</v>
      </c>
      <c r="AP340" s="11" t="str">
        <f t="shared" si="2177"/>
        <v>59,050</v>
      </c>
      <c r="AQ340" s="11">
        <f t="shared" si="2178"/>
        <v>0.29973611111111109</v>
      </c>
      <c r="AR340" s="14">
        <f t="shared" si="2179"/>
        <v>16.724711551827998</v>
      </c>
      <c r="AS340" s="41">
        <f t="shared" si="2180"/>
        <v>-100</v>
      </c>
      <c r="AT340" s="43" t="str">
        <f t="shared" si="2181"/>
        <v>NO CONFORME</v>
      </c>
      <c r="AU340" s="8" t="b">
        <f t="shared" si="2103"/>
        <v>1</v>
      </c>
      <c r="AV340" s="8" t="b">
        <f t="shared" si="2104"/>
        <v>0</v>
      </c>
      <c r="AW340" s="8" t="b">
        <f t="shared" si="2105"/>
        <v>1</v>
      </c>
      <c r="AX340" s="8" t="str">
        <f t="shared" si="2106"/>
        <v>Qcorrecto</v>
      </c>
      <c r="AY340" s="22" t="str">
        <f t="shared" si="2086"/>
        <v>aceptable</v>
      </c>
      <c r="AZ340" s="22" t="str">
        <f t="shared" si="2087"/>
        <v>aceptable</v>
      </c>
      <c r="BA340" s="22" t="str">
        <f t="shared" si="2107"/>
        <v>aceptable</v>
      </c>
      <c r="BB340" s="25" t="str">
        <f t="shared" si="2108"/>
        <v>NO CONFORME</v>
      </c>
      <c r="BC340" s="5" t="str">
        <f t="shared" si="2109"/>
        <v>NO CONFORME</v>
      </c>
      <c r="BD340" s="15">
        <f t="shared" si="2088"/>
        <v>-1</v>
      </c>
      <c r="BE340" s="15">
        <f t="shared" si="2089"/>
        <v>-1</v>
      </c>
      <c r="BF340" s="15">
        <f t="shared" si="2090"/>
        <v>-1</v>
      </c>
      <c r="BG340" s="15" t="str">
        <f t="shared" si="2091"/>
        <v>-1-1-1</v>
      </c>
      <c r="BH340" s="15" t="str">
        <f t="shared" si="2092"/>
        <v>SD</v>
      </c>
      <c r="BI340" s="15" t="str">
        <f t="shared" si="2093"/>
        <v>SI</v>
      </c>
      <c r="BJ340" s="15" t="b">
        <f t="shared" si="2094"/>
        <v>1</v>
      </c>
      <c r="BK340" s="15" t="str">
        <f t="shared" si="2095"/>
        <v>SIGIGUALES</v>
      </c>
      <c r="BL340" s="22" t="str">
        <f t="shared" si="2096"/>
        <v>NO CONFORME</v>
      </c>
    </row>
    <row r="341" spans="1:64" ht="15.75" thickBot="1" x14ac:dyDescent="0.3">
      <c r="A341" s="37">
        <v>333</v>
      </c>
      <c r="B341" s="93">
        <f t="shared" ref="B341:E341" si="2188">B340</f>
        <v>45919</v>
      </c>
      <c r="C341" s="93">
        <f t="shared" si="2188"/>
        <v>45919</v>
      </c>
      <c r="D341" s="94">
        <f t="shared" si="2188"/>
        <v>6</v>
      </c>
      <c r="E341" s="95">
        <f t="shared" si="2188"/>
        <v>15</v>
      </c>
      <c r="F341" s="52"/>
      <c r="G341" s="96"/>
      <c r="H341" s="97">
        <f t="shared" ref="H341:L341" si="2189">H340</f>
        <v>25.6</v>
      </c>
      <c r="I341" s="98">
        <f t="shared" si="2189"/>
        <v>0</v>
      </c>
      <c r="J341" s="99">
        <f t="shared" si="2189"/>
        <v>20.9</v>
      </c>
      <c r="K341" s="99">
        <f t="shared" si="2189"/>
        <v>7.883</v>
      </c>
      <c r="L341" s="99">
        <f t="shared" si="2189"/>
        <v>0.55400000000000005</v>
      </c>
      <c r="M341" s="53"/>
      <c r="N341" s="53"/>
      <c r="O341" s="100">
        <f t="shared" ref="O341:P341" si="2190">O340</f>
        <v>100.62</v>
      </c>
      <c r="P341" s="101" t="str">
        <f t="shared" si="2190"/>
        <v>2,29,560</v>
      </c>
      <c r="Q341" s="11" t="str">
        <f t="shared" si="2162"/>
        <v>2</v>
      </c>
      <c r="R341" s="11" t="str">
        <f t="shared" si="2163"/>
        <v>29,560</v>
      </c>
      <c r="S341" s="11">
        <f t="shared" si="2164"/>
        <v>4.1544444444444446E-2</v>
      </c>
      <c r="T341" s="14">
        <f t="shared" si="2165"/>
        <v>2421.9844878309709</v>
      </c>
      <c r="U341" s="39">
        <f t="shared" si="2166"/>
        <v>-100</v>
      </c>
      <c r="V341" s="105">
        <f t="shared" ref="V341:W341" si="2191">V340</f>
        <v>20.399999999999999</v>
      </c>
      <c r="W341" s="105">
        <f t="shared" si="2191"/>
        <v>1.5069999999999999</v>
      </c>
      <c r="X341" s="106">
        <f t="shared" si="2100"/>
        <v>1.504</v>
      </c>
      <c r="Y341" s="53"/>
      <c r="Z341" s="53"/>
      <c r="AA341" s="107">
        <f t="shared" ref="AA341:AB341" si="2192">AA340</f>
        <v>10.015000000000001</v>
      </c>
      <c r="AB341" s="108" t="str">
        <f t="shared" si="2192"/>
        <v>22,10,090</v>
      </c>
      <c r="AC341" s="11" t="str">
        <f t="shared" si="2169"/>
        <v>22</v>
      </c>
      <c r="AD341" s="11" t="str">
        <f t="shared" si="2170"/>
        <v>10,090</v>
      </c>
      <c r="AE341" s="11">
        <f t="shared" si="2171"/>
        <v>0.36946944444444441</v>
      </c>
      <c r="AF341" s="14">
        <f t="shared" si="2172"/>
        <v>27.106436406558959</v>
      </c>
      <c r="AG341" s="41">
        <f t="shared" si="2173"/>
        <v>-100</v>
      </c>
      <c r="AH341" s="105">
        <f t="shared" si="2115"/>
        <v>20.3</v>
      </c>
      <c r="AI341" s="105">
        <f t="shared" si="2115"/>
        <v>1.5089999999999999</v>
      </c>
      <c r="AJ341" s="105">
        <f t="shared" si="2115"/>
        <v>1.504</v>
      </c>
      <c r="AK341" s="53">
        <f t="shared" si="2174"/>
        <v>0</v>
      </c>
      <c r="AL341" s="53"/>
      <c r="AM341" s="54">
        <f t="shared" ref="AM341:AN341" si="2193">AM340</f>
        <v>5.0129999999999999</v>
      </c>
      <c r="AN341" s="101" t="str">
        <f t="shared" si="2193"/>
        <v>17,59,050</v>
      </c>
      <c r="AO341" s="11" t="str">
        <f t="shared" si="2176"/>
        <v>17</v>
      </c>
      <c r="AP341" s="11" t="str">
        <f t="shared" si="2177"/>
        <v>59,050</v>
      </c>
      <c r="AQ341" s="11">
        <f t="shared" si="2178"/>
        <v>0.29973611111111109</v>
      </c>
      <c r="AR341" s="14">
        <f t="shared" si="2179"/>
        <v>16.724711551827998</v>
      </c>
      <c r="AS341" s="41">
        <f t="shared" si="2180"/>
        <v>-100</v>
      </c>
      <c r="AT341" s="43" t="str">
        <f t="shared" si="2181"/>
        <v>NO CONFORME</v>
      </c>
      <c r="AU341" s="8" t="b">
        <f t="shared" si="2103"/>
        <v>1</v>
      </c>
      <c r="AV341" s="8" t="b">
        <f t="shared" si="2104"/>
        <v>0</v>
      </c>
      <c r="AW341" s="8" t="b">
        <f t="shared" si="2105"/>
        <v>1</v>
      </c>
      <c r="AX341" s="8" t="str">
        <f t="shared" si="2106"/>
        <v>Qcorrecto</v>
      </c>
      <c r="AY341" s="22" t="str">
        <f t="shared" si="2086"/>
        <v>aceptable</v>
      </c>
      <c r="AZ341" s="22" t="str">
        <f t="shared" si="2087"/>
        <v>aceptable</v>
      </c>
      <c r="BA341" s="22" t="str">
        <f t="shared" si="2107"/>
        <v>aceptable</v>
      </c>
      <c r="BB341" s="25" t="str">
        <f t="shared" si="2108"/>
        <v>NO CONFORME</v>
      </c>
      <c r="BC341" s="5" t="str">
        <f t="shared" si="2109"/>
        <v>NO CONFORME</v>
      </c>
      <c r="BD341" s="15">
        <f t="shared" si="2088"/>
        <v>-1</v>
      </c>
      <c r="BE341" s="15">
        <f t="shared" si="2089"/>
        <v>-1</v>
      </c>
      <c r="BF341" s="15">
        <f t="shared" si="2090"/>
        <v>-1</v>
      </c>
      <c r="BG341" s="15" t="str">
        <f t="shared" si="2091"/>
        <v>-1-1-1</v>
      </c>
      <c r="BH341" s="15" t="str">
        <f t="shared" si="2092"/>
        <v>SD</v>
      </c>
      <c r="BI341" s="15" t="str">
        <f t="shared" si="2093"/>
        <v>SI</v>
      </c>
      <c r="BJ341" s="15" t="b">
        <f t="shared" si="2094"/>
        <v>1</v>
      </c>
      <c r="BK341" s="15" t="str">
        <f t="shared" si="2095"/>
        <v>SIGIGUALES</v>
      </c>
      <c r="BL341" s="22" t="str">
        <f t="shared" si="2096"/>
        <v>NO CONFORME</v>
      </c>
    </row>
    <row r="342" spans="1:64" ht="15.75" thickBot="1" x14ac:dyDescent="0.3">
      <c r="A342" s="37">
        <v>334</v>
      </c>
      <c r="B342" s="93">
        <f t="shared" ref="B342:E342" si="2194">B341</f>
        <v>45919</v>
      </c>
      <c r="C342" s="93">
        <f t="shared" si="2194"/>
        <v>45919</v>
      </c>
      <c r="D342" s="94">
        <f t="shared" si="2194"/>
        <v>6</v>
      </c>
      <c r="E342" s="95">
        <f t="shared" si="2194"/>
        <v>15</v>
      </c>
      <c r="F342" s="52"/>
      <c r="G342" s="96"/>
      <c r="H342" s="97">
        <f t="shared" ref="H342:L342" si="2195">H341</f>
        <v>25.6</v>
      </c>
      <c r="I342" s="98">
        <f t="shared" si="2195"/>
        <v>0</v>
      </c>
      <c r="J342" s="99">
        <f t="shared" si="2195"/>
        <v>20.9</v>
      </c>
      <c r="K342" s="99">
        <f t="shared" si="2195"/>
        <v>7.883</v>
      </c>
      <c r="L342" s="99">
        <f t="shared" si="2195"/>
        <v>0.55400000000000005</v>
      </c>
      <c r="M342" s="53"/>
      <c r="N342" s="53"/>
      <c r="O342" s="100">
        <f t="shared" ref="O342:P342" si="2196">O341</f>
        <v>100.62</v>
      </c>
      <c r="P342" s="101" t="str">
        <f t="shared" si="2196"/>
        <v>2,29,560</v>
      </c>
      <c r="Q342" s="11" t="str">
        <f t="shared" si="2162"/>
        <v>2</v>
      </c>
      <c r="R342" s="11" t="str">
        <f t="shared" si="2163"/>
        <v>29,560</v>
      </c>
      <c r="S342" s="11">
        <f t="shared" si="2164"/>
        <v>4.1544444444444446E-2</v>
      </c>
      <c r="T342" s="14">
        <f t="shared" si="2165"/>
        <v>2421.9844878309709</v>
      </c>
      <c r="U342" s="39">
        <f t="shared" si="2166"/>
        <v>-100</v>
      </c>
      <c r="V342" s="105">
        <f t="shared" ref="V342:W342" si="2197">V341</f>
        <v>20.399999999999999</v>
      </c>
      <c r="W342" s="105">
        <f t="shared" si="2197"/>
        <v>1.5069999999999999</v>
      </c>
      <c r="X342" s="106">
        <f t="shared" si="2100"/>
        <v>1.504</v>
      </c>
      <c r="Y342" s="53"/>
      <c r="Z342" s="53"/>
      <c r="AA342" s="107">
        <f t="shared" ref="AA342:AB342" si="2198">AA341</f>
        <v>10.015000000000001</v>
      </c>
      <c r="AB342" s="108" t="str">
        <f t="shared" si="2198"/>
        <v>22,10,090</v>
      </c>
      <c r="AC342" s="11" t="str">
        <f t="shared" si="2169"/>
        <v>22</v>
      </c>
      <c r="AD342" s="11" t="str">
        <f t="shared" si="2170"/>
        <v>10,090</v>
      </c>
      <c r="AE342" s="11">
        <f t="shared" si="2171"/>
        <v>0.36946944444444441</v>
      </c>
      <c r="AF342" s="14">
        <f t="shared" si="2172"/>
        <v>27.106436406558959</v>
      </c>
      <c r="AG342" s="41">
        <f t="shared" si="2173"/>
        <v>-100</v>
      </c>
      <c r="AH342" s="105">
        <f t="shared" si="2115"/>
        <v>20.3</v>
      </c>
      <c r="AI342" s="105">
        <f t="shared" si="2115"/>
        <v>1.5089999999999999</v>
      </c>
      <c r="AJ342" s="105">
        <f t="shared" si="2115"/>
        <v>1.504</v>
      </c>
      <c r="AK342" s="53">
        <f t="shared" si="2174"/>
        <v>0</v>
      </c>
      <c r="AL342" s="53"/>
      <c r="AM342" s="54">
        <f t="shared" ref="AM342:AN342" si="2199">AM341</f>
        <v>5.0129999999999999</v>
      </c>
      <c r="AN342" s="101" t="str">
        <f t="shared" si="2199"/>
        <v>17,59,050</v>
      </c>
      <c r="AO342" s="11" t="str">
        <f t="shared" si="2176"/>
        <v>17</v>
      </c>
      <c r="AP342" s="11" t="str">
        <f t="shared" si="2177"/>
        <v>59,050</v>
      </c>
      <c r="AQ342" s="11">
        <f t="shared" si="2178"/>
        <v>0.29973611111111109</v>
      </c>
      <c r="AR342" s="14">
        <f t="shared" si="2179"/>
        <v>16.724711551827998</v>
      </c>
      <c r="AS342" s="41">
        <f t="shared" si="2180"/>
        <v>-100</v>
      </c>
      <c r="AT342" s="43" t="str">
        <f t="shared" si="2181"/>
        <v>NO CONFORME</v>
      </c>
      <c r="AU342" s="8" t="b">
        <f t="shared" si="2103"/>
        <v>1</v>
      </c>
      <c r="AV342" s="8" t="b">
        <f t="shared" si="2104"/>
        <v>0</v>
      </c>
      <c r="AW342" s="8" t="b">
        <f t="shared" si="2105"/>
        <v>1</v>
      </c>
      <c r="AX342" s="8" t="str">
        <f t="shared" si="2106"/>
        <v>Qcorrecto</v>
      </c>
      <c r="AY342" s="22" t="str">
        <f t="shared" si="2086"/>
        <v>aceptable</v>
      </c>
      <c r="AZ342" s="22" t="str">
        <f t="shared" si="2087"/>
        <v>aceptable</v>
      </c>
      <c r="BA342" s="22" t="str">
        <f t="shared" si="2107"/>
        <v>aceptable</v>
      </c>
      <c r="BB342" s="25" t="str">
        <f t="shared" si="2108"/>
        <v>NO CONFORME</v>
      </c>
      <c r="BC342" s="5" t="str">
        <f t="shared" si="2109"/>
        <v>NO CONFORME</v>
      </c>
      <c r="BD342" s="15">
        <f t="shared" si="2088"/>
        <v>-1</v>
      </c>
      <c r="BE342" s="15">
        <f t="shared" si="2089"/>
        <v>-1</v>
      </c>
      <c r="BF342" s="15">
        <f t="shared" si="2090"/>
        <v>-1</v>
      </c>
      <c r="BG342" s="15" t="str">
        <f t="shared" si="2091"/>
        <v>-1-1-1</v>
      </c>
      <c r="BH342" s="15" t="str">
        <f t="shared" si="2092"/>
        <v>SD</v>
      </c>
      <c r="BI342" s="15" t="str">
        <f t="shared" si="2093"/>
        <v>SI</v>
      </c>
      <c r="BJ342" s="15" t="b">
        <f t="shared" si="2094"/>
        <v>1</v>
      </c>
      <c r="BK342" s="15" t="str">
        <f t="shared" si="2095"/>
        <v>SIGIGUALES</v>
      </c>
      <c r="BL342" s="22" t="str">
        <f t="shared" si="2096"/>
        <v>NO CONFORME</v>
      </c>
    </row>
    <row r="343" spans="1:64" ht="15.75" thickBot="1" x14ac:dyDescent="0.3">
      <c r="A343" s="37">
        <v>335</v>
      </c>
      <c r="B343" s="93">
        <f t="shared" ref="B343:E343" si="2200">B342</f>
        <v>45919</v>
      </c>
      <c r="C343" s="93">
        <f t="shared" si="2200"/>
        <v>45919</v>
      </c>
      <c r="D343" s="94">
        <f t="shared" si="2200"/>
        <v>6</v>
      </c>
      <c r="E343" s="95">
        <f t="shared" si="2200"/>
        <v>15</v>
      </c>
      <c r="F343" s="52"/>
      <c r="G343" s="96"/>
      <c r="H343" s="97">
        <f t="shared" ref="H343:L343" si="2201">H342</f>
        <v>25.6</v>
      </c>
      <c r="I343" s="98">
        <f t="shared" si="2201"/>
        <v>0</v>
      </c>
      <c r="J343" s="99">
        <f t="shared" si="2201"/>
        <v>20.9</v>
      </c>
      <c r="K343" s="99">
        <f t="shared" si="2201"/>
        <v>7.883</v>
      </c>
      <c r="L343" s="99">
        <f t="shared" si="2201"/>
        <v>0.55400000000000005</v>
      </c>
      <c r="M343" s="53"/>
      <c r="N343" s="53"/>
      <c r="O343" s="100">
        <f t="shared" ref="O343:P343" si="2202">O342</f>
        <v>100.62</v>
      </c>
      <c r="P343" s="101" t="str">
        <f t="shared" si="2202"/>
        <v>2,29,560</v>
      </c>
      <c r="Q343" s="11" t="str">
        <f t="shared" si="2162"/>
        <v>2</v>
      </c>
      <c r="R343" s="11" t="str">
        <f t="shared" si="2163"/>
        <v>29,560</v>
      </c>
      <c r="S343" s="11">
        <f t="shared" si="2164"/>
        <v>4.1544444444444446E-2</v>
      </c>
      <c r="T343" s="14">
        <f t="shared" si="2165"/>
        <v>2421.9844878309709</v>
      </c>
      <c r="U343" s="39">
        <f t="shared" si="2166"/>
        <v>-100</v>
      </c>
      <c r="V343" s="105">
        <f t="shared" ref="V343:W343" si="2203">V342</f>
        <v>20.399999999999999</v>
      </c>
      <c r="W343" s="105">
        <f t="shared" si="2203"/>
        <v>1.5069999999999999</v>
      </c>
      <c r="X343" s="106">
        <f t="shared" si="2100"/>
        <v>1.504</v>
      </c>
      <c r="Y343" s="53"/>
      <c r="Z343" s="53"/>
      <c r="AA343" s="107">
        <f t="shared" ref="AA343:AB343" si="2204">AA342</f>
        <v>10.015000000000001</v>
      </c>
      <c r="AB343" s="108" t="str">
        <f t="shared" si="2204"/>
        <v>22,10,090</v>
      </c>
      <c r="AC343" s="11" t="str">
        <f t="shared" si="2169"/>
        <v>22</v>
      </c>
      <c r="AD343" s="11" t="str">
        <f t="shared" si="2170"/>
        <v>10,090</v>
      </c>
      <c r="AE343" s="11">
        <f t="shared" si="2171"/>
        <v>0.36946944444444441</v>
      </c>
      <c r="AF343" s="14">
        <f t="shared" si="2172"/>
        <v>27.106436406558959</v>
      </c>
      <c r="AG343" s="41">
        <f t="shared" si="2173"/>
        <v>-100</v>
      </c>
      <c r="AH343" s="105">
        <f t="shared" si="2115"/>
        <v>20.3</v>
      </c>
      <c r="AI343" s="105">
        <f t="shared" si="2115"/>
        <v>1.5089999999999999</v>
      </c>
      <c r="AJ343" s="105">
        <f t="shared" si="2115"/>
        <v>1.504</v>
      </c>
      <c r="AK343" s="53">
        <f t="shared" si="2174"/>
        <v>0</v>
      </c>
      <c r="AL343" s="53"/>
      <c r="AM343" s="54">
        <f t="shared" ref="AM343:AN343" si="2205">AM342</f>
        <v>5.0129999999999999</v>
      </c>
      <c r="AN343" s="101" t="str">
        <f t="shared" si="2205"/>
        <v>17,59,050</v>
      </c>
      <c r="AO343" s="11" t="str">
        <f t="shared" si="2176"/>
        <v>17</v>
      </c>
      <c r="AP343" s="11" t="str">
        <f t="shared" si="2177"/>
        <v>59,050</v>
      </c>
      <c r="AQ343" s="11">
        <f t="shared" si="2178"/>
        <v>0.29973611111111109</v>
      </c>
      <c r="AR343" s="14">
        <f t="shared" si="2179"/>
        <v>16.724711551827998</v>
      </c>
      <c r="AS343" s="41">
        <f t="shared" si="2180"/>
        <v>-100</v>
      </c>
      <c r="AT343" s="43" t="str">
        <f t="shared" si="2181"/>
        <v>NO CONFORME</v>
      </c>
      <c r="AU343" s="8" t="b">
        <f t="shared" si="2103"/>
        <v>1</v>
      </c>
      <c r="AV343" s="8" t="b">
        <f t="shared" si="2104"/>
        <v>0</v>
      </c>
      <c r="AW343" s="8" t="b">
        <f t="shared" si="2105"/>
        <v>1</v>
      </c>
      <c r="AX343" s="8" t="str">
        <f t="shared" si="2106"/>
        <v>Qcorrecto</v>
      </c>
      <c r="AY343" s="22" t="str">
        <f t="shared" si="2086"/>
        <v>aceptable</v>
      </c>
      <c r="AZ343" s="22" t="str">
        <f t="shared" si="2087"/>
        <v>aceptable</v>
      </c>
      <c r="BA343" s="22" t="str">
        <f t="shared" si="2107"/>
        <v>aceptable</v>
      </c>
      <c r="BB343" s="25" t="str">
        <f t="shared" si="2108"/>
        <v>NO CONFORME</v>
      </c>
      <c r="BC343" s="5" t="str">
        <f t="shared" si="2109"/>
        <v>NO CONFORME</v>
      </c>
      <c r="BD343" s="15">
        <f t="shared" si="2088"/>
        <v>-1</v>
      </c>
      <c r="BE343" s="15">
        <f t="shared" si="2089"/>
        <v>-1</v>
      </c>
      <c r="BF343" s="15">
        <f t="shared" si="2090"/>
        <v>-1</v>
      </c>
      <c r="BG343" s="15" t="str">
        <f t="shared" si="2091"/>
        <v>-1-1-1</v>
      </c>
      <c r="BH343" s="15" t="str">
        <f t="shared" si="2092"/>
        <v>SD</v>
      </c>
      <c r="BI343" s="15" t="str">
        <f t="shared" si="2093"/>
        <v>SI</v>
      </c>
      <c r="BJ343" s="15" t="b">
        <f t="shared" si="2094"/>
        <v>1</v>
      </c>
      <c r="BK343" s="15" t="str">
        <f t="shared" si="2095"/>
        <v>SIGIGUALES</v>
      </c>
      <c r="BL343" s="22" t="str">
        <f t="shared" si="2096"/>
        <v>NO CONFORME</v>
      </c>
    </row>
    <row r="344" spans="1:64" ht="15.75" thickBot="1" x14ac:dyDescent="0.3">
      <c r="A344" s="37">
        <v>336</v>
      </c>
      <c r="B344" s="93">
        <f t="shared" ref="B344:E344" si="2206">B343</f>
        <v>45919</v>
      </c>
      <c r="C344" s="93">
        <f t="shared" si="2206"/>
        <v>45919</v>
      </c>
      <c r="D344" s="94">
        <f t="shared" si="2206"/>
        <v>6</v>
      </c>
      <c r="E344" s="95">
        <f t="shared" si="2206"/>
        <v>15</v>
      </c>
      <c r="F344" s="52"/>
      <c r="G344" s="96"/>
      <c r="H344" s="97">
        <f t="shared" ref="H344:L344" si="2207">H343</f>
        <v>25.6</v>
      </c>
      <c r="I344" s="98">
        <f t="shared" si="2207"/>
        <v>0</v>
      </c>
      <c r="J344" s="99">
        <f t="shared" si="2207"/>
        <v>20.9</v>
      </c>
      <c r="K344" s="99">
        <f t="shared" si="2207"/>
        <v>7.883</v>
      </c>
      <c r="L344" s="99">
        <f t="shared" si="2207"/>
        <v>0.55400000000000005</v>
      </c>
      <c r="M344" s="53"/>
      <c r="N344" s="53"/>
      <c r="O344" s="100">
        <f t="shared" ref="O344:P344" si="2208">O343</f>
        <v>100.62</v>
      </c>
      <c r="P344" s="101" t="str">
        <f t="shared" si="2208"/>
        <v>2,29,560</v>
      </c>
      <c r="Q344" s="11" t="str">
        <f t="shared" si="2162"/>
        <v>2</v>
      </c>
      <c r="R344" s="11" t="str">
        <f t="shared" si="2163"/>
        <v>29,560</v>
      </c>
      <c r="S344" s="11">
        <f t="shared" si="2164"/>
        <v>4.1544444444444446E-2</v>
      </c>
      <c r="T344" s="14">
        <f t="shared" si="2165"/>
        <v>2421.9844878309709</v>
      </c>
      <c r="U344" s="39">
        <f t="shared" si="2166"/>
        <v>-100</v>
      </c>
      <c r="V344" s="105">
        <f t="shared" ref="V344:W344" si="2209">V343</f>
        <v>20.399999999999999</v>
      </c>
      <c r="W344" s="105">
        <f t="shared" si="2209"/>
        <v>1.5069999999999999</v>
      </c>
      <c r="X344" s="106">
        <f t="shared" si="2100"/>
        <v>1.504</v>
      </c>
      <c r="Y344" s="53"/>
      <c r="Z344" s="53"/>
      <c r="AA344" s="107">
        <f t="shared" ref="AA344:AB344" si="2210">AA343</f>
        <v>10.015000000000001</v>
      </c>
      <c r="AB344" s="108" t="str">
        <f t="shared" si="2210"/>
        <v>22,10,090</v>
      </c>
      <c r="AC344" s="11" t="str">
        <f t="shared" si="2169"/>
        <v>22</v>
      </c>
      <c r="AD344" s="11" t="str">
        <f t="shared" si="2170"/>
        <v>10,090</v>
      </c>
      <c r="AE344" s="11">
        <f t="shared" si="2171"/>
        <v>0.36946944444444441</v>
      </c>
      <c r="AF344" s="14">
        <f t="shared" si="2172"/>
        <v>27.106436406558959</v>
      </c>
      <c r="AG344" s="41">
        <f t="shared" si="2173"/>
        <v>-100</v>
      </c>
      <c r="AH344" s="105">
        <f t="shared" si="2115"/>
        <v>20.3</v>
      </c>
      <c r="AI344" s="105">
        <f t="shared" si="2115"/>
        <v>1.5089999999999999</v>
      </c>
      <c r="AJ344" s="105">
        <f t="shared" si="2115"/>
        <v>1.504</v>
      </c>
      <c r="AK344" s="53">
        <f t="shared" si="2174"/>
        <v>0</v>
      </c>
      <c r="AL344" s="53"/>
      <c r="AM344" s="54">
        <f t="shared" ref="AM344:AN344" si="2211">AM343</f>
        <v>5.0129999999999999</v>
      </c>
      <c r="AN344" s="101" t="str">
        <f t="shared" si="2211"/>
        <v>17,59,050</v>
      </c>
      <c r="AO344" s="11" t="str">
        <f t="shared" si="2176"/>
        <v>17</v>
      </c>
      <c r="AP344" s="11" t="str">
        <f t="shared" si="2177"/>
        <v>59,050</v>
      </c>
      <c r="AQ344" s="11">
        <f t="shared" si="2178"/>
        <v>0.29973611111111109</v>
      </c>
      <c r="AR344" s="14">
        <f t="shared" si="2179"/>
        <v>16.724711551827998</v>
      </c>
      <c r="AS344" s="41">
        <f t="shared" si="2180"/>
        <v>-100</v>
      </c>
      <c r="AT344" s="43" t="str">
        <f t="shared" si="2181"/>
        <v>NO CONFORME</v>
      </c>
      <c r="AU344" s="8" t="b">
        <f t="shared" si="2103"/>
        <v>1</v>
      </c>
      <c r="AV344" s="8" t="b">
        <f t="shared" si="2104"/>
        <v>0</v>
      </c>
      <c r="AW344" s="8" t="b">
        <f t="shared" si="2105"/>
        <v>1</v>
      </c>
      <c r="AX344" s="8" t="str">
        <f t="shared" si="2106"/>
        <v>Qcorrecto</v>
      </c>
      <c r="AY344" s="22" t="str">
        <f t="shared" si="2086"/>
        <v>aceptable</v>
      </c>
      <c r="AZ344" s="22" t="str">
        <f t="shared" si="2087"/>
        <v>aceptable</v>
      </c>
      <c r="BA344" s="22" t="str">
        <f t="shared" si="2107"/>
        <v>aceptable</v>
      </c>
      <c r="BB344" s="25" t="str">
        <f t="shared" si="2108"/>
        <v>NO CONFORME</v>
      </c>
      <c r="BC344" s="5" t="str">
        <f t="shared" si="2109"/>
        <v>NO CONFORME</v>
      </c>
      <c r="BD344" s="15">
        <f t="shared" si="2088"/>
        <v>-1</v>
      </c>
      <c r="BE344" s="15">
        <f t="shared" si="2089"/>
        <v>-1</v>
      </c>
      <c r="BF344" s="15">
        <f t="shared" si="2090"/>
        <v>-1</v>
      </c>
      <c r="BG344" s="15" t="str">
        <f t="shared" si="2091"/>
        <v>-1-1-1</v>
      </c>
      <c r="BH344" s="15" t="str">
        <f t="shared" si="2092"/>
        <v>SD</v>
      </c>
      <c r="BI344" s="15" t="str">
        <f t="shared" si="2093"/>
        <v>SI</v>
      </c>
      <c r="BJ344" s="15" t="b">
        <f t="shared" si="2094"/>
        <v>1</v>
      </c>
      <c r="BK344" s="15" t="str">
        <f t="shared" si="2095"/>
        <v>SIGIGUALES</v>
      </c>
      <c r="BL344" s="22" t="str">
        <f t="shared" si="2096"/>
        <v>NO CONFORME</v>
      </c>
    </row>
    <row r="345" spans="1:64" ht="15.75" thickBot="1" x14ac:dyDescent="0.3">
      <c r="A345" s="37">
        <v>337</v>
      </c>
      <c r="B345" s="93">
        <f t="shared" ref="B345:E345" si="2212">B344</f>
        <v>45919</v>
      </c>
      <c r="C345" s="93">
        <f t="shared" si="2212"/>
        <v>45919</v>
      </c>
      <c r="D345" s="94">
        <f t="shared" si="2212"/>
        <v>6</v>
      </c>
      <c r="E345" s="95">
        <f t="shared" si="2212"/>
        <v>15</v>
      </c>
      <c r="F345" s="52"/>
      <c r="G345" s="96"/>
      <c r="H345" s="97">
        <f t="shared" ref="H345:L345" si="2213">H344</f>
        <v>25.6</v>
      </c>
      <c r="I345" s="98">
        <f t="shared" si="2213"/>
        <v>0</v>
      </c>
      <c r="J345" s="99">
        <f t="shared" si="2213"/>
        <v>20.9</v>
      </c>
      <c r="K345" s="99">
        <f t="shared" si="2213"/>
        <v>7.883</v>
      </c>
      <c r="L345" s="99">
        <f t="shared" si="2213"/>
        <v>0.55400000000000005</v>
      </c>
      <c r="M345" s="53"/>
      <c r="N345" s="53"/>
      <c r="O345" s="100">
        <f t="shared" ref="O345:P345" si="2214">O344</f>
        <v>100.62</v>
      </c>
      <c r="P345" s="101" t="str">
        <f t="shared" si="2214"/>
        <v>2,29,560</v>
      </c>
      <c r="Q345" s="11" t="str">
        <f t="shared" si="2162"/>
        <v>2</v>
      </c>
      <c r="R345" s="11" t="str">
        <f t="shared" si="2163"/>
        <v>29,560</v>
      </c>
      <c r="S345" s="11">
        <f t="shared" si="2164"/>
        <v>4.1544444444444446E-2</v>
      </c>
      <c r="T345" s="14">
        <f t="shared" si="2165"/>
        <v>2421.9844878309709</v>
      </c>
      <c r="U345" s="39">
        <f t="shared" si="2166"/>
        <v>-100</v>
      </c>
      <c r="V345" s="105">
        <f t="shared" ref="V345:W345" si="2215">V344</f>
        <v>20.399999999999999</v>
      </c>
      <c r="W345" s="105">
        <f t="shared" si="2215"/>
        <v>1.5069999999999999</v>
      </c>
      <c r="X345" s="106">
        <f t="shared" si="2100"/>
        <v>1.504</v>
      </c>
      <c r="Y345" s="53"/>
      <c r="Z345" s="53"/>
      <c r="AA345" s="107">
        <f t="shared" ref="AA345:AB345" si="2216">AA344</f>
        <v>10.015000000000001</v>
      </c>
      <c r="AB345" s="108" t="str">
        <f t="shared" si="2216"/>
        <v>22,10,090</v>
      </c>
      <c r="AC345" s="11" t="str">
        <f t="shared" si="2169"/>
        <v>22</v>
      </c>
      <c r="AD345" s="11" t="str">
        <f t="shared" si="2170"/>
        <v>10,090</v>
      </c>
      <c r="AE345" s="11">
        <f t="shared" si="2171"/>
        <v>0.36946944444444441</v>
      </c>
      <c r="AF345" s="14">
        <f t="shared" si="2172"/>
        <v>27.106436406558959</v>
      </c>
      <c r="AG345" s="41">
        <f t="shared" si="2173"/>
        <v>-100</v>
      </c>
      <c r="AH345" s="105">
        <f t="shared" si="2115"/>
        <v>20.3</v>
      </c>
      <c r="AI345" s="105">
        <f t="shared" si="2115"/>
        <v>1.5089999999999999</v>
      </c>
      <c r="AJ345" s="105">
        <f t="shared" si="2115"/>
        <v>1.504</v>
      </c>
      <c r="AK345" s="53">
        <f t="shared" si="2174"/>
        <v>0</v>
      </c>
      <c r="AL345" s="53"/>
      <c r="AM345" s="54">
        <f t="shared" ref="AM345:AN345" si="2217">AM344</f>
        <v>5.0129999999999999</v>
      </c>
      <c r="AN345" s="101" t="str">
        <f t="shared" si="2217"/>
        <v>17,59,050</v>
      </c>
      <c r="AO345" s="11" t="str">
        <f t="shared" si="2176"/>
        <v>17</v>
      </c>
      <c r="AP345" s="11" t="str">
        <f t="shared" si="2177"/>
        <v>59,050</v>
      </c>
      <c r="AQ345" s="11">
        <f t="shared" si="2178"/>
        <v>0.29973611111111109</v>
      </c>
      <c r="AR345" s="14">
        <f t="shared" si="2179"/>
        <v>16.724711551827998</v>
      </c>
      <c r="AS345" s="41">
        <f t="shared" si="2180"/>
        <v>-100</v>
      </c>
      <c r="AT345" s="43" t="str">
        <f t="shared" si="2181"/>
        <v>NO CONFORME</v>
      </c>
      <c r="AU345" s="8" t="b">
        <f t="shared" si="2103"/>
        <v>1</v>
      </c>
      <c r="AV345" s="8" t="b">
        <f t="shared" si="2104"/>
        <v>0</v>
      </c>
      <c r="AW345" s="8" t="b">
        <f t="shared" si="2105"/>
        <v>1</v>
      </c>
      <c r="AX345" s="8" t="str">
        <f t="shared" si="2106"/>
        <v>Qcorrecto</v>
      </c>
      <c r="AY345" s="22" t="str">
        <f t="shared" si="2086"/>
        <v>aceptable</v>
      </c>
      <c r="AZ345" s="22" t="str">
        <f t="shared" si="2087"/>
        <v>aceptable</v>
      </c>
      <c r="BA345" s="22" t="str">
        <f t="shared" si="2107"/>
        <v>aceptable</v>
      </c>
      <c r="BB345" s="25" t="str">
        <f t="shared" si="2108"/>
        <v>NO CONFORME</v>
      </c>
      <c r="BC345" s="5" t="str">
        <f t="shared" si="2109"/>
        <v>NO CONFORME</v>
      </c>
      <c r="BD345" s="15">
        <f t="shared" si="2088"/>
        <v>-1</v>
      </c>
      <c r="BE345" s="15">
        <f t="shared" si="2089"/>
        <v>-1</v>
      </c>
      <c r="BF345" s="15">
        <f t="shared" si="2090"/>
        <v>-1</v>
      </c>
      <c r="BG345" s="15" t="str">
        <f t="shared" si="2091"/>
        <v>-1-1-1</v>
      </c>
      <c r="BH345" s="15" t="str">
        <f t="shared" si="2092"/>
        <v>SD</v>
      </c>
      <c r="BI345" s="15" t="str">
        <f t="shared" si="2093"/>
        <v>SI</v>
      </c>
      <c r="BJ345" s="15" t="b">
        <f t="shared" si="2094"/>
        <v>1</v>
      </c>
      <c r="BK345" s="15" t="str">
        <f t="shared" si="2095"/>
        <v>SIGIGUALES</v>
      </c>
      <c r="BL345" s="22" t="str">
        <f t="shared" si="2096"/>
        <v>NO CONFORME</v>
      </c>
    </row>
    <row r="346" spans="1:64" ht="15.75" thickBot="1" x14ac:dyDescent="0.3">
      <c r="A346" s="37">
        <v>338</v>
      </c>
      <c r="B346" s="93">
        <f t="shared" ref="B346:E346" si="2218">B345</f>
        <v>45919</v>
      </c>
      <c r="C346" s="93">
        <f t="shared" si="2218"/>
        <v>45919</v>
      </c>
      <c r="D346" s="94">
        <f t="shared" si="2218"/>
        <v>6</v>
      </c>
      <c r="E346" s="95">
        <f t="shared" si="2218"/>
        <v>15</v>
      </c>
      <c r="F346" s="52"/>
      <c r="G346" s="96"/>
      <c r="H346" s="97">
        <f t="shared" ref="H346:L346" si="2219">H345</f>
        <v>25.6</v>
      </c>
      <c r="I346" s="98">
        <f t="shared" si="2219"/>
        <v>0</v>
      </c>
      <c r="J346" s="99">
        <f t="shared" si="2219"/>
        <v>20.9</v>
      </c>
      <c r="K346" s="99">
        <f t="shared" si="2219"/>
        <v>7.883</v>
      </c>
      <c r="L346" s="99">
        <f t="shared" si="2219"/>
        <v>0.55400000000000005</v>
      </c>
      <c r="M346" s="53"/>
      <c r="N346" s="53"/>
      <c r="O346" s="100">
        <f t="shared" ref="O346:P346" si="2220">O345</f>
        <v>100.62</v>
      </c>
      <c r="P346" s="101" t="str">
        <f t="shared" si="2220"/>
        <v>2,29,560</v>
      </c>
      <c r="Q346" s="11" t="str">
        <f t="shared" si="2162"/>
        <v>2</v>
      </c>
      <c r="R346" s="11" t="str">
        <f t="shared" si="2163"/>
        <v>29,560</v>
      </c>
      <c r="S346" s="11">
        <f t="shared" si="2164"/>
        <v>4.1544444444444446E-2</v>
      </c>
      <c r="T346" s="14">
        <f t="shared" si="2165"/>
        <v>2421.9844878309709</v>
      </c>
      <c r="U346" s="39">
        <f t="shared" si="2166"/>
        <v>-100</v>
      </c>
      <c r="V346" s="105">
        <f t="shared" ref="V346:X361" si="2221">V345</f>
        <v>20.399999999999999</v>
      </c>
      <c r="W346" s="105">
        <f t="shared" si="2221"/>
        <v>1.5069999999999999</v>
      </c>
      <c r="X346" s="106">
        <f t="shared" si="2221"/>
        <v>1.504</v>
      </c>
      <c r="Y346" s="53"/>
      <c r="Z346" s="53"/>
      <c r="AA346" s="107">
        <f t="shared" ref="AA346:AB346" si="2222">AA345</f>
        <v>10.015000000000001</v>
      </c>
      <c r="AB346" s="108" t="str">
        <f t="shared" si="2222"/>
        <v>22,10,090</v>
      </c>
      <c r="AC346" s="11" t="str">
        <f t="shared" si="2169"/>
        <v>22</v>
      </c>
      <c r="AD346" s="11" t="str">
        <f t="shared" si="2170"/>
        <v>10,090</v>
      </c>
      <c r="AE346" s="11">
        <f t="shared" si="2171"/>
        <v>0.36946944444444441</v>
      </c>
      <c r="AF346" s="14">
        <f t="shared" si="2172"/>
        <v>27.106436406558959</v>
      </c>
      <c r="AG346" s="41">
        <f t="shared" si="2173"/>
        <v>-100</v>
      </c>
      <c r="AH346" s="105">
        <f t="shared" si="2115"/>
        <v>20.3</v>
      </c>
      <c r="AI346" s="105">
        <f t="shared" si="2115"/>
        <v>1.5089999999999999</v>
      </c>
      <c r="AJ346" s="105">
        <f t="shared" si="2115"/>
        <v>1.504</v>
      </c>
      <c r="AK346" s="53">
        <f t="shared" si="2174"/>
        <v>0</v>
      </c>
      <c r="AL346" s="53"/>
      <c r="AM346" s="54">
        <f t="shared" ref="AM346:AN346" si="2223">AM345</f>
        <v>5.0129999999999999</v>
      </c>
      <c r="AN346" s="101" t="str">
        <f t="shared" si="2223"/>
        <v>17,59,050</v>
      </c>
      <c r="AO346" s="11" t="str">
        <f t="shared" si="2176"/>
        <v>17</v>
      </c>
      <c r="AP346" s="11" t="str">
        <f t="shared" si="2177"/>
        <v>59,050</v>
      </c>
      <c r="AQ346" s="11">
        <f t="shared" si="2178"/>
        <v>0.29973611111111109</v>
      </c>
      <c r="AR346" s="14">
        <f t="shared" si="2179"/>
        <v>16.724711551827998</v>
      </c>
      <c r="AS346" s="41">
        <f t="shared" si="2180"/>
        <v>-100</v>
      </c>
      <c r="AT346" s="43" t="str">
        <f t="shared" si="2181"/>
        <v>NO CONFORME</v>
      </c>
      <c r="AU346" s="8" t="b">
        <f t="shared" si="2103"/>
        <v>1</v>
      </c>
      <c r="AV346" s="8" t="b">
        <f t="shared" si="2104"/>
        <v>0</v>
      </c>
      <c r="AW346" s="8" t="b">
        <f t="shared" si="2105"/>
        <v>1</v>
      </c>
      <c r="AX346" s="8" t="str">
        <f t="shared" si="2106"/>
        <v>Qcorrecto</v>
      </c>
      <c r="AY346" s="22" t="str">
        <f t="shared" si="2086"/>
        <v>aceptable</v>
      </c>
      <c r="AZ346" s="22" t="str">
        <f t="shared" si="2087"/>
        <v>aceptable</v>
      </c>
      <c r="BA346" s="22" t="str">
        <f t="shared" si="2107"/>
        <v>aceptable</v>
      </c>
      <c r="BB346" s="25" t="str">
        <f t="shared" si="2108"/>
        <v>NO CONFORME</v>
      </c>
      <c r="BC346" s="5" t="str">
        <f t="shared" si="2109"/>
        <v>NO CONFORME</v>
      </c>
      <c r="BD346" s="15">
        <f t="shared" si="2088"/>
        <v>-1</v>
      </c>
      <c r="BE346" s="15">
        <f t="shared" si="2089"/>
        <v>-1</v>
      </c>
      <c r="BF346" s="15">
        <f t="shared" si="2090"/>
        <v>-1</v>
      </c>
      <c r="BG346" s="15" t="str">
        <f t="shared" si="2091"/>
        <v>-1-1-1</v>
      </c>
      <c r="BH346" s="15" t="str">
        <f t="shared" si="2092"/>
        <v>SD</v>
      </c>
      <c r="BI346" s="15" t="str">
        <f t="shared" si="2093"/>
        <v>SI</v>
      </c>
      <c r="BJ346" s="15" t="b">
        <f t="shared" si="2094"/>
        <v>1</v>
      </c>
      <c r="BK346" s="15" t="str">
        <f t="shared" si="2095"/>
        <v>SIGIGUALES</v>
      </c>
      <c r="BL346" s="22" t="str">
        <f t="shared" si="2096"/>
        <v>NO CONFORME</v>
      </c>
    </row>
    <row r="347" spans="1:64" ht="15.75" thickBot="1" x14ac:dyDescent="0.3">
      <c r="A347" s="37">
        <v>339</v>
      </c>
      <c r="B347" s="93">
        <f t="shared" ref="B347:E347" si="2224">B346</f>
        <v>45919</v>
      </c>
      <c r="C347" s="93">
        <f t="shared" si="2224"/>
        <v>45919</v>
      </c>
      <c r="D347" s="94">
        <f t="shared" si="2224"/>
        <v>6</v>
      </c>
      <c r="E347" s="95">
        <f t="shared" si="2224"/>
        <v>15</v>
      </c>
      <c r="F347" s="52"/>
      <c r="G347" s="96"/>
      <c r="H347" s="97">
        <f t="shared" ref="H347:L347" si="2225">H346</f>
        <v>25.6</v>
      </c>
      <c r="I347" s="98">
        <f t="shared" si="2225"/>
        <v>0</v>
      </c>
      <c r="J347" s="99">
        <f t="shared" si="2225"/>
        <v>20.9</v>
      </c>
      <c r="K347" s="99">
        <f t="shared" si="2225"/>
        <v>7.883</v>
      </c>
      <c r="L347" s="99">
        <f t="shared" si="2225"/>
        <v>0.55400000000000005</v>
      </c>
      <c r="M347" s="53"/>
      <c r="N347" s="53"/>
      <c r="O347" s="100">
        <f t="shared" ref="O347:P347" si="2226">O346</f>
        <v>100.62</v>
      </c>
      <c r="P347" s="101" t="str">
        <f t="shared" si="2226"/>
        <v>2,29,560</v>
      </c>
      <c r="Q347" s="11" t="str">
        <f t="shared" si="2162"/>
        <v>2</v>
      </c>
      <c r="R347" s="11" t="str">
        <f t="shared" si="2163"/>
        <v>29,560</v>
      </c>
      <c r="S347" s="11">
        <f t="shared" si="2164"/>
        <v>4.1544444444444446E-2</v>
      </c>
      <c r="T347" s="14">
        <f t="shared" si="2165"/>
        <v>2421.9844878309709</v>
      </c>
      <c r="U347" s="39">
        <f t="shared" si="2166"/>
        <v>-100</v>
      </c>
      <c r="V347" s="105">
        <f t="shared" ref="V347:W347" si="2227">V346</f>
        <v>20.399999999999999</v>
      </c>
      <c r="W347" s="105">
        <f t="shared" si="2227"/>
        <v>1.5069999999999999</v>
      </c>
      <c r="X347" s="106">
        <f t="shared" si="2221"/>
        <v>1.504</v>
      </c>
      <c r="Y347" s="53"/>
      <c r="Z347" s="53"/>
      <c r="AA347" s="107">
        <f t="shared" ref="AA347:AB347" si="2228">AA346</f>
        <v>10.015000000000001</v>
      </c>
      <c r="AB347" s="108" t="str">
        <f t="shared" si="2228"/>
        <v>22,10,090</v>
      </c>
      <c r="AC347" s="11" t="str">
        <f t="shared" si="2169"/>
        <v>22</v>
      </c>
      <c r="AD347" s="11" t="str">
        <f t="shared" si="2170"/>
        <v>10,090</v>
      </c>
      <c r="AE347" s="11">
        <f t="shared" si="2171"/>
        <v>0.36946944444444441</v>
      </c>
      <c r="AF347" s="14">
        <f t="shared" si="2172"/>
        <v>27.106436406558959</v>
      </c>
      <c r="AG347" s="41">
        <f t="shared" si="2173"/>
        <v>-100</v>
      </c>
      <c r="AH347" s="105">
        <f t="shared" ref="AH347:AJ362" si="2229">AH346</f>
        <v>20.3</v>
      </c>
      <c r="AI347" s="105">
        <f t="shared" si="2229"/>
        <v>1.5089999999999999</v>
      </c>
      <c r="AJ347" s="105">
        <f t="shared" si="2229"/>
        <v>1.504</v>
      </c>
      <c r="AK347" s="53">
        <f t="shared" si="2174"/>
        <v>0</v>
      </c>
      <c r="AL347" s="53"/>
      <c r="AM347" s="54">
        <f t="shared" ref="AM347:AN347" si="2230">AM346</f>
        <v>5.0129999999999999</v>
      </c>
      <c r="AN347" s="101" t="str">
        <f t="shared" si="2230"/>
        <v>17,59,050</v>
      </c>
      <c r="AO347" s="11" t="str">
        <f t="shared" si="2176"/>
        <v>17</v>
      </c>
      <c r="AP347" s="11" t="str">
        <f t="shared" si="2177"/>
        <v>59,050</v>
      </c>
      <c r="AQ347" s="11">
        <f t="shared" si="2178"/>
        <v>0.29973611111111109</v>
      </c>
      <c r="AR347" s="14">
        <f t="shared" si="2179"/>
        <v>16.724711551827998</v>
      </c>
      <c r="AS347" s="41">
        <f t="shared" si="2180"/>
        <v>-100</v>
      </c>
      <c r="AT347" s="43" t="str">
        <f t="shared" si="2181"/>
        <v>NO CONFORME</v>
      </c>
      <c r="AU347" s="8" t="b">
        <f t="shared" si="2103"/>
        <v>1</v>
      </c>
      <c r="AV347" s="8" t="b">
        <f t="shared" si="2104"/>
        <v>0</v>
      </c>
      <c r="AW347" s="8" t="b">
        <f t="shared" si="2105"/>
        <v>1</v>
      </c>
      <c r="AX347" s="8" t="str">
        <f t="shared" si="2106"/>
        <v>Qcorrecto</v>
      </c>
      <c r="AY347" s="22" t="str">
        <f t="shared" si="2086"/>
        <v>aceptable</v>
      </c>
      <c r="AZ347" s="22" t="str">
        <f t="shared" si="2087"/>
        <v>aceptable</v>
      </c>
      <c r="BA347" s="22" t="str">
        <f t="shared" si="2107"/>
        <v>aceptable</v>
      </c>
      <c r="BB347" s="25" t="str">
        <f t="shared" si="2108"/>
        <v>NO CONFORME</v>
      </c>
      <c r="BC347" s="5" t="str">
        <f t="shared" si="2109"/>
        <v>NO CONFORME</v>
      </c>
      <c r="BD347" s="15">
        <f t="shared" si="2088"/>
        <v>-1</v>
      </c>
      <c r="BE347" s="15">
        <f t="shared" si="2089"/>
        <v>-1</v>
      </c>
      <c r="BF347" s="15">
        <f t="shared" si="2090"/>
        <v>-1</v>
      </c>
      <c r="BG347" s="15" t="str">
        <f t="shared" si="2091"/>
        <v>-1-1-1</v>
      </c>
      <c r="BH347" s="15" t="str">
        <f t="shared" si="2092"/>
        <v>SD</v>
      </c>
      <c r="BI347" s="15" t="str">
        <f t="shared" si="2093"/>
        <v>SI</v>
      </c>
      <c r="BJ347" s="15" t="b">
        <f t="shared" si="2094"/>
        <v>1</v>
      </c>
      <c r="BK347" s="15" t="str">
        <f t="shared" si="2095"/>
        <v>SIGIGUALES</v>
      </c>
      <c r="BL347" s="22" t="str">
        <f t="shared" si="2096"/>
        <v>NO CONFORME</v>
      </c>
    </row>
    <row r="348" spans="1:64" ht="15.75" thickBot="1" x14ac:dyDescent="0.3">
      <c r="A348" s="37">
        <v>340</v>
      </c>
      <c r="B348" s="93">
        <f t="shared" ref="B348:E348" si="2231">B347</f>
        <v>45919</v>
      </c>
      <c r="C348" s="93">
        <f t="shared" si="2231"/>
        <v>45919</v>
      </c>
      <c r="D348" s="94">
        <f t="shared" si="2231"/>
        <v>6</v>
      </c>
      <c r="E348" s="95">
        <f t="shared" si="2231"/>
        <v>15</v>
      </c>
      <c r="F348" s="52"/>
      <c r="G348" s="96"/>
      <c r="H348" s="97">
        <f t="shared" ref="H348:L348" si="2232">H347</f>
        <v>25.6</v>
      </c>
      <c r="I348" s="98">
        <f t="shared" si="2232"/>
        <v>0</v>
      </c>
      <c r="J348" s="99">
        <f t="shared" si="2232"/>
        <v>20.9</v>
      </c>
      <c r="K348" s="99">
        <f t="shared" si="2232"/>
        <v>7.883</v>
      </c>
      <c r="L348" s="99">
        <f t="shared" si="2232"/>
        <v>0.55400000000000005</v>
      </c>
      <c r="M348" s="53"/>
      <c r="N348" s="53"/>
      <c r="O348" s="100">
        <f t="shared" ref="O348:P348" si="2233">O347</f>
        <v>100.62</v>
      </c>
      <c r="P348" s="101" t="str">
        <f t="shared" si="2233"/>
        <v>2,29,560</v>
      </c>
      <c r="Q348" s="11" t="str">
        <f t="shared" si="2162"/>
        <v>2</v>
      </c>
      <c r="R348" s="11" t="str">
        <f t="shared" si="2163"/>
        <v>29,560</v>
      </c>
      <c r="S348" s="11">
        <f t="shared" si="2164"/>
        <v>4.1544444444444446E-2</v>
      </c>
      <c r="T348" s="14">
        <f t="shared" si="2165"/>
        <v>2421.9844878309709</v>
      </c>
      <c r="U348" s="39">
        <f t="shared" si="2166"/>
        <v>-100</v>
      </c>
      <c r="V348" s="105">
        <f t="shared" ref="V348:W348" si="2234">V347</f>
        <v>20.399999999999999</v>
      </c>
      <c r="W348" s="105">
        <f t="shared" si="2234"/>
        <v>1.5069999999999999</v>
      </c>
      <c r="X348" s="106">
        <f t="shared" si="2221"/>
        <v>1.504</v>
      </c>
      <c r="Y348" s="53"/>
      <c r="Z348" s="53"/>
      <c r="AA348" s="107">
        <f t="shared" ref="AA348:AB348" si="2235">AA347</f>
        <v>10.015000000000001</v>
      </c>
      <c r="AB348" s="108" t="str">
        <f t="shared" si="2235"/>
        <v>22,10,090</v>
      </c>
      <c r="AC348" s="11" t="str">
        <f t="shared" si="2169"/>
        <v>22</v>
      </c>
      <c r="AD348" s="11" t="str">
        <f t="shared" si="2170"/>
        <v>10,090</v>
      </c>
      <c r="AE348" s="11">
        <f t="shared" si="2171"/>
        <v>0.36946944444444441</v>
      </c>
      <c r="AF348" s="14">
        <f t="shared" si="2172"/>
        <v>27.106436406558959</v>
      </c>
      <c r="AG348" s="41">
        <f t="shared" si="2173"/>
        <v>-100</v>
      </c>
      <c r="AH348" s="105">
        <f t="shared" si="2229"/>
        <v>20.3</v>
      </c>
      <c r="AI348" s="105">
        <f t="shared" si="2229"/>
        <v>1.5089999999999999</v>
      </c>
      <c r="AJ348" s="105">
        <f t="shared" si="2229"/>
        <v>1.504</v>
      </c>
      <c r="AK348" s="53">
        <f t="shared" si="2174"/>
        <v>0</v>
      </c>
      <c r="AL348" s="53"/>
      <c r="AM348" s="54">
        <f t="shared" ref="AM348:AN348" si="2236">AM347</f>
        <v>5.0129999999999999</v>
      </c>
      <c r="AN348" s="101" t="str">
        <f t="shared" si="2236"/>
        <v>17,59,050</v>
      </c>
      <c r="AO348" s="11" t="str">
        <f t="shared" si="2176"/>
        <v>17</v>
      </c>
      <c r="AP348" s="11" t="str">
        <f t="shared" si="2177"/>
        <v>59,050</v>
      </c>
      <c r="AQ348" s="11">
        <f t="shared" si="2178"/>
        <v>0.29973611111111109</v>
      </c>
      <c r="AR348" s="14">
        <f t="shared" si="2179"/>
        <v>16.724711551827998</v>
      </c>
      <c r="AS348" s="41">
        <f t="shared" si="2180"/>
        <v>-100</v>
      </c>
      <c r="AT348" s="43" t="str">
        <f t="shared" si="2181"/>
        <v>NO CONFORME</v>
      </c>
      <c r="AU348" s="8" t="b">
        <f t="shared" si="2103"/>
        <v>1</v>
      </c>
      <c r="AV348" s="8" t="b">
        <f t="shared" si="2104"/>
        <v>0</v>
      </c>
      <c r="AW348" s="8" t="b">
        <f t="shared" si="2105"/>
        <v>1</v>
      </c>
      <c r="AX348" s="8" t="str">
        <f t="shared" si="2106"/>
        <v>Qcorrecto</v>
      </c>
      <c r="AY348" s="22" t="str">
        <f t="shared" si="2086"/>
        <v>aceptable</v>
      </c>
      <c r="AZ348" s="22" t="str">
        <f t="shared" si="2087"/>
        <v>aceptable</v>
      </c>
      <c r="BA348" s="22" t="str">
        <f t="shared" si="2107"/>
        <v>aceptable</v>
      </c>
      <c r="BB348" s="25" t="str">
        <f t="shared" si="2108"/>
        <v>NO CONFORME</v>
      </c>
      <c r="BC348" s="5" t="str">
        <f t="shared" si="2109"/>
        <v>NO CONFORME</v>
      </c>
      <c r="BD348" s="15">
        <f t="shared" si="2088"/>
        <v>-1</v>
      </c>
      <c r="BE348" s="15">
        <f t="shared" si="2089"/>
        <v>-1</v>
      </c>
      <c r="BF348" s="15">
        <f t="shared" si="2090"/>
        <v>-1</v>
      </c>
      <c r="BG348" s="15" t="str">
        <f t="shared" si="2091"/>
        <v>-1-1-1</v>
      </c>
      <c r="BH348" s="15" t="str">
        <f t="shared" si="2092"/>
        <v>SD</v>
      </c>
      <c r="BI348" s="15" t="str">
        <f t="shared" si="2093"/>
        <v>SI</v>
      </c>
      <c r="BJ348" s="15" t="b">
        <f t="shared" si="2094"/>
        <v>1</v>
      </c>
      <c r="BK348" s="15" t="str">
        <f t="shared" si="2095"/>
        <v>SIGIGUALES</v>
      </c>
      <c r="BL348" s="22" t="str">
        <f t="shared" si="2096"/>
        <v>NO CONFORME</v>
      </c>
    </row>
    <row r="349" spans="1:64" ht="15.75" thickBot="1" x14ac:dyDescent="0.3">
      <c r="A349" s="37">
        <v>341</v>
      </c>
      <c r="B349" s="93">
        <f t="shared" ref="B349:E349" si="2237">B348</f>
        <v>45919</v>
      </c>
      <c r="C349" s="93">
        <f t="shared" si="2237"/>
        <v>45919</v>
      </c>
      <c r="D349" s="94">
        <f t="shared" si="2237"/>
        <v>6</v>
      </c>
      <c r="E349" s="95">
        <f t="shared" si="2237"/>
        <v>15</v>
      </c>
      <c r="F349" s="52"/>
      <c r="G349" s="96"/>
      <c r="H349" s="97">
        <f t="shared" ref="H349:L349" si="2238">H348</f>
        <v>25.6</v>
      </c>
      <c r="I349" s="98">
        <f t="shared" si="2238"/>
        <v>0</v>
      </c>
      <c r="J349" s="99">
        <f t="shared" si="2238"/>
        <v>20.9</v>
      </c>
      <c r="K349" s="99">
        <f t="shared" si="2238"/>
        <v>7.883</v>
      </c>
      <c r="L349" s="99">
        <f t="shared" si="2238"/>
        <v>0.55400000000000005</v>
      </c>
      <c r="M349" s="53"/>
      <c r="N349" s="53"/>
      <c r="O349" s="100">
        <f t="shared" ref="O349:P349" si="2239">O348</f>
        <v>100.62</v>
      </c>
      <c r="P349" s="101" t="str">
        <f t="shared" si="2239"/>
        <v>2,29,560</v>
      </c>
      <c r="Q349" s="11" t="str">
        <f t="shared" si="2162"/>
        <v>2</v>
      </c>
      <c r="R349" s="11" t="str">
        <f t="shared" si="2163"/>
        <v>29,560</v>
      </c>
      <c r="S349" s="11">
        <f t="shared" si="2164"/>
        <v>4.1544444444444446E-2</v>
      </c>
      <c r="T349" s="14">
        <f t="shared" si="2165"/>
        <v>2421.9844878309709</v>
      </c>
      <c r="U349" s="39">
        <f t="shared" si="2166"/>
        <v>-100</v>
      </c>
      <c r="V349" s="105">
        <f t="shared" ref="V349:W349" si="2240">V348</f>
        <v>20.399999999999999</v>
      </c>
      <c r="W349" s="105">
        <f t="shared" si="2240"/>
        <v>1.5069999999999999</v>
      </c>
      <c r="X349" s="106">
        <f t="shared" si="2221"/>
        <v>1.504</v>
      </c>
      <c r="Y349" s="53"/>
      <c r="Z349" s="53"/>
      <c r="AA349" s="107">
        <f t="shared" ref="AA349:AB349" si="2241">AA348</f>
        <v>10.015000000000001</v>
      </c>
      <c r="AB349" s="108" t="str">
        <f t="shared" si="2241"/>
        <v>22,10,090</v>
      </c>
      <c r="AC349" s="11" t="str">
        <f t="shared" si="2169"/>
        <v>22</v>
      </c>
      <c r="AD349" s="11" t="str">
        <f t="shared" si="2170"/>
        <v>10,090</v>
      </c>
      <c r="AE349" s="11">
        <f t="shared" si="2171"/>
        <v>0.36946944444444441</v>
      </c>
      <c r="AF349" s="14">
        <f t="shared" si="2172"/>
        <v>27.106436406558959</v>
      </c>
      <c r="AG349" s="41">
        <f t="shared" si="2173"/>
        <v>-100</v>
      </c>
      <c r="AH349" s="105">
        <f t="shared" si="2229"/>
        <v>20.3</v>
      </c>
      <c r="AI349" s="105">
        <f t="shared" si="2229"/>
        <v>1.5089999999999999</v>
      </c>
      <c r="AJ349" s="105">
        <f t="shared" si="2229"/>
        <v>1.504</v>
      </c>
      <c r="AK349" s="53">
        <f t="shared" si="2174"/>
        <v>0</v>
      </c>
      <c r="AL349" s="53"/>
      <c r="AM349" s="54">
        <f t="shared" ref="AM349:AN349" si="2242">AM348</f>
        <v>5.0129999999999999</v>
      </c>
      <c r="AN349" s="101" t="str">
        <f t="shared" si="2242"/>
        <v>17,59,050</v>
      </c>
      <c r="AO349" s="11" t="str">
        <f t="shared" si="2176"/>
        <v>17</v>
      </c>
      <c r="AP349" s="11" t="str">
        <f t="shared" si="2177"/>
        <v>59,050</v>
      </c>
      <c r="AQ349" s="11">
        <f t="shared" si="2178"/>
        <v>0.29973611111111109</v>
      </c>
      <c r="AR349" s="14">
        <f t="shared" si="2179"/>
        <v>16.724711551827998</v>
      </c>
      <c r="AS349" s="41">
        <f t="shared" si="2180"/>
        <v>-100</v>
      </c>
      <c r="AT349" s="43" t="str">
        <f t="shared" si="2181"/>
        <v>NO CONFORME</v>
      </c>
      <c r="AU349" s="8" t="b">
        <f t="shared" si="2103"/>
        <v>1</v>
      </c>
      <c r="AV349" s="8" t="b">
        <f t="shared" si="2104"/>
        <v>0</v>
      </c>
      <c r="AW349" s="8" t="b">
        <f t="shared" si="2105"/>
        <v>1</v>
      </c>
      <c r="AX349" s="8" t="str">
        <f t="shared" si="2106"/>
        <v>Qcorrecto</v>
      </c>
      <c r="AY349" s="22" t="str">
        <f t="shared" si="2086"/>
        <v>aceptable</v>
      </c>
      <c r="AZ349" s="22" t="str">
        <f t="shared" si="2087"/>
        <v>aceptable</v>
      </c>
      <c r="BA349" s="22" t="str">
        <f t="shared" si="2107"/>
        <v>aceptable</v>
      </c>
      <c r="BB349" s="25" t="str">
        <f t="shared" si="2108"/>
        <v>NO CONFORME</v>
      </c>
      <c r="BC349" s="5" t="str">
        <f t="shared" si="2109"/>
        <v>NO CONFORME</v>
      </c>
      <c r="BD349" s="15">
        <f t="shared" si="2088"/>
        <v>-1</v>
      </c>
      <c r="BE349" s="15">
        <f t="shared" si="2089"/>
        <v>-1</v>
      </c>
      <c r="BF349" s="15">
        <f t="shared" si="2090"/>
        <v>-1</v>
      </c>
      <c r="BG349" s="15" t="str">
        <f t="shared" si="2091"/>
        <v>-1-1-1</v>
      </c>
      <c r="BH349" s="15" t="str">
        <f t="shared" si="2092"/>
        <v>SD</v>
      </c>
      <c r="BI349" s="15" t="str">
        <f t="shared" si="2093"/>
        <v>SI</v>
      </c>
      <c r="BJ349" s="15" t="b">
        <f t="shared" si="2094"/>
        <v>1</v>
      </c>
      <c r="BK349" s="15" t="str">
        <f t="shared" si="2095"/>
        <v>SIGIGUALES</v>
      </c>
      <c r="BL349" s="22" t="str">
        <f t="shared" si="2096"/>
        <v>NO CONFORME</v>
      </c>
    </row>
    <row r="350" spans="1:64" ht="15.75" thickBot="1" x14ac:dyDescent="0.3">
      <c r="A350" s="37">
        <v>342</v>
      </c>
      <c r="B350" s="93">
        <f t="shared" ref="B350:E350" si="2243">B349</f>
        <v>45919</v>
      </c>
      <c r="C350" s="93">
        <f t="shared" si="2243"/>
        <v>45919</v>
      </c>
      <c r="D350" s="94">
        <f t="shared" si="2243"/>
        <v>6</v>
      </c>
      <c r="E350" s="95">
        <f t="shared" si="2243"/>
        <v>15</v>
      </c>
      <c r="F350" s="52"/>
      <c r="G350" s="96"/>
      <c r="H350" s="97">
        <f t="shared" ref="H350:L350" si="2244">H349</f>
        <v>25.6</v>
      </c>
      <c r="I350" s="98">
        <f t="shared" si="2244"/>
        <v>0</v>
      </c>
      <c r="J350" s="99">
        <f t="shared" si="2244"/>
        <v>20.9</v>
      </c>
      <c r="K350" s="99">
        <f t="shared" si="2244"/>
        <v>7.883</v>
      </c>
      <c r="L350" s="99">
        <f t="shared" si="2244"/>
        <v>0.55400000000000005</v>
      </c>
      <c r="M350" s="53"/>
      <c r="N350" s="53"/>
      <c r="O350" s="100">
        <f t="shared" ref="O350:P350" si="2245">O349</f>
        <v>100.62</v>
      </c>
      <c r="P350" s="101" t="str">
        <f t="shared" si="2245"/>
        <v>2,29,560</v>
      </c>
      <c r="Q350" s="11" t="str">
        <f t="shared" si="2162"/>
        <v>2</v>
      </c>
      <c r="R350" s="11" t="str">
        <f t="shared" si="2163"/>
        <v>29,560</v>
      </c>
      <c r="S350" s="11">
        <f t="shared" si="2164"/>
        <v>4.1544444444444446E-2</v>
      </c>
      <c r="T350" s="14">
        <f t="shared" si="2165"/>
        <v>2421.9844878309709</v>
      </c>
      <c r="U350" s="39">
        <f t="shared" si="2166"/>
        <v>-100</v>
      </c>
      <c r="V350" s="105">
        <f t="shared" ref="V350:W350" si="2246">V349</f>
        <v>20.399999999999999</v>
      </c>
      <c r="W350" s="105">
        <f t="shared" si="2246"/>
        <v>1.5069999999999999</v>
      </c>
      <c r="X350" s="106">
        <f t="shared" si="2221"/>
        <v>1.504</v>
      </c>
      <c r="Y350" s="53"/>
      <c r="Z350" s="53"/>
      <c r="AA350" s="107">
        <f t="shared" ref="AA350:AB350" si="2247">AA349</f>
        <v>10.015000000000001</v>
      </c>
      <c r="AB350" s="108" t="str">
        <f t="shared" si="2247"/>
        <v>22,10,090</v>
      </c>
      <c r="AC350" s="11" t="str">
        <f t="shared" si="2169"/>
        <v>22</v>
      </c>
      <c r="AD350" s="11" t="str">
        <f t="shared" si="2170"/>
        <v>10,090</v>
      </c>
      <c r="AE350" s="11">
        <f t="shared" si="2171"/>
        <v>0.36946944444444441</v>
      </c>
      <c r="AF350" s="14">
        <f t="shared" si="2172"/>
        <v>27.106436406558959</v>
      </c>
      <c r="AG350" s="41">
        <f t="shared" si="2173"/>
        <v>-100</v>
      </c>
      <c r="AH350" s="105">
        <f t="shared" si="2229"/>
        <v>20.3</v>
      </c>
      <c r="AI350" s="105">
        <f t="shared" si="2229"/>
        <v>1.5089999999999999</v>
      </c>
      <c r="AJ350" s="105">
        <f t="shared" si="2229"/>
        <v>1.504</v>
      </c>
      <c r="AK350" s="53">
        <f t="shared" si="2174"/>
        <v>0</v>
      </c>
      <c r="AL350" s="53"/>
      <c r="AM350" s="54">
        <f t="shared" ref="AM350:AN350" si="2248">AM349</f>
        <v>5.0129999999999999</v>
      </c>
      <c r="AN350" s="101" t="str">
        <f t="shared" si="2248"/>
        <v>17,59,050</v>
      </c>
      <c r="AO350" s="11" t="str">
        <f t="shared" si="2176"/>
        <v>17</v>
      </c>
      <c r="AP350" s="11" t="str">
        <f t="shared" si="2177"/>
        <v>59,050</v>
      </c>
      <c r="AQ350" s="11">
        <f t="shared" si="2178"/>
        <v>0.29973611111111109</v>
      </c>
      <c r="AR350" s="14">
        <f t="shared" si="2179"/>
        <v>16.724711551827998</v>
      </c>
      <c r="AS350" s="41">
        <f t="shared" si="2180"/>
        <v>-100</v>
      </c>
      <c r="AT350" s="43" t="str">
        <f t="shared" si="2181"/>
        <v>NO CONFORME</v>
      </c>
      <c r="AU350" s="8" t="b">
        <f t="shared" si="2103"/>
        <v>1</v>
      </c>
      <c r="AV350" s="8" t="b">
        <f t="shared" si="2104"/>
        <v>0</v>
      </c>
      <c r="AW350" s="8" t="b">
        <f t="shared" si="2105"/>
        <v>1</v>
      </c>
      <c r="AX350" s="8" t="str">
        <f t="shared" si="2106"/>
        <v>Qcorrecto</v>
      </c>
      <c r="AY350" s="22" t="str">
        <f t="shared" si="2086"/>
        <v>aceptable</v>
      </c>
      <c r="AZ350" s="22" t="str">
        <f t="shared" si="2087"/>
        <v>aceptable</v>
      </c>
      <c r="BA350" s="22" t="str">
        <f t="shared" si="2107"/>
        <v>aceptable</v>
      </c>
      <c r="BB350" s="25" t="str">
        <f t="shared" si="2108"/>
        <v>NO CONFORME</v>
      </c>
      <c r="BC350" s="5" t="str">
        <f t="shared" si="2109"/>
        <v>NO CONFORME</v>
      </c>
      <c r="BD350" s="15">
        <f t="shared" si="2088"/>
        <v>-1</v>
      </c>
      <c r="BE350" s="15">
        <f t="shared" si="2089"/>
        <v>-1</v>
      </c>
      <c r="BF350" s="15">
        <f t="shared" si="2090"/>
        <v>-1</v>
      </c>
      <c r="BG350" s="15" t="str">
        <f t="shared" si="2091"/>
        <v>-1-1-1</v>
      </c>
      <c r="BH350" s="15" t="str">
        <f t="shared" si="2092"/>
        <v>SD</v>
      </c>
      <c r="BI350" s="15" t="str">
        <f t="shared" si="2093"/>
        <v>SI</v>
      </c>
      <c r="BJ350" s="15" t="b">
        <f t="shared" si="2094"/>
        <v>1</v>
      </c>
      <c r="BK350" s="15" t="str">
        <f t="shared" si="2095"/>
        <v>SIGIGUALES</v>
      </c>
      <c r="BL350" s="22" t="str">
        <f t="shared" si="2096"/>
        <v>NO CONFORME</v>
      </c>
    </row>
    <row r="351" spans="1:64" ht="15.75" thickBot="1" x14ac:dyDescent="0.3">
      <c r="A351" s="37">
        <v>343</v>
      </c>
      <c r="B351" s="93">
        <f t="shared" ref="B351:E351" si="2249">B350</f>
        <v>45919</v>
      </c>
      <c r="C351" s="93">
        <f t="shared" si="2249"/>
        <v>45919</v>
      </c>
      <c r="D351" s="94">
        <f t="shared" si="2249"/>
        <v>6</v>
      </c>
      <c r="E351" s="95">
        <f t="shared" si="2249"/>
        <v>15</v>
      </c>
      <c r="F351" s="52"/>
      <c r="G351" s="96"/>
      <c r="H351" s="97">
        <f t="shared" ref="H351:L351" si="2250">H350</f>
        <v>25.6</v>
      </c>
      <c r="I351" s="98">
        <f t="shared" si="2250"/>
        <v>0</v>
      </c>
      <c r="J351" s="99">
        <f t="shared" si="2250"/>
        <v>20.9</v>
      </c>
      <c r="K351" s="99">
        <f t="shared" si="2250"/>
        <v>7.883</v>
      </c>
      <c r="L351" s="99">
        <f t="shared" si="2250"/>
        <v>0.55400000000000005</v>
      </c>
      <c r="M351" s="53"/>
      <c r="N351" s="53"/>
      <c r="O351" s="100">
        <f t="shared" ref="O351:P351" si="2251">O350</f>
        <v>100.62</v>
      </c>
      <c r="P351" s="101" t="str">
        <f t="shared" si="2251"/>
        <v>2,29,560</v>
      </c>
      <c r="Q351" s="11" t="str">
        <f t="shared" si="2162"/>
        <v>2</v>
      </c>
      <c r="R351" s="11" t="str">
        <f t="shared" si="2163"/>
        <v>29,560</v>
      </c>
      <c r="S351" s="11">
        <f t="shared" si="2164"/>
        <v>4.1544444444444446E-2</v>
      </c>
      <c r="T351" s="14">
        <f t="shared" si="2165"/>
        <v>2421.9844878309709</v>
      </c>
      <c r="U351" s="39">
        <f t="shared" si="2166"/>
        <v>-100</v>
      </c>
      <c r="V351" s="105">
        <f t="shared" ref="V351:W351" si="2252">V350</f>
        <v>20.399999999999999</v>
      </c>
      <c r="W351" s="105">
        <f t="shared" si="2252"/>
        <v>1.5069999999999999</v>
      </c>
      <c r="X351" s="106">
        <f t="shared" si="2221"/>
        <v>1.504</v>
      </c>
      <c r="Y351" s="53"/>
      <c r="Z351" s="53"/>
      <c r="AA351" s="107">
        <f t="shared" ref="AA351:AB351" si="2253">AA350</f>
        <v>10.015000000000001</v>
      </c>
      <c r="AB351" s="108" t="str">
        <f t="shared" si="2253"/>
        <v>22,10,090</v>
      </c>
      <c r="AC351" s="11" t="str">
        <f t="shared" si="2169"/>
        <v>22</v>
      </c>
      <c r="AD351" s="11" t="str">
        <f t="shared" si="2170"/>
        <v>10,090</v>
      </c>
      <c r="AE351" s="11">
        <f t="shared" si="2171"/>
        <v>0.36946944444444441</v>
      </c>
      <c r="AF351" s="14">
        <f t="shared" si="2172"/>
        <v>27.106436406558959</v>
      </c>
      <c r="AG351" s="41">
        <f t="shared" si="2173"/>
        <v>-100</v>
      </c>
      <c r="AH351" s="105">
        <f t="shared" si="2229"/>
        <v>20.3</v>
      </c>
      <c r="AI351" s="105">
        <f t="shared" si="2229"/>
        <v>1.5089999999999999</v>
      </c>
      <c r="AJ351" s="105">
        <f t="shared" si="2229"/>
        <v>1.504</v>
      </c>
      <c r="AK351" s="53">
        <f t="shared" si="2174"/>
        <v>0</v>
      </c>
      <c r="AL351" s="53"/>
      <c r="AM351" s="54">
        <f t="shared" ref="AM351:AN351" si="2254">AM350</f>
        <v>5.0129999999999999</v>
      </c>
      <c r="AN351" s="101" t="str">
        <f t="shared" si="2254"/>
        <v>17,59,050</v>
      </c>
      <c r="AO351" s="11" t="str">
        <f t="shared" si="2176"/>
        <v>17</v>
      </c>
      <c r="AP351" s="11" t="str">
        <f t="shared" si="2177"/>
        <v>59,050</v>
      </c>
      <c r="AQ351" s="11">
        <f t="shared" si="2178"/>
        <v>0.29973611111111109</v>
      </c>
      <c r="AR351" s="14">
        <f t="shared" si="2179"/>
        <v>16.724711551827998</v>
      </c>
      <c r="AS351" s="41">
        <f t="shared" si="2180"/>
        <v>-100</v>
      </c>
      <c r="AT351" s="43" t="str">
        <f t="shared" si="2181"/>
        <v>NO CONFORME</v>
      </c>
      <c r="AU351" s="8" t="b">
        <f t="shared" si="2103"/>
        <v>1</v>
      </c>
      <c r="AV351" s="8" t="b">
        <f t="shared" si="2104"/>
        <v>0</v>
      </c>
      <c r="AW351" s="8" t="b">
        <f t="shared" si="2105"/>
        <v>1</v>
      </c>
      <c r="AX351" s="8" t="str">
        <f t="shared" si="2106"/>
        <v>Qcorrecto</v>
      </c>
      <c r="AY351" s="22" t="str">
        <f t="shared" si="2086"/>
        <v>aceptable</v>
      </c>
      <c r="AZ351" s="22" t="str">
        <f t="shared" si="2087"/>
        <v>aceptable</v>
      </c>
      <c r="BA351" s="22" t="str">
        <f t="shared" si="2107"/>
        <v>aceptable</v>
      </c>
      <c r="BB351" s="25" t="str">
        <f t="shared" si="2108"/>
        <v>NO CONFORME</v>
      </c>
      <c r="BC351" s="5" t="str">
        <f t="shared" si="2109"/>
        <v>NO CONFORME</v>
      </c>
      <c r="BD351" s="15">
        <f t="shared" si="2088"/>
        <v>-1</v>
      </c>
      <c r="BE351" s="15">
        <f t="shared" si="2089"/>
        <v>-1</v>
      </c>
      <c r="BF351" s="15">
        <f t="shared" si="2090"/>
        <v>-1</v>
      </c>
      <c r="BG351" s="15" t="str">
        <f t="shared" si="2091"/>
        <v>-1-1-1</v>
      </c>
      <c r="BH351" s="15" t="str">
        <f t="shared" si="2092"/>
        <v>SD</v>
      </c>
      <c r="BI351" s="15" t="str">
        <f t="shared" si="2093"/>
        <v>SI</v>
      </c>
      <c r="BJ351" s="15" t="b">
        <f t="shared" si="2094"/>
        <v>1</v>
      </c>
      <c r="BK351" s="15" t="str">
        <f t="shared" si="2095"/>
        <v>SIGIGUALES</v>
      </c>
      <c r="BL351" s="22" t="str">
        <f t="shared" si="2096"/>
        <v>NO CONFORME</v>
      </c>
    </row>
    <row r="352" spans="1:64" ht="15.75" thickBot="1" x14ac:dyDescent="0.3">
      <c r="A352" s="37">
        <v>344</v>
      </c>
      <c r="B352" s="93">
        <f t="shared" ref="B352:E352" si="2255">B351</f>
        <v>45919</v>
      </c>
      <c r="C352" s="93">
        <f t="shared" si="2255"/>
        <v>45919</v>
      </c>
      <c r="D352" s="94">
        <f t="shared" si="2255"/>
        <v>6</v>
      </c>
      <c r="E352" s="95">
        <f t="shared" si="2255"/>
        <v>15</v>
      </c>
      <c r="F352" s="52"/>
      <c r="G352" s="96"/>
      <c r="H352" s="97">
        <f t="shared" ref="H352:L352" si="2256">H351</f>
        <v>25.6</v>
      </c>
      <c r="I352" s="98">
        <f t="shared" si="2256"/>
        <v>0</v>
      </c>
      <c r="J352" s="99">
        <f t="shared" si="2256"/>
        <v>20.9</v>
      </c>
      <c r="K352" s="99">
        <f t="shared" si="2256"/>
        <v>7.883</v>
      </c>
      <c r="L352" s="99">
        <f t="shared" si="2256"/>
        <v>0.55400000000000005</v>
      </c>
      <c r="M352" s="53"/>
      <c r="N352" s="53"/>
      <c r="O352" s="100">
        <f t="shared" ref="O352:P352" si="2257">O351</f>
        <v>100.62</v>
      </c>
      <c r="P352" s="101" t="str">
        <f t="shared" si="2257"/>
        <v>2,29,560</v>
      </c>
      <c r="Q352" s="11" t="str">
        <f t="shared" si="2162"/>
        <v>2</v>
      </c>
      <c r="R352" s="11" t="str">
        <f t="shared" si="2163"/>
        <v>29,560</v>
      </c>
      <c r="S352" s="11">
        <f t="shared" si="2164"/>
        <v>4.1544444444444446E-2</v>
      </c>
      <c r="T352" s="14">
        <f t="shared" si="2165"/>
        <v>2421.9844878309709</v>
      </c>
      <c r="U352" s="39">
        <f t="shared" si="2166"/>
        <v>-100</v>
      </c>
      <c r="V352" s="105">
        <f t="shared" ref="V352:W352" si="2258">V351</f>
        <v>20.399999999999999</v>
      </c>
      <c r="W352" s="105">
        <f t="shared" si="2258"/>
        <v>1.5069999999999999</v>
      </c>
      <c r="X352" s="106">
        <f t="shared" si="2221"/>
        <v>1.504</v>
      </c>
      <c r="Y352" s="53"/>
      <c r="Z352" s="53"/>
      <c r="AA352" s="107">
        <f t="shared" ref="AA352:AB352" si="2259">AA351</f>
        <v>10.015000000000001</v>
      </c>
      <c r="AB352" s="108" t="str">
        <f t="shared" si="2259"/>
        <v>22,10,090</v>
      </c>
      <c r="AC352" s="11" t="str">
        <f t="shared" si="2169"/>
        <v>22</v>
      </c>
      <c r="AD352" s="11" t="str">
        <f t="shared" si="2170"/>
        <v>10,090</v>
      </c>
      <c r="AE352" s="11">
        <f t="shared" si="2171"/>
        <v>0.36946944444444441</v>
      </c>
      <c r="AF352" s="14">
        <f t="shared" si="2172"/>
        <v>27.106436406558959</v>
      </c>
      <c r="AG352" s="41">
        <f t="shared" si="2173"/>
        <v>-100</v>
      </c>
      <c r="AH352" s="105">
        <f t="shared" si="2229"/>
        <v>20.3</v>
      </c>
      <c r="AI352" s="105">
        <f t="shared" si="2229"/>
        <v>1.5089999999999999</v>
      </c>
      <c r="AJ352" s="105">
        <f t="shared" si="2229"/>
        <v>1.504</v>
      </c>
      <c r="AK352" s="53">
        <f t="shared" si="2174"/>
        <v>0</v>
      </c>
      <c r="AL352" s="53"/>
      <c r="AM352" s="54">
        <f t="shared" ref="AM352:AN352" si="2260">AM351</f>
        <v>5.0129999999999999</v>
      </c>
      <c r="AN352" s="101" t="str">
        <f t="shared" si="2260"/>
        <v>17,59,050</v>
      </c>
      <c r="AO352" s="11" t="str">
        <f t="shared" si="2176"/>
        <v>17</v>
      </c>
      <c r="AP352" s="11" t="str">
        <f t="shared" si="2177"/>
        <v>59,050</v>
      </c>
      <c r="AQ352" s="11">
        <f t="shared" si="2178"/>
        <v>0.29973611111111109</v>
      </c>
      <c r="AR352" s="14">
        <f t="shared" si="2179"/>
        <v>16.724711551827998</v>
      </c>
      <c r="AS352" s="41">
        <f t="shared" si="2180"/>
        <v>-100</v>
      </c>
      <c r="AT352" s="43" t="str">
        <f t="shared" si="2181"/>
        <v>NO CONFORME</v>
      </c>
      <c r="AU352" s="8" t="b">
        <f t="shared" si="2103"/>
        <v>1</v>
      </c>
      <c r="AV352" s="8" t="b">
        <f t="shared" si="2104"/>
        <v>0</v>
      </c>
      <c r="AW352" s="8" t="b">
        <f t="shared" si="2105"/>
        <v>1</v>
      </c>
      <c r="AX352" s="8" t="str">
        <f t="shared" si="2106"/>
        <v>Qcorrecto</v>
      </c>
      <c r="AY352" s="22" t="str">
        <f t="shared" si="2086"/>
        <v>aceptable</v>
      </c>
      <c r="AZ352" s="22" t="str">
        <f t="shared" si="2087"/>
        <v>aceptable</v>
      </c>
      <c r="BA352" s="22" t="str">
        <f t="shared" si="2107"/>
        <v>aceptable</v>
      </c>
      <c r="BB352" s="25" t="str">
        <f t="shared" si="2108"/>
        <v>NO CONFORME</v>
      </c>
      <c r="BC352" s="5" t="str">
        <f t="shared" si="2109"/>
        <v>NO CONFORME</v>
      </c>
      <c r="BD352" s="15">
        <f t="shared" si="2088"/>
        <v>-1</v>
      </c>
      <c r="BE352" s="15">
        <f t="shared" si="2089"/>
        <v>-1</v>
      </c>
      <c r="BF352" s="15">
        <f t="shared" si="2090"/>
        <v>-1</v>
      </c>
      <c r="BG352" s="15" t="str">
        <f t="shared" si="2091"/>
        <v>-1-1-1</v>
      </c>
      <c r="BH352" s="15" t="str">
        <f t="shared" si="2092"/>
        <v>SD</v>
      </c>
      <c r="BI352" s="15" t="str">
        <f t="shared" si="2093"/>
        <v>SI</v>
      </c>
      <c r="BJ352" s="15" t="b">
        <f t="shared" si="2094"/>
        <v>1</v>
      </c>
      <c r="BK352" s="15" t="str">
        <f t="shared" si="2095"/>
        <v>SIGIGUALES</v>
      </c>
      <c r="BL352" s="22" t="str">
        <f t="shared" si="2096"/>
        <v>NO CONFORME</v>
      </c>
    </row>
    <row r="353" spans="1:64" ht="15.75" thickBot="1" x14ac:dyDescent="0.3">
      <c r="A353" s="37">
        <v>345</v>
      </c>
      <c r="B353" s="93">
        <f t="shared" ref="B353:E353" si="2261">B352</f>
        <v>45919</v>
      </c>
      <c r="C353" s="93">
        <f t="shared" si="2261"/>
        <v>45919</v>
      </c>
      <c r="D353" s="94">
        <f t="shared" si="2261"/>
        <v>6</v>
      </c>
      <c r="E353" s="95">
        <f t="shared" si="2261"/>
        <v>15</v>
      </c>
      <c r="F353" s="52"/>
      <c r="G353" s="96"/>
      <c r="H353" s="97">
        <f t="shared" ref="H353:L353" si="2262">H352</f>
        <v>25.6</v>
      </c>
      <c r="I353" s="98">
        <f t="shared" si="2262"/>
        <v>0</v>
      </c>
      <c r="J353" s="99">
        <f t="shared" si="2262"/>
        <v>20.9</v>
      </c>
      <c r="K353" s="99">
        <f t="shared" si="2262"/>
        <v>7.883</v>
      </c>
      <c r="L353" s="99">
        <f t="shared" si="2262"/>
        <v>0.55400000000000005</v>
      </c>
      <c r="M353" s="53"/>
      <c r="N353" s="53"/>
      <c r="O353" s="100">
        <f t="shared" ref="O353:P353" si="2263">O352</f>
        <v>100.62</v>
      </c>
      <c r="P353" s="101" t="str">
        <f t="shared" si="2263"/>
        <v>2,29,560</v>
      </c>
      <c r="Q353" s="11" t="str">
        <f t="shared" si="2162"/>
        <v>2</v>
      </c>
      <c r="R353" s="11" t="str">
        <f t="shared" si="2163"/>
        <v>29,560</v>
      </c>
      <c r="S353" s="11">
        <f t="shared" si="2164"/>
        <v>4.1544444444444446E-2</v>
      </c>
      <c r="T353" s="14">
        <f t="shared" si="2165"/>
        <v>2421.9844878309709</v>
      </c>
      <c r="U353" s="39">
        <f t="shared" si="2166"/>
        <v>-100</v>
      </c>
      <c r="V353" s="105">
        <f t="shared" ref="V353:W353" si="2264">V352</f>
        <v>20.399999999999999</v>
      </c>
      <c r="W353" s="105">
        <f t="shared" si="2264"/>
        <v>1.5069999999999999</v>
      </c>
      <c r="X353" s="106">
        <f t="shared" si="2221"/>
        <v>1.504</v>
      </c>
      <c r="Y353" s="53"/>
      <c r="Z353" s="53"/>
      <c r="AA353" s="107">
        <f t="shared" ref="AA353:AB353" si="2265">AA352</f>
        <v>10.015000000000001</v>
      </c>
      <c r="AB353" s="108" t="str">
        <f t="shared" si="2265"/>
        <v>22,10,090</v>
      </c>
      <c r="AC353" s="11" t="str">
        <f t="shared" si="2169"/>
        <v>22</v>
      </c>
      <c r="AD353" s="11" t="str">
        <f t="shared" si="2170"/>
        <v>10,090</v>
      </c>
      <c r="AE353" s="11">
        <f t="shared" si="2171"/>
        <v>0.36946944444444441</v>
      </c>
      <c r="AF353" s="14">
        <f t="shared" si="2172"/>
        <v>27.106436406558959</v>
      </c>
      <c r="AG353" s="41">
        <f t="shared" si="2173"/>
        <v>-100</v>
      </c>
      <c r="AH353" s="105">
        <f t="shared" si="2229"/>
        <v>20.3</v>
      </c>
      <c r="AI353" s="105">
        <f t="shared" si="2229"/>
        <v>1.5089999999999999</v>
      </c>
      <c r="AJ353" s="105">
        <f t="shared" si="2229"/>
        <v>1.504</v>
      </c>
      <c r="AK353" s="53">
        <f t="shared" si="2174"/>
        <v>0</v>
      </c>
      <c r="AL353" s="53"/>
      <c r="AM353" s="54">
        <f t="shared" ref="AM353:AN353" si="2266">AM352</f>
        <v>5.0129999999999999</v>
      </c>
      <c r="AN353" s="101" t="str">
        <f t="shared" si="2266"/>
        <v>17,59,050</v>
      </c>
      <c r="AO353" s="11" t="str">
        <f t="shared" si="2176"/>
        <v>17</v>
      </c>
      <c r="AP353" s="11" t="str">
        <f t="shared" si="2177"/>
        <v>59,050</v>
      </c>
      <c r="AQ353" s="11">
        <f t="shared" si="2178"/>
        <v>0.29973611111111109</v>
      </c>
      <c r="AR353" s="14">
        <f t="shared" si="2179"/>
        <v>16.724711551827998</v>
      </c>
      <c r="AS353" s="41">
        <f t="shared" si="2180"/>
        <v>-100</v>
      </c>
      <c r="AT353" s="43" t="str">
        <f t="shared" si="2181"/>
        <v>NO CONFORME</v>
      </c>
      <c r="AU353" s="8" t="b">
        <f t="shared" si="2103"/>
        <v>1</v>
      </c>
      <c r="AV353" s="8" t="b">
        <f t="shared" si="2104"/>
        <v>0</v>
      </c>
      <c r="AW353" s="8" t="b">
        <f t="shared" si="2105"/>
        <v>1</v>
      </c>
      <c r="AX353" s="8" t="str">
        <f t="shared" si="2106"/>
        <v>Qcorrecto</v>
      </c>
      <c r="AY353" s="22" t="str">
        <f t="shared" si="2086"/>
        <v>aceptable</v>
      </c>
      <c r="AZ353" s="22" t="str">
        <f t="shared" si="2087"/>
        <v>aceptable</v>
      </c>
      <c r="BA353" s="22" t="str">
        <f t="shared" si="2107"/>
        <v>aceptable</v>
      </c>
      <c r="BB353" s="25" t="str">
        <f t="shared" si="2108"/>
        <v>NO CONFORME</v>
      </c>
      <c r="BC353" s="5" t="str">
        <f t="shared" si="2109"/>
        <v>NO CONFORME</v>
      </c>
      <c r="BD353" s="15">
        <f t="shared" si="2088"/>
        <v>-1</v>
      </c>
      <c r="BE353" s="15">
        <f t="shared" si="2089"/>
        <v>-1</v>
      </c>
      <c r="BF353" s="15">
        <f t="shared" si="2090"/>
        <v>-1</v>
      </c>
      <c r="BG353" s="15" t="str">
        <f t="shared" si="2091"/>
        <v>-1-1-1</v>
      </c>
      <c r="BH353" s="15" t="str">
        <f t="shared" si="2092"/>
        <v>SD</v>
      </c>
      <c r="BI353" s="15" t="str">
        <f t="shared" si="2093"/>
        <v>SI</v>
      </c>
      <c r="BJ353" s="15" t="b">
        <f t="shared" si="2094"/>
        <v>1</v>
      </c>
      <c r="BK353" s="15" t="str">
        <f t="shared" si="2095"/>
        <v>SIGIGUALES</v>
      </c>
      <c r="BL353" s="22" t="str">
        <f t="shared" si="2096"/>
        <v>NO CONFORME</v>
      </c>
    </row>
    <row r="354" spans="1:64" ht="15.75" thickBot="1" x14ac:dyDescent="0.3">
      <c r="A354" s="37">
        <v>346</v>
      </c>
      <c r="B354" s="93">
        <f t="shared" ref="B354:E354" si="2267">B353</f>
        <v>45919</v>
      </c>
      <c r="C354" s="93">
        <f t="shared" si="2267"/>
        <v>45919</v>
      </c>
      <c r="D354" s="94">
        <f t="shared" si="2267"/>
        <v>6</v>
      </c>
      <c r="E354" s="95">
        <f t="shared" si="2267"/>
        <v>15</v>
      </c>
      <c r="F354" s="52"/>
      <c r="G354" s="96"/>
      <c r="H354" s="97">
        <f t="shared" ref="H354:L354" si="2268">H353</f>
        <v>25.6</v>
      </c>
      <c r="I354" s="98">
        <f t="shared" si="2268"/>
        <v>0</v>
      </c>
      <c r="J354" s="99">
        <f t="shared" si="2268"/>
        <v>20.9</v>
      </c>
      <c r="K354" s="99">
        <f t="shared" si="2268"/>
        <v>7.883</v>
      </c>
      <c r="L354" s="99">
        <f t="shared" si="2268"/>
        <v>0.55400000000000005</v>
      </c>
      <c r="M354" s="53"/>
      <c r="N354" s="53"/>
      <c r="O354" s="100">
        <f t="shared" ref="O354:P354" si="2269">O353</f>
        <v>100.62</v>
      </c>
      <c r="P354" s="101" t="str">
        <f t="shared" si="2269"/>
        <v>2,29,560</v>
      </c>
      <c r="Q354" s="11" t="str">
        <f t="shared" si="2162"/>
        <v>2</v>
      </c>
      <c r="R354" s="11" t="str">
        <f t="shared" si="2163"/>
        <v>29,560</v>
      </c>
      <c r="S354" s="11">
        <f t="shared" si="2164"/>
        <v>4.1544444444444446E-2</v>
      </c>
      <c r="T354" s="14">
        <f t="shared" si="2165"/>
        <v>2421.9844878309709</v>
      </c>
      <c r="U354" s="39">
        <f t="shared" si="2166"/>
        <v>-100</v>
      </c>
      <c r="V354" s="105">
        <f t="shared" ref="V354:W354" si="2270">V353</f>
        <v>20.399999999999999</v>
      </c>
      <c r="W354" s="105">
        <f t="shared" si="2270"/>
        <v>1.5069999999999999</v>
      </c>
      <c r="X354" s="106">
        <f t="shared" si="2221"/>
        <v>1.504</v>
      </c>
      <c r="Y354" s="53"/>
      <c r="Z354" s="53"/>
      <c r="AA354" s="107">
        <f t="shared" ref="AA354:AB354" si="2271">AA353</f>
        <v>10.015000000000001</v>
      </c>
      <c r="AB354" s="108" t="str">
        <f t="shared" si="2271"/>
        <v>22,10,090</v>
      </c>
      <c r="AC354" s="11" t="str">
        <f t="shared" si="2169"/>
        <v>22</v>
      </c>
      <c r="AD354" s="11" t="str">
        <f t="shared" si="2170"/>
        <v>10,090</v>
      </c>
      <c r="AE354" s="11">
        <f t="shared" si="2171"/>
        <v>0.36946944444444441</v>
      </c>
      <c r="AF354" s="14">
        <f t="shared" si="2172"/>
        <v>27.106436406558959</v>
      </c>
      <c r="AG354" s="41">
        <f t="shared" si="2173"/>
        <v>-100</v>
      </c>
      <c r="AH354" s="105">
        <f t="shared" si="2229"/>
        <v>20.3</v>
      </c>
      <c r="AI354" s="105">
        <f t="shared" si="2229"/>
        <v>1.5089999999999999</v>
      </c>
      <c r="AJ354" s="105">
        <f t="shared" si="2229"/>
        <v>1.504</v>
      </c>
      <c r="AK354" s="53">
        <f t="shared" si="2174"/>
        <v>0</v>
      </c>
      <c r="AL354" s="53"/>
      <c r="AM354" s="54">
        <f t="shared" ref="AM354:AN354" si="2272">AM353</f>
        <v>5.0129999999999999</v>
      </c>
      <c r="AN354" s="101" t="str">
        <f t="shared" si="2272"/>
        <v>17,59,050</v>
      </c>
      <c r="AO354" s="11" t="str">
        <f t="shared" si="2176"/>
        <v>17</v>
      </c>
      <c r="AP354" s="11" t="str">
        <f t="shared" si="2177"/>
        <v>59,050</v>
      </c>
      <c r="AQ354" s="11">
        <f t="shared" si="2178"/>
        <v>0.29973611111111109</v>
      </c>
      <c r="AR354" s="14">
        <f t="shared" si="2179"/>
        <v>16.724711551827998</v>
      </c>
      <c r="AS354" s="41">
        <f t="shared" si="2180"/>
        <v>-100</v>
      </c>
      <c r="AT354" s="43" t="str">
        <f t="shared" si="2181"/>
        <v>NO CONFORME</v>
      </c>
      <c r="AU354" s="8" t="b">
        <f t="shared" si="2103"/>
        <v>1</v>
      </c>
      <c r="AV354" s="8" t="b">
        <f t="shared" si="2104"/>
        <v>0</v>
      </c>
      <c r="AW354" s="8" t="b">
        <f t="shared" si="2105"/>
        <v>1</v>
      </c>
      <c r="AX354" s="8" t="str">
        <f t="shared" si="2106"/>
        <v>Qcorrecto</v>
      </c>
      <c r="AY354" s="22" t="str">
        <f t="shared" si="2086"/>
        <v>aceptable</v>
      </c>
      <c r="AZ354" s="22" t="str">
        <f t="shared" si="2087"/>
        <v>aceptable</v>
      </c>
      <c r="BA354" s="22" t="str">
        <f t="shared" si="2107"/>
        <v>aceptable</v>
      </c>
      <c r="BB354" s="25" t="str">
        <f t="shared" si="2108"/>
        <v>NO CONFORME</v>
      </c>
      <c r="BC354" s="5" t="str">
        <f t="shared" si="2109"/>
        <v>NO CONFORME</v>
      </c>
      <c r="BD354" s="15">
        <f t="shared" si="2088"/>
        <v>-1</v>
      </c>
      <c r="BE354" s="15">
        <f t="shared" si="2089"/>
        <v>-1</v>
      </c>
      <c r="BF354" s="15">
        <f t="shared" si="2090"/>
        <v>-1</v>
      </c>
      <c r="BG354" s="15" t="str">
        <f t="shared" si="2091"/>
        <v>-1-1-1</v>
      </c>
      <c r="BH354" s="15" t="str">
        <f t="shared" si="2092"/>
        <v>SD</v>
      </c>
      <c r="BI354" s="15" t="str">
        <f t="shared" si="2093"/>
        <v>SI</v>
      </c>
      <c r="BJ354" s="15" t="b">
        <f t="shared" si="2094"/>
        <v>1</v>
      </c>
      <c r="BK354" s="15" t="str">
        <f t="shared" si="2095"/>
        <v>SIGIGUALES</v>
      </c>
      <c r="BL354" s="22" t="str">
        <f t="shared" si="2096"/>
        <v>NO CONFORME</v>
      </c>
    </row>
    <row r="355" spans="1:64" ht="15.75" thickBot="1" x14ac:dyDescent="0.3">
      <c r="A355" s="37">
        <v>347</v>
      </c>
      <c r="B355" s="93">
        <f t="shared" ref="B355:E355" si="2273">B354</f>
        <v>45919</v>
      </c>
      <c r="C355" s="93">
        <f t="shared" si="2273"/>
        <v>45919</v>
      </c>
      <c r="D355" s="94">
        <f t="shared" si="2273"/>
        <v>6</v>
      </c>
      <c r="E355" s="95">
        <f t="shared" si="2273"/>
        <v>15</v>
      </c>
      <c r="F355" s="52"/>
      <c r="G355" s="96"/>
      <c r="H355" s="97">
        <f t="shared" ref="H355:L355" si="2274">H354</f>
        <v>25.6</v>
      </c>
      <c r="I355" s="98">
        <f t="shared" si="2274"/>
        <v>0</v>
      </c>
      <c r="J355" s="99">
        <f t="shared" si="2274"/>
        <v>20.9</v>
      </c>
      <c r="K355" s="99">
        <f t="shared" si="2274"/>
        <v>7.883</v>
      </c>
      <c r="L355" s="99">
        <f t="shared" si="2274"/>
        <v>0.55400000000000005</v>
      </c>
      <c r="M355" s="53"/>
      <c r="N355" s="53"/>
      <c r="O355" s="100">
        <f t="shared" ref="O355:P355" si="2275">O354</f>
        <v>100.62</v>
      </c>
      <c r="P355" s="101" t="str">
        <f t="shared" si="2275"/>
        <v>2,29,560</v>
      </c>
      <c r="Q355" s="11" t="str">
        <f t="shared" si="2162"/>
        <v>2</v>
      </c>
      <c r="R355" s="11" t="str">
        <f t="shared" si="2163"/>
        <v>29,560</v>
      </c>
      <c r="S355" s="11">
        <f t="shared" si="2164"/>
        <v>4.1544444444444446E-2</v>
      </c>
      <c r="T355" s="14">
        <f t="shared" si="2165"/>
        <v>2421.9844878309709</v>
      </c>
      <c r="U355" s="39">
        <f t="shared" si="2166"/>
        <v>-100</v>
      </c>
      <c r="V355" s="105">
        <f t="shared" ref="V355:W355" si="2276">V354</f>
        <v>20.399999999999999</v>
      </c>
      <c r="W355" s="105">
        <f t="shared" si="2276"/>
        <v>1.5069999999999999</v>
      </c>
      <c r="X355" s="106">
        <f t="shared" si="2221"/>
        <v>1.504</v>
      </c>
      <c r="Y355" s="53"/>
      <c r="Z355" s="53"/>
      <c r="AA355" s="107">
        <f t="shared" ref="AA355:AB355" si="2277">AA354</f>
        <v>10.015000000000001</v>
      </c>
      <c r="AB355" s="108" t="str">
        <f t="shared" si="2277"/>
        <v>22,10,090</v>
      </c>
      <c r="AC355" s="11" t="str">
        <f t="shared" si="2169"/>
        <v>22</v>
      </c>
      <c r="AD355" s="11" t="str">
        <f t="shared" si="2170"/>
        <v>10,090</v>
      </c>
      <c r="AE355" s="11">
        <f t="shared" si="2171"/>
        <v>0.36946944444444441</v>
      </c>
      <c r="AF355" s="14">
        <f t="shared" si="2172"/>
        <v>27.106436406558959</v>
      </c>
      <c r="AG355" s="41">
        <f t="shared" si="2173"/>
        <v>-100</v>
      </c>
      <c r="AH355" s="105">
        <f t="shared" si="2229"/>
        <v>20.3</v>
      </c>
      <c r="AI355" s="105">
        <f t="shared" si="2229"/>
        <v>1.5089999999999999</v>
      </c>
      <c r="AJ355" s="105">
        <f t="shared" si="2229"/>
        <v>1.504</v>
      </c>
      <c r="AK355" s="53">
        <f t="shared" si="2174"/>
        <v>0</v>
      </c>
      <c r="AL355" s="53"/>
      <c r="AM355" s="54">
        <f t="shared" ref="AM355:AN355" si="2278">AM354</f>
        <v>5.0129999999999999</v>
      </c>
      <c r="AN355" s="101" t="str">
        <f t="shared" si="2278"/>
        <v>17,59,050</v>
      </c>
      <c r="AO355" s="11" t="str">
        <f t="shared" si="2176"/>
        <v>17</v>
      </c>
      <c r="AP355" s="11" t="str">
        <f t="shared" si="2177"/>
        <v>59,050</v>
      </c>
      <c r="AQ355" s="11">
        <f t="shared" si="2178"/>
        <v>0.29973611111111109</v>
      </c>
      <c r="AR355" s="14">
        <f t="shared" si="2179"/>
        <v>16.724711551827998</v>
      </c>
      <c r="AS355" s="41">
        <f t="shared" si="2180"/>
        <v>-100</v>
      </c>
      <c r="AT355" s="43" t="str">
        <f t="shared" si="2181"/>
        <v>NO CONFORME</v>
      </c>
      <c r="AU355" s="8" t="b">
        <f t="shared" si="2103"/>
        <v>1</v>
      </c>
      <c r="AV355" s="8" t="b">
        <f t="shared" si="2104"/>
        <v>0</v>
      </c>
      <c r="AW355" s="8" t="b">
        <f t="shared" si="2105"/>
        <v>1</v>
      </c>
      <c r="AX355" s="8" t="str">
        <f t="shared" si="2106"/>
        <v>Qcorrecto</v>
      </c>
      <c r="AY355" s="22" t="str">
        <f t="shared" si="2086"/>
        <v>aceptable</v>
      </c>
      <c r="AZ355" s="22" t="str">
        <f t="shared" si="2087"/>
        <v>aceptable</v>
      </c>
      <c r="BA355" s="22" t="str">
        <f t="shared" si="2107"/>
        <v>aceptable</v>
      </c>
      <c r="BB355" s="25" t="str">
        <f t="shared" si="2108"/>
        <v>NO CONFORME</v>
      </c>
      <c r="BC355" s="5" t="str">
        <f t="shared" si="2109"/>
        <v>NO CONFORME</v>
      </c>
      <c r="BD355" s="15">
        <f t="shared" si="2088"/>
        <v>-1</v>
      </c>
      <c r="BE355" s="15">
        <f t="shared" si="2089"/>
        <v>-1</v>
      </c>
      <c r="BF355" s="15">
        <f t="shared" si="2090"/>
        <v>-1</v>
      </c>
      <c r="BG355" s="15" t="str">
        <f t="shared" si="2091"/>
        <v>-1-1-1</v>
      </c>
      <c r="BH355" s="15" t="str">
        <f t="shared" si="2092"/>
        <v>SD</v>
      </c>
      <c r="BI355" s="15" t="str">
        <f t="shared" si="2093"/>
        <v>SI</v>
      </c>
      <c r="BJ355" s="15" t="b">
        <f t="shared" si="2094"/>
        <v>1</v>
      </c>
      <c r="BK355" s="15" t="str">
        <f t="shared" si="2095"/>
        <v>SIGIGUALES</v>
      </c>
      <c r="BL355" s="22" t="str">
        <f t="shared" si="2096"/>
        <v>NO CONFORME</v>
      </c>
    </row>
    <row r="356" spans="1:64" ht="15.75" thickBot="1" x14ac:dyDescent="0.3">
      <c r="A356" s="37">
        <v>348</v>
      </c>
      <c r="B356" s="93">
        <f t="shared" ref="B356:E356" si="2279">B355</f>
        <v>45919</v>
      </c>
      <c r="C356" s="93">
        <f t="shared" si="2279"/>
        <v>45919</v>
      </c>
      <c r="D356" s="94">
        <f t="shared" si="2279"/>
        <v>6</v>
      </c>
      <c r="E356" s="95">
        <f t="shared" si="2279"/>
        <v>15</v>
      </c>
      <c r="F356" s="52"/>
      <c r="G356" s="96"/>
      <c r="H356" s="97">
        <f t="shared" ref="H356:L356" si="2280">H355</f>
        <v>25.6</v>
      </c>
      <c r="I356" s="98">
        <f t="shared" si="2280"/>
        <v>0</v>
      </c>
      <c r="J356" s="99">
        <f t="shared" si="2280"/>
        <v>20.9</v>
      </c>
      <c r="K356" s="99">
        <f t="shared" si="2280"/>
        <v>7.883</v>
      </c>
      <c r="L356" s="99">
        <f t="shared" si="2280"/>
        <v>0.55400000000000005</v>
      </c>
      <c r="M356" s="53"/>
      <c r="N356" s="53"/>
      <c r="O356" s="100">
        <f t="shared" ref="O356:P356" si="2281">O355</f>
        <v>100.62</v>
      </c>
      <c r="P356" s="101" t="str">
        <f t="shared" si="2281"/>
        <v>2,29,560</v>
      </c>
      <c r="Q356" s="11" t="str">
        <f t="shared" si="2162"/>
        <v>2</v>
      </c>
      <c r="R356" s="11" t="str">
        <f t="shared" si="2163"/>
        <v>29,560</v>
      </c>
      <c r="S356" s="11">
        <f t="shared" si="2164"/>
        <v>4.1544444444444446E-2</v>
      </c>
      <c r="T356" s="14">
        <f t="shared" si="2165"/>
        <v>2421.9844878309709</v>
      </c>
      <c r="U356" s="39">
        <f t="shared" si="2166"/>
        <v>-100</v>
      </c>
      <c r="V356" s="105">
        <f t="shared" ref="V356:W356" si="2282">V355</f>
        <v>20.399999999999999</v>
      </c>
      <c r="W356" s="105">
        <f t="shared" si="2282"/>
        <v>1.5069999999999999</v>
      </c>
      <c r="X356" s="106">
        <f t="shared" si="2221"/>
        <v>1.504</v>
      </c>
      <c r="Y356" s="53"/>
      <c r="Z356" s="53"/>
      <c r="AA356" s="107">
        <f t="shared" ref="AA356:AB356" si="2283">AA355</f>
        <v>10.015000000000001</v>
      </c>
      <c r="AB356" s="108" t="str">
        <f t="shared" si="2283"/>
        <v>22,10,090</v>
      </c>
      <c r="AC356" s="11" t="str">
        <f t="shared" si="2169"/>
        <v>22</v>
      </c>
      <c r="AD356" s="11" t="str">
        <f t="shared" si="2170"/>
        <v>10,090</v>
      </c>
      <c r="AE356" s="11">
        <f t="shared" si="2171"/>
        <v>0.36946944444444441</v>
      </c>
      <c r="AF356" s="14">
        <f t="shared" si="2172"/>
        <v>27.106436406558959</v>
      </c>
      <c r="AG356" s="41">
        <f t="shared" si="2173"/>
        <v>-100</v>
      </c>
      <c r="AH356" s="105">
        <f t="shared" si="2229"/>
        <v>20.3</v>
      </c>
      <c r="AI356" s="105">
        <f t="shared" si="2229"/>
        <v>1.5089999999999999</v>
      </c>
      <c r="AJ356" s="105">
        <f t="shared" si="2229"/>
        <v>1.504</v>
      </c>
      <c r="AK356" s="53">
        <f t="shared" si="2174"/>
        <v>0</v>
      </c>
      <c r="AL356" s="53"/>
      <c r="AM356" s="54">
        <f t="shared" ref="AM356:AN356" si="2284">AM355</f>
        <v>5.0129999999999999</v>
      </c>
      <c r="AN356" s="101" t="str">
        <f t="shared" si="2284"/>
        <v>17,59,050</v>
      </c>
      <c r="AO356" s="11" t="str">
        <f t="shared" si="2176"/>
        <v>17</v>
      </c>
      <c r="AP356" s="11" t="str">
        <f t="shared" si="2177"/>
        <v>59,050</v>
      </c>
      <c r="AQ356" s="11">
        <f t="shared" si="2178"/>
        <v>0.29973611111111109</v>
      </c>
      <c r="AR356" s="14">
        <f t="shared" si="2179"/>
        <v>16.724711551827998</v>
      </c>
      <c r="AS356" s="41">
        <f t="shared" si="2180"/>
        <v>-100</v>
      </c>
      <c r="AT356" s="43" t="str">
        <f t="shared" si="2181"/>
        <v>NO CONFORME</v>
      </c>
      <c r="AU356" s="8" t="b">
        <f t="shared" si="2103"/>
        <v>1</v>
      </c>
      <c r="AV356" s="8" t="b">
        <f t="shared" si="2104"/>
        <v>0</v>
      </c>
      <c r="AW356" s="8" t="b">
        <f t="shared" si="2105"/>
        <v>1</v>
      </c>
      <c r="AX356" s="8" t="str">
        <f t="shared" si="2106"/>
        <v>Qcorrecto</v>
      </c>
      <c r="AY356" s="22" t="str">
        <f t="shared" si="2086"/>
        <v>aceptable</v>
      </c>
      <c r="AZ356" s="22" t="str">
        <f t="shared" si="2087"/>
        <v>aceptable</v>
      </c>
      <c r="BA356" s="22" t="str">
        <f t="shared" si="2107"/>
        <v>aceptable</v>
      </c>
      <c r="BB356" s="25" t="str">
        <f t="shared" si="2108"/>
        <v>NO CONFORME</v>
      </c>
      <c r="BC356" s="5" t="str">
        <f t="shared" si="2109"/>
        <v>NO CONFORME</v>
      </c>
      <c r="BD356" s="15">
        <f t="shared" si="2088"/>
        <v>-1</v>
      </c>
      <c r="BE356" s="15">
        <f t="shared" si="2089"/>
        <v>-1</v>
      </c>
      <c r="BF356" s="15">
        <f t="shared" si="2090"/>
        <v>-1</v>
      </c>
      <c r="BG356" s="15" t="str">
        <f t="shared" si="2091"/>
        <v>-1-1-1</v>
      </c>
      <c r="BH356" s="15" t="str">
        <f t="shared" si="2092"/>
        <v>SD</v>
      </c>
      <c r="BI356" s="15" t="str">
        <f t="shared" si="2093"/>
        <v>SI</v>
      </c>
      <c r="BJ356" s="15" t="b">
        <f t="shared" si="2094"/>
        <v>1</v>
      </c>
      <c r="BK356" s="15" t="str">
        <f t="shared" si="2095"/>
        <v>SIGIGUALES</v>
      </c>
      <c r="BL356" s="22" t="str">
        <f t="shared" si="2096"/>
        <v>NO CONFORME</v>
      </c>
    </row>
    <row r="357" spans="1:64" ht="15.75" thickBot="1" x14ac:dyDescent="0.3">
      <c r="A357" s="37">
        <v>349</v>
      </c>
      <c r="B357" s="93">
        <f t="shared" ref="B357:E357" si="2285">B356</f>
        <v>45919</v>
      </c>
      <c r="C357" s="93">
        <f t="shared" si="2285"/>
        <v>45919</v>
      </c>
      <c r="D357" s="94">
        <f t="shared" si="2285"/>
        <v>6</v>
      </c>
      <c r="E357" s="95">
        <f t="shared" si="2285"/>
        <v>15</v>
      </c>
      <c r="F357" s="52"/>
      <c r="G357" s="96"/>
      <c r="H357" s="97">
        <f t="shared" ref="H357:L357" si="2286">H356</f>
        <v>25.6</v>
      </c>
      <c r="I357" s="98">
        <f t="shared" si="2286"/>
        <v>0</v>
      </c>
      <c r="J357" s="99">
        <f t="shared" si="2286"/>
        <v>20.9</v>
      </c>
      <c r="K357" s="99">
        <f t="shared" si="2286"/>
        <v>7.883</v>
      </c>
      <c r="L357" s="99">
        <f t="shared" si="2286"/>
        <v>0.55400000000000005</v>
      </c>
      <c r="M357" s="53"/>
      <c r="N357" s="53"/>
      <c r="O357" s="100">
        <f t="shared" ref="O357:P357" si="2287">O356</f>
        <v>100.62</v>
      </c>
      <c r="P357" s="101" t="str">
        <f t="shared" si="2287"/>
        <v>2,29,560</v>
      </c>
      <c r="Q357" s="11" t="str">
        <f t="shared" si="2162"/>
        <v>2</v>
      </c>
      <c r="R357" s="11" t="str">
        <f t="shared" si="2163"/>
        <v>29,560</v>
      </c>
      <c r="S357" s="11">
        <f t="shared" si="2164"/>
        <v>4.1544444444444446E-2</v>
      </c>
      <c r="T357" s="14">
        <f t="shared" si="2165"/>
        <v>2421.9844878309709</v>
      </c>
      <c r="U357" s="39">
        <f t="shared" si="2166"/>
        <v>-100</v>
      </c>
      <c r="V357" s="105">
        <f t="shared" ref="V357:W357" si="2288">V356</f>
        <v>20.399999999999999</v>
      </c>
      <c r="W357" s="105">
        <f t="shared" si="2288"/>
        <v>1.5069999999999999</v>
      </c>
      <c r="X357" s="106">
        <f t="shared" si="2221"/>
        <v>1.504</v>
      </c>
      <c r="Y357" s="53"/>
      <c r="Z357" s="53"/>
      <c r="AA357" s="107">
        <f t="shared" ref="AA357:AB357" si="2289">AA356</f>
        <v>10.015000000000001</v>
      </c>
      <c r="AB357" s="108" t="str">
        <f t="shared" si="2289"/>
        <v>22,10,090</v>
      </c>
      <c r="AC357" s="11" t="str">
        <f t="shared" si="2169"/>
        <v>22</v>
      </c>
      <c r="AD357" s="11" t="str">
        <f t="shared" si="2170"/>
        <v>10,090</v>
      </c>
      <c r="AE357" s="11">
        <f t="shared" si="2171"/>
        <v>0.36946944444444441</v>
      </c>
      <c r="AF357" s="14">
        <f t="shared" si="2172"/>
        <v>27.106436406558959</v>
      </c>
      <c r="AG357" s="41">
        <f t="shared" si="2173"/>
        <v>-100</v>
      </c>
      <c r="AH357" s="105">
        <f t="shared" si="2229"/>
        <v>20.3</v>
      </c>
      <c r="AI357" s="105">
        <f t="shared" si="2229"/>
        <v>1.5089999999999999</v>
      </c>
      <c r="AJ357" s="105">
        <f t="shared" si="2229"/>
        <v>1.504</v>
      </c>
      <c r="AK357" s="53">
        <f t="shared" si="2174"/>
        <v>0</v>
      </c>
      <c r="AL357" s="53"/>
      <c r="AM357" s="54">
        <f t="shared" ref="AM357:AN357" si="2290">AM356</f>
        <v>5.0129999999999999</v>
      </c>
      <c r="AN357" s="101" t="str">
        <f t="shared" si="2290"/>
        <v>17,59,050</v>
      </c>
      <c r="AO357" s="11" t="str">
        <f t="shared" si="2176"/>
        <v>17</v>
      </c>
      <c r="AP357" s="11" t="str">
        <f t="shared" si="2177"/>
        <v>59,050</v>
      </c>
      <c r="AQ357" s="11">
        <f t="shared" si="2178"/>
        <v>0.29973611111111109</v>
      </c>
      <c r="AR357" s="14">
        <f t="shared" si="2179"/>
        <v>16.724711551827998</v>
      </c>
      <c r="AS357" s="41">
        <f t="shared" si="2180"/>
        <v>-100</v>
      </c>
      <c r="AT357" s="43" t="str">
        <f t="shared" si="2181"/>
        <v>NO CONFORME</v>
      </c>
      <c r="AU357" s="8" t="b">
        <f t="shared" si="2103"/>
        <v>1</v>
      </c>
      <c r="AV357" s="8" t="b">
        <f t="shared" si="2104"/>
        <v>0</v>
      </c>
      <c r="AW357" s="8" t="b">
        <f t="shared" si="2105"/>
        <v>1</v>
      </c>
      <c r="AX357" s="8" t="str">
        <f t="shared" si="2106"/>
        <v>Qcorrecto</v>
      </c>
      <c r="AY357" s="22" t="str">
        <f t="shared" si="2086"/>
        <v>aceptable</v>
      </c>
      <c r="AZ357" s="22" t="str">
        <f t="shared" si="2087"/>
        <v>aceptable</v>
      </c>
      <c r="BA357" s="22" t="str">
        <f t="shared" si="2107"/>
        <v>aceptable</v>
      </c>
      <c r="BB357" s="25" t="str">
        <f t="shared" si="2108"/>
        <v>NO CONFORME</v>
      </c>
      <c r="BC357" s="5" t="str">
        <f t="shared" si="2109"/>
        <v>NO CONFORME</v>
      </c>
      <c r="BD357" s="15">
        <f t="shared" si="2088"/>
        <v>-1</v>
      </c>
      <c r="BE357" s="15">
        <f t="shared" si="2089"/>
        <v>-1</v>
      </c>
      <c r="BF357" s="15">
        <f t="shared" si="2090"/>
        <v>-1</v>
      </c>
      <c r="BG357" s="15" t="str">
        <f t="shared" si="2091"/>
        <v>-1-1-1</v>
      </c>
      <c r="BH357" s="15" t="str">
        <f t="shared" si="2092"/>
        <v>SD</v>
      </c>
      <c r="BI357" s="15" t="str">
        <f t="shared" si="2093"/>
        <v>SI</v>
      </c>
      <c r="BJ357" s="15" t="b">
        <f t="shared" si="2094"/>
        <v>1</v>
      </c>
      <c r="BK357" s="15" t="str">
        <f t="shared" si="2095"/>
        <v>SIGIGUALES</v>
      </c>
      <c r="BL357" s="22" t="str">
        <f t="shared" si="2096"/>
        <v>NO CONFORME</v>
      </c>
    </row>
    <row r="358" spans="1:64" ht="15.75" thickBot="1" x14ac:dyDescent="0.3">
      <c r="A358" s="37">
        <v>350</v>
      </c>
      <c r="B358" s="93">
        <f t="shared" ref="B358:E358" si="2291">B357</f>
        <v>45919</v>
      </c>
      <c r="C358" s="93">
        <f t="shared" si="2291"/>
        <v>45919</v>
      </c>
      <c r="D358" s="94">
        <f t="shared" si="2291"/>
        <v>6</v>
      </c>
      <c r="E358" s="95">
        <f t="shared" si="2291"/>
        <v>15</v>
      </c>
      <c r="F358" s="52"/>
      <c r="G358" s="96"/>
      <c r="H358" s="97">
        <f t="shared" ref="H358:L358" si="2292">H357</f>
        <v>25.6</v>
      </c>
      <c r="I358" s="98">
        <f t="shared" si="2292"/>
        <v>0</v>
      </c>
      <c r="J358" s="99">
        <f t="shared" si="2292"/>
        <v>20.9</v>
      </c>
      <c r="K358" s="99">
        <f t="shared" si="2292"/>
        <v>7.883</v>
      </c>
      <c r="L358" s="99">
        <f t="shared" si="2292"/>
        <v>0.55400000000000005</v>
      </c>
      <c r="M358" s="53"/>
      <c r="N358" s="53"/>
      <c r="O358" s="100">
        <f t="shared" ref="O358:P358" si="2293">O357</f>
        <v>100.62</v>
      </c>
      <c r="P358" s="101" t="str">
        <f t="shared" si="2293"/>
        <v>2,29,560</v>
      </c>
      <c r="Q358" s="11" t="str">
        <f t="shared" si="2162"/>
        <v>2</v>
      </c>
      <c r="R358" s="11" t="str">
        <f t="shared" si="2163"/>
        <v>29,560</v>
      </c>
      <c r="S358" s="11">
        <f t="shared" si="2164"/>
        <v>4.1544444444444446E-2</v>
      </c>
      <c r="T358" s="14">
        <f t="shared" si="2165"/>
        <v>2421.9844878309709</v>
      </c>
      <c r="U358" s="39">
        <f t="shared" si="2166"/>
        <v>-100</v>
      </c>
      <c r="V358" s="105">
        <f t="shared" ref="V358:W358" si="2294">V357</f>
        <v>20.399999999999999</v>
      </c>
      <c r="W358" s="105">
        <f t="shared" si="2294"/>
        <v>1.5069999999999999</v>
      </c>
      <c r="X358" s="106">
        <f t="shared" si="2221"/>
        <v>1.504</v>
      </c>
      <c r="Y358" s="53"/>
      <c r="Z358" s="53"/>
      <c r="AA358" s="107">
        <f t="shared" ref="AA358:AB358" si="2295">AA357</f>
        <v>10.015000000000001</v>
      </c>
      <c r="AB358" s="108" t="str">
        <f t="shared" si="2295"/>
        <v>22,10,090</v>
      </c>
      <c r="AC358" s="11" t="str">
        <f t="shared" si="2169"/>
        <v>22</v>
      </c>
      <c r="AD358" s="11" t="str">
        <f t="shared" si="2170"/>
        <v>10,090</v>
      </c>
      <c r="AE358" s="11">
        <f t="shared" si="2171"/>
        <v>0.36946944444444441</v>
      </c>
      <c r="AF358" s="14">
        <f t="shared" si="2172"/>
        <v>27.106436406558959</v>
      </c>
      <c r="AG358" s="41">
        <f t="shared" si="2173"/>
        <v>-100</v>
      </c>
      <c r="AH358" s="105">
        <f t="shared" si="2229"/>
        <v>20.3</v>
      </c>
      <c r="AI358" s="105">
        <f t="shared" si="2229"/>
        <v>1.5089999999999999</v>
      </c>
      <c r="AJ358" s="105">
        <f t="shared" si="2229"/>
        <v>1.504</v>
      </c>
      <c r="AK358" s="53">
        <f t="shared" si="2174"/>
        <v>0</v>
      </c>
      <c r="AL358" s="53"/>
      <c r="AM358" s="54">
        <f t="shared" ref="AM358:AN358" si="2296">AM357</f>
        <v>5.0129999999999999</v>
      </c>
      <c r="AN358" s="101" t="str">
        <f t="shared" si="2296"/>
        <v>17,59,050</v>
      </c>
      <c r="AO358" s="11" t="str">
        <f t="shared" si="2176"/>
        <v>17</v>
      </c>
      <c r="AP358" s="11" t="str">
        <f t="shared" si="2177"/>
        <v>59,050</v>
      </c>
      <c r="AQ358" s="11">
        <f t="shared" si="2178"/>
        <v>0.29973611111111109</v>
      </c>
      <c r="AR358" s="14">
        <f t="shared" si="2179"/>
        <v>16.724711551827998</v>
      </c>
      <c r="AS358" s="41">
        <f t="shared" si="2180"/>
        <v>-100</v>
      </c>
      <c r="AT358" s="43" t="str">
        <f t="shared" si="2181"/>
        <v>NO CONFORME</v>
      </c>
      <c r="AU358" s="8" t="b">
        <f t="shared" si="2103"/>
        <v>1</v>
      </c>
      <c r="AV358" s="8" t="b">
        <f t="shared" si="2104"/>
        <v>0</v>
      </c>
      <c r="AW358" s="8" t="b">
        <f t="shared" si="2105"/>
        <v>1</v>
      </c>
      <c r="AX358" s="8" t="str">
        <f t="shared" si="2106"/>
        <v>Qcorrecto</v>
      </c>
      <c r="AY358" s="22" t="str">
        <f t="shared" si="2086"/>
        <v>aceptable</v>
      </c>
      <c r="AZ358" s="22" t="str">
        <f t="shared" si="2087"/>
        <v>aceptable</v>
      </c>
      <c r="BA358" s="22" t="str">
        <f t="shared" si="2107"/>
        <v>aceptable</v>
      </c>
      <c r="BB358" s="25" t="str">
        <f t="shared" si="2108"/>
        <v>NO CONFORME</v>
      </c>
      <c r="BC358" s="5" t="str">
        <f t="shared" si="2109"/>
        <v>NO CONFORME</v>
      </c>
      <c r="BD358" s="15">
        <f t="shared" si="2088"/>
        <v>-1</v>
      </c>
      <c r="BE358" s="15">
        <f t="shared" si="2089"/>
        <v>-1</v>
      </c>
      <c r="BF358" s="15">
        <f t="shared" si="2090"/>
        <v>-1</v>
      </c>
      <c r="BG358" s="15" t="str">
        <f t="shared" si="2091"/>
        <v>-1-1-1</v>
      </c>
      <c r="BH358" s="15" t="str">
        <f t="shared" si="2092"/>
        <v>SD</v>
      </c>
      <c r="BI358" s="15" t="str">
        <f t="shared" si="2093"/>
        <v>SI</v>
      </c>
      <c r="BJ358" s="15" t="b">
        <f t="shared" si="2094"/>
        <v>1</v>
      </c>
      <c r="BK358" s="15" t="str">
        <f t="shared" si="2095"/>
        <v>SIGIGUALES</v>
      </c>
      <c r="BL358" s="22" t="str">
        <f t="shared" si="2096"/>
        <v>NO CONFORME</v>
      </c>
    </row>
    <row r="359" spans="1:64" ht="15.75" thickBot="1" x14ac:dyDescent="0.3">
      <c r="A359" s="37">
        <v>351</v>
      </c>
      <c r="B359" s="93">
        <f t="shared" ref="B359:E359" si="2297">B358</f>
        <v>45919</v>
      </c>
      <c r="C359" s="93">
        <f t="shared" si="2297"/>
        <v>45919</v>
      </c>
      <c r="D359" s="94">
        <f t="shared" si="2297"/>
        <v>6</v>
      </c>
      <c r="E359" s="95">
        <f t="shared" si="2297"/>
        <v>15</v>
      </c>
      <c r="F359" s="52"/>
      <c r="G359" s="96"/>
      <c r="H359" s="97">
        <f t="shared" ref="H359:L359" si="2298">H358</f>
        <v>25.6</v>
      </c>
      <c r="I359" s="98">
        <f t="shared" si="2298"/>
        <v>0</v>
      </c>
      <c r="J359" s="99">
        <f t="shared" si="2298"/>
        <v>20.9</v>
      </c>
      <c r="K359" s="99">
        <f t="shared" si="2298"/>
        <v>7.883</v>
      </c>
      <c r="L359" s="99">
        <f t="shared" si="2298"/>
        <v>0.55400000000000005</v>
      </c>
      <c r="M359" s="53"/>
      <c r="N359" s="53"/>
      <c r="O359" s="100">
        <f t="shared" ref="O359:P359" si="2299">O358</f>
        <v>100.62</v>
      </c>
      <c r="P359" s="101" t="str">
        <f t="shared" si="2299"/>
        <v>2,29,560</v>
      </c>
      <c r="Q359" s="11" t="str">
        <f t="shared" si="2162"/>
        <v>2</v>
      </c>
      <c r="R359" s="11" t="str">
        <f t="shared" si="2163"/>
        <v>29,560</v>
      </c>
      <c r="S359" s="11">
        <f t="shared" si="2164"/>
        <v>4.1544444444444446E-2</v>
      </c>
      <c r="T359" s="14">
        <f t="shared" si="2165"/>
        <v>2421.9844878309709</v>
      </c>
      <c r="U359" s="39">
        <f t="shared" si="2166"/>
        <v>-100</v>
      </c>
      <c r="V359" s="105">
        <f t="shared" ref="V359:W359" si="2300">V358</f>
        <v>20.399999999999999</v>
      </c>
      <c r="W359" s="105">
        <f t="shared" si="2300"/>
        <v>1.5069999999999999</v>
      </c>
      <c r="X359" s="106">
        <f t="shared" si="2221"/>
        <v>1.504</v>
      </c>
      <c r="Y359" s="53"/>
      <c r="Z359" s="53"/>
      <c r="AA359" s="107">
        <f t="shared" ref="AA359:AB359" si="2301">AA358</f>
        <v>10.015000000000001</v>
      </c>
      <c r="AB359" s="108" t="str">
        <f t="shared" si="2301"/>
        <v>22,10,090</v>
      </c>
      <c r="AC359" s="11" t="str">
        <f t="shared" si="2169"/>
        <v>22</v>
      </c>
      <c r="AD359" s="11" t="str">
        <f t="shared" si="2170"/>
        <v>10,090</v>
      </c>
      <c r="AE359" s="11">
        <f t="shared" si="2171"/>
        <v>0.36946944444444441</v>
      </c>
      <c r="AF359" s="14">
        <f t="shared" si="2172"/>
        <v>27.106436406558959</v>
      </c>
      <c r="AG359" s="41">
        <f t="shared" si="2173"/>
        <v>-100</v>
      </c>
      <c r="AH359" s="105">
        <f t="shared" si="2229"/>
        <v>20.3</v>
      </c>
      <c r="AI359" s="105">
        <f t="shared" si="2229"/>
        <v>1.5089999999999999</v>
      </c>
      <c r="AJ359" s="105">
        <f t="shared" si="2229"/>
        <v>1.504</v>
      </c>
      <c r="AK359" s="53">
        <f t="shared" si="2174"/>
        <v>0</v>
      </c>
      <c r="AL359" s="53"/>
      <c r="AM359" s="54">
        <f t="shared" ref="AM359:AN359" si="2302">AM358</f>
        <v>5.0129999999999999</v>
      </c>
      <c r="AN359" s="101" t="str">
        <f t="shared" si="2302"/>
        <v>17,59,050</v>
      </c>
      <c r="AO359" s="11" t="str">
        <f t="shared" si="2176"/>
        <v>17</v>
      </c>
      <c r="AP359" s="11" t="str">
        <f t="shared" si="2177"/>
        <v>59,050</v>
      </c>
      <c r="AQ359" s="11">
        <f t="shared" si="2178"/>
        <v>0.29973611111111109</v>
      </c>
      <c r="AR359" s="14">
        <f t="shared" si="2179"/>
        <v>16.724711551827998</v>
      </c>
      <c r="AS359" s="41">
        <f t="shared" si="2180"/>
        <v>-100</v>
      </c>
      <c r="AT359" s="43" t="str">
        <f t="shared" si="2181"/>
        <v>NO CONFORME</v>
      </c>
      <c r="AU359" s="8" t="b">
        <f t="shared" si="2103"/>
        <v>1</v>
      </c>
      <c r="AV359" s="8" t="b">
        <f t="shared" si="2104"/>
        <v>0</v>
      </c>
      <c r="AW359" s="8" t="b">
        <f t="shared" si="2105"/>
        <v>1</v>
      </c>
      <c r="AX359" s="8" t="str">
        <f t="shared" si="2106"/>
        <v>Qcorrecto</v>
      </c>
      <c r="AY359" s="22" t="str">
        <f t="shared" si="2086"/>
        <v>aceptable</v>
      </c>
      <c r="AZ359" s="22" t="str">
        <f t="shared" si="2087"/>
        <v>aceptable</v>
      </c>
      <c r="BA359" s="22" t="str">
        <f t="shared" si="2107"/>
        <v>aceptable</v>
      </c>
      <c r="BB359" s="25" t="str">
        <f t="shared" si="2108"/>
        <v>NO CONFORME</v>
      </c>
      <c r="BC359" s="5" t="str">
        <f t="shared" si="2109"/>
        <v>NO CONFORME</v>
      </c>
      <c r="BD359" s="15">
        <f t="shared" si="2088"/>
        <v>-1</v>
      </c>
      <c r="BE359" s="15">
        <f t="shared" si="2089"/>
        <v>-1</v>
      </c>
      <c r="BF359" s="15">
        <f t="shared" si="2090"/>
        <v>-1</v>
      </c>
      <c r="BG359" s="15" t="str">
        <f t="shared" si="2091"/>
        <v>-1-1-1</v>
      </c>
      <c r="BH359" s="15" t="str">
        <f t="shared" si="2092"/>
        <v>SD</v>
      </c>
      <c r="BI359" s="15" t="str">
        <f t="shared" si="2093"/>
        <v>SI</v>
      </c>
      <c r="BJ359" s="15" t="b">
        <f t="shared" si="2094"/>
        <v>1</v>
      </c>
      <c r="BK359" s="15" t="str">
        <f t="shared" si="2095"/>
        <v>SIGIGUALES</v>
      </c>
      <c r="BL359" s="22" t="str">
        <f t="shared" si="2096"/>
        <v>NO CONFORME</v>
      </c>
    </row>
    <row r="360" spans="1:64" ht="15.75" thickBot="1" x14ac:dyDescent="0.3">
      <c r="A360" s="37">
        <v>352</v>
      </c>
      <c r="B360" s="93">
        <f t="shared" ref="B360:E360" si="2303">B359</f>
        <v>45919</v>
      </c>
      <c r="C360" s="93">
        <f t="shared" si="2303"/>
        <v>45919</v>
      </c>
      <c r="D360" s="94">
        <f t="shared" si="2303"/>
        <v>6</v>
      </c>
      <c r="E360" s="95">
        <f t="shared" si="2303"/>
        <v>15</v>
      </c>
      <c r="F360" s="52"/>
      <c r="G360" s="96"/>
      <c r="H360" s="97">
        <f t="shared" ref="H360:L360" si="2304">H359</f>
        <v>25.6</v>
      </c>
      <c r="I360" s="98">
        <f t="shared" si="2304"/>
        <v>0</v>
      </c>
      <c r="J360" s="99">
        <f t="shared" si="2304"/>
        <v>20.9</v>
      </c>
      <c r="K360" s="99">
        <f t="shared" si="2304"/>
        <v>7.883</v>
      </c>
      <c r="L360" s="99">
        <f t="shared" si="2304"/>
        <v>0.55400000000000005</v>
      </c>
      <c r="M360" s="53"/>
      <c r="N360" s="53"/>
      <c r="O360" s="100">
        <f t="shared" ref="O360:P360" si="2305">O359</f>
        <v>100.62</v>
      </c>
      <c r="P360" s="101" t="str">
        <f t="shared" si="2305"/>
        <v>2,29,560</v>
      </c>
      <c r="Q360" s="11" t="str">
        <f t="shared" si="2162"/>
        <v>2</v>
      </c>
      <c r="R360" s="11" t="str">
        <f t="shared" si="2163"/>
        <v>29,560</v>
      </c>
      <c r="S360" s="11">
        <f t="shared" si="2164"/>
        <v>4.1544444444444446E-2</v>
      </c>
      <c r="T360" s="14">
        <f t="shared" si="2165"/>
        <v>2421.9844878309709</v>
      </c>
      <c r="U360" s="39">
        <f t="shared" si="2166"/>
        <v>-100</v>
      </c>
      <c r="V360" s="105">
        <f t="shared" ref="V360:W360" si="2306">V359</f>
        <v>20.399999999999999</v>
      </c>
      <c r="W360" s="105">
        <f t="shared" si="2306"/>
        <v>1.5069999999999999</v>
      </c>
      <c r="X360" s="106">
        <f t="shared" si="2221"/>
        <v>1.504</v>
      </c>
      <c r="Y360" s="53"/>
      <c r="Z360" s="53"/>
      <c r="AA360" s="107">
        <f t="shared" ref="AA360:AB360" si="2307">AA359</f>
        <v>10.015000000000001</v>
      </c>
      <c r="AB360" s="108" t="str">
        <f t="shared" si="2307"/>
        <v>22,10,090</v>
      </c>
      <c r="AC360" s="11" t="str">
        <f t="shared" si="2169"/>
        <v>22</v>
      </c>
      <c r="AD360" s="11" t="str">
        <f t="shared" si="2170"/>
        <v>10,090</v>
      </c>
      <c r="AE360" s="11">
        <f t="shared" si="2171"/>
        <v>0.36946944444444441</v>
      </c>
      <c r="AF360" s="14">
        <f t="shared" si="2172"/>
        <v>27.106436406558959</v>
      </c>
      <c r="AG360" s="41">
        <f t="shared" si="2173"/>
        <v>-100</v>
      </c>
      <c r="AH360" s="105">
        <f t="shared" si="2229"/>
        <v>20.3</v>
      </c>
      <c r="AI360" s="105">
        <f t="shared" si="2229"/>
        <v>1.5089999999999999</v>
      </c>
      <c r="AJ360" s="105">
        <f t="shared" si="2229"/>
        <v>1.504</v>
      </c>
      <c r="AK360" s="53">
        <f t="shared" si="2174"/>
        <v>0</v>
      </c>
      <c r="AL360" s="53"/>
      <c r="AM360" s="54">
        <f t="shared" ref="AM360:AN360" si="2308">AM359</f>
        <v>5.0129999999999999</v>
      </c>
      <c r="AN360" s="101" t="str">
        <f t="shared" si="2308"/>
        <v>17,59,050</v>
      </c>
      <c r="AO360" s="11" t="str">
        <f t="shared" si="2176"/>
        <v>17</v>
      </c>
      <c r="AP360" s="11" t="str">
        <f t="shared" si="2177"/>
        <v>59,050</v>
      </c>
      <c r="AQ360" s="11">
        <f t="shared" si="2178"/>
        <v>0.29973611111111109</v>
      </c>
      <c r="AR360" s="14">
        <f t="shared" si="2179"/>
        <v>16.724711551827998</v>
      </c>
      <c r="AS360" s="41">
        <f t="shared" si="2180"/>
        <v>-100</v>
      </c>
      <c r="AT360" s="43" t="str">
        <f t="shared" si="2181"/>
        <v>NO CONFORME</v>
      </c>
      <c r="AU360" s="8" t="b">
        <f t="shared" si="2103"/>
        <v>1</v>
      </c>
      <c r="AV360" s="8" t="b">
        <f t="shared" si="2104"/>
        <v>0</v>
      </c>
      <c r="AW360" s="8" t="b">
        <f t="shared" si="2105"/>
        <v>1</v>
      </c>
      <c r="AX360" s="8" t="str">
        <f t="shared" si="2106"/>
        <v>Qcorrecto</v>
      </c>
      <c r="AY360" s="22" t="str">
        <f t="shared" si="2086"/>
        <v>aceptable</v>
      </c>
      <c r="AZ360" s="22" t="str">
        <f t="shared" si="2087"/>
        <v>aceptable</v>
      </c>
      <c r="BA360" s="22" t="str">
        <f t="shared" si="2107"/>
        <v>aceptable</v>
      </c>
      <c r="BB360" s="25" t="str">
        <f t="shared" si="2108"/>
        <v>NO CONFORME</v>
      </c>
      <c r="BC360" s="5" t="str">
        <f t="shared" si="2109"/>
        <v>NO CONFORME</v>
      </c>
      <c r="BD360" s="15">
        <f t="shared" si="2088"/>
        <v>-1</v>
      </c>
      <c r="BE360" s="15">
        <f t="shared" si="2089"/>
        <v>-1</v>
      </c>
      <c r="BF360" s="15">
        <f t="shared" si="2090"/>
        <v>-1</v>
      </c>
      <c r="BG360" s="15" t="str">
        <f t="shared" si="2091"/>
        <v>-1-1-1</v>
      </c>
      <c r="BH360" s="15" t="str">
        <f t="shared" si="2092"/>
        <v>SD</v>
      </c>
      <c r="BI360" s="15" t="str">
        <f t="shared" si="2093"/>
        <v>SI</v>
      </c>
      <c r="BJ360" s="15" t="b">
        <f t="shared" si="2094"/>
        <v>1</v>
      </c>
      <c r="BK360" s="15" t="str">
        <f t="shared" si="2095"/>
        <v>SIGIGUALES</v>
      </c>
      <c r="BL360" s="22" t="str">
        <f t="shared" si="2096"/>
        <v>NO CONFORME</v>
      </c>
    </row>
    <row r="361" spans="1:64" ht="15.75" thickBot="1" x14ac:dyDescent="0.3">
      <c r="A361" s="37">
        <v>353</v>
      </c>
      <c r="B361" s="93">
        <f t="shared" ref="B361:E361" si="2309">B360</f>
        <v>45919</v>
      </c>
      <c r="C361" s="93">
        <f t="shared" si="2309"/>
        <v>45919</v>
      </c>
      <c r="D361" s="94">
        <f t="shared" si="2309"/>
        <v>6</v>
      </c>
      <c r="E361" s="95">
        <f t="shared" si="2309"/>
        <v>15</v>
      </c>
      <c r="F361" s="52"/>
      <c r="G361" s="96"/>
      <c r="H361" s="97">
        <f t="shared" ref="H361:L361" si="2310">H360</f>
        <v>25.6</v>
      </c>
      <c r="I361" s="98">
        <f t="shared" si="2310"/>
        <v>0</v>
      </c>
      <c r="J361" s="99">
        <f t="shared" si="2310"/>
        <v>20.9</v>
      </c>
      <c r="K361" s="99">
        <f t="shared" si="2310"/>
        <v>7.883</v>
      </c>
      <c r="L361" s="99">
        <f t="shared" si="2310"/>
        <v>0.55400000000000005</v>
      </c>
      <c r="M361" s="53"/>
      <c r="N361" s="53"/>
      <c r="O361" s="100">
        <f t="shared" ref="O361:P361" si="2311">O360</f>
        <v>100.62</v>
      </c>
      <c r="P361" s="101" t="str">
        <f t="shared" si="2311"/>
        <v>2,29,560</v>
      </c>
      <c r="Q361" s="11" t="str">
        <f t="shared" si="2162"/>
        <v>2</v>
      </c>
      <c r="R361" s="11" t="str">
        <f t="shared" si="2163"/>
        <v>29,560</v>
      </c>
      <c r="S361" s="11">
        <f t="shared" si="2164"/>
        <v>4.1544444444444446E-2</v>
      </c>
      <c r="T361" s="14">
        <f t="shared" si="2165"/>
        <v>2421.9844878309709</v>
      </c>
      <c r="U361" s="39">
        <f t="shared" si="2166"/>
        <v>-100</v>
      </c>
      <c r="V361" s="105">
        <f t="shared" ref="V361:W361" si="2312">V360</f>
        <v>20.399999999999999</v>
      </c>
      <c r="W361" s="105">
        <f t="shared" si="2312"/>
        <v>1.5069999999999999</v>
      </c>
      <c r="X361" s="106">
        <f t="shared" si="2221"/>
        <v>1.504</v>
      </c>
      <c r="Y361" s="53"/>
      <c r="Z361" s="53"/>
      <c r="AA361" s="107">
        <f t="shared" ref="AA361:AB361" si="2313">AA360</f>
        <v>10.015000000000001</v>
      </c>
      <c r="AB361" s="108" t="str">
        <f t="shared" si="2313"/>
        <v>22,10,090</v>
      </c>
      <c r="AC361" s="11" t="str">
        <f t="shared" si="2169"/>
        <v>22</v>
      </c>
      <c r="AD361" s="11" t="str">
        <f t="shared" si="2170"/>
        <v>10,090</v>
      </c>
      <c r="AE361" s="11">
        <f t="shared" si="2171"/>
        <v>0.36946944444444441</v>
      </c>
      <c r="AF361" s="14">
        <f t="shared" si="2172"/>
        <v>27.106436406558959</v>
      </c>
      <c r="AG361" s="41">
        <f t="shared" si="2173"/>
        <v>-100</v>
      </c>
      <c r="AH361" s="105">
        <f t="shared" si="2229"/>
        <v>20.3</v>
      </c>
      <c r="AI361" s="105">
        <f t="shared" si="2229"/>
        <v>1.5089999999999999</v>
      </c>
      <c r="AJ361" s="105">
        <f t="shared" si="2229"/>
        <v>1.504</v>
      </c>
      <c r="AK361" s="53">
        <f t="shared" si="2174"/>
        <v>0</v>
      </c>
      <c r="AL361" s="53"/>
      <c r="AM361" s="54">
        <f t="shared" ref="AM361:AN361" si="2314">AM360</f>
        <v>5.0129999999999999</v>
      </c>
      <c r="AN361" s="101" t="str">
        <f t="shared" si="2314"/>
        <v>17,59,050</v>
      </c>
      <c r="AO361" s="11" t="str">
        <f t="shared" si="2176"/>
        <v>17</v>
      </c>
      <c r="AP361" s="11" t="str">
        <f t="shared" si="2177"/>
        <v>59,050</v>
      </c>
      <c r="AQ361" s="11">
        <f t="shared" si="2178"/>
        <v>0.29973611111111109</v>
      </c>
      <c r="AR361" s="14">
        <f t="shared" si="2179"/>
        <v>16.724711551827998</v>
      </c>
      <c r="AS361" s="41">
        <f t="shared" si="2180"/>
        <v>-100</v>
      </c>
      <c r="AT361" s="43" t="str">
        <f t="shared" si="2181"/>
        <v>NO CONFORME</v>
      </c>
      <c r="AU361" s="8" t="b">
        <f t="shared" si="2103"/>
        <v>1</v>
      </c>
      <c r="AV361" s="8" t="b">
        <f t="shared" si="2104"/>
        <v>0</v>
      </c>
      <c r="AW361" s="8" t="b">
        <f t="shared" si="2105"/>
        <v>1</v>
      </c>
      <c r="AX361" s="8" t="str">
        <f t="shared" si="2106"/>
        <v>Qcorrecto</v>
      </c>
      <c r="AY361" s="22" t="str">
        <f t="shared" si="2086"/>
        <v>aceptable</v>
      </c>
      <c r="AZ361" s="22" t="str">
        <f t="shared" si="2087"/>
        <v>aceptable</v>
      </c>
      <c r="BA361" s="22" t="str">
        <f t="shared" si="2107"/>
        <v>aceptable</v>
      </c>
      <c r="BB361" s="25" t="str">
        <f t="shared" si="2108"/>
        <v>NO CONFORME</v>
      </c>
      <c r="BC361" s="5" t="str">
        <f t="shared" si="2109"/>
        <v>NO CONFORME</v>
      </c>
      <c r="BD361" s="15">
        <f t="shared" si="2088"/>
        <v>-1</v>
      </c>
      <c r="BE361" s="15">
        <f t="shared" si="2089"/>
        <v>-1</v>
      </c>
      <c r="BF361" s="15">
        <f t="shared" si="2090"/>
        <v>-1</v>
      </c>
      <c r="BG361" s="15" t="str">
        <f t="shared" si="2091"/>
        <v>-1-1-1</v>
      </c>
      <c r="BH361" s="15" t="str">
        <f t="shared" si="2092"/>
        <v>SD</v>
      </c>
      <c r="BI361" s="15" t="str">
        <f t="shared" si="2093"/>
        <v>SI</v>
      </c>
      <c r="BJ361" s="15" t="b">
        <f t="shared" si="2094"/>
        <v>1</v>
      </c>
      <c r="BK361" s="15" t="str">
        <f t="shared" si="2095"/>
        <v>SIGIGUALES</v>
      </c>
      <c r="BL361" s="22" t="str">
        <f t="shared" si="2096"/>
        <v>NO CONFORME</v>
      </c>
    </row>
    <row r="362" spans="1:64" ht="15.75" thickBot="1" x14ac:dyDescent="0.3">
      <c r="A362" s="37">
        <v>354</v>
      </c>
      <c r="B362" s="93">
        <f t="shared" ref="B362:E362" si="2315">B361</f>
        <v>45919</v>
      </c>
      <c r="C362" s="93">
        <f t="shared" si="2315"/>
        <v>45919</v>
      </c>
      <c r="D362" s="94">
        <f t="shared" si="2315"/>
        <v>6</v>
      </c>
      <c r="E362" s="95">
        <f t="shared" si="2315"/>
        <v>15</v>
      </c>
      <c r="F362" s="52"/>
      <c r="G362" s="96"/>
      <c r="H362" s="97">
        <f t="shared" ref="H362:L362" si="2316">H361</f>
        <v>25.6</v>
      </c>
      <c r="I362" s="98">
        <f t="shared" si="2316"/>
        <v>0</v>
      </c>
      <c r="J362" s="99">
        <f t="shared" si="2316"/>
        <v>20.9</v>
      </c>
      <c r="K362" s="99">
        <f t="shared" si="2316"/>
        <v>7.883</v>
      </c>
      <c r="L362" s="99">
        <f t="shared" si="2316"/>
        <v>0.55400000000000005</v>
      </c>
      <c r="M362" s="53"/>
      <c r="N362" s="53"/>
      <c r="O362" s="100">
        <f t="shared" ref="O362:P362" si="2317">O361</f>
        <v>100.62</v>
      </c>
      <c r="P362" s="101" t="str">
        <f t="shared" si="2317"/>
        <v>2,29,560</v>
      </c>
      <c r="Q362" s="11" t="str">
        <f t="shared" si="2162"/>
        <v>2</v>
      </c>
      <c r="R362" s="11" t="str">
        <f t="shared" si="2163"/>
        <v>29,560</v>
      </c>
      <c r="S362" s="11">
        <f t="shared" si="2164"/>
        <v>4.1544444444444446E-2</v>
      </c>
      <c r="T362" s="14">
        <f t="shared" si="2165"/>
        <v>2421.9844878309709</v>
      </c>
      <c r="U362" s="39">
        <f t="shared" si="2166"/>
        <v>-100</v>
      </c>
      <c r="V362" s="105">
        <f t="shared" ref="V362:X368" si="2318">V361</f>
        <v>20.399999999999999</v>
      </c>
      <c r="W362" s="105">
        <f t="shared" si="2318"/>
        <v>1.5069999999999999</v>
      </c>
      <c r="X362" s="106">
        <f t="shared" si="2318"/>
        <v>1.504</v>
      </c>
      <c r="Y362" s="53"/>
      <c r="Z362" s="53"/>
      <c r="AA362" s="107">
        <f t="shared" ref="AA362:AB362" si="2319">AA361</f>
        <v>10.015000000000001</v>
      </c>
      <c r="AB362" s="108" t="str">
        <f t="shared" si="2319"/>
        <v>22,10,090</v>
      </c>
      <c r="AC362" s="11" t="str">
        <f t="shared" si="2169"/>
        <v>22</v>
      </c>
      <c r="AD362" s="11" t="str">
        <f t="shared" si="2170"/>
        <v>10,090</v>
      </c>
      <c r="AE362" s="11">
        <f t="shared" si="2171"/>
        <v>0.36946944444444441</v>
      </c>
      <c r="AF362" s="14">
        <f t="shared" si="2172"/>
        <v>27.106436406558959</v>
      </c>
      <c r="AG362" s="41">
        <f t="shared" si="2173"/>
        <v>-100</v>
      </c>
      <c r="AH362" s="105">
        <f t="shared" si="2229"/>
        <v>20.3</v>
      </c>
      <c r="AI362" s="105">
        <f t="shared" si="2229"/>
        <v>1.5089999999999999</v>
      </c>
      <c r="AJ362" s="105">
        <f t="shared" si="2229"/>
        <v>1.504</v>
      </c>
      <c r="AK362" s="53">
        <f t="shared" si="2174"/>
        <v>0</v>
      </c>
      <c r="AL362" s="53"/>
      <c r="AM362" s="54">
        <f t="shared" ref="AM362:AN362" si="2320">AM361</f>
        <v>5.0129999999999999</v>
      </c>
      <c r="AN362" s="101" t="str">
        <f t="shared" si="2320"/>
        <v>17,59,050</v>
      </c>
      <c r="AO362" s="11" t="str">
        <f t="shared" si="2176"/>
        <v>17</v>
      </c>
      <c r="AP362" s="11" t="str">
        <f t="shared" si="2177"/>
        <v>59,050</v>
      </c>
      <c r="AQ362" s="11">
        <f t="shared" si="2178"/>
        <v>0.29973611111111109</v>
      </c>
      <c r="AR362" s="14">
        <f t="shared" si="2179"/>
        <v>16.724711551827998</v>
      </c>
      <c r="AS362" s="41">
        <f t="shared" si="2180"/>
        <v>-100</v>
      </c>
      <c r="AT362" s="43" t="str">
        <f t="shared" si="2181"/>
        <v>NO CONFORME</v>
      </c>
      <c r="AU362" s="8" t="b">
        <f t="shared" si="2103"/>
        <v>1</v>
      </c>
      <c r="AV362" s="8" t="b">
        <f t="shared" si="2104"/>
        <v>0</v>
      </c>
      <c r="AW362" s="8" t="b">
        <f t="shared" si="2105"/>
        <v>1</v>
      </c>
      <c r="AX362" s="8" t="str">
        <f t="shared" si="2106"/>
        <v>Qcorrecto</v>
      </c>
      <c r="AY362" s="22" t="str">
        <f t="shared" si="2086"/>
        <v>aceptable</v>
      </c>
      <c r="AZ362" s="22" t="str">
        <f t="shared" si="2087"/>
        <v>aceptable</v>
      </c>
      <c r="BA362" s="22" t="str">
        <f t="shared" si="2107"/>
        <v>aceptable</v>
      </c>
      <c r="BB362" s="25" t="str">
        <f t="shared" si="2108"/>
        <v>NO CONFORME</v>
      </c>
      <c r="BC362" s="5" t="str">
        <f t="shared" si="2109"/>
        <v>NO CONFORME</v>
      </c>
      <c r="BD362" s="15">
        <f t="shared" si="2088"/>
        <v>-1</v>
      </c>
      <c r="BE362" s="15">
        <f t="shared" si="2089"/>
        <v>-1</v>
      </c>
      <c r="BF362" s="15">
        <f t="shared" si="2090"/>
        <v>-1</v>
      </c>
      <c r="BG362" s="15" t="str">
        <f t="shared" si="2091"/>
        <v>-1-1-1</v>
      </c>
      <c r="BH362" s="15" t="str">
        <f t="shared" si="2092"/>
        <v>SD</v>
      </c>
      <c r="BI362" s="15" t="str">
        <f t="shared" si="2093"/>
        <v>SI</v>
      </c>
      <c r="BJ362" s="15" t="b">
        <f t="shared" si="2094"/>
        <v>1</v>
      </c>
      <c r="BK362" s="15" t="str">
        <f t="shared" si="2095"/>
        <v>SIGIGUALES</v>
      </c>
      <c r="BL362" s="22" t="str">
        <f t="shared" si="2096"/>
        <v>NO CONFORME</v>
      </c>
    </row>
    <row r="363" spans="1:64" ht="15.75" thickBot="1" x14ac:dyDescent="0.3">
      <c r="A363" s="37">
        <v>355</v>
      </c>
      <c r="B363" s="93">
        <f t="shared" ref="B363:E363" si="2321">B362</f>
        <v>45919</v>
      </c>
      <c r="C363" s="93">
        <f t="shared" si="2321"/>
        <v>45919</v>
      </c>
      <c r="D363" s="94">
        <f t="shared" si="2321"/>
        <v>6</v>
      </c>
      <c r="E363" s="95">
        <f t="shared" si="2321"/>
        <v>15</v>
      </c>
      <c r="F363" s="52"/>
      <c r="G363" s="96"/>
      <c r="H363" s="97">
        <f t="shared" ref="H363:L363" si="2322">H362</f>
        <v>25.6</v>
      </c>
      <c r="I363" s="98">
        <f t="shared" si="2322"/>
        <v>0</v>
      </c>
      <c r="J363" s="99">
        <f t="shared" si="2322"/>
        <v>20.9</v>
      </c>
      <c r="K363" s="99">
        <f t="shared" si="2322"/>
        <v>7.883</v>
      </c>
      <c r="L363" s="99">
        <f t="shared" si="2322"/>
        <v>0.55400000000000005</v>
      </c>
      <c r="M363" s="53"/>
      <c r="N363" s="53"/>
      <c r="O363" s="100">
        <f t="shared" ref="O363:P363" si="2323">O362</f>
        <v>100.62</v>
      </c>
      <c r="P363" s="101" t="str">
        <f t="shared" si="2323"/>
        <v>2,29,560</v>
      </c>
      <c r="Q363" s="11" t="str">
        <f t="shared" si="2162"/>
        <v>2</v>
      </c>
      <c r="R363" s="11" t="str">
        <f t="shared" si="2163"/>
        <v>29,560</v>
      </c>
      <c r="S363" s="11">
        <f t="shared" si="2164"/>
        <v>4.1544444444444446E-2</v>
      </c>
      <c r="T363" s="14">
        <f t="shared" si="2165"/>
        <v>2421.9844878309709</v>
      </c>
      <c r="U363" s="39">
        <f t="shared" si="2166"/>
        <v>-100</v>
      </c>
      <c r="V363" s="105">
        <f t="shared" ref="V363:W363" si="2324">V362</f>
        <v>20.399999999999999</v>
      </c>
      <c r="W363" s="105">
        <f t="shared" si="2324"/>
        <v>1.5069999999999999</v>
      </c>
      <c r="X363" s="106">
        <f t="shared" si="2318"/>
        <v>1.504</v>
      </c>
      <c r="Y363" s="53"/>
      <c r="Z363" s="53"/>
      <c r="AA363" s="107">
        <f t="shared" ref="AA363:AB363" si="2325">AA362</f>
        <v>10.015000000000001</v>
      </c>
      <c r="AB363" s="108" t="str">
        <f t="shared" si="2325"/>
        <v>22,10,090</v>
      </c>
      <c r="AC363" s="11" t="str">
        <f t="shared" si="2169"/>
        <v>22</v>
      </c>
      <c r="AD363" s="11" t="str">
        <f t="shared" si="2170"/>
        <v>10,090</v>
      </c>
      <c r="AE363" s="11">
        <f t="shared" si="2171"/>
        <v>0.36946944444444441</v>
      </c>
      <c r="AF363" s="14">
        <f t="shared" si="2172"/>
        <v>27.106436406558959</v>
      </c>
      <c r="AG363" s="41">
        <f t="shared" si="2173"/>
        <v>-100</v>
      </c>
      <c r="AH363" s="105">
        <f t="shared" ref="AH363:AJ368" si="2326">AH362</f>
        <v>20.3</v>
      </c>
      <c r="AI363" s="105">
        <f t="shared" si="2326"/>
        <v>1.5089999999999999</v>
      </c>
      <c r="AJ363" s="105">
        <f t="shared" si="2326"/>
        <v>1.504</v>
      </c>
      <c r="AK363" s="53">
        <f t="shared" si="2174"/>
        <v>0</v>
      </c>
      <c r="AL363" s="53"/>
      <c r="AM363" s="54">
        <f t="shared" ref="AM363:AN363" si="2327">AM362</f>
        <v>5.0129999999999999</v>
      </c>
      <c r="AN363" s="101" t="str">
        <f t="shared" si="2327"/>
        <v>17,59,050</v>
      </c>
      <c r="AO363" s="11" t="str">
        <f t="shared" si="2176"/>
        <v>17</v>
      </c>
      <c r="AP363" s="11" t="str">
        <f t="shared" si="2177"/>
        <v>59,050</v>
      </c>
      <c r="AQ363" s="11">
        <f t="shared" si="2178"/>
        <v>0.29973611111111109</v>
      </c>
      <c r="AR363" s="14">
        <f t="shared" si="2179"/>
        <v>16.724711551827998</v>
      </c>
      <c r="AS363" s="41">
        <f t="shared" si="2180"/>
        <v>-100</v>
      </c>
      <c r="AT363" s="43" t="str">
        <f t="shared" si="2181"/>
        <v>NO CONFORME</v>
      </c>
      <c r="AU363" s="8" t="b">
        <f t="shared" si="2103"/>
        <v>1</v>
      </c>
      <c r="AV363" s="8" t="b">
        <f t="shared" si="2104"/>
        <v>0</v>
      </c>
      <c r="AW363" s="8" t="b">
        <f t="shared" si="2105"/>
        <v>1</v>
      </c>
      <c r="AX363" s="8" t="str">
        <f t="shared" si="2106"/>
        <v>Qcorrecto</v>
      </c>
      <c r="AY363" s="22" t="str">
        <f t="shared" si="2086"/>
        <v>aceptable</v>
      </c>
      <c r="AZ363" s="22" t="str">
        <f t="shared" si="2087"/>
        <v>aceptable</v>
      </c>
      <c r="BA363" s="22" t="str">
        <f t="shared" si="2107"/>
        <v>aceptable</v>
      </c>
      <c r="BB363" s="25" t="str">
        <f t="shared" si="2108"/>
        <v>NO CONFORME</v>
      </c>
      <c r="BC363" s="5" t="str">
        <f t="shared" si="2109"/>
        <v>NO CONFORME</v>
      </c>
      <c r="BD363" s="15">
        <f t="shared" si="2088"/>
        <v>-1</v>
      </c>
      <c r="BE363" s="15">
        <f t="shared" si="2089"/>
        <v>-1</v>
      </c>
      <c r="BF363" s="15">
        <f t="shared" si="2090"/>
        <v>-1</v>
      </c>
      <c r="BG363" s="15" t="str">
        <f t="shared" si="2091"/>
        <v>-1-1-1</v>
      </c>
      <c r="BH363" s="15" t="str">
        <f t="shared" si="2092"/>
        <v>SD</v>
      </c>
      <c r="BI363" s="15" t="str">
        <f t="shared" si="2093"/>
        <v>SI</v>
      </c>
      <c r="BJ363" s="15" t="b">
        <f t="shared" si="2094"/>
        <v>1</v>
      </c>
      <c r="BK363" s="15" t="str">
        <f t="shared" si="2095"/>
        <v>SIGIGUALES</v>
      </c>
      <c r="BL363" s="22" t="str">
        <f t="shared" si="2096"/>
        <v>NO CONFORME</v>
      </c>
    </row>
    <row r="364" spans="1:64" ht="15.75" thickBot="1" x14ac:dyDescent="0.3">
      <c r="A364" s="37">
        <v>356</v>
      </c>
      <c r="B364" s="93">
        <f t="shared" ref="B364:E364" si="2328">B363</f>
        <v>45919</v>
      </c>
      <c r="C364" s="93">
        <f t="shared" si="2328"/>
        <v>45919</v>
      </c>
      <c r="D364" s="94">
        <f t="shared" si="2328"/>
        <v>6</v>
      </c>
      <c r="E364" s="95">
        <f t="shared" si="2328"/>
        <v>15</v>
      </c>
      <c r="F364" s="52"/>
      <c r="G364" s="96"/>
      <c r="H364" s="97">
        <f t="shared" ref="H364:L364" si="2329">H363</f>
        <v>25.6</v>
      </c>
      <c r="I364" s="98">
        <f t="shared" si="2329"/>
        <v>0</v>
      </c>
      <c r="J364" s="99">
        <f t="shared" si="2329"/>
        <v>20.9</v>
      </c>
      <c r="K364" s="99">
        <f t="shared" si="2329"/>
        <v>7.883</v>
      </c>
      <c r="L364" s="99">
        <f t="shared" si="2329"/>
        <v>0.55400000000000005</v>
      </c>
      <c r="M364" s="53"/>
      <c r="N364" s="53"/>
      <c r="O364" s="100">
        <f t="shared" ref="O364:P364" si="2330">O363</f>
        <v>100.62</v>
      </c>
      <c r="P364" s="101" t="str">
        <f t="shared" si="2330"/>
        <v>2,29,560</v>
      </c>
      <c r="Q364" s="11" t="str">
        <f t="shared" si="2162"/>
        <v>2</v>
      </c>
      <c r="R364" s="11" t="str">
        <f t="shared" si="2163"/>
        <v>29,560</v>
      </c>
      <c r="S364" s="11">
        <f t="shared" si="2164"/>
        <v>4.1544444444444446E-2</v>
      </c>
      <c r="T364" s="14">
        <f t="shared" si="2165"/>
        <v>2421.9844878309709</v>
      </c>
      <c r="U364" s="39">
        <f t="shared" si="2166"/>
        <v>-100</v>
      </c>
      <c r="V364" s="105">
        <f t="shared" ref="V364:W364" si="2331">V363</f>
        <v>20.399999999999999</v>
      </c>
      <c r="W364" s="105">
        <f t="shared" si="2331"/>
        <v>1.5069999999999999</v>
      </c>
      <c r="X364" s="106">
        <f t="shared" si="2318"/>
        <v>1.504</v>
      </c>
      <c r="Y364" s="53"/>
      <c r="Z364" s="53"/>
      <c r="AA364" s="107">
        <f t="shared" ref="AA364:AB364" si="2332">AA363</f>
        <v>10.015000000000001</v>
      </c>
      <c r="AB364" s="108" t="str">
        <f t="shared" si="2332"/>
        <v>22,10,090</v>
      </c>
      <c r="AC364" s="11" t="str">
        <f t="shared" si="2169"/>
        <v>22</v>
      </c>
      <c r="AD364" s="11" t="str">
        <f t="shared" si="2170"/>
        <v>10,090</v>
      </c>
      <c r="AE364" s="11">
        <f t="shared" si="2171"/>
        <v>0.36946944444444441</v>
      </c>
      <c r="AF364" s="14">
        <f t="shared" si="2172"/>
        <v>27.106436406558959</v>
      </c>
      <c r="AG364" s="41">
        <f t="shared" si="2173"/>
        <v>-100</v>
      </c>
      <c r="AH364" s="105">
        <f t="shared" si="2326"/>
        <v>20.3</v>
      </c>
      <c r="AI364" s="105">
        <f t="shared" si="2326"/>
        <v>1.5089999999999999</v>
      </c>
      <c r="AJ364" s="105">
        <f t="shared" si="2326"/>
        <v>1.504</v>
      </c>
      <c r="AK364" s="53">
        <f t="shared" si="2174"/>
        <v>0</v>
      </c>
      <c r="AL364" s="53"/>
      <c r="AM364" s="54">
        <f t="shared" ref="AM364:AN364" si="2333">AM363</f>
        <v>5.0129999999999999</v>
      </c>
      <c r="AN364" s="101" t="str">
        <f t="shared" si="2333"/>
        <v>17,59,050</v>
      </c>
      <c r="AO364" s="11" t="str">
        <f t="shared" si="2176"/>
        <v>17</v>
      </c>
      <c r="AP364" s="11" t="str">
        <f t="shared" si="2177"/>
        <v>59,050</v>
      </c>
      <c r="AQ364" s="11">
        <f t="shared" si="2178"/>
        <v>0.29973611111111109</v>
      </c>
      <c r="AR364" s="14">
        <f t="shared" si="2179"/>
        <v>16.724711551827998</v>
      </c>
      <c r="AS364" s="41">
        <f t="shared" si="2180"/>
        <v>-100</v>
      </c>
      <c r="AT364" s="43" t="str">
        <f t="shared" si="2181"/>
        <v>NO CONFORME</v>
      </c>
      <c r="AU364" s="8" t="b">
        <f t="shared" si="2103"/>
        <v>1</v>
      </c>
      <c r="AV364" s="8" t="b">
        <f t="shared" si="2104"/>
        <v>0</v>
      </c>
      <c r="AW364" s="8" t="b">
        <f t="shared" si="2105"/>
        <v>1</v>
      </c>
      <c r="AX364" s="8" t="str">
        <f t="shared" si="2106"/>
        <v>Qcorrecto</v>
      </c>
      <c r="AY364" s="22" t="str">
        <f t="shared" si="2086"/>
        <v>aceptable</v>
      </c>
      <c r="AZ364" s="22" t="str">
        <f t="shared" si="2087"/>
        <v>aceptable</v>
      </c>
      <c r="BA364" s="22" t="str">
        <f t="shared" si="2107"/>
        <v>aceptable</v>
      </c>
      <c r="BB364" s="25" t="str">
        <f t="shared" si="2108"/>
        <v>NO CONFORME</v>
      </c>
      <c r="BC364" s="5" t="str">
        <f t="shared" si="2109"/>
        <v>NO CONFORME</v>
      </c>
      <c r="BD364" s="15">
        <f t="shared" si="2088"/>
        <v>-1</v>
      </c>
      <c r="BE364" s="15">
        <f t="shared" si="2089"/>
        <v>-1</v>
      </c>
      <c r="BF364" s="15">
        <f t="shared" si="2090"/>
        <v>-1</v>
      </c>
      <c r="BG364" s="15" t="str">
        <f t="shared" si="2091"/>
        <v>-1-1-1</v>
      </c>
      <c r="BH364" s="15" t="str">
        <f t="shared" si="2092"/>
        <v>SD</v>
      </c>
      <c r="BI364" s="15" t="str">
        <f t="shared" si="2093"/>
        <v>SI</v>
      </c>
      <c r="BJ364" s="15" t="b">
        <f t="shared" si="2094"/>
        <v>1</v>
      </c>
      <c r="BK364" s="15" t="str">
        <f t="shared" si="2095"/>
        <v>SIGIGUALES</v>
      </c>
      <c r="BL364" s="22" t="str">
        <f t="shared" si="2096"/>
        <v>NO CONFORME</v>
      </c>
    </row>
    <row r="365" spans="1:64" ht="15.75" thickBot="1" x14ac:dyDescent="0.3">
      <c r="A365" s="37">
        <v>357</v>
      </c>
      <c r="B365" s="93">
        <f t="shared" ref="B365:E365" si="2334">B364</f>
        <v>45919</v>
      </c>
      <c r="C365" s="93">
        <f t="shared" si="2334"/>
        <v>45919</v>
      </c>
      <c r="D365" s="94">
        <f t="shared" si="2334"/>
        <v>6</v>
      </c>
      <c r="E365" s="95">
        <f t="shared" si="2334"/>
        <v>15</v>
      </c>
      <c r="F365" s="52"/>
      <c r="G365" s="96"/>
      <c r="H365" s="97">
        <f t="shared" ref="H365:L365" si="2335">H364</f>
        <v>25.6</v>
      </c>
      <c r="I365" s="98">
        <f t="shared" si="2335"/>
        <v>0</v>
      </c>
      <c r="J365" s="99">
        <f t="shared" si="2335"/>
        <v>20.9</v>
      </c>
      <c r="K365" s="99">
        <f t="shared" si="2335"/>
        <v>7.883</v>
      </c>
      <c r="L365" s="99">
        <f t="shared" si="2335"/>
        <v>0.55400000000000005</v>
      </c>
      <c r="M365" s="53"/>
      <c r="N365" s="53"/>
      <c r="O365" s="100">
        <f t="shared" ref="O365:P365" si="2336">O364</f>
        <v>100.62</v>
      </c>
      <c r="P365" s="101" t="str">
        <f t="shared" si="2336"/>
        <v>2,29,560</v>
      </c>
      <c r="Q365" s="11" t="str">
        <f t="shared" si="2162"/>
        <v>2</v>
      </c>
      <c r="R365" s="11" t="str">
        <f t="shared" si="2163"/>
        <v>29,560</v>
      </c>
      <c r="S365" s="11">
        <f t="shared" si="2164"/>
        <v>4.1544444444444446E-2</v>
      </c>
      <c r="T365" s="14">
        <f t="shared" si="2165"/>
        <v>2421.9844878309709</v>
      </c>
      <c r="U365" s="39">
        <f t="shared" si="2166"/>
        <v>-100</v>
      </c>
      <c r="V365" s="105">
        <f t="shared" ref="V365:W365" si="2337">V364</f>
        <v>20.399999999999999</v>
      </c>
      <c r="W365" s="105">
        <f t="shared" si="2337"/>
        <v>1.5069999999999999</v>
      </c>
      <c r="X365" s="106">
        <f t="shared" si="2318"/>
        <v>1.504</v>
      </c>
      <c r="Y365" s="53"/>
      <c r="Z365" s="53"/>
      <c r="AA365" s="107">
        <f t="shared" ref="AA365:AB365" si="2338">AA364</f>
        <v>10.015000000000001</v>
      </c>
      <c r="AB365" s="108" t="str">
        <f t="shared" si="2338"/>
        <v>22,10,090</v>
      </c>
      <c r="AC365" s="11" t="str">
        <f t="shared" si="2169"/>
        <v>22</v>
      </c>
      <c r="AD365" s="11" t="str">
        <f t="shared" si="2170"/>
        <v>10,090</v>
      </c>
      <c r="AE365" s="11">
        <f t="shared" si="2171"/>
        <v>0.36946944444444441</v>
      </c>
      <c r="AF365" s="14">
        <f t="shared" si="2172"/>
        <v>27.106436406558959</v>
      </c>
      <c r="AG365" s="41">
        <f t="shared" si="2173"/>
        <v>-100</v>
      </c>
      <c r="AH365" s="105">
        <f t="shared" si="2326"/>
        <v>20.3</v>
      </c>
      <c r="AI365" s="105">
        <f t="shared" si="2326"/>
        <v>1.5089999999999999</v>
      </c>
      <c r="AJ365" s="105">
        <f t="shared" si="2326"/>
        <v>1.504</v>
      </c>
      <c r="AK365" s="53">
        <f t="shared" si="2174"/>
        <v>0</v>
      </c>
      <c r="AL365" s="53"/>
      <c r="AM365" s="54">
        <f t="shared" ref="AM365:AN365" si="2339">AM364</f>
        <v>5.0129999999999999</v>
      </c>
      <c r="AN365" s="101" t="str">
        <f t="shared" si="2339"/>
        <v>17,59,050</v>
      </c>
      <c r="AO365" s="11" t="str">
        <f t="shared" si="2176"/>
        <v>17</v>
      </c>
      <c r="AP365" s="11" t="str">
        <f t="shared" si="2177"/>
        <v>59,050</v>
      </c>
      <c r="AQ365" s="11">
        <f t="shared" si="2178"/>
        <v>0.29973611111111109</v>
      </c>
      <c r="AR365" s="14">
        <f t="shared" si="2179"/>
        <v>16.724711551827998</v>
      </c>
      <c r="AS365" s="41">
        <f t="shared" si="2180"/>
        <v>-100</v>
      </c>
      <c r="AT365" s="43" t="str">
        <f t="shared" si="2181"/>
        <v>NO CONFORME</v>
      </c>
      <c r="AU365" s="8" t="b">
        <f t="shared" si="2103"/>
        <v>1</v>
      </c>
      <c r="AV365" s="8" t="b">
        <f t="shared" si="2104"/>
        <v>0</v>
      </c>
      <c r="AW365" s="8" t="b">
        <f t="shared" si="2105"/>
        <v>1</v>
      </c>
      <c r="AX365" s="8" t="str">
        <f t="shared" si="2106"/>
        <v>Qcorrecto</v>
      </c>
      <c r="AY365" s="22" t="str">
        <f t="shared" si="2086"/>
        <v>aceptable</v>
      </c>
      <c r="AZ365" s="22" t="str">
        <f t="shared" si="2087"/>
        <v>aceptable</v>
      </c>
      <c r="BA365" s="22" t="str">
        <f t="shared" si="2107"/>
        <v>aceptable</v>
      </c>
      <c r="BB365" s="25" t="str">
        <f t="shared" si="2108"/>
        <v>NO CONFORME</v>
      </c>
      <c r="BC365" s="5" t="str">
        <f t="shared" si="2109"/>
        <v>NO CONFORME</v>
      </c>
      <c r="BD365" s="15">
        <f t="shared" si="2088"/>
        <v>-1</v>
      </c>
      <c r="BE365" s="15">
        <f t="shared" si="2089"/>
        <v>-1</v>
      </c>
      <c r="BF365" s="15">
        <f t="shared" si="2090"/>
        <v>-1</v>
      </c>
      <c r="BG365" s="15" t="str">
        <f t="shared" si="2091"/>
        <v>-1-1-1</v>
      </c>
      <c r="BH365" s="15" t="str">
        <f t="shared" si="2092"/>
        <v>SD</v>
      </c>
      <c r="BI365" s="15" t="str">
        <f t="shared" si="2093"/>
        <v>SI</v>
      </c>
      <c r="BJ365" s="15" t="b">
        <f t="shared" si="2094"/>
        <v>1</v>
      </c>
      <c r="BK365" s="15" t="str">
        <f t="shared" si="2095"/>
        <v>SIGIGUALES</v>
      </c>
      <c r="BL365" s="22" t="str">
        <f t="shared" si="2096"/>
        <v>NO CONFORME</v>
      </c>
    </row>
    <row r="366" spans="1:64" ht="15.75" thickBot="1" x14ac:dyDescent="0.3">
      <c r="A366" s="37">
        <v>358</v>
      </c>
      <c r="B366" s="93">
        <f t="shared" ref="B366:E366" si="2340">B365</f>
        <v>45919</v>
      </c>
      <c r="C366" s="93">
        <f t="shared" si="2340"/>
        <v>45919</v>
      </c>
      <c r="D366" s="94">
        <f t="shared" si="2340"/>
        <v>6</v>
      </c>
      <c r="E366" s="95">
        <f t="shared" si="2340"/>
        <v>15</v>
      </c>
      <c r="F366" s="52"/>
      <c r="G366" s="96"/>
      <c r="H366" s="97">
        <f t="shared" ref="H366:L366" si="2341">H365</f>
        <v>25.6</v>
      </c>
      <c r="I366" s="98">
        <f t="shared" si="2341"/>
        <v>0</v>
      </c>
      <c r="J366" s="99">
        <f t="shared" si="2341"/>
        <v>20.9</v>
      </c>
      <c r="K366" s="99">
        <f t="shared" si="2341"/>
        <v>7.883</v>
      </c>
      <c r="L366" s="99">
        <f t="shared" si="2341"/>
        <v>0.55400000000000005</v>
      </c>
      <c r="M366" s="53"/>
      <c r="N366" s="53"/>
      <c r="O366" s="100">
        <f t="shared" ref="O366:P366" si="2342">O365</f>
        <v>100.62</v>
      </c>
      <c r="P366" s="101" t="str">
        <f t="shared" si="2342"/>
        <v>2,29,560</v>
      </c>
      <c r="Q366" s="11" t="str">
        <f t="shared" si="2162"/>
        <v>2</v>
      </c>
      <c r="R366" s="11" t="str">
        <f t="shared" si="2163"/>
        <v>29,560</v>
      </c>
      <c r="S366" s="11">
        <f t="shared" si="2164"/>
        <v>4.1544444444444446E-2</v>
      </c>
      <c r="T366" s="14">
        <f t="shared" si="2165"/>
        <v>2421.9844878309709</v>
      </c>
      <c r="U366" s="39">
        <f t="shared" si="2166"/>
        <v>-100</v>
      </c>
      <c r="V366" s="105">
        <f t="shared" ref="V366:W366" si="2343">V365</f>
        <v>20.399999999999999</v>
      </c>
      <c r="W366" s="105">
        <f t="shared" si="2343"/>
        <v>1.5069999999999999</v>
      </c>
      <c r="X366" s="106">
        <f t="shared" si="2318"/>
        <v>1.504</v>
      </c>
      <c r="Y366" s="53"/>
      <c r="Z366" s="53"/>
      <c r="AA366" s="107">
        <f t="shared" ref="AA366:AB366" si="2344">AA365</f>
        <v>10.015000000000001</v>
      </c>
      <c r="AB366" s="108" t="str">
        <f t="shared" si="2344"/>
        <v>22,10,090</v>
      </c>
      <c r="AC366" s="11" t="str">
        <f t="shared" si="2169"/>
        <v>22</v>
      </c>
      <c r="AD366" s="11" t="str">
        <f t="shared" si="2170"/>
        <v>10,090</v>
      </c>
      <c r="AE366" s="11">
        <f t="shared" si="2171"/>
        <v>0.36946944444444441</v>
      </c>
      <c r="AF366" s="14">
        <f t="shared" si="2172"/>
        <v>27.106436406558959</v>
      </c>
      <c r="AG366" s="41">
        <f t="shared" si="2173"/>
        <v>-100</v>
      </c>
      <c r="AH366" s="105">
        <f t="shared" si="2326"/>
        <v>20.3</v>
      </c>
      <c r="AI366" s="105">
        <f t="shared" si="2326"/>
        <v>1.5089999999999999</v>
      </c>
      <c r="AJ366" s="105">
        <f t="shared" si="2326"/>
        <v>1.504</v>
      </c>
      <c r="AK366" s="53">
        <f t="shared" si="2174"/>
        <v>0</v>
      </c>
      <c r="AL366" s="53"/>
      <c r="AM366" s="54">
        <f t="shared" ref="AM366:AN366" si="2345">AM365</f>
        <v>5.0129999999999999</v>
      </c>
      <c r="AN366" s="101" t="str">
        <f t="shared" si="2345"/>
        <v>17,59,050</v>
      </c>
      <c r="AO366" s="11" t="str">
        <f t="shared" si="2176"/>
        <v>17</v>
      </c>
      <c r="AP366" s="11" t="str">
        <f t="shared" si="2177"/>
        <v>59,050</v>
      </c>
      <c r="AQ366" s="11">
        <f t="shared" si="2178"/>
        <v>0.29973611111111109</v>
      </c>
      <c r="AR366" s="14">
        <f t="shared" si="2179"/>
        <v>16.724711551827998</v>
      </c>
      <c r="AS366" s="41">
        <f t="shared" si="2180"/>
        <v>-100</v>
      </c>
      <c r="AT366" s="43" t="str">
        <f t="shared" si="2181"/>
        <v>NO CONFORME</v>
      </c>
      <c r="AU366" s="8" t="b">
        <f t="shared" si="2103"/>
        <v>1</v>
      </c>
      <c r="AV366" s="8" t="b">
        <f t="shared" si="2104"/>
        <v>0</v>
      </c>
      <c r="AW366" s="8" t="b">
        <f t="shared" si="2105"/>
        <v>1</v>
      </c>
      <c r="AX366" s="8" t="str">
        <f t="shared" si="2106"/>
        <v>Qcorrecto</v>
      </c>
      <c r="AY366" s="22" t="str">
        <f t="shared" si="2086"/>
        <v>aceptable</v>
      </c>
      <c r="AZ366" s="22" t="str">
        <f t="shared" si="2087"/>
        <v>aceptable</v>
      </c>
      <c r="BA366" s="22" t="str">
        <f t="shared" si="2107"/>
        <v>aceptable</v>
      </c>
      <c r="BB366" s="25" t="str">
        <f t="shared" si="2108"/>
        <v>NO CONFORME</v>
      </c>
      <c r="BC366" s="5" t="str">
        <f t="shared" si="2109"/>
        <v>NO CONFORME</v>
      </c>
      <c r="BD366" s="15">
        <f t="shared" si="2088"/>
        <v>-1</v>
      </c>
      <c r="BE366" s="15">
        <f t="shared" si="2089"/>
        <v>-1</v>
      </c>
      <c r="BF366" s="15">
        <f t="shared" si="2090"/>
        <v>-1</v>
      </c>
      <c r="BG366" s="15" t="str">
        <f t="shared" si="2091"/>
        <v>-1-1-1</v>
      </c>
      <c r="BH366" s="15" t="str">
        <f t="shared" si="2092"/>
        <v>SD</v>
      </c>
      <c r="BI366" s="15" t="str">
        <f t="shared" si="2093"/>
        <v>SI</v>
      </c>
      <c r="BJ366" s="15" t="b">
        <f t="shared" si="2094"/>
        <v>1</v>
      </c>
      <c r="BK366" s="15" t="str">
        <f t="shared" si="2095"/>
        <v>SIGIGUALES</v>
      </c>
      <c r="BL366" s="22" t="str">
        <f t="shared" si="2096"/>
        <v>NO CONFORME</v>
      </c>
    </row>
    <row r="367" spans="1:64" ht="15.75" thickBot="1" x14ac:dyDescent="0.3">
      <c r="A367" s="37">
        <v>359</v>
      </c>
      <c r="B367" s="93">
        <f t="shared" ref="B367:E367" si="2346">B366</f>
        <v>45919</v>
      </c>
      <c r="C367" s="93">
        <f t="shared" si="2346"/>
        <v>45919</v>
      </c>
      <c r="D367" s="94">
        <f t="shared" si="2346"/>
        <v>6</v>
      </c>
      <c r="E367" s="95">
        <f t="shared" si="2346"/>
        <v>15</v>
      </c>
      <c r="F367" s="52"/>
      <c r="G367" s="96"/>
      <c r="H367" s="97">
        <f t="shared" ref="H367:L367" si="2347">H366</f>
        <v>25.6</v>
      </c>
      <c r="I367" s="98">
        <f t="shared" si="2347"/>
        <v>0</v>
      </c>
      <c r="J367" s="99">
        <f t="shared" si="2347"/>
        <v>20.9</v>
      </c>
      <c r="K367" s="99">
        <f t="shared" si="2347"/>
        <v>7.883</v>
      </c>
      <c r="L367" s="99">
        <f t="shared" si="2347"/>
        <v>0.55400000000000005</v>
      </c>
      <c r="M367" s="53"/>
      <c r="N367" s="53"/>
      <c r="O367" s="100">
        <f t="shared" ref="O367:P367" si="2348">O366</f>
        <v>100.62</v>
      </c>
      <c r="P367" s="101" t="str">
        <f t="shared" si="2348"/>
        <v>2,29,560</v>
      </c>
      <c r="Q367" s="11" t="str">
        <f t="shared" si="2162"/>
        <v>2</v>
      </c>
      <c r="R367" s="11" t="str">
        <f t="shared" si="2163"/>
        <v>29,560</v>
      </c>
      <c r="S367" s="11">
        <f t="shared" si="2164"/>
        <v>4.1544444444444446E-2</v>
      </c>
      <c r="T367" s="14">
        <f t="shared" si="2165"/>
        <v>2421.9844878309709</v>
      </c>
      <c r="U367" s="39">
        <f t="shared" si="2166"/>
        <v>-100</v>
      </c>
      <c r="V367" s="105">
        <f t="shared" ref="V367:W367" si="2349">V366</f>
        <v>20.399999999999999</v>
      </c>
      <c r="W367" s="105">
        <f t="shared" si="2349"/>
        <v>1.5069999999999999</v>
      </c>
      <c r="X367" s="106">
        <f t="shared" si="2318"/>
        <v>1.504</v>
      </c>
      <c r="Y367" s="53"/>
      <c r="Z367" s="53"/>
      <c r="AA367" s="107">
        <f t="shared" ref="AA367:AB367" si="2350">AA366</f>
        <v>10.015000000000001</v>
      </c>
      <c r="AB367" s="108" t="str">
        <f t="shared" si="2350"/>
        <v>22,10,090</v>
      </c>
      <c r="AC367" s="11" t="str">
        <f t="shared" si="2169"/>
        <v>22</v>
      </c>
      <c r="AD367" s="11" t="str">
        <f t="shared" si="2170"/>
        <v>10,090</v>
      </c>
      <c r="AE367" s="11">
        <f t="shared" si="2171"/>
        <v>0.36946944444444441</v>
      </c>
      <c r="AF367" s="14">
        <f t="shared" si="2172"/>
        <v>27.106436406558959</v>
      </c>
      <c r="AG367" s="41">
        <f t="shared" si="2173"/>
        <v>-100</v>
      </c>
      <c r="AH367" s="105">
        <f t="shared" si="2326"/>
        <v>20.3</v>
      </c>
      <c r="AI367" s="105">
        <f t="shared" si="2326"/>
        <v>1.5089999999999999</v>
      </c>
      <c r="AJ367" s="105">
        <f t="shared" si="2326"/>
        <v>1.504</v>
      </c>
      <c r="AK367" s="53">
        <f t="shared" si="2174"/>
        <v>0</v>
      </c>
      <c r="AL367" s="53"/>
      <c r="AM367" s="54">
        <f t="shared" ref="AM367:AN367" si="2351">AM366</f>
        <v>5.0129999999999999</v>
      </c>
      <c r="AN367" s="101" t="str">
        <f t="shared" si="2351"/>
        <v>17,59,050</v>
      </c>
      <c r="AO367" s="11" t="str">
        <f t="shared" si="2176"/>
        <v>17</v>
      </c>
      <c r="AP367" s="11" t="str">
        <f t="shared" si="2177"/>
        <v>59,050</v>
      </c>
      <c r="AQ367" s="11">
        <f t="shared" si="2178"/>
        <v>0.29973611111111109</v>
      </c>
      <c r="AR367" s="14">
        <f t="shared" si="2179"/>
        <v>16.724711551827998</v>
      </c>
      <c r="AS367" s="41">
        <f t="shared" si="2180"/>
        <v>-100</v>
      </c>
      <c r="AT367" s="43" t="str">
        <f t="shared" si="2181"/>
        <v>NO CONFORME</v>
      </c>
      <c r="AU367" s="8" t="b">
        <f t="shared" si="2103"/>
        <v>1</v>
      </c>
      <c r="AV367" s="8" t="b">
        <f t="shared" si="2104"/>
        <v>0</v>
      </c>
      <c r="AW367" s="8" t="b">
        <f t="shared" si="2105"/>
        <v>1</v>
      </c>
      <c r="AX367" s="8" t="str">
        <f t="shared" si="2106"/>
        <v>Qcorrecto</v>
      </c>
      <c r="AY367" s="22" t="str">
        <f t="shared" si="2086"/>
        <v>aceptable</v>
      </c>
      <c r="AZ367" s="22" t="str">
        <f t="shared" si="2087"/>
        <v>aceptable</v>
      </c>
      <c r="BA367" s="22" t="str">
        <f t="shared" si="2107"/>
        <v>aceptable</v>
      </c>
      <c r="BB367" s="25" t="str">
        <f t="shared" si="2108"/>
        <v>NO CONFORME</v>
      </c>
      <c r="BC367" s="5" t="str">
        <f t="shared" si="2109"/>
        <v>NO CONFORME</v>
      </c>
      <c r="BD367" s="15">
        <f t="shared" si="2088"/>
        <v>-1</v>
      </c>
      <c r="BE367" s="15">
        <f t="shared" si="2089"/>
        <v>-1</v>
      </c>
      <c r="BF367" s="15">
        <f t="shared" si="2090"/>
        <v>-1</v>
      </c>
      <c r="BG367" s="15" t="str">
        <f t="shared" si="2091"/>
        <v>-1-1-1</v>
      </c>
      <c r="BH367" s="15" t="str">
        <f t="shared" si="2092"/>
        <v>SD</v>
      </c>
      <c r="BI367" s="15" t="str">
        <f t="shared" si="2093"/>
        <v>SI</v>
      </c>
      <c r="BJ367" s="15" t="b">
        <f t="shared" si="2094"/>
        <v>1</v>
      </c>
      <c r="BK367" s="15" t="str">
        <f t="shared" si="2095"/>
        <v>SIGIGUALES</v>
      </c>
      <c r="BL367" s="22" t="str">
        <f t="shared" si="2096"/>
        <v>NO CONFORME</v>
      </c>
    </row>
    <row r="368" spans="1:64" ht="15.75" thickBot="1" x14ac:dyDescent="0.3">
      <c r="A368" s="37">
        <v>360</v>
      </c>
      <c r="B368" s="93">
        <f t="shared" ref="B368:E368" si="2352">B367</f>
        <v>45919</v>
      </c>
      <c r="C368" s="93">
        <f t="shared" si="2352"/>
        <v>45919</v>
      </c>
      <c r="D368" s="94">
        <f t="shared" si="2352"/>
        <v>6</v>
      </c>
      <c r="E368" s="95">
        <f t="shared" si="2352"/>
        <v>15</v>
      </c>
      <c r="F368" s="52"/>
      <c r="G368" s="96"/>
      <c r="H368" s="97">
        <f t="shared" ref="H368:L368" si="2353">H367</f>
        <v>25.6</v>
      </c>
      <c r="I368" s="98">
        <f t="shared" si="2353"/>
        <v>0</v>
      </c>
      <c r="J368" s="99">
        <f t="shared" si="2353"/>
        <v>20.9</v>
      </c>
      <c r="K368" s="99">
        <f t="shared" si="2353"/>
        <v>7.883</v>
      </c>
      <c r="L368" s="99">
        <f t="shared" si="2353"/>
        <v>0.55400000000000005</v>
      </c>
      <c r="M368" s="53"/>
      <c r="N368" s="53"/>
      <c r="O368" s="100">
        <f t="shared" ref="O368:P368" si="2354">O367</f>
        <v>100.62</v>
      </c>
      <c r="P368" s="101" t="str">
        <f t="shared" si="2354"/>
        <v>2,29,560</v>
      </c>
      <c r="Q368" s="11" t="str">
        <f t="shared" si="2162"/>
        <v>2</v>
      </c>
      <c r="R368" s="11" t="str">
        <f t="shared" si="2163"/>
        <v>29,560</v>
      </c>
      <c r="S368" s="11">
        <f t="shared" si="2164"/>
        <v>4.1544444444444446E-2</v>
      </c>
      <c r="T368" s="14">
        <f t="shared" si="2165"/>
        <v>2421.9844878309709</v>
      </c>
      <c r="U368" s="39">
        <f t="shared" si="2166"/>
        <v>-100</v>
      </c>
      <c r="V368" s="105">
        <f t="shared" ref="V368:W368" si="2355">V367</f>
        <v>20.399999999999999</v>
      </c>
      <c r="W368" s="105">
        <f t="shared" si="2355"/>
        <v>1.5069999999999999</v>
      </c>
      <c r="X368" s="106">
        <f t="shared" si="2318"/>
        <v>1.504</v>
      </c>
      <c r="Y368" s="53"/>
      <c r="Z368" s="53"/>
      <c r="AA368" s="107">
        <f t="shared" ref="AA368:AB368" si="2356">AA367</f>
        <v>10.015000000000001</v>
      </c>
      <c r="AB368" s="108" t="str">
        <f t="shared" si="2356"/>
        <v>22,10,090</v>
      </c>
      <c r="AC368" s="11" t="str">
        <f t="shared" si="2169"/>
        <v>22</v>
      </c>
      <c r="AD368" s="11" t="str">
        <f t="shared" si="2170"/>
        <v>10,090</v>
      </c>
      <c r="AE368" s="11">
        <f t="shared" si="2171"/>
        <v>0.36946944444444441</v>
      </c>
      <c r="AF368" s="14">
        <f t="shared" si="2172"/>
        <v>27.106436406558959</v>
      </c>
      <c r="AG368" s="41">
        <f t="shared" si="2173"/>
        <v>-100</v>
      </c>
      <c r="AH368" s="105">
        <f t="shared" si="2326"/>
        <v>20.3</v>
      </c>
      <c r="AI368" s="105">
        <f t="shared" si="2326"/>
        <v>1.5089999999999999</v>
      </c>
      <c r="AJ368" s="105">
        <f t="shared" si="2326"/>
        <v>1.504</v>
      </c>
      <c r="AK368" s="53">
        <f t="shared" si="2174"/>
        <v>0</v>
      </c>
      <c r="AL368" s="53"/>
      <c r="AM368" s="54">
        <f t="shared" ref="AM368:AN368" si="2357">AM367</f>
        <v>5.0129999999999999</v>
      </c>
      <c r="AN368" s="101" t="str">
        <f t="shared" si="2357"/>
        <v>17,59,050</v>
      </c>
      <c r="AO368" s="11" t="str">
        <f t="shared" si="2176"/>
        <v>17</v>
      </c>
      <c r="AP368" s="11" t="str">
        <f t="shared" si="2177"/>
        <v>59,050</v>
      </c>
      <c r="AQ368" s="11">
        <f t="shared" si="2178"/>
        <v>0.29973611111111109</v>
      </c>
      <c r="AR368" s="14">
        <f t="shared" si="2179"/>
        <v>16.724711551827998</v>
      </c>
      <c r="AS368" s="41">
        <f t="shared" si="2180"/>
        <v>-100</v>
      </c>
      <c r="AT368" s="43" t="str">
        <f t="shared" si="2181"/>
        <v>NO CONFORME</v>
      </c>
      <c r="AU368" s="8" t="b">
        <f t="shared" si="2103"/>
        <v>1</v>
      </c>
      <c r="AV368" s="8" t="b">
        <f t="shared" si="2104"/>
        <v>0</v>
      </c>
      <c r="AW368" s="8" t="b">
        <f t="shared" si="2105"/>
        <v>1</v>
      </c>
      <c r="AX368" s="8" t="str">
        <f t="shared" si="2106"/>
        <v>Qcorrecto</v>
      </c>
      <c r="AY368" s="22" t="str">
        <f t="shared" si="2086"/>
        <v>aceptable</v>
      </c>
      <c r="AZ368" s="22" t="str">
        <f t="shared" si="2087"/>
        <v>aceptable</v>
      </c>
      <c r="BA368" s="22" t="str">
        <f t="shared" si="2107"/>
        <v>aceptable</v>
      </c>
      <c r="BB368" s="25" t="str">
        <f t="shared" si="2108"/>
        <v>NO CONFORME</v>
      </c>
      <c r="BC368" s="5" t="str">
        <f t="shared" si="2109"/>
        <v>NO CONFORME</v>
      </c>
      <c r="BD368" s="15">
        <f t="shared" si="2088"/>
        <v>-1</v>
      </c>
      <c r="BE368" s="15">
        <f t="shared" si="2089"/>
        <v>-1</v>
      </c>
      <c r="BF368" s="15">
        <f t="shared" si="2090"/>
        <v>-1</v>
      </c>
      <c r="BG368" s="15" t="str">
        <f t="shared" si="2091"/>
        <v>-1-1-1</v>
      </c>
      <c r="BH368" s="15" t="str">
        <f t="shared" si="2092"/>
        <v>SD</v>
      </c>
      <c r="BI368" s="15" t="str">
        <f t="shared" si="2093"/>
        <v>SI</v>
      </c>
      <c r="BJ368" s="15" t="b">
        <f t="shared" si="2094"/>
        <v>1</v>
      </c>
      <c r="BK368" s="15" t="str">
        <f t="shared" si="2095"/>
        <v>SIGIGUALES</v>
      </c>
      <c r="BL368" s="22" t="str">
        <f t="shared" si="2096"/>
        <v>NO CONFORME</v>
      </c>
    </row>
    <row r="369" spans="1:64" ht="15.75" thickBot="1" x14ac:dyDescent="0.3">
      <c r="A369" s="37">
        <v>361</v>
      </c>
      <c r="B369" s="93">
        <f t="shared" ref="B369:E369" si="2358">B368</f>
        <v>45919</v>
      </c>
      <c r="C369" s="93">
        <f t="shared" si="2358"/>
        <v>45919</v>
      </c>
      <c r="D369" s="94">
        <f t="shared" si="2358"/>
        <v>6</v>
      </c>
      <c r="E369" s="95">
        <f t="shared" si="2358"/>
        <v>15</v>
      </c>
      <c r="F369" s="13"/>
      <c r="G369" s="109"/>
      <c r="H369" s="97">
        <f t="shared" ref="H369:L369" si="2359">H368</f>
        <v>25.6</v>
      </c>
      <c r="I369" s="98">
        <f t="shared" si="2359"/>
        <v>0</v>
      </c>
      <c r="J369" s="99">
        <f t="shared" si="2359"/>
        <v>20.9</v>
      </c>
      <c r="K369" s="99">
        <f t="shared" si="2359"/>
        <v>7.883</v>
      </c>
      <c r="L369" s="99">
        <f t="shared" si="2359"/>
        <v>0.55400000000000005</v>
      </c>
      <c r="M369" s="45"/>
      <c r="N369" s="45"/>
      <c r="O369" s="100">
        <f t="shared" ref="O369:P369" si="2360">O368</f>
        <v>100.62</v>
      </c>
      <c r="P369" s="101" t="str">
        <f t="shared" si="2360"/>
        <v>2,29,560</v>
      </c>
      <c r="Q369" s="11" t="str">
        <f t="shared" ref="Q369:Q393" si="2361">LEFT(P369,1)</f>
        <v>2</v>
      </c>
      <c r="R369" s="11" t="str">
        <f t="shared" ref="R369:R393" si="2362">RIGHT(P369,6)</f>
        <v>29,560</v>
      </c>
      <c r="S369" s="11">
        <f t="shared" ref="S369:S393" si="2363">+(Q369*60+R369)/(60*60)</f>
        <v>4.1544444444444446E-2</v>
      </c>
      <c r="T369" s="14">
        <f t="shared" ref="T369:T393" si="2364">+O369/S369</f>
        <v>2421.9844878309709</v>
      </c>
      <c r="U369" s="39">
        <f t="shared" ref="U369:U392" si="2365">+(((N369-M369-O369)/O369)*100)</f>
        <v>-100</v>
      </c>
      <c r="V369" s="105">
        <f t="shared" ref="V369:X369" si="2366">V368</f>
        <v>20.399999999999999</v>
      </c>
      <c r="W369" s="105">
        <f t="shared" si="2366"/>
        <v>1.5069999999999999</v>
      </c>
      <c r="X369" s="106">
        <f t="shared" si="2366"/>
        <v>1.504</v>
      </c>
      <c r="Y369" s="45"/>
      <c r="Z369" s="45"/>
      <c r="AA369" s="107">
        <f t="shared" ref="AA369:AB369" si="2367">AA368</f>
        <v>10.015000000000001</v>
      </c>
      <c r="AB369" s="108" t="str">
        <f t="shared" si="2367"/>
        <v>22,10,090</v>
      </c>
      <c r="AC369" s="11" t="str">
        <f t="shared" ref="AC369:AC393" si="2368">LEFT(AB369,2)</f>
        <v>22</v>
      </c>
      <c r="AD369" s="11" t="str">
        <f t="shared" ref="AD369:AD393" si="2369">RIGHT(AB369,6)</f>
        <v>10,090</v>
      </c>
      <c r="AE369" s="11">
        <f t="shared" ref="AE369:AE393" si="2370">+(AC369*60+AD369)/(60*60)</f>
        <v>0.36946944444444441</v>
      </c>
      <c r="AF369" s="14">
        <f t="shared" ref="AF369:AF392" si="2371">+AA369/AE369</f>
        <v>27.106436406558959</v>
      </c>
      <c r="AG369" s="41">
        <f t="shared" ref="AG369:AG394" si="2372">+(((Z369-Y369-AA369)/AA369)*100)</f>
        <v>-100</v>
      </c>
      <c r="AH369" s="105">
        <f t="shared" ref="AH369:AJ369" si="2373">AH368</f>
        <v>20.3</v>
      </c>
      <c r="AI369" s="105">
        <f t="shared" si="2373"/>
        <v>1.5089999999999999</v>
      </c>
      <c r="AJ369" s="105">
        <f t="shared" si="2373"/>
        <v>1.504</v>
      </c>
      <c r="AK369" s="53">
        <f t="shared" ref="AK369:AK372" si="2374">Z369</f>
        <v>0</v>
      </c>
      <c r="AL369" s="45"/>
      <c r="AM369" s="54">
        <f t="shared" ref="AM369:AN369" si="2375">AM368</f>
        <v>5.0129999999999999</v>
      </c>
      <c r="AN369" s="101" t="str">
        <f t="shared" si="2375"/>
        <v>17,59,050</v>
      </c>
      <c r="AO369" s="11" t="str">
        <f t="shared" ref="AO369:AO393" si="2376">LEFT(AN369,2)</f>
        <v>17</v>
      </c>
      <c r="AP369" s="11" t="str">
        <f t="shared" ref="AP369:AP393" si="2377">RIGHT(AN369,6)</f>
        <v>59,050</v>
      </c>
      <c r="AQ369" s="11">
        <f t="shared" ref="AQ369:AQ393" si="2378">+(AO369*60+AP369)/(60*60)</f>
        <v>0.29973611111111109</v>
      </c>
      <c r="AR369" s="14">
        <f t="shared" ref="AR369:AR392" si="2379">+AM369/AQ369</f>
        <v>16.724711551827998</v>
      </c>
      <c r="AS369" s="41">
        <f t="shared" ref="AS369:AS392" si="2380">+(((AL369-AK369-AM369)/AM369)*100)</f>
        <v>-100</v>
      </c>
      <c r="AT369" s="43" t="str">
        <f t="shared" ref="AT369:AT392" si="2381">IF(I369&gt;=1,"NO CONFORME",IF(BK369="SIGDIFERENTES",BC369,BL369))</f>
        <v>NO CONFORME</v>
      </c>
      <c r="AU369" s="8" t="b">
        <f t="shared" si="2103"/>
        <v>1</v>
      </c>
      <c r="AV369" s="8" t="b">
        <f t="shared" si="2104"/>
        <v>0</v>
      </c>
      <c r="AW369" s="8" t="b">
        <f t="shared" si="2105"/>
        <v>1</v>
      </c>
      <c r="AX369" s="8" t="str">
        <f t="shared" si="2106"/>
        <v>Qcorrecto</v>
      </c>
      <c r="AY369" s="22" t="str">
        <f t="shared" si="2086"/>
        <v>aceptable</v>
      </c>
      <c r="AZ369" s="22" t="str">
        <f t="shared" si="2087"/>
        <v>aceptable</v>
      </c>
      <c r="BA369" s="22" t="str">
        <f t="shared" si="2107"/>
        <v>aceptable</v>
      </c>
      <c r="BB369" s="25" t="str">
        <f t="shared" si="2108"/>
        <v>NO CONFORME</v>
      </c>
      <c r="BC369" s="5" t="str">
        <f t="shared" si="2109"/>
        <v>NO CONFORME</v>
      </c>
      <c r="BD369" s="15">
        <f t="shared" si="2088"/>
        <v>-1</v>
      </c>
      <c r="BE369" s="15">
        <f t="shared" si="2089"/>
        <v>-1</v>
      </c>
      <c r="BF369" s="15">
        <f t="shared" si="2090"/>
        <v>-1</v>
      </c>
      <c r="BG369" s="15" t="str">
        <f t="shared" si="2091"/>
        <v>-1-1-1</v>
      </c>
      <c r="BH369" s="15" t="str">
        <f t="shared" si="2092"/>
        <v>SD</v>
      </c>
      <c r="BI369" s="15" t="str">
        <f t="shared" si="2093"/>
        <v>SI</v>
      </c>
      <c r="BJ369" s="15" t="b">
        <f t="shared" si="2094"/>
        <v>1</v>
      </c>
      <c r="BK369" s="15" t="str">
        <f t="shared" si="2095"/>
        <v>SIGIGUALES</v>
      </c>
      <c r="BL369" s="22" t="str">
        <f t="shared" si="2096"/>
        <v>NO CONFORME</v>
      </c>
    </row>
    <row r="370" spans="1:64" ht="15.75" thickBot="1" x14ac:dyDescent="0.3">
      <c r="A370" s="37">
        <v>362</v>
      </c>
      <c r="B370" s="93">
        <f t="shared" ref="B370:E370" si="2382">B369</f>
        <v>45919</v>
      </c>
      <c r="C370" s="93">
        <f t="shared" si="2382"/>
        <v>45919</v>
      </c>
      <c r="D370" s="94">
        <f t="shared" si="2382"/>
        <v>6</v>
      </c>
      <c r="E370" s="95">
        <f t="shared" si="2382"/>
        <v>15</v>
      </c>
      <c r="F370" s="13"/>
      <c r="G370" s="90"/>
      <c r="H370" s="97">
        <f t="shared" ref="H370:L370" si="2383">H369</f>
        <v>25.6</v>
      </c>
      <c r="I370" s="98">
        <f t="shared" si="2383"/>
        <v>0</v>
      </c>
      <c r="J370" s="99">
        <f t="shared" si="2383"/>
        <v>20.9</v>
      </c>
      <c r="K370" s="99">
        <f t="shared" si="2383"/>
        <v>7.883</v>
      </c>
      <c r="L370" s="99">
        <f t="shared" si="2383"/>
        <v>0.55400000000000005</v>
      </c>
      <c r="M370" s="45"/>
      <c r="N370" s="45"/>
      <c r="O370" s="100">
        <f t="shared" ref="O370:P370" si="2384">O369</f>
        <v>100.62</v>
      </c>
      <c r="P370" s="101" t="str">
        <f t="shared" si="2384"/>
        <v>2,29,560</v>
      </c>
      <c r="Q370" s="11" t="str">
        <f t="shared" si="2361"/>
        <v>2</v>
      </c>
      <c r="R370" s="11" t="str">
        <f t="shared" si="2362"/>
        <v>29,560</v>
      </c>
      <c r="S370" s="11">
        <f t="shared" si="2363"/>
        <v>4.1544444444444446E-2</v>
      </c>
      <c r="T370" s="14">
        <f t="shared" si="2364"/>
        <v>2421.9844878309709</v>
      </c>
      <c r="U370" s="39">
        <f t="shared" si="2365"/>
        <v>-100</v>
      </c>
      <c r="V370" s="105">
        <f t="shared" ref="V370:X370" si="2385">V369</f>
        <v>20.399999999999999</v>
      </c>
      <c r="W370" s="105">
        <f t="shared" si="2385"/>
        <v>1.5069999999999999</v>
      </c>
      <c r="X370" s="106">
        <f t="shared" si="2385"/>
        <v>1.504</v>
      </c>
      <c r="Y370" s="45"/>
      <c r="Z370" s="45"/>
      <c r="AA370" s="107">
        <f t="shared" ref="AA370:AB370" si="2386">AA369</f>
        <v>10.015000000000001</v>
      </c>
      <c r="AB370" s="108" t="str">
        <f t="shared" si="2386"/>
        <v>22,10,090</v>
      </c>
      <c r="AC370" s="11" t="str">
        <f t="shared" si="2368"/>
        <v>22</v>
      </c>
      <c r="AD370" s="11" t="str">
        <f t="shared" si="2369"/>
        <v>10,090</v>
      </c>
      <c r="AE370" s="11">
        <f t="shared" si="2370"/>
        <v>0.36946944444444441</v>
      </c>
      <c r="AF370" s="14">
        <f t="shared" si="2371"/>
        <v>27.106436406558959</v>
      </c>
      <c r="AG370" s="41">
        <f t="shared" si="2372"/>
        <v>-100</v>
      </c>
      <c r="AH370" s="105">
        <f t="shared" ref="AH370:AJ370" si="2387">AH369</f>
        <v>20.3</v>
      </c>
      <c r="AI370" s="105">
        <f t="shared" si="2387"/>
        <v>1.5089999999999999</v>
      </c>
      <c r="AJ370" s="105">
        <f t="shared" si="2387"/>
        <v>1.504</v>
      </c>
      <c r="AK370" s="53">
        <f t="shared" si="2374"/>
        <v>0</v>
      </c>
      <c r="AL370" s="45"/>
      <c r="AM370" s="54">
        <f t="shared" ref="AM370:AN370" si="2388">AM369</f>
        <v>5.0129999999999999</v>
      </c>
      <c r="AN370" s="101" t="str">
        <f t="shared" si="2388"/>
        <v>17,59,050</v>
      </c>
      <c r="AO370" s="11" t="str">
        <f t="shared" si="2376"/>
        <v>17</v>
      </c>
      <c r="AP370" s="11" t="str">
        <f t="shared" si="2377"/>
        <v>59,050</v>
      </c>
      <c r="AQ370" s="11">
        <f t="shared" si="2378"/>
        <v>0.29973611111111109</v>
      </c>
      <c r="AR370" s="14">
        <f t="shared" si="2379"/>
        <v>16.724711551827998</v>
      </c>
      <c r="AS370" s="41">
        <f t="shared" si="2380"/>
        <v>-100</v>
      </c>
      <c r="AT370" s="43" t="str">
        <f t="shared" si="2381"/>
        <v>NO CONFORME</v>
      </c>
      <c r="AU370" s="8" t="b">
        <f t="shared" si="2103"/>
        <v>1</v>
      </c>
      <c r="AV370" s="8" t="b">
        <f t="shared" si="2104"/>
        <v>0</v>
      </c>
      <c r="AW370" s="8" t="b">
        <f t="shared" si="2105"/>
        <v>1</v>
      </c>
      <c r="AX370" s="8" t="str">
        <f t="shared" si="2106"/>
        <v>Qcorrecto</v>
      </c>
      <c r="AY370" s="22" t="str">
        <f t="shared" si="2086"/>
        <v>aceptable</v>
      </c>
      <c r="AZ370" s="22" t="str">
        <f t="shared" si="2087"/>
        <v>aceptable</v>
      </c>
      <c r="BA370" s="22" t="str">
        <f t="shared" si="2107"/>
        <v>aceptable</v>
      </c>
      <c r="BB370" s="25" t="str">
        <f t="shared" si="2108"/>
        <v>NO CONFORME</v>
      </c>
      <c r="BC370" s="5" t="str">
        <f t="shared" si="2109"/>
        <v>NO CONFORME</v>
      </c>
      <c r="BD370" s="15">
        <f t="shared" si="2088"/>
        <v>-1</v>
      </c>
      <c r="BE370" s="15">
        <f t="shared" si="2089"/>
        <v>-1</v>
      </c>
      <c r="BF370" s="15">
        <f t="shared" si="2090"/>
        <v>-1</v>
      </c>
      <c r="BG370" s="15" t="str">
        <f t="shared" si="2091"/>
        <v>-1-1-1</v>
      </c>
      <c r="BH370" s="15" t="str">
        <f t="shared" si="2092"/>
        <v>SD</v>
      </c>
      <c r="BI370" s="15" t="str">
        <f t="shared" si="2093"/>
        <v>SI</v>
      </c>
      <c r="BJ370" s="15" t="b">
        <f t="shared" si="2094"/>
        <v>1</v>
      </c>
      <c r="BK370" s="15" t="str">
        <f t="shared" si="2095"/>
        <v>SIGIGUALES</v>
      </c>
      <c r="BL370" s="22" t="str">
        <f t="shared" si="2096"/>
        <v>NO CONFORME</v>
      </c>
    </row>
    <row r="371" spans="1:64" ht="15.75" thickBot="1" x14ac:dyDescent="0.3">
      <c r="A371" s="37">
        <v>363</v>
      </c>
      <c r="B371" s="93">
        <f t="shared" ref="B371:E371" si="2389">B370</f>
        <v>45919</v>
      </c>
      <c r="C371" s="93">
        <f t="shared" si="2389"/>
        <v>45919</v>
      </c>
      <c r="D371" s="94">
        <f t="shared" si="2389"/>
        <v>6</v>
      </c>
      <c r="E371" s="95">
        <f t="shared" si="2389"/>
        <v>15</v>
      </c>
      <c r="F371" s="13"/>
      <c r="G371" s="90"/>
      <c r="H371" s="97">
        <f t="shared" ref="H371:L371" si="2390">H370</f>
        <v>25.6</v>
      </c>
      <c r="I371" s="98">
        <f t="shared" si="2390"/>
        <v>0</v>
      </c>
      <c r="J371" s="99">
        <f t="shared" si="2390"/>
        <v>20.9</v>
      </c>
      <c r="K371" s="99">
        <f t="shared" si="2390"/>
        <v>7.883</v>
      </c>
      <c r="L371" s="99">
        <f t="shared" si="2390"/>
        <v>0.55400000000000005</v>
      </c>
      <c r="M371" s="45"/>
      <c r="N371" s="45"/>
      <c r="O371" s="100">
        <f t="shared" ref="O371:P371" si="2391">O370</f>
        <v>100.62</v>
      </c>
      <c r="P371" s="101" t="str">
        <f t="shared" si="2391"/>
        <v>2,29,560</v>
      </c>
      <c r="Q371" s="11" t="str">
        <f t="shared" si="2361"/>
        <v>2</v>
      </c>
      <c r="R371" s="11" t="str">
        <f t="shared" si="2362"/>
        <v>29,560</v>
      </c>
      <c r="S371" s="11">
        <f t="shared" si="2363"/>
        <v>4.1544444444444446E-2</v>
      </c>
      <c r="T371" s="14">
        <f t="shared" si="2364"/>
        <v>2421.9844878309709</v>
      </c>
      <c r="U371" s="39">
        <f t="shared" si="2365"/>
        <v>-100</v>
      </c>
      <c r="V371" s="105">
        <f t="shared" ref="V371:X371" si="2392">V370</f>
        <v>20.399999999999999</v>
      </c>
      <c r="W371" s="105">
        <f t="shared" si="2392"/>
        <v>1.5069999999999999</v>
      </c>
      <c r="X371" s="106">
        <f t="shared" si="2392"/>
        <v>1.504</v>
      </c>
      <c r="Y371" s="45"/>
      <c r="Z371" s="45"/>
      <c r="AA371" s="107">
        <f t="shared" ref="AA371:AB371" si="2393">AA370</f>
        <v>10.015000000000001</v>
      </c>
      <c r="AB371" s="108" t="str">
        <f t="shared" si="2393"/>
        <v>22,10,090</v>
      </c>
      <c r="AC371" s="11" t="str">
        <f t="shared" si="2368"/>
        <v>22</v>
      </c>
      <c r="AD371" s="11" t="str">
        <f t="shared" si="2369"/>
        <v>10,090</v>
      </c>
      <c r="AE371" s="11">
        <f t="shared" si="2370"/>
        <v>0.36946944444444441</v>
      </c>
      <c r="AF371" s="14">
        <f t="shared" si="2371"/>
        <v>27.106436406558959</v>
      </c>
      <c r="AG371" s="41">
        <f t="shared" si="2372"/>
        <v>-100</v>
      </c>
      <c r="AH371" s="105">
        <f t="shared" ref="AH371:AJ371" si="2394">AH370</f>
        <v>20.3</v>
      </c>
      <c r="AI371" s="105">
        <f t="shared" si="2394"/>
        <v>1.5089999999999999</v>
      </c>
      <c r="AJ371" s="105">
        <f t="shared" si="2394"/>
        <v>1.504</v>
      </c>
      <c r="AK371" s="53">
        <f t="shared" si="2374"/>
        <v>0</v>
      </c>
      <c r="AL371" s="45"/>
      <c r="AM371" s="54">
        <f t="shared" ref="AM371:AN371" si="2395">AM370</f>
        <v>5.0129999999999999</v>
      </c>
      <c r="AN371" s="101" t="str">
        <f t="shared" si="2395"/>
        <v>17,59,050</v>
      </c>
      <c r="AO371" s="11" t="str">
        <f t="shared" si="2376"/>
        <v>17</v>
      </c>
      <c r="AP371" s="11" t="str">
        <f t="shared" si="2377"/>
        <v>59,050</v>
      </c>
      <c r="AQ371" s="11">
        <f t="shared" si="2378"/>
        <v>0.29973611111111109</v>
      </c>
      <c r="AR371" s="14">
        <f t="shared" si="2379"/>
        <v>16.724711551827998</v>
      </c>
      <c r="AS371" s="41">
        <f t="shared" si="2380"/>
        <v>-100</v>
      </c>
      <c r="AT371" s="43" t="str">
        <f t="shared" si="2381"/>
        <v>NO CONFORME</v>
      </c>
      <c r="AU371" s="8" t="b">
        <f t="shared" si="2103"/>
        <v>1</v>
      </c>
      <c r="AV371" s="8" t="b">
        <f t="shared" si="2104"/>
        <v>0</v>
      </c>
      <c r="AW371" s="8" t="b">
        <f t="shared" si="2105"/>
        <v>1</v>
      </c>
      <c r="AX371" s="8" t="str">
        <f t="shared" si="2106"/>
        <v>Qcorrecto</v>
      </c>
      <c r="AY371" s="22" t="str">
        <f t="shared" si="2086"/>
        <v>aceptable</v>
      </c>
      <c r="AZ371" s="22" t="str">
        <f t="shared" si="2087"/>
        <v>aceptable</v>
      </c>
      <c r="BA371" s="22" t="str">
        <f t="shared" si="2107"/>
        <v>aceptable</v>
      </c>
      <c r="BB371" s="25" t="str">
        <f t="shared" si="2108"/>
        <v>NO CONFORME</v>
      </c>
      <c r="BC371" s="5" t="str">
        <f t="shared" si="2109"/>
        <v>NO CONFORME</v>
      </c>
      <c r="BD371" s="15">
        <f t="shared" si="2088"/>
        <v>-1</v>
      </c>
      <c r="BE371" s="15">
        <f t="shared" si="2089"/>
        <v>-1</v>
      </c>
      <c r="BF371" s="15">
        <f t="shared" si="2090"/>
        <v>-1</v>
      </c>
      <c r="BG371" s="15" t="str">
        <f t="shared" si="2091"/>
        <v>-1-1-1</v>
      </c>
      <c r="BH371" s="15" t="str">
        <f t="shared" si="2092"/>
        <v>SD</v>
      </c>
      <c r="BI371" s="15" t="str">
        <f t="shared" si="2093"/>
        <v>SI</v>
      </c>
      <c r="BJ371" s="15" t="b">
        <f t="shared" si="2094"/>
        <v>1</v>
      </c>
      <c r="BK371" s="15" t="str">
        <f t="shared" si="2095"/>
        <v>SIGIGUALES</v>
      </c>
      <c r="BL371" s="22" t="str">
        <f t="shared" si="2096"/>
        <v>NO CONFORME</v>
      </c>
    </row>
    <row r="372" spans="1:64" ht="15.75" thickBot="1" x14ac:dyDescent="0.3">
      <c r="A372" s="37">
        <v>364</v>
      </c>
      <c r="B372" s="93">
        <f t="shared" ref="B372:E372" si="2396">B371</f>
        <v>45919</v>
      </c>
      <c r="C372" s="93">
        <f t="shared" si="2396"/>
        <v>45919</v>
      </c>
      <c r="D372" s="94">
        <f t="shared" si="2396"/>
        <v>6</v>
      </c>
      <c r="E372" s="95">
        <f t="shared" si="2396"/>
        <v>15</v>
      </c>
      <c r="F372" s="56"/>
      <c r="G372" s="90"/>
      <c r="H372" s="97">
        <f t="shared" ref="H372:L372" si="2397">H371</f>
        <v>25.6</v>
      </c>
      <c r="I372" s="98">
        <f t="shared" si="2397"/>
        <v>0</v>
      </c>
      <c r="J372" s="99">
        <f t="shared" si="2397"/>
        <v>20.9</v>
      </c>
      <c r="K372" s="99">
        <f t="shared" si="2397"/>
        <v>7.883</v>
      </c>
      <c r="L372" s="99">
        <f t="shared" si="2397"/>
        <v>0.55400000000000005</v>
      </c>
      <c r="M372" s="57"/>
      <c r="N372" s="57"/>
      <c r="O372" s="100">
        <f t="shared" ref="O372:P372" si="2398">O371</f>
        <v>100.62</v>
      </c>
      <c r="P372" s="101" t="str">
        <f t="shared" si="2398"/>
        <v>2,29,560</v>
      </c>
      <c r="Q372" s="11" t="str">
        <f t="shared" si="2361"/>
        <v>2</v>
      </c>
      <c r="R372" s="11" t="str">
        <f t="shared" si="2362"/>
        <v>29,560</v>
      </c>
      <c r="S372" s="11">
        <f t="shared" si="2363"/>
        <v>4.1544444444444446E-2</v>
      </c>
      <c r="T372" s="14">
        <f t="shared" si="2364"/>
        <v>2421.9844878309709</v>
      </c>
      <c r="U372" s="39">
        <f t="shared" si="2365"/>
        <v>-100</v>
      </c>
      <c r="V372" s="105">
        <f t="shared" ref="V372:X372" si="2399">V371</f>
        <v>20.399999999999999</v>
      </c>
      <c r="W372" s="105">
        <f t="shared" si="2399"/>
        <v>1.5069999999999999</v>
      </c>
      <c r="X372" s="106">
        <f t="shared" si="2399"/>
        <v>1.504</v>
      </c>
      <c r="Y372" s="57"/>
      <c r="Z372" s="57"/>
      <c r="AA372" s="107">
        <f t="shared" ref="AA372:AB372" si="2400">AA371</f>
        <v>10.015000000000001</v>
      </c>
      <c r="AB372" s="108" t="str">
        <f t="shared" si="2400"/>
        <v>22,10,090</v>
      </c>
      <c r="AC372" s="11" t="str">
        <f t="shared" si="2368"/>
        <v>22</v>
      </c>
      <c r="AD372" s="11" t="str">
        <f t="shared" si="2369"/>
        <v>10,090</v>
      </c>
      <c r="AE372" s="11">
        <f t="shared" si="2370"/>
        <v>0.36946944444444441</v>
      </c>
      <c r="AF372" s="14">
        <f t="shared" si="2371"/>
        <v>27.106436406558959</v>
      </c>
      <c r="AG372" s="41">
        <f t="shared" si="2372"/>
        <v>-100</v>
      </c>
      <c r="AH372" s="105">
        <f t="shared" ref="AH372:AJ372" si="2401">AH371</f>
        <v>20.3</v>
      </c>
      <c r="AI372" s="105">
        <f t="shared" si="2401"/>
        <v>1.5089999999999999</v>
      </c>
      <c r="AJ372" s="105">
        <f t="shared" si="2401"/>
        <v>1.504</v>
      </c>
      <c r="AK372" s="53">
        <f t="shared" si="2374"/>
        <v>0</v>
      </c>
      <c r="AL372" s="57"/>
      <c r="AM372" s="54">
        <f t="shared" ref="AM372:AN372" si="2402">AM371</f>
        <v>5.0129999999999999</v>
      </c>
      <c r="AN372" s="101" t="str">
        <f t="shared" si="2402"/>
        <v>17,59,050</v>
      </c>
      <c r="AO372" s="11" t="str">
        <f t="shared" si="2376"/>
        <v>17</v>
      </c>
      <c r="AP372" s="11" t="str">
        <f t="shared" si="2377"/>
        <v>59,050</v>
      </c>
      <c r="AQ372" s="11">
        <f t="shared" si="2378"/>
        <v>0.29973611111111109</v>
      </c>
      <c r="AR372" s="14">
        <f t="shared" si="2379"/>
        <v>16.724711551827998</v>
      </c>
      <c r="AS372" s="41">
        <f t="shared" si="2380"/>
        <v>-100</v>
      </c>
      <c r="AT372" s="43" t="str">
        <f t="shared" si="2381"/>
        <v>NO CONFORME</v>
      </c>
      <c r="AU372" s="8" t="b">
        <f t="shared" si="2103"/>
        <v>1</v>
      </c>
      <c r="AV372" s="8" t="b">
        <f t="shared" si="2104"/>
        <v>0</v>
      </c>
      <c r="AW372" s="8" t="b">
        <f t="shared" si="2105"/>
        <v>1</v>
      </c>
      <c r="AX372" s="8" t="str">
        <f t="shared" si="2106"/>
        <v>Qcorrecto</v>
      </c>
      <c r="AY372" s="22" t="str">
        <f t="shared" si="2086"/>
        <v>aceptable</v>
      </c>
      <c r="AZ372" s="22" t="str">
        <f t="shared" si="2087"/>
        <v>aceptable</v>
      </c>
      <c r="BA372" s="22" t="str">
        <f t="shared" si="2107"/>
        <v>aceptable</v>
      </c>
      <c r="BB372" s="25" t="str">
        <f t="shared" si="2108"/>
        <v>NO CONFORME</v>
      </c>
      <c r="BC372" s="5" t="str">
        <f t="shared" si="2109"/>
        <v>NO CONFORME</v>
      </c>
      <c r="BD372" s="15">
        <f t="shared" si="2088"/>
        <v>-1</v>
      </c>
      <c r="BE372" s="15">
        <f t="shared" si="2089"/>
        <v>-1</v>
      </c>
      <c r="BF372" s="15">
        <f t="shared" si="2090"/>
        <v>-1</v>
      </c>
      <c r="BG372" s="15" t="str">
        <f t="shared" si="2091"/>
        <v>-1-1-1</v>
      </c>
      <c r="BH372" s="15" t="str">
        <f t="shared" si="2092"/>
        <v>SD</v>
      </c>
      <c r="BI372" s="15" t="str">
        <f t="shared" si="2093"/>
        <v>SI</v>
      </c>
      <c r="BJ372" s="15" t="b">
        <f t="shared" si="2094"/>
        <v>1</v>
      </c>
      <c r="BK372" s="15" t="str">
        <f t="shared" si="2095"/>
        <v>SIGIGUALES</v>
      </c>
      <c r="BL372" s="22" t="str">
        <f t="shared" si="2096"/>
        <v>NO CONFORME</v>
      </c>
    </row>
    <row r="373" spans="1:64" ht="15.75" thickBot="1" x14ac:dyDescent="0.3">
      <c r="A373" s="37">
        <v>365</v>
      </c>
      <c r="B373" s="93">
        <f t="shared" ref="B373:E373" si="2403">B372</f>
        <v>45919</v>
      </c>
      <c r="C373" s="93">
        <f t="shared" si="2403"/>
        <v>45919</v>
      </c>
      <c r="D373" s="94">
        <f t="shared" si="2403"/>
        <v>6</v>
      </c>
      <c r="E373" s="95">
        <f t="shared" si="2403"/>
        <v>15</v>
      </c>
      <c r="F373" s="13"/>
      <c r="G373" s="90"/>
      <c r="H373" s="97">
        <f t="shared" ref="H373:L373" si="2404">H372</f>
        <v>25.6</v>
      </c>
      <c r="I373" s="98">
        <f t="shared" si="2404"/>
        <v>0</v>
      </c>
      <c r="J373" s="99">
        <f t="shared" si="2404"/>
        <v>20.9</v>
      </c>
      <c r="K373" s="99">
        <f t="shared" si="2404"/>
        <v>7.883</v>
      </c>
      <c r="L373" s="99">
        <f t="shared" si="2404"/>
        <v>0.55400000000000005</v>
      </c>
      <c r="M373" s="45"/>
      <c r="N373" s="45"/>
      <c r="O373" s="100">
        <f t="shared" ref="O373:P373" si="2405">O372</f>
        <v>100.62</v>
      </c>
      <c r="P373" s="101" t="str">
        <f t="shared" si="2405"/>
        <v>2,29,560</v>
      </c>
      <c r="Q373" s="11" t="str">
        <f t="shared" si="2361"/>
        <v>2</v>
      </c>
      <c r="R373" s="11" t="str">
        <f t="shared" si="2362"/>
        <v>29,560</v>
      </c>
      <c r="S373" s="11">
        <f t="shared" si="2363"/>
        <v>4.1544444444444446E-2</v>
      </c>
      <c r="T373" s="14">
        <f t="shared" si="2364"/>
        <v>2421.9844878309709</v>
      </c>
      <c r="U373" s="39">
        <f t="shared" si="2365"/>
        <v>-100</v>
      </c>
      <c r="V373" s="105">
        <f t="shared" ref="V373:X373" si="2406">V372</f>
        <v>20.399999999999999</v>
      </c>
      <c r="W373" s="105">
        <f t="shared" si="2406"/>
        <v>1.5069999999999999</v>
      </c>
      <c r="X373" s="106">
        <f t="shared" si="2406"/>
        <v>1.504</v>
      </c>
      <c r="Y373" s="45"/>
      <c r="Z373" s="45"/>
      <c r="AA373" s="107">
        <f t="shared" ref="AA373:AB373" si="2407">AA372</f>
        <v>10.015000000000001</v>
      </c>
      <c r="AB373" s="108" t="str">
        <f t="shared" si="2407"/>
        <v>22,10,090</v>
      </c>
      <c r="AC373" s="11" t="str">
        <f t="shared" si="2368"/>
        <v>22</v>
      </c>
      <c r="AD373" s="11" t="str">
        <f t="shared" si="2369"/>
        <v>10,090</v>
      </c>
      <c r="AE373" s="11">
        <f t="shared" si="2370"/>
        <v>0.36946944444444441</v>
      </c>
      <c r="AF373" s="14">
        <f t="shared" si="2371"/>
        <v>27.106436406558959</v>
      </c>
      <c r="AG373" s="41">
        <f t="shared" si="2372"/>
        <v>-100</v>
      </c>
      <c r="AH373" s="105">
        <f t="shared" ref="AH373:AJ373" si="2408">AH372</f>
        <v>20.3</v>
      </c>
      <c r="AI373" s="105">
        <f t="shared" si="2408"/>
        <v>1.5089999999999999</v>
      </c>
      <c r="AJ373" s="105">
        <f t="shared" si="2408"/>
        <v>1.504</v>
      </c>
      <c r="AK373" s="53">
        <f t="shared" ref="AK373:AK436" si="2409">Z373</f>
        <v>0</v>
      </c>
      <c r="AL373" s="45"/>
      <c r="AM373" s="54">
        <f t="shared" ref="AM373:AN373" si="2410">AM372</f>
        <v>5.0129999999999999</v>
      </c>
      <c r="AN373" s="101" t="str">
        <f t="shared" si="2410"/>
        <v>17,59,050</v>
      </c>
      <c r="AO373" s="11" t="str">
        <f t="shared" si="2376"/>
        <v>17</v>
      </c>
      <c r="AP373" s="11" t="str">
        <f t="shared" si="2377"/>
        <v>59,050</v>
      </c>
      <c r="AQ373" s="11">
        <f t="shared" si="2378"/>
        <v>0.29973611111111109</v>
      </c>
      <c r="AR373" s="14">
        <f t="shared" si="2379"/>
        <v>16.724711551827998</v>
      </c>
      <c r="AS373" s="41">
        <f t="shared" si="2380"/>
        <v>-100</v>
      </c>
      <c r="AT373" s="43" t="str">
        <f t="shared" si="2381"/>
        <v>NO CONFORME</v>
      </c>
      <c r="AU373" s="8" t="b">
        <f t="shared" si="2103"/>
        <v>1</v>
      </c>
      <c r="AV373" s="8" t="b">
        <f t="shared" si="2104"/>
        <v>0</v>
      </c>
      <c r="AW373" s="8" t="b">
        <f t="shared" si="2105"/>
        <v>1</v>
      </c>
      <c r="AX373" s="8" t="str">
        <f t="shared" si="2106"/>
        <v>Qcorrecto</v>
      </c>
      <c r="AY373" s="22" t="str">
        <f t="shared" si="2086"/>
        <v>aceptable</v>
      </c>
      <c r="AZ373" s="22" t="str">
        <f t="shared" si="2087"/>
        <v>aceptable</v>
      </c>
      <c r="BA373" s="22" t="str">
        <f t="shared" si="2107"/>
        <v>aceptable</v>
      </c>
      <c r="BB373" s="25" t="str">
        <f t="shared" si="2108"/>
        <v>NO CONFORME</v>
      </c>
      <c r="BC373" s="5" t="str">
        <f t="shared" si="2109"/>
        <v>NO CONFORME</v>
      </c>
      <c r="BD373" s="15">
        <f t="shared" si="2088"/>
        <v>-1</v>
      </c>
      <c r="BE373" s="15">
        <f t="shared" si="2089"/>
        <v>-1</v>
      </c>
      <c r="BF373" s="15">
        <f t="shared" si="2090"/>
        <v>-1</v>
      </c>
      <c r="BG373" s="15" t="str">
        <f t="shared" si="2091"/>
        <v>-1-1-1</v>
      </c>
      <c r="BH373" s="15" t="str">
        <f t="shared" si="2092"/>
        <v>SD</v>
      </c>
      <c r="BI373" s="15" t="str">
        <f t="shared" si="2093"/>
        <v>SI</v>
      </c>
      <c r="BJ373" s="15" t="b">
        <f t="shared" si="2094"/>
        <v>1</v>
      </c>
      <c r="BK373" s="15" t="str">
        <f t="shared" si="2095"/>
        <v>SIGIGUALES</v>
      </c>
      <c r="BL373" s="22" t="str">
        <f t="shared" si="2096"/>
        <v>NO CONFORME</v>
      </c>
    </row>
    <row r="374" spans="1:64" ht="15.75" thickBot="1" x14ac:dyDescent="0.3">
      <c r="A374" s="37">
        <v>366</v>
      </c>
      <c r="B374" s="93">
        <f t="shared" ref="B374:E374" si="2411">B373</f>
        <v>45919</v>
      </c>
      <c r="C374" s="93">
        <f t="shared" si="2411"/>
        <v>45919</v>
      </c>
      <c r="D374" s="94">
        <f t="shared" si="2411"/>
        <v>6</v>
      </c>
      <c r="E374" s="95">
        <f t="shared" si="2411"/>
        <v>15</v>
      </c>
      <c r="F374" s="58"/>
      <c r="G374" s="90"/>
      <c r="H374" s="97">
        <f t="shared" ref="H374:L374" si="2412">H373</f>
        <v>25.6</v>
      </c>
      <c r="I374" s="98">
        <f t="shared" si="2412"/>
        <v>0</v>
      </c>
      <c r="J374" s="99">
        <f t="shared" si="2412"/>
        <v>20.9</v>
      </c>
      <c r="K374" s="99">
        <f t="shared" si="2412"/>
        <v>7.883</v>
      </c>
      <c r="L374" s="99">
        <f t="shared" si="2412"/>
        <v>0.55400000000000005</v>
      </c>
      <c r="M374" s="59"/>
      <c r="N374" s="59"/>
      <c r="O374" s="100">
        <f t="shared" ref="O374:P374" si="2413">O373</f>
        <v>100.62</v>
      </c>
      <c r="P374" s="101" t="str">
        <f t="shared" si="2413"/>
        <v>2,29,560</v>
      </c>
      <c r="Q374" s="11" t="str">
        <f t="shared" si="2361"/>
        <v>2</v>
      </c>
      <c r="R374" s="11" t="str">
        <f t="shared" si="2362"/>
        <v>29,560</v>
      </c>
      <c r="S374" s="11">
        <f t="shared" si="2363"/>
        <v>4.1544444444444446E-2</v>
      </c>
      <c r="T374" s="14">
        <f t="shared" si="2364"/>
        <v>2421.9844878309709</v>
      </c>
      <c r="U374" s="39">
        <f t="shared" si="2365"/>
        <v>-100</v>
      </c>
      <c r="V374" s="105">
        <f t="shared" ref="V374:X374" si="2414">V373</f>
        <v>20.399999999999999</v>
      </c>
      <c r="W374" s="105">
        <f t="shared" si="2414"/>
        <v>1.5069999999999999</v>
      </c>
      <c r="X374" s="106">
        <f t="shared" si="2414"/>
        <v>1.504</v>
      </c>
      <c r="Y374" s="59"/>
      <c r="Z374" s="59"/>
      <c r="AA374" s="107">
        <f t="shared" ref="AA374:AB374" si="2415">AA373</f>
        <v>10.015000000000001</v>
      </c>
      <c r="AB374" s="108" t="str">
        <f t="shared" si="2415"/>
        <v>22,10,090</v>
      </c>
      <c r="AC374" s="11" t="str">
        <f t="shared" si="2368"/>
        <v>22</v>
      </c>
      <c r="AD374" s="11" t="str">
        <f t="shared" si="2369"/>
        <v>10,090</v>
      </c>
      <c r="AE374" s="11">
        <f t="shared" si="2370"/>
        <v>0.36946944444444441</v>
      </c>
      <c r="AF374" s="14">
        <f t="shared" si="2371"/>
        <v>27.106436406558959</v>
      </c>
      <c r="AG374" s="41">
        <f t="shared" si="2372"/>
        <v>-100</v>
      </c>
      <c r="AH374" s="105">
        <f t="shared" ref="AH374:AJ374" si="2416">AH373</f>
        <v>20.3</v>
      </c>
      <c r="AI374" s="105">
        <f t="shared" si="2416"/>
        <v>1.5089999999999999</v>
      </c>
      <c r="AJ374" s="105">
        <f t="shared" si="2416"/>
        <v>1.504</v>
      </c>
      <c r="AK374" s="53">
        <f t="shared" si="2409"/>
        <v>0</v>
      </c>
      <c r="AL374" s="59"/>
      <c r="AM374" s="54">
        <f t="shared" ref="AM374:AN374" si="2417">AM373</f>
        <v>5.0129999999999999</v>
      </c>
      <c r="AN374" s="101" t="str">
        <f t="shared" si="2417"/>
        <v>17,59,050</v>
      </c>
      <c r="AO374" s="11" t="str">
        <f t="shared" si="2376"/>
        <v>17</v>
      </c>
      <c r="AP374" s="11" t="str">
        <f t="shared" si="2377"/>
        <v>59,050</v>
      </c>
      <c r="AQ374" s="11">
        <f t="shared" si="2378"/>
        <v>0.29973611111111109</v>
      </c>
      <c r="AR374" s="14">
        <f t="shared" si="2379"/>
        <v>16.724711551827998</v>
      </c>
      <c r="AS374" s="41">
        <f t="shared" si="2380"/>
        <v>-100</v>
      </c>
      <c r="AT374" s="43" t="str">
        <f t="shared" si="2381"/>
        <v>NO CONFORME</v>
      </c>
      <c r="AU374" s="8" t="b">
        <f t="shared" si="2103"/>
        <v>1</v>
      </c>
      <c r="AV374" s="8" t="b">
        <f t="shared" si="2104"/>
        <v>0</v>
      </c>
      <c r="AW374" s="8" t="b">
        <f t="shared" si="2105"/>
        <v>1</v>
      </c>
      <c r="AX374" s="8" t="str">
        <f t="shared" si="2106"/>
        <v>Qcorrecto</v>
      </c>
      <c r="AY374" s="22" t="str">
        <f t="shared" si="2086"/>
        <v>aceptable</v>
      </c>
      <c r="AZ374" s="22" t="str">
        <f t="shared" si="2087"/>
        <v>aceptable</v>
      </c>
      <c r="BA374" s="22" t="str">
        <f t="shared" si="2107"/>
        <v>aceptable</v>
      </c>
      <c r="BB374" s="25" t="str">
        <f t="shared" si="2108"/>
        <v>NO CONFORME</v>
      </c>
      <c r="BC374" s="5" t="str">
        <f t="shared" si="2109"/>
        <v>NO CONFORME</v>
      </c>
      <c r="BD374" s="15">
        <f t="shared" si="2088"/>
        <v>-1</v>
      </c>
      <c r="BE374" s="15">
        <f t="shared" si="2089"/>
        <v>-1</v>
      </c>
      <c r="BF374" s="15">
        <f t="shared" si="2090"/>
        <v>-1</v>
      </c>
      <c r="BG374" s="15" t="str">
        <f t="shared" si="2091"/>
        <v>-1-1-1</v>
      </c>
      <c r="BH374" s="15" t="str">
        <f t="shared" si="2092"/>
        <v>SD</v>
      </c>
      <c r="BI374" s="15" t="str">
        <f t="shared" si="2093"/>
        <v>SI</v>
      </c>
      <c r="BJ374" s="15" t="b">
        <f t="shared" si="2094"/>
        <v>1</v>
      </c>
      <c r="BK374" s="15" t="str">
        <f t="shared" si="2095"/>
        <v>SIGIGUALES</v>
      </c>
      <c r="BL374" s="22" t="str">
        <f t="shared" si="2096"/>
        <v>NO CONFORME</v>
      </c>
    </row>
    <row r="375" spans="1:64" ht="15.75" thickBot="1" x14ac:dyDescent="0.3">
      <c r="A375" s="37">
        <v>367</v>
      </c>
      <c r="B375" s="93">
        <f t="shared" ref="B375:E375" si="2418">B374</f>
        <v>45919</v>
      </c>
      <c r="C375" s="93">
        <f t="shared" si="2418"/>
        <v>45919</v>
      </c>
      <c r="D375" s="94">
        <f t="shared" si="2418"/>
        <v>6</v>
      </c>
      <c r="E375" s="95">
        <f t="shared" si="2418"/>
        <v>15</v>
      </c>
      <c r="F375" s="13"/>
      <c r="G375" s="90"/>
      <c r="H375" s="97">
        <f t="shared" ref="H375:L375" si="2419">H374</f>
        <v>25.6</v>
      </c>
      <c r="I375" s="98">
        <f t="shared" si="2419"/>
        <v>0</v>
      </c>
      <c r="J375" s="99">
        <f t="shared" si="2419"/>
        <v>20.9</v>
      </c>
      <c r="K375" s="99">
        <f t="shared" si="2419"/>
        <v>7.883</v>
      </c>
      <c r="L375" s="99">
        <f t="shared" si="2419"/>
        <v>0.55400000000000005</v>
      </c>
      <c r="M375" s="45"/>
      <c r="N375" s="45"/>
      <c r="O375" s="100">
        <f t="shared" ref="O375:P375" si="2420">O374</f>
        <v>100.62</v>
      </c>
      <c r="P375" s="101" t="str">
        <f t="shared" si="2420"/>
        <v>2,29,560</v>
      </c>
      <c r="Q375" s="11" t="str">
        <f t="shared" si="2361"/>
        <v>2</v>
      </c>
      <c r="R375" s="11" t="str">
        <f t="shared" si="2362"/>
        <v>29,560</v>
      </c>
      <c r="S375" s="11">
        <f t="shared" si="2363"/>
        <v>4.1544444444444446E-2</v>
      </c>
      <c r="T375" s="14">
        <f t="shared" si="2364"/>
        <v>2421.9844878309709</v>
      </c>
      <c r="U375" s="39">
        <f t="shared" si="2365"/>
        <v>-100</v>
      </c>
      <c r="V375" s="105">
        <f t="shared" ref="V375:X375" si="2421">V374</f>
        <v>20.399999999999999</v>
      </c>
      <c r="W375" s="105">
        <f t="shared" si="2421"/>
        <v>1.5069999999999999</v>
      </c>
      <c r="X375" s="106">
        <f t="shared" si="2421"/>
        <v>1.504</v>
      </c>
      <c r="Y375" s="45"/>
      <c r="Z375" s="45"/>
      <c r="AA375" s="107">
        <f t="shared" ref="AA375:AB375" si="2422">AA374</f>
        <v>10.015000000000001</v>
      </c>
      <c r="AB375" s="108" t="str">
        <f t="shared" si="2422"/>
        <v>22,10,090</v>
      </c>
      <c r="AC375" s="11" t="str">
        <f t="shared" si="2368"/>
        <v>22</v>
      </c>
      <c r="AD375" s="11" t="str">
        <f t="shared" si="2369"/>
        <v>10,090</v>
      </c>
      <c r="AE375" s="11">
        <f t="shared" si="2370"/>
        <v>0.36946944444444441</v>
      </c>
      <c r="AF375" s="14">
        <f t="shared" si="2371"/>
        <v>27.106436406558959</v>
      </c>
      <c r="AG375" s="41">
        <f t="shared" si="2372"/>
        <v>-100</v>
      </c>
      <c r="AH375" s="105">
        <f t="shared" ref="AH375:AJ375" si="2423">AH374</f>
        <v>20.3</v>
      </c>
      <c r="AI375" s="105">
        <f t="shared" si="2423"/>
        <v>1.5089999999999999</v>
      </c>
      <c r="AJ375" s="105">
        <f t="shared" si="2423"/>
        <v>1.504</v>
      </c>
      <c r="AK375" s="53">
        <f t="shared" si="2409"/>
        <v>0</v>
      </c>
      <c r="AL375" s="45"/>
      <c r="AM375" s="54">
        <f t="shared" ref="AM375:AN375" si="2424">AM374</f>
        <v>5.0129999999999999</v>
      </c>
      <c r="AN375" s="101" t="str">
        <f t="shared" si="2424"/>
        <v>17,59,050</v>
      </c>
      <c r="AO375" s="11" t="str">
        <f t="shared" si="2376"/>
        <v>17</v>
      </c>
      <c r="AP375" s="11" t="str">
        <f t="shared" si="2377"/>
        <v>59,050</v>
      </c>
      <c r="AQ375" s="11">
        <f t="shared" si="2378"/>
        <v>0.29973611111111109</v>
      </c>
      <c r="AR375" s="14">
        <f t="shared" si="2379"/>
        <v>16.724711551827998</v>
      </c>
      <c r="AS375" s="41">
        <f t="shared" si="2380"/>
        <v>-100</v>
      </c>
      <c r="AT375" s="43" t="str">
        <f t="shared" si="2381"/>
        <v>NO CONFORME</v>
      </c>
      <c r="AU375" s="8" t="b">
        <f t="shared" si="2103"/>
        <v>1</v>
      </c>
      <c r="AV375" s="8" t="b">
        <f t="shared" si="2104"/>
        <v>0</v>
      </c>
      <c r="AW375" s="8" t="b">
        <f t="shared" si="2105"/>
        <v>1</v>
      </c>
      <c r="AX375" s="8" t="str">
        <f t="shared" si="2106"/>
        <v>Qcorrecto</v>
      </c>
      <c r="AY375" s="22" t="str">
        <f t="shared" si="2086"/>
        <v>aceptable</v>
      </c>
      <c r="AZ375" s="22" t="str">
        <f t="shared" si="2087"/>
        <v>aceptable</v>
      </c>
      <c r="BA375" s="22" t="str">
        <f t="shared" si="2107"/>
        <v>aceptable</v>
      </c>
      <c r="BB375" s="25" t="str">
        <f t="shared" si="2108"/>
        <v>NO CONFORME</v>
      </c>
      <c r="BC375" s="5" t="str">
        <f t="shared" si="2109"/>
        <v>NO CONFORME</v>
      </c>
      <c r="BD375" s="15">
        <f t="shared" si="2088"/>
        <v>-1</v>
      </c>
      <c r="BE375" s="15">
        <f t="shared" si="2089"/>
        <v>-1</v>
      </c>
      <c r="BF375" s="15">
        <f t="shared" si="2090"/>
        <v>-1</v>
      </c>
      <c r="BG375" s="15" t="str">
        <f t="shared" si="2091"/>
        <v>-1-1-1</v>
      </c>
      <c r="BH375" s="15" t="str">
        <f t="shared" si="2092"/>
        <v>SD</v>
      </c>
      <c r="BI375" s="15" t="str">
        <f t="shared" si="2093"/>
        <v>SI</v>
      </c>
      <c r="BJ375" s="15" t="b">
        <f t="shared" si="2094"/>
        <v>1</v>
      </c>
      <c r="BK375" s="15" t="str">
        <f t="shared" si="2095"/>
        <v>SIGIGUALES</v>
      </c>
      <c r="BL375" s="22" t="str">
        <f t="shared" si="2096"/>
        <v>NO CONFORME</v>
      </c>
    </row>
    <row r="376" spans="1:64" ht="15.75" thickBot="1" x14ac:dyDescent="0.3">
      <c r="A376" s="37">
        <v>368</v>
      </c>
      <c r="B376" s="93">
        <f t="shared" ref="B376:E376" si="2425">B375</f>
        <v>45919</v>
      </c>
      <c r="C376" s="93">
        <f t="shared" si="2425"/>
        <v>45919</v>
      </c>
      <c r="D376" s="94">
        <f t="shared" si="2425"/>
        <v>6</v>
      </c>
      <c r="E376" s="95">
        <f t="shared" si="2425"/>
        <v>15</v>
      </c>
      <c r="F376" s="52"/>
      <c r="G376" s="96"/>
      <c r="H376" s="97">
        <f t="shared" ref="H376:L376" si="2426">H375</f>
        <v>25.6</v>
      </c>
      <c r="I376" s="98">
        <f t="shared" si="2426"/>
        <v>0</v>
      </c>
      <c r="J376" s="99">
        <f t="shared" si="2426"/>
        <v>20.9</v>
      </c>
      <c r="K376" s="99">
        <f t="shared" si="2426"/>
        <v>7.883</v>
      </c>
      <c r="L376" s="99">
        <f t="shared" si="2426"/>
        <v>0.55400000000000005</v>
      </c>
      <c r="M376" s="53"/>
      <c r="N376" s="53"/>
      <c r="O376" s="100">
        <f t="shared" ref="O376:P376" si="2427">O375</f>
        <v>100.62</v>
      </c>
      <c r="P376" s="101" t="str">
        <f t="shared" si="2427"/>
        <v>2,29,560</v>
      </c>
      <c r="Q376" s="11" t="str">
        <f t="shared" si="2361"/>
        <v>2</v>
      </c>
      <c r="R376" s="11" t="str">
        <f t="shared" si="2362"/>
        <v>29,560</v>
      </c>
      <c r="S376" s="11">
        <f t="shared" si="2363"/>
        <v>4.1544444444444446E-2</v>
      </c>
      <c r="T376" s="14">
        <f t="shared" si="2364"/>
        <v>2421.9844878309709</v>
      </c>
      <c r="U376" s="39">
        <f t="shared" si="2365"/>
        <v>-100</v>
      </c>
      <c r="V376" s="105">
        <f t="shared" ref="V376:X376" si="2428">V375</f>
        <v>20.399999999999999</v>
      </c>
      <c r="W376" s="105">
        <f t="shared" si="2428"/>
        <v>1.5069999999999999</v>
      </c>
      <c r="X376" s="106">
        <f t="shared" si="2428"/>
        <v>1.504</v>
      </c>
      <c r="Y376" s="53"/>
      <c r="Z376" s="53"/>
      <c r="AA376" s="107">
        <f t="shared" ref="AA376:AB376" si="2429">AA375</f>
        <v>10.015000000000001</v>
      </c>
      <c r="AB376" s="108" t="str">
        <f t="shared" si="2429"/>
        <v>22,10,090</v>
      </c>
      <c r="AC376" s="11" t="str">
        <f t="shared" si="2368"/>
        <v>22</v>
      </c>
      <c r="AD376" s="11" t="str">
        <f t="shared" si="2369"/>
        <v>10,090</v>
      </c>
      <c r="AE376" s="11">
        <f t="shared" si="2370"/>
        <v>0.36946944444444441</v>
      </c>
      <c r="AF376" s="14">
        <f t="shared" si="2371"/>
        <v>27.106436406558959</v>
      </c>
      <c r="AG376" s="41">
        <f t="shared" si="2372"/>
        <v>-100</v>
      </c>
      <c r="AH376" s="105">
        <f t="shared" ref="AH376:AJ376" si="2430">AH375</f>
        <v>20.3</v>
      </c>
      <c r="AI376" s="105">
        <f t="shared" si="2430"/>
        <v>1.5089999999999999</v>
      </c>
      <c r="AJ376" s="105">
        <f t="shared" si="2430"/>
        <v>1.504</v>
      </c>
      <c r="AK376" s="53">
        <f t="shared" si="2409"/>
        <v>0</v>
      </c>
      <c r="AL376" s="53"/>
      <c r="AM376" s="54">
        <f t="shared" ref="AM376:AN376" si="2431">AM375</f>
        <v>5.0129999999999999</v>
      </c>
      <c r="AN376" s="101" t="str">
        <f t="shared" si="2431"/>
        <v>17,59,050</v>
      </c>
      <c r="AO376" s="11" t="str">
        <f t="shared" si="2376"/>
        <v>17</v>
      </c>
      <c r="AP376" s="11" t="str">
        <f t="shared" si="2377"/>
        <v>59,050</v>
      </c>
      <c r="AQ376" s="11">
        <f t="shared" si="2378"/>
        <v>0.29973611111111109</v>
      </c>
      <c r="AR376" s="14">
        <f t="shared" si="2379"/>
        <v>16.724711551827998</v>
      </c>
      <c r="AS376" s="41">
        <f t="shared" si="2380"/>
        <v>-100</v>
      </c>
      <c r="AT376" s="43" t="str">
        <f t="shared" si="2381"/>
        <v>NO CONFORME</v>
      </c>
      <c r="AU376" s="8" t="b">
        <f t="shared" si="2103"/>
        <v>1</v>
      </c>
      <c r="AV376" s="8" t="b">
        <f t="shared" si="2104"/>
        <v>0</v>
      </c>
      <c r="AW376" s="8" t="b">
        <f t="shared" si="2105"/>
        <v>1</v>
      </c>
      <c r="AX376" s="8" t="str">
        <f t="shared" si="2106"/>
        <v>Qcorrecto</v>
      </c>
      <c r="AY376" s="22" t="str">
        <f t="shared" si="2086"/>
        <v>aceptable</v>
      </c>
      <c r="AZ376" s="22" t="str">
        <f t="shared" si="2087"/>
        <v>aceptable</v>
      </c>
      <c r="BA376" s="22" t="str">
        <f t="shared" si="2107"/>
        <v>aceptable</v>
      </c>
      <c r="BB376" s="25" t="str">
        <f t="shared" si="2108"/>
        <v>NO CONFORME</v>
      </c>
      <c r="BC376" s="5" t="str">
        <f t="shared" si="2109"/>
        <v>NO CONFORME</v>
      </c>
      <c r="BD376" s="15">
        <f t="shared" si="2088"/>
        <v>-1</v>
      </c>
      <c r="BE376" s="15">
        <f t="shared" si="2089"/>
        <v>-1</v>
      </c>
      <c r="BF376" s="15">
        <f t="shared" si="2090"/>
        <v>-1</v>
      </c>
      <c r="BG376" s="15" t="str">
        <f t="shared" si="2091"/>
        <v>-1-1-1</v>
      </c>
      <c r="BH376" s="15" t="str">
        <f t="shared" si="2092"/>
        <v>SD</v>
      </c>
      <c r="BI376" s="15" t="str">
        <f t="shared" si="2093"/>
        <v>SI</v>
      </c>
      <c r="BJ376" s="15" t="b">
        <f t="shared" si="2094"/>
        <v>1</v>
      </c>
      <c r="BK376" s="15" t="str">
        <f t="shared" si="2095"/>
        <v>SIGIGUALES</v>
      </c>
      <c r="BL376" s="22" t="str">
        <f t="shared" si="2096"/>
        <v>NO CONFORME</v>
      </c>
    </row>
    <row r="377" spans="1:64" ht="15.75" thickBot="1" x14ac:dyDescent="0.3">
      <c r="A377" s="37">
        <v>369</v>
      </c>
      <c r="B377" s="93">
        <f t="shared" ref="B377:E377" si="2432">B376</f>
        <v>45919</v>
      </c>
      <c r="C377" s="93">
        <f t="shared" si="2432"/>
        <v>45919</v>
      </c>
      <c r="D377" s="94">
        <f t="shared" si="2432"/>
        <v>6</v>
      </c>
      <c r="E377" s="95">
        <f t="shared" si="2432"/>
        <v>15</v>
      </c>
      <c r="F377" s="46"/>
      <c r="G377" s="110"/>
      <c r="H377" s="97">
        <f t="shared" ref="H377:L377" si="2433">H376</f>
        <v>25.6</v>
      </c>
      <c r="I377" s="98">
        <f t="shared" si="2433"/>
        <v>0</v>
      </c>
      <c r="J377" s="99">
        <f t="shared" si="2433"/>
        <v>20.9</v>
      </c>
      <c r="K377" s="99">
        <f t="shared" si="2433"/>
        <v>7.883</v>
      </c>
      <c r="L377" s="99">
        <f t="shared" si="2433"/>
        <v>0.55400000000000005</v>
      </c>
      <c r="M377" s="47"/>
      <c r="N377" s="47"/>
      <c r="O377" s="100">
        <f t="shared" ref="O377:P377" si="2434">O376</f>
        <v>100.62</v>
      </c>
      <c r="P377" s="101" t="str">
        <f t="shared" si="2434"/>
        <v>2,29,560</v>
      </c>
      <c r="Q377" s="11" t="str">
        <f t="shared" si="2361"/>
        <v>2</v>
      </c>
      <c r="R377" s="11" t="str">
        <f t="shared" si="2362"/>
        <v>29,560</v>
      </c>
      <c r="S377" s="11">
        <f t="shared" si="2363"/>
        <v>4.1544444444444446E-2</v>
      </c>
      <c r="T377" s="14">
        <f t="shared" si="2364"/>
        <v>2421.9844878309709</v>
      </c>
      <c r="U377" s="39">
        <f t="shared" si="2365"/>
        <v>-100</v>
      </c>
      <c r="V377" s="105">
        <f t="shared" ref="V377:X377" si="2435">V376</f>
        <v>20.399999999999999</v>
      </c>
      <c r="W377" s="105">
        <f t="shared" si="2435"/>
        <v>1.5069999999999999</v>
      </c>
      <c r="X377" s="106">
        <f t="shared" si="2435"/>
        <v>1.504</v>
      </c>
      <c r="Y377" s="47"/>
      <c r="Z377" s="47"/>
      <c r="AA377" s="107">
        <f t="shared" ref="AA377:AB377" si="2436">AA376</f>
        <v>10.015000000000001</v>
      </c>
      <c r="AB377" s="108" t="str">
        <f t="shared" si="2436"/>
        <v>22,10,090</v>
      </c>
      <c r="AC377" s="11" t="str">
        <f t="shared" si="2368"/>
        <v>22</v>
      </c>
      <c r="AD377" s="11" t="str">
        <f t="shared" si="2369"/>
        <v>10,090</v>
      </c>
      <c r="AE377" s="11">
        <f t="shared" si="2370"/>
        <v>0.36946944444444441</v>
      </c>
      <c r="AF377" s="14">
        <f t="shared" si="2371"/>
        <v>27.106436406558959</v>
      </c>
      <c r="AG377" s="41">
        <f t="shared" si="2372"/>
        <v>-100</v>
      </c>
      <c r="AH377" s="105">
        <f t="shared" ref="AH377:AJ377" si="2437">AH376</f>
        <v>20.3</v>
      </c>
      <c r="AI377" s="105">
        <f t="shared" si="2437"/>
        <v>1.5089999999999999</v>
      </c>
      <c r="AJ377" s="105">
        <f t="shared" si="2437"/>
        <v>1.504</v>
      </c>
      <c r="AK377" s="53">
        <f t="shared" si="2409"/>
        <v>0</v>
      </c>
      <c r="AL377" s="47"/>
      <c r="AM377" s="54">
        <f t="shared" ref="AM377:AN377" si="2438">AM376</f>
        <v>5.0129999999999999</v>
      </c>
      <c r="AN377" s="101" t="str">
        <f t="shared" si="2438"/>
        <v>17,59,050</v>
      </c>
      <c r="AO377" s="11" t="str">
        <f t="shared" si="2376"/>
        <v>17</v>
      </c>
      <c r="AP377" s="11" t="str">
        <f t="shared" si="2377"/>
        <v>59,050</v>
      </c>
      <c r="AQ377" s="11">
        <f t="shared" si="2378"/>
        <v>0.29973611111111109</v>
      </c>
      <c r="AR377" s="14">
        <f t="shared" si="2379"/>
        <v>16.724711551827998</v>
      </c>
      <c r="AS377" s="41">
        <f t="shared" si="2380"/>
        <v>-100</v>
      </c>
      <c r="AT377" s="43" t="str">
        <f t="shared" si="2381"/>
        <v>NO CONFORME</v>
      </c>
      <c r="AU377" s="8" t="b">
        <f t="shared" si="2103"/>
        <v>1</v>
      </c>
      <c r="AV377" s="8" t="b">
        <f t="shared" si="2104"/>
        <v>0</v>
      </c>
      <c r="AW377" s="8" t="b">
        <f t="shared" si="2105"/>
        <v>1</v>
      </c>
      <c r="AX377" s="8" t="str">
        <f t="shared" si="2106"/>
        <v>Qcorrecto</v>
      </c>
      <c r="AY377" s="22" t="str">
        <f t="shared" si="2086"/>
        <v>aceptable</v>
      </c>
      <c r="AZ377" s="22" t="str">
        <f t="shared" si="2087"/>
        <v>aceptable</v>
      </c>
      <c r="BA377" s="22" t="str">
        <f t="shared" si="2107"/>
        <v>aceptable</v>
      </c>
      <c r="BB377" s="25" t="str">
        <f t="shared" si="2108"/>
        <v>NO CONFORME</v>
      </c>
      <c r="BC377" s="5" t="str">
        <f t="shared" si="2109"/>
        <v>NO CONFORME</v>
      </c>
      <c r="BD377" s="15">
        <f t="shared" si="2088"/>
        <v>-1</v>
      </c>
      <c r="BE377" s="15">
        <f t="shared" si="2089"/>
        <v>-1</v>
      </c>
      <c r="BF377" s="15">
        <f t="shared" si="2090"/>
        <v>-1</v>
      </c>
      <c r="BG377" s="15" t="str">
        <f t="shared" si="2091"/>
        <v>-1-1-1</v>
      </c>
      <c r="BH377" s="15" t="str">
        <f t="shared" si="2092"/>
        <v>SD</v>
      </c>
      <c r="BI377" s="15" t="str">
        <f t="shared" si="2093"/>
        <v>SI</v>
      </c>
      <c r="BJ377" s="15" t="b">
        <f t="shared" si="2094"/>
        <v>1</v>
      </c>
      <c r="BK377" s="15" t="str">
        <f t="shared" si="2095"/>
        <v>SIGIGUALES</v>
      </c>
      <c r="BL377" s="22" t="str">
        <f t="shared" si="2096"/>
        <v>NO CONFORME</v>
      </c>
    </row>
    <row r="378" spans="1:64" ht="15.75" thickBot="1" x14ac:dyDescent="0.3">
      <c r="A378" s="37">
        <v>370</v>
      </c>
      <c r="B378" s="93">
        <f t="shared" ref="B378:E378" si="2439">B377</f>
        <v>45919</v>
      </c>
      <c r="C378" s="93">
        <f t="shared" si="2439"/>
        <v>45919</v>
      </c>
      <c r="D378" s="94">
        <f t="shared" si="2439"/>
        <v>6</v>
      </c>
      <c r="E378" s="95">
        <f t="shared" si="2439"/>
        <v>15</v>
      </c>
      <c r="F378" s="13"/>
      <c r="G378" s="90"/>
      <c r="H378" s="97">
        <f t="shared" ref="H378:L378" si="2440">H377</f>
        <v>25.6</v>
      </c>
      <c r="I378" s="98">
        <f t="shared" si="2440"/>
        <v>0</v>
      </c>
      <c r="J378" s="99">
        <f t="shared" si="2440"/>
        <v>20.9</v>
      </c>
      <c r="K378" s="99">
        <f t="shared" si="2440"/>
        <v>7.883</v>
      </c>
      <c r="L378" s="99">
        <f t="shared" si="2440"/>
        <v>0.55400000000000005</v>
      </c>
      <c r="M378" s="45"/>
      <c r="N378" s="45"/>
      <c r="O378" s="100">
        <f t="shared" ref="O378:P378" si="2441">O377</f>
        <v>100.62</v>
      </c>
      <c r="P378" s="101" t="str">
        <f t="shared" si="2441"/>
        <v>2,29,560</v>
      </c>
      <c r="Q378" s="11" t="str">
        <f t="shared" si="2361"/>
        <v>2</v>
      </c>
      <c r="R378" s="11" t="str">
        <f t="shared" si="2362"/>
        <v>29,560</v>
      </c>
      <c r="S378" s="11">
        <f t="shared" si="2363"/>
        <v>4.1544444444444446E-2</v>
      </c>
      <c r="T378" s="14">
        <f t="shared" si="2364"/>
        <v>2421.9844878309709</v>
      </c>
      <c r="U378" s="39">
        <f t="shared" si="2365"/>
        <v>-100</v>
      </c>
      <c r="V378" s="105">
        <f t="shared" ref="V378:X378" si="2442">V377</f>
        <v>20.399999999999999</v>
      </c>
      <c r="W378" s="105">
        <f t="shared" si="2442"/>
        <v>1.5069999999999999</v>
      </c>
      <c r="X378" s="106">
        <f t="shared" si="2442"/>
        <v>1.504</v>
      </c>
      <c r="Y378" s="45"/>
      <c r="Z378" s="45"/>
      <c r="AA378" s="107">
        <f t="shared" ref="AA378:AB378" si="2443">AA377</f>
        <v>10.015000000000001</v>
      </c>
      <c r="AB378" s="108" t="str">
        <f t="shared" si="2443"/>
        <v>22,10,090</v>
      </c>
      <c r="AC378" s="11" t="str">
        <f t="shared" si="2368"/>
        <v>22</v>
      </c>
      <c r="AD378" s="11" t="str">
        <f t="shared" si="2369"/>
        <v>10,090</v>
      </c>
      <c r="AE378" s="11">
        <f t="shared" si="2370"/>
        <v>0.36946944444444441</v>
      </c>
      <c r="AF378" s="14">
        <f t="shared" si="2371"/>
        <v>27.106436406558959</v>
      </c>
      <c r="AG378" s="41">
        <f t="shared" si="2372"/>
        <v>-100</v>
      </c>
      <c r="AH378" s="105">
        <f t="shared" ref="AH378:AJ378" si="2444">AH377</f>
        <v>20.3</v>
      </c>
      <c r="AI378" s="105">
        <f t="shared" si="2444"/>
        <v>1.5089999999999999</v>
      </c>
      <c r="AJ378" s="105">
        <f t="shared" si="2444"/>
        <v>1.504</v>
      </c>
      <c r="AK378" s="53">
        <f t="shared" si="2409"/>
        <v>0</v>
      </c>
      <c r="AL378" s="45"/>
      <c r="AM378" s="54">
        <f t="shared" ref="AM378:AN378" si="2445">AM377</f>
        <v>5.0129999999999999</v>
      </c>
      <c r="AN378" s="101" t="str">
        <f t="shared" si="2445"/>
        <v>17,59,050</v>
      </c>
      <c r="AO378" s="11" t="str">
        <f t="shared" si="2376"/>
        <v>17</v>
      </c>
      <c r="AP378" s="11" t="str">
        <f t="shared" si="2377"/>
        <v>59,050</v>
      </c>
      <c r="AQ378" s="11">
        <f t="shared" si="2378"/>
        <v>0.29973611111111109</v>
      </c>
      <c r="AR378" s="14">
        <f t="shared" si="2379"/>
        <v>16.724711551827998</v>
      </c>
      <c r="AS378" s="41">
        <f t="shared" si="2380"/>
        <v>-100</v>
      </c>
      <c r="AT378" s="43" t="str">
        <f t="shared" si="2381"/>
        <v>NO CONFORME</v>
      </c>
      <c r="AU378" s="8" t="b">
        <f t="shared" si="2103"/>
        <v>1</v>
      </c>
      <c r="AV378" s="8" t="b">
        <f t="shared" si="2104"/>
        <v>0</v>
      </c>
      <c r="AW378" s="8" t="b">
        <f t="shared" si="2105"/>
        <v>1</v>
      </c>
      <c r="AX378" s="8" t="str">
        <f t="shared" si="2106"/>
        <v>Qcorrecto</v>
      </c>
      <c r="AY378" s="22" t="str">
        <f t="shared" si="2086"/>
        <v>aceptable</v>
      </c>
      <c r="AZ378" s="22" t="str">
        <f t="shared" si="2087"/>
        <v>aceptable</v>
      </c>
      <c r="BA378" s="22" t="str">
        <f t="shared" si="2107"/>
        <v>aceptable</v>
      </c>
      <c r="BB378" s="25" t="str">
        <f t="shared" si="2108"/>
        <v>NO CONFORME</v>
      </c>
      <c r="BC378" s="5" t="str">
        <f t="shared" si="2109"/>
        <v>NO CONFORME</v>
      </c>
      <c r="BD378" s="15">
        <f t="shared" si="2088"/>
        <v>-1</v>
      </c>
      <c r="BE378" s="15">
        <f t="shared" si="2089"/>
        <v>-1</v>
      </c>
      <c r="BF378" s="15">
        <f t="shared" si="2090"/>
        <v>-1</v>
      </c>
      <c r="BG378" s="15" t="str">
        <f t="shared" si="2091"/>
        <v>-1-1-1</v>
      </c>
      <c r="BH378" s="15" t="str">
        <f t="shared" si="2092"/>
        <v>SD</v>
      </c>
      <c r="BI378" s="15" t="str">
        <f t="shared" si="2093"/>
        <v>SI</v>
      </c>
      <c r="BJ378" s="15" t="b">
        <f t="shared" si="2094"/>
        <v>1</v>
      </c>
      <c r="BK378" s="15" t="str">
        <f t="shared" si="2095"/>
        <v>SIGIGUALES</v>
      </c>
      <c r="BL378" s="22" t="str">
        <f t="shared" si="2096"/>
        <v>NO CONFORME</v>
      </c>
    </row>
    <row r="379" spans="1:64" ht="15.75" thickBot="1" x14ac:dyDescent="0.3">
      <c r="A379" s="37">
        <v>371</v>
      </c>
      <c r="B379" s="93">
        <f t="shared" ref="B379:E379" si="2446">B378</f>
        <v>45919</v>
      </c>
      <c r="C379" s="93">
        <f t="shared" si="2446"/>
        <v>45919</v>
      </c>
      <c r="D379" s="94">
        <f t="shared" si="2446"/>
        <v>6</v>
      </c>
      <c r="E379" s="95">
        <f t="shared" si="2446"/>
        <v>15</v>
      </c>
      <c r="F379" s="13"/>
      <c r="G379" s="90"/>
      <c r="H379" s="97">
        <f t="shared" ref="H379:L379" si="2447">H378</f>
        <v>25.6</v>
      </c>
      <c r="I379" s="98">
        <f t="shared" si="2447"/>
        <v>0</v>
      </c>
      <c r="J379" s="99">
        <f t="shared" si="2447"/>
        <v>20.9</v>
      </c>
      <c r="K379" s="99">
        <f t="shared" si="2447"/>
        <v>7.883</v>
      </c>
      <c r="L379" s="99">
        <f t="shared" si="2447"/>
        <v>0.55400000000000005</v>
      </c>
      <c r="M379" s="45"/>
      <c r="N379" s="45"/>
      <c r="O379" s="100">
        <f t="shared" ref="O379:P379" si="2448">O378</f>
        <v>100.62</v>
      </c>
      <c r="P379" s="101" t="str">
        <f t="shared" si="2448"/>
        <v>2,29,560</v>
      </c>
      <c r="Q379" s="11" t="str">
        <f t="shared" si="2361"/>
        <v>2</v>
      </c>
      <c r="R379" s="11" t="str">
        <f t="shared" si="2362"/>
        <v>29,560</v>
      </c>
      <c r="S379" s="11">
        <f t="shared" si="2363"/>
        <v>4.1544444444444446E-2</v>
      </c>
      <c r="T379" s="14">
        <f t="shared" si="2364"/>
        <v>2421.9844878309709</v>
      </c>
      <c r="U379" s="39">
        <f t="shared" si="2365"/>
        <v>-100</v>
      </c>
      <c r="V379" s="105">
        <f t="shared" ref="V379:X379" si="2449">V378</f>
        <v>20.399999999999999</v>
      </c>
      <c r="W379" s="105">
        <f t="shared" si="2449"/>
        <v>1.5069999999999999</v>
      </c>
      <c r="X379" s="106">
        <f t="shared" si="2449"/>
        <v>1.504</v>
      </c>
      <c r="Y379" s="45"/>
      <c r="Z379" s="45"/>
      <c r="AA379" s="107">
        <f t="shared" ref="AA379:AB379" si="2450">AA378</f>
        <v>10.015000000000001</v>
      </c>
      <c r="AB379" s="108" t="str">
        <f t="shared" si="2450"/>
        <v>22,10,090</v>
      </c>
      <c r="AC379" s="11" t="str">
        <f t="shared" si="2368"/>
        <v>22</v>
      </c>
      <c r="AD379" s="11" t="str">
        <f t="shared" si="2369"/>
        <v>10,090</v>
      </c>
      <c r="AE379" s="11">
        <f t="shared" si="2370"/>
        <v>0.36946944444444441</v>
      </c>
      <c r="AF379" s="14">
        <f t="shared" si="2371"/>
        <v>27.106436406558959</v>
      </c>
      <c r="AG379" s="41">
        <f t="shared" si="2372"/>
        <v>-100</v>
      </c>
      <c r="AH379" s="105">
        <f t="shared" ref="AH379:AJ379" si="2451">AH378</f>
        <v>20.3</v>
      </c>
      <c r="AI379" s="105">
        <f t="shared" si="2451"/>
        <v>1.5089999999999999</v>
      </c>
      <c r="AJ379" s="105">
        <f t="shared" si="2451"/>
        <v>1.504</v>
      </c>
      <c r="AK379" s="53">
        <f t="shared" si="2409"/>
        <v>0</v>
      </c>
      <c r="AL379" s="45"/>
      <c r="AM379" s="54">
        <f t="shared" ref="AM379:AN379" si="2452">AM378</f>
        <v>5.0129999999999999</v>
      </c>
      <c r="AN379" s="101" t="str">
        <f t="shared" si="2452"/>
        <v>17,59,050</v>
      </c>
      <c r="AO379" s="11" t="str">
        <f t="shared" si="2376"/>
        <v>17</v>
      </c>
      <c r="AP379" s="11" t="str">
        <f t="shared" si="2377"/>
        <v>59,050</v>
      </c>
      <c r="AQ379" s="11">
        <f t="shared" si="2378"/>
        <v>0.29973611111111109</v>
      </c>
      <c r="AR379" s="14">
        <f t="shared" si="2379"/>
        <v>16.724711551827998</v>
      </c>
      <c r="AS379" s="41">
        <f t="shared" si="2380"/>
        <v>-100</v>
      </c>
      <c r="AT379" s="43" t="str">
        <f t="shared" si="2381"/>
        <v>NO CONFORME</v>
      </c>
      <c r="AU379" s="8" t="b">
        <f t="shared" si="2103"/>
        <v>1</v>
      </c>
      <c r="AV379" s="8" t="b">
        <f t="shared" si="2104"/>
        <v>0</v>
      </c>
      <c r="AW379" s="8" t="b">
        <f t="shared" si="2105"/>
        <v>1</v>
      </c>
      <c r="AX379" s="8" t="str">
        <f t="shared" si="2106"/>
        <v>Qcorrecto</v>
      </c>
      <c r="AY379" s="22" t="str">
        <f t="shared" si="2086"/>
        <v>aceptable</v>
      </c>
      <c r="AZ379" s="22" t="str">
        <f t="shared" si="2087"/>
        <v>aceptable</v>
      </c>
      <c r="BA379" s="22" t="str">
        <f t="shared" si="2107"/>
        <v>aceptable</v>
      </c>
      <c r="BB379" s="25" t="str">
        <f t="shared" si="2108"/>
        <v>NO CONFORME</v>
      </c>
      <c r="BC379" s="5" t="str">
        <f t="shared" si="2109"/>
        <v>NO CONFORME</v>
      </c>
      <c r="BD379" s="15">
        <f t="shared" si="2088"/>
        <v>-1</v>
      </c>
      <c r="BE379" s="15">
        <f t="shared" si="2089"/>
        <v>-1</v>
      </c>
      <c r="BF379" s="15">
        <f t="shared" si="2090"/>
        <v>-1</v>
      </c>
      <c r="BG379" s="15" t="str">
        <f t="shared" si="2091"/>
        <v>-1-1-1</v>
      </c>
      <c r="BH379" s="15" t="str">
        <f t="shared" si="2092"/>
        <v>SD</v>
      </c>
      <c r="BI379" s="15" t="str">
        <f t="shared" si="2093"/>
        <v>SI</v>
      </c>
      <c r="BJ379" s="15" t="b">
        <f t="shared" si="2094"/>
        <v>1</v>
      </c>
      <c r="BK379" s="15" t="str">
        <f t="shared" si="2095"/>
        <v>SIGIGUALES</v>
      </c>
      <c r="BL379" s="22" t="str">
        <f t="shared" si="2096"/>
        <v>NO CONFORME</v>
      </c>
    </row>
    <row r="380" spans="1:64" ht="15.75" thickBot="1" x14ac:dyDescent="0.3">
      <c r="A380" s="37">
        <v>372</v>
      </c>
      <c r="B380" s="93">
        <f t="shared" ref="B380:E380" si="2453">B379</f>
        <v>45919</v>
      </c>
      <c r="C380" s="93">
        <f t="shared" si="2453"/>
        <v>45919</v>
      </c>
      <c r="D380" s="94">
        <f t="shared" si="2453"/>
        <v>6</v>
      </c>
      <c r="E380" s="95">
        <f t="shared" si="2453"/>
        <v>15</v>
      </c>
      <c r="F380" s="13"/>
      <c r="G380" s="90"/>
      <c r="H380" s="97">
        <f t="shared" ref="H380:L380" si="2454">H379</f>
        <v>25.6</v>
      </c>
      <c r="I380" s="98">
        <f t="shared" si="2454"/>
        <v>0</v>
      </c>
      <c r="J380" s="99">
        <f t="shared" si="2454"/>
        <v>20.9</v>
      </c>
      <c r="K380" s="99">
        <f t="shared" si="2454"/>
        <v>7.883</v>
      </c>
      <c r="L380" s="99">
        <f t="shared" si="2454"/>
        <v>0.55400000000000005</v>
      </c>
      <c r="M380" s="45"/>
      <c r="N380" s="45"/>
      <c r="O380" s="100">
        <f t="shared" ref="O380:P380" si="2455">O379</f>
        <v>100.62</v>
      </c>
      <c r="P380" s="101" t="str">
        <f t="shared" si="2455"/>
        <v>2,29,560</v>
      </c>
      <c r="Q380" s="11" t="str">
        <f t="shared" si="2361"/>
        <v>2</v>
      </c>
      <c r="R380" s="11" t="str">
        <f t="shared" si="2362"/>
        <v>29,560</v>
      </c>
      <c r="S380" s="11">
        <f t="shared" si="2363"/>
        <v>4.1544444444444446E-2</v>
      </c>
      <c r="T380" s="14">
        <f t="shared" si="2364"/>
        <v>2421.9844878309709</v>
      </c>
      <c r="U380" s="39">
        <f t="shared" si="2365"/>
        <v>-100</v>
      </c>
      <c r="V380" s="105">
        <f t="shared" ref="V380:X380" si="2456">V379</f>
        <v>20.399999999999999</v>
      </c>
      <c r="W380" s="105">
        <f t="shared" si="2456"/>
        <v>1.5069999999999999</v>
      </c>
      <c r="X380" s="106">
        <f t="shared" si="2456"/>
        <v>1.504</v>
      </c>
      <c r="Y380" s="45"/>
      <c r="Z380" s="45"/>
      <c r="AA380" s="107">
        <f t="shared" ref="AA380:AB380" si="2457">AA379</f>
        <v>10.015000000000001</v>
      </c>
      <c r="AB380" s="108" t="str">
        <f t="shared" si="2457"/>
        <v>22,10,090</v>
      </c>
      <c r="AC380" s="11" t="str">
        <f t="shared" si="2368"/>
        <v>22</v>
      </c>
      <c r="AD380" s="11" t="str">
        <f t="shared" si="2369"/>
        <v>10,090</v>
      </c>
      <c r="AE380" s="11">
        <f t="shared" si="2370"/>
        <v>0.36946944444444441</v>
      </c>
      <c r="AF380" s="14">
        <f t="shared" si="2371"/>
        <v>27.106436406558959</v>
      </c>
      <c r="AG380" s="41">
        <f t="shared" si="2372"/>
        <v>-100</v>
      </c>
      <c r="AH380" s="105">
        <f t="shared" ref="AH380:AJ380" si="2458">AH379</f>
        <v>20.3</v>
      </c>
      <c r="AI380" s="105">
        <f t="shared" si="2458"/>
        <v>1.5089999999999999</v>
      </c>
      <c r="AJ380" s="105">
        <f t="shared" si="2458"/>
        <v>1.504</v>
      </c>
      <c r="AK380" s="53">
        <f t="shared" si="2409"/>
        <v>0</v>
      </c>
      <c r="AL380" s="45"/>
      <c r="AM380" s="54">
        <f t="shared" ref="AM380:AN380" si="2459">AM379</f>
        <v>5.0129999999999999</v>
      </c>
      <c r="AN380" s="101" t="str">
        <f t="shared" si="2459"/>
        <v>17,59,050</v>
      </c>
      <c r="AO380" s="11" t="str">
        <f t="shared" si="2376"/>
        <v>17</v>
      </c>
      <c r="AP380" s="11" t="str">
        <f t="shared" si="2377"/>
        <v>59,050</v>
      </c>
      <c r="AQ380" s="11">
        <f t="shared" si="2378"/>
        <v>0.29973611111111109</v>
      </c>
      <c r="AR380" s="14">
        <f t="shared" si="2379"/>
        <v>16.724711551827998</v>
      </c>
      <c r="AS380" s="41">
        <f t="shared" si="2380"/>
        <v>-100</v>
      </c>
      <c r="AT380" s="43" t="str">
        <f t="shared" si="2381"/>
        <v>NO CONFORME</v>
      </c>
      <c r="AU380" s="8" t="b">
        <f t="shared" si="2103"/>
        <v>1</v>
      </c>
      <c r="AV380" s="8" t="b">
        <f t="shared" si="2104"/>
        <v>0</v>
      </c>
      <c r="AW380" s="8" t="b">
        <f t="shared" si="2105"/>
        <v>1</v>
      </c>
      <c r="AX380" s="8" t="str">
        <f t="shared" si="2106"/>
        <v>Qcorrecto</v>
      </c>
      <c r="AY380" s="22" t="str">
        <f t="shared" si="2086"/>
        <v>aceptable</v>
      </c>
      <c r="AZ380" s="22" t="str">
        <f t="shared" si="2087"/>
        <v>aceptable</v>
      </c>
      <c r="BA380" s="22" t="str">
        <f t="shared" si="2107"/>
        <v>aceptable</v>
      </c>
      <c r="BB380" s="25" t="str">
        <f t="shared" si="2108"/>
        <v>NO CONFORME</v>
      </c>
      <c r="BC380" s="5" t="str">
        <f t="shared" si="2109"/>
        <v>NO CONFORME</v>
      </c>
      <c r="BD380" s="15">
        <f t="shared" si="2088"/>
        <v>-1</v>
      </c>
      <c r="BE380" s="15">
        <f t="shared" si="2089"/>
        <v>-1</v>
      </c>
      <c r="BF380" s="15">
        <f t="shared" si="2090"/>
        <v>-1</v>
      </c>
      <c r="BG380" s="15" t="str">
        <f t="shared" si="2091"/>
        <v>-1-1-1</v>
      </c>
      <c r="BH380" s="15" t="str">
        <f t="shared" si="2092"/>
        <v>SD</v>
      </c>
      <c r="BI380" s="15" t="str">
        <f t="shared" si="2093"/>
        <v>SI</v>
      </c>
      <c r="BJ380" s="15" t="b">
        <f t="shared" si="2094"/>
        <v>1</v>
      </c>
      <c r="BK380" s="15" t="str">
        <f t="shared" si="2095"/>
        <v>SIGIGUALES</v>
      </c>
      <c r="BL380" s="22" t="str">
        <f t="shared" si="2096"/>
        <v>NO CONFORME</v>
      </c>
    </row>
    <row r="381" spans="1:64" ht="15.75" thickBot="1" x14ac:dyDescent="0.3">
      <c r="A381" s="37">
        <v>373</v>
      </c>
      <c r="B381" s="93">
        <f t="shared" ref="B381:E381" si="2460">B380</f>
        <v>45919</v>
      </c>
      <c r="C381" s="93">
        <f t="shared" si="2460"/>
        <v>45919</v>
      </c>
      <c r="D381" s="94">
        <f t="shared" si="2460"/>
        <v>6</v>
      </c>
      <c r="E381" s="95">
        <f t="shared" si="2460"/>
        <v>15</v>
      </c>
      <c r="F381" s="13"/>
      <c r="G381" s="90"/>
      <c r="H381" s="97">
        <f t="shared" ref="H381:L381" si="2461">H380</f>
        <v>25.6</v>
      </c>
      <c r="I381" s="98">
        <f t="shared" si="2461"/>
        <v>0</v>
      </c>
      <c r="J381" s="99">
        <f t="shared" si="2461"/>
        <v>20.9</v>
      </c>
      <c r="K381" s="99">
        <f t="shared" si="2461"/>
        <v>7.883</v>
      </c>
      <c r="L381" s="99">
        <f t="shared" si="2461"/>
        <v>0.55400000000000005</v>
      </c>
      <c r="M381" s="45"/>
      <c r="N381" s="45"/>
      <c r="O381" s="100">
        <f t="shared" ref="O381:P381" si="2462">O380</f>
        <v>100.62</v>
      </c>
      <c r="P381" s="101" t="str">
        <f t="shared" si="2462"/>
        <v>2,29,560</v>
      </c>
      <c r="Q381" s="11" t="str">
        <f t="shared" si="2361"/>
        <v>2</v>
      </c>
      <c r="R381" s="11" t="str">
        <f t="shared" si="2362"/>
        <v>29,560</v>
      </c>
      <c r="S381" s="11">
        <f t="shared" si="2363"/>
        <v>4.1544444444444446E-2</v>
      </c>
      <c r="T381" s="14">
        <f t="shared" si="2364"/>
        <v>2421.9844878309709</v>
      </c>
      <c r="U381" s="39">
        <f t="shared" si="2365"/>
        <v>-100</v>
      </c>
      <c r="V381" s="105">
        <f t="shared" ref="V381:X381" si="2463">V380</f>
        <v>20.399999999999999</v>
      </c>
      <c r="W381" s="105">
        <f t="shared" si="2463"/>
        <v>1.5069999999999999</v>
      </c>
      <c r="X381" s="106">
        <f t="shared" si="2463"/>
        <v>1.504</v>
      </c>
      <c r="Y381" s="45"/>
      <c r="Z381" s="45"/>
      <c r="AA381" s="107">
        <f t="shared" ref="AA381:AB381" si="2464">AA380</f>
        <v>10.015000000000001</v>
      </c>
      <c r="AB381" s="108" t="str">
        <f t="shared" si="2464"/>
        <v>22,10,090</v>
      </c>
      <c r="AC381" s="11" t="str">
        <f t="shared" si="2368"/>
        <v>22</v>
      </c>
      <c r="AD381" s="11" t="str">
        <f t="shared" si="2369"/>
        <v>10,090</v>
      </c>
      <c r="AE381" s="11">
        <f t="shared" si="2370"/>
        <v>0.36946944444444441</v>
      </c>
      <c r="AF381" s="14">
        <f t="shared" si="2371"/>
        <v>27.106436406558959</v>
      </c>
      <c r="AG381" s="41">
        <f t="shared" si="2372"/>
        <v>-100</v>
      </c>
      <c r="AH381" s="105">
        <f t="shared" ref="AH381:AJ381" si="2465">AH380</f>
        <v>20.3</v>
      </c>
      <c r="AI381" s="105">
        <f t="shared" si="2465"/>
        <v>1.5089999999999999</v>
      </c>
      <c r="AJ381" s="105">
        <f t="shared" si="2465"/>
        <v>1.504</v>
      </c>
      <c r="AK381" s="53">
        <f t="shared" si="2409"/>
        <v>0</v>
      </c>
      <c r="AL381" s="45"/>
      <c r="AM381" s="54">
        <f t="shared" ref="AM381:AN381" si="2466">AM380</f>
        <v>5.0129999999999999</v>
      </c>
      <c r="AN381" s="101" t="str">
        <f t="shared" si="2466"/>
        <v>17,59,050</v>
      </c>
      <c r="AO381" s="11" t="str">
        <f t="shared" si="2376"/>
        <v>17</v>
      </c>
      <c r="AP381" s="11" t="str">
        <f t="shared" si="2377"/>
        <v>59,050</v>
      </c>
      <c r="AQ381" s="11">
        <f t="shared" si="2378"/>
        <v>0.29973611111111109</v>
      </c>
      <c r="AR381" s="14">
        <f t="shared" si="2379"/>
        <v>16.724711551827998</v>
      </c>
      <c r="AS381" s="41">
        <f t="shared" si="2380"/>
        <v>-100</v>
      </c>
      <c r="AT381" s="43" t="str">
        <f t="shared" si="2381"/>
        <v>NO CONFORME</v>
      </c>
      <c r="AU381" s="8" t="b">
        <f t="shared" si="2103"/>
        <v>1</v>
      </c>
      <c r="AV381" s="8" t="b">
        <f t="shared" si="2104"/>
        <v>0</v>
      </c>
      <c r="AW381" s="8" t="b">
        <f t="shared" si="2105"/>
        <v>1</v>
      </c>
      <c r="AX381" s="8" t="str">
        <f t="shared" si="2106"/>
        <v>Qcorrecto</v>
      </c>
      <c r="AY381" s="22" t="str">
        <f t="shared" si="2086"/>
        <v>aceptable</v>
      </c>
      <c r="AZ381" s="22" t="str">
        <f t="shared" si="2087"/>
        <v>aceptable</v>
      </c>
      <c r="BA381" s="22" t="str">
        <f t="shared" si="2107"/>
        <v>aceptable</v>
      </c>
      <c r="BB381" s="25" t="str">
        <f t="shared" si="2108"/>
        <v>NO CONFORME</v>
      </c>
      <c r="BC381" s="5" t="str">
        <f t="shared" si="2109"/>
        <v>NO CONFORME</v>
      </c>
      <c r="BD381" s="15">
        <f t="shared" si="2088"/>
        <v>-1</v>
      </c>
      <c r="BE381" s="15">
        <f t="shared" si="2089"/>
        <v>-1</v>
      </c>
      <c r="BF381" s="15">
        <f t="shared" si="2090"/>
        <v>-1</v>
      </c>
      <c r="BG381" s="15" t="str">
        <f t="shared" si="2091"/>
        <v>-1-1-1</v>
      </c>
      <c r="BH381" s="15" t="str">
        <f t="shared" si="2092"/>
        <v>SD</v>
      </c>
      <c r="BI381" s="15" t="str">
        <f t="shared" si="2093"/>
        <v>SI</v>
      </c>
      <c r="BJ381" s="15" t="b">
        <f t="shared" si="2094"/>
        <v>1</v>
      </c>
      <c r="BK381" s="15" t="str">
        <f t="shared" si="2095"/>
        <v>SIGIGUALES</v>
      </c>
      <c r="BL381" s="22" t="str">
        <f t="shared" si="2096"/>
        <v>NO CONFORME</v>
      </c>
    </row>
    <row r="382" spans="1:64" ht="15.75" thickBot="1" x14ac:dyDescent="0.3">
      <c r="A382" s="37">
        <v>374</v>
      </c>
      <c r="B382" s="93">
        <f t="shared" ref="B382:E382" si="2467">B381</f>
        <v>45919</v>
      </c>
      <c r="C382" s="93">
        <f t="shared" si="2467"/>
        <v>45919</v>
      </c>
      <c r="D382" s="94">
        <f t="shared" si="2467"/>
        <v>6</v>
      </c>
      <c r="E382" s="95">
        <f t="shared" si="2467"/>
        <v>15</v>
      </c>
      <c r="F382" s="13"/>
      <c r="G382" s="90"/>
      <c r="H382" s="97">
        <f t="shared" ref="H382:L382" si="2468">H381</f>
        <v>25.6</v>
      </c>
      <c r="I382" s="98">
        <f t="shared" si="2468"/>
        <v>0</v>
      </c>
      <c r="J382" s="99">
        <f t="shared" si="2468"/>
        <v>20.9</v>
      </c>
      <c r="K382" s="99">
        <f t="shared" si="2468"/>
        <v>7.883</v>
      </c>
      <c r="L382" s="99">
        <f t="shared" si="2468"/>
        <v>0.55400000000000005</v>
      </c>
      <c r="M382" s="45"/>
      <c r="N382" s="45"/>
      <c r="O382" s="100">
        <f t="shared" ref="O382:P382" si="2469">O381</f>
        <v>100.62</v>
      </c>
      <c r="P382" s="101" t="str">
        <f t="shared" si="2469"/>
        <v>2,29,560</v>
      </c>
      <c r="Q382" s="11" t="str">
        <f t="shared" si="2361"/>
        <v>2</v>
      </c>
      <c r="R382" s="11" t="str">
        <f t="shared" si="2362"/>
        <v>29,560</v>
      </c>
      <c r="S382" s="11">
        <f t="shared" si="2363"/>
        <v>4.1544444444444446E-2</v>
      </c>
      <c r="T382" s="14">
        <f t="shared" si="2364"/>
        <v>2421.9844878309709</v>
      </c>
      <c r="U382" s="39">
        <f t="shared" si="2365"/>
        <v>-100</v>
      </c>
      <c r="V382" s="105">
        <f t="shared" ref="V382:X382" si="2470">V381</f>
        <v>20.399999999999999</v>
      </c>
      <c r="W382" s="105">
        <f t="shared" si="2470"/>
        <v>1.5069999999999999</v>
      </c>
      <c r="X382" s="106">
        <f t="shared" si="2470"/>
        <v>1.504</v>
      </c>
      <c r="Y382" s="45"/>
      <c r="Z382" s="45"/>
      <c r="AA382" s="107">
        <f t="shared" ref="AA382:AB382" si="2471">AA381</f>
        <v>10.015000000000001</v>
      </c>
      <c r="AB382" s="108" t="str">
        <f t="shared" si="2471"/>
        <v>22,10,090</v>
      </c>
      <c r="AC382" s="11" t="str">
        <f t="shared" si="2368"/>
        <v>22</v>
      </c>
      <c r="AD382" s="11" t="str">
        <f t="shared" si="2369"/>
        <v>10,090</v>
      </c>
      <c r="AE382" s="11">
        <f t="shared" si="2370"/>
        <v>0.36946944444444441</v>
      </c>
      <c r="AF382" s="14">
        <f t="shared" si="2371"/>
        <v>27.106436406558959</v>
      </c>
      <c r="AG382" s="41">
        <f t="shared" si="2372"/>
        <v>-100</v>
      </c>
      <c r="AH382" s="105">
        <f t="shared" ref="AH382:AJ382" si="2472">AH381</f>
        <v>20.3</v>
      </c>
      <c r="AI382" s="105">
        <f t="shared" si="2472"/>
        <v>1.5089999999999999</v>
      </c>
      <c r="AJ382" s="105">
        <f t="shared" si="2472"/>
        <v>1.504</v>
      </c>
      <c r="AK382" s="53">
        <f t="shared" si="2409"/>
        <v>0</v>
      </c>
      <c r="AL382" s="45"/>
      <c r="AM382" s="54">
        <f t="shared" ref="AM382:AN382" si="2473">AM381</f>
        <v>5.0129999999999999</v>
      </c>
      <c r="AN382" s="101" t="str">
        <f t="shared" si="2473"/>
        <v>17,59,050</v>
      </c>
      <c r="AO382" s="11" t="str">
        <f t="shared" si="2376"/>
        <v>17</v>
      </c>
      <c r="AP382" s="11" t="str">
        <f t="shared" si="2377"/>
        <v>59,050</v>
      </c>
      <c r="AQ382" s="11">
        <f t="shared" si="2378"/>
        <v>0.29973611111111109</v>
      </c>
      <c r="AR382" s="14">
        <f t="shared" si="2379"/>
        <v>16.724711551827998</v>
      </c>
      <c r="AS382" s="41">
        <f t="shared" si="2380"/>
        <v>-100</v>
      </c>
      <c r="AT382" s="43" t="str">
        <f t="shared" si="2381"/>
        <v>NO CONFORME</v>
      </c>
      <c r="AU382" s="8" t="b">
        <f t="shared" si="2103"/>
        <v>1</v>
      </c>
      <c r="AV382" s="8" t="b">
        <f t="shared" si="2104"/>
        <v>0</v>
      </c>
      <c r="AW382" s="8" t="b">
        <f t="shared" si="2105"/>
        <v>1</v>
      </c>
      <c r="AX382" s="8" t="str">
        <f t="shared" si="2106"/>
        <v>Qcorrecto</v>
      </c>
      <c r="AY382" s="22" t="str">
        <f t="shared" si="2086"/>
        <v>aceptable</v>
      </c>
      <c r="AZ382" s="22" t="str">
        <f t="shared" si="2087"/>
        <v>aceptable</v>
      </c>
      <c r="BA382" s="22" t="str">
        <f t="shared" si="2107"/>
        <v>aceptable</v>
      </c>
      <c r="BB382" s="25" t="str">
        <f t="shared" si="2108"/>
        <v>NO CONFORME</v>
      </c>
      <c r="BC382" s="5" t="str">
        <f t="shared" si="2109"/>
        <v>NO CONFORME</v>
      </c>
      <c r="BD382" s="15">
        <f t="shared" si="2088"/>
        <v>-1</v>
      </c>
      <c r="BE382" s="15">
        <f t="shared" si="2089"/>
        <v>-1</v>
      </c>
      <c r="BF382" s="15">
        <f t="shared" si="2090"/>
        <v>-1</v>
      </c>
      <c r="BG382" s="15" t="str">
        <f t="shared" si="2091"/>
        <v>-1-1-1</v>
      </c>
      <c r="BH382" s="15" t="str">
        <f t="shared" si="2092"/>
        <v>SD</v>
      </c>
      <c r="BI382" s="15" t="str">
        <f t="shared" si="2093"/>
        <v>SI</v>
      </c>
      <c r="BJ382" s="15" t="b">
        <f t="shared" si="2094"/>
        <v>1</v>
      </c>
      <c r="BK382" s="15" t="str">
        <f t="shared" si="2095"/>
        <v>SIGIGUALES</v>
      </c>
      <c r="BL382" s="22" t="str">
        <f t="shared" si="2096"/>
        <v>NO CONFORME</v>
      </c>
    </row>
    <row r="383" spans="1:64" ht="15.75" thickBot="1" x14ac:dyDescent="0.3">
      <c r="A383" s="37">
        <v>375</v>
      </c>
      <c r="B383" s="93">
        <f t="shared" ref="B383:E383" si="2474">B382</f>
        <v>45919</v>
      </c>
      <c r="C383" s="93">
        <f t="shared" si="2474"/>
        <v>45919</v>
      </c>
      <c r="D383" s="94">
        <f t="shared" si="2474"/>
        <v>6</v>
      </c>
      <c r="E383" s="95">
        <f t="shared" si="2474"/>
        <v>15</v>
      </c>
      <c r="F383" s="13"/>
      <c r="G383" s="90"/>
      <c r="H383" s="97">
        <f t="shared" ref="H383:L383" si="2475">H382</f>
        <v>25.6</v>
      </c>
      <c r="I383" s="98">
        <f t="shared" si="2475"/>
        <v>0</v>
      </c>
      <c r="J383" s="99">
        <f t="shared" si="2475"/>
        <v>20.9</v>
      </c>
      <c r="K383" s="99">
        <f t="shared" si="2475"/>
        <v>7.883</v>
      </c>
      <c r="L383" s="99">
        <f t="shared" si="2475"/>
        <v>0.55400000000000005</v>
      </c>
      <c r="M383" s="45"/>
      <c r="N383" s="45"/>
      <c r="O383" s="100">
        <f t="shared" ref="O383:P383" si="2476">O382</f>
        <v>100.62</v>
      </c>
      <c r="P383" s="101" t="str">
        <f t="shared" si="2476"/>
        <v>2,29,560</v>
      </c>
      <c r="Q383" s="11" t="str">
        <f t="shared" si="2361"/>
        <v>2</v>
      </c>
      <c r="R383" s="11" t="str">
        <f t="shared" si="2362"/>
        <v>29,560</v>
      </c>
      <c r="S383" s="11">
        <f t="shared" si="2363"/>
        <v>4.1544444444444446E-2</v>
      </c>
      <c r="T383" s="14">
        <f t="shared" si="2364"/>
        <v>2421.9844878309709</v>
      </c>
      <c r="U383" s="39">
        <f t="shared" si="2365"/>
        <v>-100</v>
      </c>
      <c r="V383" s="105">
        <f t="shared" ref="V383:X383" si="2477">V382</f>
        <v>20.399999999999999</v>
      </c>
      <c r="W383" s="105">
        <f t="shared" si="2477"/>
        <v>1.5069999999999999</v>
      </c>
      <c r="X383" s="106">
        <f t="shared" si="2477"/>
        <v>1.504</v>
      </c>
      <c r="Y383" s="45"/>
      <c r="Z383" s="45"/>
      <c r="AA383" s="107">
        <f t="shared" ref="AA383:AB383" si="2478">AA382</f>
        <v>10.015000000000001</v>
      </c>
      <c r="AB383" s="108" t="str">
        <f t="shared" si="2478"/>
        <v>22,10,090</v>
      </c>
      <c r="AC383" s="11" t="str">
        <f t="shared" si="2368"/>
        <v>22</v>
      </c>
      <c r="AD383" s="11" t="str">
        <f t="shared" si="2369"/>
        <v>10,090</v>
      </c>
      <c r="AE383" s="11">
        <f t="shared" si="2370"/>
        <v>0.36946944444444441</v>
      </c>
      <c r="AF383" s="14">
        <f t="shared" si="2371"/>
        <v>27.106436406558959</v>
      </c>
      <c r="AG383" s="41">
        <f t="shared" si="2372"/>
        <v>-100</v>
      </c>
      <c r="AH383" s="105">
        <f t="shared" ref="AH383:AJ383" si="2479">AH382</f>
        <v>20.3</v>
      </c>
      <c r="AI383" s="105">
        <f t="shared" si="2479"/>
        <v>1.5089999999999999</v>
      </c>
      <c r="AJ383" s="105">
        <f t="shared" si="2479"/>
        <v>1.504</v>
      </c>
      <c r="AK383" s="53">
        <f t="shared" si="2409"/>
        <v>0</v>
      </c>
      <c r="AL383" s="45"/>
      <c r="AM383" s="54">
        <f t="shared" ref="AM383:AN383" si="2480">AM382</f>
        <v>5.0129999999999999</v>
      </c>
      <c r="AN383" s="101" t="str">
        <f t="shared" si="2480"/>
        <v>17,59,050</v>
      </c>
      <c r="AO383" s="11" t="str">
        <f t="shared" si="2376"/>
        <v>17</v>
      </c>
      <c r="AP383" s="11" t="str">
        <f t="shared" si="2377"/>
        <v>59,050</v>
      </c>
      <c r="AQ383" s="11">
        <f t="shared" si="2378"/>
        <v>0.29973611111111109</v>
      </c>
      <c r="AR383" s="14">
        <f t="shared" si="2379"/>
        <v>16.724711551827998</v>
      </c>
      <c r="AS383" s="41">
        <f t="shared" si="2380"/>
        <v>-100</v>
      </c>
      <c r="AT383" s="43" t="str">
        <f t="shared" si="2381"/>
        <v>NO CONFORME</v>
      </c>
      <c r="AU383" s="8" t="b">
        <f t="shared" si="2103"/>
        <v>1</v>
      </c>
      <c r="AV383" s="8" t="b">
        <f t="shared" si="2104"/>
        <v>0</v>
      </c>
      <c r="AW383" s="8" t="b">
        <f t="shared" si="2105"/>
        <v>1</v>
      </c>
      <c r="AX383" s="8" t="str">
        <f t="shared" si="2106"/>
        <v>Qcorrecto</v>
      </c>
      <c r="AY383" s="22" t="str">
        <f t="shared" si="2086"/>
        <v>aceptable</v>
      </c>
      <c r="AZ383" s="22" t="str">
        <f t="shared" si="2087"/>
        <v>aceptable</v>
      </c>
      <c r="BA383" s="22" t="str">
        <f t="shared" si="2107"/>
        <v>aceptable</v>
      </c>
      <c r="BB383" s="25" t="str">
        <f t="shared" si="2108"/>
        <v>NO CONFORME</v>
      </c>
      <c r="BC383" s="5" t="str">
        <f t="shared" si="2109"/>
        <v>NO CONFORME</v>
      </c>
      <c r="BD383" s="15">
        <f t="shared" si="2088"/>
        <v>-1</v>
      </c>
      <c r="BE383" s="15">
        <f t="shared" si="2089"/>
        <v>-1</v>
      </c>
      <c r="BF383" s="15">
        <f t="shared" si="2090"/>
        <v>-1</v>
      </c>
      <c r="BG383" s="15" t="str">
        <f t="shared" si="2091"/>
        <v>-1-1-1</v>
      </c>
      <c r="BH383" s="15" t="str">
        <f t="shared" si="2092"/>
        <v>SD</v>
      </c>
      <c r="BI383" s="15" t="str">
        <f t="shared" si="2093"/>
        <v>SI</v>
      </c>
      <c r="BJ383" s="15" t="b">
        <f t="shared" si="2094"/>
        <v>1</v>
      </c>
      <c r="BK383" s="15" t="str">
        <f t="shared" si="2095"/>
        <v>SIGIGUALES</v>
      </c>
      <c r="BL383" s="22" t="str">
        <f t="shared" si="2096"/>
        <v>NO CONFORME</v>
      </c>
    </row>
    <row r="384" spans="1:64" ht="15.75" thickBot="1" x14ac:dyDescent="0.3">
      <c r="A384" s="37">
        <v>376</v>
      </c>
      <c r="B384" s="93">
        <f t="shared" ref="B384:E384" si="2481">B383</f>
        <v>45919</v>
      </c>
      <c r="C384" s="93">
        <f t="shared" si="2481"/>
        <v>45919</v>
      </c>
      <c r="D384" s="94">
        <f t="shared" si="2481"/>
        <v>6</v>
      </c>
      <c r="E384" s="95">
        <f t="shared" si="2481"/>
        <v>15</v>
      </c>
      <c r="F384" s="13"/>
      <c r="G384" s="90"/>
      <c r="H384" s="97">
        <f t="shared" ref="H384:L384" si="2482">H383</f>
        <v>25.6</v>
      </c>
      <c r="I384" s="98">
        <f t="shared" si="2482"/>
        <v>0</v>
      </c>
      <c r="J384" s="99">
        <f t="shared" si="2482"/>
        <v>20.9</v>
      </c>
      <c r="K384" s="99">
        <f t="shared" si="2482"/>
        <v>7.883</v>
      </c>
      <c r="L384" s="99">
        <f t="shared" si="2482"/>
        <v>0.55400000000000005</v>
      </c>
      <c r="M384" s="45"/>
      <c r="N384" s="45"/>
      <c r="O384" s="100">
        <f t="shared" ref="O384:P384" si="2483">O383</f>
        <v>100.62</v>
      </c>
      <c r="P384" s="101" t="str">
        <f t="shared" si="2483"/>
        <v>2,29,560</v>
      </c>
      <c r="Q384" s="11" t="str">
        <f t="shared" si="2361"/>
        <v>2</v>
      </c>
      <c r="R384" s="11" t="str">
        <f t="shared" si="2362"/>
        <v>29,560</v>
      </c>
      <c r="S384" s="11">
        <f t="shared" si="2363"/>
        <v>4.1544444444444446E-2</v>
      </c>
      <c r="T384" s="14">
        <f t="shared" si="2364"/>
        <v>2421.9844878309709</v>
      </c>
      <c r="U384" s="39">
        <f t="shared" si="2365"/>
        <v>-100</v>
      </c>
      <c r="V384" s="105">
        <f t="shared" ref="V384:X384" si="2484">V383</f>
        <v>20.399999999999999</v>
      </c>
      <c r="W384" s="105">
        <f t="shared" si="2484"/>
        <v>1.5069999999999999</v>
      </c>
      <c r="X384" s="106">
        <f t="shared" si="2484"/>
        <v>1.504</v>
      </c>
      <c r="Y384" s="45"/>
      <c r="Z384" s="45"/>
      <c r="AA384" s="107">
        <f t="shared" ref="AA384:AB384" si="2485">AA383</f>
        <v>10.015000000000001</v>
      </c>
      <c r="AB384" s="108" t="str">
        <f t="shared" si="2485"/>
        <v>22,10,090</v>
      </c>
      <c r="AC384" s="11" t="str">
        <f t="shared" si="2368"/>
        <v>22</v>
      </c>
      <c r="AD384" s="11" t="str">
        <f t="shared" si="2369"/>
        <v>10,090</v>
      </c>
      <c r="AE384" s="11">
        <f t="shared" si="2370"/>
        <v>0.36946944444444441</v>
      </c>
      <c r="AF384" s="14">
        <f t="shared" si="2371"/>
        <v>27.106436406558959</v>
      </c>
      <c r="AG384" s="41">
        <f t="shared" si="2372"/>
        <v>-100</v>
      </c>
      <c r="AH384" s="105">
        <f t="shared" ref="AH384:AJ384" si="2486">AH383</f>
        <v>20.3</v>
      </c>
      <c r="AI384" s="105">
        <f t="shared" si="2486"/>
        <v>1.5089999999999999</v>
      </c>
      <c r="AJ384" s="105">
        <f t="shared" si="2486"/>
        <v>1.504</v>
      </c>
      <c r="AK384" s="53">
        <f t="shared" si="2409"/>
        <v>0</v>
      </c>
      <c r="AL384" s="45"/>
      <c r="AM384" s="54">
        <f t="shared" ref="AM384:AN384" si="2487">AM383</f>
        <v>5.0129999999999999</v>
      </c>
      <c r="AN384" s="101" t="str">
        <f t="shared" si="2487"/>
        <v>17,59,050</v>
      </c>
      <c r="AO384" s="11" t="str">
        <f t="shared" si="2376"/>
        <v>17</v>
      </c>
      <c r="AP384" s="11" t="str">
        <f t="shared" si="2377"/>
        <v>59,050</v>
      </c>
      <c r="AQ384" s="11">
        <f t="shared" si="2378"/>
        <v>0.29973611111111109</v>
      </c>
      <c r="AR384" s="14">
        <f t="shared" si="2379"/>
        <v>16.724711551827998</v>
      </c>
      <c r="AS384" s="41">
        <f t="shared" si="2380"/>
        <v>-100</v>
      </c>
      <c r="AT384" s="43" t="str">
        <f t="shared" si="2381"/>
        <v>NO CONFORME</v>
      </c>
      <c r="AU384" s="8" t="b">
        <f t="shared" si="2103"/>
        <v>1</v>
      </c>
      <c r="AV384" s="8" t="b">
        <f t="shared" si="2104"/>
        <v>0</v>
      </c>
      <c r="AW384" s="8" t="b">
        <f t="shared" si="2105"/>
        <v>1</v>
      </c>
      <c r="AX384" s="8" t="str">
        <f t="shared" si="2106"/>
        <v>Qcorrecto</v>
      </c>
      <c r="AY384" s="22" t="str">
        <f t="shared" si="2086"/>
        <v>aceptable</v>
      </c>
      <c r="AZ384" s="22" t="str">
        <f t="shared" si="2087"/>
        <v>aceptable</v>
      </c>
      <c r="BA384" s="22" t="str">
        <f t="shared" si="2107"/>
        <v>aceptable</v>
      </c>
      <c r="BB384" s="25" t="str">
        <f t="shared" si="2108"/>
        <v>NO CONFORME</v>
      </c>
      <c r="BC384" s="5" t="str">
        <f t="shared" si="2109"/>
        <v>NO CONFORME</v>
      </c>
      <c r="BD384" s="15">
        <f t="shared" si="2088"/>
        <v>-1</v>
      </c>
      <c r="BE384" s="15">
        <f t="shared" si="2089"/>
        <v>-1</v>
      </c>
      <c r="BF384" s="15">
        <f t="shared" si="2090"/>
        <v>-1</v>
      </c>
      <c r="BG384" s="15" t="str">
        <f t="shared" si="2091"/>
        <v>-1-1-1</v>
      </c>
      <c r="BH384" s="15" t="str">
        <f t="shared" si="2092"/>
        <v>SD</v>
      </c>
      <c r="BI384" s="15" t="str">
        <f t="shared" si="2093"/>
        <v>SI</v>
      </c>
      <c r="BJ384" s="15" t="b">
        <f t="shared" si="2094"/>
        <v>1</v>
      </c>
      <c r="BK384" s="15" t="str">
        <f t="shared" si="2095"/>
        <v>SIGIGUALES</v>
      </c>
      <c r="BL384" s="22" t="str">
        <f t="shared" si="2096"/>
        <v>NO CONFORME</v>
      </c>
    </row>
    <row r="385" spans="1:64" ht="15.75" thickBot="1" x14ac:dyDescent="0.3">
      <c r="A385" s="37">
        <v>377</v>
      </c>
      <c r="B385" s="93">
        <f t="shared" ref="B385:E385" si="2488">B384</f>
        <v>45919</v>
      </c>
      <c r="C385" s="93">
        <f t="shared" si="2488"/>
        <v>45919</v>
      </c>
      <c r="D385" s="94">
        <f t="shared" si="2488"/>
        <v>6</v>
      </c>
      <c r="E385" s="95">
        <f t="shared" si="2488"/>
        <v>15</v>
      </c>
      <c r="F385" s="13"/>
      <c r="G385" s="90"/>
      <c r="H385" s="97">
        <f t="shared" ref="H385:L385" si="2489">H384</f>
        <v>25.6</v>
      </c>
      <c r="I385" s="98">
        <f t="shared" si="2489"/>
        <v>0</v>
      </c>
      <c r="J385" s="99">
        <f t="shared" si="2489"/>
        <v>20.9</v>
      </c>
      <c r="K385" s="99">
        <f t="shared" si="2489"/>
        <v>7.883</v>
      </c>
      <c r="L385" s="99">
        <f t="shared" si="2489"/>
        <v>0.55400000000000005</v>
      </c>
      <c r="M385" s="45"/>
      <c r="N385" s="45"/>
      <c r="O385" s="100">
        <f t="shared" ref="O385:P385" si="2490">O384</f>
        <v>100.62</v>
      </c>
      <c r="P385" s="101" t="str">
        <f t="shared" si="2490"/>
        <v>2,29,560</v>
      </c>
      <c r="Q385" s="11" t="str">
        <f t="shared" si="2361"/>
        <v>2</v>
      </c>
      <c r="R385" s="11" t="str">
        <f t="shared" si="2362"/>
        <v>29,560</v>
      </c>
      <c r="S385" s="11">
        <f t="shared" si="2363"/>
        <v>4.1544444444444446E-2</v>
      </c>
      <c r="T385" s="14">
        <f t="shared" si="2364"/>
        <v>2421.9844878309709</v>
      </c>
      <c r="U385" s="39">
        <f t="shared" si="2365"/>
        <v>-100</v>
      </c>
      <c r="V385" s="105">
        <f t="shared" ref="V385:X385" si="2491">V384</f>
        <v>20.399999999999999</v>
      </c>
      <c r="W385" s="105">
        <f t="shared" si="2491"/>
        <v>1.5069999999999999</v>
      </c>
      <c r="X385" s="106">
        <f t="shared" si="2491"/>
        <v>1.504</v>
      </c>
      <c r="Y385" s="45"/>
      <c r="Z385" s="45"/>
      <c r="AA385" s="107">
        <f t="shared" ref="AA385:AB385" si="2492">AA384</f>
        <v>10.015000000000001</v>
      </c>
      <c r="AB385" s="108" t="str">
        <f t="shared" si="2492"/>
        <v>22,10,090</v>
      </c>
      <c r="AC385" s="11" t="str">
        <f t="shared" si="2368"/>
        <v>22</v>
      </c>
      <c r="AD385" s="11" t="str">
        <f t="shared" si="2369"/>
        <v>10,090</v>
      </c>
      <c r="AE385" s="11">
        <f t="shared" si="2370"/>
        <v>0.36946944444444441</v>
      </c>
      <c r="AF385" s="14">
        <f t="shared" si="2371"/>
        <v>27.106436406558959</v>
      </c>
      <c r="AG385" s="41">
        <f t="shared" si="2372"/>
        <v>-100</v>
      </c>
      <c r="AH385" s="105">
        <f t="shared" ref="AH385:AJ385" si="2493">AH384</f>
        <v>20.3</v>
      </c>
      <c r="AI385" s="105">
        <f t="shared" si="2493"/>
        <v>1.5089999999999999</v>
      </c>
      <c r="AJ385" s="105">
        <f t="shared" si="2493"/>
        <v>1.504</v>
      </c>
      <c r="AK385" s="53">
        <f t="shared" si="2409"/>
        <v>0</v>
      </c>
      <c r="AL385" s="45"/>
      <c r="AM385" s="54">
        <f t="shared" ref="AM385:AN385" si="2494">AM384</f>
        <v>5.0129999999999999</v>
      </c>
      <c r="AN385" s="101" t="str">
        <f t="shared" si="2494"/>
        <v>17,59,050</v>
      </c>
      <c r="AO385" s="11" t="str">
        <f t="shared" si="2376"/>
        <v>17</v>
      </c>
      <c r="AP385" s="11" t="str">
        <f t="shared" si="2377"/>
        <v>59,050</v>
      </c>
      <c r="AQ385" s="11">
        <f t="shared" si="2378"/>
        <v>0.29973611111111109</v>
      </c>
      <c r="AR385" s="14">
        <f t="shared" si="2379"/>
        <v>16.724711551827998</v>
      </c>
      <c r="AS385" s="41">
        <f t="shared" si="2380"/>
        <v>-100</v>
      </c>
      <c r="AT385" s="43" t="str">
        <f t="shared" si="2381"/>
        <v>NO CONFORME</v>
      </c>
      <c r="AU385" s="8" t="b">
        <f t="shared" si="2103"/>
        <v>1</v>
      </c>
      <c r="AV385" s="8" t="b">
        <f t="shared" si="2104"/>
        <v>0</v>
      </c>
      <c r="AW385" s="8" t="b">
        <f t="shared" si="2105"/>
        <v>1</v>
      </c>
      <c r="AX385" s="8" t="str">
        <f t="shared" si="2106"/>
        <v>Qcorrecto</v>
      </c>
      <c r="AY385" s="22" t="str">
        <f t="shared" si="2086"/>
        <v>aceptable</v>
      </c>
      <c r="AZ385" s="22" t="str">
        <f t="shared" si="2087"/>
        <v>aceptable</v>
      </c>
      <c r="BA385" s="22" t="str">
        <f t="shared" si="2107"/>
        <v>aceptable</v>
      </c>
      <c r="BB385" s="25" t="str">
        <f t="shared" si="2108"/>
        <v>NO CONFORME</v>
      </c>
      <c r="BC385" s="5" t="str">
        <f t="shared" si="2109"/>
        <v>NO CONFORME</v>
      </c>
      <c r="BD385" s="15">
        <f t="shared" si="2088"/>
        <v>-1</v>
      </c>
      <c r="BE385" s="15">
        <f t="shared" si="2089"/>
        <v>-1</v>
      </c>
      <c r="BF385" s="15">
        <f t="shared" si="2090"/>
        <v>-1</v>
      </c>
      <c r="BG385" s="15" t="str">
        <f t="shared" si="2091"/>
        <v>-1-1-1</v>
      </c>
      <c r="BH385" s="15" t="str">
        <f t="shared" si="2092"/>
        <v>SD</v>
      </c>
      <c r="BI385" s="15" t="str">
        <f t="shared" si="2093"/>
        <v>SI</v>
      </c>
      <c r="BJ385" s="15" t="b">
        <f t="shared" si="2094"/>
        <v>1</v>
      </c>
      <c r="BK385" s="15" t="str">
        <f t="shared" si="2095"/>
        <v>SIGIGUALES</v>
      </c>
      <c r="BL385" s="22" t="str">
        <f t="shared" si="2096"/>
        <v>NO CONFORME</v>
      </c>
    </row>
    <row r="386" spans="1:64" ht="15.75" thickBot="1" x14ac:dyDescent="0.3">
      <c r="A386" s="37">
        <v>378</v>
      </c>
      <c r="B386" s="93">
        <f t="shared" ref="B386:E386" si="2495">B385</f>
        <v>45919</v>
      </c>
      <c r="C386" s="93">
        <f t="shared" si="2495"/>
        <v>45919</v>
      </c>
      <c r="D386" s="94">
        <f t="shared" si="2495"/>
        <v>6</v>
      </c>
      <c r="E386" s="95">
        <f t="shared" si="2495"/>
        <v>15</v>
      </c>
      <c r="F386" s="13"/>
      <c r="G386" s="90"/>
      <c r="H386" s="97">
        <f t="shared" ref="H386:L386" si="2496">H385</f>
        <v>25.6</v>
      </c>
      <c r="I386" s="98">
        <f t="shared" si="2496"/>
        <v>0</v>
      </c>
      <c r="J386" s="99">
        <f t="shared" si="2496"/>
        <v>20.9</v>
      </c>
      <c r="K386" s="99">
        <f t="shared" si="2496"/>
        <v>7.883</v>
      </c>
      <c r="L386" s="99">
        <f t="shared" si="2496"/>
        <v>0.55400000000000005</v>
      </c>
      <c r="M386" s="45"/>
      <c r="N386" s="45"/>
      <c r="O386" s="100">
        <f t="shared" ref="O386:P386" si="2497">O385</f>
        <v>100.62</v>
      </c>
      <c r="P386" s="101" t="str">
        <f t="shared" si="2497"/>
        <v>2,29,560</v>
      </c>
      <c r="Q386" s="11" t="str">
        <f t="shared" si="2361"/>
        <v>2</v>
      </c>
      <c r="R386" s="11" t="str">
        <f t="shared" si="2362"/>
        <v>29,560</v>
      </c>
      <c r="S386" s="11">
        <f t="shared" si="2363"/>
        <v>4.1544444444444446E-2</v>
      </c>
      <c r="T386" s="14">
        <f t="shared" si="2364"/>
        <v>2421.9844878309709</v>
      </c>
      <c r="U386" s="39">
        <f t="shared" si="2365"/>
        <v>-100</v>
      </c>
      <c r="V386" s="105">
        <f t="shared" ref="V386:X386" si="2498">V385</f>
        <v>20.399999999999999</v>
      </c>
      <c r="W386" s="105">
        <f t="shared" si="2498"/>
        <v>1.5069999999999999</v>
      </c>
      <c r="X386" s="106">
        <f t="shared" si="2498"/>
        <v>1.504</v>
      </c>
      <c r="Y386" s="45"/>
      <c r="Z386" s="45"/>
      <c r="AA386" s="107">
        <f t="shared" ref="AA386:AB386" si="2499">AA385</f>
        <v>10.015000000000001</v>
      </c>
      <c r="AB386" s="108" t="str">
        <f t="shared" si="2499"/>
        <v>22,10,090</v>
      </c>
      <c r="AC386" s="11" t="str">
        <f t="shared" si="2368"/>
        <v>22</v>
      </c>
      <c r="AD386" s="11" t="str">
        <f t="shared" si="2369"/>
        <v>10,090</v>
      </c>
      <c r="AE386" s="11">
        <f t="shared" si="2370"/>
        <v>0.36946944444444441</v>
      </c>
      <c r="AF386" s="14">
        <f t="shared" si="2371"/>
        <v>27.106436406558959</v>
      </c>
      <c r="AG386" s="41">
        <f t="shared" si="2372"/>
        <v>-100</v>
      </c>
      <c r="AH386" s="105">
        <f t="shared" ref="AH386:AJ386" si="2500">AH385</f>
        <v>20.3</v>
      </c>
      <c r="AI386" s="105">
        <f t="shared" si="2500"/>
        <v>1.5089999999999999</v>
      </c>
      <c r="AJ386" s="105">
        <f t="shared" si="2500"/>
        <v>1.504</v>
      </c>
      <c r="AK386" s="53">
        <f t="shared" si="2409"/>
        <v>0</v>
      </c>
      <c r="AL386" s="45"/>
      <c r="AM386" s="54">
        <f t="shared" ref="AM386:AN386" si="2501">AM385</f>
        <v>5.0129999999999999</v>
      </c>
      <c r="AN386" s="101" t="str">
        <f t="shared" si="2501"/>
        <v>17,59,050</v>
      </c>
      <c r="AO386" s="11" t="str">
        <f t="shared" si="2376"/>
        <v>17</v>
      </c>
      <c r="AP386" s="11" t="str">
        <f t="shared" si="2377"/>
        <v>59,050</v>
      </c>
      <c r="AQ386" s="11">
        <f t="shared" si="2378"/>
        <v>0.29973611111111109</v>
      </c>
      <c r="AR386" s="14">
        <f t="shared" si="2379"/>
        <v>16.724711551827998</v>
      </c>
      <c r="AS386" s="41">
        <f t="shared" si="2380"/>
        <v>-100</v>
      </c>
      <c r="AT386" s="43" t="str">
        <f t="shared" si="2381"/>
        <v>NO CONFORME</v>
      </c>
      <c r="AU386" s="8" t="b">
        <f t="shared" si="2103"/>
        <v>1</v>
      </c>
      <c r="AV386" s="8" t="b">
        <f t="shared" si="2104"/>
        <v>0</v>
      </c>
      <c r="AW386" s="8" t="b">
        <f t="shared" si="2105"/>
        <v>1</v>
      </c>
      <c r="AX386" s="8" t="str">
        <f t="shared" si="2106"/>
        <v>Qcorrecto</v>
      </c>
      <c r="AY386" s="22" t="str">
        <f t="shared" si="2086"/>
        <v>aceptable</v>
      </c>
      <c r="AZ386" s="22" t="str">
        <f t="shared" si="2087"/>
        <v>aceptable</v>
      </c>
      <c r="BA386" s="22" t="str">
        <f t="shared" si="2107"/>
        <v>aceptable</v>
      </c>
      <c r="BB386" s="25" t="str">
        <f t="shared" si="2108"/>
        <v>NO CONFORME</v>
      </c>
      <c r="BC386" s="5" t="str">
        <f t="shared" si="2109"/>
        <v>NO CONFORME</v>
      </c>
      <c r="BD386" s="15">
        <f t="shared" si="2088"/>
        <v>-1</v>
      </c>
      <c r="BE386" s="15">
        <f t="shared" si="2089"/>
        <v>-1</v>
      </c>
      <c r="BF386" s="15">
        <f t="shared" si="2090"/>
        <v>-1</v>
      </c>
      <c r="BG386" s="15" t="str">
        <f t="shared" si="2091"/>
        <v>-1-1-1</v>
      </c>
      <c r="BH386" s="15" t="str">
        <f t="shared" si="2092"/>
        <v>SD</v>
      </c>
      <c r="BI386" s="15" t="str">
        <f t="shared" si="2093"/>
        <v>SI</v>
      </c>
      <c r="BJ386" s="15" t="b">
        <f t="shared" si="2094"/>
        <v>1</v>
      </c>
      <c r="BK386" s="15" t="str">
        <f t="shared" si="2095"/>
        <v>SIGIGUALES</v>
      </c>
      <c r="BL386" s="22" t="str">
        <f t="shared" si="2096"/>
        <v>NO CONFORME</v>
      </c>
    </row>
    <row r="387" spans="1:64" ht="15.75" thickBot="1" x14ac:dyDescent="0.3">
      <c r="A387" s="37">
        <v>379</v>
      </c>
      <c r="B387" s="93">
        <f t="shared" ref="B387:E387" si="2502">B386</f>
        <v>45919</v>
      </c>
      <c r="C387" s="93">
        <f t="shared" si="2502"/>
        <v>45919</v>
      </c>
      <c r="D387" s="94">
        <f t="shared" si="2502"/>
        <v>6</v>
      </c>
      <c r="E387" s="95">
        <f t="shared" si="2502"/>
        <v>15</v>
      </c>
      <c r="F387" s="13"/>
      <c r="G387" s="90"/>
      <c r="H387" s="97">
        <f t="shared" ref="H387:L387" si="2503">H386</f>
        <v>25.6</v>
      </c>
      <c r="I387" s="98">
        <f t="shared" si="2503"/>
        <v>0</v>
      </c>
      <c r="J387" s="99">
        <f t="shared" si="2503"/>
        <v>20.9</v>
      </c>
      <c r="K387" s="99">
        <f t="shared" si="2503"/>
        <v>7.883</v>
      </c>
      <c r="L387" s="99">
        <f t="shared" si="2503"/>
        <v>0.55400000000000005</v>
      </c>
      <c r="M387" s="45"/>
      <c r="N387" s="45"/>
      <c r="O387" s="100">
        <f t="shared" ref="O387:P387" si="2504">O386</f>
        <v>100.62</v>
      </c>
      <c r="P387" s="101" t="str">
        <f t="shared" si="2504"/>
        <v>2,29,560</v>
      </c>
      <c r="Q387" s="11" t="str">
        <f t="shared" si="2361"/>
        <v>2</v>
      </c>
      <c r="R387" s="11" t="str">
        <f t="shared" si="2362"/>
        <v>29,560</v>
      </c>
      <c r="S387" s="11">
        <f t="shared" si="2363"/>
        <v>4.1544444444444446E-2</v>
      </c>
      <c r="T387" s="14">
        <f t="shared" si="2364"/>
        <v>2421.9844878309709</v>
      </c>
      <c r="U387" s="39">
        <f t="shared" si="2365"/>
        <v>-100</v>
      </c>
      <c r="V387" s="105">
        <f t="shared" ref="V387:X387" si="2505">V386</f>
        <v>20.399999999999999</v>
      </c>
      <c r="W387" s="105">
        <f t="shared" si="2505"/>
        <v>1.5069999999999999</v>
      </c>
      <c r="X387" s="106">
        <f t="shared" si="2505"/>
        <v>1.504</v>
      </c>
      <c r="Y387" s="45"/>
      <c r="Z387" s="45"/>
      <c r="AA387" s="107">
        <f t="shared" ref="AA387:AB387" si="2506">AA386</f>
        <v>10.015000000000001</v>
      </c>
      <c r="AB387" s="108" t="str">
        <f t="shared" si="2506"/>
        <v>22,10,090</v>
      </c>
      <c r="AC387" s="11" t="str">
        <f t="shared" si="2368"/>
        <v>22</v>
      </c>
      <c r="AD387" s="11" t="str">
        <f t="shared" si="2369"/>
        <v>10,090</v>
      </c>
      <c r="AE387" s="11">
        <f t="shared" si="2370"/>
        <v>0.36946944444444441</v>
      </c>
      <c r="AF387" s="14">
        <f t="shared" si="2371"/>
        <v>27.106436406558959</v>
      </c>
      <c r="AG387" s="41">
        <f t="shared" si="2372"/>
        <v>-100</v>
      </c>
      <c r="AH387" s="105">
        <f t="shared" ref="AH387:AJ387" si="2507">AH386</f>
        <v>20.3</v>
      </c>
      <c r="AI387" s="105">
        <f t="shared" si="2507"/>
        <v>1.5089999999999999</v>
      </c>
      <c r="AJ387" s="105">
        <f t="shared" si="2507"/>
        <v>1.504</v>
      </c>
      <c r="AK387" s="53">
        <f t="shared" si="2409"/>
        <v>0</v>
      </c>
      <c r="AL387" s="45"/>
      <c r="AM387" s="54">
        <f t="shared" ref="AM387:AN387" si="2508">AM386</f>
        <v>5.0129999999999999</v>
      </c>
      <c r="AN387" s="101" t="str">
        <f t="shared" si="2508"/>
        <v>17,59,050</v>
      </c>
      <c r="AO387" s="11" t="str">
        <f t="shared" si="2376"/>
        <v>17</v>
      </c>
      <c r="AP387" s="11" t="str">
        <f t="shared" si="2377"/>
        <v>59,050</v>
      </c>
      <c r="AQ387" s="11">
        <f t="shared" si="2378"/>
        <v>0.29973611111111109</v>
      </c>
      <c r="AR387" s="14">
        <f t="shared" si="2379"/>
        <v>16.724711551827998</v>
      </c>
      <c r="AS387" s="41">
        <f t="shared" si="2380"/>
        <v>-100</v>
      </c>
      <c r="AT387" s="43" t="str">
        <f t="shared" si="2381"/>
        <v>NO CONFORME</v>
      </c>
      <c r="AU387" s="8" t="b">
        <f t="shared" si="2103"/>
        <v>1</v>
      </c>
      <c r="AV387" s="8" t="b">
        <f t="shared" si="2104"/>
        <v>0</v>
      </c>
      <c r="AW387" s="8" t="b">
        <f t="shared" si="2105"/>
        <v>1</v>
      </c>
      <c r="AX387" s="8" t="str">
        <f t="shared" si="2106"/>
        <v>Qcorrecto</v>
      </c>
      <c r="AY387" s="22" t="str">
        <f t="shared" si="2086"/>
        <v>aceptable</v>
      </c>
      <c r="AZ387" s="22" t="str">
        <f t="shared" si="2087"/>
        <v>aceptable</v>
      </c>
      <c r="BA387" s="22" t="str">
        <f t="shared" si="2107"/>
        <v>aceptable</v>
      </c>
      <c r="BB387" s="25" t="str">
        <f t="shared" si="2108"/>
        <v>NO CONFORME</v>
      </c>
      <c r="BC387" s="5" t="str">
        <f t="shared" si="2109"/>
        <v>NO CONFORME</v>
      </c>
      <c r="BD387" s="15">
        <f t="shared" si="2088"/>
        <v>-1</v>
      </c>
      <c r="BE387" s="15">
        <f t="shared" si="2089"/>
        <v>-1</v>
      </c>
      <c r="BF387" s="15">
        <f t="shared" si="2090"/>
        <v>-1</v>
      </c>
      <c r="BG387" s="15" t="str">
        <f t="shared" si="2091"/>
        <v>-1-1-1</v>
      </c>
      <c r="BH387" s="15" t="str">
        <f t="shared" si="2092"/>
        <v>SD</v>
      </c>
      <c r="BI387" s="15" t="str">
        <f t="shared" si="2093"/>
        <v>SI</v>
      </c>
      <c r="BJ387" s="15" t="b">
        <f t="shared" si="2094"/>
        <v>1</v>
      </c>
      <c r="BK387" s="15" t="str">
        <f t="shared" si="2095"/>
        <v>SIGIGUALES</v>
      </c>
      <c r="BL387" s="22" t="str">
        <f t="shared" si="2096"/>
        <v>NO CONFORME</v>
      </c>
    </row>
    <row r="388" spans="1:64" ht="15.75" thickBot="1" x14ac:dyDescent="0.3">
      <c r="A388" s="37">
        <v>380</v>
      </c>
      <c r="B388" s="93">
        <f t="shared" ref="B388:E388" si="2509">B387</f>
        <v>45919</v>
      </c>
      <c r="C388" s="93">
        <f t="shared" si="2509"/>
        <v>45919</v>
      </c>
      <c r="D388" s="94">
        <f t="shared" si="2509"/>
        <v>6</v>
      </c>
      <c r="E388" s="95">
        <f t="shared" si="2509"/>
        <v>15</v>
      </c>
      <c r="F388" s="13"/>
      <c r="G388" s="90"/>
      <c r="H388" s="97">
        <f t="shared" ref="H388:L388" si="2510">H387</f>
        <v>25.6</v>
      </c>
      <c r="I388" s="98">
        <f t="shared" si="2510"/>
        <v>0</v>
      </c>
      <c r="J388" s="99">
        <f t="shared" si="2510"/>
        <v>20.9</v>
      </c>
      <c r="K388" s="99">
        <f t="shared" si="2510"/>
        <v>7.883</v>
      </c>
      <c r="L388" s="99">
        <f t="shared" si="2510"/>
        <v>0.55400000000000005</v>
      </c>
      <c r="M388" s="45"/>
      <c r="N388" s="45"/>
      <c r="O388" s="100">
        <f t="shared" ref="O388:P388" si="2511">O387</f>
        <v>100.62</v>
      </c>
      <c r="P388" s="101" t="str">
        <f t="shared" si="2511"/>
        <v>2,29,560</v>
      </c>
      <c r="Q388" s="11" t="str">
        <f t="shared" si="2361"/>
        <v>2</v>
      </c>
      <c r="R388" s="11" t="str">
        <f t="shared" si="2362"/>
        <v>29,560</v>
      </c>
      <c r="S388" s="11">
        <f t="shared" si="2363"/>
        <v>4.1544444444444446E-2</v>
      </c>
      <c r="T388" s="14">
        <f t="shared" si="2364"/>
        <v>2421.9844878309709</v>
      </c>
      <c r="U388" s="39">
        <f t="shared" si="2365"/>
        <v>-100</v>
      </c>
      <c r="V388" s="105">
        <f t="shared" ref="V388:X388" si="2512">V387</f>
        <v>20.399999999999999</v>
      </c>
      <c r="W388" s="105">
        <f t="shared" si="2512"/>
        <v>1.5069999999999999</v>
      </c>
      <c r="X388" s="106">
        <f t="shared" si="2512"/>
        <v>1.504</v>
      </c>
      <c r="Y388" s="45"/>
      <c r="Z388" s="45"/>
      <c r="AA388" s="107">
        <f t="shared" ref="AA388:AB388" si="2513">AA387</f>
        <v>10.015000000000001</v>
      </c>
      <c r="AB388" s="108" t="str">
        <f t="shared" si="2513"/>
        <v>22,10,090</v>
      </c>
      <c r="AC388" s="11" t="str">
        <f t="shared" si="2368"/>
        <v>22</v>
      </c>
      <c r="AD388" s="11" t="str">
        <f t="shared" si="2369"/>
        <v>10,090</v>
      </c>
      <c r="AE388" s="11">
        <f t="shared" si="2370"/>
        <v>0.36946944444444441</v>
      </c>
      <c r="AF388" s="14">
        <f t="shared" si="2371"/>
        <v>27.106436406558959</v>
      </c>
      <c r="AG388" s="41">
        <f t="shared" si="2372"/>
        <v>-100</v>
      </c>
      <c r="AH388" s="105">
        <f t="shared" ref="AH388:AJ388" si="2514">AH387</f>
        <v>20.3</v>
      </c>
      <c r="AI388" s="105">
        <f t="shared" si="2514"/>
        <v>1.5089999999999999</v>
      </c>
      <c r="AJ388" s="105">
        <f t="shared" si="2514"/>
        <v>1.504</v>
      </c>
      <c r="AK388" s="53">
        <f t="shared" si="2409"/>
        <v>0</v>
      </c>
      <c r="AL388" s="45"/>
      <c r="AM388" s="54">
        <f t="shared" ref="AM388:AN388" si="2515">AM387</f>
        <v>5.0129999999999999</v>
      </c>
      <c r="AN388" s="101" t="str">
        <f t="shared" si="2515"/>
        <v>17,59,050</v>
      </c>
      <c r="AO388" s="11" t="str">
        <f t="shared" si="2376"/>
        <v>17</v>
      </c>
      <c r="AP388" s="11" t="str">
        <f t="shared" si="2377"/>
        <v>59,050</v>
      </c>
      <c r="AQ388" s="11">
        <f t="shared" si="2378"/>
        <v>0.29973611111111109</v>
      </c>
      <c r="AR388" s="14">
        <f t="shared" si="2379"/>
        <v>16.724711551827998</v>
      </c>
      <c r="AS388" s="41">
        <f t="shared" si="2380"/>
        <v>-100</v>
      </c>
      <c r="AT388" s="43" t="str">
        <f t="shared" si="2381"/>
        <v>NO CONFORME</v>
      </c>
      <c r="AU388" s="8" t="b">
        <f t="shared" si="2103"/>
        <v>1</v>
      </c>
      <c r="AV388" s="8" t="b">
        <f t="shared" si="2104"/>
        <v>0</v>
      </c>
      <c r="AW388" s="8" t="b">
        <f t="shared" si="2105"/>
        <v>1</v>
      </c>
      <c r="AX388" s="8" t="str">
        <f t="shared" si="2106"/>
        <v>Qcorrecto</v>
      </c>
      <c r="AY388" s="22" t="str">
        <f t="shared" si="2086"/>
        <v>aceptable</v>
      </c>
      <c r="AZ388" s="22" t="str">
        <f t="shared" si="2087"/>
        <v>aceptable</v>
      </c>
      <c r="BA388" s="22" t="str">
        <f t="shared" si="2107"/>
        <v>aceptable</v>
      </c>
      <c r="BB388" s="25" t="str">
        <f t="shared" si="2108"/>
        <v>NO CONFORME</v>
      </c>
      <c r="BC388" s="5" t="str">
        <f t="shared" si="2109"/>
        <v>NO CONFORME</v>
      </c>
      <c r="BD388" s="15">
        <f t="shared" si="2088"/>
        <v>-1</v>
      </c>
      <c r="BE388" s="15">
        <f t="shared" si="2089"/>
        <v>-1</v>
      </c>
      <c r="BF388" s="15">
        <f t="shared" si="2090"/>
        <v>-1</v>
      </c>
      <c r="BG388" s="15" t="str">
        <f t="shared" si="2091"/>
        <v>-1-1-1</v>
      </c>
      <c r="BH388" s="15" t="str">
        <f t="shared" si="2092"/>
        <v>SD</v>
      </c>
      <c r="BI388" s="15" t="str">
        <f t="shared" si="2093"/>
        <v>SI</v>
      </c>
      <c r="BJ388" s="15" t="b">
        <f t="shared" si="2094"/>
        <v>1</v>
      </c>
      <c r="BK388" s="15" t="str">
        <f t="shared" si="2095"/>
        <v>SIGIGUALES</v>
      </c>
      <c r="BL388" s="22" t="str">
        <f t="shared" si="2096"/>
        <v>NO CONFORME</v>
      </c>
    </row>
    <row r="389" spans="1:64" ht="15.75" thickBot="1" x14ac:dyDescent="0.3">
      <c r="A389" s="37">
        <v>381</v>
      </c>
      <c r="B389" s="93">
        <f t="shared" ref="B389:E389" si="2516">B388</f>
        <v>45919</v>
      </c>
      <c r="C389" s="93">
        <f t="shared" si="2516"/>
        <v>45919</v>
      </c>
      <c r="D389" s="94">
        <f t="shared" si="2516"/>
        <v>6</v>
      </c>
      <c r="E389" s="95">
        <f t="shared" si="2516"/>
        <v>15</v>
      </c>
      <c r="F389" s="13"/>
      <c r="G389" s="90"/>
      <c r="H389" s="97">
        <f t="shared" ref="H389:L389" si="2517">H388</f>
        <v>25.6</v>
      </c>
      <c r="I389" s="98">
        <f t="shared" si="2517"/>
        <v>0</v>
      </c>
      <c r="J389" s="99">
        <f t="shared" si="2517"/>
        <v>20.9</v>
      </c>
      <c r="K389" s="99">
        <f t="shared" si="2517"/>
        <v>7.883</v>
      </c>
      <c r="L389" s="99">
        <f t="shared" si="2517"/>
        <v>0.55400000000000005</v>
      </c>
      <c r="M389" s="45"/>
      <c r="N389" s="45"/>
      <c r="O389" s="100">
        <f t="shared" ref="O389:P389" si="2518">O388</f>
        <v>100.62</v>
      </c>
      <c r="P389" s="101" t="str">
        <f t="shared" si="2518"/>
        <v>2,29,560</v>
      </c>
      <c r="Q389" s="11" t="str">
        <f t="shared" si="2361"/>
        <v>2</v>
      </c>
      <c r="R389" s="11" t="str">
        <f t="shared" si="2362"/>
        <v>29,560</v>
      </c>
      <c r="S389" s="11">
        <f t="shared" si="2363"/>
        <v>4.1544444444444446E-2</v>
      </c>
      <c r="T389" s="14">
        <f t="shared" si="2364"/>
        <v>2421.9844878309709</v>
      </c>
      <c r="U389" s="39">
        <f t="shared" si="2365"/>
        <v>-100</v>
      </c>
      <c r="V389" s="105">
        <f t="shared" ref="V389:X389" si="2519">V388</f>
        <v>20.399999999999999</v>
      </c>
      <c r="W389" s="105">
        <f t="shared" si="2519"/>
        <v>1.5069999999999999</v>
      </c>
      <c r="X389" s="106">
        <f t="shared" si="2519"/>
        <v>1.504</v>
      </c>
      <c r="Y389" s="45"/>
      <c r="Z389" s="45"/>
      <c r="AA389" s="107">
        <f t="shared" ref="AA389:AB389" si="2520">AA388</f>
        <v>10.015000000000001</v>
      </c>
      <c r="AB389" s="108" t="str">
        <f t="shared" si="2520"/>
        <v>22,10,090</v>
      </c>
      <c r="AC389" s="11" t="str">
        <f t="shared" si="2368"/>
        <v>22</v>
      </c>
      <c r="AD389" s="11" t="str">
        <f t="shared" si="2369"/>
        <v>10,090</v>
      </c>
      <c r="AE389" s="11">
        <f t="shared" si="2370"/>
        <v>0.36946944444444441</v>
      </c>
      <c r="AF389" s="14">
        <f t="shared" si="2371"/>
        <v>27.106436406558959</v>
      </c>
      <c r="AG389" s="41">
        <f t="shared" si="2372"/>
        <v>-100</v>
      </c>
      <c r="AH389" s="105">
        <f t="shared" ref="AH389:AJ389" si="2521">AH388</f>
        <v>20.3</v>
      </c>
      <c r="AI389" s="105">
        <f t="shared" si="2521"/>
        <v>1.5089999999999999</v>
      </c>
      <c r="AJ389" s="105">
        <f t="shared" si="2521"/>
        <v>1.504</v>
      </c>
      <c r="AK389" s="53">
        <f t="shared" si="2409"/>
        <v>0</v>
      </c>
      <c r="AL389" s="45"/>
      <c r="AM389" s="54">
        <f t="shared" ref="AM389:AN389" si="2522">AM388</f>
        <v>5.0129999999999999</v>
      </c>
      <c r="AN389" s="101" t="str">
        <f t="shared" si="2522"/>
        <v>17,59,050</v>
      </c>
      <c r="AO389" s="11" t="str">
        <f t="shared" si="2376"/>
        <v>17</v>
      </c>
      <c r="AP389" s="11" t="str">
        <f t="shared" si="2377"/>
        <v>59,050</v>
      </c>
      <c r="AQ389" s="11">
        <f t="shared" si="2378"/>
        <v>0.29973611111111109</v>
      </c>
      <c r="AR389" s="14">
        <f t="shared" si="2379"/>
        <v>16.724711551827998</v>
      </c>
      <c r="AS389" s="41">
        <f t="shared" si="2380"/>
        <v>-100</v>
      </c>
      <c r="AT389" s="43" t="str">
        <f t="shared" si="2381"/>
        <v>NO CONFORME</v>
      </c>
      <c r="AU389" s="8" t="b">
        <f t="shared" si="2103"/>
        <v>1</v>
      </c>
      <c r="AV389" s="8" t="b">
        <f t="shared" si="2104"/>
        <v>0</v>
      </c>
      <c r="AW389" s="8" t="b">
        <f t="shared" si="2105"/>
        <v>1</v>
      </c>
      <c r="AX389" s="8" t="str">
        <f t="shared" si="2106"/>
        <v>Qcorrecto</v>
      </c>
      <c r="AY389" s="22" t="str">
        <f t="shared" si="2086"/>
        <v>aceptable</v>
      </c>
      <c r="AZ389" s="22" t="str">
        <f t="shared" si="2087"/>
        <v>aceptable</v>
      </c>
      <c r="BA389" s="22" t="str">
        <f t="shared" si="2107"/>
        <v>aceptable</v>
      </c>
      <c r="BB389" s="25" t="str">
        <f t="shared" si="2108"/>
        <v>NO CONFORME</v>
      </c>
      <c r="BC389" s="5" t="str">
        <f t="shared" si="2109"/>
        <v>NO CONFORME</v>
      </c>
      <c r="BD389" s="15">
        <f t="shared" si="2088"/>
        <v>-1</v>
      </c>
      <c r="BE389" s="15">
        <f t="shared" si="2089"/>
        <v>-1</v>
      </c>
      <c r="BF389" s="15">
        <f t="shared" si="2090"/>
        <v>-1</v>
      </c>
      <c r="BG389" s="15" t="str">
        <f t="shared" si="2091"/>
        <v>-1-1-1</v>
      </c>
      <c r="BH389" s="15" t="str">
        <f t="shared" si="2092"/>
        <v>SD</v>
      </c>
      <c r="BI389" s="15" t="str">
        <f t="shared" si="2093"/>
        <v>SI</v>
      </c>
      <c r="BJ389" s="15" t="b">
        <f t="shared" si="2094"/>
        <v>1</v>
      </c>
      <c r="BK389" s="15" t="str">
        <f t="shared" si="2095"/>
        <v>SIGIGUALES</v>
      </c>
      <c r="BL389" s="22" t="str">
        <f t="shared" si="2096"/>
        <v>NO CONFORME</v>
      </c>
    </row>
    <row r="390" spans="1:64" ht="15.75" thickBot="1" x14ac:dyDescent="0.3">
      <c r="A390" s="37">
        <v>382</v>
      </c>
      <c r="B390" s="93">
        <f t="shared" ref="B390:E390" si="2523">B389</f>
        <v>45919</v>
      </c>
      <c r="C390" s="93">
        <f t="shared" si="2523"/>
        <v>45919</v>
      </c>
      <c r="D390" s="94">
        <f t="shared" si="2523"/>
        <v>6</v>
      </c>
      <c r="E390" s="95">
        <f t="shared" si="2523"/>
        <v>15</v>
      </c>
      <c r="F390" s="13"/>
      <c r="G390" s="90"/>
      <c r="H390" s="97">
        <f t="shared" ref="H390:L390" si="2524">H389</f>
        <v>25.6</v>
      </c>
      <c r="I390" s="98">
        <f t="shared" si="2524"/>
        <v>0</v>
      </c>
      <c r="J390" s="99">
        <f t="shared" si="2524"/>
        <v>20.9</v>
      </c>
      <c r="K390" s="99">
        <f t="shared" si="2524"/>
        <v>7.883</v>
      </c>
      <c r="L390" s="99">
        <f t="shared" si="2524"/>
        <v>0.55400000000000005</v>
      </c>
      <c r="M390" s="45"/>
      <c r="N390" s="45"/>
      <c r="O390" s="100">
        <f t="shared" ref="O390:P390" si="2525">O389</f>
        <v>100.62</v>
      </c>
      <c r="P390" s="101" t="str">
        <f t="shared" si="2525"/>
        <v>2,29,560</v>
      </c>
      <c r="Q390" s="11" t="str">
        <f t="shared" si="2361"/>
        <v>2</v>
      </c>
      <c r="R390" s="11" t="str">
        <f t="shared" si="2362"/>
        <v>29,560</v>
      </c>
      <c r="S390" s="11">
        <f t="shared" si="2363"/>
        <v>4.1544444444444446E-2</v>
      </c>
      <c r="T390" s="14">
        <f t="shared" si="2364"/>
        <v>2421.9844878309709</v>
      </c>
      <c r="U390" s="39">
        <f t="shared" si="2365"/>
        <v>-100</v>
      </c>
      <c r="V390" s="105">
        <f t="shared" ref="V390:X390" si="2526">V389</f>
        <v>20.399999999999999</v>
      </c>
      <c r="W390" s="105">
        <f t="shared" si="2526"/>
        <v>1.5069999999999999</v>
      </c>
      <c r="X390" s="106">
        <f t="shared" si="2526"/>
        <v>1.504</v>
      </c>
      <c r="Y390" s="45"/>
      <c r="Z390" s="45"/>
      <c r="AA390" s="107">
        <f t="shared" ref="AA390:AB390" si="2527">AA389</f>
        <v>10.015000000000001</v>
      </c>
      <c r="AB390" s="108" t="str">
        <f t="shared" si="2527"/>
        <v>22,10,090</v>
      </c>
      <c r="AC390" s="11" t="str">
        <f t="shared" si="2368"/>
        <v>22</v>
      </c>
      <c r="AD390" s="11" t="str">
        <f t="shared" si="2369"/>
        <v>10,090</v>
      </c>
      <c r="AE390" s="11">
        <f t="shared" si="2370"/>
        <v>0.36946944444444441</v>
      </c>
      <c r="AF390" s="14">
        <f t="shared" si="2371"/>
        <v>27.106436406558959</v>
      </c>
      <c r="AG390" s="41">
        <f t="shared" si="2372"/>
        <v>-100</v>
      </c>
      <c r="AH390" s="105">
        <f t="shared" ref="AH390:AJ390" si="2528">AH389</f>
        <v>20.3</v>
      </c>
      <c r="AI390" s="105">
        <f t="shared" si="2528"/>
        <v>1.5089999999999999</v>
      </c>
      <c r="AJ390" s="105">
        <f t="shared" si="2528"/>
        <v>1.504</v>
      </c>
      <c r="AK390" s="53">
        <f t="shared" si="2409"/>
        <v>0</v>
      </c>
      <c r="AL390" s="45"/>
      <c r="AM390" s="54">
        <f t="shared" ref="AM390:AN390" si="2529">AM389</f>
        <v>5.0129999999999999</v>
      </c>
      <c r="AN390" s="101" t="str">
        <f t="shared" si="2529"/>
        <v>17,59,050</v>
      </c>
      <c r="AO390" s="11" t="str">
        <f t="shared" si="2376"/>
        <v>17</v>
      </c>
      <c r="AP390" s="11" t="str">
        <f t="shared" si="2377"/>
        <v>59,050</v>
      </c>
      <c r="AQ390" s="11">
        <f t="shared" si="2378"/>
        <v>0.29973611111111109</v>
      </c>
      <c r="AR390" s="14">
        <f t="shared" si="2379"/>
        <v>16.724711551827998</v>
      </c>
      <c r="AS390" s="41">
        <f t="shared" si="2380"/>
        <v>-100</v>
      </c>
      <c r="AT390" s="43" t="str">
        <f t="shared" si="2381"/>
        <v>NO CONFORME</v>
      </c>
      <c r="AU390" s="8" t="b">
        <f t="shared" si="2103"/>
        <v>1</v>
      </c>
      <c r="AV390" s="8" t="b">
        <f t="shared" si="2104"/>
        <v>0</v>
      </c>
      <c r="AW390" s="8" t="b">
        <f t="shared" si="2105"/>
        <v>1</v>
      </c>
      <c r="AX390" s="8" t="str">
        <f t="shared" si="2106"/>
        <v>Qcorrecto</v>
      </c>
      <c r="AY390" s="22" t="str">
        <f t="shared" si="2086"/>
        <v>aceptable</v>
      </c>
      <c r="AZ390" s="22" t="str">
        <f t="shared" si="2087"/>
        <v>aceptable</v>
      </c>
      <c r="BA390" s="22" t="str">
        <f t="shared" si="2107"/>
        <v>aceptable</v>
      </c>
      <c r="BB390" s="25" t="str">
        <f t="shared" si="2108"/>
        <v>NO CONFORME</v>
      </c>
      <c r="BC390" s="5" t="str">
        <f t="shared" si="2109"/>
        <v>NO CONFORME</v>
      </c>
      <c r="BD390" s="15">
        <f t="shared" si="2088"/>
        <v>-1</v>
      </c>
      <c r="BE390" s="15">
        <f t="shared" si="2089"/>
        <v>-1</v>
      </c>
      <c r="BF390" s="15">
        <f t="shared" si="2090"/>
        <v>-1</v>
      </c>
      <c r="BG390" s="15" t="str">
        <f t="shared" si="2091"/>
        <v>-1-1-1</v>
      </c>
      <c r="BH390" s="15" t="str">
        <f t="shared" si="2092"/>
        <v>SD</v>
      </c>
      <c r="BI390" s="15" t="str">
        <f t="shared" si="2093"/>
        <v>SI</v>
      </c>
      <c r="BJ390" s="15" t="b">
        <f t="shared" si="2094"/>
        <v>1</v>
      </c>
      <c r="BK390" s="15" t="str">
        <f t="shared" si="2095"/>
        <v>SIGIGUALES</v>
      </c>
      <c r="BL390" s="22" t="str">
        <f t="shared" si="2096"/>
        <v>NO CONFORME</v>
      </c>
    </row>
    <row r="391" spans="1:64" ht="15.75" thickBot="1" x14ac:dyDescent="0.3">
      <c r="A391" s="37">
        <v>383</v>
      </c>
      <c r="B391" s="93">
        <f t="shared" ref="B391:E391" si="2530">B390</f>
        <v>45919</v>
      </c>
      <c r="C391" s="93">
        <f t="shared" si="2530"/>
        <v>45919</v>
      </c>
      <c r="D391" s="94">
        <f t="shared" si="2530"/>
        <v>6</v>
      </c>
      <c r="E391" s="95">
        <f t="shared" si="2530"/>
        <v>15</v>
      </c>
      <c r="F391" s="13"/>
      <c r="G391" s="90"/>
      <c r="H391" s="97">
        <f t="shared" ref="H391:L391" si="2531">H390</f>
        <v>25.6</v>
      </c>
      <c r="I391" s="98">
        <f t="shared" si="2531"/>
        <v>0</v>
      </c>
      <c r="J391" s="99">
        <f t="shared" si="2531"/>
        <v>20.9</v>
      </c>
      <c r="K391" s="99">
        <f t="shared" si="2531"/>
        <v>7.883</v>
      </c>
      <c r="L391" s="99">
        <f t="shared" si="2531"/>
        <v>0.55400000000000005</v>
      </c>
      <c r="M391" s="45"/>
      <c r="N391" s="45"/>
      <c r="O391" s="100">
        <f t="shared" ref="O391:P391" si="2532">O390</f>
        <v>100.62</v>
      </c>
      <c r="P391" s="101" t="str">
        <f t="shared" si="2532"/>
        <v>2,29,560</v>
      </c>
      <c r="Q391" s="11" t="str">
        <f t="shared" si="2361"/>
        <v>2</v>
      </c>
      <c r="R391" s="11" t="str">
        <f t="shared" si="2362"/>
        <v>29,560</v>
      </c>
      <c r="S391" s="11">
        <f t="shared" si="2363"/>
        <v>4.1544444444444446E-2</v>
      </c>
      <c r="T391" s="14">
        <f t="shared" si="2364"/>
        <v>2421.9844878309709</v>
      </c>
      <c r="U391" s="39">
        <f t="shared" si="2365"/>
        <v>-100</v>
      </c>
      <c r="V391" s="105">
        <f t="shared" ref="V391:X391" si="2533">V390</f>
        <v>20.399999999999999</v>
      </c>
      <c r="W391" s="105">
        <f t="shared" si="2533"/>
        <v>1.5069999999999999</v>
      </c>
      <c r="X391" s="106">
        <f t="shared" si="2533"/>
        <v>1.504</v>
      </c>
      <c r="Y391" s="45"/>
      <c r="Z391" s="45"/>
      <c r="AA391" s="107">
        <f t="shared" ref="AA391:AB391" si="2534">AA390</f>
        <v>10.015000000000001</v>
      </c>
      <c r="AB391" s="108" t="str">
        <f t="shared" si="2534"/>
        <v>22,10,090</v>
      </c>
      <c r="AC391" s="11" t="str">
        <f t="shared" si="2368"/>
        <v>22</v>
      </c>
      <c r="AD391" s="11" t="str">
        <f t="shared" si="2369"/>
        <v>10,090</v>
      </c>
      <c r="AE391" s="11">
        <f t="shared" si="2370"/>
        <v>0.36946944444444441</v>
      </c>
      <c r="AF391" s="14">
        <f t="shared" si="2371"/>
        <v>27.106436406558959</v>
      </c>
      <c r="AG391" s="41">
        <f t="shared" si="2372"/>
        <v>-100</v>
      </c>
      <c r="AH391" s="105">
        <f t="shared" ref="AH391:AJ391" si="2535">AH390</f>
        <v>20.3</v>
      </c>
      <c r="AI391" s="105">
        <f t="shared" si="2535"/>
        <v>1.5089999999999999</v>
      </c>
      <c r="AJ391" s="105">
        <f t="shared" si="2535"/>
        <v>1.504</v>
      </c>
      <c r="AK391" s="53">
        <f t="shared" si="2409"/>
        <v>0</v>
      </c>
      <c r="AL391" s="45"/>
      <c r="AM391" s="54">
        <f t="shared" ref="AM391:AN391" si="2536">AM390</f>
        <v>5.0129999999999999</v>
      </c>
      <c r="AN391" s="101" t="str">
        <f t="shared" si="2536"/>
        <v>17,59,050</v>
      </c>
      <c r="AO391" s="11" t="str">
        <f t="shared" si="2376"/>
        <v>17</v>
      </c>
      <c r="AP391" s="11" t="str">
        <f t="shared" si="2377"/>
        <v>59,050</v>
      </c>
      <c r="AQ391" s="11">
        <f t="shared" si="2378"/>
        <v>0.29973611111111109</v>
      </c>
      <c r="AR391" s="14">
        <f t="shared" si="2379"/>
        <v>16.724711551827998</v>
      </c>
      <c r="AS391" s="41">
        <f t="shared" si="2380"/>
        <v>-100</v>
      </c>
      <c r="AT391" s="43" t="str">
        <f t="shared" si="2381"/>
        <v>NO CONFORME</v>
      </c>
      <c r="AU391" s="8" t="b">
        <f t="shared" si="2103"/>
        <v>1</v>
      </c>
      <c r="AV391" s="8" t="b">
        <f t="shared" si="2104"/>
        <v>0</v>
      </c>
      <c r="AW391" s="8" t="b">
        <f t="shared" si="2105"/>
        <v>1</v>
      </c>
      <c r="AX391" s="8" t="str">
        <f t="shared" si="2106"/>
        <v>Qcorrecto</v>
      </c>
      <c r="AY391" s="22" t="str">
        <f t="shared" si="2086"/>
        <v>aceptable</v>
      </c>
      <c r="AZ391" s="22" t="str">
        <f t="shared" si="2087"/>
        <v>aceptable</v>
      </c>
      <c r="BA391" s="22" t="str">
        <f t="shared" si="2107"/>
        <v>aceptable</v>
      </c>
      <c r="BB391" s="25" t="str">
        <f t="shared" si="2108"/>
        <v>NO CONFORME</v>
      </c>
      <c r="BC391" s="5" t="str">
        <f t="shared" si="2109"/>
        <v>NO CONFORME</v>
      </c>
      <c r="BD391" s="15">
        <f t="shared" si="2088"/>
        <v>-1</v>
      </c>
      <c r="BE391" s="15">
        <f t="shared" si="2089"/>
        <v>-1</v>
      </c>
      <c r="BF391" s="15">
        <f t="shared" si="2090"/>
        <v>-1</v>
      </c>
      <c r="BG391" s="15" t="str">
        <f t="shared" si="2091"/>
        <v>-1-1-1</v>
      </c>
      <c r="BH391" s="15" t="str">
        <f t="shared" si="2092"/>
        <v>SD</v>
      </c>
      <c r="BI391" s="15" t="str">
        <f t="shared" si="2093"/>
        <v>SI</v>
      </c>
      <c r="BJ391" s="15" t="b">
        <f t="shared" si="2094"/>
        <v>1</v>
      </c>
      <c r="BK391" s="15" t="str">
        <f t="shared" si="2095"/>
        <v>SIGIGUALES</v>
      </c>
      <c r="BL391" s="22" t="str">
        <f t="shared" si="2096"/>
        <v>NO CONFORME</v>
      </c>
    </row>
    <row r="392" spans="1:64" ht="15.75" thickBot="1" x14ac:dyDescent="0.3">
      <c r="A392" s="37">
        <v>384</v>
      </c>
      <c r="B392" s="93">
        <f t="shared" ref="B392:E392" si="2537">B391</f>
        <v>45919</v>
      </c>
      <c r="C392" s="93">
        <f t="shared" si="2537"/>
        <v>45919</v>
      </c>
      <c r="D392" s="94">
        <f t="shared" si="2537"/>
        <v>6</v>
      </c>
      <c r="E392" s="95">
        <f t="shared" si="2537"/>
        <v>15</v>
      </c>
      <c r="F392" s="52"/>
      <c r="G392" s="96"/>
      <c r="H392" s="97">
        <f t="shared" ref="H392:L392" si="2538">H391</f>
        <v>25.6</v>
      </c>
      <c r="I392" s="98">
        <f t="shared" si="2538"/>
        <v>0</v>
      </c>
      <c r="J392" s="99">
        <f t="shared" si="2538"/>
        <v>20.9</v>
      </c>
      <c r="K392" s="99">
        <f t="shared" si="2538"/>
        <v>7.883</v>
      </c>
      <c r="L392" s="99">
        <f t="shared" si="2538"/>
        <v>0.55400000000000005</v>
      </c>
      <c r="M392" s="53"/>
      <c r="N392" s="53"/>
      <c r="O392" s="100">
        <f t="shared" ref="O392:P392" si="2539">O391</f>
        <v>100.62</v>
      </c>
      <c r="P392" s="101" t="str">
        <f t="shared" si="2539"/>
        <v>2,29,560</v>
      </c>
      <c r="Q392" s="11" t="str">
        <f t="shared" si="2361"/>
        <v>2</v>
      </c>
      <c r="R392" s="11" t="str">
        <f t="shared" si="2362"/>
        <v>29,560</v>
      </c>
      <c r="S392" s="11">
        <f t="shared" si="2363"/>
        <v>4.1544444444444446E-2</v>
      </c>
      <c r="T392" s="14">
        <f t="shared" si="2364"/>
        <v>2421.9844878309709</v>
      </c>
      <c r="U392" s="39">
        <f t="shared" si="2365"/>
        <v>-100</v>
      </c>
      <c r="V392" s="105">
        <f t="shared" ref="V392:X392" si="2540">V391</f>
        <v>20.399999999999999</v>
      </c>
      <c r="W392" s="105">
        <f t="shared" si="2540"/>
        <v>1.5069999999999999</v>
      </c>
      <c r="X392" s="106">
        <f t="shared" si="2540"/>
        <v>1.504</v>
      </c>
      <c r="Y392" s="53"/>
      <c r="Z392" s="53"/>
      <c r="AA392" s="107">
        <f t="shared" ref="AA392:AB392" si="2541">AA391</f>
        <v>10.015000000000001</v>
      </c>
      <c r="AB392" s="108" t="str">
        <f t="shared" si="2541"/>
        <v>22,10,090</v>
      </c>
      <c r="AC392" s="11" t="str">
        <f t="shared" si="2368"/>
        <v>22</v>
      </c>
      <c r="AD392" s="11" t="str">
        <f t="shared" si="2369"/>
        <v>10,090</v>
      </c>
      <c r="AE392" s="11">
        <f t="shared" si="2370"/>
        <v>0.36946944444444441</v>
      </c>
      <c r="AF392" s="14">
        <f t="shared" si="2371"/>
        <v>27.106436406558959</v>
      </c>
      <c r="AG392" s="41">
        <f t="shared" si="2372"/>
        <v>-100</v>
      </c>
      <c r="AH392" s="105">
        <f t="shared" ref="AH392:AJ392" si="2542">AH391</f>
        <v>20.3</v>
      </c>
      <c r="AI392" s="105">
        <f t="shared" si="2542"/>
        <v>1.5089999999999999</v>
      </c>
      <c r="AJ392" s="105">
        <f t="shared" si="2542"/>
        <v>1.504</v>
      </c>
      <c r="AK392" s="53">
        <f t="shared" si="2409"/>
        <v>0</v>
      </c>
      <c r="AL392" s="53"/>
      <c r="AM392" s="54">
        <f t="shared" ref="AM392:AN392" si="2543">AM391</f>
        <v>5.0129999999999999</v>
      </c>
      <c r="AN392" s="101" t="str">
        <f t="shared" si="2543"/>
        <v>17,59,050</v>
      </c>
      <c r="AO392" s="11" t="str">
        <f t="shared" si="2376"/>
        <v>17</v>
      </c>
      <c r="AP392" s="11" t="str">
        <f t="shared" si="2377"/>
        <v>59,050</v>
      </c>
      <c r="AQ392" s="11">
        <f t="shared" si="2378"/>
        <v>0.29973611111111109</v>
      </c>
      <c r="AR392" s="14">
        <f t="shared" si="2379"/>
        <v>16.724711551827998</v>
      </c>
      <c r="AS392" s="41">
        <f t="shared" si="2380"/>
        <v>-100</v>
      </c>
      <c r="AT392" s="43" t="str">
        <f t="shared" si="2381"/>
        <v>NO CONFORME</v>
      </c>
      <c r="AU392" s="8" t="b">
        <f t="shared" si="2103"/>
        <v>1</v>
      </c>
      <c r="AV392" s="8" t="b">
        <f t="shared" si="2104"/>
        <v>0</v>
      </c>
      <c r="AW392" s="8" t="b">
        <f t="shared" si="2105"/>
        <v>1</v>
      </c>
      <c r="AX392" s="8" t="str">
        <f t="shared" si="2106"/>
        <v>Qcorrecto</v>
      </c>
      <c r="AY392" s="22" t="str">
        <f t="shared" si="2086"/>
        <v>aceptable</v>
      </c>
      <c r="AZ392" s="22" t="str">
        <f t="shared" si="2087"/>
        <v>aceptable</v>
      </c>
      <c r="BA392" s="22" t="str">
        <f t="shared" si="2107"/>
        <v>aceptable</v>
      </c>
      <c r="BB392" s="25" t="str">
        <f t="shared" si="2108"/>
        <v>NO CONFORME</v>
      </c>
      <c r="BC392" s="5" t="str">
        <f t="shared" si="2109"/>
        <v>NO CONFORME</v>
      </c>
      <c r="BD392" s="15">
        <f t="shared" si="2088"/>
        <v>-1</v>
      </c>
      <c r="BE392" s="15">
        <f t="shared" si="2089"/>
        <v>-1</v>
      </c>
      <c r="BF392" s="15">
        <f t="shared" si="2090"/>
        <v>-1</v>
      </c>
      <c r="BG392" s="15" t="str">
        <f t="shared" si="2091"/>
        <v>-1-1-1</v>
      </c>
      <c r="BH392" s="15" t="str">
        <f t="shared" si="2092"/>
        <v>SD</v>
      </c>
      <c r="BI392" s="15" t="str">
        <f t="shared" si="2093"/>
        <v>SI</v>
      </c>
      <c r="BJ392" s="15" t="b">
        <f t="shared" si="2094"/>
        <v>1</v>
      </c>
      <c r="BK392" s="15" t="str">
        <f t="shared" si="2095"/>
        <v>SIGIGUALES</v>
      </c>
      <c r="BL392" s="22" t="str">
        <f t="shared" si="2096"/>
        <v>NO CONFORME</v>
      </c>
    </row>
    <row r="393" spans="1:64" ht="15.75" thickBot="1" x14ac:dyDescent="0.3">
      <c r="A393" s="37">
        <v>385</v>
      </c>
      <c r="B393" s="93">
        <f t="shared" ref="B393:E393" si="2544">B392</f>
        <v>45919</v>
      </c>
      <c r="C393" s="93">
        <f t="shared" si="2544"/>
        <v>45919</v>
      </c>
      <c r="D393" s="94">
        <f t="shared" si="2544"/>
        <v>6</v>
      </c>
      <c r="E393" s="95">
        <f t="shared" si="2544"/>
        <v>15</v>
      </c>
      <c r="F393" s="46"/>
      <c r="G393" s="110"/>
      <c r="H393" s="97">
        <f t="shared" ref="H393:L393" si="2545">H392</f>
        <v>25.6</v>
      </c>
      <c r="I393" s="98">
        <f t="shared" si="2545"/>
        <v>0</v>
      </c>
      <c r="J393" s="99">
        <f t="shared" si="2545"/>
        <v>20.9</v>
      </c>
      <c r="K393" s="99">
        <f t="shared" si="2545"/>
        <v>7.883</v>
      </c>
      <c r="L393" s="99">
        <f t="shared" si="2545"/>
        <v>0.55400000000000005</v>
      </c>
      <c r="M393" s="47"/>
      <c r="N393" s="47"/>
      <c r="O393" s="100">
        <f t="shared" ref="O393:P393" si="2546">O392</f>
        <v>100.62</v>
      </c>
      <c r="P393" s="101" t="str">
        <f t="shared" si="2546"/>
        <v>2,29,560</v>
      </c>
      <c r="Q393" s="11" t="str">
        <f t="shared" si="2361"/>
        <v>2</v>
      </c>
      <c r="R393" s="11" t="str">
        <f t="shared" si="2362"/>
        <v>29,560</v>
      </c>
      <c r="S393" s="11">
        <f t="shared" si="2363"/>
        <v>4.1544444444444446E-2</v>
      </c>
      <c r="T393" s="14">
        <f t="shared" si="2364"/>
        <v>2421.9844878309709</v>
      </c>
      <c r="U393" s="39">
        <f t="shared" ref="U393:U456" si="2547">+(((N393-M393-O393)/O393)*100)</f>
        <v>-100</v>
      </c>
      <c r="V393" s="105">
        <f t="shared" ref="V393:X393" si="2548">V392</f>
        <v>20.399999999999999</v>
      </c>
      <c r="W393" s="105">
        <f t="shared" si="2548"/>
        <v>1.5069999999999999</v>
      </c>
      <c r="X393" s="106">
        <f t="shared" si="2548"/>
        <v>1.504</v>
      </c>
      <c r="Y393" s="47"/>
      <c r="Z393" s="47"/>
      <c r="AA393" s="107">
        <f t="shared" ref="AA393:AB393" si="2549">AA392</f>
        <v>10.015000000000001</v>
      </c>
      <c r="AB393" s="108" t="str">
        <f t="shared" si="2549"/>
        <v>22,10,090</v>
      </c>
      <c r="AC393" s="11" t="str">
        <f t="shared" si="2368"/>
        <v>22</v>
      </c>
      <c r="AD393" s="11" t="str">
        <f t="shared" si="2369"/>
        <v>10,090</v>
      </c>
      <c r="AE393" s="11">
        <f t="shared" si="2370"/>
        <v>0.36946944444444441</v>
      </c>
      <c r="AF393" s="14">
        <f t="shared" ref="AF393:AF456" si="2550">+AA393/AE393</f>
        <v>27.106436406558959</v>
      </c>
      <c r="AG393" s="41">
        <f t="shared" si="2372"/>
        <v>-100</v>
      </c>
      <c r="AH393" s="105">
        <f t="shared" ref="AH393:AJ393" si="2551">AH392</f>
        <v>20.3</v>
      </c>
      <c r="AI393" s="105">
        <f t="shared" si="2551"/>
        <v>1.5089999999999999</v>
      </c>
      <c r="AJ393" s="105">
        <f t="shared" si="2551"/>
        <v>1.504</v>
      </c>
      <c r="AK393" s="53">
        <f t="shared" si="2409"/>
        <v>0</v>
      </c>
      <c r="AL393" s="47"/>
      <c r="AM393" s="54">
        <f t="shared" ref="AM393:AN393" si="2552">AM392</f>
        <v>5.0129999999999999</v>
      </c>
      <c r="AN393" s="101" t="str">
        <f t="shared" si="2552"/>
        <v>17,59,050</v>
      </c>
      <c r="AO393" s="11" t="str">
        <f t="shared" si="2376"/>
        <v>17</v>
      </c>
      <c r="AP393" s="11" t="str">
        <f t="shared" si="2377"/>
        <v>59,050</v>
      </c>
      <c r="AQ393" s="11">
        <f t="shared" si="2378"/>
        <v>0.29973611111111109</v>
      </c>
      <c r="AR393" s="14">
        <f t="shared" ref="AR393:AR456" si="2553">+AM393/AQ393</f>
        <v>16.724711551827998</v>
      </c>
      <c r="AS393" s="41">
        <f t="shared" ref="AS393:AS456" si="2554">+(((AL393-AK393-AM393)/AM393)*100)</f>
        <v>-100</v>
      </c>
      <c r="AT393" s="43" t="str">
        <f t="shared" ref="AT393:AT456" si="2555">IF(I393&gt;=1,"NO CONFORME",IF(BK393="SIGDIFERENTES",BC393,BL393))</f>
        <v>NO CONFORME</v>
      </c>
      <c r="AU393" s="8" t="b">
        <f t="shared" si="2103"/>
        <v>1</v>
      </c>
      <c r="AV393" s="8" t="b">
        <f t="shared" si="2104"/>
        <v>0</v>
      </c>
      <c r="AW393" s="8" t="b">
        <f t="shared" si="2105"/>
        <v>1</v>
      </c>
      <c r="AX393" s="8" t="str">
        <f t="shared" si="2106"/>
        <v>Qcorrecto</v>
      </c>
      <c r="AY393" s="22" t="str">
        <f t="shared" ref="AY393:AY456" si="2556">IF(AR393&lt;$AH$6,"error",IF(AR393&gt;$AH$6*1.1,"error","aceptable"))</f>
        <v>aceptable</v>
      </c>
      <c r="AZ393" s="22" t="str">
        <f t="shared" ref="AZ393:AZ456" si="2557">IF(AF393&lt;$V$6,"error",IF(AF393&gt;$V$6*1.1,"error","aceptable"))</f>
        <v>aceptable</v>
      </c>
      <c r="BA393" s="22" t="str">
        <f t="shared" si="2107"/>
        <v>aceptable</v>
      </c>
      <c r="BB393" s="25" t="str">
        <f t="shared" si="2108"/>
        <v>NO CONFORME</v>
      </c>
      <c r="BC393" s="5" t="str">
        <f t="shared" si="2109"/>
        <v>NO CONFORME</v>
      </c>
      <c r="BD393" s="15">
        <f t="shared" ref="BD393:BD456" si="2558">SIGN(U393)</f>
        <v>-1</v>
      </c>
      <c r="BE393" s="15">
        <f t="shared" ref="BE393:BE456" si="2559">SIGN(AG393)</f>
        <v>-1</v>
      </c>
      <c r="BF393" s="15">
        <f t="shared" ref="BF393:BF456" si="2560">SIGN(AS393)</f>
        <v>-1</v>
      </c>
      <c r="BG393" s="15" t="str">
        <f t="shared" ref="BG393:BG456" si="2561">CONCATENATE(BD393,BE393,BF393)</f>
        <v>-1-1-1</v>
      </c>
      <c r="BH393" s="15" t="str">
        <f t="shared" ref="BH393:BH456" si="2562">IF(BG393="111","SI","SD")</f>
        <v>SD</v>
      </c>
      <c r="BI393" s="15" t="str">
        <f t="shared" ref="BI393:BI456" si="2563">IF(BG393="-1-1-1","SI","SD")</f>
        <v>SI</v>
      </c>
      <c r="BJ393" s="15" t="b">
        <f t="shared" ref="BJ393:BJ456" si="2564">OR(BH393="SI",BI393="SI")</f>
        <v>1</v>
      </c>
      <c r="BK393" s="15" t="str">
        <f t="shared" ref="BK393:BK456" si="2565">IF(BJ393=FALSE,"SIGDIFERENTES","SIGIGUALES")</f>
        <v>SIGIGUALES</v>
      </c>
      <c r="BL393" s="22" t="str">
        <f t="shared" ref="BL393:BL456" si="2566">IF(BC393="NO CONFORME","NO CONFORME",IF(BB393="CONFORME","CONFORME","NO CONFORME"))</f>
        <v>NO CONFORME</v>
      </c>
    </row>
    <row r="394" spans="1:64" ht="15.75" thickBot="1" x14ac:dyDescent="0.3">
      <c r="A394" s="37">
        <v>386</v>
      </c>
      <c r="B394" s="93">
        <f t="shared" ref="B394:E394" si="2567">B393</f>
        <v>45919</v>
      </c>
      <c r="C394" s="93">
        <f t="shared" si="2567"/>
        <v>45919</v>
      </c>
      <c r="D394" s="94">
        <f t="shared" si="2567"/>
        <v>6</v>
      </c>
      <c r="E394" s="95">
        <f t="shared" si="2567"/>
        <v>15</v>
      </c>
      <c r="F394" s="13"/>
      <c r="G394" s="90"/>
      <c r="H394" s="97">
        <f t="shared" ref="H394:L394" si="2568">H393</f>
        <v>25.6</v>
      </c>
      <c r="I394" s="98">
        <f t="shared" si="2568"/>
        <v>0</v>
      </c>
      <c r="J394" s="99">
        <f t="shared" si="2568"/>
        <v>20.9</v>
      </c>
      <c r="K394" s="99">
        <f t="shared" si="2568"/>
        <v>7.883</v>
      </c>
      <c r="L394" s="99">
        <f t="shared" si="2568"/>
        <v>0.55400000000000005</v>
      </c>
      <c r="M394" s="45"/>
      <c r="N394" s="45"/>
      <c r="O394" s="100">
        <f t="shared" ref="O394:P394" si="2569">O393</f>
        <v>100.62</v>
      </c>
      <c r="P394" s="101" t="str">
        <f t="shared" si="2569"/>
        <v>2,29,560</v>
      </c>
      <c r="Q394" s="11" t="str">
        <f t="shared" ref="Q394:Q457" si="2570">LEFT(P394,1)</f>
        <v>2</v>
      </c>
      <c r="R394" s="11" t="str">
        <f t="shared" ref="R394:R457" si="2571">RIGHT(P394,6)</f>
        <v>29,560</v>
      </c>
      <c r="S394" s="11">
        <f t="shared" ref="S394:S457" si="2572">+(Q394*60+R394)/(60*60)</f>
        <v>4.1544444444444446E-2</v>
      </c>
      <c r="T394" s="14">
        <f t="shared" ref="T394:T457" si="2573">+O394/S394</f>
        <v>2421.9844878309709</v>
      </c>
      <c r="U394" s="39">
        <f t="shared" si="2547"/>
        <v>-100</v>
      </c>
      <c r="V394" s="105">
        <f t="shared" ref="V394:X394" si="2574">V393</f>
        <v>20.399999999999999</v>
      </c>
      <c r="W394" s="105">
        <f t="shared" si="2574"/>
        <v>1.5069999999999999</v>
      </c>
      <c r="X394" s="106">
        <f t="shared" si="2574"/>
        <v>1.504</v>
      </c>
      <c r="Y394" s="45"/>
      <c r="Z394" s="45"/>
      <c r="AA394" s="107">
        <f t="shared" ref="AA394:AB394" si="2575">AA393</f>
        <v>10.015000000000001</v>
      </c>
      <c r="AB394" s="108" t="str">
        <f t="shared" si="2575"/>
        <v>22,10,090</v>
      </c>
      <c r="AC394" s="11" t="str">
        <f t="shared" ref="AC394:AC457" si="2576">LEFT(AB394,2)</f>
        <v>22</v>
      </c>
      <c r="AD394" s="11" t="str">
        <f t="shared" ref="AD394:AD457" si="2577">RIGHT(AB394,6)</f>
        <v>10,090</v>
      </c>
      <c r="AE394" s="11">
        <f t="shared" ref="AE394:AE457" si="2578">+(AC394*60+AD394)/(60*60)</f>
        <v>0.36946944444444441</v>
      </c>
      <c r="AF394" s="14">
        <f t="shared" si="2550"/>
        <v>27.106436406558959</v>
      </c>
      <c r="AG394" s="41">
        <f t="shared" si="2372"/>
        <v>-100</v>
      </c>
      <c r="AH394" s="105">
        <f t="shared" ref="AH394:AJ394" si="2579">AH393</f>
        <v>20.3</v>
      </c>
      <c r="AI394" s="105">
        <f t="shared" si="2579"/>
        <v>1.5089999999999999</v>
      </c>
      <c r="AJ394" s="105">
        <f t="shared" si="2579"/>
        <v>1.504</v>
      </c>
      <c r="AK394" s="53">
        <f t="shared" si="2409"/>
        <v>0</v>
      </c>
      <c r="AL394" s="45"/>
      <c r="AM394" s="54">
        <f t="shared" ref="AM394:AN394" si="2580">AM393</f>
        <v>5.0129999999999999</v>
      </c>
      <c r="AN394" s="101" t="str">
        <f t="shared" si="2580"/>
        <v>17,59,050</v>
      </c>
      <c r="AO394" s="11" t="str">
        <f t="shared" ref="AO394:AO457" si="2581">LEFT(AN394,2)</f>
        <v>17</v>
      </c>
      <c r="AP394" s="11" t="str">
        <f t="shared" ref="AP394:AP457" si="2582">RIGHT(AN394,6)</f>
        <v>59,050</v>
      </c>
      <c r="AQ394" s="11">
        <f t="shared" ref="AQ394:AQ457" si="2583">+(AO394*60+AP394)/(60*60)</f>
        <v>0.29973611111111109</v>
      </c>
      <c r="AR394" s="14">
        <f t="shared" si="2553"/>
        <v>16.724711551827998</v>
      </c>
      <c r="AS394" s="41">
        <f t="shared" si="2554"/>
        <v>-100</v>
      </c>
      <c r="AT394" s="43" t="str">
        <f t="shared" si="2555"/>
        <v>NO CONFORME</v>
      </c>
      <c r="AU394" s="8" t="b">
        <f t="shared" ref="AU394:AU457" si="2584">B394=C394</f>
        <v>1</v>
      </c>
      <c r="AV394" s="8" t="b">
        <f t="shared" ref="AV394:AV457" si="2585">N394&lt;Y394</f>
        <v>0</v>
      </c>
      <c r="AW394" s="8" t="b">
        <f t="shared" ref="AW394:AW457" si="2586">Z394&lt;=AK394</f>
        <v>1</v>
      </c>
      <c r="AX394" s="8" t="str">
        <f t="shared" ref="AX394:AX457" si="2587">IF(I394&gt;=1,"Qcorrecto",IF(AND(AY394="aceptable",AZ394="aceptable",BA394="aceptable"),"Qcorrecto","Qincorrecto"))</f>
        <v>Qcorrecto</v>
      </c>
      <c r="AY394" s="22" t="str">
        <f t="shared" si="2556"/>
        <v>aceptable</v>
      </c>
      <c r="AZ394" s="22" t="str">
        <f t="shared" si="2557"/>
        <v>aceptable</v>
      </c>
      <c r="BA394" s="22" t="str">
        <f t="shared" ref="BA394:BA457" si="2588">IF(T394&lt;$J$6*0.9,"error",IF(T394&gt;$J$6,"error","aceptable"))</f>
        <v>aceptable</v>
      </c>
      <c r="BB394" s="25" t="str">
        <f t="shared" ref="BB394:BB457" si="2589">(IF(ABS(U394)&lt;1.05,"CONFORME",IF(ABS(AG394)&lt;1.05,"CONFORME",IF(ABS(AS394)&lt;2.55,"CONFORME","NO CONFORME"))))</f>
        <v>NO CONFORME</v>
      </c>
      <c r="BC394" s="5" t="str">
        <f t="shared" ref="BC394:BC457" si="2590">(IF(ABS(U394)&gt;2.05,"NO CONFORME",IF(ABS(AG394)&gt;2.05,"NO CONFORME",IF(ABS(AS394)&gt;5.05,"NO CONFORME","CONFORME"))))</f>
        <v>NO CONFORME</v>
      </c>
      <c r="BD394" s="15">
        <f t="shared" si="2558"/>
        <v>-1</v>
      </c>
      <c r="BE394" s="15">
        <f t="shared" si="2559"/>
        <v>-1</v>
      </c>
      <c r="BF394" s="15">
        <f t="shared" si="2560"/>
        <v>-1</v>
      </c>
      <c r="BG394" s="15" t="str">
        <f t="shared" si="2561"/>
        <v>-1-1-1</v>
      </c>
      <c r="BH394" s="15" t="str">
        <f t="shared" si="2562"/>
        <v>SD</v>
      </c>
      <c r="BI394" s="15" t="str">
        <f t="shared" si="2563"/>
        <v>SI</v>
      </c>
      <c r="BJ394" s="15" t="b">
        <f t="shared" si="2564"/>
        <v>1</v>
      </c>
      <c r="BK394" s="15" t="str">
        <f t="shared" si="2565"/>
        <v>SIGIGUALES</v>
      </c>
      <c r="BL394" s="22" t="str">
        <f t="shared" si="2566"/>
        <v>NO CONFORME</v>
      </c>
    </row>
    <row r="395" spans="1:64" ht="15.75" thickBot="1" x14ac:dyDescent="0.3">
      <c r="A395" s="37">
        <v>387</v>
      </c>
      <c r="B395" s="93">
        <f t="shared" ref="B395:E395" si="2591">B394</f>
        <v>45919</v>
      </c>
      <c r="C395" s="93">
        <f t="shared" si="2591"/>
        <v>45919</v>
      </c>
      <c r="D395" s="94">
        <f t="shared" si="2591"/>
        <v>6</v>
      </c>
      <c r="E395" s="95">
        <f t="shared" si="2591"/>
        <v>15</v>
      </c>
      <c r="F395" s="13"/>
      <c r="G395" s="90"/>
      <c r="H395" s="97">
        <f t="shared" ref="H395:L395" si="2592">H394</f>
        <v>25.6</v>
      </c>
      <c r="I395" s="98">
        <f t="shared" si="2592"/>
        <v>0</v>
      </c>
      <c r="J395" s="99">
        <f t="shared" si="2592"/>
        <v>20.9</v>
      </c>
      <c r="K395" s="99">
        <f t="shared" si="2592"/>
        <v>7.883</v>
      </c>
      <c r="L395" s="99">
        <f t="shared" si="2592"/>
        <v>0.55400000000000005</v>
      </c>
      <c r="M395" s="45"/>
      <c r="N395" s="45"/>
      <c r="O395" s="100">
        <f t="shared" ref="O395:P395" si="2593">O394</f>
        <v>100.62</v>
      </c>
      <c r="P395" s="101" t="str">
        <f t="shared" si="2593"/>
        <v>2,29,560</v>
      </c>
      <c r="Q395" s="11" t="str">
        <f t="shared" si="2570"/>
        <v>2</v>
      </c>
      <c r="R395" s="11" t="str">
        <f t="shared" si="2571"/>
        <v>29,560</v>
      </c>
      <c r="S395" s="11">
        <f t="shared" si="2572"/>
        <v>4.1544444444444446E-2</v>
      </c>
      <c r="T395" s="14">
        <f t="shared" si="2573"/>
        <v>2421.9844878309709</v>
      </c>
      <c r="U395" s="39">
        <f t="shared" si="2547"/>
        <v>-100</v>
      </c>
      <c r="V395" s="105">
        <f t="shared" ref="V395:X395" si="2594">V394</f>
        <v>20.399999999999999</v>
      </c>
      <c r="W395" s="105">
        <f t="shared" si="2594"/>
        <v>1.5069999999999999</v>
      </c>
      <c r="X395" s="106">
        <f t="shared" si="2594"/>
        <v>1.504</v>
      </c>
      <c r="Y395" s="45"/>
      <c r="Z395" s="45"/>
      <c r="AA395" s="107">
        <f t="shared" ref="AA395:AB395" si="2595">AA394</f>
        <v>10.015000000000001</v>
      </c>
      <c r="AB395" s="108" t="str">
        <f t="shared" si="2595"/>
        <v>22,10,090</v>
      </c>
      <c r="AC395" s="11" t="str">
        <f t="shared" si="2576"/>
        <v>22</v>
      </c>
      <c r="AD395" s="11" t="str">
        <f t="shared" si="2577"/>
        <v>10,090</v>
      </c>
      <c r="AE395" s="11">
        <f t="shared" si="2578"/>
        <v>0.36946944444444441</v>
      </c>
      <c r="AF395" s="14">
        <f t="shared" si="2550"/>
        <v>27.106436406558959</v>
      </c>
      <c r="AG395" s="41">
        <f t="shared" ref="AG395:AG458" si="2596">+(((Z395-Y395-AA395)/AA395)*100)</f>
        <v>-100</v>
      </c>
      <c r="AH395" s="105">
        <f t="shared" ref="AH395:AJ395" si="2597">AH394</f>
        <v>20.3</v>
      </c>
      <c r="AI395" s="105">
        <f t="shared" si="2597"/>
        <v>1.5089999999999999</v>
      </c>
      <c r="AJ395" s="105">
        <f t="shared" si="2597"/>
        <v>1.504</v>
      </c>
      <c r="AK395" s="53">
        <f t="shared" si="2409"/>
        <v>0</v>
      </c>
      <c r="AL395" s="45"/>
      <c r="AM395" s="54">
        <f t="shared" ref="AM395:AN395" si="2598">AM394</f>
        <v>5.0129999999999999</v>
      </c>
      <c r="AN395" s="101" t="str">
        <f t="shared" si="2598"/>
        <v>17,59,050</v>
      </c>
      <c r="AO395" s="11" t="str">
        <f t="shared" si="2581"/>
        <v>17</v>
      </c>
      <c r="AP395" s="11" t="str">
        <f t="shared" si="2582"/>
        <v>59,050</v>
      </c>
      <c r="AQ395" s="11">
        <f t="shared" si="2583"/>
        <v>0.29973611111111109</v>
      </c>
      <c r="AR395" s="14">
        <f t="shared" si="2553"/>
        <v>16.724711551827998</v>
      </c>
      <c r="AS395" s="41">
        <f t="shared" si="2554"/>
        <v>-100</v>
      </c>
      <c r="AT395" s="43" t="str">
        <f t="shared" si="2555"/>
        <v>NO CONFORME</v>
      </c>
      <c r="AU395" s="8" t="b">
        <f t="shared" si="2584"/>
        <v>1</v>
      </c>
      <c r="AV395" s="8" t="b">
        <f t="shared" si="2585"/>
        <v>0</v>
      </c>
      <c r="AW395" s="8" t="b">
        <f t="shared" si="2586"/>
        <v>1</v>
      </c>
      <c r="AX395" s="8" t="str">
        <f t="shared" si="2587"/>
        <v>Qcorrecto</v>
      </c>
      <c r="AY395" s="22" t="str">
        <f t="shared" si="2556"/>
        <v>aceptable</v>
      </c>
      <c r="AZ395" s="22" t="str">
        <f t="shared" si="2557"/>
        <v>aceptable</v>
      </c>
      <c r="BA395" s="22" t="str">
        <f t="shared" si="2588"/>
        <v>aceptable</v>
      </c>
      <c r="BB395" s="25" t="str">
        <f t="shared" si="2589"/>
        <v>NO CONFORME</v>
      </c>
      <c r="BC395" s="5" t="str">
        <f t="shared" si="2590"/>
        <v>NO CONFORME</v>
      </c>
      <c r="BD395" s="15">
        <f t="shared" si="2558"/>
        <v>-1</v>
      </c>
      <c r="BE395" s="15">
        <f t="shared" si="2559"/>
        <v>-1</v>
      </c>
      <c r="BF395" s="15">
        <f t="shared" si="2560"/>
        <v>-1</v>
      </c>
      <c r="BG395" s="15" t="str">
        <f t="shared" si="2561"/>
        <v>-1-1-1</v>
      </c>
      <c r="BH395" s="15" t="str">
        <f t="shared" si="2562"/>
        <v>SD</v>
      </c>
      <c r="BI395" s="15" t="str">
        <f t="shared" si="2563"/>
        <v>SI</v>
      </c>
      <c r="BJ395" s="15" t="b">
        <f t="shared" si="2564"/>
        <v>1</v>
      </c>
      <c r="BK395" s="15" t="str">
        <f t="shared" si="2565"/>
        <v>SIGIGUALES</v>
      </c>
      <c r="BL395" s="22" t="str">
        <f t="shared" si="2566"/>
        <v>NO CONFORME</v>
      </c>
    </row>
    <row r="396" spans="1:64" ht="15.75" thickBot="1" x14ac:dyDescent="0.3">
      <c r="A396" s="37">
        <v>388</v>
      </c>
      <c r="B396" s="93">
        <f t="shared" ref="B396:E396" si="2599">B395</f>
        <v>45919</v>
      </c>
      <c r="C396" s="93">
        <f t="shared" si="2599"/>
        <v>45919</v>
      </c>
      <c r="D396" s="94">
        <f t="shared" si="2599"/>
        <v>6</v>
      </c>
      <c r="E396" s="95">
        <f t="shared" si="2599"/>
        <v>15</v>
      </c>
      <c r="F396" s="13"/>
      <c r="G396" s="90"/>
      <c r="H396" s="97">
        <f t="shared" ref="H396:L396" si="2600">H395</f>
        <v>25.6</v>
      </c>
      <c r="I396" s="98">
        <f t="shared" si="2600"/>
        <v>0</v>
      </c>
      <c r="J396" s="99">
        <f t="shared" si="2600"/>
        <v>20.9</v>
      </c>
      <c r="K396" s="99">
        <f t="shared" si="2600"/>
        <v>7.883</v>
      </c>
      <c r="L396" s="99">
        <f t="shared" si="2600"/>
        <v>0.55400000000000005</v>
      </c>
      <c r="M396" s="45"/>
      <c r="N396" s="45"/>
      <c r="O396" s="100">
        <f t="shared" ref="O396:P396" si="2601">O395</f>
        <v>100.62</v>
      </c>
      <c r="P396" s="101" t="str">
        <f t="shared" si="2601"/>
        <v>2,29,560</v>
      </c>
      <c r="Q396" s="11" t="str">
        <f t="shared" si="2570"/>
        <v>2</v>
      </c>
      <c r="R396" s="11" t="str">
        <f t="shared" si="2571"/>
        <v>29,560</v>
      </c>
      <c r="S396" s="11">
        <f t="shared" si="2572"/>
        <v>4.1544444444444446E-2</v>
      </c>
      <c r="T396" s="14">
        <f t="shared" si="2573"/>
        <v>2421.9844878309709</v>
      </c>
      <c r="U396" s="39">
        <f t="shared" si="2547"/>
        <v>-100</v>
      </c>
      <c r="V396" s="105">
        <f t="shared" ref="V396:X396" si="2602">V395</f>
        <v>20.399999999999999</v>
      </c>
      <c r="W396" s="105">
        <f t="shared" si="2602"/>
        <v>1.5069999999999999</v>
      </c>
      <c r="X396" s="106">
        <f t="shared" si="2602"/>
        <v>1.504</v>
      </c>
      <c r="Y396" s="45"/>
      <c r="Z396" s="45"/>
      <c r="AA396" s="107">
        <f t="shared" ref="AA396:AB396" si="2603">AA395</f>
        <v>10.015000000000001</v>
      </c>
      <c r="AB396" s="108" t="str">
        <f t="shared" si="2603"/>
        <v>22,10,090</v>
      </c>
      <c r="AC396" s="11" t="str">
        <f t="shared" si="2576"/>
        <v>22</v>
      </c>
      <c r="AD396" s="11" t="str">
        <f t="shared" si="2577"/>
        <v>10,090</v>
      </c>
      <c r="AE396" s="11">
        <f t="shared" si="2578"/>
        <v>0.36946944444444441</v>
      </c>
      <c r="AF396" s="14">
        <f t="shared" si="2550"/>
        <v>27.106436406558959</v>
      </c>
      <c r="AG396" s="41">
        <f t="shared" si="2596"/>
        <v>-100</v>
      </c>
      <c r="AH396" s="105">
        <f t="shared" ref="AH396:AJ396" si="2604">AH395</f>
        <v>20.3</v>
      </c>
      <c r="AI396" s="105">
        <f t="shared" si="2604"/>
        <v>1.5089999999999999</v>
      </c>
      <c r="AJ396" s="105">
        <f t="shared" si="2604"/>
        <v>1.504</v>
      </c>
      <c r="AK396" s="53">
        <f t="shared" si="2409"/>
        <v>0</v>
      </c>
      <c r="AL396" s="45"/>
      <c r="AM396" s="54">
        <f t="shared" ref="AM396:AN396" si="2605">AM395</f>
        <v>5.0129999999999999</v>
      </c>
      <c r="AN396" s="101" t="str">
        <f t="shared" si="2605"/>
        <v>17,59,050</v>
      </c>
      <c r="AO396" s="11" t="str">
        <f t="shared" si="2581"/>
        <v>17</v>
      </c>
      <c r="AP396" s="11" t="str">
        <f t="shared" si="2582"/>
        <v>59,050</v>
      </c>
      <c r="AQ396" s="11">
        <f t="shared" si="2583"/>
        <v>0.29973611111111109</v>
      </c>
      <c r="AR396" s="14">
        <f t="shared" si="2553"/>
        <v>16.724711551827998</v>
      </c>
      <c r="AS396" s="41">
        <f t="shared" si="2554"/>
        <v>-100</v>
      </c>
      <c r="AT396" s="43" t="str">
        <f t="shared" si="2555"/>
        <v>NO CONFORME</v>
      </c>
      <c r="AU396" s="8" t="b">
        <f t="shared" si="2584"/>
        <v>1</v>
      </c>
      <c r="AV396" s="8" t="b">
        <f t="shared" si="2585"/>
        <v>0</v>
      </c>
      <c r="AW396" s="8" t="b">
        <f t="shared" si="2586"/>
        <v>1</v>
      </c>
      <c r="AX396" s="8" t="str">
        <f t="shared" si="2587"/>
        <v>Qcorrecto</v>
      </c>
      <c r="AY396" s="22" t="str">
        <f t="shared" si="2556"/>
        <v>aceptable</v>
      </c>
      <c r="AZ396" s="22" t="str">
        <f t="shared" si="2557"/>
        <v>aceptable</v>
      </c>
      <c r="BA396" s="22" t="str">
        <f t="shared" si="2588"/>
        <v>aceptable</v>
      </c>
      <c r="BB396" s="25" t="str">
        <f t="shared" si="2589"/>
        <v>NO CONFORME</v>
      </c>
      <c r="BC396" s="5" t="str">
        <f t="shared" si="2590"/>
        <v>NO CONFORME</v>
      </c>
      <c r="BD396" s="15">
        <f t="shared" si="2558"/>
        <v>-1</v>
      </c>
      <c r="BE396" s="15">
        <f t="shared" si="2559"/>
        <v>-1</v>
      </c>
      <c r="BF396" s="15">
        <f t="shared" si="2560"/>
        <v>-1</v>
      </c>
      <c r="BG396" s="15" t="str">
        <f t="shared" si="2561"/>
        <v>-1-1-1</v>
      </c>
      <c r="BH396" s="15" t="str">
        <f t="shared" si="2562"/>
        <v>SD</v>
      </c>
      <c r="BI396" s="15" t="str">
        <f t="shared" si="2563"/>
        <v>SI</v>
      </c>
      <c r="BJ396" s="15" t="b">
        <f t="shared" si="2564"/>
        <v>1</v>
      </c>
      <c r="BK396" s="15" t="str">
        <f t="shared" si="2565"/>
        <v>SIGIGUALES</v>
      </c>
      <c r="BL396" s="22" t="str">
        <f t="shared" si="2566"/>
        <v>NO CONFORME</v>
      </c>
    </row>
    <row r="397" spans="1:64" ht="15.75" thickBot="1" x14ac:dyDescent="0.3">
      <c r="A397" s="37">
        <v>389</v>
      </c>
      <c r="B397" s="93">
        <f t="shared" ref="B397:E397" si="2606">B396</f>
        <v>45919</v>
      </c>
      <c r="C397" s="93">
        <f t="shared" si="2606"/>
        <v>45919</v>
      </c>
      <c r="D397" s="94">
        <f t="shared" si="2606"/>
        <v>6</v>
      </c>
      <c r="E397" s="95">
        <f t="shared" si="2606"/>
        <v>15</v>
      </c>
      <c r="F397" s="13"/>
      <c r="G397" s="90"/>
      <c r="H397" s="97">
        <f t="shared" ref="H397:L397" si="2607">H396</f>
        <v>25.6</v>
      </c>
      <c r="I397" s="98">
        <f t="shared" si="2607"/>
        <v>0</v>
      </c>
      <c r="J397" s="99">
        <f t="shared" si="2607"/>
        <v>20.9</v>
      </c>
      <c r="K397" s="99">
        <f t="shared" si="2607"/>
        <v>7.883</v>
      </c>
      <c r="L397" s="99">
        <f t="shared" si="2607"/>
        <v>0.55400000000000005</v>
      </c>
      <c r="M397" s="45"/>
      <c r="N397" s="45"/>
      <c r="O397" s="100">
        <f t="shared" ref="O397:P397" si="2608">O396</f>
        <v>100.62</v>
      </c>
      <c r="P397" s="101" t="str">
        <f t="shared" si="2608"/>
        <v>2,29,560</v>
      </c>
      <c r="Q397" s="11" t="str">
        <f t="shared" si="2570"/>
        <v>2</v>
      </c>
      <c r="R397" s="11" t="str">
        <f t="shared" si="2571"/>
        <v>29,560</v>
      </c>
      <c r="S397" s="11">
        <f t="shared" si="2572"/>
        <v>4.1544444444444446E-2</v>
      </c>
      <c r="T397" s="14">
        <f t="shared" si="2573"/>
        <v>2421.9844878309709</v>
      </c>
      <c r="U397" s="39">
        <f t="shared" si="2547"/>
        <v>-100</v>
      </c>
      <c r="V397" s="105">
        <f t="shared" ref="V397:X397" si="2609">V396</f>
        <v>20.399999999999999</v>
      </c>
      <c r="W397" s="105">
        <f t="shared" si="2609"/>
        <v>1.5069999999999999</v>
      </c>
      <c r="X397" s="106">
        <f t="shared" si="2609"/>
        <v>1.504</v>
      </c>
      <c r="Y397" s="45"/>
      <c r="Z397" s="45"/>
      <c r="AA397" s="107">
        <f t="shared" ref="AA397:AB397" si="2610">AA396</f>
        <v>10.015000000000001</v>
      </c>
      <c r="AB397" s="108" t="str">
        <f t="shared" si="2610"/>
        <v>22,10,090</v>
      </c>
      <c r="AC397" s="11" t="str">
        <f t="shared" si="2576"/>
        <v>22</v>
      </c>
      <c r="AD397" s="11" t="str">
        <f t="shared" si="2577"/>
        <v>10,090</v>
      </c>
      <c r="AE397" s="11">
        <f t="shared" si="2578"/>
        <v>0.36946944444444441</v>
      </c>
      <c r="AF397" s="14">
        <f t="shared" si="2550"/>
        <v>27.106436406558959</v>
      </c>
      <c r="AG397" s="41">
        <f t="shared" si="2596"/>
        <v>-100</v>
      </c>
      <c r="AH397" s="105">
        <f t="shared" ref="AH397:AJ397" si="2611">AH396</f>
        <v>20.3</v>
      </c>
      <c r="AI397" s="105">
        <f t="shared" si="2611"/>
        <v>1.5089999999999999</v>
      </c>
      <c r="AJ397" s="105">
        <f t="shared" si="2611"/>
        <v>1.504</v>
      </c>
      <c r="AK397" s="53">
        <f t="shared" si="2409"/>
        <v>0</v>
      </c>
      <c r="AL397" s="45"/>
      <c r="AM397" s="54">
        <f t="shared" ref="AM397:AN397" si="2612">AM396</f>
        <v>5.0129999999999999</v>
      </c>
      <c r="AN397" s="101" t="str">
        <f t="shared" si="2612"/>
        <v>17,59,050</v>
      </c>
      <c r="AO397" s="11" t="str">
        <f t="shared" si="2581"/>
        <v>17</v>
      </c>
      <c r="AP397" s="11" t="str">
        <f t="shared" si="2582"/>
        <v>59,050</v>
      </c>
      <c r="AQ397" s="11">
        <f t="shared" si="2583"/>
        <v>0.29973611111111109</v>
      </c>
      <c r="AR397" s="14">
        <f t="shared" si="2553"/>
        <v>16.724711551827998</v>
      </c>
      <c r="AS397" s="41">
        <f t="shared" si="2554"/>
        <v>-100</v>
      </c>
      <c r="AT397" s="43" t="str">
        <f t="shared" si="2555"/>
        <v>NO CONFORME</v>
      </c>
      <c r="AU397" s="8" t="b">
        <f t="shared" si="2584"/>
        <v>1</v>
      </c>
      <c r="AV397" s="8" t="b">
        <f t="shared" si="2585"/>
        <v>0</v>
      </c>
      <c r="AW397" s="8" t="b">
        <f t="shared" si="2586"/>
        <v>1</v>
      </c>
      <c r="AX397" s="8" t="str">
        <f t="shared" si="2587"/>
        <v>Qcorrecto</v>
      </c>
      <c r="AY397" s="22" t="str">
        <f t="shared" si="2556"/>
        <v>aceptable</v>
      </c>
      <c r="AZ397" s="22" t="str">
        <f t="shared" si="2557"/>
        <v>aceptable</v>
      </c>
      <c r="BA397" s="22" t="str">
        <f t="shared" si="2588"/>
        <v>aceptable</v>
      </c>
      <c r="BB397" s="25" t="str">
        <f t="shared" si="2589"/>
        <v>NO CONFORME</v>
      </c>
      <c r="BC397" s="5" t="str">
        <f t="shared" si="2590"/>
        <v>NO CONFORME</v>
      </c>
      <c r="BD397" s="15">
        <f t="shared" si="2558"/>
        <v>-1</v>
      </c>
      <c r="BE397" s="15">
        <f t="shared" si="2559"/>
        <v>-1</v>
      </c>
      <c r="BF397" s="15">
        <f t="shared" si="2560"/>
        <v>-1</v>
      </c>
      <c r="BG397" s="15" t="str">
        <f t="shared" si="2561"/>
        <v>-1-1-1</v>
      </c>
      <c r="BH397" s="15" t="str">
        <f t="shared" si="2562"/>
        <v>SD</v>
      </c>
      <c r="BI397" s="15" t="str">
        <f t="shared" si="2563"/>
        <v>SI</v>
      </c>
      <c r="BJ397" s="15" t="b">
        <f t="shared" si="2564"/>
        <v>1</v>
      </c>
      <c r="BK397" s="15" t="str">
        <f t="shared" si="2565"/>
        <v>SIGIGUALES</v>
      </c>
      <c r="BL397" s="22" t="str">
        <f t="shared" si="2566"/>
        <v>NO CONFORME</v>
      </c>
    </row>
    <row r="398" spans="1:64" ht="15.75" thickBot="1" x14ac:dyDescent="0.3">
      <c r="A398" s="37">
        <v>390</v>
      </c>
      <c r="B398" s="93">
        <f t="shared" ref="B398:E398" si="2613">B397</f>
        <v>45919</v>
      </c>
      <c r="C398" s="93">
        <f t="shared" si="2613"/>
        <v>45919</v>
      </c>
      <c r="D398" s="94">
        <f t="shared" si="2613"/>
        <v>6</v>
      </c>
      <c r="E398" s="95">
        <f t="shared" si="2613"/>
        <v>15</v>
      </c>
      <c r="F398" s="13"/>
      <c r="G398" s="90"/>
      <c r="H398" s="97">
        <f t="shared" ref="H398:L398" si="2614">H397</f>
        <v>25.6</v>
      </c>
      <c r="I398" s="98">
        <f t="shared" si="2614"/>
        <v>0</v>
      </c>
      <c r="J398" s="99">
        <f t="shared" si="2614"/>
        <v>20.9</v>
      </c>
      <c r="K398" s="99">
        <f t="shared" si="2614"/>
        <v>7.883</v>
      </c>
      <c r="L398" s="99">
        <f t="shared" si="2614"/>
        <v>0.55400000000000005</v>
      </c>
      <c r="M398" s="45"/>
      <c r="N398" s="45"/>
      <c r="O398" s="100">
        <f t="shared" ref="O398:P398" si="2615">O397</f>
        <v>100.62</v>
      </c>
      <c r="P398" s="101" t="str">
        <f t="shared" si="2615"/>
        <v>2,29,560</v>
      </c>
      <c r="Q398" s="11" t="str">
        <f t="shared" si="2570"/>
        <v>2</v>
      </c>
      <c r="R398" s="11" t="str">
        <f t="shared" si="2571"/>
        <v>29,560</v>
      </c>
      <c r="S398" s="11">
        <f t="shared" si="2572"/>
        <v>4.1544444444444446E-2</v>
      </c>
      <c r="T398" s="14">
        <f t="shared" si="2573"/>
        <v>2421.9844878309709</v>
      </c>
      <c r="U398" s="39">
        <f t="shared" si="2547"/>
        <v>-100</v>
      </c>
      <c r="V398" s="105">
        <f t="shared" ref="V398:X398" si="2616">V397</f>
        <v>20.399999999999999</v>
      </c>
      <c r="W398" s="105">
        <f t="shared" si="2616"/>
        <v>1.5069999999999999</v>
      </c>
      <c r="X398" s="106">
        <f t="shared" si="2616"/>
        <v>1.504</v>
      </c>
      <c r="Y398" s="45"/>
      <c r="Z398" s="45"/>
      <c r="AA398" s="107">
        <f t="shared" ref="AA398:AB398" si="2617">AA397</f>
        <v>10.015000000000001</v>
      </c>
      <c r="AB398" s="108" t="str">
        <f t="shared" si="2617"/>
        <v>22,10,090</v>
      </c>
      <c r="AC398" s="11" t="str">
        <f t="shared" si="2576"/>
        <v>22</v>
      </c>
      <c r="AD398" s="11" t="str">
        <f t="shared" si="2577"/>
        <v>10,090</v>
      </c>
      <c r="AE398" s="11">
        <f t="shared" si="2578"/>
        <v>0.36946944444444441</v>
      </c>
      <c r="AF398" s="14">
        <f t="shared" si="2550"/>
        <v>27.106436406558959</v>
      </c>
      <c r="AG398" s="41">
        <f t="shared" si="2596"/>
        <v>-100</v>
      </c>
      <c r="AH398" s="105">
        <f t="shared" ref="AH398:AJ398" si="2618">AH397</f>
        <v>20.3</v>
      </c>
      <c r="AI398" s="105">
        <f t="shared" si="2618"/>
        <v>1.5089999999999999</v>
      </c>
      <c r="AJ398" s="105">
        <f t="shared" si="2618"/>
        <v>1.504</v>
      </c>
      <c r="AK398" s="53">
        <f t="shared" si="2409"/>
        <v>0</v>
      </c>
      <c r="AL398" s="45"/>
      <c r="AM398" s="54">
        <f t="shared" ref="AM398:AN398" si="2619">AM397</f>
        <v>5.0129999999999999</v>
      </c>
      <c r="AN398" s="101" t="str">
        <f t="shared" si="2619"/>
        <v>17,59,050</v>
      </c>
      <c r="AO398" s="11" t="str">
        <f t="shared" si="2581"/>
        <v>17</v>
      </c>
      <c r="AP398" s="11" t="str">
        <f t="shared" si="2582"/>
        <v>59,050</v>
      </c>
      <c r="AQ398" s="11">
        <f t="shared" si="2583"/>
        <v>0.29973611111111109</v>
      </c>
      <c r="AR398" s="14">
        <f t="shared" si="2553"/>
        <v>16.724711551827998</v>
      </c>
      <c r="AS398" s="41">
        <f t="shared" si="2554"/>
        <v>-100</v>
      </c>
      <c r="AT398" s="43" t="str">
        <f t="shared" si="2555"/>
        <v>NO CONFORME</v>
      </c>
      <c r="AU398" s="8" t="b">
        <f t="shared" si="2584"/>
        <v>1</v>
      </c>
      <c r="AV398" s="8" t="b">
        <f t="shared" si="2585"/>
        <v>0</v>
      </c>
      <c r="AW398" s="8" t="b">
        <f t="shared" si="2586"/>
        <v>1</v>
      </c>
      <c r="AX398" s="8" t="str">
        <f t="shared" si="2587"/>
        <v>Qcorrecto</v>
      </c>
      <c r="AY398" s="22" t="str">
        <f t="shared" si="2556"/>
        <v>aceptable</v>
      </c>
      <c r="AZ398" s="22" t="str">
        <f t="shared" si="2557"/>
        <v>aceptable</v>
      </c>
      <c r="BA398" s="22" t="str">
        <f t="shared" si="2588"/>
        <v>aceptable</v>
      </c>
      <c r="BB398" s="25" t="str">
        <f t="shared" si="2589"/>
        <v>NO CONFORME</v>
      </c>
      <c r="BC398" s="5" t="str">
        <f t="shared" si="2590"/>
        <v>NO CONFORME</v>
      </c>
      <c r="BD398" s="15">
        <f t="shared" si="2558"/>
        <v>-1</v>
      </c>
      <c r="BE398" s="15">
        <f t="shared" si="2559"/>
        <v>-1</v>
      </c>
      <c r="BF398" s="15">
        <f t="shared" si="2560"/>
        <v>-1</v>
      </c>
      <c r="BG398" s="15" t="str">
        <f t="shared" si="2561"/>
        <v>-1-1-1</v>
      </c>
      <c r="BH398" s="15" t="str">
        <f t="shared" si="2562"/>
        <v>SD</v>
      </c>
      <c r="BI398" s="15" t="str">
        <f t="shared" si="2563"/>
        <v>SI</v>
      </c>
      <c r="BJ398" s="15" t="b">
        <f t="shared" si="2564"/>
        <v>1</v>
      </c>
      <c r="BK398" s="15" t="str">
        <f t="shared" si="2565"/>
        <v>SIGIGUALES</v>
      </c>
      <c r="BL398" s="22" t="str">
        <f t="shared" si="2566"/>
        <v>NO CONFORME</v>
      </c>
    </row>
    <row r="399" spans="1:64" ht="15.75" thickBot="1" x14ac:dyDescent="0.3">
      <c r="A399" s="37">
        <v>391</v>
      </c>
      <c r="B399" s="93">
        <f t="shared" ref="B399:E399" si="2620">B398</f>
        <v>45919</v>
      </c>
      <c r="C399" s="93">
        <f t="shared" si="2620"/>
        <v>45919</v>
      </c>
      <c r="D399" s="94">
        <f t="shared" si="2620"/>
        <v>6</v>
      </c>
      <c r="E399" s="95">
        <f t="shared" si="2620"/>
        <v>15</v>
      </c>
      <c r="F399" s="13"/>
      <c r="G399" s="90"/>
      <c r="H399" s="97">
        <f t="shared" ref="H399:L399" si="2621">H398</f>
        <v>25.6</v>
      </c>
      <c r="I399" s="98">
        <f t="shared" si="2621"/>
        <v>0</v>
      </c>
      <c r="J399" s="99">
        <f t="shared" si="2621"/>
        <v>20.9</v>
      </c>
      <c r="K399" s="99">
        <f t="shared" si="2621"/>
        <v>7.883</v>
      </c>
      <c r="L399" s="99">
        <f t="shared" si="2621"/>
        <v>0.55400000000000005</v>
      </c>
      <c r="M399" s="45"/>
      <c r="N399" s="45"/>
      <c r="O399" s="100">
        <f t="shared" ref="O399:P399" si="2622">O398</f>
        <v>100.62</v>
      </c>
      <c r="P399" s="101" t="str">
        <f t="shared" si="2622"/>
        <v>2,29,560</v>
      </c>
      <c r="Q399" s="11" t="str">
        <f t="shared" si="2570"/>
        <v>2</v>
      </c>
      <c r="R399" s="11" t="str">
        <f t="shared" si="2571"/>
        <v>29,560</v>
      </c>
      <c r="S399" s="11">
        <f t="shared" si="2572"/>
        <v>4.1544444444444446E-2</v>
      </c>
      <c r="T399" s="14">
        <f t="shared" si="2573"/>
        <v>2421.9844878309709</v>
      </c>
      <c r="U399" s="39">
        <f t="shared" si="2547"/>
        <v>-100</v>
      </c>
      <c r="V399" s="105">
        <f t="shared" ref="V399:X399" si="2623">V398</f>
        <v>20.399999999999999</v>
      </c>
      <c r="W399" s="105">
        <f t="shared" si="2623"/>
        <v>1.5069999999999999</v>
      </c>
      <c r="X399" s="106">
        <f t="shared" si="2623"/>
        <v>1.504</v>
      </c>
      <c r="Y399" s="45"/>
      <c r="Z399" s="45"/>
      <c r="AA399" s="107">
        <f t="shared" ref="AA399:AB399" si="2624">AA398</f>
        <v>10.015000000000001</v>
      </c>
      <c r="AB399" s="108" t="str">
        <f t="shared" si="2624"/>
        <v>22,10,090</v>
      </c>
      <c r="AC399" s="11" t="str">
        <f t="shared" si="2576"/>
        <v>22</v>
      </c>
      <c r="AD399" s="11" t="str">
        <f t="shared" si="2577"/>
        <v>10,090</v>
      </c>
      <c r="AE399" s="11">
        <f t="shared" si="2578"/>
        <v>0.36946944444444441</v>
      </c>
      <c r="AF399" s="14">
        <f t="shared" si="2550"/>
        <v>27.106436406558959</v>
      </c>
      <c r="AG399" s="41">
        <f t="shared" si="2596"/>
        <v>-100</v>
      </c>
      <c r="AH399" s="105">
        <f t="shared" ref="AH399:AJ399" si="2625">AH398</f>
        <v>20.3</v>
      </c>
      <c r="AI399" s="105">
        <f t="shared" si="2625"/>
        <v>1.5089999999999999</v>
      </c>
      <c r="AJ399" s="105">
        <f t="shared" si="2625"/>
        <v>1.504</v>
      </c>
      <c r="AK399" s="53">
        <f t="shared" si="2409"/>
        <v>0</v>
      </c>
      <c r="AL399" s="45"/>
      <c r="AM399" s="54">
        <f t="shared" ref="AM399:AN399" si="2626">AM398</f>
        <v>5.0129999999999999</v>
      </c>
      <c r="AN399" s="101" t="str">
        <f t="shared" si="2626"/>
        <v>17,59,050</v>
      </c>
      <c r="AO399" s="11" t="str">
        <f t="shared" si="2581"/>
        <v>17</v>
      </c>
      <c r="AP399" s="11" t="str">
        <f t="shared" si="2582"/>
        <v>59,050</v>
      </c>
      <c r="AQ399" s="11">
        <f t="shared" si="2583"/>
        <v>0.29973611111111109</v>
      </c>
      <c r="AR399" s="14">
        <f t="shared" si="2553"/>
        <v>16.724711551827998</v>
      </c>
      <c r="AS399" s="41">
        <f t="shared" si="2554"/>
        <v>-100</v>
      </c>
      <c r="AT399" s="43" t="str">
        <f t="shared" si="2555"/>
        <v>NO CONFORME</v>
      </c>
      <c r="AU399" s="8" t="b">
        <f t="shared" si="2584"/>
        <v>1</v>
      </c>
      <c r="AV399" s="8" t="b">
        <f t="shared" si="2585"/>
        <v>0</v>
      </c>
      <c r="AW399" s="8" t="b">
        <f t="shared" si="2586"/>
        <v>1</v>
      </c>
      <c r="AX399" s="8" t="str">
        <f t="shared" si="2587"/>
        <v>Qcorrecto</v>
      </c>
      <c r="AY399" s="22" t="str">
        <f t="shared" si="2556"/>
        <v>aceptable</v>
      </c>
      <c r="AZ399" s="22" t="str">
        <f t="shared" si="2557"/>
        <v>aceptable</v>
      </c>
      <c r="BA399" s="22" t="str">
        <f t="shared" si="2588"/>
        <v>aceptable</v>
      </c>
      <c r="BB399" s="25" t="str">
        <f t="shared" si="2589"/>
        <v>NO CONFORME</v>
      </c>
      <c r="BC399" s="5" t="str">
        <f t="shared" si="2590"/>
        <v>NO CONFORME</v>
      </c>
      <c r="BD399" s="15">
        <f t="shared" si="2558"/>
        <v>-1</v>
      </c>
      <c r="BE399" s="15">
        <f t="shared" si="2559"/>
        <v>-1</v>
      </c>
      <c r="BF399" s="15">
        <f t="shared" si="2560"/>
        <v>-1</v>
      </c>
      <c r="BG399" s="15" t="str">
        <f t="shared" si="2561"/>
        <v>-1-1-1</v>
      </c>
      <c r="BH399" s="15" t="str">
        <f t="shared" si="2562"/>
        <v>SD</v>
      </c>
      <c r="BI399" s="15" t="str">
        <f t="shared" si="2563"/>
        <v>SI</v>
      </c>
      <c r="BJ399" s="15" t="b">
        <f t="shared" si="2564"/>
        <v>1</v>
      </c>
      <c r="BK399" s="15" t="str">
        <f t="shared" si="2565"/>
        <v>SIGIGUALES</v>
      </c>
      <c r="BL399" s="22" t="str">
        <f t="shared" si="2566"/>
        <v>NO CONFORME</v>
      </c>
    </row>
    <row r="400" spans="1:64" ht="15.75" thickBot="1" x14ac:dyDescent="0.3">
      <c r="A400" s="37">
        <v>392</v>
      </c>
      <c r="B400" s="93">
        <f t="shared" ref="B400:E400" si="2627">B399</f>
        <v>45919</v>
      </c>
      <c r="C400" s="93">
        <f t="shared" si="2627"/>
        <v>45919</v>
      </c>
      <c r="D400" s="94">
        <f t="shared" si="2627"/>
        <v>6</v>
      </c>
      <c r="E400" s="95">
        <f t="shared" si="2627"/>
        <v>15</v>
      </c>
      <c r="F400" s="13"/>
      <c r="G400" s="90"/>
      <c r="H400" s="97">
        <f t="shared" ref="H400:L400" si="2628">H399</f>
        <v>25.6</v>
      </c>
      <c r="I400" s="98">
        <f t="shared" si="2628"/>
        <v>0</v>
      </c>
      <c r="J400" s="99">
        <f t="shared" si="2628"/>
        <v>20.9</v>
      </c>
      <c r="K400" s="99">
        <f t="shared" si="2628"/>
        <v>7.883</v>
      </c>
      <c r="L400" s="99">
        <f t="shared" si="2628"/>
        <v>0.55400000000000005</v>
      </c>
      <c r="M400" s="45"/>
      <c r="N400" s="45"/>
      <c r="O400" s="100">
        <f t="shared" ref="O400:P400" si="2629">O399</f>
        <v>100.62</v>
      </c>
      <c r="P400" s="101" t="str">
        <f t="shared" si="2629"/>
        <v>2,29,560</v>
      </c>
      <c r="Q400" s="11" t="str">
        <f t="shared" si="2570"/>
        <v>2</v>
      </c>
      <c r="R400" s="11" t="str">
        <f t="shared" si="2571"/>
        <v>29,560</v>
      </c>
      <c r="S400" s="11">
        <f t="shared" si="2572"/>
        <v>4.1544444444444446E-2</v>
      </c>
      <c r="T400" s="14">
        <f t="shared" si="2573"/>
        <v>2421.9844878309709</v>
      </c>
      <c r="U400" s="39">
        <f t="shared" si="2547"/>
        <v>-100</v>
      </c>
      <c r="V400" s="105">
        <f t="shared" ref="V400:X400" si="2630">V399</f>
        <v>20.399999999999999</v>
      </c>
      <c r="W400" s="105">
        <f t="shared" si="2630"/>
        <v>1.5069999999999999</v>
      </c>
      <c r="X400" s="106">
        <f t="shared" si="2630"/>
        <v>1.504</v>
      </c>
      <c r="Y400" s="45"/>
      <c r="Z400" s="45"/>
      <c r="AA400" s="107">
        <f t="shared" ref="AA400:AB400" si="2631">AA399</f>
        <v>10.015000000000001</v>
      </c>
      <c r="AB400" s="108" t="str">
        <f t="shared" si="2631"/>
        <v>22,10,090</v>
      </c>
      <c r="AC400" s="11" t="str">
        <f t="shared" si="2576"/>
        <v>22</v>
      </c>
      <c r="AD400" s="11" t="str">
        <f t="shared" si="2577"/>
        <v>10,090</v>
      </c>
      <c r="AE400" s="11">
        <f t="shared" si="2578"/>
        <v>0.36946944444444441</v>
      </c>
      <c r="AF400" s="14">
        <f t="shared" si="2550"/>
        <v>27.106436406558959</v>
      </c>
      <c r="AG400" s="41">
        <f t="shared" si="2596"/>
        <v>-100</v>
      </c>
      <c r="AH400" s="105">
        <f t="shared" ref="AH400:AJ400" si="2632">AH399</f>
        <v>20.3</v>
      </c>
      <c r="AI400" s="105">
        <f t="shared" si="2632"/>
        <v>1.5089999999999999</v>
      </c>
      <c r="AJ400" s="105">
        <f t="shared" si="2632"/>
        <v>1.504</v>
      </c>
      <c r="AK400" s="53">
        <f t="shared" si="2409"/>
        <v>0</v>
      </c>
      <c r="AL400" s="45"/>
      <c r="AM400" s="54">
        <f t="shared" ref="AM400:AN400" si="2633">AM399</f>
        <v>5.0129999999999999</v>
      </c>
      <c r="AN400" s="101" t="str">
        <f t="shared" si="2633"/>
        <v>17,59,050</v>
      </c>
      <c r="AO400" s="11" t="str">
        <f t="shared" si="2581"/>
        <v>17</v>
      </c>
      <c r="AP400" s="11" t="str">
        <f t="shared" si="2582"/>
        <v>59,050</v>
      </c>
      <c r="AQ400" s="11">
        <f t="shared" si="2583"/>
        <v>0.29973611111111109</v>
      </c>
      <c r="AR400" s="14">
        <f t="shared" si="2553"/>
        <v>16.724711551827998</v>
      </c>
      <c r="AS400" s="41">
        <f t="shared" si="2554"/>
        <v>-100</v>
      </c>
      <c r="AT400" s="43" t="str">
        <f t="shared" si="2555"/>
        <v>NO CONFORME</v>
      </c>
      <c r="AU400" s="8" t="b">
        <f t="shared" si="2584"/>
        <v>1</v>
      </c>
      <c r="AV400" s="8" t="b">
        <f t="shared" si="2585"/>
        <v>0</v>
      </c>
      <c r="AW400" s="8" t="b">
        <f t="shared" si="2586"/>
        <v>1</v>
      </c>
      <c r="AX400" s="8" t="str">
        <f t="shared" si="2587"/>
        <v>Qcorrecto</v>
      </c>
      <c r="AY400" s="22" t="str">
        <f t="shared" si="2556"/>
        <v>aceptable</v>
      </c>
      <c r="AZ400" s="22" t="str">
        <f t="shared" si="2557"/>
        <v>aceptable</v>
      </c>
      <c r="BA400" s="22" t="str">
        <f t="shared" si="2588"/>
        <v>aceptable</v>
      </c>
      <c r="BB400" s="25" t="str">
        <f t="shared" si="2589"/>
        <v>NO CONFORME</v>
      </c>
      <c r="BC400" s="5" t="str">
        <f t="shared" si="2590"/>
        <v>NO CONFORME</v>
      </c>
      <c r="BD400" s="15">
        <f t="shared" si="2558"/>
        <v>-1</v>
      </c>
      <c r="BE400" s="15">
        <f t="shared" si="2559"/>
        <v>-1</v>
      </c>
      <c r="BF400" s="15">
        <f t="shared" si="2560"/>
        <v>-1</v>
      </c>
      <c r="BG400" s="15" t="str">
        <f t="shared" si="2561"/>
        <v>-1-1-1</v>
      </c>
      <c r="BH400" s="15" t="str">
        <f t="shared" si="2562"/>
        <v>SD</v>
      </c>
      <c r="BI400" s="15" t="str">
        <f t="shared" si="2563"/>
        <v>SI</v>
      </c>
      <c r="BJ400" s="15" t="b">
        <f t="shared" si="2564"/>
        <v>1</v>
      </c>
      <c r="BK400" s="15" t="str">
        <f t="shared" si="2565"/>
        <v>SIGIGUALES</v>
      </c>
      <c r="BL400" s="22" t="str">
        <f t="shared" si="2566"/>
        <v>NO CONFORME</v>
      </c>
    </row>
    <row r="401" spans="1:64" ht="15.75" thickBot="1" x14ac:dyDescent="0.3">
      <c r="A401" s="37">
        <v>393</v>
      </c>
      <c r="B401" s="93">
        <f t="shared" ref="B401:E401" si="2634">B400</f>
        <v>45919</v>
      </c>
      <c r="C401" s="93">
        <f t="shared" si="2634"/>
        <v>45919</v>
      </c>
      <c r="D401" s="94">
        <f t="shared" si="2634"/>
        <v>6</v>
      </c>
      <c r="E401" s="95">
        <f t="shared" si="2634"/>
        <v>15</v>
      </c>
      <c r="F401" s="13"/>
      <c r="G401" s="90"/>
      <c r="H401" s="97">
        <f t="shared" ref="H401:L401" si="2635">H400</f>
        <v>25.6</v>
      </c>
      <c r="I401" s="98">
        <f t="shared" si="2635"/>
        <v>0</v>
      </c>
      <c r="J401" s="99">
        <f t="shared" si="2635"/>
        <v>20.9</v>
      </c>
      <c r="K401" s="99">
        <f t="shared" si="2635"/>
        <v>7.883</v>
      </c>
      <c r="L401" s="99">
        <f t="shared" si="2635"/>
        <v>0.55400000000000005</v>
      </c>
      <c r="M401" s="45"/>
      <c r="N401" s="45"/>
      <c r="O401" s="100">
        <f t="shared" ref="O401:P401" si="2636">O400</f>
        <v>100.62</v>
      </c>
      <c r="P401" s="101" t="str">
        <f t="shared" si="2636"/>
        <v>2,29,560</v>
      </c>
      <c r="Q401" s="11" t="str">
        <f t="shared" si="2570"/>
        <v>2</v>
      </c>
      <c r="R401" s="11" t="str">
        <f t="shared" si="2571"/>
        <v>29,560</v>
      </c>
      <c r="S401" s="11">
        <f t="shared" si="2572"/>
        <v>4.1544444444444446E-2</v>
      </c>
      <c r="T401" s="14">
        <f t="shared" si="2573"/>
        <v>2421.9844878309709</v>
      </c>
      <c r="U401" s="39">
        <f t="shared" si="2547"/>
        <v>-100</v>
      </c>
      <c r="V401" s="105">
        <f t="shared" ref="V401:X401" si="2637">V400</f>
        <v>20.399999999999999</v>
      </c>
      <c r="W401" s="105">
        <f t="shared" si="2637"/>
        <v>1.5069999999999999</v>
      </c>
      <c r="X401" s="106">
        <f t="shared" si="2637"/>
        <v>1.504</v>
      </c>
      <c r="Y401" s="45"/>
      <c r="Z401" s="45"/>
      <c r="AA401" s="107">
        <f t="shared" ref="AA401:AB401" si="2638">AA400</f>
        <v>10.015000000000001</v>
      </c>
      <c r="AB401" s="108" t="str">
        <f t="shared" si="2638"/>
        <v>22,10,090</v>
      </c>
      <c r="AC401" s="11" t="str">
        <f t="shared" si="2576"/>
        <v>22</v>
      </c>
      <c r="AD401" s="11" t="str">
        <f t="shared" si="2577"/>
        <v>10,090</v>
      </c>
      <c r="AE401" s="11">
        <f t="shared" si="2578"/>
        <v>0.36946944444444441</v>
      </c>
      <c r="AF401" s="14">
        <f t="shared" si="2550"/>
        <v>27.106436406558959</v>
      </c>
      <c r="AG401" s="41">
        <f t="shared" si="2596"/>
        <v>-100</v>
      </c>
      <c r="AH401" s="105">
        <f t="shared" ref="AH401:AJ401" si="2639">AH400</f>
        <v>20.3</v>
      </c>
      <c r="AI401" s="105">
        <f t="shared" si="2639"/>
        <v>1.5089999999999999</v>
      </c>
      <c r="AJ401" s="105">
        <f t="shared" si="2639"/>
        <v>1.504</v>
      </c>
      <c r="AK401" s="53">
        <f t="shared" si="2409"/>
        <v>0</v>
      </c>
      <c r="AL401" s="45"/>
      <c r="AM401" s="54">
        <f t="shared" ref="AM401:AN401" si="2640">AM400</f>
        <v>5.0129999999999999</v>
      </c>
      <c r="AN401" s="101" t="str">
        <f t="shared" si="2640"/>
        <v>17,59,050</v>
      </c>
      <c r="AO401" s="11" t="str">
        <f t="shared" si="2581"/>
        <v>17</v>
      </c>
      <c r="AP401" s="11" t="str">
        <f t="shared" si="2582"/>
        <v>59,050</v>
      </c>
      <c r="AQ401" s="11">
        <f t="shared" si="2583"/>
        <v>0.29973611111111109</v>
      </c>
      <c r="AR401" s="14">
        <f t="shared" si="2553"/>
        <v>16.724711551827998</v>
      </c>
      <c r="AS401" s="41">
        <f t="shared" si="2554"/>
        <v>-100</v>
      </c>
      <c r="AT401" s="43" t="str">
        <f t="shared" si="2555"/>
        <v>NO CONFORME</v>
      </c>
      <c r="AU401" s="8" t="b">
        <f t="shared" si="2584"/>
        <v>1</v>
      </c>
      <c r="AV401" s="8" t="b">
        <f t="shared" si="2585"/>
        <v>0</v>
      </c>
      <c r="AW401" s="8" t="b">
        <f t="shared" si="2586"/>
        <v>1</v>
      </c>
      <c r="AX401" s="8" t="str">
        <f t="shared" si="2587"/>
        <v>Qcorrecto</v>
      </c>
      <c r="AY401" s="22" t="str">
        <f t="shared" si="2556"/>
        <v>aceptable</v>
      </c>
      <c r="AZ401" s="22" t="str">
        <f t="shared" si="2557"/>
        <v>aceptable</v>
      </c>
      <c r="BA401" s="22" t="str">
        <f t="shared" si="2588"/>
        <v>aceptable</v>
      </c>
      <c r="BB401" s="25" t="str">
        <f t="shared" si="2589"/>
        <v>NO CONFORME</v>
      </c>
      <c r="BC401" s="5" t="str">
        <f t="shared" si="2590"/>
        <v>NO CONFORME</v>
      </c>
      <c r="BD401" s="15">
        <f t="shared" si="2558"/>
        <v>-1</v>
      </c>
      <c r="BE401" s="15">
        <f t="shared" si="2559"/>
        <v>-1</v>
      </c>
      <c r="BF401" s="15">
        <f t="shared" si="2560"/>
        <v>-1</v>
      </c>
      <c r="BG401" s="15" t="str">
        <f t="shared" si="2561"/>
        <v>-1-1-1</v>
      </c>
      <c r="BH401" s="15" t="str">
        <f t="shared" si="2562"/>
        <v>SD</v>
      </c>
      <c r="BI401" s="15" t="str">
        <f t="shared" si="2563"/>
        <v>SI</v>
      </c>
      <c r="BJ401" s="15" t="b">
        <f t="shared" si="2564"/>
        <v>1</v>
      </c>
      <c r="BK401" s="15" t="str">
        <f t="shared" si="2565"/>
        <v>SIGIGUALES</v>
      </c>
      <c r="BL401" s="22" t="str">
        <f t="shared" si="2566"/>
        <v>NO CONFORME</v>
      </c>
    </row>
    <row r="402" spans="1:64" ht="15.75" thickBot="1" x14ac:dyDescent="0.3">
      <c r="A402" s="37">
        <v>394</v>
      </c>
      <c r="B402" s="93">
        <f t="shared" ref="B402:E402" si="2641">B401</f>
        <v>45919</v>
      </c>
      <c r="C402" s="93">
        <f t="shared" si="2641"/>
        <v>45919</v>
      </c>
      <c r="D402" s="94">
        <f t="shared" si="2641"/>
        <v>6</v>
      </c>
      <c r="E402" s="95">
        <f t="shared" si="2641"/>
        <v>15</v>
      </c>
      <c r="F402" s="13"/>
      <c r="G402" s="90"/>
      <c r="H402" s="97">
        <f t="shared" ref="H402:L402" si="2642">H401</f>
        <v>25.6</v>
      </c>
      <c r="I402" s="98">
        <f t="shared" si="2642"/>
        <v>0</v>
      </c>
      <c r="J402" s="99">
        <f t="shared" si="2642"/>
        <v>20.9</v>
      </c>
      <c r="K402" s="99">
        <f t="shared" si="2642"/>
        <v>7.883</v>
      </c>
      <c r="L402" s="99">
        <f t="shared" si="2642"/>
        <v>0.55400000000000005</v>
      </c>
      <c r="M402" s="45"/>
      <c r="N402" s="45"/>
      <c r="O402" s="100">
        <f t="shared" ref="O402:P402" si="2643">O401</f>
        <v>100.62</v>
      </c>
      <c r="P402" s="101" t="str">
        <f t="shared" si="2643"/>
        <v>2,29,560</v>
      </c>
      <c r="Q402" s="11" t="str">
        <f t="shared" si="2570"/>
        <v>2</v>
      </c>
      <c r="R402" s="11" t="str">
        <f t="shared" si="2571"/>
        <v>29,560</v>
      </c>
      <c r="S402" s="11">
        <f t="shared" si="2572"/>
        <v>4.1544444444444446E-2</v>
      </c>
      <c r="T402" s="14">
        <f t="shared" si="2573"/>
        <v>2421.9844878309709</v>
      </c>
      <c r="U402" s="39">
        <f t="shared" si="2547"/>
        <v>-100</v>
      </c>
      <c r="V402" s="105">
        <f t="shared" ref="V402:X402" si="2644">V401</f>
        <v>20.399999999999999</v>
      </c>
      <c r="W402" s="105">
        <f t="shared" si="2644"/>
        <v>1.5069999999999999</v>
      </c>
      <c r="X402" s="106">
        <f t="shared" si="2644"/>
        <v>1.504</v>
      </c>
      <c r="Y402" s="45"/>
      <c r="Z402" s="45"/>
      <c r="AA402" s="107">
        <f t="shared" ref="AA402:AB402" si="2645">AA401</f>
        <v>10.015000000000001</v>
      </c>
      <c r="AB402" s="108" t="str">
        <f t="shared" si="2645"/>
        <v>22,10,090</v>
      </c>
      <c r="AC402" s="11" t="str">
        <f t="shared" si="2576"/>
        <v>22</v>
      </c>
      <c r="AD402" s="11" t="str">
        <f t="shared" si="2577"/>
        <v>10,090</v>
      </c>
      <c r="AE402" s="11">
        <f t="shared" si="2578"/>
        <v>0.36946944444444441</v>
      </c>
      <c r="AF402" s="14">
        <f t="shared" si="2550"/>
        <v>27.106436406558959</v>
      </c>
      <c r="AG402" s="41">
        <f t="shared" si="2596"/>
        <v>-100</v>
      </c>
      <c r="AH402" s="105">
        <f t="shared" ref="AH402:AJ402" si="2646">AH401</f>
        <v>20.3</v>
      </c>
      <c r="AI402" s="105">
        <f t="shared" si="2646"/>
        <v>1.5089999999999999</v>
      </c>
      <c r="AJ402" s="105">
        <f t="shared" si="2646"/>
        <v>1.504</v>
      </c>
      <c r="AK402" s="53">
        <f t="shared" si="2409"/>
        <v>0</v>
      </c>
      <c r="AL402" s="45"/>
      <c r="AM402" s="54">
        <f t="shared" ref="AM402:AN402" si="2647">AM401</f>
        <v>5.0129999999999999</v>
      </c>
      <c r="AN402" s="101" t="str">
        <f t="shared" si="2647"/>
        <v>17,59,050</v>
      </c>
      <c r="AO402" s="11" t="str">
        <f t="shared" si="2581"/>
        <v>17</v>
      </c>
      <c r="AP402" s="11" t="str">
        <f t="shared" si="2582"/>
        <v>59,050</v>
      </c>
      <c r="AQ402" s="11">
        <f t="shared" si="2583"/>
        <v>0.29973611111111109</v>
      </c>
      <c r="AR402" s="14">
        <f t="shared" si="2553"/>
        <v>16.724711551827998</v>
      </c>
      <c r="AS402" s="41">
        <f t="shared" si="2554"/>
        <v>-100</v>
      </c>
      <c r="AT402" s="43" t="str">
        <f t="shared" si="2555"/>
        <v>NO CONFORME</v>
      </c>
      <c r="AU402" s="8" t="b">
        <f t="shared" si="2584"/>
        <v>1</v>
      </c>
      <c r="AV402" s="8" t="b">
        <f t="shared" si="2585"/>
        <v>0</v>
      </c>
      <c r="AW402" s="8" t="b">
        <f t="shared" si="2586"/>
        <v>1</v>
      </c>
      <c r="AX402" s="8" t="str">
        <f t="shared" si="2587"/>
        <v>Qcorrecto</v>
      </c>
      <c r="AY402" s="22" t="str">
        <f t="shared" si="2556"/>
        <v>aceptable</v>
      </c>
      <c r="AZ402" s="22" t="str">
        <f t="shared" si="2557"/>
        <v>aceptable</v>
      </c>
      <c r="BA402" s="22" t="str">
        <f t="shared" si="2588"/>
        <v>aceptable</v>
      </c>
      <c r="BB402" s="25" t="str">
        <f t="shared" si="2589"/>
        <v>NO CONFORME</v>
      </c>
      <c r="BC402" s="5" t="str">
        <f t="shared" si="2590"/>
        <v>NO CONFORME</v>
      </c>
      <c r="BD402" s="15">
        <f t="shared" si="2558"/>
        <v>-1</v>
      </c>
      <c r="BE402" s="15">
        <f t="shared" si="2559"/>
        <v>-1</v>
      </c>
      <c r="BF402" s="15">
        <f t="shared" si="2560"/>
        <v>-1</v>
      </c>
      <c r="BG402" s="15" t="str">
        <f t="shared" si="2561"/>
        <v>-1-1-1</v>
      </c>
      <c r="BH402" s="15" t="str">
        <f t="shared" si="2562"/>
        <v>SD</v>
      </c>
      <c r="BI402" s="15" t="str">
        <f t="shared" si="2563"/>
        <v>SI</v>
      </c>
      <c r="BJ402" s="15" t="b">
        <f t="shared" si="2564"/>
        <v>1</v>
      </c>
      <c r="BK402" s="15" t="str">
        <f t="shared" si="2565"/>
        <v>SIGIGUALES</v>
      </c>
      <c r="BL402" s="22" t="str">
        <f t="shared" si="2566"/>
        <v>NO CONFORME</v>
      </c>
    </row>
    <row r="403" spans="1:64" ht="15.75" thickBot="1" x14ac:dyDescent="0.3">
      <c r="A403" s="37">
        <v>395</v>
      </c>
      <c r="B403" s="93">
        <f t="shared" ref="B403:E403" si="2648">B402</f>
        <v>45919</v>
      </c>
      <c r="C403" s="93">
        <f t="shared" si="2648"/>
        <v>45919</v>
      </c>
      <c r="D403" s="94">
        <f t="shared" si="2648"/>
        <v>6</v>
      </c>
      <c r="E403" s="95">
        <f t="shared" si="2648"/>
        <v>15</v>
      </c>
      <c r="F403" s="13"/>
      <c r="G403" s="90"/>
      <c r="H403" s="97">
        <f t="shared" ref="H403:L403" si="2649">H402</f>
        <v>25.6</v>
      </c>
      <c r="I403" s="98">
        <f t="shared" si="2649"/>
        <v>0</v>
      </c>
      <c r="J403" s="99">
        <f t="shared" si="2649"/>
        <v>20.9</v>
      </c>
      <c r="K403" s="99">
        <f t="shared" si="2649"/>
        <v>7.883</v>
      </c>
      <c r="L403" s="99">
        <f t="shared" si="2649"/>
        <v>0.55400000000000005</v>
      </c>
      <c r="M403" s="45"/>
      <c r="N403" s="45"/>
      <c r="O403" s="100">
        <f t="shared" ref="O403:P403" si="2650">O402</f>
        <v>100.62</v>
      </c>
      <c r="P403" s="101" t="str">
        <f t="shared" si="2650"/>
        <v>2,29,560</v>
      </c>
      <c r="Q403" s="11" t="str">
        <f t="shared" si="2570"/>
        <v>2</v>
      </c>
      <c r="R403" s="11" t="str">
        <f t="shared" si="2571"/>
        <v>29,560</v>
      </c>
      <c r="S403" s="11">
        <f t="shared" si="2572"/>
        <v>4.1544444444444446E-2</v>
      </c>
      <c r="T403" s="14">
        <f t="shared" si="2573"/>
        <v>2421.9844878309709</v>
      </c>
      <c r="U403" s="39">
        <f t="shared" si="2547"/>
        <v>-100</v>
      </c>
      <c r="V403" s="105">
        <f t="shared" ref="V403:X403" si="2651">V402</f>
        <v>20.399999999999999</v>
      </c>
      <c r="W403" s="105">
        <f t="shared" si="2651"/>
        <v>1.5069999999999999</v>
      </c>
      <c r="X403" s="106">
        <f t="shared" si="2651"/>
        <v>1.504</v>
      </c>
      <c r="Y403" s="45"/>
      <c r="Z403" s="45"/>
      <c r="AA403" s="107">
        <f t="shared" ref="AA403:AB403" si="2652">AA402</f>
        <v>10.015000000000001</v>
      </c>
      <c r="AB403" s="108" t="str">
        <f t="shared" si="2652"/>
        <v>22,10,090</v>
      </c>
      <c r="AC403" s="11" t="str">
        <f t="shared" si="2576"/>
        <v>22</v>
      </c>
      <c r="AD403" s="11" t="str">
        <f t="shared" si="2577"/>
        <v>10,090</v>
      </c>
      <c r="AE403" s="11">
        <f t="shared" si="2578"/>
        <v>0.36946944444444441</v>
      </c>
      <c r="AF403" s="14">
        <f t="shared" si="2550"/>
        <v>27.106436406558959</v>
      </c>
      <c r="AG403" s="41">
        <f t="shared" si="2596"/>
        <v>-100</v>
      </c>
      <c r="AH403" s="105">
        <f t="shared" ref="AH403:AJ403" si="2653">AH402</f>
        <v>20.3</v>
      </c>
      <c r="AI403" s="105">
        <f t="shared" si="2653"/>
        <v>1.5089999999999999</v>
      </c>
      <c r="AJ403" s="105">
        <f t="shared" si="2653"/>
        <v>1.504</v>
      </c>
      <c r="AK403" s="53">
        <f t="shared" si="2409"/>
        <v>0</v>
      </c>
      <c r="AL403" s="45"/>
      <c r="AM403" s="54">
        <f t="shared" ref="AM403:AN403" si="2654">AM402</f>
        <v>5.0129999999999999</v>
      </c>
      <c r="AN403" s="101" t="str">
        <f t="shared" si="2654"/>
        <v>17,59,050</v>
      </c>
      <c r="AO403" s="11" t="str">
        <f t="shared" si="2581"/>
        <v>17</v>
      </c>
      <c r="AP403" s="11" t="str">
        <f t="shared" si="2582"/>
        <v>59,050</v>
      </c>
      <c r="AQ403" s="11">
        <f t="shared" si="2583"/>
        <v>0.29973611111111109</v>
      </c>
      <c r="AR403" s="14">
        <f t="shared" si="2553"/>
        <v>16.724711551827998</v>
      </c>
      <c r="AS403" s="41">
        <f t="shared" si="2554"/>
        <v>-100</v>
      </c>
      <c r="AT403" s="43" t="str">
        <f t="shared" si="2555"/>
        <v>NO CONFORME</v>
      </c>
      <c r="AU403" s="8" t="b">
        <f t="shared" si="2584"/>
        <v>1</v>
      </c>
      <c r="AV403" s="8" t="b">
        <f t="shared" si="2585"/>
        <v>0</v>
      </c>
      <c r="AW403" s="8" t="b">
        <f t="shared" si="2586"/>
        <v>1</v>
      </c>
      <c r="AX403" s="8" t="str">
        <f t="shared" si="2587"/>
        <v>Qcorrecto</v>
      </c>
      <c r="AY403" s="22" t="str">
        <f t="shared" si="2556"/>
        <v>aceptable</v>
      </c>
      <c r="AZ403" s="22" t="str">
        <f t="shared" si="2557"/>
        <v>aceptable</v>
      </c>
      <c r="BA403" s="22" t="str">
        <f t="shared" si="2588"/>
        <v>aceptable</v>
      </c>
      <c r="BB403" s="25" t="str">
        <f t="shared" si="2589"/>
        <v>NO CONFORME</v>
      </c>
      <c r="BC403" s="5" t="str">
        <f t="shared" si="2590"/>
        <v>NO CONFORME</v>
      </c>
      <c r="BD403" s="15">
        <f t="shared" si="2558"/>
        <v>-1</v>
      </c>
      <c r="BE403" s="15">
        <f t="shared" si="2559"/>
        <v>-1</v>
      </c>
      <c r="BF403" s="15">
        <f t="shared" si="2560"/>
        <v>-1</v>
      </c>
      <c r="BG403" s="15" t="str">
        <f t="shared" si="2561"/>
        <v>-1-1-1</v>
      </c>
      <c r="BH403" s="15" t="str">
        <f t="shared" si="2562"/>
        <v>SD</v>
      </c>
      <c r="BI403" s="15" t="str">
        <f t="shared" si="2563"/>
        <v>SI</v>
      </c>
      <c r="BJ403" s="15" t="b">
        <f t="shared" si="2564"/>
        <v>1</v>
      </c>
      <c r="BK403" s="15" t="str">
        <f t="shared" si="2565"/>
        <v>SIGIGUALES</v>
      </c>
      <c r="BL403" s="22" t="str">
        <f t="shared" si="2566"/>
        <v>NO CONFORME</v>
      </c>
    </row>
    <row r="404" spans="1:64" ht="15.75" thickBot="1" x14ac:dyDescent="0.3">
      <c r="A404" s="37">
        <v>396</v>
      </c>
      <c r="B404" s="93">
        <f t="shared" ref="B404:E404" si="2655">B403</f>
        <v>45919</v>
      </c>
      <c r="C404" s="93">
        <f t="shared" si="2655"/>
        <v>45919</v>
      </c>
      <c r="D404" s="94">
        <f t="shared" si="2655"/>
        <v>6</v>
      </c>
      <c r="E404" s="95">
        <f t="shared" si="2655"/>
        <v>15</v>
      </c>
      <c r="F404" s="13"/>
      <c r="G404" s="90"/>
      <c r="H404" s="97">
        <f t="shared" ref="H404:L404" si="2656">H403</f>
        <v>25.6</v>
      </c>
      <c r="I404" s="98">
        <f t="shared" si="2656"/>
        <v>0</v>
      </c>
      <c r="J404" s="99">
        <f t="shared" si="2656"/>
        <v>20.9</v>
      </c>
      <c r="K404" s="99">
        <f t="shared" si="2656"/>
        <v>7.883</v>
      </c>
      <c r="L404" s="99">
        <f t="shared" si="2656"/>
        <v>0.55400000000000005</v>
      </c>
      <c r="M404" s="45"/>
      <c r="N404" s="45"/>
      <c r="O404" s="100">
        <f t="shared" ref="O404:P404" si="2657">O403</f>
        <v>100.62</v>
      </c>
      <c r="P404" s="101" t="str">
        <f t="shared" si="2657"/>
        <v>2,29,560</v>
      </c>
      <c r="Q404" s="11" t="str">
        <f t="shared" si="2570"/>
        <v>2</v>
      </c>
      <c r="R404" s="11" t="str">
        <f t="shared" si="2571"/>
        <v>29,560</v>
      </c>
      <c r="S404" s="11">
        <f t="shared" si="2572"/>
        <v>4.1544444444444446E-2</v>
      </c>
      <c r="T404" s="14">
        <f t="shared" si="2573"/>
        <v>2421.9844878309709</v>
      </c>
      <c r="U404" s="39">
        <f t="shared" si="2547"/>
        <v>-100</v>
      </c>
      <c r="V404" s="105">
        <f t="shared" ref="V404:X404" si="2658">V403</f>
        <v>20.399999999999999</v>
      </c>
      <c r="W404" s="105">
        <f t="shared" si="2658"/>
        <v>1.5069999999999999</v>
      </c>
      <c r="X404" s="106">
        <f t="shared" si="2658"/>
        <v>1.504</v>
      </c>
      <c r="Y404" s="45"/>
      <c r="Z404" s="45"/>
      <c r="AA404" s="107">
        <f t="shared" ref="AA404:AB404" si="2659">AA403</f>
        <v>10.015000000000001</v>
      </c>
      <c r="AB404" s="108" t="str">
        <f t="shared" si="2659"/>
        <v>22,10,090</v>
      </c>
      <c r="AC404" s="11" t="str">
        <f t="shared" si="2576"/>
        <v>22</v>
      </c>
      <c r="AD404" s="11" t="str">
        <f t="shared" si="2577"/>
        <v>10,090</v>
      </c>
      <c r="AE404" s="11">
        <f t="shared" si="2578"/>
        <v>0.36946944444444441</v>
      </c>
      <c r="AF404" s="14">
        <f t="shared" si="2550"/>
        <v>27.106436406558959</v>
      </c>
      <c r="AG404" s="41">
        <f t="shared" si="2596"/>
        <v>-100</v>
      </c>
      <c r="AH404" s="105">
        <f t="shared" ref="AH404:AJ404" si="2660">AH403</f>
        <v>20.3</v>
      </c>
      <c r="AI404" s="105">
        <f t="shared" si="2660"/>
        <v>1.5089999999999999</v>
      </c>
      <c r="AJ404" s="105">
        <f t="shared" si="2660"/>
        <v>1.504</v>
      </c>
      <c r="AK404" s="53">
        <f t="shared" si="2409"/>
        <v>0</v>
      </c>
      <c r="AL404" s="45"/>
      <c r="AM404" s="54">
        <f t="shared" ref="AM404:AN404" si="2661">AM403</f>
        <v>5.0129999999999999</v>
      </c>
      <c r="AN404" s="101" t="str">
        <f t="shared" si="2661"/>
        <v>17,59,050</v>
      </c>
      <c r="AO404" s="11" t="str">
        <f t="shared" si="2581"/>
        <v>17</v>
      </c>
      <c r="AP404" s="11" t="str">
        <f t="shared" si="2582"/>
        <v>59,050</v>
      </c>
      <c r="AQ404" s="11">
        <f t="shared" si="2583"/>
        <v>0.29973611111111109</v>
      </c>
      <c r="AR404" s="14">
        <f t="shared" si="2553"/>
        <v>16.724711551827998</v>
      </c>
      <c r="AS404" s="41">
        <f t="shared" si="2554"/>
        <v>-100</v>
      </c>
      <c r="AT404" s="43" t="str">
        <f t="shared" si="2555"/>
        <v>NO CONFORME</v>
      </c>
      <c r="AU404" s="8" t="b">
        <f t="shared" si="2584"/>
        <v>1</v>
      </c>
      <c r="AV404" s="8" t="b">
        <f t="shared" si="2585"/>
        <v>0</v>
      </c>
      <c r="AW404" s="8" t="b">
        <f t="shared" si="2586"/>
        <v>1</v>
      </c>
      <c r="AX404" s="8" t="str">
        <f t="shared" si="2587"/>
        <v>Qcorrecto</v>
      </c>
      <c r="AY404" s="22" t="str">
        <f t="shared" si="2556"/>
        <v>aceptable</v>
      </c>
      <c r="AZ404" s="22" t="str">
        <f t="shared" si="2557"/>
        <v>aceptable</v>
      </c>
      <c r="BA404" s="22" t="str">
        <f t="shared" si="2588"/>
        <v>aceptable</v>
      </c>
      <c r="BB404" s="25" t="str">
        <f t="shared" si="2589"/>
        <v>NO CONFORME</v>
      </c>
      <c r="BC404" s="5" t="str">
        <f t="shared" si="2590"/>
        <v>NO CONFORME</v>
      </c>
      <c r="BD404" s="15">
        <f t="shared" si="2558"/>
        <v>-1</v>
      </c>
      <c r="BE404" s="15">
        <f t="shared" si="2559"/>
        <v>-1</v>
      </c>
      <c r="BF404" s="15">
        <f t="shared" si="2560"/>
        <v>-1</v>
      </c>
      <c r="BG404" s="15" t="str">
        <f t="shared" si="2561"/>
        <v>-1-1-1</v>
      </c>
      <c r="BH404" s="15" t="str">
        <f t="shared" si="2562"/>
        <v>SD</v>
      </c>
      <c r="BI404" s="15" t="str">
        <f t="shared" si="2563"/>
        <v>SI</v>
      </c>
      <c r="BJ404" s="15" t="b">
        <f t="shared" si="2564"/>
        <v>1</v>
      </c>
      <c r="BK404" s="15" t="str">
        <f t="shared" si="2565"/>
        <v>SIGIGUALES</v>
      </c>
      <c r="BL404" s="22" t="str">
        <f t="shared" si="2566"/>
        <v>NO CONFORME</v>
      </c>
    </row>
    <row r="405" spans="1:64" ht="15.75" thickBot="1" x14ac:dyDescent="0.3">
      <c r="A405" s="37">
        <v>397</v>
      </c>
      <c r="B405" s="93">
        <f t="shared" ref="B405:E405" si="2662">B404</f>
        <v>45919</v>
      </c>
      <c r="C405" s="93">
        <f t="shared" si="2662"/>
        <v>45919</v>
      </c>
      <c r="D405" s="94">
        <f t="shared" si="2662"/>
        <v>6</v>
      </c>
      <c r="E405" s="95">
        <f t="shared" si="2662"/>
        <v>15</v>
      </c>
      <c r="F405" s="13"/>
      <c r="G405" s="90"/>
      <c r="H405" s="97">
        <f t="shared" ref="H405:L405" si="2663">H404</f>
        <v>25.6</v>
      </c>
      <c r="I405" s="98">
        <f t="shared" si="2663"/>
        <v>0</v>
      </c>
      <c r="J405" s="99">
        <f t="shared" si="2663"/>
        <v>20.9</v>
      </c>
      <c r="K405" s="99">
        <f t="shared" si="2663"/>
        <v>7.883</v>
      </c>
      <c r="L405" s="99">
        <f t="shared" si="2663"/>
        <v>0.55400000000000005</v>
      </c>
      <c r="M405" s="45"/>
      <c r="N405" s="45"/>
      <c r="O405" s="100">
        <f t="shared" ref="O405:P405" si="2664">O404</f>
        <v>100.62</v>
      </c>
      <c r="P405" s="101" t="str">
        <f t="shared" si="2664"/>
        <v>2,29,560</v>
      </c>
      <c r="Q405" s="11" t="str">
        <f t="shared" si="2570"/>
        <v>2</v>
      </c>
      <c r="R405" s="11" t="str">
        <f t="shared" si="2571"/>
        <v>29,560</v>
      </c>
      <c r="S405" s="11">
        <f t="shared" si="2572"/>
        <v>4.1544444444444446E-2</v>
      </c>
      <c r="T405" s="14">
        <f t="shared" si="2573"/>
        <v>2421.9844878309709</v>
      </c>
      <c r="U405" s="39">
        <f t="shared" si="2547"/>
        <v>-100</v>
      </c>
      <c r="V405" s="105">
        <f t="shared" ref="V405:X405" si="2665">V404</f>
        <v>20.399999999999999</v>
      </c>
      <c r="W405" s="105">
        <f t="shared" si="2665"/>
        <v>1.5069999999999999</v>
      </c>
      <c r="X405" s="106">
        <f t="shared" si="2665"/>
        <v>1.504</v>
      </c>
      <c r="Y405" s="45"/>
      <c r="Z405" s="45"/>
      <c r="AA405" s="107">
        <f t="shared" ref="AA405:AB405" si="2666">AA404</f>
        <v>10.015000000000001</v>
      </c>
      <c r="AB405" s="108" t="str">
        <f t="shared" si="2666"/>
        <v>22,10,090</v>
      </c>
      <c r="AC405" s="11" t="str">
        <f t="shared" si="2576"/>
        <v>22</v>
      </c>
      <c r="AD405" s="11" t="str">
        <f t="shared" si="2577"/>
        <v>10,090</v>
      </c>
      <c r="AE405" s="11">
        <f t="shared" si="2578"/>
        <v>0.36946944444444441</v>
      </c>
      <c r="AF405" s="14">
        <f t="shared" si="2550"/>
        <v>27.106436406558959</v>
      </c>
      <c r="AG405" s="41">
        <f t="shared" si="2596"/>
        <v>-100</v>
      </c>
      <c r="AH405" s="105">
        <f t="shared" ref="AH405:AJ405" si="2667">AH404</f>
        <v>20.3</v>
      </c>
      <c r="AI405" s="105">
        <f t="shared" si="2667"/>
        <v>1.5089999999999999</v>
      </c>
      <c r="AJ405" s="105">
        <f t="shared" si="2667"/>
        <v>1.504</v>
      </c>
      <c r="AK405" s="53">
        <f t="shared" si="2409"/>
        <v>0</v>
      </c>
      <c r="AL405" s="45"/>
      <c r="AM405" s="54">
        <f t="shared" ref="AM405:AN405" si="2668">AM404</f>
        <v>5.0129999999999999</v>
      </c>
      <c r="AN405" s="101" t="str">
        <f t="shared" si="2668"/>
        <v>17,59,050</v>
      </c>
      <c r="AO405" s="11" t="str">
        <f t="shared" si="2581"/>
        <v>17</v>
      </c>
      <c r="AP405" s="11" t="str">
        <f t="shared" si="2582"/>
        <v>59,050</v>
      </c>
      <c r="AQ405" s="11">
        <f t="shared" si="2583"/>
        <v>0.29973611111111109</v>
      </c>
      <c r="AR405" s="14">
        <f t="shared" si="2553"/>
        <v>16.724711551827998</v>
      </c>
      <c r="AS405" s="41">
        <f t="shared" si="2554"/>
        <v>-100</v>
      </c>
      <c r="AT405" s="43" t="str">
        <f t="shared" si="2555"/>
        <v>NO CONFORME</v>
      </c>
      <c r="AU405" s="8" t="b">
        <f t="shared" si="2584"/>
        <v>1</v>
      </c>
      <c r="AV405" s="8" t="b">
        <f t="shared" si="2585"/>
        <v>0</v>
      </c>
      <c r="AW405" s="8" t="b">
        <f t="shared" si="2586"/>
        <v>1</v>
      </c>
      <c r="AX405" s="8" t="str">
        <f t="shared" si="2587"/>
        <v>Qcorrecto</v>
      </c>
      <c r="AY405" s="22" t="str">
        <f t="shared" si="2556"/>
        <v>aceptable</v>
      </c>
      <c r="AZ405" s="22" t="str">
        <f t="shared" si="2557"/>
        <v>aceptable</v>
      </c>
      <c r="BA405" s="22" t="str">
        <f t="shared" si="2588"/>
        <v>aceptable</v>
      </c>
      <c r="BB405" s="25" t="str">
        <f t="shared" si="2589"/>
        <v>NO CONFORME</v>
      </c>
      <c r="BC405" s="5" t="str">
        <f t="shared" si="2590"/>
        <v>NO CONFORME</v>
      </c>
      <c r="BD405" s="15">
        <f t="shared" si="2558"/>
        <v>-1</v>
      </c>
      <c r="BE405" s="15">
        <f t="shared" si="2559"/>
        <v>-1</v>
      </c>
      <c r="BF405" s="15">
        <f t="shared" si="2560"/>
        <v>-1</v>
      </c>
      <c r="BG405" s="15" t="str">
        <f t="shared" si="2561"/>
        <v>-1-1-1</v>
      </c>
      <c r="BH405" s="15" t="str">
        <f t="shared" si="2562"/>
        <v>SD</v>
      </c>
      <c r="BI405" s="15" t="str">
        <f t="shared" si="2563"/>
        <v>SI</v>
      </c>
      <c r="BJ405" s="15" t="b">
        <f t="shared" si="2564"/>
        <v>1</v>
      </c>
      <c r="BK405" s="15" t="str">
        <f t="shared" si="2565"/>
        <v>SIGIGUALES</v>
      </c>
      <c r="BL405" s="22" t="str">
        <f t="shared" si="2566"/>
        <v>NO CONFORME</v>
      </c>
    </row>
    <row r="406" spans="1:64" ht="15.75" thickBot="1" x14ac:dyDescent="0.3">
      <c r="A406" s="37">
        <v>398</v>
      </c>
      <c r="B406" s="93">
        <f t="shared" ref="B406:E406" si="2669">B405</f>
        <v>45919</v>
      </c>
      <c r="C406" s="93">
        <f t="shared" si="2669"/>
        <v>45919</v>
      </c>
      <c r="D406" s="94">
        <f t="shared" si="2669"/>
        <v>6</v>
      </c>
      <c r="E406" s="95">
        <f t="shared" si="2669"/>
        <v>15</v>
      </c>
      <c r="F406" s="13"/>
      <c r="G406" s="90"/>
      <c r="H406" s="97">
        <f t="shared" ref="H406:L406" si="2670">H405</f>
        <v>25.6</v>
      </c>
      <c r="I406" s="98">
        <f t="shared" si="2670"/>
        <v>0</v>
      </c>
      <c r="J406" s="99">
        <f t="shared" si="2670"/>
        <v>20.9</v>
      </c>
      <c r="K406" s="99">
        <f t="shared" si="2670"/>
        <v>7.883</v>
      </c>
      <c r="L406" s="99">
        <f t="shared" si="2670"/>
        <v>0.55400000000000005</v>
      </c>
      <c r="M406" s="45"/>
      <c r="N406" s="45"/>
      <c r="O406" s="100">
        <f t="shared" ref="O406:P406" si="2671">O405</f>
        <v>100.62</v>
      </c>
      <c r="P406" s="101" t="str">
        <f t="shared" si="2671"/>
        <v>2,29,560</v>
      </c>
      <c r="Q406" s="11" t="str">
        <f t="shared" si="2570"/>
        <v>2</v>
      </c>
      <c r="R406" s="11" t="str">
        <f t="shared" si="2571"/>
        <v>29,560</v>
      </c>
      <c r="S406" s="11">
        <f t="shared" si="2572"/>
        <v>4.1544444444444446E-2</v>
      </c>
      <c r="T406" s="14">
        <f t="shared" si="2573"/>
        <v>2421.9844878309709</v>
      </c>
      <c r="U406" s="39">
        <f t="shared" si="2547"/>
        <v>-100</v>
      </c>
      <c r="V406" s="105">
        <f t="shared" ref="V406:X406" si="2672">V405</f>
        <v>20.399999999999999</v>
      </c>
      <c r="W406" s="105">
        <f t="shared" si="2672"/>
        <v>1.5069999999999999</v>
      </c>
      <c r="X406" s="106">
        <f t="shared" si="2672"/>
        <v>1.504</v>
      </c>
      <c r="Y406" s="45"/>
      <c r="Z406" s="45"/>
      <c r="AA406" s="107">
        <f t="shared" ref="AA406:AB406" si="2673">AA405</f>
        <v>10.015000000000001</v>
      </c>
      <c r="AB406" s="108" t="str">
        <f t="shared" si="2673"/>
        <v>22,10,090</v>
      </c>
      <c r="AC406" s="11" t="str">
        <f t="shared" si="2576"/>
        <v>22</v>
      </c>
      <c r="AD406" s="11" t="str">
        <f t="shared" si="2577"/>
        <v>10,090</v>
      </c>
      <c r="AE406" s="11">
        <f t="shared" si="2578"/>
        <v>0.36946944444444441</v>
      </c>
      <c r="AF406" s="14">
        <f t="shared" si="2550"/>
        <v>27.106436406558959</v>
      </c>
      <c r="AG406" s="41">
        <f t="shared" si="2596"/>
        <v>-100</v>
      </c>
      <c r="AH406" s="105">
        <f t="shared" ref="AH406:AJ406" si="2674">AH405</f>
        <v>20.3</v>
      </c>
      <c r="AI406" s="105">
        <f t="shared" si="2674"/>
        <v>1.5089999999999999</v>
      </c>
      <c r="AJ406" s="105">
        <f t="shared" si="2674"/>
        <v>1.504</v>
      </c>
      <c r="AK406" s="53">
        <f t="shared" si="2409"/>
        <v>0</v>
      </c>
      <c r="AL406" s="45"/>
      <c r="AM406" s="54">
        <f t="shared" ref="AM406:AN406" si="2675">AM405</f>
        <v>5.0129999999999999</v>
      </c>
      <c r="AN406" s="101" t="str">
        <f t="shared" si="2675"/>
        <v>17,59,050</v>
      </c>
      <c r="AO406" s="11" t="str">
        <f t="shared" si="2581"/>
        <v>17</v>
      </c>
      <c r="AP406" s="11" t="str">
        <f t="shared" si="2582"/>
        <v>59,050</v>
      </c>
      <c r="AQ406" s="11">
        <f t="shared" si="2583"/>
        <v>0.29973611111111109</v>
      </c>
      <c r="AR406" s="14">
        <f t="shared" si="2553"/>
        <v>16.724711551827998</v>
      </c>
      <c r="AS406" s="41">
        <f t="shared" si="2554"/>
        <v>-100</v>
      </c>
      <c r="AT406" s="43" t="str">
        <f t="shared" si="2555"/>
        <v>NO CONFORME</v>
      </c>
      <c r="AU406" s="8" t="b">
        <f t="shared" si="2584"/>
        <v>1</v>
      </c>
      <c r="AV406" s="8" t="b">
        <f t="shared" si="2585"/>
        <v>0</v>
      </c>
      <c r="AW406" s="8" t="b">
        <f t="shared" si="2586"/>
        <v>1</v>
      </c>
      <c r="AX406" s="8" t="str">
        <f t="shared" si="2587"/>
        <v>Qcorrecto</v>
      </c>
      <c r="AY406" s="22" t="str">
        <f t="shared" si="2556"/>
        <v>aceptable</v>
      </c>
      <c r="AZ406" s="22" t="str">
        <f t="shared" si="2557"/>
        <v>aceptable</v>
      </c>
      <c r="BA406" s="22" t="str">
        <f t="shared" si="2588"/>
        <v>aceptable</v>
      </c>
      <c r="BB406" s="25" t="str">
        <f t="shared" si="2589"/>
        <v>NO CONFORME</v>
      </c>
      <c r="BC406" s="5" t="str">
        <f t="shared" si="2590"/>
        <v>NO CONFORME</v>
      </c>
      <c r="BD406" s="15">
        <f t="shared" si="2558"/>
        <v>-1</v>
      </c>
      <c r="BE406" s="15">
        <f t="shared" si="2559"/>
        <v>-1</v>
      </c>
      <c r="BF406" s="15">
        <f t="shared" si="2560"/>
        <v>-1</v>
      </c>
      <c r="BG406" s="15" t="str">
        <f t="shared" si="2561"/>
        <v>-1-1-1</v>
      </c>
      <c r="BH406" s="15" t="str">
        <f t="shared" si="2562"/>
        <v>SD</v>
      </c>
      <c r="BI406" s="15" t="str">
        <f t="shared" si="2563"/>
        <v>SI</v>
      </c>
      <c r="BJ406" s="15" t="b">
        <f t="shared" si="2564"/>
        <v>1</v>
      </c>
      <c r="BK406" s="15" t="str">
        <f t="shared" si="2565"/>
        <v>SIGIGUALES</v>
      </c>
      <c r="BL406" s="22" t="str">
        <f t="shared" si="2566"/>
        <v>NO CONFORME</v>
      </c>
    </row>
    <row r="407" spans="1:64" ht="15.75" thickBot="1" x14ac:dyDescent="0.3">
      <c r="A407" s="37">
        <v>399</v>
      </c>
      <c r="B407" s="93">
        <f t="shared" ref="B407:E407" si="2676">B406</f>
        <v>45919</v>
      </c>
      <c r="C407" s="93">
        <f t="shared" si="2676"/>
        <v>45919</v>
      </c>
      <c r="D407" s="94">
        <f t="shared" si="2676"/>
        <v>6</v>
      </c>
      <c r="E407" s="95">
        <f t="shared" si="2676"/>
        <v>15</v>
      </c>
      <c r="F407" s="13"/>
      <c r="G407" s="90"/>
      <c r="H407" s="97">
        <f t="shared" ref="H407:L407" si="2677">H406</f>
        <v>25.6</v>
      </c>
      <c r="I407" s="98">
        <f t="shared" si="2677"/>
        <v>0</v>
      </c>
      <c r="J407" s="99">
        <f t="shared" si="2677"/>
        <v>20.9</v>
      </c>
      <c r="K407" s="99">
        <f t="shared" si="2677"/>
        <v>7.883</v>
      </c>
      <c r="L407" s="99">
        <f t="shared" si="2677"/>
        <v>0.55400000000000005</v>
      </c>
      <c r="M407" s="45"/>
      <c r="N407" s="45"/>
      <c r="O407" s="100">
        <f t="shared" ref="O407:P407" si="2678">O406</f>
        <v>100.62</v>
      </c>
      <c r="P407" s="101" t="str">
        <f t="shared" si="2678"/>
        <v>2,29,560</v>
      </c>
      <c r="Q407" s="11" t="str">
        <f t="shared" si="2570"/>
        <v>2</v>
      </c>
      <c r="R407" s="11" t="str">
        <f t="shared" si="2571"/>
        <v>29,560</v>
      </c>
      <c r="S407" s="11">
        <f t="shared" si="2572"/>
        <v>4.1544444444444446E-2</v>
      </c>
      <c r="T407" s="14">
        <f t="shared" si="2573"/>
        <v>2421.9844878309709</v>
      </c>
      <c r="U407" s="39">
        <f t="shared" si="2547"/>
        <v>-100</v>
      </c>
      <c r="V407" s="105">
        <f t="shared" ref="V407:X407" si="2679">V406</f>
        <v>20.399999999999999</v>
      </c>
      <c r="W407" s="105">
        <f t="shared" si="2679"/>
        <v>1.5069999999999999</v>
      </c>
      <c r="X407" s="106">
        <f t="shared" si="2679"/>
        <v>1.504</v>
      </c>
      <c r="Y407" s="45"/>
      <c r="Z407" s="45"/>
      <c r="AA407" s="107">
        <f t="shared" ref="AA407:AB407" si="2680">AA406</f>
        <v>10.015000000000001</v>
      </c>
      <c r="AB407" s="108" t="str">
        <f t="shared" si="2680"/>
        <v>22,10,090</v>
      </c>
      <c r="AC407" s="11" t="str">
        <f t="shared" si="2576"/>
        <v>22</v>
      </c>
      <c r="AD407" s="11" t="str">
        <f t="shared" si="2577"/>
        <v>10,090</v>
      </c>
      <c r="AE407" s="11">
        <f t="shared" si="2578"/>
        <v>0.36946944444444441</v>
      </c>
      <c r="AF407" s="14">
        <f t="shared" si="2550"/>
        <v>27.106436406558959</v>
      </c>
      <c r="AG407" s="41">
        <f t="shared" si="2596"/>
        <v>-100</v>
      </c>
      <c r="AH407" s="105">
        <f t="shared" ref="AH407:AJ407" si="2681">AH406</f>
        <v>20.3</v>
      </c>
      <c r="AI407" s="105">
        <f t="shared" si="2681"/>
        <v>1.5089999999999999</v>
      </c>
      <c r="AJ407" s="105">
        <f t="shared" si="2681"/>
        <v>1.504</v>
      </c>
      <c r="AK407" s="53">
        <f t="shared" si="2409"/>
        <v>0</v>
      </c>
      <c r="AL407" s="45"/>
      <c r="AM407" s="54">
        <f t="shared" ref="AM407:AN407" si="2682">AM406</f>
        <v>5.0129999999999999</v>
      </c>
      <c r="AN407" s="101" t="str">
        <f t="shared" si="2682"/>
        <v>17,59,050</v>
      </c>
      <c r="AO407" s="11" t="str">
        <f t="shared" si="2581"/>
        <v>17</v>
      </c>
      <c r="AP407" s="11" t="str">
        <f t="shared" si="2582"/>
        <v>59,050</v>
      </c>
      <c r="AQ407" s="11">
        <f t="shared" si="2583"/>
        <v>0.29973611111111109</v>
      </c>
      <c r="AR407" s="14">
        <f t="shared" si="2553"/>
        <v>16.724711551827998</v>
      </c>
      <c r="AS407" s="41">
        <f t="shared" si="2554"/>
        <v>-100</v>
      </c>
      <c r="AT407" s="43" t="str">
        <f t="shared" si="2555"/>
        <v>NO CONFORME</v>
      </c>
      <c r="AU407" s="8" t="b">
        <f t="shared" si="2584"/>
        <v>1</v>
      </c>
      <c r="AV407" s="8" t="b">
        <f t="shared" si="2585"/>
        <v>0</v>
      </c>
      <c r="AW407" s="8" t="b">
        <f t="shared" si="2586"/>
        <v>1</v>
      </c>
      <c r="AX407" s="8" t="str">
        <f t="shared" si="2587"/>
        <v>Qcorrecto</v>
      </c>
      <c r="AY407" s="22" t="str">
        <f t="shared" si="2556"/>
        <v>aceptable</v>
      </c>
      <c r="AZ407" s="22" t="str">
        <f t="shared" si="2557"/>
        <v>aceptable</v>
      </c>
      <c r="BA407" s="22" t="str">
        <f t="shared" si="2588"/>
        <v>aceptable</v>
      </c>
      <c r="BB407" s="25" t="str">
        <f t="shared" si="2589"/>
        <v>NO CONFORME</v>
      </c>
      <c r="BC407" s="5" t="str">
        <f t="shared" si="2590"/>
        <v>NO CONFORME</v>
      </c>
      <c r="BD407" s="15">
        <f t="shared" si="2558"/>
        <v>-1</v>
      </c>
      <c r="BE407" s="15">
        <f t="shared" si="2559"/>
        <v>-1</v>
      </c>
      <c r="BF407" s="15">
        <f t="shared" si="2560"/>
        <v>-1</v>
      </c>
      <c r="BG407" s="15" t="str">
        <f t="shared" si="2561"/>
        <v>-1-1-1</v>
      </c>
      <c r="BH407" s="15" t="str">
        <f t="shared" si="2562"/>
        <v>SD</v>
      </c>
      <c r="BI407" s="15" t="str">
        <f t="shared" si="2563"/>
        <v>SI</v>
      </c>
      <c r="BJ407" s="15" t="b">
        <f t="shared" si="2564"/>
        <v>1</v>
      </c>
      <c r="BK407" s="15" t="str">
        <f t="shared" si="2565"/>
        <v>SIGIGUALES</v>
      </c>
      <c r="BL407" s="22" t="str">
        <f t="shared" si="2566"/>
        <v>NO CONFORME</v>
      </c>
    </row>
    <row r="408" spans="1:64" ht="15.75" thickBot="1" x14ac:dyDescent="0.3">
      <c r="A408" s="37">
        <v>400</v>
      </c>
      <c r="B408" s="93">
        <f t="shared" ref="B408:E408" si="2683">B407</f>
        <v>45919</v>
      </c>
      <c r="C408" s="93">
        <f t="shared" si="2683"/>
        <v>45919</v>
      </c>
      <c r="D408" s="94">
        <f t="shared" si="2683"/>
        <v>6</v>
      </c>
      <c r="E408" s="95">
        <f t="shared" si="2683"/>
        <v>15</v>
      </c>
      <c r="F408" s="52"/>
      <c r="G408" s="96"/>
      <c r="H408" s="97">
        <f t="shared" ref="H408:L408" si="2684">H407</f>
        <v>25.6</v>
      </c>
      <c r="I408" s="98">
        <f t="shared" si="2684"/>
        <v>0</v>
      </c>
      <c r="J408" s="99">
        <f t="shared" si="2684"/>
        <v>20.9</v>
      </c>
      <c r="K408" s="99">
        <f t="shared" si="2684"/>
        <v>7.883</v>
      </c>
      <c r="L408" s="99">
        <f t="shared" si="2684"/>
        <v>0.55400000000000005</v>
      </c>
      <c r="M408" s="53"/>
      <c r="N408" s="53"/>
      <c r="O408" s="100">
        <f t="shared" ref="O408:P408" si="2685">O407</f>
        <v>100.62</v>
      </c>
      <c r="P408" s="101" t="str">
        <f t="shared" si="2685"/>
        <v>2,29,560</v>
      </c>
      <c r="Q408" s="11" t="str">
        <f t="shared" si="2570"/>
        <v>2</v>
      </c>
      <c r="R408" s="11" t="str">
        <f t="shared" si="2571"/>
        <v>29,560</v>
      </c>
      <c r="S408" s="11">
        <f t="shared" si="2572"/>
        <v>4.1544444444444446E-2</v>
      </c>
      <c r="T408" s="14">
        <f t="shared" si="2573"/>
        <v>2421.9844878309709</v>
      </c>
      <c r="U408" s="39">
        <f t="shared" si="2547"/>
        <v>-100</v>
      </c>
      <c r="V408" s="105">
        <f t="shared" ref="V408:X408" si="2686">V407</f>
        <v>20.399999999999999</v>
      </c>
      <c r="W408" s="105">
        <f t="shared" si="2686"/>
        <v>1.5069999999999999</v>
      </c>
      <c r="X408" s="106">
        <f t="shared" si="2686"/>
        <v>1.504</v>
      </c>
      <c r="Y408" s="53"/>
      <c r="Z408" s="53"/>
      <c r="AA408" s="107">
        <f t="shared" ref="AA408:AB408" si="2687">AA407</f>
        <v>10.015000000000001</v>
      </c>
      <c r="AB408" s="108" t="str">
        <f t="shared" si="2687"/>
        <v>22,10,090</v>
      </c>
      <c r="AC408" s="11" t="str">
        <f t="shared" si="2576"/>
        <v>22</v>
      </c>
      <c r="AD408" s="11" t="str">
        <f t="shared" si="2577"/>
        <v>10,090</v>
      </c>
      <c r="AE408" s="11">
        <f t="shared" si="2578"/>
        <v>0.36946944444444441</v>
      </c>
      <c r="AF408" s="14">
        <f t="shared" si="2550"/>
        <v>27.106436406558959</v>
      </c>
      <c r="AG408" s="41">
        <f t="shared" si="2596"/>
        <v>-100</v>
      </c>
      <c r="AH408" s="105">
        <f t="shared" ref="AH408:AJ408" si="2688">AH407</f>
        <v>20.3</v>
      </c>
      <c r="AI408" s="105">
        <f t="shared" si="2688"/>
        <v>1.5089999999999999</v>
      </c>
      <c r="AJ408" s="105">
        <f t="shared" si="2688"/>
        <v>1.504</v>
      </c>
      <c r="AK408" s="53">
        <f t="shared" si="2409"/>
        <v>0</v>
      </c>
      <c r="AL408" s="53"/>
      <c r="AM408" s="54">
        <f t="shared" ref="AM408:AN408" si="2689">AM407</f>
        <v>5.0129999999999999</v>
      </c>
      <c r="AN408" s="101" t="str">
        <f t="shared" si="2689"/>
        <v>17,59,050</v>
      </c>
      <c r="AO408" s="11" t="str">
        <f t="shared" si="2581"/>
        <v>17</v>
      </c>
      <c r="AP408" s="11" t="str">
        <f t="shared" si="2582"/>
        <v>59,050</v>
      </c>
      <c r="AQ408" s="11">
        <f t="shared" si="2583"/>
        <v>0.29973611111111109</v>
      </c>
      <c r="AR408" s="14">
        <f t="shared" si="2553"/>
        <v>16.724711551827998</v>
      </c>
      <c r="AS408" s="41">
        <f t="shared" si="2554"/>
        <v>-100</v>
      </c>
      <c r="AT408" s="43" t="str">
        <f t="shared" si="2555"/>
        <v>NO CONFORME</v>
      </c>
      <c r="AU408" s="8" t="b">
        <f t="shared" si="2584"/>
        <v>1</v>
      </c>
      <c r="AV408" s="8" t="b">
        <f t="shared" si="2585"/>
        <v>0</v>
      </c>
      <c r="AW408" s="8" t="b">
        <f t="shared" si="2586"/>
        <v>1</v>
      </c>
      <c r="AX408" s="8" t="str">
        <f t="shared" si="2587"/>
        <v>Qcorrecto</v>
      </c>
      <c r="AY408" s="22" t="str">
        <f t="shared" si="2556"/>
        <v>aceptable</v>
      </c>
      <c r="AZ408" s="22" t="str">
        <f t="shared" si="2557"/>
        <v>aceptable</v>
      </c>
      <c r="BA408" s="22" t="str">
        <f t="shared" si="2588"/>
        <v>aceptable</v>
      </c>
      <c r="BB408" s="25" t="str">
        <f t="shared" si="2589"/>
        <v>NO CONFORME</v>
      </c>
      <c r="BC408" s="5" t="str">
        <f t="shared" si="2590"/>
        <v>NO CONFORME</v>
      </c>
      <c r="BD408" s="15">
        <f t="shared" si="2558"/>
        <v>-1</v>
      </c>
      <c r="BE408" s="15">
        <f t="shared" si="2559"/>
        <v>-1</v>
      </c>
      <c r="BF408" s="15">
        <f t="shared" si="2560"/>
        <v>-1</v>
      </c>
      <c r="BG408" s="15" t="str">
        <f t="shared" si="2561"/>
        <v>-1-1-1</v>
      </c>
      <c r="BH408" s="15" t="str">
        <f t="shared" si="2562"/>
        <v>SD</v>
      </c>
      <c r="BI408" s="15" t="str">
        <f t="shared" si="2563"/>
        <v>SI</v>
      </c>
      <c r="BJ408" s="15" t="b">
        <f t="shared" si="2564"/>
        <v>1</v>
      </c>
      <c r="BK408" s="15" t="str">
        <f t="shared" si="2565"/>
        <v>SIGIGUALES</v>
      </c>
      <c r="BL408" s="22" t="str">
        <f t="shared" si="2566"/>
        <v>NO CONFORME</v>
      </c>
    </row>
    <row r="409" spans="1:64" ht="15.75" thickBot="1" x14ac:dyDescent="0.3">
      <c r="A409" s="37">
        <v>401</v>
      </c>
      <c r="B409" s="93">
        <f t="shared" ref="B409:E409" si="2690">B408</f>
        <v>45919</v>
      </c>
      <c r="C409" s="93">
        <f t="shared" si="2690"/>
        <v>45919</v>
      </c>
      <c r="D409" s="94">
        <f t="shared" si="2690"/>
        <v>6</v>
      </c>
      <c r="E409" s="95">
        <f t="shared" si="2690"/>
        <v>15</v>
      </c>
      <c r="F409" s="46"/>
      <c r="G409" s="110"/>
      <c r="H409" s="97">
        <f t="shared" ref="H409:L409" si="2691">H408</f>
        <v>25.6</v>
      </c>
      <c r="I409" s="98">
        <f t="shared" si="2691"/>
        <v>0</v>
      </c>
      <c r="J409" s="99">
        <f t="shared" si="2691"/>
        <v>20.9</v>
      </c>
      <c r="K409" s="99">
        <f t="shared" si="2691"/>
        <v>7.883</v>
      </c>
      <c r="L409" s="99">
        <f t="shared" si="2691"/>
        <v>0.55400000000000005</v>
      </c>
      <c r="M409" s="47"/>
      <c r="N409" s="47"/>
      <c r="O409" s="100">
        <f t="shared" ref="O409:P409" si="2692">O408</f>
        <v>100.62</v>
      </c>
      <c r="P409" s="101" t="str">
        <f t="shared" si="2692"/>
        <v>2,29,560</v>
      </c>
      <c r="Q409" s="11" t="str">
        <f t="shared" si="2570"/>
        <v>2</v>
      </c>
      <c r="R409" s="11" t="str">
        <f t="shared" si="2571"/>
        <v>29,560</v>
      </c>
      <c r="S409" s="11">
        <f t="shared" si="2572"/>
        <v>4.1544444444444446E-2</v>
      </c>
      <c r="T409" s="14">
        <f t="shared" si="2573"/>
        <v>2421.9844878309709</v>
      </c>
      <c r="U409" s="39">
        <f t="shared" si="2547"/>
        <v>-100</v>
      </c>
      <c r="V409" s="105">
        <f t="shared" ref="V409:X409" si="2693">V408</f>
        <v>20.399999999999999</v>
      </c>
      <c r="W409" s="105">
        <f t="shared" si="2693"/>
        <v>1.5069999999999999</v>
      </c>
      <c r="X409" s="106">
        <f t="shared" si="2693"/>
        <v>1.504</v>
      </c>
      <c r="Y409" s="47"/>
      <c r="Z409" s="47"/>
      <c r="AA409" s="107">
        <f t="shared" ref="AA409:AB409" si="2694">AA408</f>
        <v>10.015000000000001</v>
      </c>
      <c r="AB409" s="108" t="str">
        <f t="shared" si="2694"/>
        <v>22,10,090</v>
      </c>
      <c r="AC409" s="11" t="str">
        <f t="shared" si="2576"/>
        <v>22</v>
      </c>
      <c r="AD409" s="11" t="str">
        <f t="shared" si="2577"/>
        <v>10,090</v>
      </c>
      <c r="AE409" s="11">
        <f t="shared" si="2578"/>
        <v>0.36946944444444441</v>
      </c>
      <c r="AF409" s="14">
        <f t="shared" si="2550"/>
        <v>27.106436406558959</v>
      </c>
      <c r="AG409" s="41">
        <f t="shared" si="2596"/>
        <v>-100</v>
      </c>
      <c r="AH409" s="105">
        <f t="shared" ref="AH409:AJ409" si="2695">AH408</f>
        <v>20.3</v>
      </c>
      <c r="AI409" s="105">
        <f t="shared" si="2695"/>
        <v>1.5089999999999999</v>
      </c>
      <c r="AJ409" s="105">
        <f t="shared" si="2695"/>
        <v>1.504</v>
      </c>
      <c r="AK409" s="53">
        <f t="shared" si="2409"/>
        <v>0</v>
      </c>
      <c r="AL409" s="47"/>
      <c r="AM409" s="54">
        <f t="shared" ref="AM409:AN409" si="2696">AM408</f>
        <v>5.0129999999999999</v>
      </c>
      <c r="AN409" s="101" t="str">
        <f t="shared" si="2696"/>
        <v>17,59,050</v>
      </c>
      <c r="AO409" s="11" t="str">
        <f t="shared" si="2581"/>
        <v>17</v>
      </c>
      <c r="AP409" s="11" t="str">
        <f t="shared" si="2582"/>
        <v>59,050</v>
      </c>
      <c r="AQ409" s="11">
        <f t="shared" si="2583"/>
        <v>0.29973611111111109</v>
      </c>
      <c r="AR409" s="14">
        <f t="shared" si="2553"/>
        <v>16.724711551827998</v>
      </c>
      <c r="AS409" s="41">
        <f t="shared" si="2554"/>
        <v>-100</v>
      </c>
      <c r="AT409" s="43" t="str">
        <f t="shared" si="2555"/>
        <v>NO CONFORME</v>
      </c>
      <c r="AU409" s="8" t="b">
        <f t="shared" si="2584"/>
        <v>1</v>
      </c>
      <c r="AV409" s="8" t="b">
        <f t="shared" si="2585"/>
        <v>0</v>
      </c>
      <c r="AW409" s="8" t="b">
        <f t="shared" si="2586"/>
        <v>1</v>
      </c>
      <c r="AX409" s="8" t="str">
        <f t="shared" si="2587"/>
        <v>Qcorrecto</v>
      </c>
      <c r="AY409" s="22" t="str">
        <f t="shared" si="2556"/>
        <v>aceptable</v>
      </c>
      <c r="AZ409" s="22" t="str">
        <f t="shared" si="2557"/>
        <v>aceptable</v>
      </c>
      <c r="BA409" s="22" t="str">
        <f t="shared" si="2588"/>
        <v>aceptable</v>
      </c>
      <c r="BB409" s="25" t="str">
        <f t="shared" si="2589"/>
        <v>NO CONFORME</v>
      </c>
      <c r="BC409" s="5" t="str">
        <f t="shared" si="2590"/>
        <v>NO CONFORME</v>
      </c>
      <c r="BD409" s="15">
        <f t="shared" si="2558"/>
        <v>-1</v>
      </c>
      <c r="BE409" s="15">
        <f t="shared" si="2559"/>
        <v>-1</v>
      </c>
      <c r="BF409" s="15">
        <f t="shared" si="2560"/>
        <v>-1</v>
      </c>
      <c r="BG409" s="15" t="str">
        <f t="shared" si="2561"/>
        <v>-1-1-1</v>
      </c>
      <c r="BH409" s="15" t="str">
        <f t="shared" si="2562"/>
        <v>SD</v>
      </c>
      <c r="BI409" s="15" t="str">
        <f t="shared" si="2563"/>
        <v>SI</v>
      </c>
      <c r="BJ409" s="15" t="b">
        <f t="shared" si="2564"/>
        <v>1</v>
      </c>
      <c r="BK409" s="15" t="str">
        <f t="shared" si="2565"/>
        <v>SIGIGUALES</v>
      </c>
      <c r="BL409" s="22" t="str">
        <f t="shared" si="2566"/>
        <v>NO CONFORME</v>
      </c>
    </row>
    <row r="410" spans="1:64" ht="15.75" thickBot="1" x14ac:dyDescent="0.3">
      <c r="A410" s="37">
        <v>402</v>
      </c>
      <c r="B410" s="93">
        <f t="shared" ref="B410:E410" si="2697">B409</f>
        <v>45919</v>
      </c>
      <c r="C410" s="93">
        <f t="shared" si="2697"/>
        <v>45919</v>
      </c>
      <c r="D410" s="94">
        <f t="shared" si="2697"/>
        <v>6</v>
      </c>
      <c r="E410" s="95">
        <f t="shared" si="2697"/>
        <v>15</v>
      </c>
      <c r="F410" s="13"/>
      <c r="G410" s="90"/>
      <c r="H410" s="97">
        <f t="shared" ref="H410:L410" si="2698">H409</f>
        <v>25.6</v>
      </c>
      <c r="I410" s="98">
        <f t="shared" si="2698"/>
        <v>0</v>
      </c>
      <c r="J410" s="99">
        <f t="shared" si="2698"/>
        <v>20.9</v>
      </c>
      <c r="K410" s="99">
        <f t="shared" si="2698"/>
        <v>7.883</v>
      </c>
      <c r="L410" s="99">
        <f t="shared" si="2698"/>
        <v>0.55400000000000005</v>
      </c>
      <c r="M410" s="45"/>
      <c r="N410" s="45"/>
      <c r="O410" s="100">
        <f t="shared" ref="O410:P410" si="2699">O409</f>
        <v>100.62</v>
      </c>
      <c r="P410" s="101" t="str">
        <f t="shared" si="2699"/>
        <v>2,29,560</v>
      </c>
      <c r="Q410" s="11" t="str">
        <f t="shared" si="2570"/>
        <v>2</v>
      </c>
      <c r="R410" s="11" t="str">
        <f t="shared" si="2571"/>
        <v>29,560</v>
      </c>
      <c r="S410" s="11">
        <f t="shared" si="2572"/>
        <v>4.1544444444444446E-2</v>
      </c>
      <c r="T410" s="14">
        <f t="shared" si="2573"/>
        <v>2421.9844878309709</v>
      </c>
      <c r="U410" s="39">
        <f t="shared" si="2547"/>
        <v>-100</v>
      </c>
      <c r="V410" s="105">
        <f t="shared" ref="V410:X410" si="2700">V409</f>
        <v>20.399999999999999</v>
      </c>
      <c r="W410" s="105">
        <f t="shared" si="2700"/>
        <v>1.5069999999999999</v>
      </c>
      <c r="X410" s="106">
        <f t="shared" si="2700"/>
        <v>1.504</v>
      </c>
      <c r="Y410" s="45"/>
      <c r="Z410" s="45"/>
      <c r="AA410" s="107">
        <f t="shared" ref="AA410:AB410" si="2701">AA409</f>
        <v>10.015000000000001</v>
      </c>
      <c r="AB410" s="108" t="str">
        <f t="shared" si="2701"/>
        <v>22,10,090</v>
      </c>
      <c r="AC410" s="11" t="str">
        <f t="shared" si="2576"/>
        <v>22</v>
      </c>
      <c r="AD410" s="11" t="str">
        <f t="shared" si="2577"/>
        <v>10,090</v>
      </c>
      <c r="AE410" s="11">
        <f t="shared" si="2578"/>
        <v>0.36946944444444441</v>
      </c>
      <c r="AF410" s="14">
        <f t="shared" si="2550"/>
        <v>27.106436406558959</v>
      </c>
      <c r="AG410" s="41">
        <f t="shared" si="2596"/>
        <v>-100</v>
      </c>
      <c r="AH410" s="105">
        <f t="shared" ref="AH410:AJ410" si="2702">AH409</f>
        <v>20.3</v>
      </c>
      <c r="AI410" s="105">
        <f t="shared" si="2702"/>
        <v>1.5089999999999999</v>
      </c>
      <c r="AJ410" s="105">
        <f t="shared" si="2702"/>
        <v>1.504</v>
      </c>
      <c r="AK410" s="53">
        <f t="shared" si="2409"/>
        <v>0</v>
      </c>
      <c r="AL410" s="45"/>
      <c r="AM410" s="54">
        <f t="shared" ref="AM410:AN410" si="2703">AM409</f>
        <v>5.0129999999999999</v>
      </c>
      <c r="AN410" s="101" t="str">
        <f t="shared" si="2703"/>
        <v>17,59,050</v>
      </c>
      <c r="AO410" s="11" t="str">
        <f t="shared" si="2581"/>
        <v>17</v>
      </c>
      <c r="AP410" s="11" t="str">
        <f t="shared" si="2582"/>
        <v>59,050</v>
      </c>
      <c r="AQ410" s="11">
        <f t="shared" si="2583"/>
        <v>0.29973611111111109</v>
      </c>
      <c r="AR410" s="14">
        <f t="shared" si="2553"/>
        <v>16.724711551827998</v>
      </c>
      <c r="AS410" s="41">
        <f t="shared" si="2554"/>
        <v>-100</v>
      </c>
      <c r="AT410" s="43" t="str">
        <f t="shared" si="2555"/>
        <v>NO CONFORME</v>
      </c>
      <c r="AU410" s="8" t="b">
        <f t="shared" si="2584"/>
        <v>1</v>
      </c>
      <c r="AV410" s="8" t="b">
        <f t="shared" si="2585"/>
        <v>0</v>
      </c>
      <c r="AW410" s="8" t="b">
        <f t="shared" si="2586"/>
        <v>1</v>
      </c>
      <c r="AX410" s="8" t="str">
        <f t="shared" si="2587"/>
        <v>Qcorrecto</v>
      </c>
      <c r="AY410" s="22" t="str">
        <f t="shared" si="2556"/>
        <v>aceptable</v>
      </c>
      <c r="AZ410" s="22" t="str">
        <f t="shared" si="2557"/>
        <v>aceptable</v>
      </c>
      <c r="BA410" s="22" t="str">
        <f t="shared" si="2588"/>
        <v>aceptable</v>
      </c>
      <c r="BB410" s="25" t="str">
        <f t="shared" si="2589"/>
        <v>NO CONFORME</v>
      </c>
      <c r="BC410" s="5" t="str">
        <f t="shared" si="2590"/>
        <v>NO CONFORME</v>
      </c>
      <c r="BD410" s="15">
        <f t="shared" si="2558"/>
        <v>-1</v>
      </c>
      <c r="BE410" s="15">
        <f t="shared" si="2559"/>
        <v>-1</v>
      </c>
      <c r="BF410" s="15">
        <f t="shared" si="2560"/>
        <v>-1</v>
      </c>
      <c r="BG410" s="15" t="str">
        <f t="shared" si="2561"/>
        <v>-1-1-1</v>
      </c>
      <c r="BH410" s="15" t="str">
        <f t="shared" si="2562"/>
        <v>SD</v>
      </c>
      <c r="BI410" s="15" t="str">
        <f t="shared" si="2563"/>
        <v>SI</v>
      </c>
      <c r="BJ410" s="15" t="b">
        <f t="shared" si="2564"/>
        <v>1</v>
      </c>
      <c r="BK410" s="15" t="str">
        <f t="shared" si="2565"/>
        <v>SIGIGUALES</v>
      </c>
      <c r="BL410" s="22" t="str">
        <f t="shared" si="2566"/>
        <v>NO CONFORME</v>
      </c>
    </row>
    <row r="411" spans="1:64" ht="15.75" thickBot="1" x14ac:dyDescent="0.3">
      <c r="A411" s="37">
        <v>403</v>
      </c>
      <c r="B411" s="93">
        <f t="shared" ref="B411:E411" si="2704">B410</f>
        <v>45919</v>
      </c>
      <c r="C411" s="93">
        <f t="shared" si="2704"/>
        <v>45919</v>
      </c>
      <c r="D411" s="94">
        <f t="shared" si="2704"/>
        <v>6</v>
      </c>
      <c r="E411" s="95">
        <f t="shared" si="2704"/>
        <v>15</v>
      </c>
      <c r="F411" s="13"/>
      <c r="G411" s="90"/>
      <c r="H411" s="97">
        <f t="shared" ref="H411:L411" si="2705">H410</f>
        <v>25.6</v>
      </c>
      <c r="I411" s="98">
        <f t="shared" si="2705"/>
        <v>0</v>
      </c>
      <c r="J411" s="99">
        <f t="shared" si="2705"/>
        <v>20.9</v>
      </c>
      <c r="K411" s="99">
        <f t="shared" si="2705"/>
        <v>7.883</v>
      </c>
      <c r="L411" s="99">
        <f t="shared" si="2705"/>
        <v>0.55400000000000005</v>
      </c>
      <c r="M411" s="45"/>
      <c r="N411" s="45"/>
      <c r="O411" s="100">
        <f t="shared" ref="O411:P411" si="2706">O410</f>
        <v>100.62</v>
      </c>
      <c r="P411" s="101" t="str">
        <f t="shared" si="2706"/>
        <v>2,29,560</v>
      </c>
      <c r="Q411" s="11" t="str">
        <f t="shared" si="2570"/>
        <v>2</v>
      </c>
      <c r="R411" s="11" t="str">
        <f t="shared" si="2571"/>
        <v>29,560</v>
      </c>
      <c r="S411" s="11">
        <f t="shared" si="2572"/>
        <v>4.1544444444444446E-2</v>
      </c>
      <c r="T411" s="14">
        <f t="shared" si="2573"/>
        <v>2421.9844878309709</v>
      </c>
      <c r="U411" s="39">
        <f t="shared" si="2547"/>
        <v>-100</v>
      </c>
      <c r="V411" s="105">
        <f t="shared" ref="V411:X411" si="2707">V410</f>
        <v>20.399999999999999</v>
      </c>
      <c r="W411" s="105">
        <f t="shared" si="2707"/>
        <v>1.5069999999999999</v>
      </c>
      <c r="X411" s="106">
        <f t="shared" si="2707"/>
        <v>1.504</v>
      </c>
      <c r="Y411" s="45"/>
      <c r="Z411" s="45"/>
      <c r="AA411" s="107">
        <f t="shared" ref="AA411:AB411" si="2708">AA410</f>
        <v>10.015000000000001</v>
      </c>
      <c r="AB411" s="108" t="str">
        <f t="shared" si="2708"/>
        <v>22,10,090</v>
      </c>
      <c r="AC411" s="11" t="str">
        <f t="shared" si="2576"/>
        <v>22</v>
      </c>
      <c r="AD411" s="11" t="str">
        <f t="shared" si="2577"/>
        <v>10,090</v>
      </c>
      <c r="AE411" s="11">
        <f t="shared" si="2578"/>
        <v>0.36946944444444441</v>
      </c>
      <c r="AF411" s="14">
        <f t="shared" si="2550"/>
        <v>27.106436406558959</v>
      </c>
      <c r="AG411" s="41">
        <f t="shared" si="2596"/>
        <v>-100</v>
      </c>
      <c r="AH411" s="105">
        <f t="shared" ref="AH411:AJ411" si="2709">AH410</f>
        <v>20.3</v>
      </c>
      <c r="AI411" s="105">
        <f t="shared" si="2709"/>
        <v>1.5089999999999999</v>
      </c>
      <c r="AJ411" s="105">
        <f t="shared" si="2709"/>
        <v>1.504</v>
      </c>
      <c r="AK411" s="53">
        <f t="shared" si="2409"/>
        <v>0</v>
      </c>
      <c r="AL411" s="45"/>
      <c r="AM411" s="54">
        <f t="shared" ref="AM411:AN411" si="2710">AM410</f>
        <v>5.0129999999999999</v>
      </c>
      <c r="AN411" s="101" t="str">
        <f t="shared" si="2710"/>
        <v>17,59,050</v>
      </c>
      <c r="AO411" s="11" t="str">
        <f t="shared" si="2581"/>
        <v>17</v>
      </c>
      <c r="AP411" s="11" t="str">
        <f t="shared" si="2582"/>
        <v>59,050</v>
      </c>
      <c r="AQ411" s="11">
        <f t="shared" si="2583"/>
        <v>0.29973611111111109</v>
      </c>
      <c r="AR411" s="14">
        <f t="shared" si="2553"/>
        <v>16.724711551827998</v>
      </c>
      <c r="AS411" s="41">
        <f t="shared" si="2554"/>
        <v>-100</v>
      </c>
      <c r="AT411" s="43" t="str">
        <f t="shared" si="2555"/>
        <v>NO CONFORME</v>
      </c>
      <c r="AU411" s="8" t="b">
        <f t="shared" si="2584"/>
        <v>1</v>
      </c>
      <c r="AV411" s="8" t="b">
        <f t="shared" si="2585"/>
        <v>0</v>
      </c>
      <c r="AW411" s="8" t="b">
        <f t="shared" si="2586"/>
        <v>1</v>
      </c>
      <c r="AX411" s="8" t="str">
        <f t="shared" si="2587"/>
        <v>Qcorrecto</v>
      </c>
      <c r="AY411" s="22" t="str">
        <f t="shared" si="2556"/>
        <v>aceptable</v>
      </c>
      <c r="AZ411" s="22" t="str">
        <f t="shared" si="2557"/>
        <v>aceptable</v>
      </c>
      <c r="BA411" s="22" t="str">
        <f t="shared" si="2588"/>
        <v>aceptable</v>
      </c>
      <c r="BB411" s="25" t="str">
        <f t="shared" si="2589"/>
        <v>NO CONFORME</v>
      </c>
      <c r="BC411" s="5" t="str">
        <f t="shared" si="2590"/>
        <v>NO CONFORME</v>
      </c>
      <c r="BD411" s="15">
        <f t="shared" si="2558"/>
        <v>-1</v>
      </c>
      <c r="BE411" s="15">
        <f t="shared" si="2559"/>
        <v>-1</v>
      </c>
      <c r="BF411" s="15">
        <f t="shared" si="2560"/>
        <v>-1</v>
      </c>
      <c r="BG411" s="15" t="str">
        <f t="shared" si="2561"/>
        <v>-1-1-1</v>
      </c>
      <c r="BH411" s="15" t="str">
        <f t="shared" si="2562"/>
        <v>SD</v>
      </c>
      <c r="BI411" s="15" t="str">
        <f t="shared" si="2563"/>
        <v>SI</v>
      </c>
      <c r="BJ411" s="15" t="b">
        <f t="shared" si="2564"/>
        <v>1</v>
      </c>
      <c r="BK411" s="15" t="str">
        <f t="shared" si="2565"/>
        <v>SIGIGUALES</v>
      </c>
      <c r="BL411" s="22" t="str">
        <f t="shared" si="2566"/>
        <v>NO CONFORME</v>
      </c>
    </row>
    <row r="412" spans="1:64" ht="15.75" thickBot="1" x14ac:dyDescent="0.3">
      <c r="A412" s="37">
        <v>404</v>
      </c>
      <c r="B412" s="93">
        <f t="shared" ref="B412:E412" si="2711">B411</f>
        <v>45919</v>
      </c>
      <c r="C412" s="93">
        <f t="shared" si="2711"/>
        <v>45919</v>
      </c>
      <c r="D412" s="94">
        <f t="shared" si="2711"/>
        <v>6</v>
      </c>
      <c r="E412" s="95">
        <f t="shared" si="2711"/>
        <v>15</v>
      </c>
      <c r="F412" s="13"/>
      <c r="G412" s="90"/>
      <c r="H412" s="97">
        <f t="shared" ref="H412:L412" si="2712">H411</f>
        <v>25.6</v>
      </c>
      <c r="I412" s="98">
        <f t="shared" si="2712"/>
        <v>0</v>
      </c>
      <c r="J412" s="99">
        <f t="shared" si="2712"/>
        <v>20.9</v>
      </c>
      <c r="K412" s="99">
        <f t="shared" si="2712"/>
        <v>7.883</v>
      </c>
      <c r="L412" s="99">
        <f t="shared" si="2712"/>
        <v>0.55400000000000005</v>
      </c>
      <c r="M412" s="45"/>
      <c r="N412" s="45"/>
      <c r="O412" s="100">
        <f t="shared" ref="O412:P412" si="2713">O411</f>
        <v>100.62</v>
      </c>
      <c r="P412" s="101" t="str">
        <f t="shared" si="2713"/>
        <v>2,29,560</v>
      </c>
      <c r="Q412" s="11" t="str">
        <f t="shared" si="2570"/>
        <v>2</v>
      </c>
      <c r="R412" s="11" t="str">
        <f t="shared" si="2571"/>
        <v>29,560</v>
      </c>
      <c r="S412" s="11">
        <f t="shared" si="2572"/>
        <v>4.1544444444444446E-2</v>
      </c>
      <c r="T412" s="14">
        <f t="shared" si="2573"/>
        <v>2421.9844878309709</v>
      </c>
      <c r="U412" s="39">
        <f t="shared" si="2547"/>
        <v>-100</v>
      </c>
      <c r="V412" s="105">
        <f t="shared" ref="V412:X412" si="2714">V411</f>
        <v>20.399999999999999</v>
      </c>
      <c r="W412" s="105">
        <f t="shared" si="2714"/>
        <v>1.5069999999999999</v>
      </c>
      <c r="X412" s="106">
        <f t="shared" si="2714"/>
        <v>1.504</v>
      </c>
      <c r="Y412" s="45"/>
      <c r="Z412" s="45"/>
      <c r="AA412" s="107">
        <f t="shared" ref="AA412:AB412" si="2715">AA411</f>
        <v>10.015000000000001</v>
      </c>
      <c r="AB412" s="108" t="str">
        <f t="shared" si="2715"/>
        <v>22,10,090</v>
      </c>
      <c r="AC412" s="11" t="str">
        <f t="shared" si="2576"/>
        <v>22</v>
      </c>
      <c r="AD412" s="11" t="str">
        <f t="shared" si="2577"/>
        <v>10,090</v>
      </c>
      <c r="AE412" s="11">
        <f t="shared" si="2578"/>
        <v>0.36946944444444441</v>
      </c>
      <c r="AF412" s="14">
        <f t="shared" si="2550"/>
        <v>27.106436406558959</v>
      </c>
      <c r="AG412" s="41">
        <f t="shared" si="2596"/>
        <v>-100</v>
      </c>
      <c r="AH412" s="105">
        <f t="shared" ref="AH412:AJ412" si="2716">AH411</f>
        <v>20.3</v>
      </c>
      <c r="AI412" s="105">
        <f t="shared" si="2716"/>
        <v>1.5089999999999999</v>
      </c>
      <c r="AJ412" s="105">
        <f t="shared" si="2716"/>
        <v>1.504</v>
      </c>
      <c r="AK412" s="53">
        <f t="shared" si="2409"/>
        <v>0</v>
      </c>
      <c r="AL412" s="45"/>
      <c r="AM412" s="54">
        <f t="shared" ref="AM412:AN412" si="2717">AM411</f>
        <v>5.0129999999999999</v>
      </c>
      <c r="AN412" s="101" t="str">
        <f t="shared" si="2717"/>
        <v>17,59,050</v>
      </c>
      <c r="AO412" s="11" t="str">
        <f t="shared" si="2581"/>
        <v>17</v>
      </c>
      <c r="AP412" s="11" t="str">
        <f t="shared" si="2582"/>
        <v>59,050</v>
      </c>
      <c r="AQ412" s="11">
        <f t="shared" si="2583"/>
        <v>0.29973611111111109</v>
      </c>
      <c r="AR412" s="14">
        <f t="shared" si="2553"/>
        <v>16.724711551827998</v>
      </c>
      <c r="AS412" s="41">
        <f t="shared" si="2554"/>
        <v>-100</v>
      </c>
      <c r="AT412" s="43" t="str">
        <f t="shared" si="2555"/>
        <v>NO CONFORME</v>
      </c>
      <c r="AU412" s="8" t="b">
        <f t="shared" si="2584"/>
        <v>1</v>
      </c>
      <c r="AV412" s="8" t="b">
        <f t="shared" si="2585"/>
        <v>0</v>
      </c>
      <c r="AW412" s="8" t="b">
        <f t="shared" si="2586"/>
        <v>1</v>
      </c>
      <c r="AX412" s="8" t="str">
        <f t="shared" si="2587"/>
        <v>Qcorrecto</v>
      </c>
      <c r="AY412" s="22" t="str">
        <f t="shared" si="2556"/>
        <v>aceptable</v>
      </c>
      <c r="AZ412" s="22" t="str">
        <f t="shared" si="2557"/>
        <v>aceptable</v>
      </c>
      <c r="BA412" s="22" t="str">
        <f t="shared" si="2588"/>
        <v>aceptable</v>
      </c>
      <c r="BB412" s="25" t="str">
        <f t="shared" si="2589"/>
        <v>NO CONFORME</v>
      </c>
      <c r="BC412" s="5" t="str">
        <f t="shared" si="2590"/>
        <v>NO CONFORME</v>
      </c>
      <c r="BD412" s="15">
        <f t="shared" si="2558"/>
        <v>-1</v>
      </c>
      <c r="BE412" s="15">
        <f t="shared" si="2559"/>
        <v>-1</v>
      </c>
      <c r="BF412" s="15">
        <f t="shared" si="2560"/>
        <v>-1</v>
      </c>
      <c r="BG412" s="15" t="str">
        <f t="shared" si="2561"/>
        <v>-1-1-1</v>
      </c>
      <c r="BH412" s="15" t="str">
        <f t="shared" si="2562"/>
        <v>SD</v>
      </c>
      <c r="BI412" s="15" t="str">
        <f t="shared" si="2563"/>
        <v>SI</v>
      </c>
      <c r="BJ412" s="15" t="b">
        <f t="shared" si="2564"/>
        <v>1</v>
      </c>
      <c r="BK412" s="15" t="str">
        <f t="shared" si="2565"/>
        <v>SIGIGUALES</v>
      </c>
      <c r="BL412" s="22" t="str">
        <f t="shared" si="2566"/>
        <v>NO CONFORME</v>
      </c>
    </row>
    <row r="413" spans="1:64" ht="15.75" thickBot="1" x14ac:dyDescent="0.3">
      <c r="A413" s="37">
        <v>405</v>
      </c>
      <c r="B413" s="93">
        <f t="shared" ref="B413:E413" si="2718">B412</f>
        <v>45919</v>
      </c>
      <c r="C413" s="93">
        <f t="shared" si="2718"/>
        <v>45919</v>
      </c>
      <c r="D413" s="94">
        <f t="shared" si="2718"/>
        <v>6</v>
      </c>
      <c r="E413" s="95">
        <f t="shared" si="2718"/>
        <v>15</v>
      </c>
      <c r="F413" s="13"/>
      <c r="G413" s="90"/>
      <c r="H413" s="97">
        <f t="shared" ref="H413:L413" si="2719">H412</f>
        <v>25.6</v>
      </c>
      <c r="I413" s="98">
        <f t="shared" si="2719"/>
        <v>0</v>
      </c>
      <c r="J413" s="99">
        <f t="shared" si="2719"/>
        <v>20.9</v>
      </c>
      <c r="K413" s="99">
        <f t="shared" si="2719"/>
        <v>7.883</v>
      </c>
      <c r="L413" s="99">
        <f t="shared" si="2719"/>
        <v>0.55400000000000005</v>
      </c>
      <c r="M413" s="45"/>
      <c r="N413" s="45"/>
      <c r="O413" s="100">
        <f t="shared" ref="O413:P413" si="2720">O412</f>
        <v>100.62</v>
      </c>
      <c r="P413" s="101" t="str">
        <f t="shared" si="2720"/>
        <v>2,29,560</v>
      </c>
      <c r="Q413" s="11" t="str">
        <f t="shared" si="2570"/>
        <v>2</v>
      </c>
      <c r="R413" s="11" t="str">
        <f t="shared" si="2571"/>
        <v>29,560</v>
      </c>
      <c r="S413" s="11">
        <f t="shared" si="2572"/>
        <v>4.1544444444444446E-2</v>
      </c>
      <c r="T413" s="14">
        <f t="shared" si="2573"/>
        <v>2421.9844878309709</v>
      </c>
      <c r="U413" s="39">
        <f t="shared" si="2547"/>
        <v>-100</v>
      </c>
      <c r="V413" s="105">
        <f t="shared" ref="V413:X413" si="2721">V412</f>
        <v>20.399999999999999</v>
      </c>
      <c r="W413" s="105">
        <f t="shared" si="2721"/>
        <v>1.5069999999999999</v>
      </c>
      <c r="X413" s="106">
        <f t="shared" si="2721"/>
        <v>1.504</v>
      </c>
      <c r="Y413" s="45"/>
      <c r="Z413" s="45"/>
      <c r="AA413" s="107">
        <f t="shared" ref="AA413:AB413" si="2722">AA412</f>
        <v>10.015000000000001</v>
      </c>
      <c r="AB413" s="108" t="str">
        <f t="shared" si="2722"/>
        <v>22,10,090</v>
      </c>
      <c r="AC413" s="11" t="str">
        <f t="shared" si="2576"/>
        <v>22</v>
      </c>
      <c r="AD413" s="11" t="str">
        <f t="shared" si="2577"/>
        <v>10,090</v>
      </c>
      <c r="AE413" s="11">
        <f t="shared" si="2578"/>
        <v>0.36946944444444441</v>
      </c>
      <c r="AF413" s="14">
        <f t="shared" si="2550"/>
        <v>27.106436406558959</v>
      </c>
      <c r="AG413" s="41">
        <f t="shared" si="2596"/>
        <v>-100</v>
      </c>
      <c r="AH413" s="105">
        <f t="shared" ref="AH413:AJ413" si="2723">AH412</f>
        <v>20.3</v>
      </c>
      <c r="AI413" s="105">
        <f t="shared" si="2723"/>
        <v>1.5089999999999999</v>
      </c>
      <c r="AJ413" s="105">
        <f t="shared" si="2723"/>
        <v>1.504</v>
      </c>
      <c r="AK413" s="53">
        <f t="shared" si="2409"/>
        <v>0</v>
      </c>
      <c r="AL413" s="45"/>
      <c r="AM413" s="54">
        <f t="shared" ref="AM413:AN413" si="2724">AM412</f>
        <v>5.0129999999999999</v>
      </c>
      <c r="AN413" s="101" t="str">
        <f t="shared" si="2724"/>
        <v>17,59,050</v>
      </c>
      <c r="AO413" s="11" t="str">
        <f t="shared" si="2581"/>
        <v>17</v>
      </c>
      <c r="AP413" s="11" t="str">
        <f t="shared" si="2582"/>
        <v>59,050</v>
      </c>
      <c r="AQ413" s="11">
        <f t="shared" si="2583"/>
        <v>0.29973611111111109</v>
      </c>
      <c r="AR413" s="14">
        <f t="shared" si="2553"/>
        <v>16.724711551827998</v>
      </c>
      <c r="AS413" s="41">
        <f t="shared" si="2554"/>
        <v>-100</v>
      </c>
      <c r="AT413" s="43" t="str">
        <f t="shared" si="2555"/>
        <v>NO CONFORME</v>
      </c>
      <c r="AU413" s="8" t="b">
        <f t="shared" si="2584"/>
        <v>1</v>
      </c>
      <c r="AV413" s="8" t="b">
        <f t="shared" si="2585"/>
        <v>0</v>
      </c>
      <c r="AW413" s="8" t="b">
        <f t="shared" si="2586"/>
        <v>1</v>
      </c>
      <c r="AX413" s="8" t="str">
        <f t="shared" si="2587"/>
        <v>Qcorrecto</v>
      </c>
      <c r="AY413" s="22" t="str">
        <f t="shared" si="2556"/>
        <v>aceptable</v>
      </c>
      <c r="AZ413" s="22" t="str">
        <f t="shared" si="2557"/>
        <v>aceptable</v>
      </c>
      <c r="BA413" s="22" t="str">
        <f t="shared" si="2588"/>
        <v>aceptable</v>
      </c>
      <c r="BB413" s="25" t="str">
        <f t="shared" si="2589"/>
        <v>NO CONFORME</v>
      </c>
      <c r="BC413" s="5" t="str">
        <f t="shared" si="2590"/>
        <v>NO CONFORME</v>
      </c>
      <c r="BD413" s="15">
        <f t="shared" si="2558"/>
        <v>-1</v>
      </c>
      <c r="BE413" s="15">
        <f t="shared" si="2559"/>
        <v>-1</v>
      </c>
      <c r="BF413" s="15">
        <f t="shared" si="2560"/>
        <v>-1</v>
      </c>
      <c r="BG413" s="15" t="str">
        <f t="shared" si="2561"/>
        <v>-1-1-1</v>
      </c>
      <c r="BH413" s="15" t="str">
        <f t="shared" si="2562"/>
        <v>SD</v>
      </c>
      <c r="BI413" s="15" t="str">
        <f t="shared" si="2563"/>
        <v>SI</v>
      </c>
      <c r="BJ413" s="15" t="b">
        <f t="shared" si="2564"/>
        <v>1</v>
      </c>
      <c r="BK413" s="15" t="str">
        <f t="shared" si="2565"/>
        <v>SIGIGUALES</v>
      </c>
      <c r="BL413" s="22" t="str">
        <f t="shared" si="2566"/>
        <v>NO CONFORME</v>
      </c>
    </row>
    <row r="414" spans="1:64" ht="15.75" thickBot="1" x14ac:dyDescent="0.3">
      <c r="A414" s="37">
        <v>406</v>
      </c>
      <c r="B414" s="93">
        <f t="shared" ref="B414:E414" si="2725">B413</f>
        <v>45919</v>
      </c>
      <c r="C414" s="93">
        <f t="shared" si="2725"/>
        <v>45919</v>
      </c>
      <c r="D414" s="94">
        <f t="shared" si="2725"/>
        <v>6</v>
      </c>
      <c r="E414" s="95">
        <f t="shared" si="2725"/>
        <v>15</v>
      </c>
      <c r="F414" s="13"/>
      <c r="G414" s="90"/>
      <c r="H414" s="97">
        <f t="shared" ref="H414:L414" si="2726">H413</f>
        <v>25.6</v>
      </c>
      <c r="I414" s="98">
        <f t="shared" si="2726"/>
        <v>0</v>
      </c>
      <c r="J414" s="99">
        <f t="shared" si="2726"/>
        <v>20.9</v>
      </c>
      <c r="K414" s="99">
        <f t="shared" si="2726"/>
        <v>7.883</v>
      </c>
      <c r="L414" s="99">
        <f t="shared" si="2726"/>
        <v>0.55400000000000005</v>
      </c>
      <c r="M414" s="45"/>
      <c r="N414" s="45"/>
      <c r="O414" s="100">
        <f t="shared" ref="O414:P414" si="2727">O413</f>
        <v>100.62</v>
      </c>
      <c r="P414" s="101" t="str">
        <f t="shared" si="2727"/>
        <v>2,29,560</v>
      </c>
      <c r="Q414" s="11" t="str">
        <f t="shared" si="2570"/>
        <v>2</v>
      </c>
      <c r="R414" s="11" t="str">
        <f t="shared" si="2571"/>
        <v>29,560</v>
      </c>
      <c r="S414" s="11">
        <f t="shared" si="2572"/>
        <v>4.1544444444444446E-2</v>
      </c>
      <c r="T414" s="14">
        <f t="shared" si="2573"/>
        <v>2421.9844878309709</v>
      </c>
      <c r="U414" s="39">
        <f t="shared" si="2547"/>
        <v>-100</v>
      </c>
      <c r="V414" s="105">
        <f t="shared" ref="V414:X414" si="2728">V413</f>
        <v>20.399999999999999</v>
      </c>
      <c r="W414" s="105">
        <f t="shared" si="2728"/>
        <v>1.5069999999999999</v>
      </c>
      <c r="X414" s="106">
        <f t="shared" si="2728"/>
        <v>1.504</v>
      </c>
      <c r="Y414" s="45"/>
      <c r="Z414" s="45"/>
      <c r="AA414" s="107">
        <f t="shared" ref="AA414:AB414" si="2729">AA413</f>
        <v>10.015000000000001</v>
      </c>
      <c r="AB414" s="108" t="str">
        <f t="shared" si="2729"/>
        <v>22,10,090</v>
      </c>
      <c r="AC414" s="11" t="str">
        <f t="shared" si="2576"/>
        <v>22</v>
      </c>
      <c r="AD414" s="11" t="str">
        <f t="shared" si="2577"/>
        <v>10,090</v>
      </c>
      <c r="AE414" s="11">
        <f t="shared" si="2578"/>
        <v>0.36946944444444441</v>
      </c>
      <c r="AF414" s="14">
        <f t="shared" si="2550"/>
        <v>27.106436406558959</v>
      </c>
      <c r="AG414" s="41">
        <f t="shared" si="2596"/>
        <v>-100</v>
      </c>
      <c r="AH414" s="105">
        <f t="shared" ref="AH414:AJ414" si="2730">AH413</f>
        <v>20.3</v>
      </c>
      <c r="AI414" s="105">
        <f t="shared" si="2730"/>
        <v>1.5089999999999999</v>
      </c>
      <c r="AJ414" s="105">
        <f t="shared" si="2730"/>
        <v>1.504</v>
      </c>
      <c r="AK414" s="53">
        <f t="shared" si="2409"/>
        <v>0</v>
      </c>
      <c r="AL414" s="45"/>
      <c r="AM414" s="54">
        <f t="shared" ref="AM414:AN414" si="2731">AM413</f>
        <v>5.0129999999999999</v>
      </c>
      <c r="AN414" s="101" t="str">
        <f t="shared" si="2731"/>
        <v>17,59,050</v>
      </c>
      <c r="AO414" s="11" t="str">
        <f t="shared" si="2581"/>
        <v>17</v>
      </c>
      <c r="AP414" s="11" t="str">
        <f t="shared" si="2582"/>
        <v>59,050</v>
      </c>
      <c r="AQ414" s="11">
        <f t="shared" si="2583"/>
        <v>0.29973611111111109</v>
      </c>
      <c r="AR414" s="14">
        <f t="shared" si="2553"/>
        <v>16.724711551827998</v>
      </c>
      <c r="AS414" s="41">
        <f t="shared" si="2554"/>
        <v>-100</v>
      </c>
      <c r="AT414" s="43" t="str">
        <f t="shared" si="2555"/>
        <v>NO CONFORME</v>
      </c>
      <c r="AU414" s="8" t="b">
        <f t="shared" si="2584"/>
        <v>1</v>
      </c>
      <c r="AV414" s="8" t="b">
        <f t="shared" si="2585"/>
        <v>0</v>
      </c>
      <c r="AW414" s="8" t="b">
        <f t="shared" si="2586"/>
        <v>1</v>
      </c>
      <c r="AX414" s="8" t="str">
        <f t="shared" si="2587"/>
        <v>Qcorrecto</v>
      </c>
      <c r="AY414" s="22" t="str">
        <f t="shared" si="2556"/>
        <v>aceptable</v>
      </c>
      <c r="AZ414" s="22" t="str">
        <f t="shared" si="2557"/>
        <v>aceptable</v>
      </c>
      <c r="BA414" s="22" t="str">
        <f t="shared" si="2588"/>
        <v>aceptable</v>
      </c>
      <c r="BB414" s="25" t="str">
        <f t="shared" si="2589"/>
        <v>NO CONFORME</v>
      </c>
      <c r="BC414" s="5" t="str">
        <f t="shared" si="2590"/>
        <v>NO CONFORME</v>
      </c>
      <c r="BD414" s="15">
        <f t="shared" si="2558"/>
        <v>-1</v>
      </c>
      <c r="BE414" s="15">
        <f t="shared" si="2559"/>
        <v>-1</v>
      </c>
      <c r="BF414" s="15">
        <f t="shared" si="2560"/>
        <v>-1</v>
      </c>
      <c r="BG414" s="15" t="str">
        <f t="shared" si="2561"/>
        <v>-1-1-1</v>
      </c>
      <c r="BH414" s="15" t="str">
        <f t="shared" si="2562"/>
        <v>SD</v>
      </c>
      <c r="BI414" s="15" t="str">
        <f t="shared" si="2563"/>
        <v>SI</v>
      </c>
      <c r="BJ414" s="15" t="b">
        <f t="shared" si="2564"/>
        <v>1</v>
      </c>
      <c r="BK414" s="15" t="str">
        <f t="shared" si="2565"/>
        <v>SIGIGUALES</v>
      </c>
      <c r="BL414" s="22" t="str">
        <f t="shared" si="2566"/>
        <v>NO CONFORME</v>
      </c>
    </row>
    <row r="415" spans="1:64" ht="15.75" thickBot="1" x14ac:dyDescent="0.3">
      <c r="A415" s="37">
        <v>407</v>
      </c>
      <c r="B415" s="93">
        <f t="shared" ref="B415:E415" si="2732">B414</f>
        <v>45919</v>
      </c>
      <c r="C415" s="93">
        <f t="shared" si="2732"/>
        <v>45919</v>
      </c>
      <c r="D415" s="94">
        <f t="shared" si="2732"/>
        <v>6</v>
      </c>
      <c r="E415" s="95">
        <f t="shared" si="2732"/>
        <v>15</v>
      </c>
      <c r="F415" s="13"/>
      <c r="G415" s="90"/>
      <c r="H415" s="97">
        <f t="shared" ref="H415:L415" si="2733">H414</f>
        <v>25.6</v>
      </c>
      <c r="I415" s="98">
        <f t="shared" si="2733"/>
        <v>0</v>
      </c>
      <c r="J415" s="99">
        <f t="shared" si="2733"/>
        <v>20.9</v>
      </c>
      <c r="K415" s="99">
        <f t="shared" si="2733"/>
        <v>7.883</v>
      </c>
      <c r="L415" s="99">
        <f t="shared" si="2733"/>
        <v>0.55400000000000005</v>
      </c>
      <c r="M415" s="45"/>
      <c r="N415" s="45"/>
      <c r="O415" s="100">
        <f t="shared" ref="O415:P415" si="2734">O414</f>
        <v>100.62</v>
      </c>
      <c r="P415" s="101" t="str">
        <f t="shared" si="2734"/>
        <v>2,29,560</v>
      </c>
      <c r="Q415" s="11" t="str">
        <f t="shared" si="2570"/>
        <v>2</v>
      </c>
      <c r="R415" s="11" t="str">
        <f t="shared" si="2571"/>
        <v>29,560</v>
      </c>
      <c r="S415" s="11">
        <f t="shared" si="2572"/>
        <v>4.1544444444444446E-2</v>
      </c>
      <c r="T415" s="14">
        <f t="shared" si="2573"/>
        <v>2421.9844878309709</v>
      </c>
      <c r="U415" s="39">
        <f t="shared" si="2547"/>
        <v>-100</v>
      </c>
      <c r="V415" s="105">
        <f t="shared" ref="V415:X415" si="2735">V414</f>
        <v>20.399999999999999</v>
      </c>
      <c r="W415" s="105">
        <f t="shared" si="2735"/>
        <v>1.5069999999999999</v>
      </c>
      <c r="X415" s="106">
        <f t="shared" si="2735"/>
        <v>1.504</v>
      </c>
      <c r="Y415" s="45"/>
      <c r="Z415" s="45"/>
      <c r="AA415" s="107">
        <f t="shared" ref="AA415:AB415" si="2736">AA414</f>
        <v>10.015000000000001</v>
      </c>
      <c r="AB415" s="108" t="str">
        <f t="shared" si="2736"/>
        <v>22,10,090</v>
      </c>
      <c r="AC415" s="11" t="str">
        <f t="shared" si="2576"/>
        <v>22</v>
      </c>
      <c r="AD415" s="11" t="str">
        <f t="shared" si="2577"/>
        <v>10,090</v>
      </c>
      <c r="AE415" s="11">
        <f t="shared" si="2578"/>
        <v>0.36946944444444441</v>
      </c>
      <c r="AF415" s="14">
        <f t="shared" si="2550"/>
        <v>27.106436406558959</v>
      </c>
      <c r="AG415" s="41">
        <f t="shared" si="2596"/>
        <v>-100</v>
      </c>
      <c r="AH415" s="105">
        <f t="shared" ref="AH415:AJ415" si="2737">AH414</f>
        <v>20.3</v>
      </c>
      <c r="AI415" s="105">
        <f t="shared" si="2737"/>
        <v>1.5089999999999999</v>
      </c>
      <c r="AJ415" s="105">
        <f t="shared" si="2737"/>
        <v>1.504</v>
      </c>
      <c r="AK415" s="53">
        <f t="shared" si="2409"/>
        <v>0</v>
      </c>
      <c r="AL415" s="45"/>
      <c r="AM415" s="54">
        <f t="shared" ref="AM415:AN415" si="2738">AM414</f>
        <v>5.0129999999999999</v>
      </c>
      <c r="AN415" s="101" t="str">
        <f t="shared" si="2738"/>
        <v>17,59,050</v>
      </c>
      <c r="AO415" s="11" t="str">
        <f t="shared" si="2581"/>
        <v>17</v>
      </c>
      <c r="AP415" s="11" t="str">
        <f t="shared" si="2582"/>
        <v>59,050</v>
      </c>
      <c r="AQ415" s="11">
        <f t="shared" si="2583"/>
        <v>0.29973611111111109</v>
      </c>
      <c r="AR415" s="14">
        <f t="shared" si="2553"/>
        <v>16.724711551827998</v>
      </c>
      <c r="AS415" s="41">
        <f t="shared" si="2554"/>
        <v>-100</v>
      </c>
      <c r="AT415" s="43" t="str">
        <f t="shared" si="2555"/>
        <v>NO CONFORME</v>
      </c>
      <c r="AU415" s="8" t="b">
        <f t="shared" si="2584"/>
        <v>1</v>
      </c>
      <c r="AV415" s="8" t="b">
        <f t="shared" si="2585"/>
        <v>0</v>
      </c>
      <c r="AW415" s="8" t="b">
        <f t="shared" si="2586"/>
        <v>1</v>
      </c>
      <c r="AX415" s="8" t="str">
        <f t="shared" si="2587"/>
        <v>Qcorrecto</v>
      </c>
      <c r="AY415" s="22" t="str">
        <f t="shared" si="2556"/>
        <v>aceptable</v>
      </c>
      <c r="AZ415" s="22" t="str">
        <f t="shared" si="2557"/>
        <v>aceptable</v>
      </c>
      <c r="BA415" s="22" t="str">
        <f t="shared" si="2588"/>
        <v>aceptable</v>
      </c>
      <c r="BB415" s="25" t="str">
        <f t="shared" si="2589"/>
        <v>NO CONFORME</v>
      </c>
      <c r="BC415" s="5" t="str">
        <f t="shared" si="2590"/>
        <v>NO CONFORME</v>
      </c>
      <c r="BD415" s="15">
        <f t="shared" si="2558"/>
        <v>-1</v>
      </c>
      <c r="BE415" s="15">
        <f t="shared" si="2559"/>
        <v>-1</v>
      </c>
      <c r="BF415" s="15">
        <f t="shared" si="2560"/>
        <v>-1</v>
      </c>
      <c r="BG415" s="15" t="str">
        <f t="shared" si="2561"/>
        <v>-1-1-1</v>
      </c>
      <c r="BH415" s="15" t="str">
        <f t="shared" si="2562"/>
        <v>SD</v>
      </c>
      <c r="BI415" s="15" t="str">
        <f t="shared" si="2563"/>
        <v>SI</v>
      </c>
      <c r="BJ415" s="15" t="b">
        <f t="shared" si="2564"/>
        <v>1</v>
      </c>
      <c r="BK415" s="15" t="str">
        <f t="shared" si="2565"/>
        <v>SIGIGUALES</v>
      </c>
      <c r="BL415" s="22" t="str">
        <f t="shared" si="2566"/>
        <v>NO CONFORME</v>
      </c>
    </row>
    <row r="416" spans="1:64" ht="15.75" thickBot="1" x14ac:dyDescent="0.3">
      <c r="A416" s="37">
        <v>408</v>
      </c>
      <c r="B416" s="93">
        <f t="shared" ref="B416:E416" si="2739">B415</f>
        <v>45919</v>
      </c>
      <c r="C416" s="93">
        <f t="shared" si="2739"/>
        <v>45919</v>
      </c>
      <c r="D416" s="94">
        <f t="shared" si="2739"/>
        <v>6</v>
      </c>
      <c r="E416" s="95">
        <f t="shared" si="2739"/>
        <v>15</v>
      </c>
      <c r="F416" s="13"/>
      <c r="G416" s="90"/>
      <c r="H416" s="97">
        <f t="shared" ref="H416:L416" si="2740">H415</f>
        <v>25.6</v>
      </c>
      <c r="I416" s="98">
        <f t="shared" si="2740"/>
        <v>0</v>
      </c>
      <c r="J416" s="99">
        <f t="shared" si="2740"/>
        <v>20.9</v>
      </c>
      <c r="K416" s="99">
        <f t="shared" si="2740"/>
        <v>7.883</v>
      </c>
      <c r="L416" s="99">
        <f t="shared" si="2740"/>
        <v>0.55400000000000005</v>
      </c>
      <c r="M416" s="45"/>
      <c r="N416" s="45"/>
      <c r="O416" s="100">
        <f t="shared" ref="O416:P416" si="2741">O415</f>
        <v>100.62</v>
      </c>
      <c r="P416" s="101" t="str">
        <f t="shared" si="2741"/>
        <v>2,29,560</v>
      </c>
      <c r="Q416" s="11" t="str">
        <f t="shared" si="2570"/>
        <v>2</v>
      </c>
      <c r="R416" s="11" t="str">
        <f t="shared" si="2571"/>
        <v>29,560</v>
      </c>
      <c r="S416" s="11">
        <f t="shared" si="2572"/>
        <v>4.1544444444444446E-2</v>
      </c>
      <c r="T416" s="14">
        <f t="shared" si="2573"/>
        <v>2421.9844878309709</v>
      </c>
      <c r="U416" s="39">
        <f t="shared" si="2547"/>
        <v>-100</v>
      </c>
      <c r="V416" s="105">
        <f t="shared" ref="V416:X416" si="2742">V415</f>
        <v>20.399999999999999</v>
      </c>
      <c r="W416" s="105">
        <f t="shared" si="2742"/>
        <v>1.5069999999999999</v>
      </c>
      <c r="X416" s="106">
        <f t="shared" si="2742"/>
        <v>1.504</v>
      </c>
      <c r="Y416" s="45"/>
      <c r="Z416" s="45"/>
      <c r="AA416" s="107">
        <f t="shared" ref="AA416:AB416" si="2743">AA415</f>
        <v>10.015000000000001</v>
      </c>
      <c r="AB416" s="108" t="str">
        <f t="shared" si="2743"/>
        <v>22,10,090</v>
      </c>
      <c r="AC416" s="11" t="str">
        <f t="shared" si="2576"/>
        <v>22</v>
      </c>
      <c r="AD416" s="11" t="str">
        <f t="shared" si="2577"/>
        <v>10,090</v>
      </c>
      <c r="AE416" s="11">
        <f t="shared" si="2578"/>
        <v>0.36946944444444441</v>
      </c>
      <c r="AF416" s="14">
        <f t="shared" si="2550"/>
        <v>27.106436406558959</v>
      </c>
      <c r="AG416" s="41">
        <f t="shared" si="2596"/>
        <v>-100</v>
      </c>
      <c r="AH416" s="105">
        <f t="shared" ref="AH416:AJ416" si="2744">AH415</f>
        <v>20.3</v>
      </c>
      <c r="AI416" s="105">
        <f t="shared" si="2744"/>
        <v>1.5089999999999999</v>
      </c>
      <c r="AJ416" s="105">
        <f t="shared" si="2744"/>
        <v>1.504</v>
      </c>
      <c r="AK416" s="53">
        <f t="shared" si="2409"/>
        <v>0</v>
      </c>
      <c r="AL416" s="45"/>
      <c r="AM416" s="54">
        <f t="shared" ref="AM416:AN416" si="2745">AM415</f>
        <v>5.0129999999999999</v>
      </c>
      <c r="AN416" s="101" t="str">
        <f t="shared" si="2745"/>
        <v>17,59,050</v>
      </c>
      <c r="AO416" s="11" t="str">
        <f t="shared" si="2581"/>
        <v>17</v>
      </c>
      <c r="AP416" s="11" t="str">
        <f t="shared" si="2582"/>
        <v>59,050</v>
      </c>
      <c r="AQ416" s="11">
        <f t="shared" si="2583"/>
        <v>0.29973611111111109</v>
      </c>
      <c r="AR416" s="14">
        <f t="shared" si="2553"/>
        <v>16.724711551827998</v>
      </c>
      <c r="AS416" s="41">
        <f t="shared" si="2554"/>
        <v>-100</v>
      </c>
      <c r="AT416" s="43" t="str">
        <f t="shared" si="2555"/>
        <v>NO CONFORME</v>
      </c>
      <c r="AU416" s="8" t="b">
        <f t="shared" si="2584"/>
        <v>1</v>
      </c>
      <c r="AV416" s="8" t="b">
        <f t="shared" si="2585"/>
        <v>0</v>
      </c>
      <c r="AW416" s="8" t="b">
        <f t="shared" si="2586"/>
        <v>1</v>
      </c>
      <c r="AX416" s="8" t="str">
        <f t="shared" si="2587"/>
        <v>Qcorrecto</v>
      </c>
      <c r="AY416" s="22" t="str">
        <f t="shared" si="2556"/>
        <v>aceptable</v>
      </c>
      <c r="AZ416" s="22" t="str">
        <f t="shared" si="2557"/>
        <v>aceptable</v>
      </c>
      <c r="BA416" s="22" t="str">
        <f t="shared" si="2588"/>
        <v>aceptable</v>
      </c>
      <c r="BB416" s="25" t="str">
        <f t="shared" si="2589"/>
        <v>NO CONFORME</v>
      </c>
      <c r="BC416" s="5" t="str">
        <f t="shared" si="2590"/>
        <v>NO CONFORME</v>
      </c>
      <c r="BD416" s="15">
        <f t="shared" si="2558"/>
        <v>-1</v>
      </c>
      <c r="BE416" s="15">
        <f t="shared" si="2559"/>
        <v>-1</v>
      </c>
      <c r="BF416" s="15">
        <f t="shared" si="2560"/>
        <v>-1</v>
      </c>
      <c r="BG416" s="15" t="str">
        <f t="shared" si="2561"/>
        <v>-1-1-1</v>
      </c>
      <c r="BH416" s="15" t="str">
        <f t="shared" si="2562"/>
        <v>SD</v>
      </c>
      <c r="BI416" s="15" t="str">
        <f t="shared" si="2563"/>
        <v>SI</v>
      </c>
      <c r="BJ416" s="15" t="b">
        <f t="shared" si="2564"/>
        <v>1</v>
      </c>
      <c r="BK416" s="15" t="str">
        <f t="shared" si="2565"/>
        <v>SIGIGUALES</v>
      </c>
      <c r="BL416" s="22" t="str">
        <f t="shared" si="2566"/>
        <v>NO CONFORME</v>
      </c>
    </row>
    <row r="417" spans="1:64" ht="15.75" thickBot="1" x14ac:dyDescent="0.3">
      <c r="A417" s="37">
        <v>409</v>
      </c>
      <c r="B417" s="93">
        <f t="shared" ref="B417:E417" si="2746">B416</f>
        <v>45919</v>
      </c>
      <c r="C417" s="93">
        <f t="shared" si="2746"/>
        <v>45919</v>
      </c>
      <c r="D417" s="94">
        <f t="shared" si="2746"/>
        <v>6</v>
      </c>
      <c r="E417" s="95">
        <f t="shared" si="2746"/>
        <v>15</v>
      </c>
      <c r="F417" s="13"/>
      <c r="G417" s="90"/>
      <c r="H417" s="97">
        <f t="shared" ref="H417:L417" si="2747">H416</f>
        <v>25.6</v>
      </c>
      <c r="I417" s="98">
        <f t="shared" si="2747"/>
        <v>0</v>
      </c>
      <c r="J417" s="99">
        <f t="shared" si="2747"/>
        <v>20.9</v>
      </c>
      <c r="K417" s="99">
        <f t="shared" si="2747"/>
        <v>7.883</v>
      </c>
      <c r="L417" s="99">
        <f t="shared" si="2747"/>
        <v>0.55400000000000005</v>
      </c>
      <c r="M417" s="45"/>
      <c r="N417" s="45"/>
      <c r="O417" s="100">
        <f t="shared" ref="O417:P417" si="2748">O416</f>
        <v>100.62</v>
      </c>
      <c r="P417" s="101" t="str">
        <f t="shared" si="2748"/>
        <v>2,29,560</v>
      </c>
      <c r="Q417" s="11" t="str">
        <f t="shared" si="2570"/>
        <v>2</v>
      </c>
      <c r="R417" s="11" t="str">
        <f t="shared" si="2571"/>
        <v>29,560</v>
      </c>
      <c r="S417" s="11">
        <f t="shared" si="2572"/>
        <v>4.1544444444444446E-2</v>
      </c>
      <c r="T417" s="14">
        <f t="shared" si="2573"/>
        <v>2421.9844878309709</v>
      </c>
      <c r="U417" s="39">
        <f t="shared" si="2547"/>
        <v>-100</v>
      </c>
      <c r="V417" s="105">
        <f t="shared" ref="V417:X417" si="2749">V416</f>
        <v>20.399999999999999</v>
      </c>
      <c r="W417" s="105">
        <f t="shared" si="2749"/>
        <v>1.5069999999999999</v>
      </c>
      <c r="X417" s="106">
        <f t="shared" si="2749"/>
        <v>1.504</v>
      </c>
      <c r="Y417" s="45"/>
      <c r="Z417" s="45"/>
      <c r="AA417" s="107">
        <f t="shared" ref="AA417:AB417" si="2750">AA416</f>
        <v>10.015000000000001</v>
      </c>
      <c r="AB417" s="108" t="str">
        <f t="shared" si="2750"/>
        <v>22,10,090</v>
      </c>
      <c r="AC417" s="11" t="str">
        <f t="shared" si="2576"/>
        <v>22</v>
      </c>
      <c r="AD417" s="11" t="str">
        <f t="shared" si="2577"/>
        <v>10,090</v>
      </c>
      <c r="AE417" s="11">
        <f t="shared" si="2578"/>
        <v>0.36946944444444441</v>
      </c>
      <c r="AF417" s="14">
        <f t="shared" si="2550"/>
        <v>27.106436406558959</v>
      </c>
      <c r="AG417" s="41">
        <f t="shared" si="2596"/>
        <v>-100</v>
      </c>
      <c r="AH417" s="105">
        <f t="shared" ref="AH417:AJ417" si="2751">AH416</f>
        <v>20.3</v>
      </c>
      <c r="AI417" s="105">
        <f t="shared" si="2751"/>
        <v>1.5089999999999999</v>
      </c>
      <c r="AJ417" s="105">
        <f t="shared" si="2751"/>
        <v>1.504</v>
      </c>
      <c r="AK417" s="53">
        <f t="shared" si="2409"/>
        <v>0</v>
      </c>
      <c r="AL417" s="45"/>
      <c r="AM417" s="54">
        <f t="shared" ref="AM417:AN417" si="2752">AM416</f>
        <v>5.0129999999999999</v>
      </c>
      <c r="AN417" s="101" t="str">
        <f t="shared" si="2752"/>
        <v>17,59,050</v>
      </c>
      <c r="AO417" s="11" t="str">
        <f t="shared" si="2581"/>
        <v>17</v>
      </c>
      <c r="AP417" s="11" t="str">
        <f t="shared" si="2582"/>
        <v>59,050</v>
      </c>
      <c r="AQ417" s="11">
        <f t="shared" si="2583"/>
        <v>0.29973611111111109</v>
      </c>
      <c r="AR417" s="14">
        <f t="shared" si="2553"/>
        <v>16.724711551827998</v>
      </c>
      <c r="AS417" s="41">
        <f t="shared" si="2554"/>
        <v>-100</v>
      </c>
      <c r="AT417" s="43" t="str">
        <f t="shared" si="2555"/>
        <v>NO CONFORME</v>
      </c>
      <c r="AU417" s="8" t="b">
        <f t="shared" si="2584"/>
        <v>1</v>
      </c>
      <c r="AV417" s="8" t="b">
        <f t="shared" si="2585"/>
        <v>0</v>
      </c>
      <c r="AW417" s="8" t="b">
        <f t="shared" si="2586"/>
        <v>1</v>
      </c>
      <c r="AX417" s="8" t="str">
        <f t="shared" si="2587"/>
        <v>Qcorrecto</v>
      </c>
      <c r="AY417" s="22" t="str">
        <f t="shared" si="2556"/>
        <v>aceptable</v>
      </c>
      <c r="AZ417" s="22" t="str">
        <f t="shared" si="2557"/>
        <v>aceptable</v>
      </c>
      <c r="BA417" s="22" t="str">
        <f t="shared" si="2588"/>
        <v>aceptable</v>
      </c>
      <c r="BB417" s="25" t="str">
        <f t="shared" si="2589"/>
        <v>NO CONFORME</v>
      </c>
      <c r="BC417" s="5" t="str">
        <f t="shared" si="2590"/>
        <v>NO CONFORME</v>
      </c>
      <c r="BD417" s="15">
        <f t="shared" si="2558"/>
        <v>-1</v>
      </c>
      <c r="BE417" s="15">
        <f t="shared" si="2559"/>
        <v>-1</v>
      </c>
      <c r="BF417" s="15">
        <f t="shared" si="2560"/>
        <v>-1</v>
      </c>
      <c r="BG417" s="15" t="str">
        <f t="shared" si="2561"/>
        <v>-1-1-1</v>
      </c>
      <c r="BH417" s="15" t="str">
        <f t="shared" si="2562"/>
        <v>SD</v>
      </c>
      <c r="BI417" s="15" t="str">
        <f t="shared" si="2563"/>
        <v>SI</v>
      </c>
      <c r="BJ417" s="15" t="b">
        <f t="shared" si="2564"/>
        <v>1</v>
      </c>
      <c r="BK417" s="15" t="str">
        <f t="shared" si="2565"/>
        <v>SIGIGUALES</v>
      </c>
      <c r="BL417" s="22" t="str">
        <f t="shared" si="2566"/>
        <v>NO CONFORME</v>
      </c>
    </row>
    <row r="418" spans="1:64" ht="15.75" thickBot="1" x14ac:dyDescent="0.3">
      <c r="A418" s="37">
        <v>410</v>
      </c>
      <c r="B418" s="93">
        <f t="shared" ref="B418:E418" si="2753">B417</f>
        <v>45919</v>
      </c>
      <c r="C418" s="93">
        <f t="shared" si="2753"/>
        <v>45919</v>
      </c>
      <c r="D418" s="94">
        <f t="shared" si="2753"/>
        <v>6</v>
      </c>
      <c r="E418" s="95">
        <f t="shared" si="2753"/>
        <v>15</v>
      </c>
      <c r="F418" s="13"/>
      <c r="G418" s="90"/>
      <c r="H418" s="97">
        <f t="shared" ref="H418:L418" si="2754">H417</f>
        <v>25.6</v>
      </c>
      <c r="I418" s="98">
        <f t="shared" si="2754"/>
        <v>0</v>
      </c>
      <c r="J418" s="99">
        <f t="shared" si="2754"/>
        <v>20.9</v>
      </c>
      <c r="K418" s="99">
        <f t="shared" si="2754"/>
        <v>7.883</v>
      </c>
      <c r="L418" s="99">
        <f t="shared" si="2754"/>
        <v>0.55400000000000005</v>
      </c>
      <c r="M418" s="45"/>
      <c r="N418" s="45"/>
      <c r="O418" s="100">
        <f t="shared" ref="O418:P418" si="2755">O417</f>
        <v>100.62</v>
      </c>
      <c r="P418" s="101" t="str">
        <f t="shared" si="2755"/>
        <v>2,29,560</v>
      </c>
      <c r="Q418" s="11" t="str">
        <f t="shared" si="2570"/>
        <v>2</v>
      </c>
      <c r="R418" s="11" t="str">
        <f t="shared" si="2571"/>
        <v>29,560</v>
      </c>
      <c r="S418" s="11">
        <f t="shared" si="2572"/>
        <v>4.1544444444444446E-2</v>
      </c>
      <c r="T418" s="14">
        <f t="shared" si="2573"/>
        <v>2421.9844878309709</v>
      </c>
      <c r="U418" s="39">
        <f t="shared" si="2547"/>
        <v>-100</v>
      </c>
      <c r="V418" s="105">
        <f t="shared" ref="V418:X418" si="2756">V417</f>
        <v>20.399999999999999</v>
      </c>
      <c r="W418" s="105">
        <f t="shared" si="2756"/>
        <v>1.5069999999999999</v>
      </c>
      <c r="X418" s="106">
        <f t="shared" si="2756"/>
        <v>1.504</v>
      </c>
      <c r="Y418" s="45"/>
      <c r="Z418" s="45"/>
      <c r="AA418" s="107">
        <f t="shared" ref="AA418:AB418" si="2757">AA417</f>
        <v>10.015000000000001</v>
      </c>
      <c r="AB418" s="108" t="str">
        <f t="shared" si="2757"/>
        <v>22,10,090</v>
      </c>
      <c r="AC418" s="11" t="str">
        <f t="shared" si="2576"/>
        <v>22</v>
      </c>
      <c r="AD418" s="11" t="str">
        <f t="shared" si="2577"/>
        <v>10,090</v>
      </c>
      <c r="AE418" s="11">
        <f t="shared" si="2578"/>
        <v>0.36946944444444441</v>
      </c>
      <c r="AF418" s="14">
        <f t="shared" si="2550"/>
        <v>27.106436406558959</v>
      </c>
      <c r="AG418" s="41">
        <f t="shared" si="2596"/>
        <v>-100</v>
      </c>
      <c r="AH418" s="105">
        <f t="shared" ref="AH418:AJ418" si="2758">AH417</f>
        <v>20.3</v>
      </c>
      <c r="AI418" s="105">
        <f t="shared" si="2758"/>
        <v>1.5089999999999999</v>
      </c>
      <c r="AJ418" s="105">
        <f t="shared" si="2758"/>
        <v>1.504</v>
      </c>
      <c r="AK418" s="53">
        <f t="shared" si="2409"/>
        <v>0</v>
      </c>
      <c r="AL418" s="45"/>
      <c r="AM418" s="54">
        <f t="shared" ref="AM418:AN418" si="2759">AM417</f>
        <v>5.0129999999999999</v>
      </c>
      <c r="AN418" s="101" t="str">
        <f t="shared" si="2759"/>
        <v>17,59,050</v>
      </c>
      <c r="AO418" s="11" t="str">
        <f t="shared" si="2581"/>
        <v>17</v>
      </c>
      <c r="AP418" s="11" t="str">
        <f t="shared" si="2582"/>
        <v>59,050</v>
      </c>
      <c r="AQ418" s="11">
        <f t="shared" si="2583"/>
        <v>0.29973611111111109</v>
      </c>
      <c r="AR418" s="14">
        <f t="shared" si="2553"/>
        <v>16.724711551827998</v>
      </c>
      <c r="AS418" s="41">
        <f t="shared" si="2554"/>
        <v>-100</v>
      </c>
      <c r="AT418" s="43" t="str">
        <f t="shared" si="2555"/>
        <v>NO CONFORME</v>
      </c>
      <c r="AU418" s="8" t="b">
        <f t="shared" si="2584"/>
        <v>1</v>
      </c>
      <c r="AV418" s="8" t="b">
        <f t="shared" si="2585"/>
        <v>0</v>
      </c>
      <c r="AW418" s="8" t="b">
        <f t="shared" si="2586"/>
        <v>1</v>
      </c>
      <c r="AX418" s="8" t="str">
        <f t="shared" si="2587"/>
        <v>Qcorrecto</v>
      </c>
      <c r="AY418" s="22" t="str">
        <f t="shared" si="2556"/>
        <v>aceptable</v>
      </c>
      <c r="AZ418" s="22" t="str">
        <f t="shared" si="2557"/>
        <v>aceptable</v>
      </c>
      <c r="BA418" s="22" t="str">
        <f t="shared" si="2588"/>
        <v>aceptable</v>
      </c>
      <c r="BB418" s="25" t="str">
        <f t="shared" si="2589"/>
        <v>NO CONFORME</v>
      </c>
      <c r="BC418" s="5" t="str">
        <f t="shared" si="2590"/>
        <v>NO CONFORME</v>
      </c>
      <c r="BD418" s="15">
        <f t="shared" si="2558"/>
        <v>-1</v>
      </c>
      <c r="BE418" s="15">
        <f t="shared" si="2559"/>
        <v>-1</v>
      </c>
      <c r="BF418" s="15">
        <f t="shared" si="2560"/>
        <v>-1</v>
      </c>
      <c r="BG418" s="15" t="str">
        <f t="shared" si="2561"/>
        <v>-1-1-1</v>
      </c>
      <c r="BH418" s="15" t="str">
        <f t="shared" si="2562"/>
        <v>SD</v>
      </c>
      <c r="BI418" s="15" t="str">
        <f t="shared" si="2563"/>
        <v>SI</v>
      </c>
      <c r="BJ418" s="15" t="b">
        <f t="shared" si="2564"/>
        <v>1</v>
      </c>
      <c r="BK418" s="15" t="str">
        <f t="shared" si="2565"/>
        <v>SIGIGUALES</v>
      </c>
      <c r="BL418" s="22" t="str">
        <f t="shared" si="2566"/>
        <v>NO CONFORME</v>
      </c>
    </row>
    <row r="419" spans="1:64" ht="15.75" thickBot="1" x14ac:dyDescent="0.3">
      <c r="A419" s="37">
        <v>411</v>
      </c>
      <c r="B419" s="93">
        <f t="shared" ref="B419:E419" si="2760">B418</f>
        <v>45919</v>
      </c>
      <c r="C419" s="93">
        <f t="shared" si="2760"/>
        <v>45919</v>
      </c>
      <c r="D419" s="94">
        <f t="shared" si="2760"/>
        <v>6</v>
      </c>
      <c r="E419" s="95">
        <f t="shared" si="2760"/>
        <v>15</v>
      </c>
      <c r="F419" s="13"/>
      <c r="G419" s="90"/>
      <c r="H419" s="97">
        <f t="shared" ref="H419:L419" si="2761">H418</f>
        <v>25.6</v>
      </c>
      <c r="I419" s="98">
        <f t="shared" si="2761"/>
        <v>0</v>
      </c>
      <c r="J419" s="99">
        <f t="shared" si="2761"/>
        <v>20.9</v>
      </c>
      <c r="K419" s="99">
        <f t="shared" si="2761"/>
        <v>7.883</v>
      </c>
      <c r="L419" s="99">
        <f t="shared" si="2761"/>
        <v>0.55400000000000005</v>
      </c>
      <c r="M419" s="45"/>
      <c r="N419" s="45"/>
      <c r="O419" s="100">
        <f t="shared" ref="O419:P419" si="2762">O418</f>
        <v>100.62</v>
      </c>
      <c r="P419" s="101" t="str">
        <f t="shared" si="2762"/>
        <v>2,29,560</v>
      </c>
      <c r="Q419" s="11" t="str">
        <f t="shared" si="2570"/>
        <v>2</v>
      </c>
      <c r="R419" s="11" t="str">
        <f t="shared" si="2571"/>
        <v>29,560</v>
      </c>
      <c r="S419" s="11">
        <f t="shared" si="2572"/>
        <v>4.1544444444444446E-2</v>
      </c>
      <c r="T419" s="14">
        <f t="shared" si="2573"/>
        <v>2421.9844878309709</v>
      </c>
      <c r="U419" s="39">
        <f t="shared" si="2547"/>
        <v>-100</v>
      </c>
      <c r="V419" s="105">
        <f t="shared" ref="V419:X419" si="2763">V418</f>
        <v>20.399999999999999</v>
      </c>
      <c r="W419" s="105">
        <f t="shared" si="2763"/>
        <v>1.5069999999999999</v>
      </c>
      <c r="X419" s="106">
        <f t="shared" si="2763"/>
        <v>1.504</v>
      </c>
      <c r="Y419" s="45"/>
      <c r="Z419" s="45"/>
      <c r="AA419" s="107">
        <f t="shared" ref="AA419:AB419" si="2764">AA418</f>
        <v>10.015000000000001</v>
      </c>
      <c r="AB419" s="108" t="str">
        <f t="shared" si="2764"/>
        <v>22,10,090</v>
      </c>
      <c r="AC419" s="11" t="str">
        <f t="shared" si="2576"/>
        <v>22</v>
      </c>
      <c r="AD419" s="11" t="str">
        <f t="shared" si="2577"/>
        <v>10,090</v>
      </c>
      <c r="AE419" s="11">
        <f t="shared" si="2578"/>
        <v>0.36946944444444441</v>
      </c>
      <c r="AF419" s="14">
        <f t="shared" si="2550"/>
        <v>27.106436406558959</v>
      </c>
      <c r="AG419" s="41">
        <f t="shared" si="2596"/>
        <v>-100</v>
      </c>
      <c r="AH419" s="105">
        <f t="shared" ref="AH419:AJ419" si="2765">AH418</f>
        <v>20.3</v>
      </c>
      <c r="AI419" s="105">
        <f t="shared" si="2765"/>
        <v>1.5089999999999999</v>
      </c>
      <c r="AJ419" s="105">
        <f t="shared" si="2765"/>
        <v>1.504</v>
      </c>
      <c r="AK419" s="53">
        <f t="shared" si="2409"/>
        <v>0</v>
      </c>
      <c r="AL419" s="45"/>
      <c r="AM419" s="54">
        <f t="shared" ref="AM419:AN419" si="2766">AM418</f>
        <v>5.0129999999999999</v>
      </c>
      <c r="AN419" s="101" t="str">
        <f t="shared" si="2766"/>
        <v>17,59,050</v>
      </c>
      <c r="AO419" s="11" t="str">
        <f t="shared" si="2581"/>
        <v>17</v>
      </c>
      <c r="AP419" s="11" t="str">
        <f t="shared" si="2582"/>
        <v>59,050</v>
      </c>
      <c r="AQ419" s="11">
        <f t="shared" si="2583"/>
        <v>0.29973611111111109</v>
      </c>
      <c r="AR419" s="14">
        <f t="shared" si="2553"/>
        <v>16.724711551827998</v>
      </c>
      <c r="AS419" s="41">
        <f t="shared" si="2554"/>
        <v>-100</v>
      </c>
      <c r="AT419" s="43" t="str">
        <f t="shared" si="2555"/>
        <v>NO CONFORME</v>
      </c>
      <c r="AU419" s="8" t="b">
        <f t="shared" si="2584"/>
        <v>1</v>
      </c>
      <c r="AV419" s="8" t="b">
        <f t="shared" si="2585"/>
        <v>0</v>
      </c>
      <c r="AW419" s="8" t="b">
        <f t="shared" si="2586"/>
        <v>1</v>
      </c>
      <c r="AX419" s="8" t="str">
        <f t="shared" si="2587"/>
        <v>Qcorrecto</v>
      </c>
      <c r="AY419" s="22" t="str">
        <f t="shared" si="2556"/>
        <v>aceptable</v>
      </c>
      <c r="AZ419" s="22" t="str">
        <f t="shared" si="2557"/>
        <v>aceptable</v>
      </c>
      <c r="BA419" s="22" t="str">
        <f t="shared" si="2588"/>
        <v>aceptable</v>
      </c>
      <c r="BB419" s="25" t="str">
        <f t="shared" si="2589"/>
        <v>NO CONFORME</v>
      </c>
      <c r="BC419" s="5" t="str">
        <f t="shared" si="2590"/>
        <v>NO CONFORME</v>
      </c>
      <c r="BD419" s="15">
        <f t="shared" si="2558"/>
        <v>-1</v>
      </c>
      <c r="BE419" s="15">
        <f t="shared" si="2559"/>
        <v>-1</v>
      </c>
      <c r="BF419" s="15">
        <f t="shared" si="2560"/>
        <v>-1</v>
      </c>
      <c r="BG419" s="15" t="str">
        <f t="shared" si="2561"/>
        <v>-1-1-1</v>
      </c>
      <c r="BH419" s="15" t="str">
        <f t="shared" si="2562"/>
        <v>SD</v>
      </c>
      <c r="BI419" s="15" t="str">
        <f t="shared" si="2563"/>
        <v>SI</v>
      </c>
      <c r="BJ419" s="15" t="b">
        <f t="shared" si="2564"/>
        <v>1</v>
      </c>
      <c r="BK419" s="15" t="str">
        <f t="shared" si="2565"/>
        <v>SIGIGUALES</v>
      </c>
      <c r="BL419" s="22" t="str">
        <f t="shared" si="2566"/>
        <v>NO CONFORME</v>
      </c>
    </row>
    <row r="420" spans="1:64" ht="15.75" thickBot="1" x14ac:dyDescent="0.3">
      <c r="A420" s="37">
        <v>412</v>
      </c>
      <c r="B420" s="93">
        <f t="shared" ref="B420:E420" si="2767">B419</f>
        <v>45919</v>
      </c>
      <c r="C420" s="93">
        <f t="shared" si="2767"/>
        <v>45919</v>
      </c>
      <c r="D420" s="94">
        <f t="shared" si="2767"/>
        <v>6</v>
      </c>
      <c r="E420" s="95">
        <f t="shared" si="2767"/>
        <v>15</v>
      </c>
      <c r="F420" s="13"/>
      <c r="G420" s="90"/>
      <c r="H420" s="97">
        <f t="shared" ref="H420:L420" si="2768">H419</f>
        <v>25.6</v>
      </c>
      <c r="I420" s="98">
        <f t="shared" si="2768"/>
        <v>0</v>
      </c>
      <c r="J420" s="99">
        <f t="shared" si="2768"/>
        <v>20.9</v>
      </c>
      <c r="K420" s="99">
        <f t="shared" si="2768"/>
        <v>7.883</v>
      </c>
      <c r="L420" s="99">
        <f t="shared" si="2768"/>
        <v>0.55400000000000005</v>
      </c>
      <c r="M420" s="45"/>
      <c r="N420" s="45"/>
      <c r="O420" s="100">
        <f t="shared" ref="O420:P420" si="2769">O419</f>
        <v>100.62</v>
      </c>
      <c r="P420" s="101" t="str">
        <f t="shared" si="2769"/>
        <v>2,29,560</v>
      </c>
      <c r="Q420" s="11" t="str">
        <f t="shared" si="2570"/>
        <v>2</v>
      </c>
      <c r="R420" s="11" t="str">
        <f t="shared" si="2571"/>
        <v>29,560</v>
      </c>
      <c r="S420" s="11">
        <f t="shared" si="2572"/>
        <v>4.1544444444444446E-2</v>
      </c>
      <c r="T420" s="14">
        <f t="shared" si="2573"/>
        <v>2421.9844878309709</v>
      </c>
      <c r="U420" s="39">
        <f t="shared" si="2547"/>
        <v>-100</v>
      </c>
      <c r="V420" s="105">
        <f t="shared" ref="V420:X420" si="2770">V419</f>
        <v>20.399999999999999</v>
      </c>
      <c r="W420" s="105">
        <f t="shared" si="2770"/>
        <v>1.5069999999999999</v>
      </c>
      <c r="X420" s="106">
        <f t="shared" si="2770"/>
        <v>1.504</v>
      </c>
      <c r="Y420" s="45"/>
      <c r="Z420" s="45"/>
      <c r="AA420" s="107">
        <f t="shared" ref="AA420:AB420" si="2771">AA419</f>
        <v>10.015000000000001</v>
      </c>
      <c r="AB420" s="108" t="str">
        <f t="shared" si="2771"/>
        <v>22,10,090</v>
      </c>
      <c r="AC420" s="11" t="str">
        <f t="shared" si="2576"/>
        <v>22</v>
      </c>
      <c r="AD420" s="11" t="str">
        <f t="shared" si="2577"/>
        <v>10,090</v>
      </c>
      <c r="AE420" s="11">
        <f t="shared" si="2578"/>
        <v>0.36946944444444441</v>
      </c>
      <c r="AF420" s="14">
        <f t="shared" si="2550"/>
        <v>27.106436406558959</v>
      </c>
      <c r="AG420" s="41">
        <f t="shared" si="2596"/>
        <v>-100</v>
      </c>
      <c r="AH420" s="105">
        <f t="shared" ref="AH420:AJ420" si="2772">AH419</f>
        <v>20.3</v>
      </c>
      <c r="AI420" s="105">
        <f t="shared" si="2772"/>
        <v>1.5089999999999999</v>
      </c>
      <c r="AJ420" s="105">
        <f t="shared" si="2772"/>
        <v>1.504</v>
      </c>
      <c r="AK420" s="53">
        <f t="shared" si="2409"/>
        <v>0</v>
      </c>
      <c r="AL420" s="45"/>
      <c r="AM420" s="54">
        <f t="shared" ref="AM420:AN420" si="2773">AM419</f>
        <v>5.0129999999999999</v>
      </c>
      <c r="AN420" s="101" t="str">
        <f t="shared" si="2773"/>
        <v>17,59,050</v>
      </c>
      <c r="AO420" s="11" t="str">
        <f t="shared" si="2581"/>
        <v>17</v>
      </c>
      <c r="AP420" s="11" t="str">
        <f t="shared" si="2582"/>
        <v>59,050</v>
      </c>
      <c r="AQ420" s="11">
        <f t="shared" si="2583"/>
        <v>0.29973611111111109</v>
      </c>
      <c r="AR420" s="14">
        <f t="shared" si="2553"/>
        <v>16.724711551827998</v>
      </c>
      <c r="AS420" s="41">
        <f t="shared" si="2554"/>
        <v>-100</v>
      </c>
      <c r="AT420" s="43" t="str">
        <f t="shared" si="2555"/>
        <v>NO CONFORME</v>
      </c>
      <c r="AU420" s="8" t="b">
        <f t="shared" si="2584"/>
        <v>1</v>
      </c>
      <c r="AV420" s="8" t="b">
        <f t="shared" si="2585"/>
        <v>0</v>
      </c>
      <c r="AW420" s="8" t="b">
        <f t="shared" si="2586"/>
        <v>1</v>
      </c>
      <c r="AX420" s="8" t="str">
        <f t="shared" si="2587"/>
        <v>Qcorrecto</v>
      </c>
      <c r="AY420" s="22" t="str">
        <f t="shared" si="2556"/>
        <v>aceptable</v>
      </c>
      <c r="AZ420" s="22" t="str">
        <f t="shared" si="2557"/>
        <v>aceptable</v>
      </c>
      <c r="BA420" s="22" t="str">
        <f t="shared" si="2588"/>
        <v>aceptable</v>
      </c>
      <c r="BB420" s="25" t="str">
        <f t="shared" si="2589"/>
        <v>NO CONFORME</v>
      </c>
      <c r="BC420" s="5" t="str">
        <f t="shared" si="2590"/>
        <v>NO CONFORME</v>
      </c>
      <c r="BD420" s="15">
        <f t="shared" si="2558"/>
        <v>-1</v>
      </c>
      <c r="BE420" s="15">
        <f t="shared" si="2559"/>
        <v>-1</v>
      </c>
      <c r="BF420" s="15">
        <f t="shared" si="2560"/>
        <v>-1</v>
      </c>
      <c r="BG420" s="15" t="str">
        <f t="shared" si="2561"/>
        <v>-1-1-1</v>
      </c>
      <c r="BH420" s="15" t="str">
        <f t="shared" si="2562"/>
        <v>SD</v>
      </c>
      <c r="BI420" s="15" t="str">
        <f t="shared" si="2563"/>
        <v>SI</v>
      </c>
      <c r="BJ420" s="15" t="b">
        <f t="shared" si="2564"/>
        <v>1</v>
      </c>
      <c r="BK420" s="15" t="str">
        <f t="shared" si="2565"/>
        <v>SIGIGUALES</v>
      </c>
      <c r="BL420" s="22" t="str">
        <f t="shared" si="2566"/>
        <v>NO CONFORME</v>
      </c>
    </row>
    <row r="421" spans="1:64" ht="15.75" thickBot="1" x14ac:dyDescent="0.3">
      <c r="A421" s="37">
        <v>413</v>
      </c>
      <c r="B421" s="93">
        <f t="shared" ref="B421:E421" si="2774">B420</f>
        <v>45919</v>
      </c>
      <c r="C421" s="93">
        <f t="shared" si="2774"/>
        <v>45919</v>
      </c>
      <c r="D421" s="94">
        <f t="shared" si="2774"/>
        <v>6</v>
      </c>
      <c r="E421" s="95">
        <f t="shared" si="2774"/>
        <v>15</v>
      </c>
      <c r="F421" s="13"/>
      <c r="G421" s="90"/>
      <c r="H421" s="97">
        <f t="shared" ref="H421:L421" si="2775">H420</f>
        <v>25.6</v>
      </c>
      <c r="I421" s="98">
        <f t="shared" si="2775"/>
        <v>0</v>
      </c>
      <c r="J421" s="99">
        <f t="shared" si="2775"/>
        <v>20.9</v>
      </c>
      <c r="K421" s="99">
        <f t="shared" si="2775"/>
        <v>7.883</v>
      </c>
      <c r="L421" s="99">
        <f t="shared" si="2775"/>
        <v>0.55400000000000005</v>
      </c>
      <c r="M421" s="45"/>
      <c r="N421" s="45"/>
      <c r="O421" s="100">
        <f t="shared" ref="O421:P421" si="2776">O420</f>
        <v>100.62</v>
      </c>
      <c r="P421" s="101" t="str">
        <f t="shared" si="2776"/>
        <v>2,29,560</v>
      </c>
      <c r="Q421" s="11" t="str">
        <f t="shared" si="2570"/>
        <v>2</v>
      </c>
      <c r="R421" s="11" t="str">
        <f t="shared" si="2571"/>
        <v>29,560</v>
      </c>
      <c r="S421" s="11">
        <f t="shared" si="2572"/>
        <v>4.1544444444444446E-2</v>
      </c>
      <c r="T421" s="14">
        <f t="shared" si="2573"/>
        <v>2421.9844878309709</v>
      </c>
      <c r="U421" s="39">
        <f t="shared" si="2547"/>
        <v>-100</v>
      </c>
      <c r="V421" s="105">
        <f t="shared" ref="V421:X421" si="2777">V420</f>
        <v>20.399999999999999</v>
      </c>
      <c r="W421" s="105">
        <f t="shared" si="2777"/>
        <v>1.5069999999999999</v>
      </c>
      <c r="X421" s="106">
        <f t="shared" si="2777"/>
        <v>1.504</v>
      </c>
      <c r="Y421" s="45"/>
      <c r="Z421" s="45"/>
      <c r="AA421" s="107">
        <f t="shared" ref="AA421:AB421" si="2778">AA420</f>
        <v>10.015000000000001</v>
      </c>
      <c r="AB421" s="108" t="str">
        <f t="shared" si="2778"/>
        <v>22,10,090</v>
      </c>
      <c r="AC421" s="11" t="str">
        <f t="shared" si="2576"/>
        <v>22</v>
      </c>
      <c r="AD421" s="11" t="str">
        <f t="shared" si="2577"/>
        <v>10,090</v>
      </c>
      <c r="AE421" s="11">
        <f t="shared" si="2578"/>
        <v>0.36946944444444441</v>
      </c>
      <c r="AF421" s="14">
        <f t="shared" si="2550"/>
        <v>27.106436406558959</v>
      </c>
      <c r="AG421" s="41">
        <f t="shared" si="2596"/>
        <v>-100</v>
      </c>
      <c r="AH421" s="105">
        <f t="shared" ref="AH421:AJ421" si="2779">AH420</f>
        <v>20.3</v>
      </c>
      <c r="AI421" s="105">
        <f t="shared" si="2779"/>
        <v>1.5089999999999999</v>
      </c>
      <c r="AJ421" s="105">
        <f t="shared" si="2779"/>
        <v>1.504</v>
      </c>
      <c r="AK421" s="53">
        <f t="shared" si="2409"/>
        <v>0</v>
      </c>
      <c r="AL421" s="45"/>
      <c r="AM421" s="54">
        <f t="shared" ref="AM421:AN421" si="2780">AM420</f>
        <v>5.0129999999999999</v>
      </c>
      <c r="AN421" s="101" t="str">
        <f t="shared" si="2780"/>
        <v>17,59,050</v>
      </c>
      <c r="AO421" s="11" t="str">
        <f t="shared" si="2581"/>
        <v>17</v>
      </c>
      <c r="AP421" s="11" t="str">
        <f t="shared" si="2582"/>
        <v>59,050</v>
      </c>
      <c r="AQ421" s="11">
        <f t="shared" si="2583"/>
        <v>0.29973611111111109</v>
      </c>
      <c r="AR421" s="14">
        <f t="shared" si="2553"/>
        <v>16.724711551827998</v>
      </c>
      <c r="AS421" s="41">
        <f t="shared" si="2554"/>
        <v>-100</v>
      </c>
      <c r="AT421" s="43" t="str">
        <f t="shared" si="2555"/>
        <v>NO CONFORME</v>
      </c>
      <c r="AU421" s="8" t="b">
        <f t="shared" si="2584"/>
        <v>1</v>
      </c>
      <c r="AV421" s="8" t="b">
        <f t="shared" si="2585"/>
        <v>0</v>
      </c>
      <c r="AW421" s="8" t="b">
        <f t="shared" si="2586"/>
        <v>1</v>
      </c>
      <c r="AX421" s="8" t="str">
        <f t="shared" si="2587"/>
        <v>Qcorrecto</v>
      </c>
      <c r="AY421" s="22" t="str">
        <f t="shared" si="2556"/>
        <v>aceptable</v>
      </c>
      <c r="AZ421" s="22" t="str">
        <f t="shared" si="2557"/>
        <v>aceptable</v>
      </c>
      <c r="BA421" s="22" t="str">
        <f t="shared" si="2588"/>
        <v>aceptable</v>
      </c>
      <c r="BB421" s="25" t="str">
        <f t="shared" si="2589"/>
        <v>NO CONFORME</v>
      </c>
      <c r="BC421" s="5" t="str">
        <f t="shared" si="2590"/>
        <v>NO CONFORME</v>
      </c>
      <c r="BD421" s="15">
        <f t="shared" si="2558"/>
        <v>-1</v>
      </c>
      <c r="BE421" s="15">
        <f t="shared" si="2559"/>
        <v>-1</v>
      </c>
      <c r="BF421" s="15">
        <f t="shared" si="2560"/>
        <v>-1</v>
      </c>
      <c r="BG421" s="15" t="str">
        <f t="shared" si="2561"/>
        <v>-1-1-1</v>
      </c>
      <c r="BH421" s="15" t="str">
        <f t="shared" si="2562"/>
        <v>SD</v>
      </c>
      <c r="BI421" s="15" t="str">
        <f t="shared" si="2563"/>
        <v>SI</v>
      </c>
      <c r="BJ421" s="15" t="b">
        <f t="shared" si="2564"/>
        <v>1</v>
      </c>
      <c r="BK421" s="15" t="str">
        <f t="shared" si="2565"/>
        <v>SIGIGUALES</v>
      </c>
      <c r="BL421" s="22" t="str">
        <f t="shared" si="2566"/>
        <v>NO CONFORME</v>
      </c>
    </row>
    <row r="422" spans="1:64" ht="15.75" thickBot="1" x14ac:dyDescent="0.3">
      <c r="A422" s="37">
        <v>414</v>
      </c>
      <c r="B422" s="93">
        <f t="shared" ref="B422:E422" si="2781">B421</f>
        <v>45919</v>
      </c>
      <c r="C422" s="93">
        <f t="shared" si="2781"/>
        <v>45919</v>
      </c>
      <c r="D422" s="94">
        <f t="shared" si="2781"/>
        <v>6</v>
      </c>
      <c r="E422" s="95">
        <f t="shared" si="2781"/>
        <v>15</v>
      </c>
      <c r="F422" s="13"/>
      <c r="G422" s="90"/>
      <c r="H422" s="97">
        <f t="shared" ref="H422:L422" si="2782">H421</f>
        <v>25.6</v>
      </c>
      <c r="I422" s="98">
        <f t="shared" si="2782"/>
        <v>0</v>
      </c>
      <c r="J422" s="99">
        <f t="shared" si="2782"/>
        <v>20.9</v>
      </c>
      <c r="K422" s="99">
        <f t="shared" si="2782"/>
        <v>7.883</v>
      </c>
      <c r="L422" s="99">
        <f t="shared" si="2782"/>
        <v>0.55400000000000005</v>
      </c>
      <c r="M422" s="45"/>
      <c r="N422" s="45"/>
      <c r="O422" s="100">
        <f t="shared" ref="O422:P422" si="2783">O421</f>
        <v>100.62</v>
      </c>
      <c r="P422" s="101" t="str">
        <f t="shared" si="2783"/>
        <v>2,29,560</v>
      </c>
      <c r="Q422" s="11" t="str">
        <f t="shared" si="2570"/>
        <v>2</v>
      </c>
      <c r="R422" s="11" t="str">
        <f t="shared" si="2571"/>
        <v>29,560</v>
      </c>
      <c r="S422" s="11">
        <f t="shared" si="2572"/>
        <v>4.1544444444444446E-2</v>
      </c>
      <c r="T422" s="14">
        <f t="shared" si="2573"/>
        <v>2421.9844878309709</v>
      </c>
      <c r="U422" s="39">
        <f t="shared" si="2547"/>
        <v>-100</v>
      </c>
      <c r="V422" s="105">
        <f t="shared" ref="V422:X422" si="2784">V421</f>
        <v>20.399999999999999</v>
      </c>
      <c r="W422" s="105">
        <f t="shared" si="2784"/>
        <v>1.5069999999999999</v>
      </c>
      <c r="X422" s="106">
        <f t="shared" si="2784"/>
        <v>1.504</v>
      </c>
      <c r="Y422" s="45"/>
      <c r="Z422" s="45"/>
      <c r="AA422" s="107">
        <f t="shared" ref="AA422:AB422" si="2785">AA421</f>
        <v>10.015000000000001</v>
      </c>
      <c r="AB422" s="108" t="str">
        <f t="shared" si="2785"/>
        <v>22,10,090</v>
      </c>
      <c r="AC422" s="11" t="str">
        <f t="shared" si="2576"/>
        <v>22</v>
      </c>
      <c r="AD422" s="11" t="str">
        <f t="shared" si="2577"/>
        <v>10,090</v>
      </c>
      <c r="AE422" s="11">
        <f t="shared" si="2578"/>
        <v>0.36946944444444441</v>
      </c>
      <c r="AF422" s="14">
        <f t="shared" si="2550"/>
        <v>27.106436406558959</v>
      </c>
      <c r="AG422" s="41">
        <f t="shared" si="2596"/>
        <v>-100</v>
      </c>
      <c r="AH422" s="105">
        <f t="shared" ref="AH422:AJ422" si="2786">AH421</f>
        <v>20.3</v>
      </c>
      <c r="AI422" s="105">
        <f t="shared" si="2786"/>
        <v>1.5089999999999999</v>
      </c>
      <c r="AJ422" s="105">
        <f t="shared" si="2786"/>
        <v>1.504</v>
      </c>
      <c r="AK422" s="53">
        <f t="shared" si="2409"/>
        <v>0</v>
      </c>
      <c r="AL422" s="45"/>
      <c r="AM422" s="54">
        <f t="shared" ref="AM422:AN422" si="2787">AM421</f>
        <v>5.0129999999999999</v>
      </c>
      <c r="AN422" s="101" t="str">
        <f t="shared" si="2787"/>
        <v>17,59,050</v>
      </c>
      <c r="AO422" s="11" t="str">
        <f t="shared" si="2581"/>
        <v>17</v>
      </c>
      <c r="AP422" s="11" t="str">
        <f t="shared" si="2582"/>
        <v>59,050</v>
      </c>
      <c r="AQ422" s="11">
        <f t="shared" si="2583"/>
        <v>0.29973611111111109</v>
      </c>
      <c r="AR422" s="14">
        <f t="shared" si="2553"/>
        <v>16.724711551827998</v>
      </c>
      <c r="AS422" s="41">
        <f t="shared" si="2554"/>
        <v>-100</v>
      </c>
      <c r="AT422" s="43" t="str">
        <f t="shared" si="2555"/>
        <v>NO CONFORME</v>
      </c>
      <c r="AU422" s="8" t="b">
        <f t="shared" si="2584"/>
        <v>1</v>
      </c>
      <c r="AV422" s="8" t="b">
        <f t="shared" si="2585"/>
        <v>0</v>
      </c>
      <c r="AW422" s="8" t="b">
        <f t="shared" si="2586"/>
        <v>1</v>
      </c>
      <c r="AX422" s="8" t="str">
        <f t="shared" si="2587"/>
        <v>Qcorrecto</v>
      </c>
      <c r="AY422" s="22" t="str">
        <f t="shared" si="2556"/>
        <v>aceptable</v>
      </c>
      <c r="AZ422" s="22" t="str">
        <f t="shared" si="2557"/>
        <v>aceptable</v>
      </c>
      <c r="BA422" s="22" t="str">
        <f t="shared" si="2588"/>
        <v>aceptable</v>
      </c>
      <c r="BB422" s="25" t="str">
        <f t="shared" si="2589"/>
        <v>NO CONFORME</v>
      </c>
      <c r="BC422" s="5" t="str">
        <f t="shared" si="2590"/>
        <v>NO CONFORME</v>
      </c>
      <c r="BD422" s="15">
        <f t="shared" si="2558"/>
        <v>-1</v>
      </c>
      <c r="BE422" s="15">
        <f t="shared" si="2559"/>
        <v>-1</v>
      </c>
      <c r="BF422" s="15">
        <f t="shared" si="2560"/>
        <v>-1</v>
      </c>
      <c r="BG422" s="15" t="str">
        <f t="shared" si="2561"/>
        <v>-1-1-1</v>
      </c>
      <c r="BH422" s="15" t="str">
        <f t="shared" si="2562"/>
        <v>SD</v>
      </c>
      <c r="BI422" s="15" t="str">
        <f t="shared" si="2563"/>
        <v>SI</v>
      </c>
      <c r="BJ422" s="15" t="b">
        <f t="shared" si="2564"/>
        <v>1</v>
      </c>
      <c r="BK422" s="15" t="str">
        <f t="shared" si="2565"/>
        <v>SIGIGUALES</v>
      </c>
      <c r="BL422" s="22" t="str">
        <f t="shared" si="2566"/>
        <v>NO CONFORME</v>
      </c>
    </row>
    <row r="423" spans="1:64" ht="15.75" thickBot="1" x14ac:dyDescent="0.3">
      <c r="A423" s="37">
        <v>415</v>
      </c>
      <c r="B423" s="93">
        <f t="shared" ref="B423:E423" si="2788">B422</f>
        <v>45919</v>
      </c>
      <c r="C423" s="93">
        <f t="shared" si="2788"/>
        <v>45919</v>
      </c>
      <c r="D423" s="94">
        <f t="shared" si="2788"/>
        <v>6</v>
      </c>
      <c r="E423" s="95">
        <f t="shared" si="2788"/>
        <v>15</v>
      </c>
      <c r="F423" s="13"/>
      <c r="G423" s="90"/>
      <c r="H423" s="97">
        <f t="shared" ref="H423:L423" si="2789">H422</f>
        <v>25.6</v>
      </c>
      <c r="I423" s="98">
        <f t="shared" si="2789"/>
        <v>0</v>
      </c>
      <c r="J423" s="99">
        <f t="shared" si="2789"/>
        <v>20.9</v>
      </c>
      <c r="K423" s="99">
        <f t="shared" si="2789"/>
        <v>7.883</v>
      </c>
      <c r="L423" s="99">
        <f t="shared" si="2789"/>
        <v>0.55400000000000005</v>
      </c>
      <c r="M423" s="45"/>
      <c r="N423" s="45"/>
      <c r="O423" s="100">
        <f t="shared" ref="O423:P423" si="2790">O422</f>
        <v>100.62</v>
      </c>
      <c r="P423" s="101" t="str">
        <f t="shared" si="2790"/>
        <v>2,29,560</v>
      </c>
      <c r="Q423" s="11" t="str">
        <f t="shared" si="2570"/>
        <v>2</v>
      </c>
      <c r="R423" s="11" t="str">
        <f t="shared" si="2571"/>
        <v>29,560</v>
      </c>
      <c r="S423" s="11">
        <f t="shared" si="2572"/>
        <v>4.1544444444444446E-2</v>
      </c>
      <c r="T423" s="14">
        <f t="shared" si="2573"/>
        <v>2421.9844878309709</v>
      </c>
      <c r="U423" s="39">
        <f t="shared" si="2547"/>
        <v>-100</v>
      </c>
      <c r="V423" s="105">
        <f t="shared" ref="V423:X423" si="2791">V422</f>
        <v>20.399999999999999</v>
      </c>
      <c r="W423" s="105">
        <f t="shared" si="2791"/>
        <v>1.5069999999999999</v>
      </c>
      <c r="X423" s="106">
        <f t="shared" si="2791"/>
        <v>1.504</v>
      </c>
      <c r="Y423" s="45"/>
      <c r="Z423" s="45"/>
      <c r="AA423" s="107">
        <f t="shared" ref="AA423:AB423" si="2792">AA422</f>
        <v>10.015000000000001</v>
      </c>
      <c r="AB423" s="108" t="str">
        <f t="shared" si="2792"/>
        <v>22,10,090</v>
      </c>
      <c r="AC423" s="11" t="str">
        <f t="shared" si="2576"/>
        <v>22</v>
      </c>
      <c r="AD423" s="11" t="str">
        <f t="shared" si="2577"/>
        <v>10,090</v>
      </c>
      <c r="AE423" s="11">
        <f t="shared" si="2578"/>
        <v>0.36946944444444441</v>
      </c>
      <c r="AF423" s="14">
        <f t="shared" si="2550"/>
        <v>27.106436406558959</v>
      </c>
      <c r="AG423" s="41">
        <f t="shared" si="2596"/>
        <v>-100</v>
      </c>
      <c r="AH423" s="105">
        <f t="shared" ref="AH423:AJ423" si="2793">AH422</f>
        <v>20.3</v>
      </c>
      <c r="AI423" s="105">
        <f t="shared" si="2793"/>
        <v>1.5089999999999999</v>
      </c>
      <c r="AJ423" s="105">
        <f t="shared" si="2793"/>
        <v>1.504</v>
      </c>
      <c r="AK423" s="53">
        <f t="shared" si="2409"/>
        <v>0</v>
      </c>
      <c r="AL423" s="45"/>
      <c r="AM423" s="54">
        <f t="shared" ref="AM423:AN423" si="2794">AM422</f>
        <v>5.0129999999999999</v>
      </c>
      <c r="AN423" s="101" t="str">
        <f t="shared" si="2794"/>
        <v>17,59,050</v>
      </c>
      <c r="AO423" s="11" t="str">
        <f t="shared" si="2581"/>
        <v>17</v>
      </c>
      <c r="AP423" s="11" t="str">
        <f t="shared" si="2582"/>
        <v>59,050</v>
      </c>
      <c r="AQ423" s="11">
        <f t="shared" si="2583"/>
        <v>0.29973611111111109</v>
      </c>
      <c r="AR423" s="14">
        <f t="shared" si="2553"/>
        <v>16.724711551827998</v>
      </c>
      <c r="AS423" s="41">
        <f t="shared" si="2554"/>
        <v>-100</v>
      </c>
      <c r="AT423" s="43" t="str">
        <f t="shared" si="2555"/>
        <v>NO CONFORME</v>
      </c>
      <c r="AU423" s="8" t="b">
        <f t="shared" si="2584"/>
        <v>1</v>
      </c>
      <c r="AV423" s="8" t="b">
        <f t="shared" si="2585"/>
        <v>0</v>
      </c>
      <c r="AW423" s="8" t="b">
        <f t="shared" si="2586"/>
        <v>1</v>
      </c>
      <c r="AX423" s="8" t="str">
        <f t="shared" si="2587"/>
        <v>Qcorrecto</v>
      </c>
      <c r="AY423" s="22" t="str">
        <f t="shared" si="2556"/>
        <v>aceptable</v>
      </c>
      <c r="AZ423" s="22" t="str">
        <f t="shared" si="2557"/>
        <v>aceptable</v>
      </c>
      <c r="BA423" s="22" t="str">
        <f t="shared" si="2588"/>
        <v>aceptable</v>
      </c>
      <c r="BB423" s="25" t="str">
        <f t="shared" si="2589"/>
        <v>NO CONFORME</v>
      </c>
      <c r="BC423" s="5" t="str">
        <f t="shared" si="2590"/>
        <v>NO CONFORME</v>
      </c>
      <c r="BD423" s="15">
        <f t="shared" si="2558"/>
        <v>-1</v>
      </c>
      <c r="BE423" s="15">
        <f t="shared" si="2559"/>
        <v>-1</v>
      </c>
      <c r="BF423" s="15">
        <f t="shared" si="2560"/>
        <v>-1</v>
      </c>
      <c r="BG423" s="15" t="str">
        <f t="shared" si="2561"/>
        <v>-1-1-1</v>
      </c>
      <c r="BH423" s="15" t="str">
        <f t="shared" si="2562"/>
        <v>SD</v>
      </c>
      <c r="BI423" s="15" t="str">
        <f t="shared" si="2563"/>
        <v>SI</v>
      </c>
      <c r="BJ423" s="15" t="b">
        <f t="shared" si="2564"/>
        <v>1</v>
      </c>
      <c r="BK423" s="15" t="str">
        <f t="shared" si="2565"/>
        <v>SIGIGUALES</v>
      </c>
      <c r="BL423" s="22" t="str">
        <f t="shared" si="2566"/>
        <v>NO CONFORME</v>
      </c>
    </row>
    <row r="424" spans="1:64" ht="15.75" thickBot="1" x14ac:dyDescent="0.3">
      <c r="A424" s="37">
        <v>416</v>
      </c>
      <c r="B424" s="93">
        <f t="shared" ref="B424:E424" si="2795">B423</f>
        <v>45919</v>
      </c>
      <c r="C424" s="93">
        <f t="shared" si="2795"/>
        <v>45919</v>
      </c>
      <c r="D424" s="94">
        <f t="shared" si="2795"/>
        <v>6</v>
      </c>
      <c r="E424" s="95">
        <f t="shared" si="2795"/>
        <v>15</v>
      </c>
      <c r="F424" s="52"/>
      <c r="G424" s="96"/>
      <c r="H424" s="97">
        <f t="shared" ref="H424:L424" si="2796">H423</f>
        <v>25.6</v>
      </c>
      <c r="I424" s="98">
        <f t="shared" si="2796"/>
        <v>0</v>
      </c>
      <c r="J424" s="99">
        <f t="shared" si="2796"/>
        <v>20.9</v>
      </c>
      <c r="K424" s="99">
        <f t="shared" si="2796"/>
        <v>7.883</v>
      </c>
      <c r="L424" s="99">
        <f t="shared" si="2796"/>
        <v>0.55400000000000005</v>
      </c>
      <c r="M424" s="53"/>
      <c r="N424" s="53"/>
      <c r="O424" s="100">
        <f t="shared" ref="O424:P424" si="2797">O423</f>
        <v>100.62</v>
      </c>
      <c r="P424" s="101" t="str">
        <f t="shared" si="2797"/>
        <v>2,29,560</v>
      </c>
      <c r="Q424" s="11" t="str">
        <f t="shared" si="2570"/>
        <v>2</v>
      </c>
      <c r="R424" s="11" t="str">
        <f t="shared" si="2571"/>
        <v>29,560</v>
      </c>
      <c r="S424" s="11">
        <f t="shared" si="2572"/>
        <v>4.1544444444444446E-2</v>
      </c>
      <c r="T424" s="14">
        <f t="shared" si="2573"/>
        <v>2421.9844878309709</v>
      </c>
      <c r="U424" s="39">
        <f t="shared" si="2547"/>
        <v>-100</v>
      </c>
      <c r="V424" s="105">
        <f t="shared" ref="V424:X424" si="2798">V423</f>
        <v>20.399999999999999</v>
      </c>
      <c r="W424" s="105">
        <f t="shared" si="2798"/>
        <v>1.5069999999999999</v>
      </c>
      <c r="X424" s="106">
        <f t="shared" si="2798"/>
        <v>1.504</v>
      </c>
      <c r="Y424" s="53"/>
      <c r="Z424" s="53"/>
      <c r="AA424" s="107">
        <f t="shared" ref="AA424:AB424" si="2799">AA423</f>
        <v>10.015000000000001</v>
      </c>
      <c r="AB424" s="108" t="str">
        <f t="shared" si="2799"/>
        <v>22,10,090</v>
      </c>
      <c r="AC424" s="11" t="str">
        <f t="shared" si="2576"/>
        <v>22</v>
      </c>
      <c r="AD424" s="11" t="str">
        <f t="shared" si="2577"/>
        <v>10,090</v>
      </c>
      <c r="AE424" s="11">
        <f t="shared" si="2578"/>
        <v>0.36946944444444441</v>
      </c>
      <c r="AF424" s="14">
        <f t="shared" si="2550"/>
        <v>27.106436406558959</v>
      </c>
      <c r="AG424" s="41">
        <f t="shared" si="2596"/>
        <v>-100</v>
      </c>
      <c r="AH424" s="105">
        <f t="shared" ref="AH424:AJ424" si="2800">AH423</f>
        <v>20.3</v>
      </c>
      <c r="AI424" s="105">
        <f t="shared" si="2800"/>
        <v>1.5089999999999999</v>
      </c>
      <c r="AJ424" s="105">
        <f t="shared" si="2800"/>
        <v>1.504</v>
      </c>
      <c r="AK424" s="53">
        <f t="shared" si="2409"/>
        <v>0</v>
      </c>
      <c r="AL424" s="53"/>
      <c r="AM424" s="54">
        <f t="shared" ref="AM424:AN424" si="2801">AM423</f>
        <v>5.0129999999999999</v>
      </c>
      <c r="AN424" s="101" t="str">
        <f t="shared" si="2801"/>
        <v>17,59,050</v>
      </c>
      <c r="AO424" s="11" t="str">
        <f t="shared" si="2581"/>
        <v>17</v>
      </c>
      <c r="AP424" s="11" t="str">
        <f t="shared" si="2582"/>
        <v>59,050</v>
      </c>
      <c r="AQ424" s="11">
        <f t="shared" si="2583"/>
        <v>0.29973611111111109</v>
      </c>
      <c r="AR424" s="14">
        <f t="shared" si="2553"/>
        <v>16.724711551827998</v>
      </c>
      <c r="AS424" s="41">
        <f t="shared" si="2554"/>
        <v>-100</v>
      </c>
      <c r="AT424" s="43" t="str">
        <f t="shared" si="2555"/>
        <v>NO CONFORME</v>
      </c>
      <c r="AU424" s="8" t="b">
        <f t="shared" si="2584"/>
        <v>1</v>
      </c>
      <c r="AV424" s="8" t="b">
        <f t="shared" si="2585"/>
        <v>0</v>
      </c>
      <c r="AW424" s="8" t="b">
        <f t="shared" si="2586"/>
        <v>1</v>
      </c>
      <c r="AX424" s="8" t="str">
        <f t="shared" si="2587"/>
        <v>Qcorrecto</v>
      </c>
      <c r="AY424" s="22" t="str">
        <f t="shared" si="2556"/>
        <v>aceptable</v>
      </c>
      <c r="AZ424" s="22" t="str">
        <f t="shared" si="2557"/>
        <v>aceptable</v>
      </c>
      <c r="BA424" s="22" t="str">
        <f t="shared" si="2588"/>
        <v>aceptable</v>
      </c>
      <c r="BB424" s="25" t="str">
        <f t="shared" si="2589"/>
        <v>NO CONFORME</v>
      </c>
      <c r="BC424" s="5" t="str">
        <f t="shared" si="2590"/>
        <v>NO CONFORME</v>
      </c>
      <c r="BD424" s="15">
        <f t="shared" si="2558"/>
        <v>-1</v>
      </c>
      <c r="BE424" s="15">
        <f t="shared" si="2559"/>
        <v>-1</v>
      </c>
      <c r="BF424" s="15">
        <f t="shared" si="2560"/>
        <v>-1</v>
      </c>
      <c r="BG424" s="15" t="str">
        <f t="shared" si="2561"/>
        <v>-1-1-1</v>
      </c>
      <c r="BH424" s="15" t="str">
        <f t="shared" si="2562"/>
        <v>SD</v>
      </c>
      <c r="BI424" s="15" t="str">
        <f t="shared" si="2563"/>
        <v>SI</v>
      </c>
      <c r="BJ424" s="15" t="b">
        <f t="shared" si="2564"/>
        <v>1</v>
      </c>
      <c r="BK424" s="15" t="str">
        <f t="shared" si="2565"/>
        <v>SIGIGUALES</v>
      </c>
      <c r="BL424" s="22" t="str">
        <f t="shared" si="2566"/>
        <v>NO CONFORME</v>
      </c>
    </row>
    <row r="425" spans="1:64" ht="15.75" thickBot="1" x14ac:dyDescent="0.3">
      <c r="A425" s="37">
        <v>417</v>
      </c>
      <c r="B425" s="93">
        <f t="shared" ref="B425:E425" si="2802">B424</f>
        <v>45919</v>
      </c>
      <c r="C425" s="93">
        <f t="shared" si="2802"/>
        <v>45919</v>
      </c>
      <c r="D425" s="94">
        <f t="shared" si="2802"/>
        <v>6</v>
      </c>
      <c r="E425" s="95">
        <f t="shared" si="2802"/>
        <v>15</v>
      </c>
      <c r="F425" s="46"/>
      <c r="G425" s="110"/>
      <c r="H425" s="97">
        <f t="shared" ref="H425:L425" si="2803">H424</f>
        <v>25.6</v>
      </c>
      <c r="I425" s="98">
        <f t="shared" si="2803"/>
        <v>0</v>
      </c>
      <c r="J425" s="99">
        <f t="shared" si="2803"/>
        <v>20.9</v>
      </c>
      <c r="K425" s="99">
        <f t="shared" si="2803"/>
        <v>7.883</v>
      </c>
      <c r="L425" s="99">
        <f t="shared" si="2803"/>
        <v>0.55400000000000005</v>
      </c>
      <c r="M425" s="47"/>
      <c r="N425" s="47"/>
      <c r="O425" s="100">
        <f t="shared" ref="O425:P425" si="2804">O424</f>
        <v>100.62</v>
      </c>
      <c r="P425" s="101" t="str">
        <f t="shared" si="2804"/>
        <v>2,29,560</v>
      </c>
      <c r="Q425" s="11" t="str">
        <f t="shared" si="2570"/>
        <v>2</v>
      </c>
      <c r="R425" s="11" t="str">
        <f t="shared" si="2571"/>
        <v>29,560</v>
      </c>
      <c r="S425" s="11">
        <f t="shared" si="2572"/>
        <v>4.1544444444444446E-2</v>
      </c>
      <c r="T425" s="14">
        <f t="shared" si="2573"/>
        <v>2421.9844878309709</v>
      </c>
      <c r="U425" s="39">
        <f t="shared" si="2547"/>
        <v>-100</v>
      </c>
      <c r="V425" s="105">
        <f t="shared" ref="V425:X425" si="2805">V424</f>
        <v>20.399999999999999</v>
      </c>
      <c r="W425" s="105">
        <f t="shared" si="2805"/>
        <v>1.5069999999999999</v>
      </c>
      <c r="X425" s="106">
        <f t="shared" si="2805"/>
        <v>1.504</v>
      </c>
      <c r="Y425" s="47"/>
      <c r="Z425" s="47"/>
      <c r="AA425" s="107">
        <f t="shared" ref="AA425:AB425" si="2806">AA424</f>
        <v>10.015000000000001</v>
      </c>
      <c r="AB425" s="108" t="str">
        <f t="shared" si="2806"/>
        <v>22,10,090</v>
      </c>
      <c r="AC425" s="11" t="str">
        <f t="shared" si="2576"/>
        <v>22</v>
      </c>
      <c r="AD425" s="11" t="str">
        <f t="shared" si="2577"/>
        <v>10,090</v>
      </c>
      <c r="AE425" s="11">
        <f t="shared" si="2578"/>
        <v>0.36946944444444441</v>
      </c>
      <c r="AF425" s="14">
        <f t="shared" si="2550"/>
        <v>27.106436406558959</v>
      </c>
      <c r="AG425" s="41">
        <f t="shared" si="2596"/>
        <v>-100</v>
      </c>
      <c r="AH425" s="105">
        <f t="shared" ref="AH425:AJ425" si="2807">AH424</f>
        <v>20.3</v>
      </c>
      <c r="AI425" s="105">
        <f t="shared" si="2807"/>
        <v>1.5089999999999999</v>
      </c>
      <c r="AJ425" s="105">
        <f t="shared" si="2807"/>
        <v>1.504</v>
      </c>
      <c r="AK425" s="53">
        <f t="shared" si="2409"/>
        <v>0</v>
      </c>
      <c r="AL425" s="47"/>
      <c r="AM425" s="54">
        <f t="shared" ref="AM425:AN425" si="2808">AM424</f>
        <v>5.0129999999999999</v>
      </c>
      <c r="AN425" s="101" t="str">
        <f t="shared" si="2808"/>
        <v>17,59,050</v>
      </c>
      <c r="AO425" s="11" t="str">
        <f t="shared" si="2581"/>
        <v>17</v>
      </c>
      <c r="AP425" s="11" t="str">
        <f t="shared" si="2582"/>
        <v>59,050</v>
      </c>
      <c r="AQ425" s="11">
        <f t="shared" si="2583"/>
        <v>0.29973611111111109</v>
      </c>
      <c r="AR425" s="14">
        <f t="shared" si="2553"/>
        <v>16.724711551827998</v>
      </c>
      <c r="AS425" s="41">
        <f t="shared" si="2554"/>
        <v>-100</v>
      </c>
      <c r="AT425" s="43" t="str">
        <f t="shared" si="2555"/>
        <v>NO CONFORME</v>
      </c>
      <c r="AU425" s="8" t="b">
        <f t="shared" si="2584"/>
        <v>1</v>
      </c>
      <c r="AV425" s="8" t="b">
        <f t="shared" si="2585"/>
        <v>0</v>
      </c>
      <c r="AW425" s="8" t="b">
        <f t="shared" si="2586"/>
        <v>1</v>
      </c>
      <c r="AX425" s="8" t="str">
        <f t="shared" si="2587"/>
        <v>Qcorrecto</v>
      </c>
      <c r="AY425" s="22" t="str">
        <f t="shared" si="2556"/>
        <v>aceptable</v>
      </c>
      <c r="AZ425" s="22" t="str">
        <f t="shared" si="2557"/>
        <v>aceptable</v>
      </c>
      <c r="BA425" s="22" t="str">
        <f t="shared" si="2588"/>
        <v>aceptable</v>
      </c>
      <c r="BB425" s="25" t="str">
        <f t="shared" si="2589"/>
        <v>NO CONFORME</v>
      </c>
      <c r="BC425" s="5" t="str">
        <f t="shared" si="2590"/>
        <v>NO CONFORME</v>
      </c>
      <c r="BD425" s="15">
        <f t="shared" si="2558"/>
        <v>-1</v>
      </c>
      <c r="BE425" s="15">
        <f t="shared" si="2559"/>
        <v>-1</v>
      </c>
      <c r="BF425" s="15">
        <f t="shared" si="2560"/>
        <v>-1</v>
      </c>
      <c r="BG425" s="15" t="str">
        <f t="shared" si="2561"/>
        <v>-1-1-1</v>
      </c>
      <c r="BH425" s="15" t="str">
        <f t="shared" si="2562"/>
        <v>SD</v>
      </c>
      <c r="BI425" s="15" t="str">
        <f t="shared" si="2563"/>
        <v>SI</v>
      </c>
      <c r="BJ425" s="15" t="b">
        <f t="shared" si="2564"/>
        <v>1</v>
      </c>
      <c r="BK425" s="15" t="str">
        <f t="shared" si="2565"/>
        <v>SIGIGUALES</v>
      </c>
      <c r="BL425" s="22" t="str">
        <f t="shared" si="2566"/>
        <v>NO CONFORME</v>
      </c>
    </row>
    <row r="426" spans="1:64" ht="15.75" thickBot="1" x14ac:dyDescent="0.3">
      <c r="A426" s="37">
        <v>418</v>
      </c>
      <c r="B426" s="93">
        <f t="shared" ref="B426:E426" si="2809">B425</f>
        <v>45919</v>
      </c>
      <c r="C426" s="93">
        <f t="shared" si="2809"/>
        <v>45919</v>
      </c>
      <c r="D426" s="94">
        <f t="shared" si="2809"/>
        <v>6</v>
      </c>
      <c r="E426" s="95">
        <f t="shared" si="2809"/>
        <v>15</v>
      </c>
      <c r="F426" s="13"/>
      <c r="G426" s="90"/>
      <c r="H426" s="97">
        <f t="shared" ref="H426:L426" si="2810">H425</f>
        <v>25.6</v>
      </c>
      <c r="I426" s="98">
        <f t="shared" si="2810"/>
        <v>0</v>
      </c>
      <c r="J426" s="99">
        <f t="shared" si="2810"/>
        <v>20.9</v>
      </c>
      <c r="K426" s="99">
        <f t="shared" si="2810"/>
        <v>7.883</v>
      </c>
      <c r="L426" s="99">
        <f t="shared" si="2810"/>
        <v>0.55400000000000005</v>
      </c>
      <c r="M426" s="45"/>
      <c r="N426" s="45"/>
      <c r="O426" s="100">
        <f t="shared" ref="O426:P426" si="2811">O425</f>
        <v>100.62</v>
      </c>
      <c r="P426" s="101" t="str">
        <f t="shared" si="2811"/>
        <v>2,29,560</v>
      </c>
      <c r="Q426" s="11" t="str">
        <f t="shared" si="2570"/>
        <v>2</v>
      </c>
      <c r="R426" s="11" t="str">
        <f t="shared" si="2571"/>
        <v>29,560</v>
      </c>
      <c r="S426" s="11">
        <f t="shared" si="2572"/>
        <v>4.1544444444444446E-2</v>
      </c>
      <c r="T426" s="14">
        <f t="shared" si="2573"/>
        <v>2421.9844878309709</v>
      </c>
      <c r="U426" s="39">
        <f t="shared" si="2547"/>
        <v>-100</v>
      </c>
      <c r="V426" s="105">
        <f t="shared" ref="V426:X426" si="2812">V425</f>
        <v>20.399999999999999</v>
      </c>
      <c r="W426" s="105">
        <f t="shared" si="2812"/>
        <v>1.5069999999999999</v>
      </c>
      <c r="X426" s="106">
        <f t="shared" si="2812"/>
        <v>1.504</v>
      </c>
      <c r="Y426" s="45"/>
      <c r="Z426" s="45"/>
      <c r="AA426" s="107">
        <f t="shared" ref="AA426:AB426" si="2813">AA425</f>
        <v>10.015000000000001</v>
      </c>
      <c r="AB426" s="108" t="str">
        <f t="shared" si="2813"/>
        <v>22,10,090</v>
      </c>
      <c r="AC426" s="11" t="str">
        <f t="shared" si="2576"/>
        <v>22</v>
      </c>
      <c r="AD426" s="11" t="str">
        <f t="shared" si="2577"/>
        <v>10,090</v>
      </c>
      <c r="AE426" s="11">
        <f t="shared" si="2578"/>
        <v>0.36946944444444441</v>
      </c>
      <c r="AF426" s="14">
        <f t="shared" si="2550"/>
        <v>27.106436406558959</v>
      </c>
      <c r="AG426" s="41">
        <f t="shared" si="2596"/>
        <v>-100</v>
      </c>
      <c r="AH426" s="105">
        <f t="shared" ref="AH426:AJ426" si="2814">AH425</f>
        <v>20.3</v>
      </c>
      <c r="AI426" s="105">
        <f t="shared" si="2814"/>
        <v>1.5089999999999999</v>
      </c>
      <c r="AJ426" s="105">
        <f t="shared" si="2814"/>
        <v>1.504</v>
      </c>
      <c r="AK426" s="53">
        <f t="shared" si="2409"/>
        <v>0</v>
      </c>
      <c r="AL426" s="45"/>
      <c r="AM426" s="54">
        <f t="shared" ref="AM426:AN426" si="2815">AM425</f>
        <v>5.0129999999999999</v>
      </c>
      <c r="AN426" s="101" t="str">
        <f t="shared" si="2815"/>
        <v>17,59,050</v>
      </c>
      <c r="AO426" s="11" t="str">
        <f t="shared" si="2581"/>
        <v>17</v>
      </c>
      <c r="AP426" s="11" t="str">
        <f t="shared" si="2582"/>
        <v>59,050</v>
      </c>
      <c r="AQ426" s="11">
        <f t="shared" si="2583"/>
        <v>0.29973611111111109</v>
      </c>
      <c r="AR426" s="14">
        <f t="shared" si="2553"/>
        <v>16.724711551827998</v>
      </c>
      <c r="AS426" s="41">
        <f t="shared" si="2554"/>
        <v>-100</v>
      </c>
      <c r="AT426" s="43" t="str">
        <f t="shared" si="2555"/>
        <v>NO CONFORME</v>
      </c>
      <c r="AU426" s="8" t="b">
        <f t="shared" si="2584"/>
        <v>1</v>
      </c>
      <c r="AV426" s="8" t="b">
        <f t="shared" si="2585"/>
        <v>0</v>
      </c>
      <c r="AW426" s="8" t="b">
        <f t="shared" si="2586"/>
        <v>1</v>
      </c>
      <c r="AX426" s="8" t="str">
        <f t="shared" si="2587"/>
        <v>Qcorrecto</v>
      </c>
      <c r="AY426" s="22" t="str">
        <f t="shared" si="2556"/>
        <v>aceptable</v>
      </c>
      <c r="AZ426" s="22" t="str">
        <f t="shared" si="2557"/>
        <v>aceptable</v>
      </c>
      <c r="BA426" s="22" t="str">
        <f t="shared" si="2588"/>
        <v>aceptable</v>
      </c>
      <c r="BB426" s="25" t="str">
        <f t="shared" si="2589"/>
        <v>NO CONFORME</v>
      </c>
      <c r="BC426" s="5" t="str">
        <f t="shared" si="2590"/>
        <v>NO CONFORME</v>
      </c>
      <c r="BD426" s="15">
        <f t="shared" si="2558"/>
        <v>-1</v>
      </c>
      <c r="BE426" s="15">
        <f t="shared" si="2559"/>
        <v>-1</v>
      </c>
      <c r="BF426" s="15">
        <f t="shared" si="2560"/>
        <v>-1</v>
      </c>
      <c r="BG426" s="15" t="str">
        <f t="shared" si="2561"/>
        <v>-1-1-1</v>
      </c>
      <c r="BH426" s="15" t="str">
        <f t="shared" si="2562"/>
        <v>SD</v>
      </c>
      <c r="BI426" s="15" t="str">
        <f t="shared" si="2563"/>
        <v>SI</v>
      </c>
      <c r="BJ426" s="15" t="b">
        <f t="shared" si="2564"/>
        <v>1</v>
      </c>
      <c r="BK426" s="15" t="str">
        <f t="shared" si="2565"/>
        <v>SIGIGUALES</v>
      </c>
      <c r="BL426" s="22" t="str">
        <f t="shared" si="2566"/>
        <v>NO CONFORME</v>
      </c>
    </row>
    <row r="427" spans="1:64" ht="15.75" thickBot="1" x14ac:dyDescent="0.3">
      <c r="A427" s="37">
        <v>419</v>
      </c>
      <c r="B427" s="93">
        <f t="shared" ref="B427:E427" si="2816">B426</f>
        <v>45919</v>
      </c>
      <c r="C427" s="93">
        <f t="shared" si="2816"/>
        <v>45919</v>
      </c>
      <c r="D427" s="94">
        <f t="shared" si="2816"/>
        <v>6</v>
      </c>
      <c r="E427" s="95">
        <f t="shared" si="2816"/>
        <v>15</v>
      </c>
      <c r="F427" s="13"/>
      <c r="G427" s="90"/>
      <c r="H427" s="97">
        <f t="shared" ref="H427:L427" si="2817">H426</f>
        <v>25.6</v>
      </c>
      <c r="I427" s="98">
        <f t="shared" si="2817"/>
        <v>0</v>
      </c>
      <c r="J427" s="99">
        <f t="shared" si="2817"/>
        <v>20.9</v>
      </c>
      <c r="K427" s="99">
        <f t="shared" si="2817"/>
        <v>7.883</v>
      </c>
      <c r="L427" s="99">
        <f t="shared" si="2817"/>
        <v>0.55400000000000005</v>
      </c>
      <c r="M427" s="45"/>
      <c r="N427" s="45"/>
      <c r="O427" s="100">
        <f t="shared" ref="O427:P427" si="2818">O426</f>
        <v>100.62</v>
      </c>
      <c r="P427" s="101" t="str">
        <f t="shared" si="2818"/>
        <v>2,29,560</v>
      </c>
      <c r="Q427" s="11" t="str">
        <f t="shared" si="2570"/>
        <v>2</v>
      </c>
      <c r="R427" s="11" t="str">
        <f t="shared" si="2571"/>
        <v>29,560</v>
      </c>
      <c r="S427" s="11">
        <f t="shared" si="2572"/>
        <v>4.1544444444444446E-2</v>
      </c>
      <c r="T427" s="14">
        <f t="shared" si="2573"/>
        <v>2421.9844878309709</v>
      </c>
      <c r="U427" s="39">
        <f t="shared" si="2547"/>
        <v>-100</v>
      </c>
      <c r="V427" s="105">
        <f t="shared" ref="V427:X427" si="2819">V426</f>
        <v>20.399999999999999</v>
      </c>
      <c r="W427" s="105">
        <f t="shared" si="2819"/>
        <v>1.5069999999999999</v>
      </c>
      <c r="X427" s="106">
        <f t="shared" si="2819"/>
        <v>1.504</v>
      </c>
      <c r="Y427" s="45"/>
      <c r="Z427" s="45"/>
      <c r="AA427" s="107">
        <f t="shared" ref="AA427:AB427" si="2820">AA426</f>
        <v>10.015000000000001</v>
      </c>
      <c r="AB427" s="108" t="str">
        <f t="shared" si="2820"/>
        <v>22,10,090</v>
      </c>
      <c r="AC427" s="11" t="str">
        <f t="shared" si="2576"/>
        <v>22</v>
      </c>
      <c r="AD427" s="11" t="str">
        <f t="shared" si="2577"/>
        <v>10,090</v>
      </c>
      <c r="AE427" s="11">
        <f t="shared" si="2578"/>
        <v>0.36946944444444441</v>
      </c>
      <c r="AF427" s="14">
        <f t="shared" si="2550"/>
        <v>27.106436406558959</v>
      </c>
      <c r="AG427" s="41">
        <f t="shared" si="2596"/>
        <v>-100</v>
      </c>
      <c r="AH427" s="105">
        <f t="shared" ref="AH427:AJ427" si="2821">AH426</f>
        <v>20.3</v>
      </c>
      <c r="AI427" s="105">
        <f t="shared" si="2821"/>
        <v>1.5089999999999999</v>
      </c>
      <c r="AJ427" s="105">
        <f t="shared" si="2821"/>
        <v>1.504</v>
      </c>
      <c r="AK427" s="53">
        <f t="shared" si="2409"/>
        <v>0</v>
      </c>
      <c r="AL427" s="45"/>
      <c r="AM427" s="54">
        <f t="shared" ref="AM427:AN427" si="2822">AM426</f>
        <v>5.0129999999999999</v>
      </c>
      <c r="AN427" s="101" t="str">
        <f t="shared" si="2822"/>
        <v>17,59,050</v>
      </c>
      <c r="AO427" s="11" t="str">
        <f t="shared" si="2581"/>
        <v>17</v>
      </c>
      <c r="AP427" s="11" t="str">
        <f t="shared" si="2582"/>
        <v>59,050</v>
      </c>
      <c r="AQ427" s="11">
        <f t="shared" si="2583"/>
        <v>0.29973611111111109</v>
      </c>
      <c r="AR427" s="14">
        <f t="shared" si="2553"/>
        <v>16.724711551827998</v>
      </c>
      <c r="AS427" s="41">
        <f t="shared" si="2554"/>
        <v>-100</v>
      </c>
      <c r="AT427" s="43" t="str">
        <f t="shared" si="2555"/>
        <v>NO CONFORME</v>
      </c>
      <c r="AU427" s="8" t="b">
        <f t="shared" si="2584"/>
        <v>1</v>
      </c>
      <c r="AV427" s="8" t="b">
        <f t="shared" si="2585"/>
        <v>0</v>
      </c>
      <c r="AW427" s="8" t="b">
        <f t="shared" si="2586"/>
        <v>1</v>
      </c>
      <c r="AX427" s="8" t="str">
        <f t="shared" si="2587"/>
        <v>Qcorrecto</v>
      </c>
      <c r="AY427" s="22" t="str">
        <f t="shared" si="2556"/>
        <v>aceptable</v>
      </c>
      <c r="AZ427" s="22" t="str">
        <f t="shared" si="2557"/>
        <v>aceptable</v>
      </c>
      <c r="BA427" s="22" t="str">
        <f t="shared" si="2588"/>
        <v>aceptable</v>
      </c>
      <c r="BB427" s="25" t="str">
        <f t="shared" si="2589"/>
        <v>NO CONFORME</v>
      </c>
      <c r="BC427" s="5" t="str">
        <f t="shared" si="2590"/>
        <v>NO CONFORME</v>
      </c>
      <c r="BD427" s="15">
        <f t="shared" si="2558"/>
        <v>-1</v>
      </c>
      <c r="BE427" s="15">
        <f t="shared" si="2559"/>
        <v>-1</v>
      </c>
      <c r="BF427" s="15">
        <f t="shared" si="2560"/>
        <v>-1</v>
      </c>
      <c r="BG427" s="15" t="str">
        <f t="shared" si="2561"/>
        <v>-1-1-1</v>
      </c>
      <c r="BH427" s="15" t="str">
        <f t="shared" si="2562"/>
        <v>SD</v>
      </c>
      <c r="BI427" s="15" t="str">
        <f t="shared" si="2563"/>
        <v>SI</v>
      </c>
      <c r="BJ427" s="15" t="b">
        <f t="shared" si="2564"/>
        <v>1</v>
      </c>
      <c r="BK427" s="15" t="str">
        <f t="shared" si="2565"/>
        <v>SIGIGUALES</v>
      </c>
      <c r="BL427" s="22" t="str">
        <f t="shared" si="2566"/>
        <v>NO CONFORME</v>
      </c>
    </row>
    <row r="428" spans="1:64" ht="15.75" thickBot="1" x14ac:dyDescent="0.3">
      <c r="A428" s="37">
        <v>420</v>
      </c>
      <c r="B428" s="93">
        <f t="shared" ref="B428:E428" si="2823">B427</f>
        <v>45919</v>
      </c>
      <c r="C428" s="93">
        <f t="shared" si="2823"/>
        <v>45919</v>
      </c>
      <c r="D428" s="94">
        <f t="shared" si="2823"/>
        <v>6</v>
      </c>
      <c r="E428" s="95">
        <f t="shared" si="2823"/>
        <v>15</v>
      </c>
      <c r="F428" s="13"/>
      <c r="G428" s="90"/>
      <c r="H428" s="97">
        <f t="shared" ref="H428:L428" si="2824">H427</f>
        <v>25.6</v>
      </c>
      <c r="I428" s="98">
        <f t="shared" si="2824"/>
        <v>0</v>
      </c>
      <c r="J428" s="99">
        <f t="shared" si="2824"/>
        <v>20.9</v>
      </c>
      <c r="K428" s="99">
        <f t="shared" si="2824"/>
        <v>7.883</v>
      </c>
      <c r="L428" s="99">
        <f t="shared" si="2824"/>
        <v>0.55400000000000005</v>
      </c>
      <c r="M428" s="45"/>
      <c r="N428" s="45"/>
      <c r="O428" s="100">
        <f t="shared" ref="O428:P428" si="2825">O427</f>
        <v>100.62</v>
      </c>
      <c r="P428" s="101" t="str">
        <f t="shared" si="2825"/>
        <v>2,29,560</v>
      </c>
      <c r="Q428" s="11" t="str">
        <f t="shared" si="2570"/>
        <v>2</v>
      </c>
      <c r="R428" s="11" t="str">
        <f t="shared" si="2571"/>
        <v>29,560</v>
      </c>
      <c r="S428" s="11">
        <f t="shared" si="2572"/>
        <v>4.1544444444444446E-2</v>
      </c>
      <c r="T428" s="14">
        <f t="shared" si="2573"/>
        <v>2421.9844878309709</v>
      </c>
      <c r="U428" s="39">
        <f t="shared" si="2547"/>
        <v>-100</v>
      </c>
      <c r="V428" s="105">
        <f t="shared" ref="V428:X428" si="2826">V427</f>
        <v>20.399999999999999</v>
      </c>
      <c r="W428" s="105">
        <f t="shared" si="2826"/>
        <v>1.5069999999999999</v>
      </c>
      <c r="X428" s="106">
        <f t="shared" si="2826"/>
        <v>1.504</v>
      </c>
      <c r="Y428" s="45"/>
      <c r="Z428" s="45"/>
      <c r="AA428" s="107">
        <f t="shared" ref="AA428:AB428" si="2827">AA427</f>
        <v>10.015000000000001</v>
      </c>
      <c r="AB428" s="108" t="str">
        <f t="shared" si="2827"/>
        <v>22,10,090</v>
      </c>
      <c r="AC428" s="11" t="str">
        <f t="shared" si="2576"/>
        <v>22</v>
      </c>
      <c r="AD428" s="11" t="str">
        <f t="shared" si="2577"/>
        <v>10,090</v>
      </c>
      <c r="AE428" s="11">
        <f t="shared" si="2578"/>
        <v>0.36946944444444441</v>
      </c>
      <c r="AF428" s="14">
        <f t="shared" si="2550"/>
        <v>27.106436406558959</v>
      </c>
      <c r="AG428" s="41">
        <f t="shared" si="2596"/>
        <v>-100</v>
      </c>
      <c r="AH428" s="105">
        <f t="shared" ref="AH428:AJ428" si="2828">AH427</f>
        <v>20.3</v>
      </c>
      <c r="AI428" s="105">
        <f t="shared" si="2828"/>
        <v>1.5089999999999999</v>
      </c>
      <c r="AJ428" s="105">
        <f t="shared" si="2828"/>
        <v>1.504</v>
      </c>
      <c r="AK428" s="53">
        <f t="shared" si="2409"/>
        <v>0</v>
      </c>
      <c r="AL428" s="45"/>
      <c r="AM428" s="54">
        <f t="shared" ref="AM428:AN428" si="2829">AM427</f>
        <v>5.0129999999999999</v>
      </c>
      <c r="AN428" s="101" t="str">
        <f t="shared" si="2829"/>
        <v>17,59,050</v>
      </c>
      <c r="AO428" s="11" t="str">
        <f t="shared" si="2581"/>
        <v>17</v>
      </c>
      <c r="AP428" s="11" t="str">
        <f t="shared" si="2582"/>
        <v>59,050</v>
      </c>
      <c r="AQ428" s="11">
        <f t="shared" si="2583"/>
        <v>0.29973611111111109</v>
      </c>
      <c r="AR428" s="14">
        <f t="shared" si="2553"/>
        <v>16.724711551827998</v>
      </c>
      <c r="AS428" s="41">
        <f t="shared" si="2554"/>
        <v>-100</v>
      </c>
      <c r="AT428" s="43" t="str">
        <f t="shared" si="2555"/>
        <v>NO CONFORME</v>
      </c>
      <c r="AU428" s="8" t="b">
        <f t="shared" si="2584"/>
        <v>1</v>
      </c>
      <c r="AV428" s="8" t="b">
        <f t="shared" si="2585"/>
        <v>0</v>
      </c>
      <c r="AW428" s="8" t="b">
        <f t="shared" si="2586"/>
        <v>1</v>
      </c>
      <c r="AX428" s="8" t="str">
        <f t="shared" si="2587"/>
        <v>Qcorrecto</v>
      </c>
      <c r="AY428" s="22" t="str">
        <f t="shared" si="2556"/>
        <v>aceptable</v>
      </c>
      <c r="AZ428" s="22" t="str">
        <f t="shared" si="2557"/>
        <v>aceptable</v>
      </c>
      <c r="BA428" s="22" t="str">
        <f t="shared" si="2588"/>
        <v>aceptable</v>
      </c>
      <c r="BB428" s="25" t="str">
        <f t="shared" si="2589"/>
        <v>NO CONFORME</v>
      </c>
      <c r="BC428" s="5" t="str">
        <f t="shared" si="2590"/>
        <v>NO CONFORME</v>
      </c>
      <c r="BD428" s="15">
        <f t="shared" si="2558"/>
        <v>-1</v>
      </c>
      <c r="BE428" s="15">
        <f t="shared" si="2559"/>
        <v>-1</v>
      </c>
      <c r="BF428" s="15">
        <f t="shared" si="2560"/>
        <v>-1</v>
      </c>
      <c r="BG428" s="15" t="str">
        <f t="shared" si="2561"/>
        <v>-1-1-1</v>
      </c>
      <c r="BH428" s="15" t="str">
        <f t="shared" si="2562"/>
        <v>SD</v>
      </c>
      <c r="BI428" s="15" t="str">
        <f t="shared" si="2563"/>
        <v>SI</v>
      </c>
      <c r="BJ428" s="15" t="b">
        <f t="shared" si="2564"/>
        <v>1</v>
      </c>
      <c r="BK428" s="15" t="str">
        <f t="shared" si="2565"/>
        <v>SIGIGUALES</v>
      </c>
      <c r="BL428" s="22" t="str">
        <f t="shared" si="2566"/>
        <v>NO CONFORME</v>
      </c>
    </row>
    <row r="429" spans="1:64" ht="15.75" thickBot="1" x14ac:dyDescent="0.3">
      <c r="A429" s="37">
        <v>421</v>
      </c>
      <c r="B429" s="93">
        <f t="shared" ref="B429:E429" si="2830">B428</f>
        <v>45919</v>
      </c>
      <c r="C429" s="93">
        <f t="shared" si="2830"/>
        <v>45919</v>
      </c>
      <c r="D429" s="94">
        <f t="shared" si="2830"/>
        <v>6</v>
      </c>
      <c r="E429" s="95">
        <f t="shared" si="2830"/>
        <v>15</v>
      </c>
      <c r="F429" s="13"/>
      <c r="G429" s="109"/>
      <c r="H429" s="97">
        <f t="shared" ref="H429:L429" si="2831">H428</f>
        <v>25.6</v>
      </c>
      <c r="I429" s="98">
        <f t="shared" si="2831"/>
        <v>0</v>
      </c>
      <c r="J429" s="99">
        <f t="shared" si="2831"/>
        <v>20.9</v>
      </c>
      <c r="K429" s="99">
        <f t="shared" si="2831"/>
        <v>7.883</v>
      </c>
      <c r="L429" s="99">
        <f t="shared" si="2831"/>
        <v>0.55400000000000005</v>
      </c>
      <c r="M429" s="45"/>
      <c r="N429" s="45"/>
      <c r="O429" s="100">
        <f t="shared" ref="O429:P429" si="2832">O428</f>
        <v>100.62</v>
      </c>
      <c r="P429" s="101" t="str">
        <f t="shared" si="2832"/>
        <v>2,29,560</v>
      </c>
      <c r="Q429" s="11" t="str">
        <f t="shared" si="2570"/>
        <v>2</v>
      </c>
      <c r="R429" s="11" t="str">
        <f t="shared" si="2571"/>
        <v>29,560</v>
      </c>
      <c r="S429" s="11">
        <f t="shared" si="2572"/>
        <v>4.1544444444444446E-2</v>
      </c>
      <c r="T429" s="14">
        <f t="shared" si="2573"/>
        <v>2421.9844878309709</v>
      </c>
      <c r="U429" s="39">
        <f t="shared" si="2547"/>
        <v>-100</v>
      </c>
      <c r="V429" s="105">
        <f t="shared" ref="V429:X429" si="2833">V428</f>
        <v>20.399999999999999</v>
      </c>
      <c r="W429" s="105">
        <f t="shared" si="2833"/>
        <v>1.5069999999999999</v>
      </c>
      <c r="X429" s="106">
        <f t="shared" si="2833"/>
        <v>1.504</v>
      </c>
      <c r="Y429" s="45"/>
      <c r="Z429" s="45"/>
      <c r="AA429" s="107">
        <f t="shared" ref="AA429:AB429" si="2834">AA428</f>
        <v>10.015000000000001</v>
      </c>
      <c r="AB429" s="108" t="str">
        <f t="shared" si="2834"/>
        <v>22,10,090</v>
      </c>
      <c r="AC429" s="11" t="str">
        <f t="shared" si="2576"/>
        <v>22</v>
      </c>
      <c r="AD429" s="11" t="str">
        <f t="shared" si="2577"/>
        <v>10,090</v>
      </c>
      <c r="AE429" s="11">
        <f t="shared" si="2578"/>
        <v>0.36946944444444441</v>
      </c>
      <c r="AF429" s="14">
        <f t="shared" si="2550"/>
        <v>27.106436406558959</v>
      </c>
      <c r="AG429" s="41">
        <f t="shared" si="2596"/>
        <v>-100</v>
      </c>
      <c r="AH429" s="105">
        <f t="shared" ref="AH429:AJ429" si="2835">AH428</f>
        <v>20.3</v>
      </c>
      <c r="AI429" s="105">
        <f t="shared" si="2835"/>
        <v>1.5089999999999999</v>
      </c>
      <c r="AJ429" s="105">
        <f t="shared" si="2835"/>
        <v>1.504</v>
      </c>
      <c r="AK429" s="53">
        <f t="shared" si="2409"/>
        <v>0</v>
      </c>
      <c r="AL429" s="45"/>
      <c r="AM429" s="54">
        <f t="shared" ref="AM429:AN429" si="2836">AM428</f>
        <v>5.0129999999999999</v>
      </c>
      <c r="AN429" s="101" t="str">
        <f t="shared" si="2836"/>
        <v>17,59,050</v>
      </c>
      <c r="AO429" s="11" t="str">
        <f t="shared" si="2581"/>
        <v>17</v>
      </c>
      <c r="AP429" s="11" t="str">
        <f t="shared" si="2582"/>
        <v>59,050</v>
      </c>
      <c r="AQ429" s="11">
        <f t="shared" si="2583"/>
        <v>0.29973611111111109</v>
      </c>
      <c r="AR429" s="14">
        <f t="shared" si="2553"/>
        <v>16.724711551827998</v>
      </c>
      <c r="AS429" s="41">
        <f t="shared" si="2554"/>
        <v>-100</v>
      </c>
      <c r="AT429" s="43" t="str">
        <f t="shared" si="2555"/>
        <v>NO CONFORME</v>
      </c>
      <c r="AU429" s="8" t="b">
        <f t="shared" si="2584"/>
        <v>1</v>
      </c>
      <c r="AV429" s="8" t="b">
        <f t="shared" si="2585"/>
        <v>0</v>
      </c>
      <c r="AW429" s="8" t="b">
        <f t="shared" si="2586"/>
        <v>1</v>
      </c>
      <c r="AX429" s="8" t="str">
        <f t="shared" si="2587"/>
        <v>Qcorrecto</v>
      </c>
      <c r="AY429" s="22" t="str">
        <f t="shared" si="2556"/>
        <v>aceptable</v>
      </c>
      <c r="AZ429" s="22" t="str">
        <f t="shared" si="2557"/>
        <v>aceptable</v>
      </c>
      <c r="BA429" s="22" t="str">
        <f t="shared" si="2588"/>
        <v>aceptable</v>
      </c>
      <c r="BB429" s="25" t="str">
        <f t="shared" si="2589"/>
        <v>NO CONFORME</v>
      </c>
      <c r="BC429" s="5" t="str">
        <f t="shared" si="2590"/>
        <v>NO CONFORME</v>
      </c>
      <c r="BD429" s="15">
        <f t="shared" si="2558"/>
        <v>-1</v>
      </c>
      <c r="BE429" s="15">
        <f t="shared" si="2559"/>
        <v>-1</v>
      </c>
      <c r="BF429" s="15">
        <f t="shared" si="2560"/>
        <v>-1</v>
      </c>
      <c r="BG429" s="15" t="str">
        <f t="shared" si="2561"/>
        <v>-1-1-1</v>
      </c>
      <c r="BH429" s="15" t="str">
        <f t="shared" si="2562"/>
        <v>SD</v>
      </c>
      <c r="BI429" s="15" t="str">
        <f t="shared" si="2563"/>
        <v>SI</v>
      </c>
      <c r="BJ429" s="15" t="b">
        <f t="shared" si="2564"/>
        <v>1</v>
      </c>
      <c r="BK429" s="15" t="str">
        <f t="shared" si="2565"/>
        <v>SIGIGUALES</v>
      </c>
      <c r="BL429" s="22" t="str">
        <f t="shared" si="2566"/>
        <v>NO CONFORME</v>
      </c>
    </row>
    <row r="430" spans="1:64" ht="15.75" thickBot="1" x14ac:dyDescent="0.3">
      <c r="A430" s="37">
        <v>422</v>
      </c>
      <c r="B430" s="93">
        <f t="shared" ref="B430:E430" si="2837">B429</f>
        <v>45919</v>
      </c>
      <c r="C430" s="93">
        <f t="shared" si="2837"/>
        <v>45919</v>
      </c>
      <c r="D430" s="94">
        <f t="shared" si="2837"/>
        <v>6</v>
      </c>
      <c r="E430" s="95">
        <f t="shared" si="2837"/>
        <v>15</v>
      </c>
      <c r="F430" s="13"/>
      <c r="G430" s="90"/>
      <c r="H430" s="97">
        <f t="shared" ref="H430:L430" si="2838">H429</f>
        <v>25.6</v>
      </c>
      <c r="I430" s="98">
        <f t="shared" si="2838"/>
        <v>0</v>
      </c>
      <c r="J430" s="99">
        <f t="shared" si="2838"/>
        <v>20.9</v>
      </c>
      <c r="K430" s="99">
        <f t="shared" si="2838"/>
        <v>7.883</v>
      </c>
      <c r="L430" s="99">
        <f t="shared" si="2838"/>
        <v>0.55400000000000005</v>
      </c>
      <c r="M430" s="45"/>
      <c r="N430" s="45"/>
      <c r="O430" s="100">
        <f t="shared" ref="O430:P430" si="2839">O429</f>
        <v>100.62</v>
      </c>
      <c r="P430" s="101" t="str">
        <f t="shared" si="2839"/>
        <v>2,29,560</v>
      </c>
      <c r="Q430" s="11" t="str">
        <f t="shared" si="2570"/>
        <v>2</v>
      </c>
      <c r="R430" s="11" t="str">
        <f t="shared" si="2571"/>
        <v>29,560</v>
      </c>
      <c r="S430" s="11">
        <f t="shared" si="2572"/>
        <v>4.1544444444444446E-2</v>
      </c>
      <c r="T430" s="14">
        <f t="shared" si="2573"/>
        <v>2421.9844878309709</v>
      </c>
      <c r="U430" s="39">
        <f t="shared" si="2547"/>
        <v>-100</v>
      </c>
      <c r="V430" s="105">
        <f t="shared" ref="V430:X430" si="2840">V429</f>
        <v>20.399999999999999</v>
      </c>
      <c r="W430" s="105">
        <f t="shared" si="2840"/>
        <v>1.5069999999999999</v>
      </c>
      <c r="X430" s="106">
        <f t="shared" si="2840"/>
        <v>1.504</v>
      </c>
      <c r="Y430" s="45"/>
      <c r="Z430" s="45"/>
      <c r="AA430" s="107">
        <f t="shared" ref="AA430:AB430" si="2841">AA429</f>
        <v>10.015000000000001</v>
      </c>
      <c r="AB430" s="108" t="str">
        <f t="shared" si="2841"/>
        <v>22,10,090</v>
      </c>
      <c r="AC430" s="11" t="str">
        <f t="shared" si="2576"/>
        <v>22</v>
      </c>
      <c r="AD430" s="11" t="str">
        <f t="shared" si="2577"/>
        <v>10,090</v>
      </c>
      <c r="AE430" s="11">
        <f t="shared" si="2578"/>
        <v>0.36946944444444441</v>
      </c>
      <c r="AF430" s="14">
        <f t="shared" si="2550"/>
        <v>27.106436406558959</v>
      </c>
      <c r="AG430" s="41">
        <f t="shared" si="2596"/>
        <v>-100</v>
      </c>
      <c r="AH430" s="105">
        <f t="shared" ref="AH430:AJ430" si="2842">AH429</f>
        <v>20.3</v>
      </c>
      <c r="AI430" s="105">
        <f t="shared" si="2842"/>
        <v>1.5089999999999999</v>
      </c>
      <c r="AJ430" s="105">
        <f t="shared" si="2842"/>
        <v>1.504</v>
      </c>
      <c r="AK430" s="53">
        <f t="shared" si="2409"/>
        <v>0</v>
      </c>
      <c r="AL430" s="45"/>
      <c r="AM430" s="54">
        <f t="shared" ref="AM430:AN430" si="2843">AM429</f>
        <v>5.0129999999999999</v>
      </c>
      <c r="AN430" s="101" t="str">
        <f t="shared" si="2843"/>
        <v>17,59,050</v>
      </c>
      <c r="AO430" s="11" t="str">
        <f t="shared" si="2581"/>
        <v>17</v>
      </c>
      <c r="AP430" s="11" t="str">
        <f t="shared" si="2582"/>
        <v>59,050</v>
      </c>
      <c r="AQ430" s="11">
        <f t="shared" si="2583"/>
        <v>0.29973611111111109</v>
      </c>
      <c r="AR430" s="14">
        <f t="shared" si="2553"/>
        <v>16.724711551827998</v>
      </c>
      <c r="AS430" s="41">
        <f t="shared" si="2554"/>
        <v>-100</v>
      </c>
      <c r="AT430" s="43" t="str">
        <f t="shared" si="2555"/>
        <v>NO CONFORME</v>
      </c>
      <c r="AU430" s="8" t="b">
        <f t="shared" si="2584"/>
        <v>1</v>
      </c>
      <c r="AV430" s="8" t="b">
        <f t="shared" si="2585"/>
        <v>0</v>
      </c>
      <c r="AW430" s="8" t="b">
        <f t="shared" si="2586"/>
        <v>1</v>
      </c>
      <c r="AX430" s="8" t="str">
        <f t="shared" si="2587"/>
        <v>Qcorrecto</v>
      </c>
      <c r="AY430" s="22" t="str">
        <f t="shared" si="2556"/>
        <v>aceptable</v>
      </c>
      <c r="AZ430" s="22" t="str">
        <f t="shared" si="2557"/>
        <v>aceptable</v>
      </c>
      <c r="BA430" s="22" t="str">
        <f t="shared" si="2588"/>
        <v>aceptable</v>
      </c>
      <c r="BB430" s="25" t="str">
        <f t="shared" si="2589"/>
        <v>NO CONFORME</v>
      </c>
      <c r="BC430" s="5" t="str">
        <f t="shared" si="2590"/>
        <v>NO CONFORME</v>
      </c>
      <c r="BD430" s="15">
        <f t="shared" si="2558"/>
        <v>-1</v>
      </c>
      <c r="BE430" s="15">
        <f t="shared" si="2559"/>
        <v>-1</v>
      </c>
      <c r="BF430" s="15">
        <f t="shared" si="2560"/>
        <v>-1</v>
      </c>
      <c r="BG430" s="15" t="str">
        <f t="shared" si="2561"/>
        <v>-1-1-1</v>
      </c>
      <c r="BH430" s="15" t="str">
        <f t="shared" si="2562"/>
        <v>SD</v>
      </c>
      <c r="BI430" s="15" t="str">
        <f t="shared" si="2563"/>
        <v>SI</v>
      </c>
      <c r="BJ430" s="15" t="b">
        <f t="shared" si="2564"/>
        <v>1</v>
      </c>
      <c r="BK430" s="15" t="str">
        <f t="shared" si="2565"/>
        <v>SIGIGUALES</v>
      </c>
      <c r="BL430" s="22" t="str">
        <f t="shared" si="2566"/>
        <v>NO CONFORME</v>
      </c>
    </row>
    <row r="431" spans="1:64" ht="15.75" thickBot="1" x14ac:dyDescent="0.3">
      <c r="A431" s="37">
        <v>423</v>
      </c>
      <c r="B431" s="93">
        <f t="shared" ref="B431:E431" si="2844">B430</f>
        <v>45919</v>
      </c>
      <c r="C431" s="93">
        <f t="shared" si="2844"/>
        <v>45919</v>
      </c>
      <c r="D431" s="94">
        <f t="shared" si="2844"/>
        <v>6</v>
      </c>
      <c r="E431" s="95">
        <f t="shared" si="2844"/>
        <v>15</v>
      </c>
      <c r="F431" s="13"/>
      <c r="G431" s="90"/>
      <c r="H431" s="97">
        <f t="shared" ref="H431:L431" si="2845">H430</f>
        <v>25.6</v>
      </c>
      <c r="I431" s="98">
        <f t="shared" si="2845"/>
        <v>0</v>
      </c>
      <c r="J431" s="99">
        <f t="shared" si="2845"/>
        <v>20.9</v>
      </c>
      <c r="K431" s="99">
        <f t="shared" si="2845"/>
        <v>7.883</v>
      </c>
      <c r="L431" s="99">
        <f t="shared" si="2845"/>
        <v>0.55400000000000005</v>
      </c>
      <c r="M431" s="45"/>
      <c r="N431" s="45"/>
      <c r="O431" s="100">
        <f t="shared" ref="O431:P431" si="2846">O430</f>
        <v>100.62</v>
      </c>
      <c r="P431" s="101" t="str">
        <f t="shared" si="2846"/>
        <v>2,29,560</v>
      </c>
      <c r="Q431" s="11" t="str">
        <f t="shared" si="2570"/>
        <v>2</v>
      </c>
      <c r="R431" s="11" t="str">
        <f t="shared" si="2571"/>
        <v>29,560</v>
      </c>
      <c r="S431" s="11">
        <f t="shared" si="2572"/>
        <v>4.1544444444444446E-2</v>
      </c>
      <c r="T431" s="14">
        <f t="shared" si="2573"/>
        <v>2421.9844878309709</v>
      </c>
      <c r="U431" s="39">
        <f t="shared" si="2547"/>
        <v>-100</v>
      </c>
      <c r="V431" s="105">
        <f t="shared" ref="V431:X431" si="2847">V430</f>
        <v>20.399999999999999</v>
      </c>
      <c r="W431" s="105">
        <f t="shared" si="2847"/>
        <v>1.5069999999999999</v>
      </c>
      <c r="X431" s="106">
        <f t="shared" si="2847"/>
        <v>1.504</v>
      </c>
      <c r="Y431" s="45"/>
      <c r="Z431" s="45"/>
      <c r="AA431" s="107">
        <f t="shared" ref="AA431:AB431" si="2848">AA430</f>
        <v>10.015000000000001</v>
      </c>
      <c r="AB431" s="108" t="str">
        <f t="shared" si="2848"/>
        <v>22,10,090</v>
      </c>
      <c r="AC431" s="11" t="str">
        <f t="shared" si="2576"/>
        <v>22</v>
      </c>
      <c r="AD431" s="11" t="str">
        <f t="shared" si="2577"/>
        <v>10,090</v>
      </c>
      <c r="AE431" s="11">
        <f t="shared" si="2578"/>
        <v>0.36946944444444441</v>
      </c>
      <c r="AF431" s="14">
        <f t="shared" si="2550"/>
        <v>27.106436406558959</v>
      </c>
      <c r="AG431" s="41">
        <f t="shared" si="2596"/>
        <v>-100</v>
      </c>
      <c r="AH431" s="105">
        <f t="shared" ref="AH431:AJ431" si="2849">AH430</f>
        <v>20.3</v>
      </c>
      <c r="AI431" s="105">
        <f t="shared" si="2849"/>
        <v>1.5089999999999999</v>
      </c>
      <c r="AJ431" s="105">
        <f t="shared" si="2849"/>
        <v>1.504</v>
      </c>
      <c r="AK431" s="53">
        <f t="shared" si="2409"/>
        <v>0</v>
      </c>
      <c r="AL431" s="45"/>
      <c r="AM431" s="54">
        <f t="shared" ref="AM431:AN431" si="2850">AM430</f>
        <v>5.0129999999999999</v>
      </c>
      <c r="AN431" s="101" t="str">
        <f t="shared" si="2850"/>
        <v>17,59,050</v>
      </c>
      <c r="AO431" s="11" t="str">
        <f t="shared" si="2581"/>
        <v>17</v>
      </c>
      <c r="AP431" s="11" t="str">
        <f t="shared" si="2582"/>
        <v>59,050</v>
      </c>
      <c r="AQ431" s="11">
        <f t="shared" si="2583"/>
        <v>0.29973611111111109</v>
      </c>
      <c r="AR431" s="14">
        <f t="shared" si="2553"/>
        <v>16.724711551827998</v>
      </c>
      <c r="AS431" s="41">
        <f t="shared" si="2554"/>
        <v>-100</v>
      </c>
      <c r="AT431" s="43" t="str">
        <f t="shared" si="2555"/>
        <v>NO CONFORME</v>
      </c>
      <c r="AU431" s="8" t="b">
        <f t="shared" si="2584"/>
        <v>1</v>
      </c>
      <c r="AV431" s="8" t="b">
        <f t="shared" si="2585"/>
        <v>0</v>
      </c>
      <c r="AW431" s="8" t="b">
        <f t="shared" si="2586"/>
        <v>1</v>
      </c>
      <c r="AX431" s="8" t="str">
        <f t="shared" si="2587"/>
        <v>Qcorrecto</v>
      </c>
      <c r="AY431" s="22" t="str">
        <f t="shared" si="2556"/>
        <v>aceptable</v>
      </c>
      <c r="AZ431" s="22" t="str">
        <f t="shared" si="2557"/>
        <v>aceptable</v>
      </c>
      <c r="BA431" s="22" t="str">
        <f t="shared" si="2588"/>
        <v>aceptable</v>
      </c>
      <c r="BB431" s="25" t="str">
        <f t="shared" si="2589"/>
        <v>NO CONFORME</v>
      </c>
      <c r="BC431" s="5" t="str">
        <f t="shared" si="2590"/>
        <v>NO CONFORME</v>
      </c>
      <c r="BD431" s="15">
        <f t="shared" si="2558"/>
        <v>-1</v>
      </c>
      <c r="BE431" s="15">
        <f t="shared" si="2559"/>
        <v>-1</v>
      </c>
      <c r="BF431" s="15">
        <f t="shared" si="2560"/>
        <v>-1</v>
      </c>
      <c r="BG431" s="15" t="str">
        <f t="shared" si="2561"/>
        <v>-1-1-1</v>
      </c>
      <c r="BH431" s="15" t="str">
        <f t="shared" si="2562"/>
        <v>SD</v>
      </c>
      <c r="BI431" s="15" t="str">
        <f t="shared" si="2563"/>
        <v>SI</v>
      </c>
      <c r="BJ431" s="15" t="b">
        <f t="shared" si="2564"/>
        <v>1</v>
      </c>
      <c r="BK431" s="15" t="str">
        <f t="shared" si="2565"/>
        <v>SIGIGUALES</v>
      </c>
      <c r="BL431" s="22" t="str">
        <f t="shared" si="2566"/>
        <v>NO CONFORME</v>
      </c>
    </row>
    <row r="432" spans="1:64" ht="15.75" thickBot="1" x14ac:dyDescent="0.3">
      <c r="A432" s="37">
        <v>424</v>
      </c>
      <c r="B432" s="93">
        <f t="shared" ref="B432:E432" si="2851">B431</f>
        <v>45919</v>
      </c>
      <c r="C432" s="93">
        <f t="shared" si="2851"/>
        <v>45919</v>
      </c>
      <c r="D432" s="94">
        <f t="shared" si="2851"/>
        <v>6</v>
      </c>
      <c r="E432" s="95">
        <f t="shared" si="2851"/>
        <v>15</v>
      </c>
      <c r="F432" s="13"/>
      <c r="G432" s="90"/>
      <c r="H432" s="97">
        <f t="shared" ref="H432:L432" si="2852">H431</f>
        <v>25.6</v>
      </c>
      <c r="I432" s="98">
        <f t="shared" si="2852"/>
        <v>0</v>
      </c>
      <c r="J432" s="99">
        <f t="shared" si="2852"/>
        <v>20.9</v>
      </c>
      <c r="K432" s="99">
        <f t="shared" si="2852"/>
        <v>7.883</v>
      </c>
      <c r="L432" s="99">
        <f t="shared" si="2852"/>
        <v>0.55400000000000005</v>
      </c>
      <c r="M432" s="45"/>
      <c r="N432" s="45"/>
      <c r="O432" s="100">
        <f t="shared" ref="O432:P432" si="2853">O431</f>
        <v>100.62</v>
      </c>
      <c r="P432" s="101" t="str">
        <f t="shared" si="2853"/>
        <v>2,29,560</v>
      </c>
      <c r="Q432" s="11" t="str">
        <f t="shared" si="2570"/>
        <v>2</v>
      </c>
      <c r="R432" s="11" t="str">
        <f t="shared" si="2571"/>
        <v>29,560</v>
      </c>
      <c r="S432" s="11">
        <f t="shared" si="2572"/>
        <v>4.1544444444444446E-2</v>
      </c>
      <c r="T432" s="14">
        <f t="shared" si="2573"/>
        <v>2421.9844878309709</v>
      </c>
      <c r="U432" s="39">
        <f t="shared" si="2547"/>
        <v>-100</v>
      </c>
      <c r="V432" s="105">
        <f t="shared" ref="V432:X432" si="2854">V431</f>
        <v>20.399999999999999</v>
      </c>
      <c r="W432" s="105">
        <f t="shared" si="2854"/>
        <v>1.5069999999999999</v>
      </c>
      <c r="X432" s="106">
        <f t="shared" si="2854"/>
        <v>1.504</v>
      </c>
      <c r="Y432" s="45"/>
      <c r="Z432" s="45"/>
      <c r="AA432" s="107">
        <f t="shared" ref="AA432:AB432" si="2855">AA431</f>
        <v>10.015000000000001</v>
      </c>
      <c r="AB432" s="108" t="str">
        <f t="shared" si="2855"/>
        <v>22,10,090</v>
      </c>
      <c r="AC432" s="11" t="str">
        <f t="shared" si="2576"/>
        <v>22</v>
      </c>
      <c r="AD432" s="11" t="str">
        <f t="shared" si="2577"/>
        <v>10,090</v>
      </c>
      <c r="AE432" s="11">
        <f t="shared" si="2578"/>
        <v>0.36946944444444441</v>
      </c>
      <c r="AF432" s="14">
        <f t="shared" si="2550"/>
        <v>27.106436406558959</v>
      </c>
      <c r="AG432" s="41">
        <f t="shared" si="2596"/>
        <v>-100</v>
      </c>
      <c r="AH432" s="105">
        <f t="shared" ref="AH432:AJ432" si="2856">AH431</f>
        <v>20.3</v>
      </c>
      <c r="AI432" s="105">
        <f t="shared" si="2856"/>
        <v>1.5089999999999999</v>
      </c>
      <c r="AJ432" s="105">
        <f t="shared" si="2856"/>
        <v>1.504</v>
      </c>
      <c r="AK432" s="53">
        <f t="shared" si="2409"/>
        <v>0</v>
      </c>
      <c r="AL432" s="45"/>
      <c r="AM432" s="54">
        <f t="shared" ref="AM432:AN432" si="2857">AM431</f>
        <v>5.0129999999999999</v>
      </c>
      <c r="AN432" s="101" t="str">
        <f t="shared" si="2857"/>
        <v>17,59,050</v>
      </c>
      <c r="AO432" s="11" t="str">
        <f t="shared" si="2581"/>
        <v>17</v>
      </c>
      <c r="AP432" s="11" t="str">
        <f t="shared" si="2582"/>
        <v>59,050</v>
      </c>
      <c r="AQ432" s="11">
        <f t="shared" si="2583"/>
        <v>0.29973611111111109</v>
      </c>
      <c r="AR432" s="14">
        <f t="shared" si="2553"/>
        <v>16.724711551827998</v>
      </c>
      <c r="AS432" s="41">
        <f t="shared" si="2554"/>
        <v>-100</v>
      </c>
      <c r="AT432" s="43" t="str">
        <f t="shared" si="2555"/>
        <v>NO CONFORME</v>
      </c>
      <c r="AU432" s="8" t="b">
        <f t="shared" si="2584"/>
        <v>1</v>
      </c>
      <c r="AV432" s="8" t="b">
        <f t="shared" si="2585"/>
        <v>0</v>
      </c>
      <c r="AW432" s="8" t="b">
        <f t="shared" si="2586"/>
        <v>1</v>
      </c>
      <c r="AX432" s="8" t="str">
        <f t="shared" si="2587"/>
        <v>Qcorrecto</v>
      </c>
      <c r="AY432" s="22" t="str">
        <f t="shared" si="2556"/>
        <v>aceptable</v>
      </c>
      <c r="AZ432" s="22" t="str">
        <f t="shared" si="2557"/>
        <v>aceptable</v>
      </c>
      <c r="BA432" s="22" t="str">
        <f t="shared" si="2588"/>
        <v>aceptable</v>
      </c>
      <c r="BB432" s="25" t="str">
        <f t="shared" si="2589"/>
        <v>NO CONFORME</v>
      </c>
      <c r="BC432" s="5" t="str">
        <f t="shared" si="2590"/>
        <v>NO CONFORME</v>
      </c>
      <c r="BD432" s="15">
        <f t="shared" si="2558"/>
        <v>-1</v>
      </c>
      <c r="BE432" s="15">
        <f t="shared" si="2559"/>
        <v>-1</v>
      </c>
      <c r="BF432" s="15">
        <f t="shared" si="2560"/>
        <v>-1</v>
      </c>
      <c r="BG432" s="15" t="str">
        <f t="shared" si="2561"/>
        <v>-1-1-1</v>
      </c>
      <c r="BH432" s="15" t="str">
        <f t="shared" si="2562"/>
        <v>SD</v>
      </c>
      <c r="BI432" s="15" t="str">
        <f t="shared" si="2563"/>
        <v>SI</v>
      </c>
      <c r="BJ432" s="15" t="b">
        <f t="shared" si="2564"/>
        <v>1</v>
      </c>
      <c r="BK432" s="15" t="str">
        <f t="shared" si="2565"/>
        <v>SIGIGUALES</v>
      </c>
      <c r="BL432" s="22" t="str">
        <f t="shared" si="2566"/>
        <v>NO CONFORME</v>
      </c>
    </row>
    <row r="433" spans="1:64" ht="15.75" thickBot="1" x14ac:dyDescent="0.3">
      <c r="A433" s="37">
        <v>425</v>
      </c>
      <c r="B433" s="93">
        <f t="shared" ref="B433:E433" si="2858">B432</f>
        <v>45919</v>
      </c>
      <c r="C433" s="93">
        <f t="shared" si="2858"/>
        <v>45919</v>
      </c>
      <c r="D433" s="94">
        <f t="shared" si="2858"/>
        <v>6</v>
      </c>
      <c r="E433" s="95">
        <f t="shared" si="2858"/>
        <v>15</v>
      </c>
      <c r="F433" s="13"/>
      <c r="G433" s="90"/>
      <c r="H433" s="97">
        <f t="shared" ref="H433:L433" si="2859">H432</f>
        <v>25.6</v>
      </c>
      <c r="I433" s="98">
        <f t="shared" si="2859"/>
        <v>0</v>
      </c>
      <c r="J433" s="99">
        <f t="shared" si="2859"/>
        <v>20.9</v>
      </c>
      <c r="K433" s="99">
        <f t="shared" si="2859"/>
        <v>7.883</v>
      </c>
      <c r="L433" s="99">
        <f t="shared" si="2859"/>
        <v>0.55400000000000005</v>
      </c>
      <c r="M433" s="45"/>
      <c r="N433" s="45"/>
      <c r="O433" s="100">
        <f t="shared" ref="O433:P433" si="2860">O432</f>
        <v>100.62</v>
      </c>
      <c r="P433" s="101" t="str">
        <f t="shared" si="2860"/>
        <v>2,29,560</v>
      </c>
      <c r="Q433" s="11" t="str">
        <f t="shared" si="2570"/>
        <v>2</v>
      </c>
      <c r="R433" s="11" t="str">
        <f t="shared" si="2571"/>
        <v>29,560</v>
      </c>
      <c r="S433" s="11">
        <f t="shared" si="2572"/>
        <v>4.1544444444444446E-2</v>
      </c>
      <c r="T433" s="14">
        <f t="shared" si="2573"/>
        <v>2421.9844878309709</v>
      </c>
      <c r="U433" s="39">
        <f t="shared" si="2547"/>
        <v>-100</v>
      </c>
      <c r="V433" s="105">
        <f t="shared" ref="V433:X433" si="2861">V432</f>
        <v>20.399999999999999</v>
      </c>
      <c r="W433" s="105">
        <f t="shared" si="2861"/>
        <v>1.5069999999999999</v>
      </c>
      <c r="X433" s="106">
        <f t="shared" si="2861"/>
        <v>1.504</v>
      </c>
      <c r="Y433" s="45"/>
      <c r="Z433" s="45"/>
      <c r="AA433" s="107">
        <f t="shared" ref="AA433:AB433" si="2862">AA432</f>
        <v>10.015000000000001</v>
      </c>
      <c r="AB433" s="108" t="str">
        <f t="shared" si="2862"/>
        <v>22,10,090</v>
      </c>
      <c r="AC433" s="11" t="str">
        <f t="shared" si="2576"/>
        <v>22</v>
      </c>
      <c r="AD433" s="11" t="str">
        <f t="shared" si="2577"/>
        <v>10,090</v>
      </c>
      <c r="AE433" s="11">
        <f t="shared" si="2578"/>
        <v>0.36946944444444441</v>
      </c>
      <c r="AF433" s="14">
        <f t="shared" si="2550"/>
        <v>27.106436406558959</v>
      </c>
      <c r="AG433" s="41">
        <f t="shared" si="2596"/>
        <v>-100</v>
      </c>
      <c r="AH433" s="105">
        <f t="shared" ref="AH433:AJ433" si="2863">AH432</f>
        <v>20.3</v>
      </c>
      <c r="AI433" s="105">
        <f t="shared" si="2863"/>
        <v>1.5089999999999999</v>
      </c>
      <c r="AJ433" s="105">
        <f t="shared" si="2863"/>
        <v>1.504</v>
      </c>
      <c r="AK433" s="53">
        <f t="shared" si="2409"/>
        <v>0</v>
      </c>
      <c r="AL433" s="45"/>
      <c r="AM433" s="54">
        <f t="shared" ref="AM433:AN433" si="2864">AM432</f>
        <v>5.0129999999999999</v>
      </c>
      <c r="AN433" s="101" t="str">
        <f t="shared" si="2864"/>
        <v>17,59,050</v>
      </c>
      <c r="AO433" s="11" t="str">
        <f t="shared" si="2581"/>
        <v>17</v>
      </c>
      <c r="AP433" s="11" t="str">
        <f t="shared" si="2582"/>
        <v>59,050</v>
      </c>
      <c r="AQ433" s="11">
        <f t="shared" si="2583"/>
        <v>0.29973611111111109</v>
      </c>
      <c r="AR433" s="14">
        <f t="shared" si="2553"/>
        <v>16.724711551827998</v>
      </c>
      <c r="AS433" s="41">
        <f t="shared" si="2554"/>
        <v>-100</v>
      </c>
      <c r="AT433" s="43" t="str">
        <f t="shared" si="2555"/>
        <v>NO CONFORME</v>
      </c>
      <c r="AU433" s="8" t="b">
        <f t="shared" si="2584"/>
        <v>1</v>
      </c>
      <c r="AV433" s="8" t="b">
        <f t="shared" si="2585"/>
        <v>0</v>
      </c>
      <c r="AW433" s="8" t="b">
        <f t="shared" si="2586"/>
        <v>1</v>
      </c>
      <c r="AX433" s="8" t="str">
        <f t="shared" si="2587"/>
        <v>Qcorrecto</v>
      </c>
      <c r="AY433" s="22" t="str">
        <f t="shared" si="2556"/>
        <v>aceptable</v>
      </c>
      <c r="AZ433" s="22" t="str">
        <f t="shared" si="2557"/>
        <v>aceptable</v>
      </c>
      <c r="BA433" s="22" t="str">
        <f t="shared" si="2588"/>
        <v>aceptable</v>
      </c>
      <c r="BB433" s="25" t="str">
        <f t="shared" si="2589"/>
        <v>NO CONFORME</v>
      </c>
      <c r="BC433" s="5" t="str">
        <f t="shared" si="2590"/>
        <v>NO CONFORME</v>
      </c>
      <c r="BD433" s="15">
        <f t="shared" si="2558"/>
        <v>-1</v>
      </c>
      <c r="BE433" s="15">
        <f t="shared" si="2559"/>
        <v>-1</v>
      </c>
      <c r="BF433" s="15">
        <f t="shared" si="2560"/>
        <v>-1</v>
      </c>
      <c r="BG433" s="15" t="str">
        <f t="shared" si="2561"/>
        <v>-1-1-1</v>
      </c>
      <c r="BH433" s="15" t="str">
        <f t="shared" si="2562"/>
        <v>SD</v>
      </c>
      <c r="BI433" s="15" t="str">
        <f t="shared" si="2563"/>
        <v>SI</v>
      </c>
      <c r="BJ433" s="15" t="b">
        <f t="shared" si="2564"/>
        <v>1</v>
      </c>
      <c r="BK433" s="15" t="str">
        <f t="shared" si="2565"/>
        <v>SIGIGUALES</v>
      </c>
      <c r="BL433" s="22" t="str">
        <f t="shared" si="2566"/>
        <v>NO CONFORME</v>
      </c>
    </row>
    <row r="434" spans="1:64" ht="15.75" thickBot="1" x14ac:dyDescent="0.3">
      <c r="A434" s="37">
        <v>426</v>
      </c>
      <c r="B434" s="93">
        <f t="shared" ref="B434:E434" si="2865">B433</f>
        <v>45919</v>
      </c>
      <c r="C434" s="93">
        <f t="shared" si="2865"/>
        <v>45919</v>
      </c>
      <c r="D434" s="94">
        <f t="shared" si="2865"/>
        <v>6</v>
      </c>
      <c r="E434" s="95">
        <f t="shared" si="2865"/>
        <v>15</v>
      </c>
      <c r="F434" s="13"/>
      <c r="G434" s="90"/>
      <c r="H434" s="97">
        <f t="shared" ref="H434:L434" si="2866">H433</f>
        <v>25.6</v>
      </c>
      <c r="I434" s="98">
        <f t="shared" si="2866"/>
        <v>0</v>
      </c>
      <c r="J434" s="99">
        <f t="shared" si="2866"/>
        <v>20.9</v>
      </c>
      <c r="K434" s="99">
        <f t="shared" si="2866"/>
        <v>7.883</v>
      </c>
      <c r="L434" s="99">
        <f t="shared" si="2866"/>
        <v>0.55400000000000005</v>
      </c>
      <c r="M434" s="45"/>
      <c r="N434" s="45"/>
      <c r="O434" s="100">
        <f t="shared" ref="O434:P434" si="2867">O433</f>
        <v>100.62</v>
      </c>
      <c r="P434" s="101" t="str">
        <f t="shared" si="2867"/>
        <v>2,29,560</v>
      </c>
      <c r="Q434" s="11" t="str">
        <f t="shared" si="2570"/>
        <v>2</v>
      </c>
      <c r="R434" s="11" t="str">
        <f t="shared" si="2571"/>
        <v>29,560</v>
      </c>
      <c r="S434" s="11">
        <f t="shared" si="2572"/>
        <v>4.1544444444444446E-2</v>
      </c>
      <c r="T434" s="14">
        <f t="shared" si="2573"/>
        <v>2421.9844878309709</v>
      </c>
      <c r="U434" s="39">
        <f t="shared" si="2547"/>
        <v>-100</v>
      </c>
      <c r="V434" s="105">
        <f t="shared" ref="V434:X434" si="2868">V433</f>
        <v>20.399999999999999</v>
      </c>
      <c r="W434" s="105">
        <f t="shared" si="2868"/>
        <v>1.5069999999999999</v>
      </c>
      <c r="X434" s="106">
        <f t="shared" si="2868"/>
        <v>1.504</v>
      </c>
      <c r="Y434" s="45"/>
      <c r="Z434" s="45"/>
      <c r="AA434" s="107">
        <f t="shared" ref="AA434:AB434" si="2869">AA433</f>
        <v>10.015000000000001</v>
      </c>
      <c r="AB434" s="108" t="str">
        <f t="shared" si="2869"/>
        <v>22,10,090</v>
      </c>
      <c r="AC434" s="11" t="str">
        <f t="shared" si="2576"/>
        <v>22</v>
      </c>
      <c r="AD434" s="11" t="str">
        <f t="shared" si="2577"/>
        <v>10,090</v>
      </c>
      <c r="AE434" s="11">
        <f t="shared" si="2578"/>
        <v>0.36946944444444441</v>
      </c>
      <c r="AF434" s="14">
        <f t="shared" si="2550"/>
        <v>27.106436406558959</v>
      </c>
      <c r="AG434" s="41">
        <f t="shared" si="2596"/>
        <v>-100</v>
      </c>
      <c r="AH434" s="105">
        <f t="shared" ref="AH434:AJ434" si="2870">AH433</f>
        <v>20.3</v>
      </c>
      <c r="AI434" s="105">
        <f t="shared" si="2870"/>
        <v>1.5089999999999999</v>
      </c>
      <c r="AJ434" s="105">
        <f t="shared" si="2870"/>
        <v>1.504</v>
      </c>
      <c r="AK434" s="53">
        <f t="shared" si="2409"/>
        <v>0</v>
      </c>
      <c r="AL434" s="45"/>
      <c r="AM434" s="54">
        <f t="shared" ref="AM434:AN434" si="2871">AM433</f>
        <v>5.0129999999999999</v>
      </c>
      <c r="AN434" s="101" t="str">
        <f t="shared" si="2871"/>
        <v>17,59,050</v>
      </c>
      <c r="AO434" s="11" t="str">
        <f t="shared" si="2581"/>
        <v>17</v>
      </c>
      <c r="AP434" s="11" t="str">
        <f t="shared" si="2582"/>
        <v>59,050</v>
      </c>
      <c r="AQ434" s="11">
        <f t="shared" si="2583"/>
        <v>0.29973611111111109</v>
      </c>
      <c r="AR434" s="14">
        <f t="shared" si="2553"/>
        <v>16.724711551827998</v>
      </c>
      <c r="AS434" s="41">
        <f t="shared" si="2554"/>
        <v>-100</v>
      </c>
      <c r="AT434" s="43" t="str">
        <f t="shared" si="2555"/>
        <v>NO CONFORME</v>
      </c>
      <c r="AU434" s="8" t="b">
        <f t="shared" si="2584"/>
        <v>1</v>
      </c>
      <c r="AV434" s="8" t="b">
        <f t="shared" si="2585"/>
        <v>0</v>
      </c>
      <c r="AW434" s="8" t="b">
        <f t="shared" si="2586"/>
        <v>1</v>
      </c>
      <c r="AX434" s="8" t="str">
        <f t="shared" si="2587"/>
        <v>Qcorrecto</v>
      </c>
      <c r="AY434" s="22" t="str">
        <f t="shared" si="2556"/>
        <v>aceptable</v>
      </c>
      <c r="AZ434" s="22" t="str">
        <f t="shared" si="2557"/>
        <v>aceptable</v>
      </c>
      <c r="BA434" s="22" t="str">
        <f t="shared" si="2588"/>
        <v>aceptable</v>
      </c>
      <c r="BB434" s="25" t="str">
        <f t="shared" si="2589"/>
        <v>NO CONFORME</v>
      </c>
      <c r="BC434" s="5" t="str">
        <f t="shared" si="2590"/>
        <v>NO CONFORME</v>
      </c>
      <c r="BD434" s="15">
        <f t="shared" si="2558"/>
        <v>-1</v>
      </c>
      <c r="BE434" s="15">
        <f t="shared" si="2559"/>
        <v>-1</v>
      </c>
      <c r="BF434" s="15">
        <f t="shared" si="2560"/>
        <v>-1</v>
      </c>
      <c r="BG434" s="15" t="str">
        <f t="shared" si="2561"/>
        <v>-1-1-1</v>
      </c>
      <c r="BH434" s="15" t="str">
        <f t="shared" si="2562"/>
        <v>SD</v>
      </c>
      <c r="BI434" s="15" t="str">
        <f t="shared" si="2563"/>
        <v>SI</v>
      </c>
      <c r="BJ434" s="15" t="b">
        <f t="shared" si="2564"/>
        <v>1</v>
      </c>
      <c r="BK434" s="15" t="str">
        <f t="shared" si="2565"/>
        <v>SIGIGUALES</v>
      </c>
      <c r="BL434" s="22" t="str">
        <f t="shared" si="2566"/>
        <v>NO CONFORME</v>
      </c>
    </row>
    <row r="435" spans="1:64" ht="15.75" thickBot="1" x14ac:dyDescent="0.3">
      <c r="A435" s="37">
        <v>427</v>
      </c>
      <c r="B435" s="93">
        <f t="shared" ref="B435:E435" si="2872">B434</f>
        <v>45919</v>
      </c>
      <c r="C435" s="93">
        <f t="shared" si="2872"/>
        <v>45919</v>
      </c>
      <c r="D435" s="94">
        <f t="shared" si="2872"/>
        <v>6</v>
      </c>
      <c r="E435" s="95">
        <f t="shared" si="2872"/>
        <v>15</v>
      </c>
      <c r="F435" s="13"/>
      <c r="G435" s="90"/>
      <c r="H435" s="97">
        <f t="shared" ref="H435:L435" si="2873">H434</f>
        <v>25.6</v>
      </c>
      <c r="I435" s="98">
        <f t="shared" si="2873"/>
        <v>0</v>
      </c>
      <c r="J435" s="99">
        <f t="shared" si="2873"/>
        <v>20.9</v>
      </c>
      <c r="K435" s="99">
        <f t="shared" si="2873"/>
        <v>7.883</v>
      </c>
      <c r="L435" s="99">
        <f t="shared" si="2873"/>
        <v>0.55400000000000005</v>
      </c>
      <c r="M435" s="45"/>
      <c r="N435" s="45"/>
      <c r="O435" s="100">
        <f t="shared" ref="O435:P435" si="2874">O434</f>
        <v>100.62</v>
      </c>
      <c r="P435" s="101" t="str">
        <f t="shared" si="2874"/>
        <v>2,29,560</v>
      </c>
      <c r="Q435" s="11" t="str">
        <f t="shared" si="2570"/>
        <v>2</v>
      </c>
      <c r="R435" s="11" t="str">
        <f t="shared" si="2571"/>
        <v>29,560</v>
      </c>
      <c r="S435" s="11">
        <f t="shared" si="2572"/>
        <v>4.1544444444444446E-2</v>
      </c>
      <c r="T435" s="14">
        <f t="shared" si="2573"/>
        <v>2421.9844878309709</v>
      </c>
      <c r="U435" s="39">
        <f t="shared" si="2547"/>
        <v>-100</v>
      </c>
      <c r="V435" s="105">
        <f t="shared" ref="V435:X435" si="2875">V434</f>
        <v>20.399999999999999</v>
      </c>
      <c r="W435" s="105">
        <f t="shared" si="2875"/>
        <v>1.5069999999999999</v>
      </c>
      <c r="X435" s="106">
        <f t="shared" si="2875"/>
        <v>1.504</v>
      </c>
      <c r="Y435" s="45"/>
      <c r="Z435" s="45"/>
      <c r="AA435" s="107">
        <f t="shared" ref="AA435:AB435" si="2876">AA434</f>
        <v>10.015000000000001</v>
      </c>
      <c r="AB435" s="108" t="str">
        <f t="shared" si="2876"/>
        <v>22,10,090</v>
      </c>
      <c r="AC435" s="11" t="str">
        <f t="shared" si="2576"/>
        <v>22</v>
      </c>
      <c r="AD435" s="11" t="str">
        <f t="shared" si="2577"/>
        <v>10,090</v>
      </c>
      <c r="AE435" s="11">
        <f t="shared" si="2578"/>
        <v>0.36946944444444441</v>
      </c>
      <c r="AF435" s="14">
        <f t="shared" si="2550"/>
        <v>27.106436406558959</v>
      </c>
      <c r="AG435" s="41">
        <f t="shared" si="2596"/>
        <v>-100</v>
      </c>
      <c r="AH435" s="105">
        <f t="shared" ref="AH435:AJ435" si="2877">AH434</f>
        <v>20.3</v>
      </c>
      <c r="AI435" s="105">
        <f t="shared" si="2877"/>
        <v>1.5089999999999999</v>
      </c>
      <c r="AJ435" s="105">
        <f t="shared" si="2877"/>
        <v>1.504</v>
      </c>
      <c r="AK435" s="53">
        <f t="shared" si="2409"/>
        <v>0</v>
      </c>
      <c r="AL435" s="45"/>
      <c r="AM435" s="54">
        <f t="shared" ref="AM435:AN435" si="2878">AM434</f>
        <v>5.0129999999999999</v>
      </c>
      <c r="AN435" s="101" t="str">
        <f t="shared" si="2878"/>
        <v>17,59,050</v>
      </c>
      <c r="AO435" s="11" t="str">
        <f t="shared" si="2581"/>
        <v>17</v>
      </c>
      <c r="AP435" s="11" t="str">
        <f t="shared" si="2582"/>
        <v>59,050</v>
      </c>
      <c r="AQ435" s="11">
        <f t="shared" si="2583"/>
        <v>0.29973611111111109</v>
      </c>
      <c r="AR435" s="14">
        <f t="shared" si="2553"/>
        <v>16.724711551827998</v>
      </c>
      <c r="AS435" s="41">
        <f t="shared" si="2554"/>
        <v>-100</v>
      </c>
      <c r="AT435" s="43" t="str">
        <f t="shared" si="2555"/>
        <v>NO CONFORME</v>
      </c>
      <c r="AU435" s="8" t="b">
        <f t="shared" si="2584"/>
        <v>1</v>
      </c>
      <c r="AV435" s="8" t="b">
        <f t="shared" si="2585"/>
        <v>0</v>
      </c>
      <c r="AW435" s="8" t="b">
        <f t="shared" si="2586"/>
        <v>1</v>
      </c>
      <c r="AX435" s="8" t="str">
        <f t="shared" si="2587"/>
        <v>Qcorrecto</v>
      </c>
      <c r="AY435" s="22" t="str">
        <f t="shared" si="2556"/>
        <v>aceptable</v>
      </c>
      <c r="AZ435" s="22" t="str">
        <f t="shared" si="2557"/>
        <v>aceptable</v>
      </c>
      <c r="BA435" s="22" t="str">
        <f t="shared" si="2588"/>
        <v>aceptable</v>
      </c>
      <c r="BB435" s="25" t="str">
        <f t="shared" si="2589"/>
        <v>NO CONFORME</v>
      </c>
      <c r="BC435" s="5" t="str">
        <f t="shared" si="2590"/>
        <v>NO CONFORME</v>
      </c>
      <c r="BD435" s="15">
        <f t="shared" si="2558"/>
        <v>-1</v>
      </c>
      <c r="BE435" s="15">
        <f t="shared" si="2559"/>
        <v>-1</v>
      </c>
      <c r="BF435" s="15">
        <f t="shared" si="2560"/>
        <v>-1</v>
      </c>
      <c r="BG435" s="15" t="str">
        <f t="shared" si="2561"/>
        <v>-1-1-1</v>
      </c>
      <c r="BH435" s="15" t="str">
        <f t="shared" si="2562"/>
        <v>SD</v>
      </c>
      <c r="BI435" s="15" t="str">
        <f t="shared" si="2563"/>
        <v>SI</v>
      </c>
      <c r="BJ435" s="15" t="b">
        <f t="shared" si="2564"/>
        <v>1</v>
      </c>
      <c r="BK435" s="15" t="str">
        <f t="shared" si="2565"/>
        <v>SIGIGUALES</v>
      </c>
      <c r="BL435" s="22" t="str">
        <f t="shared" si="2566"/>
        <v>NO CONFORME</v>
      </c>
    </row>
    <row r="436" spans="1:64" ht="15.75" thickBot="1" x14ac:dyDescent="0.3">
      <c r="A436" s="37">
        <v>428</v>
      </c>
      <c r="B436" s="93">
        <f t="shared" ref="B436:E436" si="2879">B435</f>
        <v>45919</v>
      </c>
      <c r="C436" s="93">
        <f t="shared" si="2879"/>
        <v>45919</v>
      </c>
      <c r="D436" s="94">
        <f t="shared" si="2879"/>
        <v>6</v>
      </c>
      <c r="E436" s="95">
        <f t="shared" si="2879"/>
        <v>15</v>
      </c>
      <c r="F436" s="13"/>
      <c r="G436" s="90"/>
      <c r="H436" s="97">
        <f t="shared" ref="H436:L436" si="2880">H435</f>
        <v>25.6</v>
      </c>
      <c r="I436" s="98">
        <f t="shared" si="2880"/>
        <v>0</v>
      </c>
      <c r="J436" s="99">
        <f t="shared" si="2880"/>
        <v>20.9</v>
      </c>
      <c r="K436" s="99">
        <f t="shared" si="2880"/>
        <v>7.883</v>
      </c>
      <c r="L436" s="99">
        <f t="shared" si="2880"/>
        <v>0.55400000000000005</v>
      </c>
      <c r="M436" s="45"/>
      <c r="N436" s="45"/>
      <c r="O436" s="100">
        <f t="shared" ref="O436:P436" si="2881">O435</f>
        <v>100.62</v>
      </c>
      <c r="P436" s="101" t="str">
        <f t="shared" si="2881"/>
        <v>2,29,560</v>
      </c>
      <c r="Q436" s="11" t="str">
        <f t="shared" si="2570"/>
        <v>2</v>
      </c>
      <c r="R436" s="11" t="str">
        <f t="shared" si="2571"/>
        <v>29,560</v>
      </c>
      <c r="S436" s="11">
        <f t="shared" si="2572"/>
        <v>4.1544444444444446E-2</v>
      </c>
      <c r="T436" s="14">
        <f t="shared" si="2573"/>
        <v>2421.9844878309709</v>
      </c>
      <c r="U436" s="39">
        <f t="shared" si="2547"/>
        <v>-100</v>
      </c>
      <c r="V436" s="105">
        <f t="shared" ref="V436:X436" si="2882">V435</f>
        <v>20.399999999999999</v>
      </c>
      <c r="W436" s="105">
        <f t="shared" si="2882"/>
        <v>1.5069999999999999</v>
      </c>
      <c r="X436" s="106">
        <f t="shared" si="2882"/>
        <v>1.504</v>
      </c>
      <c r="Y436" s="45"/>
      <c r="Z436" s="45"/>
      <c r="AA436" s="107">
        <f t="shared" ref="AA436:AB436" si="2883">AA435</f>
        <v>10.015000000000001</v>
      </c>
      <c r="AB436" s="108" t="str">
        <f t="shared" si="2883"/>
        <v>22,10,090</v>
      </c>
      <c r="AC436" s="11" t="str">
        <f t="shared" si="2576"/>
        <v>22</v>
      </c>
      <c r="AD436" s="11" t="str">
        <f t="shared" si="2577"/>
        <v>10,090</v>
      </c>
      <c r="AE436" s="11">
        <f t="shared" si="2578"/>
        <v>0.36946944444444441</v>
      </c>
      <c r="AF436" s="14">
        <f t="shared" si="2550"/>
        <v>27.106436406558959</v>
      </c>
      <c r="AG436" s="41">
        <f t="shared" si="2596"/>
        <v>-100</v>
      </c>
      <c r="AH436" s="105">
        <f t="shared" ref="AH436:AJ436" si="2884">AH435</f>
        <v>20.3</v>
      </c>
      <c r="AI436" s="105">
        <f t="shared" si="2884"/>
        <v>1.5089999999999999</v>
      </c>
      <c r="AJ436" s="105">
        <f t="shared" si="2884"/>
        <v>1.504</v>
      </c>
      <c r="AK436" s="53">
        <f t="shared" si="2409"/>
        <v>0</v>
      </c>
      <c r="AL436" s="45"/>
      <c r="AM436" s="54">
        <f t="shared" ref="AM436:AN436" si="2885">AM435</f>
        <v>5.0129999999999999</v>
      </c>
      <c r="AN436" s="101" t="str">
        <f t="shared" si="2885"/>
        <v>17,59,050</v>
      </c>
      <c r="AO436" s="11" t="str">
        <f t="shared" si="2581"/>
        <v>17</v>
      </c>
      <c r="AP436" s="11" t="str">
        <f t="shared" si="2582"/>
        <v>59,050</v>
      </c>
      <c r="AQ436" s="11">
        <f t="shared" si="2583"/>
        <v>0.29973611111111109</v>
      </c>
      <c r="AR436" s="14">
        <f t="shared" si="2553"/>
        <v>16.724711551827998</v>
      </c>
      <c r="AS436" s="41">
        <f t="shared" si="2554"/>
        <v>-100</v>
      </c>
      <c r="AT436" s="43" t="str">
        <f t="shared" si="2555"/>
        <v>NO CONFORME</v>
      </c>
      <c r="AU436" s="8" t="b">
        <f t="shared" si="2584"/>
        <v>1</v>
      </c>
      <c r="AV436" s="8" t="b">
        <f t="shared" si="2585"/>
        <v>0</v>
      </c>
      <c r="AW436" s="8" t="b">
        <f t="shared" si="2586"/>
        <v>1</v>
      </c>
      <c r="AX436" s="8" t="str">
        <f t="shared" si="2587"/>
        <v>Qcorrecto</v>
      </c>
      <c r="AY436" s="22" t="str">
        <f t="shared" si="2556"/>
        <v>aceptable</v>
      </c>
      <c r="AZ436" s="22" t="str">
        <f t="shared" si="2557"/>
        <v>aceptable</v>
      </c>
      <c r="BA436" s="22" t="str">
        <f t="shared" si="2588"/>
        <v>aceptable</v>
      </c>
      <c r="BB436" s="25" t="str">
        <f t="shared" si="2589"/>
        <v>NO CONFORME</v>
      </c>
      <c r="BC436" s="5" t="str">
        <f t="shared" si="2590"/>
        <v>NO CONFORME</v>
      </c>
      <c r="BD436" s="15">
        <f t="shared" si="2558"/>
        <v>-1</v>
      </c>
      <c r="BE436" s="15">
        <f t="shared" si="2559"/>
        <v>-1</v>
      </c>
      <c r="BF436" s="15">
        <f t="shared" si="2560"/>
        <v>-1</v>
      </c>
      <c r="BG436" s="15" t="str">
        <f t="shared" si="2561"/>
        <v>-1-1-1</v>
      </c>
      <c r="BH436" s="15" t="str">
        <f t="shared" si="2562"/>
        <v>SD</v>
      </c>
      <c r="BI436" s="15" t="str">
        <f t="shared" si="2563"/>
        <v>SI</v>
      </c>
      <c r="BJ436" s="15" t="b">
        <f t="shared" si="2564"/>
        <v>1</v>
      </c>
      <c r="BK436" s="15" t="str">
        <f t="shared" si="2565"/>
        <v>SIGIGUALES</v>
      </c>
      <c r="BL436" s="22" t="str">
        <f t="shared" si="2566"/>
        <v>NO CONFORME</v>
      </c>
    </row>
    <row r="437" spans="1:64" ht="15.75" thickBot="1" x14ac:dyDescent="0.3">
      <c r="A437" s="37">
        <v>429</v>
      </c>
      <c r="B437" s="93">
        <f t="shared" ref="B437:E437" si="2886">B436</f>
        <v>45919</v>
      </c>
      <c r="C437" s="93">
        <f t="shared" si="2886"/>
        <v>45919</v>
      </c>
      <c r="D437" s="94">
        <f t="shared" si="2886"/>
        <v>6</v>
      </c>
      <c r="E437" s="95">
        <f t="shared" si="2886"/>
        <v>15</v>
      </c>
      <c r="F437" s="13"/>
      <c r="G437" s="90"/>
      <c r="H437" s="97">
        <f t="shared" ref="H437:L437" si="2887">H436</f>
        <v>25.6</v>
      </c>
      <c r="I437" s="98">
        <f t="shared" si="2887"/>
        <v>0</v>
      </c>
      <c r="J437" s="99">
        <f t="shared" si="2887"/>
        <v>20.9</v>
      </c>
      <c r="K437" s="99">
        <f t="shared" si="2887"/>
        <v>7.883</v>
      </c>
      <c r="L437" s="99">
        <f t="shared" si="2887"/>
        <v>0.55400000000000005</v>
      </c>
      <c r="M437" s="45"/>
      <c r="N437" s="45"/>
      <c r="O437" s="100">
        <f t="shared" ref="O437:P437" si="2888">O436</f>
        <v>100.62</v>
      </c>
      <c r="P437" s="101" t="str">
        <f t="shared" si="2888"/>
        <v>2,29,560</v>
      </c>
      <c r="Q437" s="11" t="str">
        <f t="shared" si="2570"/>
        <v>2</v>
      </c>
      <c r="R437" s="11" t="str">
        <f t="shared" si="2571"/>
        <v>29,560</v>
      </c>
      <c r="S437" s="11">
        <f t="shared" si="2572"/>
        <v>4.1544444444444446E-2</v>
      </c>
      <c r="T437" s="14">
        <f t="shared" si="2573"/>
        <v>2421.9844878309709</v>
      </c>
      <c r="U437" s="39">
        <f t="shared" si="2547"/>
        <v>-100</v>
      </c>
      <c r="V437" s="105">
        <f t="shared" ref="V437:X437" si="2889">V436</f>
        <v>20.399999999999999</v>
      </c>
      <c r="W437" s="105">
        <f t="shared" si="2889"/>
        <v>1.5069999999999999</v>
      </c>
      <c r="X437" s="106">
        <f t="shared" si="2889"/>
        <v>1.504</v>
      </c>
      <c r="Y437" s="45"/>
      <c r="Z437" s="45"/>
      <c r="AA437" s="107">
        <f t="shared" ref="AA437:AB437" si="2890">AA436</f>
        <v>10.015000000000001</v>
      </c>
      <c r="AB437" s="108" t="str">
        <f t="shared" si="2890"/>
        <v>22,10,090</v>
      </c>
      <c r="AC437" s="11" t="str">
        <f t="shared" si="2576"/>
        <v>22</v>
      </c>
      <c r="AD437" s="11" t="str">
        <f t="shared" si="2577"/>
        <v>10,090</v>
      </c>
      <c r="AE437" s="11">
        <f t="shared" si="2578"/>
        <v>0.36946944444444441</v>
      </c>
      <c r="AF437" s="14">
        <f t="shared" si="2550"/>
        <v>27.106436406558959</v>
      </c>
      <c r="AG437" s="41">
        <f t="shared" si="2596"/>
        <v>-100</v>
      </c>
      <c r="AH437" s="105">
        <f t="shared" ref="AH437:AJ437" si="2891">AH436</f>
        <v>20.3</v>
      </c>
      <c r="AI437" s="105">
        <f t="shared" si="2891"/>
        <v>1.5089999999999999</v>
      </c>
      <c r="AJ437" s="105">
        <f t="shared" si="2891"/>
        <v>1.504</v>
      </c>
      <c r="AK437" s="53">
        <f t="shared" ref="AK437:AK500" si="2892">Z437</f>
        <v>0</v>
      </c>
      <c r="AL437" s="45"/>
      <c r="AM437" s="54">
        <f t="shared" ref="AM437:AN437" si="2893">AM436</f>
        <v>5.0129999999999999</v>
      </c>
      <c r="AN437" s="101" t="str">
        <f t="shared" si="2893"/>
        <v>17,59,050</v>
      </c>
      <c r="AO437" s="11" t="str">
        <f t="shared" si="2581"/>
        <v>17</v>
      </c>
      <c r="AP437" s="11" t="str">
        <f t="shared" si="2582"/>
        <v>59,050</v>
      </c>
      <c r="AQ437" s="11">
        <f t="shared" si="2583"/>
        <v>0.29973611111111109</v>
      </c>
      <c r="AR437" s="14">
        <f t="shared" si="2553"/>
        <v>16.724711551827998</v>
      </c>
      <c r="AS437" s="41">
        <f t="shared" si="2554"/>
        <v>-100</v>
      </c>
      <c r="AT437" s="43" t="str">
        <f t="shared" si="2555"/>
        <v>NO CONFORME</v>
      </c>
      <c r="AU437" s="8" t="b">
        <f t="shared" si="2584"/>
        <v>1</v>
      </c>
      <c r="AV437" s="8" t="b">
        <f t="shared" si="2585"/>
        <v>0</v>
      </c>
      <c r="AW437" s="8" t="b">
        <f t="shared" si="2586"/>
        <v>1</v>
      </c>
      <c r="AX437" s="8" t="str">
        <f t="shared" si="2587"/>
        <v>Qcorrecto</v>
      </c>
      <c r="AY437" s="22" t="str">
        <f t="shared" si="2556"/>
        <v>aceptable</v>
      </c>
      <c r="AZ437" s="22" t="str">
        <f t="shared" si="2557"/>
        <v>aceptable</v>
      </c>
      <c r="BA437" s="22" t="str">
        <f t="shared" si="2588"/>
        <v>aceptable</v>
      </c>
      <c r="BB437" s="25" t="str">
        <f t="shared" si="2589"/>
        <v>NO CONFORME</v>
      </c>
      <c r="BC437" s="5" t="str">
        <f t="shared" si="2590"/>
        <v>NO CONFORME</v>
      </c>
      <c r="BD437" s="15">
        <f t="shared" si="2558"/>
        <v>-1</v>
      </c>
      <c r="BE437" s="15">
        <f t="shared" si="2559"/>
        <v>-1</v>
      </c>
      <c r="BF437" s="15">
        <f t="shared" si="2560"/>
        <v>-1</v>
      </c>
      <c r="BG437" s="15" t="str">
        <f t="shared" si="2561"/>
        <v>-1-1-1</v>
      </c>
      <c r="BH437" s="15" t="str">
        <f t="shared" si="2562"/>
        <v>SD</v>
      </c>
      <c r="BI437" s="15" t="str">
        <f t="shared" si="2563"/>
        <v>SI</v>
      </c>
      <c r="BJ437" s="15" t="b">
        <f t="shared" si="2564"/>
        <v>1</v>
      </c>
      <c r="BK437" s="15" t="str">
        <f t="shared" si="2565"/>
        <v>SIGIGUALES</v>
      </c>
      <c r="BL437" s="22" t="str">
        <f t="shared" si="2566"/>
        <v>NO CONFORME</v>
      </c>
    </row>
    <row r="438" spans="1:64" ht="15.75" thickBot="1" x14ac:dyDescent="0.3">
      <c r="A438" s="37">
        <v>430</v>
      </c>
      <c r="B438" s="93">
        <f t="shared" ref="B438:E438" si="2894">B437</f>
        <v>45919</v>
      </c>
      <c r="C438" s="93">
        <f t="shared" si="2894"/>
        <v>45919</v>
      </c>
      <c r="D438" s="94">
        <f t="shared" si="2894"/>
        <v>6</v>
      </c>
      <c r="E438" s="95">
        <f t="shared" si="2894"/>
        <v>15</v>
      </c>
      <c r="F438" s="13"/>
      <c r="G438" s="90"/>
      <c r="H438" s="97">
        <f t="shared" ref="H438:L438" si="2895">H437</f>
        <v>25.6</v>
      </c>
      <c r="I438" s="98">
        <f t="shared" si="2895"/>
        <v>0</v>
      </c>
      <c r="J438" s="99">
        <f t="shared" si="2895"/>
        <v>20.9</v>
      </c>
      <c r="K438" s="99">
        <f t="shared" si="2895"/>
        <v>7.883</v>
      </c>
      <c r="L438" s="99">
        <f t="shared" si="2895"/>
        <v>0.55400000000000005</v>
      </c>
      <c r="M438" s="45"/>
      <c r="N438" s="45"/>
      <c r="O438" s="100">
        <f t="shared" ref="O438:P438" si="2896">O437</f>
        <v>100.62</v>
      </c>
      <c r="P438" s="101" t="str">
        <f t="shared" si="2896"/>
        <v>2,29,560</v>
      </c>
      <c r="Q438" s="11" t="str">
        <f t="shared" si="2570"/>
        <v>2</v>
      </c>
      <c r="R438" s="11" t="str">
        <f t="shared" si="2571"/>
        <v>29,560</v>
      </c>
      <c r="S438" s="11">
        <f t="shared" si="2572"/>
        <v>4.1544444444444446E-2</v>
      </c>
      <c r="T438" s="14">
        <f t="shared" si="2573"/>
        <v>2421.9844878309709</v>
      </c>
      <c r="U438" s="39">
        <f t="shared" si="2547"/>
        <v>-100</v>
      </c>
      <c r="V438" s="105">
        <f t="shared" ref="V438:X438" si="2897">V437</f>
        <v>20.399999999999999</v>
      </c>
      <c r="W438" s="105">
        <f t="shared" si="2897"/>
        <v>1.5069999999999999</v>
      </c>
      <c r="X438" s="106">
        <f t="shared" si="2897"/>
        <v>1.504</v>
      </c>
      <c r="Y438" s="45"/>
      <c r="Z438" s="45"/>
      <c r="AA438" s="107">
        <f t="shared" ref="AA438:AB438" si="2898">AA437</f>
        <v>10.015000000000001</v>
      </c>
      <c r="AB438" s="108" t="str">
        <f t="shared" si="2898"/>
        <v>22,10,090</v>
      </c>
      <c r="AC438" s="11" t="str">
        <f t="shared" si="2576"/>
        <v>22</v>
      </c>
      <c r="AD438" s="11" t="str">
        <f t="shared" si="2577"/>
        <v>10,090</v>
      </c>
      <c r="AE438" s="11">
        <f t="shared" si="2578"/>
        <v>0.36946944444444441</v>
      </c>
      <c r="AF438" s="14">
        <f t="shared" si="2550"/>
        <v>27.106436406558959</v>
      </c>
      <c r="AG438" s="41">
        <f t="shared" si="2596"/>
        <v>-100</v>
      </c>
      <c r="AH438" s="105">
        <f t="shared" ref="AH438:AJ438" si="2899">AH437</f>
        <v>20.3</v>
      </c>
      <c r="AI438" s="105">
        <f t="shared" si="2899"/>
        <v>1.5089999999999999</v>
      </c>
      <c r="AJ438" s="105">
        <f t="shared" si="2899"/>
        <v>1.504</v>
      </c>
      <c r="AK438" s="53">
        <f t="shared" si="2892"/>
        <v>0</v>
      </c>
      <c r="AL438" s="45"/>
      <c r="AM438" s="54">
        <f t="shared" ref="AM438:AN438" si="2900">AM437</f>
        <v>5.0129999999999999</v>
      </c>
      <c r="AN438" s="101" t="str">
        <f t="shared" si="2900"/>
        <v>17,59,050</v>
      </c>
      <c r="AO438" s="11" t="str">
        <f t="shared" si="2581"/>
        <v>17</v>
      </c>
      <c r="AP438" s="11" t="str">
        <f t="shared" si="2582"/>
        <v>59,050</v>
      </c>
      <c r="AQ438" s="11">
        <f t="shared" si="2583"/>
        <v>0.29973611111111109</v>
      </c>
      <c r="AR438" s="14">
        <f t="shared" si="2553"/>
        <v>16.724711551827998</v>
      </c>
      <c r="AS438" s="41">
        <f t="shared" si="2554"/>
        <v>-100</v>
      </c>
      <c r="AT438" s="43" t="str">
        <f t="shared" si="2555"/>
        <v>NO CONFORME</v>
      </c>
      <c r="AU438" s="8" t="b">
        <f t="shared" si="2584"/>
        <v>1</v>
      </c>
      <c r="AV438" s="8" t="b">
        <f t="shared" si="2585"/>
        <v>0</v>
      </c>
      <c r="AW438" s="8" t="b">
        <f t="shared" si="2586"/>
        <v>1</v>
      </c>
      <c r="AX438" s="8" t="str">
        <f t="shared" si="2587"/>
        <v>Qcorrecto</v>
      </c>
      <c r="AY438" s="22" t="str">
        <f t="shared" si="2556"/>
        <v>aceptable</v>
      </c>
      <c r="AZ438" s="22" t="str">
        <f t="shared" si="2557"/>
        <v>aceptable</v>
      </c>
      <c r="BA438" s="22" t="str">
        <f t="shared" si="2588"/>
        <v>aceptable</v>
      </c>
      <c r="BB438" s="25" t="str">
        <f t="shared" si="2589"/>
        <v>NO CONFORME</v>
      </c>
      <c r="BC438" s="5" t="str">
        <f t="shared" si="2590"/>
        <v>NO CONFORME</v>
      </c>
      <c r="BD438" s="15">
        <f t="shared" si="2558"/>
        <v>-1</v>
      </c>
      <c r="BE438" s="15">
        <f t="shared" si="2559"/>
        <v>-1</v>
      </c>
      <c r="BF438" s="15">
        <f t="shared" si="2560"/>
        <v>-1</v>
      </c>
      <c r="BG438" s="15" t="str">
        <f t="shared" si="2561"/>
        <v>-1-1-1</v>
      </c>
      <c r="BH438" s="15" t="str">
        <f t="shared" si="2562"/>
        <v>SD</v>
      </c>
      <c r="BI438" s="15" t="str">
        <f t="shared" si="2563"/>
        <v>SI</v>
      </c>
      <c r="BJ438" s="15" t="b">
        <f t="shared" si="2564"/>
        <v>1</v>
      </c>
      <c r="BK438" s="15" t="str">
        <f t="shared" si="2565"/>
        <v>SIGIGUALES</v>
      </c>
      <c r="BL438" s="22" t="str">
        <f t="shared" si="2566"/>
        <v>NO CONFORME</v>
      </c>
    </row>
    <row r="439" spans="1:64" ht="15.75" thickBot="1" x14ac:dyDescent="0.3">
      <c r="A439" s="37">
        <v>431</v>
      </c>
      <c r="B439" s="93">
        <f t="shared" ref="B439:E439" si="2901">B438</f>
        <v>45919</v>
      </c>
      <c r="C439" s="93">
        <f t="shared" si="2901"/>
        <v>45919</v>
      </c>
      <c r="D439" s="94">
        <f t="shared" si="2901"/>
        <v>6</v>
      </c>
      <c r="E439" s="95">
        <f t="shared" si="2901"/>
        <v>15</v>
      </c>
      <c r="F439" s="13"/>
      <c r="G439" s="90"/>
      <c r="H439" s="97">
        <f t="shared" ref="H439:L439" si="2902">H438</f>
        <v>25.6</v>
      </c>
      <c r="I439" s="98">
        <f t="shared" si="2902"/>
        <v>0</v>
      </c>
      <c r="J439" s="99">
        <f t="shared" si="2902"/>
        <v>20.9</v>
      </c>
      <c r="K439" s="99">
        <f t="shared" si="2902"/>
        <v>7.883</v>
      </c>
      <c r="L439" s="99">
        <f t="shared" si="2902"/>
        <v>0.55400000000000005</v>
      </c>
      <c r="M439" s="45"/>
      <c r="N439" s="45"/>
      <c r="O439" s="100">
        <f t="shared" ref="O439:P439" si="2903">O438</f>
        <v>100.62</v>
      </c>
      <c r="P439" s="101" t="str">
        <f t="shared" si="2903"/>
        <v>2,29,560</v>
      </c>
      <c r="Q439" s="11" t="str">
        <f t="shared" si="2570"/>
        <v>2</v>
      </c>
      <c r="R439" s="11" t="str">
        <f t="shared" si="2571"/>
        <v>29,560</v>
      </c>
      <c r="S439" s="11">
        <f t="shared" si="2572"/>
        <v>4.1544444444444446E-2</v>
      </c>
      <c r="T439" s="14">
        <f t="shared" si="2573"/>
        <v>2421.9844878309709</v>
      </c>
      <c r="U439" s="39">
        <f t="shared" si="2547"/>
        <v>-100</v>
      </c>
      <c r="V439" s="105">
        <f t="shared" ref="V439:X439" si="2904">V438</f>
        <v>20.399999999999999</v>
      </c>
      <c r="W439" s="105">
        <f t="shared" si="2904"/>
        <v>1.5069999999999999</v>
      </c>
      <c r="X439" s="106">
        <f t="shared" si="2904"/>
        <v>1.504</v>
      </c>
      <c r="Y439" s="45"/>
      <c r="Z439" s="45"/>
      <c r="AA439" s="107">
        <f t="shared" ref="AA439:AB439" si="2905">AA438</f>
        <v>10.015000000000001</v>
      </c>
      <c r="AB439" s="108" t="str">
        <f t="shared" si="2905"/>
        <v>22,10,090</v>
      </c>
      <c r="AC439" s="11" t="str">
        <f t="shared" si="2576"/>
        <v>22</v>
      </c>
      <c r="AD439" s="11" t="str">
        <f t="shared" si="2577"/>
        <v>10,090</v>
      </c>
      <c r="AE439" s="11">
        <f t="shared" si="2578"/>
        <v>0.36946944444444441</v>
      </c>
      <c r="AF439" s="14">
        <f t="shared" si="2550"/>
        <v>27.106436406558959</v>
      </c>
      <c r="AG439" s="41">
        <f t="shared" si="2596"/>
        <v>-100</v>
      </c>
      <c r="AH439" s="105">
        <f t="shared" ref="AH439:AJ439" si="2906">AH438</f>
        <v>20.3</v>
      </c>
      <c r="AI439" s="105">
        <f t="shared" si="2906"/>
        <v>1.5089999999999999</v>
      </c>
      <c r="AJ439" s="105">
        <f t="shared" si="2906"/>
        <v>1.504</v>
      </c>
      <c r="AK439" s="53">
        <f t="shared" si="2892"/>
        <v>0</v>
      </c>
      <c r="AL439" s="45"/>
      <c r="AM439" s="54">
        <f t="shared" ref="AM439:AN439" si="2907">AM438</f>
        <v>5.0129999999999999</v>
      </c>
      <c r="AN439" s="101" t="str">
        <f t="shared" si="2907"/>
        <v>17,59,050</v>
      </c>
      <c r="AO439" s="11" t="str">
        <f t="shared" si="2581"/>
        <v>17</v>
      </c>
      <c r="AP439" s="11" t="str">
        <f t="shared" si="2582"/>
        <v>59,050</v>
      </c>
      <c r="AQ439" s="11">
        <f t="shared" si="2583"/>
        <v>0.29973611111111109</v>
      </c>
      <c r="AR439" s="14">
        <f t="shared" si="2553"/>
        <v>16.724711551827998</v>
      </c>
      <c r="AS439" s="41">
        <f t="shared" si="2554"/>
        <v>-100</v>
      </c>
      <c r="AT439" s="43" t="str">
        <f t="shared" si="2555"/>
        <v>NO CONFORME</v>
      </c>
      <c r="AU439" s="8" t="b">
        <f t="shared" si="2584"/>
        <v>1</v>
      </c>
      <c r="AV439" s="8" t="b">
        <f t="shared" si="2585"/>
        <v>0</v>
      </c>
      <c r="AW439" s="8" t="b">
        <f t="shared" si="2586"/>
        <v>1</v>
      </c>
      <c r="AX439" s="8" t="str">
        <f t="shared" si="2587"/>
        <v>Qcorrecto</v>
      </c>
      <c r="AY439" s="22" t="str">
        <f t="shared" si="2556"/>
        <v>aceptable</v>
      </c>
      <c r="AZ439" s="22" t="str">
        <f t="shared" si="2557"/>
        <v>aceptable</v>
      </c>
      <c r="BA439" s="22" t="str">
        <f t="shared" si="2588"/>
        <v>aceptable</v>
      </c>
      <c r="BB439" s="25" t="str">
        <f t="shared" si="2589"/>
        <v>NO CONFORME</v>
      </c>
      <c r="BC439" s="5" t="str">
        <f t="shared" si="2590"/>
        <v>NO CONFORME</v>
      </c>
      <c r="BD439" s="15">
        <f t="shared" si="2558"/>
        <v>-1</v>
      </c>
      <c r="BE439" s="15">
        <f t="shared" si="2559"/>
        <v>-1</v>
      </c>
      <c r="BF439" s="15">
        <f t="shared" si="2560"/>
        <v>-1</v>
      </c>
      <c r="BG439" s="15" t="str">
        <f t="shared" si="2561"/>
        <v>-1-1-1</v>
      </c>
      <c r="BH439" s="15" t="str">
        <f t="shared" si="2562"/>
        <v>SD</v>
      </c>
      <c r="BI439" s="15" t="str">
        <f t="shared" si="2563"/>
        <v>SI</v>
      </c>
      <c r="BJ439" s="15" t="b">
        <f t="shared" si="2564"/>
        <v>1</v>
      </c>
      <c r="BK439" s="15" t="str">
        <f t="shared" si="2565"/>
        <v>SIGIGUALES</v>
      </c>
      <c r="BL439" s="22" t="str">
        <f t="shared" si="2566"/>
        <v>NO CONFORME</v>
      </c>
    </row>
    <row r="440" spans="1:64" ht="15.75" thickBot="1" x14ac:dyDescent="0.3">
      <c r="A440" s="37">
        <v>432</v>
      </c>
      <c r="B440" s="93">
        <f t="shared" ref="B440:E440" si="2908">B439</f>
        <v>45919</v>
      </c>
      <c r="C440" s="93">
        <f t="shared" si="2908"/>
        <v>45919</v>
      </c>
      <c r="D440" s="94">
        <f t="shared" si="2908"/>
        <v>6</v>
      </c>
      <c r="E440" s="95">
        <f t="shared" si="2908"/>
        <v>15</v>
      </c>
      <c r="F440" s="52"/>
      <c r="G440" s="60"/>
      <c r="H440" s="97">
        <f t="shared" ref="H440:L440" si="2909">H439</f>
        <v>25.6</v>
      </c>
      <c r="I440" s="98">
        <f t="shared" si="2909"/>
        <v>0</v>
      </c>
      <c r="J440" s="99">
        <f t="shared" si="2909"/>
        <v>20.9</v>
      </c>
      <c r="K440" s="99">
        <f t="shared" si="2909"/>
        <v>7.883</v>
      </c>
      <c r="L440" s="99">
        <f t="shared" si="2909"/>
        <v>0.55400000000000005</v>
      </c>
      <c r="M440" s="53"/>
      <c r="N440" s="53"/>
      <c r="O440" s="100">
        <f t="shared" ref="O440:P440" si="2910">O439</f>
        <v>100.62</v>
      </c>
      <c r="P440" s="101" t="str">
        <f t="shared" si="2910"/>
        <v>2,29,560</v>
      </c>
      <c r="Q440" s="11" t="str">
        <f t="shared" si="2570"/>
        <v>2</v>
      </c>
      <c r="R440" s="11" t="str">
        <f t="shared" si="2571"/>
        <v>29,560</v>
      </c>
      <c r="S440" s="11">
        <f t="shared" si="2572"/>
        <v>4.1544444444444446E-2</v>
      </c>
      <c r="T440" s="14">
        <f t="shared" si="2573"/>
        <v>2421.9844878309709</v>
      </c>
      <c r="U440" s="39">
        <f t="shared" si="2547"/>
        <v>-100</v>
      </c>
      <c r="V440" s="105">
        <f t="shared" ref="V440:X440" si="2911">V439</f>
        <v>20.399999999999999</v>
      </c>
      <c r="W440" s="105">
        <f t="shared" si="2911"/>
        <v>1.5069999999999999</v>
      </c>
      <c r="X440" s="106">
        <f t="shared" si="2911"/>
        <v>1.504</v>
      </c>
      <c r="Y440" s="53"/>
      <c r="Z440" s="53"/>
      <c r="AA440" s="107">
        <f t="shared" ref="AA440:AB440" si="2912">AA439</f>
        <v>10.015000000000001</v>
      </c>
      <c r="AB440" s="108" t="str">
        <f t="shared" si="2912"/>
        <v>22,10,090</v>
      </c>
      <c r="AC440" s="11" t="str">
        <f t="shared" si="2576"/>
        <v>22</v>
      </c>
      <c r="AD440" s="11" t="str">
        <f t="shared" si="2577"/>
        <v>10,090</v>
      </c>
      <c r="AE440" s="11">
        <f t="shared" si="2578"/>
        <v>0.36946944444444441</v>
      </c>
      <c r="AF440" s="14">
        <f t="shared" si="2550"/>
        <v>27.106436406558959</v>
      </c>
      <c r="AG440" s="41">
        <f t="shared" si="2596"/>
        <v>-100</v>
      </c>
      <c r="AH440" s="105">
        <f t="shared" ref="AH440:AJ440" si="2913">AH439</f>
        <v>20.3</v>
      </c>
      <c r="AI440" s="105">
        <f t="shared" si="2913"/>
        <v>1.5089999999999999</v>
      </c>
      <c r="AJ440" s="105">
        <f t="shared" si="2913"/>
        <v>1.504</v>
      </c>
      <c r="AK440" s="53">
        <f t="shared" si="2892"/>
        <v>0</v>
      </c>
      <c r="AL440" s="53"/>
      <c r="AM440" s="54">
        <f t="shared" ref="AM440:AN440" si="2914">AM439</f>
        <v>5.0129999999999999</v>
      </c>
      <c r="AN440" s="101" t="str">
        <f t="shared" si="2914"/>
        <v>17,59,050</v>
      </c>
      <c r="AO440" s="11" t="str">
        <f t="shared" si="2581"/>
        <v>17</v>
      </c>
      <c r="AP440" s="11" t="str">
        <f t="shared" si="2582"/>
        <v>59,050</v>
      </c>
      <c r="AQ440" s="11">
        <f t="shared" si="2583"/>
        <v>0.29973611111111109</v>
      </c>
      <c r="AR440" s="14">
        <f t="shared" si="2553"/>
        <v>16.724711551827998</v>
      </c>
      <c r="AS440" s="41">
        <f t="shared" si="2554"/>
        <v>-100</v>
      </c>
      <c r="AT440" s="43" t="str">
        <f t="shared" si="2555"/>
        <v>NO CONFORME</v>
      </c>
      <c r="AU440" s="8" t="b">
        <f t="shared" si="2584"/>
        <v>1</v>
      </c>
      <c r="AV440" s="8" t="b">
        <f t="shared" si="2585"/>
        <v>0</v>
      </c>
      <c r="AW440" s="8" t="b">
        <f t="shared" si="2586"/>
        <v>1</v>
      </c>
      <c r="AX440" s="8" t="str">
        <f t="shared" si="2587"/>
        <v>Qcorrecto</v>
      </c>
      <c r="AY440" s="22" t="str">
        <f t="shared" si="2556"/>
        <v>aceptable</v>
      </c>
      <c r="AZ440" s="22" t="str">
        <f t="shared" si="2557"/>
        <v>aceptable</v>
      </c>
      <c r="BA440" s="22" t="str">
        <f t="shared" si="2588"/>
        <v>aceptable</v>
      </c>
      <c r="BB440" s="25" t="str">
        <f t="shared" si="2589"/>
        <v>NO CONFORME</v>
      </c>
      <c r="BC440" s="5" t="str">
        <f t="shared" si="2590"/>
        <v>NO CONFORME</v>
      </c>
      <c r="BD440" s="15">
        <f t="shared" si="2558"/>
        <v>-1</v>
      </c>
      <c r="BE440" s="15">
        <f t="shared" si="2559"/>
        <v>-1</v>
      </c>
      <c r="BF440" s="15">
        <f t="shared" si="2560"/>
        <v>-1</v>
      </c>
      <c r="BG440" s="15" t="str">
        <f t="shared" si="2561"/>
        <v>-1-1-1</v>
      </c>
      <c r="BH440" s="15" t="str">
        <f t="shared" si="2562"/>
        <v>SD</v>
      </c>
      <c r="BI440" s="15" t="str">
        <f t="shared" si="2563"/>
        <v>SI</v>
      </c>
      <c r="BJ440" s="15" t="b">
        <f t="shared" si="2564"/>
        <v>1</v>
      </c>
      <c r="BK440" s="15" t="str">
        <f t="shared" si="2565"/>
        <v>SIGIGUALES</v>
      </c>
      <c r="BL440" s="22" t="str">
        <f t="shared" si="2566"/>
        <v>NO CONFORME</v>
      </c>
    </row>
    <row r="441" spans="1:64" ht="15.75" thickBot="1" x14ac:dyDescent="0.3">
      <c r="A441" s="37">
        <v>433</v>
      </c>
      <c r="B441" s="93">
        <f t="shared" ref="B441:E441" si="2915">B440</f>
        <v>45919</v>
      </c>
      <c r="C441" s="93">
        <f t="shared" si="2915"/>
        <v>45919</v>
      </c>
      <c r="D441" s="94">
        <f t="shared" si="2915"/>
        <v>6</v>
      </c>
      <c r="E441" s="95">
        <f t="shared" si="2915"/>
        <v>15</v>
      </c>
      <c r="F441" s="46"/>
      <c r="G441" s="110"/>
      <c r="H441" s="97">
        <f t="shared" ref="H441:L441" si="2916">H440</f>
        <v>25.6</v>
      </c>
      <c r="I441" s="98">
        <f t="shared" si="2916"/>
        <v>0</v>
      </c>
      <c r="J441" s="99">
        <f t="shared" si="2916"/>
        <v>20.9</v>
      </c>
      <c r="K441" s="99">
        <f t="shared" si="2916"/>
        <v>7.883</v>
      </c>
      <c r="L441" s="99">
        <f t="shared" si="2916"/>
        <v>0.55400000000000005</v>
      </c>
      <c r="M441" s="47"/>
      <c r="N441" s="47"/>
      <c r="O441" s="100">
        <f t="shared" ref="O441:P441" si="2917">O440</f>
        <v>100.62</v>
      </c>
      <c r="P441" s="101" t="str">
        <f t="shared" si="2917"/>
        <v>2,29,560</v>
      </c>
      <c r="Q441" s="11" t="str">
        <f t="shared" si="2570"/>
        <v>2</v>
      </c>
      <c r="R441" s="11" t="str">
        <f t="shared" si="2571"/>
        <v>29,560</v>
      </c>
      <c r="S441" s="11">
        <f t="shared" si="2572"/>
        <v>4.1544444444444446E-2</v>
      </c>
      <c r="T441" s="14">
        <f t="shared" si="2573"/>
        <v>2421.9844878309709</v>
      </c>
      <c r="U441" s="39">
        <f t="shared" si="2547"/>
        <v>-100</v>
      </c>
      <c r="V441" s="105">
        <f t="shared" ref="V441:X441" si="2918">V440</f>
        <v>20.399999999999999</v>
      </c>
      <c r="W441" s="105">
        <f t="shared" si="2918"/>
        <v>1.5069999999999999</v>
      </c>
      <c r="X441" s="106">
        <f t="shared" si="2918"/>
        <v>1.504</v>
      </c>
      <c r="Y441" s="47"/>
      <c r="Z441" s="47"/>
      <c r="AA441" s="107">
        <f t="shared" ref="AA441:AB441" si="2919">AA440</f>
        <v>10.015000000000001</v>
      </c>
      <c r="AB441" s="108" t="str">
        <f t="shared" si="2919"/>
        <v>22,10,090</v>
      </c>
      <c r="AC441" s="11" t="str">
        <f t="shared" si="2576"/>
        <v>22</v>
      </c>
      <c r="AD441" s="11" t="str">
        <f t="shared" si="2577"/>
        <v>10,090</v>
      </c>
      <c r="AE441" s="11">
        <f t="shared" si="2578"/>
        <v>0.36946944444444441</v>
      </c>
      <c r="AF441" s="14">
        <f t="shared" si="2550"/>
        <v>27.106436406558959</v>
      </c>
      <c r="AG441" s="41">
        <f t="shared" si="2596"/>
        <v>-100</v>
      </c>
      <c r="AH441" s="105">
        <f t="shared" ref="AH441:AJ441" si="2920">AH440</f>
        <v>20.3</v>
      </c>
      <c r="AI441" s="105">
        <f t="shared" si="2920"/>
        <v>1.5089999999999999</v>
      </c>
      <c r="AJ441" s="105">
        <f t="shared" si="2920"/>
        <v>1.504</v>
      </c>
      <c r="AK441" s="53">
        <f t="shared" si="2892"/>
        <v>0</v>
      </c>
      <c r="AL441" s="47"/>
      <c r="AM441" s="54">
        <f t="shared" ref="AM441:AN441" si="2921">AM440</f>
        <v>5.0129999999999999</v>
      </c>
      <c r="AN441" s="101" t="str">
        <f t="shared" si="2921"/>
        <v>17,59,050</v>
      </c>
      <c r="AO441" s="11" t="str">
        <f t="shared" si="2581"/>
        <v>17</v>
      </c>
      <c r="AP441" s="11" t="str">
        <f t="shared" si="2582"/>
        <v>59,050</v>
      </c>
      <c r="AQ441" s="11">
        <f t="shared" si="2583"/>
        <v>0.29973611111111109</v>
      </c>
      <c r="AR441" s="14">
        <f t="shared" si="2553"/>
        <v>16.724711551827998</v>
      </c>
      <c r="AS441" s="41">
        <f t="shared" si="2554"/>
        <v>-100</v>
      </c>
      <c r="AT441" s="43" t="str">
        <f t="shared" si="2555"/>
        <v>NO CONFORME</v>
      </c>
      <c r="AU441" s="8" t="b">
        <f t="shared" si="2584"/>
        <v>1</v>
      </c>
      <c r="AV441" s="8" t="b">
        <f t="shared" si="2585"/>
        <v>0</v>
      </c>
      <c r="AW441" s="8" t="b">
        <f t="shared" si="2586"/>
        <v>1</v>
      </c>
      <c r="AX441" s="8" t="str">
        <f t="shared" si="2587"/>
        <v>Qcorrecto</v>
      </c>
      <c r="AY441" s="22" t="str">
        <f t="shared" si="2556"/>
        <v>aceptable</v>
      </c>
      <c r="AZ441" s="22" t="str">
        <f t="shared" si="2557"/>
        <v>aceptable</v>
      </c>
      <c r="BA441" s="22" t="str">
        <f t="shared" si="2588"/>
        <v>aceptable</v>
      </c>
      <c r="BB441" s="25" t="str">
        <f t="shared" si="2589"/>
        <v>NO CONFORME</v>
      </c>
      <c r="BC441" s="5" t="str">
        <f t="shared" si="2590"/>
        <v>NO CONFORME</v>
      </c>
      <c r="BD441" s="15">
        <f t="shared" si="2558"/>
        <v>-1</v>
      </c>
      <c r="BE441" s="15">
        <f t="shared" si="2559"/>
        <v>-1</v>
      </c>
      <c r="BF441" s="15">
        <f t="shared" si="2560"/>
        <v>-1</v>
      </c>
      <c r="BG441" s="15" t="str">
        <f t="shared" si="2561"/>
        <v>-1-1-1</v>
      </c>
      <c r="BH441" s="15" t="str">
        <f t="shared" si="2562"/>
        <v>SD</v>
      </c>
      <c r="BI441" s="15" t="str">
        <f t="shared" si="2563"/>
        <v>SI</v>
      </c>
      <c r="BJ441" s="15" t="b">
        <f t="shared" si="2564"/>
        <v>1</v>
      </c>
      <c r="BK441" s="15" t="str">
        <f t="shared" si="2565"/>
        <v>SIGIGUALES</v>
      </c>
      <c r="BL441" s="22" t="str">
        <f t="shared" si="2566"/>
        <v>NO CONFORME</v>
      </c>
    </row>
    <row r="442" spans="1:64" ht="15.75" thickBot="1" x14ac:dyDescent="0.3">
      <c r="A442" s="37">
        <v>434</v>
      </c>
      <c r="B442" s="93">
        <f t="shared" ref="B442:E442" si="2922">B441</f>
        <v>45919</v>
      </c>
      <c r="C442" s="93">
        <f t="shared" si="2922"/>
        <v>45919</v>
      </c>
      <c r="D442" s="94">
        <f t="shared" si="2922"/>
        <v>6</v>
      </c>
      <c r="E442" s="95">
        <f t="shared" si="2922"/>
        <v>15</v>
      </c>
      <c r="F442" s="13"/>
      <c r="G442" s="90"/>
      <c r="H442" s="97">
        <f t="shared" ref="H442:L442" si="2923">H441</f>
        <v>25.6</v>
      </c>
      <c r="I442" s="98">
        <f t="shared" si="2923"/>
        <v>0</v>
      </c>
      <c r="J442" s="99">
        <f t="shared" si="2923"/>
        <v>20.9</v>
      </c>
      <c r="K442" s="99">
        <f t="shared" si="2923"/>
        <v>7.883</v>
      </c>
      <c r="L442" s="99">
        <f t="shared" si="2923"/>
        <v>0.55400000000000005</v>
      </c>
      <c r="M442" s="45"/>
      <c r="N442" s="45"/>
      <c r="O442" s="100">
        <f t="shared" ref="O442:P442" si="2924">O441</f>
        <v>100.62</v>
      </c>
      <c r="P442" s="101" t="str">
        <f t="shared" si="2924"/>
        <v>2,29,560</v>
      </c>
      <c r="Q442" s="11" t="str">
        <f t="shared" si="2570"/>
        <v>2</v>
      </c>
      <c r="R442" s="11" t="str">
        <f t="shared" si="2571"/>
        <v>29,560</v>
      </c>
      <c r="S442" s="11">
        <f t="shared" si="2572"/>
        <v>4.1544444444444446E-2</v>
      </c>
      <c r="T442" s="14">
        <f t="shared" si="2573"/>
        <v>2421.9844878309709</v>
      </c>
      <c r="U442" s="39">
        <f t="shared" si="2547"/>
        <v>-100</v>
      </c>
      <c r="V442" s="105">
        <f t="shared" ref="V442:X442" si="2925">V441</f>
        <v>20.399999999999999</v>
      </c>
      <c r="W442" s="105">
        <f t="shared" si="2925"/>
        <v>1.5069999999999999</v>
      </c>
      <c r="X442" s="106">
        <f t="shared" si="2925"/>
        <v>1.504</v>
      </c>
      <c r="Y442" s="45"/>
      <c r="Z442" s="45"/>
      <c r="AA442" s="107">
        <f t="shared" ref="AA442:AB442" si="2926">AA441</f>
        <v>10.015000000000001</v>
      </c>
      <c r="AB442" s="108" t="str">
        <f t="shared" si="2926"/>
        <v>22,10,090</v>
      </c>
      <c r="AC442" s="11" t="str">
        <f t="shared" si="2576"/>
        <v>22</v>
      </c>
      <c r="AD442" s="11" t="str">
        <f t="shared" si="2577"/>
        <v>10,090</v>
      </c>
      <c r="AE442" s="11">
        <f t="shared" si="2578"/>
        <v>0.36946944444444441</v>
      </c>
      <c r="AF442" s="14">
        <f t="shared" si="2550"/>
        <v>27.106436406558959</v>
      </c>
      <c r="AG442" s="41">
        <f t="shared" si="2596"/>
        <v>-100</v>
      </c>
      <c r="AH442" s="105">
        <f t="shared" ref="AH442:AJ442" si="2927">AH441</f>
        <v>20.3</v>
      </c>
      <c r="AI442" s="105">
        <f t="shared" si="2927"/>
        <v>1.5089999999999999</v>
      </c>
      <c r="AJ442" s="105">
        <f t="shared" si="2927"/>
        <v>1.504</v>
      </c>
      <c r="AK442" s="53">
        <f t="shared" si="2892"/>
        <v>0</v>
      </c>
      <c r="AL442" s="45"/>
      <c r="AM442" s="54">
        <f t="shared" ref="AM442:AN442" si="2928">AM441</f>
        <v>5.0129999999999999</v>
      </c>
      <c r="AN442" s="101" t="str">
        <f t="shared" si="2928"/>
        <v>17,59,050</v>
      </c>
      <c r="AO442" s="11" t="str">
        <f t="shared" si="2581"/>
        <v>17</v>
      </c>
      <c r="AP442" s="11" t="str">
        <f t="shared" si="2582"/>
        <v>59,050</v>
      </c>
      <c r="AQ442" s="11">
        <f t="shared" si="2583"/>
        <v>0.29973611111111109</v>
      </c>
      <c r="AR442" s="14">
        <f t="shared" si="2553"/>
        <v>16.724711551827998</v>
      </c>
      <c r="AS442" s="41">
        <f t="shared" si="2554"/>
        <v>-100</v>
      </c>
      <c r="AT442" s="43" t="str">
        <f t="shared" si="2555"/>
        <v>NO CONFORME</v>
      </c>
      <c r="AU442" s="8" t="b">
        <f t="shared" si="2584"/>
        <v>1</v>
      </c>
      <c r="AV442" s="8" t="b">
        <f t="shared" si="2585"/>
        <v>0</v>
      </c>
      <c r="AW442" s="8" t="b">
        <f t="shared" si="2586"/>
        <v>1</v>
      </c>
      <c r="AX442" s="8" t="str">
        <f t="shared" si="2587"/>
        <v>Qcorrecto</v>
      </c>
      <c r="AY442" s="22" t="str">
        <f t="shared" si="2556"/>
        <v>aceptable</v>
      </c>
      <c r="AZ442" s="22" t="str">
        <f t="shared" si="2557"/>
        <v>aceptable</v>
      </c>
      <c r="BA442" s="22" t="str">
        <f t="shared" si="2588"/>
        <v>aceptable</v>
      </c>
      <c r="BB442" s="25" t="str">
        <f t="shared" si="2589"/>
        <v>NO CONFORME</v>
      </c>
      <c r="BC442" s="5" t="str">
        <f t="shared" si="2590"/>
        <v>NO CONFORME</v>
      </c>
      <c r="BD442" s="15">
        <f t="shared" si="2558"/>
        <v>-1</v>
      </c>
      <c r="BE442" s="15">
        <f t="shared" si="2559"/>
        <v>-1</v>
      </c>
      <c r="BF442" s="15">
        <f t="shared" si="2560"/>
        <v>-1</v>
      </c>
      <c r="BG442" s="15" t="str">
        <f t="shared" si="2561"/>
        <v>-1-1-1</v>
      </c>
      <c r="BH442" s="15" t="str">
        <f t="shared" si="2562"/>
        <v>SD</v>
      </c>
      <c r="BI442" s="15" t="str">
        <f t="shared" si="2563"/>
        <v>SI</v>
      </c>
      <c r="BJ442" s="15" t="b">
        <f t="shared" si="2564"/>
        <v>1</v>
      </c>
      <c r="BK442" s="15" t="str">
        <f t="shared" si="2565"/>
        <v>SIGIGUALES</v>
      </c>
      <c r="BL442" s="22" t="str">
        <f t="shared" si="2566"/>
        <v>NO CONFORME</v>
      </c>
    </row>
    <row r="443" spans="1:64" ht="15.75" thickBot="1" x14ac:dyDescent="0.3">
      <c r="A443" s="37">
        <v>435</v>
      </c>
      <c r="B443" s="93">
        <f t="shared" ref="B443:E443" si="2929">B442</f>
        <v>45919</v>
      </c>
      <c r="C443" s="93">
        <f t="shared" si="2929"/>
        <v>45919</v>
      </c>
      <c r="D443" s="94">
        <f t="shared" si="2929"/>
        <v>6</v>
      </c>
      <c r="E443" s="95">
        <f t="shared" si="2929"/>
        <v>15</v>
      </c>
      <c r="F443" s="13"/>
      <c r="G443" s="90"/>
      <c r="H443" s="97">
        <f t="shared" ref="H443:L443" si="2930">H442</f>
        <v>25.6</v>
      </c>
      <c r="I443" s="98">
        <f t="shared" si="2930"/>
        <v>0</v>
      </c>
      <c r="J443" s="99">
        <f t="shared" si="2930"/>
        <v>20.9</v>
      </c>
      <c r="K443" s="99">
        <f t="shared" si="2930"/>
        <v>7.883</v>
      </c>
      <c r="L443" s="99">
        <f t="shared" si="2930"/>
        <v>0.55400000000000005</v>
      </c>
      <c r="M443" s="45"/>
      <c r="N443" s="45"/>
      <c r="O443" s="100">
        <f t="shared" ref="O443:P443" si="2931">O442</f>
        <v>100.62</v>
      </c>
      <c r="P443" s="101" t="str">
        <f t="shared" si="2931"/>
        <v>2,29,560</v>
      </c>
      <c r="Q443" s="11" t="str">
        <f t="shared" si="2570"/>
        <v>2</v>
      </c>
      <c r="R443" s="11" t="str">
        <f t="shared" si="2571"/>
        <v>29,560</v>
      </c>
      <c r="S443" s="11">
        <f t="shared" si="2572"/>
        <v>4.1544444444444446E-2</v>
      </c>
      <c r="T443" s="14">
        <f t="shared" si="2573"/>
        <v>2421.9844878309709</v>
      </c>
      <c r="U443" s="39">
        <f t="shared" si="2547"/>
        <v>-100</v>
      </c>
      <c r="V443" s="105">
        <f t="shared" ref="V443:X443" si="2932">V442</f>
        <v>20.399999999999999</v>
      </c>
      <c r="W443" s="105">
        <f t="shared" si="2932"/>
        <v>1.5069999999999999</v>
      </c>
      <c r="X443" s="106">
        <f t="shared" si="2932"/>
        <v>1.504</v>
      </c>
      <c r="Y443" s="45"/>
      <c r="Z443" s="45"/>
      <c r="AA443" s="107">
        <f t="shared" ref="AA443:AB443" si="2933">AA442</f>
        <v>10.015000000000001</v>
      </c>
      <c r="AB443" s="108" t="str">
        <f t="shared" si="2933"/>
        <v>22,10,090</v>
      </c>
      <c r="AC443" s="11" t="str">
        <f t="shared" si="2576"/>
        <v>22</v>
      </c>
      <c r="AD443" s="11" t="str">
        <f t="shared" si="2577"/>
        <v>10,090</v>
      </c>
      <c r="AE443" s="11">
        <f t="shared" si="2578"/>
        <v>0.36946944444444441</v>
      </c>
      <c r="AF443" s="14">
        <f t="shared" si="2550"/>
        <v>27.106436406558959</v>
      </c>
      <c r="AG443" s="41">
        <f t="shared" si="2596"/>
        <v>-100</v>
      </c>
      <c r="AH443" s="105">
        <f t="shared" ref="AH443:AJ443" si="2934">AH442</f>
        <v>20.3</v>
      </c>
      <c r="AI443" s="105">
        <f t="shared" si="2934"/>
        <v>1.5089999999999999</v>
      </c>
      <c r="AJ443" s="105">
        <f t="shared" si="2934"/>
        <v>1.504</v>
      </c>
      <c r="AK443" s="53">
        <f t="shared" si="2892"/>
        <v>0</v>
      </c>
      <c r="AL443" s="45"/>
      <c r="AM443" s="54">
        <f t="shared" ref="AM443:AN443" si="2935">AM442</f>
        <v>5.0129999999999999</v>
      </c>
      <c r="AN443" s="101" t="str">
        <f t="shared" si="2935"/>
        <v>17,59,050</v>
      </c>
      <c r="AO443" s="11" t="str">
        <f t="shared" si="2581"/>
        <v>17</v>
      </c>
      <c r="AP443" s="11" t="str">
        <f t="shared" si="2582"/>
        <v>59,050</v>
      </c>
      <c r="AQ443" s="11">
        <f t="shared" si="2583"/>
        <v>0.29973611111111109</v>
      </c>
      <c r="AR443" s="14">
        <f t="shared" si="2553"/>
        <v>16.724711551827998</v>
      </c>
      <c r="AS443" s="41">
        <f t="shared" si="2554"/>
        <v>-100</v>
      </c>
      <c r="AT443" s="43" t="str">
        <f t="shared" si="2555"/>
        <v>NO CONFORME</v>
      </c>
      <c r="AU443" s="8" t="b">
        <f t="shared" si="2584"/>
        <v>1</v>
      </c>
      <c r="AV443" s="8" t="b">
        <f t="shared" si="2585"/>
        <v>0</v>
      </c>
      <c r="AW443" s="8" t="b">
        <f t="shared" si="2586"/>
        <v>1</v>
      </c>
      <c r="AX443" s="8" t="str">
        <f t="shared" si="2587"/>
        <v>Qcorrecto</v>
      </c>
      <c r="AY443" s="22" t="str">
        <f t="shared" si="2556"/>
        <v>aceptable</v>
      </c>
      <c r="AZ443" s="22" t="str">
        <f t="shared" si="2557"/>
        <v>aceptable</v>
      </c>
      <c r="BA443" s="22" t="str">
        <f t="shared" si="2588"/>
        <v>aceptable</v>
      </c>
      <c r="BB443" s="25" t="str">
        <f t="shared" si="2589"/>
        <v>NO CONFORME</v>
      </c>
      <c r="BC443" s="5" t="str">
        <f t="shared" si="2590"/>
        <v>NO CONFORME</v>
      </c>
      <c r="BD443" s="15">
        <f t="shared" si="2558"/>
        <v>-1</v>
      </c>
      <c r="BE443" s="15">
        <f t="shared" si="2559"/>
        <v>-1</v>
      </c>
      <c r="BF443" s="15">
        <f t="shared" si="2560"/>
        <v>-1</v>
      </c>
      <c r="BG443" s="15" t="str">
        <f t="shared" si="2561"/>
        <v>-1-1-1</v>
      </c>
      <c r="BH443" s="15" t="str">
        <f t="shared" si="2562"/>
        <v>SD</v>
      </c>
      <c r="BI443" s="15" t="str">
        <f t="shared" si="2563"/>
        <v>SI</v>
      </c>
      <c r="BJ443" s="15" t="b">
        <f t="shared" si="2564"/>
        <v>1</v>
      </c>
      <c r="BK443" s="15" t="str">
        <f t="shared" si="2565"/>
        <v>SIGIGUALES</v>
      </c>
      <c r="BL443" s="22" t="str">
        <f t="shared" si="2566"/>
        <v>NO CONFORME</v>
      </c>
    </row>
    <row r="444" spans="1:64" ht="15.75" thickBot="1" x14ac:dyDescent="0.3">
      <c r="A444" s="37">
        <v>436</v>
      </c>
      <c r="B444" s="93">
        <f t="shared" ref="B444:E444" si="2936">B443</f>
        <v>45919</v>
      </c>
      <c r="C444" s="93">
        <f t="shared" si="2936"/>
        <v>45919</v>
      </c>
      <c r="D444" s="94">
        <f t="shared" si="2936"/>
        <v>6</v>
      </c>
      <c r="E444" s="95">
        <f t="shared" si="2936"/>
        <v>15</v>
      </c>
      <c r="F444" s="13"/>
      <c r="G444" s="90"/>
      <c r="H444" s="97">
        <f t="shared" ref="H444:L444" si="2937">H443</f>
        <v>25.6</v>
      </c>
      <c r="I444" s="98">
        <f t="shared" si="2937"/>
        <v>0</v>
      </c>
      <c r="J444" s="99">
        <f t="shared" si="2937"/>
        <v>20.9</v>
      </c>
      <c r="K444" s="99">
        <f t="shared" si="2937"/>
        <v>7.883</v>
      </c>
      <c r="L444" s="99">
        <f t="shared" si="2937"/>
        <v>0.55400000000000005</v>
      </c>
      <c r="M444" s="45"/>
      <c r="N444" s="45"/>
      <c r="O444" s="100">
        <f t="shared" ref="O444:P444" si="2938">O443</f>
        <v>100.62</v>
      </c>
      <c r="P444" s="101" t="str">
        <f t="shared" si="2938"/>
        <v>2,29,560</v>
      </c>
      <c r="Q444" s="11" t="str">
        <f t="shared" si="2570"/>
        <v>2</v>
      </c>
      <c r="R444" s="11" t="str">
        <f t="shared" si="2571"/>
        <v>29,560</v>
      </c>
      <c r="S444" s="11">
        <f t="shared" si="2572"/>
        <v>4.1544444444444446E-2</v>
      </c>
      <c r="T444" s="14">
        <f t="shared" si="2573"/>
        <v>2421.9844878309709</v>
      </c>
      <c r="U444" s="39">
        <f t="shared" si="2547"/>
        <v>-100</v>
      </c>
      <c r="V444" s="105">
        <f t="shared" ref="V444:X444" si="2939">V443</f>
        <v>20.399999999999999</v>
      </c>
      <c r="W444" s="105">
        <f t="shared" si="2939"/>
        <v>1.5069999999999999</v>
      </c>
      <c r="X444" s="106">
        <f t="shared" si="2939"/>
        <v>1.504</v>
      </c>
      <c r="Y444" s="45"/>
      <c r="Z444" s="45"/>
      <c r="AA444" s="107">
        <f t="shared" ref="AA444:AB444" si="2940">AA443</f>
        <v>10.015000000000001</v>
      </c>
      <c r="AB444" s="108" t="str">
        <f t="shared" si="2940"/>
        <v>22,10,090</v>
      </c>
      <c r="AC444" s="11" t="str">
        <f t="shared" si="2576"/>
        <v>22</v>
      </c>
      <c r="AD444" s="11" t="str">
        <f t="shared" si="2577"/>
        <v>10,090</v>
      </c>
      <c r="AE444" s="11">
        <f t="shared" si="2578"/>
        <v>0.36946944444444441</v>
      </c>
      <c r="AF444" s="14">
        <f t="shared" si="2550"/>
        <v>27.106436406558959</v>
      </c>
      <c r="AG444" s="41">
        <f t="shared" si="2596"/>
        <v>-100</v>
      </c>
      <c r="AH444" s="105">
        <f t="shared" ref="AH444:AJ444" si="2941">AH443</f>
        <v>20.3</v>
      </c>
      <c r="AI444" s="105">
        <f t="shared" si="2941"/>
        <v>1.5089999999999999</v>
      </c>
      <c r="AJ444" s="105">
        <f t="shared" si="2941"/>
        <v>1.504</v>
      </c>
      <c r="AK444" s="53">
        <f t="shared" si="2892"/>
        <v>0</v>
      </c>
      <c r="AL444" s="45"/>
      <c r="AM444" s="54">
        <f t="shared" ref="AM444:AN444" si="2942">AM443</f>
        <v>5.0129999999999999</v>
      </c>
      <c r="AN444" s="101" t="str">
        <f t="shared" si="2942"/>
        <v>17,59,050</v>
      </c>
      <c r="AO444" s="11" t="str">
        <f t="shared" si="2581"/>
        <v>17</v>
      </c>
      <c r="AP444" s="11" t="str">
        <f t="shared" si="2582"/>
        <v>59,050</v>
      </c>
      <c r="AQ444" s="11">
        <f t="shared" si="2583"/>
        <v>0.29973611111111109</v>
      </c>
      <c r="AR444" s="14">
        <f t="shared" si="2553"/>
        <v>16.724711551827998</v>
      </c>
      <c r="AS444" s="41">
        <f t="shared" si="2554"/>
        <v>-100</v>
      </c>
      <c r="AT444" s="43" t="str">
        <f t="shared" si="2555"/>
        <v>NO CONFORME</v>
      </c>
      <c r="AU444" s="8" t="b">
        <f t="shared" si="2584"/>
        <v>1</v>
      </c>
      <c r="AV444" s="8" t="b">
        <f t="shared" si="2585"/>
        <v>0</v>
      </c>
      <c r="AW444" s="8" t="b">
        <f t="shared" si="2586"/>
        <v>1</v>
      </c>
      <c r="AX444" s="8" t="str">
        <f t="shared" si="2587"/>
        <v>Qcorrecto</v>
      </c>
      <c r="AY444" s="22" t="str">
        <f t="shared" si="2556"/>
        <v>aceptable</v>
      </c>
      <c r="AZ444" s="22" t="str">
        <f t="shared" si="2557"/>
        <v>aceptable</v>
      </c>
      <c r="BA444" s="22" t="str">
        <f t="shared" si="2588"/>
        <v>aceptable</v>
      </c>
      <c r="BB444" s="25" t="str">
        <f t="shared" si="2589"/>
        <v>NO CONFORME</v>
      </c>
      <c r="BC444" s="5" t="str">
        <f t="shared" si="2590"/>
        <v>NO CONFORME</v>
      </c>
      <c r="BD444" s="15">
        <f t="shared" si="2558"/>
        <v>-1</v>
      </c>
      <c r="BE444" s="15">
        <f t="shared" si="2559"/>
        <v>-1</v>
      </c>
      <c r="BF444" s="15">
        <f t="shared" si="2560"/>
        <v>-1</v>
      </c>
      <c r="BG444" s="15" t="str">
        <f t="shared" si="2561"/>
        <v>-1-1-1</v>
      </c>
      <c r="BH444" s="15" t="str">
        <f t="shared" si="2562"/>
        <v>SD</v>
      </c>
      <c r="BI444" s="15" t="str">
        <f t="shared" si="2563"/>
        <v>SI</v>
      </c>
      <c r="BJ444" s="15" t="b">
        <f t="shared" si="2564"/>
        <v>1</v>
      </c>
      <c r="BK444" s="15" t="str">
        <f t="shared" si="2565"/>
        <v>SIGIGUALES</v>
      </c>
      <c r="BL444" s="22" t="str">
        <f t="shared" si="2566"/>
        <v>NO CONFORME</v>
      </c>
    </row>
    <row r="445" spans="1:64" ht="15.75" thickBot="1" x14ac:dyDescent="0.3">
      <c r="A445" s="37">
        <v>437</v>
      </c>
      <c r="B445" s="93">
        <f t="shared" ref="B445:E445" si="2943">B444</f>
        <v>45919</v>
      </c>
      <c r="C445" s="93">
        <f t="shared" si="2943"/>
        <v>45919</v>
      </c>
      <c r="D445" s="94">
        <f t="shared" si="2943"/>
        <v>6</v>
      </c>
      <c r="E445" s="95">
        <f t="shared" si="2943"/>
        <v>15</v>
      </c>
      <c r="F445" s="13"/>
      <c r="G445" s="90"/>
      <c r="H445" s="97">
        <f t="shared" ref="H445:L445" si="2944">H444</f>
        <v>25.6</v>
      </c>
      <c r="I445" s="98">
        <f t="shared" si="2944"/>
        <v>0</v>
      </c>
      <c r="J445" s="99">
        <f t="shared" si="2944"/>
        <v>20.9</v>
      </c>
      <c r="K445" s="99">
        <f t="shared" si="2944"/>
        <v>7.883</v>
      </c>
      <c r="L445" s="99">
        <f t="shared" si="2944"/>
        <v>0.55400000000000005</v>
      </c>
      <c r="M445" s="45"/>
      <c r="N445" s="45"/>
      <c r="O445" s="100">
        <f t="shared" ref="O445:P445" si="2945">O444</f>
        <v>100.62</v>
      </c>
      <c r="P445" s="101" t="str">
        <f t="shared" si="2945"/>
        <v>2,29,560</v>
      </c>
      <c r="Q445" s="11" t="str">
        <f t="shared" si="2570"/>
        <v>2</v>
      </c>
      <c r="R445" s="11" t="str">
        <f t="shared" si="2571"/>
        <v>29,560</v>
      </c>
      <c r="S445" s="11">
        <f t="shared" si="2572"/>
        <v>4.1544444444444446E-2</v>
      </c>
      <c r="T445" s="14">
        <f t="shared" si="2573"/>
        <v>2421.9844878309709</v>
      </c>
      <c r="U445" s="39">
        <f t="shared" si="2547"/>
        <v>-100</v>
      </c>
      <c r="V445" s="105">
        <f t="shared" ref="V445:X445" si="2946">V444</f>
        <v>20.399999999999999</v>
      </c>
      <c r="W445" s="105">
        <f t="shared" si="2946"/>
        <v>1.5069999999999999</v>
      </c>
      <c r="X445" s="106">
        <f t="shared" si="2946"/>
        <v>1.504</v>
      </c>
      <c r="Y445" s="45"/>
      <c r="Z445" s="45"/>
      <c r="AA445" s="107">
        <f t="shared" ref="AA445:AB445" si="2947">AA444</f>
        <v>10.015000000000001</v>
      </c>
      <c r="AB445" s="108" t="str">
        <f t="shared" si="2947"/>
        <v>22,10,090</v>
      </c>
      <c r="AC445" s="11" t="str">
        <f t="shared" si="2576"/>
        <v>22</v>
      </c>
      <c r="AD445" s="11" t="str">
        <f t="shared" si="2577"/>
        <v>10,090</v>
      </c>
      <c r="AE445" s="11">
        <f t="shared" si="2578"/>
        <v>0.36946944444444441</v>
      </c>
      <c r="AF445" s="14">
        <f t="shared" si="2550"/>
        <v>27.106436406558959</v>
      </c>
      <c r="AG445" s="41">
        <f t="shared" si="2596"/>
        <v>-100</v>
      </c>
      <c r="AH445" s="105">
        <f t="shared" ref="AH445:AJ445" si="2948">AH444</f>
        <v>20.3</v>
      </c>
      <c r="AI445" s="105">
        <f t="shared" si="2948"/>
        <v>1.5089999999999999</v>
      </c>
      <c r="AJ445" s="105">
        <f t="shared" si="2948"/>
        <v>1.504</v>
      </c>
      <c r="AK445" s="53">
        <f t="shared" si="2892"/>
        <v>0</v>
      </c>
      <c r="AL445" s="45"/>
      <c r="AM445" s="54">
        <f t="shared" ref="AM445:AN445" si="2949">AM444</f>
        <v>5.0129999999999999</v>
      </c>
      <c r="AN445" s="101" t="str">
        <f t="shared" si="2949"/>
        <v>17,59,050</v>
      </c>
      <c r="AO445" s="11" t="str">
        <f t="shared" si="2581"/>
        <v>17</v>
      </c>
      <c r="AP445" s="11" t="str">
        <f t="shared" si="2582"/>
        <v>59,050</v>
      </c>
      <c r="AQ445" s="11">
        <f t="shared" si="2583"/>
        <v>0.29973611111111109</v>
      </c>
      <c r="AR445" s="14">
        <f t="shared" si="2553"/>
        <v>16.724711551827998</v>
      </c>
      <c r="AS445" s="41">
        <f t="shared" si="2554"/>
        <v>-100</v>
      </c>
      <c r="AT445" s="43" t="str">
        <f t="shared" si="2555"/>
        <v>NO CONFORME</v>
      </c>
      <c r="AU445" s="8" t="b">
        <f t="shared" si="2584"/>
        <v>1</v>
      </c>
      <c r="AV445" s="8" t="b">
        <f t="shared" si="2585"/>
        <v>0</v>
      </c>
      <c r="AW445" s="8" t="b">
        <f t="shared" si="2586"/>
        <v>1</v>
      </c>
      <c r="AX445" s="8" t="str">
        <f t="shared" si="2587"/>
        <v>Qcorrecto</v>
      </c>
      <c r="AY445" s="22" t="str">
        <f t="shared" si="2556"/>
        <v>aceptable</v>
      </c>
      <c r="AZ445" s="22" t="str">
        <f t="shared" si="2557"/>
        <v>aceptable</v>
      </c>
      <c r="BA445" s="22" t="str">
        <f t="shared" si="2588"/>
        <v>aceptable</v>
      </c>
      <c r="BB445" s="25" t="str">
        <f t="shared" si="2589"/>
        <v>NO CONFORME</v>
      </c>
      <c r="BC445" s="5" t="str">
        <f t="shared" si="2590"/>
        <v>NO CONFORME</v>
      </c>
      <c r="BD445" s="15">
        <f t="shared" si="2558"/>
        <v>-1</v>
      </c>
      <c r="BE445" s="15">
        <f t="shared" si="2559"/>
        <v>-1</v>
      </c>
      <c r="BF445" s="15">
        <f t="shared" si="2560"/>
        <v>-1</v>
      </c>
      <c r="BG445" s="15" t="str">
        <f t="shared" si="2561"/>
        <v>-1-1-1</v>
      </c>
      <c r="BH445" s="15" t="str">
        <f t="shared" si="2562"/>
        <v>SD</v>
      </c>
      <c r="BI445" s="15" t="str">
        <f t="shared" si="2563"/>
        <v>SI</v>
      </c>
      <c r="BJ445" s="15" t="b">
        <f t="shared" si="2564"/>
        <v>1</v>
      </c>
      <c r="BK445" s="15" t="str">
        <f t="shared" si="2565"/>
        <v>SIGIGUALES</v>
      </c>
      <c r="BL445" s="22" t="str">
        <f t="shared" si="2566"/>
        <v>NO CONFORME</v>
      </c>
    </row>
    <row r="446" spans="1:64" ht="15.75" thickBot="1" x14ac:dyDescent="0.3">
      <c r="A446" s="37">
        <v>438</v>
      </c>
      <c r="B446" s="93">
        <f t="shared" ref="B446:E446" si="2950">B445</f>
        <v>45919</v>
      </c>
      <c r="C446" s="93">
        <f t="shared" si="2950"/>
        <v>45919</v>
      </c>
      <c r="D446" s="94">
        <f t="shared" si="2950"/>
        <v>6</v>
      </c>
      <c r="E446" s="95">
        <f t="shared" si="2950"/>
        <v>15</v>
      </c>
      <c r="F446" s="13"/>
      <c r="G446" s="90"/>
      <c r="H446" s="97">
        <f t="shared" ref="H446:L446" si="2951">H445</f>
        <v>25.6</v>
      </c>
      <c r="I446" s="98">
        <f t="shared" si="2951"/>
        <v>0</v>
      </c>
      <c r="J446" s="99">
        <f t="shared" si="2951"/>
        <v>20.9</v>
      </c>
      <c r="K446" s="99">
        <f t="shared" si="2951"/>
        <v>7.883</v>
      </c>
      <c r="L446" s="99">
        <f t="shared" si="2951"/>
        <v>0.55400000000000005</v>
      </c>
      <c r="M446" s="45"/>
      <c r="N446" s="45"/>
      <c r="O446" s="100">
        <f t="shared" ref="O446:P446" si="2952">O445</f>
        <v>100.62</v>
      </c>
      <c r="P446" s="101" t="str">
        <f t="shared" si="2952"/>
        <v>2,29,560</v>
      </c>
      <c r="Q446" s="11" t="str">
        <f t="shared" si="2570"/>
        <v>2</v>
      </c>
      <c r="R446" s="11" t="str">
        <f t="shared" si="2571"/>
        <v>29,560</v>
      </c>
      <c r="S446" s="11">
        <f t="shared" si="2572"/>
        <v>4.1544444444444446E-2</v>
      </c>
      <c r="T446" s="14">
        <f t="shared" si="2573"/>
        <v>2421.9844878309709</v>
      </c>
      <c r="U446" s="39">
        <f t="shared" si="2547"/>
        <v>-100</v>
      </c>
      <c r="V446" s="105">
        <f t="shared" ref="V446:X446" si="2953">V445</f>
        <v>20.399999999999999</v>
      </c>
      <c r="W446" s="105">
        <f t="shared" si="2953"/>
        <v>1.5069999999999999</v>
      </c>
      <c r="X446" s="106">
        <f t="shared" si="2953"/>
        <v>1.504</v>
      </c>
      <c r="Y446" s="45"/>
      <c r="Z446" s="45"/>
      <c r="AA446" s="107">
        <f t="shared" ref="AA446:AB446" si="2954">AA445</f>
        <v>10.015000000000001</v>
      </c>
      <c r="AB446" s="108" t="str">
        <f t="shared" si="2954"/>
        <v>22,10,090</v>
      </c>
      <c r="AC446" s="11" t="str">
        <f t="shared" si="2576"/>
        <v>22</v>
      </c>
      <c r="AD446" s="11" t="str">
        <f t="shared" si="2577"/>
        <v>10,090</v>
      </c>
      <c r="AE446" s="11">
        <f t="shared" si="2578"/>
        <v>0.36946944444444441</v>
      </c>
      <c r="AF446" s="14">
        <f t="shared" si="2550"/>
        <v>27.106436406558959</v>
      </c>
      <c r="AG446" s="41">
        <f t="shared" si="2596"/>
        <v>-100</v>
      </c>
      <c r="AH446" s="105">
        <f t="shared" ref="AH446:AJ446" si="2955">AH445</f>
        <v>20.3</v>
      </c>
      <c r="AI446" s="105">
        <f t="shared" si="2955"/>
        <v>1.5089999999999999</v>
      </c>
      <c r="AJ446" s="105">
        <f t="shared" si="2955"/>
        <v>1.504</v>
      </c>
      <c r="AK446" s="53">
        <f t="shared" si="2892"/>
        <v>0</v>
      </c>
      <c r="AL446" s="45"/>
      <c r="AM446" s="54">
        <f t="shared" ref="AM446:AN446" si="2956">AM445</f>
        <v>5.0129999999999999</v>
      </c>
      <c r="AN446" s="101" t="str">
        <f t="shared" si="2956"/>
        <v>17,59,050</v>
      </c>
      <c r="AO446" s="11" t="str">
        <f t="shared" si="2581"/>
        <v>17</v>
      </c>
      <c r="AP446" s="11" t="str">
        <f t="shared" si="2582"/>
        <v>59,050</v>
      </c>
      <c r="AQ446" s="11">
        <f t="shared" si="2583"/>
        <v>0.29973611111111109</v>
      </c>
      <c r="AR446" s="14">
        <f t="shared" si="2553"/>
        <v>16.724711551827998</v>
      </c>
      <c r="AS446" s="41">
        <f t="shared" si="2554"/>
        <v>-100</v>
      </c>
      <c r="AT446" s="43" t="str">
        <f t="shared" si="2555"/>
        <v>NO CONFORME</v>
      </c>
      <c r="AU446" s="8" t="b">
        <f t="shared" si="2584"/>
        <v>1</v>
      </c>
      <c r="AV446" s="8" t="b">
        <f t="shared" si="2585"/>
        <v>0</v>
      </c>
      <c r="AW446" s="8" t="b">
        <f t="shared" si="2586"/>
        <v>1</v>
      </c>
      <c r="AX446" s="8" t="str">
        <f t="shared" si="2587"/>
        <v>Qcorrecto</v>
      </c>
      <c r="AY446" s="22" t="str">
        <f t="shared" si="2556"/>
        <v>aceptable</v>
      </c>
      <c r="AZ446" s="22" t="str">
        <f t="shared" si="2557"/>
        <v>aceptable</v>
      </c>
      <c r="BA446" s="22" t="str">
        <f t="shared" si="2588"/>
        <v>aceptable</v>
      </c>
      <c r="BB446" s="25" t="str">
        <f t="shared" si="2589"/>
        <v>NO CONFORME</v>
      </c>
      <c r="BC446" s="5" t="str">
        <f t="shared" si="2590"/>
        <v>NO CONFORME</v>
      </c>
      <c r="BD446" s="15">
        <f t="shared" si="2558"/>
        <v>-1</v>
      </c>
      <c r="BE446" s="15">
        <f t="shared" si="2559"/>
        <v>-1</v>
      </c>
      <c r="BF446" s="15">
        <f t="shared" si="2560"/>
        <v>-1</v>
      </c>
      <c r="BG446" s="15" t="str">
        <f t="shared" si="2561"/>
        <v>-1-1-1</v>
      </c>
      <c r="BH446" s="15" t="str">
        <f t="shared" si="2562"/>
        <v>SD</v>
      </c>
      <c r="BI446" s="15" t="str">
        <f t="shared" si="2563"/>
        <v>SI</v>
      </c>
      <c r="BJ446" s="15" t="b">
        <f t="shared" si="2564"/>
        <v>1</v>
      </c>
      <c r="BK446" s="15" t="str">
        <f t="shared" si="2565"/>
        <v>SIGIGUALES</v>
      </c>
      <c r="BL446" s="22" t="str">
        <f t="shared" si="2566"/>
        <v>NO CONFORME</v>
      </c>
    </row>
    <row r="447" spans="1:64" ht="15.75" thickBot="1" x14ac:dyDescent="0.3">
      <c r="A447" s="37">
        <v>439</v>
      </c>
      <c r="B447" s="93">
        <f t="shared" ref="B447:E447" si="2957">B446</f>
        <v>45919</v>
      </c>
      <c r="C447" s="93">
        <f t="shared" si="2957"/>
        <v>45919</v>
      </c>
      <c r="D447" s="94">
        <f t="shared" si="2957"/>
        <v>6</v>
      </c>
      <c r="E447" s="95">
        <f t="shared" si="2957"/>
        <v>15</v>
      </c>
      <c r="F447" s="13"/>
      <c r="G447" s="90"/>
      <c r="H447" s="97">
        <f t="shared" ref="H447:L447" si="2958">H446</f>
        <v>25.6</v>
      </c>
      <c r="I447" s="98">
        <f t="shared" si="2958"/>
        <v>0</v>
      </c>
      <c r="J447" s="99">
        <f t="shared" si="2958"/>
        <v>20.9</v>
      </c>
      <c r="K447" s="99">
        <f t="shared" si="2958"/>
        <v>7.883</v>
      </c>
      <c r="L447" s="99">
        <f t="shared" si="2958"/>
        <v>0.55400000000000005</v>
      </c>
      <c r="M447" s="45"/>
      <c r="N447" s="45"/>
      <c r="O447" s="100">
        <f t="shared" ref="O447:P447" si="2959">O446</f>
        <v>100.62</v>
      </c>
      <c r="P447" s="101" t="str">
        <f t="shared" si="2959"/>
        <v>2,29,560</v>
      </c>
      <c r="Q447" s="11" t="str">
        <f t="shared" si="2570"/>
        <v>2</v>
      </c>
      <c r="R447" s="11" t="str">
        <f t="shared" si="2571"/>
        <v>29,560</v>
      </c>
      <c r="S447" s="11">
        <f t="shared" si="2572"/>
        <v>4.1544444444444446E-2</v>
      </c>
      <c r="T447" s="14">
        <f t="shared" si="2573"/>
        <v>2421.9844878309709</v>
      </c>
      <c r="U447" s="39">
        <f t="shared" si="2547"/>
        <v>-100</v>
      </c>
      <c r="V447" s="105">
        <f t="shared" ref="V447:X447" si="2960">V446</f>
        <v>20.399999999999999</v>
      </c>
      <c r="W447" s="105">
        <f t="shared" si="2960"/>
        <v>1.5069999999999999</v>
      </c>
      <c r="X447" s="106">
        <f t="shared" si="2960"/>
        <v>1.504</v>
      </c>
      <c r="Y447" s="45"/>
      <c r="Z447" s="45"/>
      <c r="AA447" s="107">
        <f t="shared" ref="AA447:AB447" si="2961">AA446</f>
        <v>10.015000000000001</v>
      </c>
      <c r="AB447" s="108" t="str">
        <f t="shared" si="2961"/>
        <v>22,10,090</v>
      </c>
      <c r="AC447" s="11" t="str">
        <f t="shared" si="2576"/>
        <v>22</v>
      </c>
      <c r="AD447" s="11" t="str">
        <f t="shared" si="2577"/>
        <v>10,090</v>
      </c>
      <c r="AE447" s="11">
        <f t="shared" si="2578"/>
        <v>0.36946944444444441</v>
      </c>
      <c r="AF447" s="14">
        <f t="shared" si="2550"/>
        <v>27.106436406558959</v>
      </c>
      <c r="AG447" s="41">
        <f t="shared" si="2596"/>
        <v>-100</v>
      </c>
      <c r="AH447" s="105">
        <f t="shared" ref="AH447:AJ447" si="2962">AH446</f>
        <v>20.3</v>
      </c>
      <c r="AI447" s="105">
        <f t="shared" si="2962"/>
        <v>1.5089999999999999</v>
      </c>
      <c r="AJ447" s="105">
        <f t="shared" si="2962"/>
        <v>1.504</v>
      </c>
      <c r="AK447" s="53">
        <f t="shared" si="2892"/>
        <v>0</v>
      </c>
      <c r="AL447" s="45"/>
      <c r="AM447" s="54">
        <f t="shared" ref="AM447:AN447" si="2963">AM446</f>
        <v>5.0129999999999999</v>
      </c>
      <c r="AN447" s="101" t="str">
        <f t="shared" si="2963"/>
        <v>17,59,050</v>
      </c>
      <c r="AO447" s="11" t="str">
        <f t="shared" si="2581"/>
        <v>17</v>
      </c>
      <c r="AP447" s="11" t="str">
        <f t="shared" si="2582"/>
        <v>59,050</v>
      </c>
      <c r="AQ447" s="11">
        <f t="shared" si="2583"/>
        <v>0.29973611111111109</v>
      </c>
      <c r="AR447" s="14">
        <f t="shared" si="2553"/>
        <v>16.724711551827998</v>
      </c>
      <c r="AS447" s="41">
        <f t="shared" si="2554"/>
        <v>-100</v>
      </c>
      <c r="AT447" s="43" t="str">
        <f t="shared" si="2555"/>
        <v>NO CONFORME</v>
      </c>
      <c r="AU447" s="8" t="b">
        <f t="shared" si="2584"/>
        <v>1</v>
      </c>
      <c r="AV447" s="8" t="b">
        <f t="shared" si="2585"/>
        <v>0</v>
      </c>
      <c r="AW447" s="8" t="b">
        <f t="shared" si="2586"/>
        <v>1</v>
      </c>
      <c r="AX447" s="8" t="str">
        <f t="shared" si="2587"/>
        <v>Qcorrecto</v>
      </c>
      <c r="AY447" s="22" t="str">
        <f t="shared" si="2556"/>
        <v>aceptable</v>
      </c>
      <c r="AZ447" s="22" t="str">
        <f t="shared" si="2557"/>
        <v>aceptable</v>
      </c>
      <c r="BA447" s="22" t="str">
        <f t="shared" si="2588"/>
        <v>aceptable</v>
      </c>
      <c r="BB447" s="25" t="str">
        <f t="shared" si="2589"/>
        <v>NO CONFORME</v>
      </c>
      <c r="BC447" s="5" t="str">
        <f t="shared" si="2590"/>
        <v>NO CONFORME</v>
      </c>
      <c r="BD447" s="15">
        <f t="shared" si="2558"/>
        <v>-1</v>
      </c>
      <c r="BE447" s="15">
        <f t="shared" si="2559"/>
        <v>-1</v>
      </c>
      <c r="BF447" s="15">
        <f t="shared" si="2560"/>
        <v>-1</v>
      </c>
      <c r="BG447" s="15" t="str">
        <f t="shared" si="2561"/>
        <v>-1-1-1</v>
      </c>
      <c r="BH447" s="15" t="str">
        <f t="shared" si="2562"/>
        <v>SD</v>
      </c>
      <c r="BI447" s="15" t="str">
        <f t="shared" si="2563"/>
        <v>SI</v>
      </c>
      <c r="BJ447" s="15" t="b">
        <f t="shared" si="2564"/>
        <v>1</v>
      </c>
      <c r="BK447" s="15" t="str">
        <f t="shared" si="2565"/>
        <v>SIGIGUALES</v>
      </c>
      <c r="BL447" s="22" t="str">
        <f t="shared" si="2566"/>
        <v>NO CONFORME</v>
      </c>
    </row>
    <row r="448" spans="1:64" ht="15.75" thickBot="1" x14ac:dyDescent="0.3">
      <c r="A448" s="37">
        <v>440</v>
      </c>
      <c r="B448" s="93">
        <f t="shared" ref="B448:E448" si="2964">B447</f>
        <v>45919</v>
      </c>
      <c r="C448" s="93">
        <f t="shared" si="2964"/>
        <v>45919</v>
      </c>
      <c r="D448" s="94">
        <f t="shared" si="2964"/>
        <v>6</v>
      </c>
      <c r="E448" s="95">
        <f t="shared" si="2964"/>
        <v>15</v>
      </c>
      <c r="F448" s="13"/>
      <c r="G448" s="90"/>
      <c r="H448" s="97">
        <f t="shared" ref="H448:L448" si="2965">H447</f>
        <v>25.6</v>
      </c>
      <c r="I448" s="98">
        <f t="shared" si="2965"/>
        <v>0</v>
      </c>
      <c r="J448" s="99">
        <f t="shared" si="2965"/>
        <v>20.9</v>
      </c>
      <c r="K448" s="99">
        <f t="shared" si="2965"/>
        <v>7.883</v>
      </c>
      <c r="L448" s="99">
        <f t="shared" si="2965"/>
        <v>0.55400000000000005</v>
      </c>
      <c r="M448" s="45"/>
      <c r="N448" s="45"/>
      <c r="O448" s="100">
        <f t="shared" ref="O448:P448" si="2966">O447</f>
        <v>100.62</v>
      </c>
      <c r="P448" s="101" t="str">
        <f t="shared" si="2966"/>
        <v>2,29,560</v>
      </c>
      <c r="Q448" s="11" t="str">
        <f t="shared" si="2570"/>
        <v>2</v>
      </c>
      <c r="R448" s="11" t="str">
        <f t="shared" si="2571"/>
        <v>29,560</v>
      </c>
      <c r="S448" s="11">
        <f t="shared" si="2572"/>
        <v>4.1544444444444446E-2</v>
      </c>
      <c r="T448" s="14">
        <f t="shared" si="2573"/>
        <v>2421.9844878309709</v>
      </c>
      <c r="U448" s="39">
        <f t="shared" si="2547"/>
        <v>-100</v>
      </c>
      <c r="V448" s="105">
        <f t="shared" ref="V448:X448" si="2967">V447</f>
        <v>20.399999999999999</v>
      </c>
      <c r="W448" s="105">
        <f t="shared" si="2967"/>
        <v>1.5069999999999999</v>
      </c>
      <c r="X448" s="106">
        <f t="shared" si="2967"/>
        <v>1.504</v>
      </c>
      <c r="Y448" s="45"/>
      <c r="Z448" s="45"/>
      <c r="AA448" s="107">
        <f t="shared" ref="AA448:AB448" si="2968">AA447</f>
        <v>10.015000000000001</v>
      </c>
      <c r="AB448" s="108" t="str">
        <f t="shared" si="2968"/>
        <v>22,10,090</v>
      </c>
      <c r="AC448" s="11" t="str">
        <f t="shared" si="2576"/>
        <v>22</v>
      </c>
      <c r="AD448" s="11" t="str">
        <f t="shared" si="2577"/>
        <v>10,090</v>
      </c>
      <c r="AE448" s="11">
        <f t="shared" si="2578"/>
        <v>0.36946944444444441</v>
      </c>
      <c r="AF448" s="14">
        <f t="shared" si="2550"/>
        <v>27.106436406558959</v>
      </c>
      <c r="AG448" s="41">
        <f t="shared" si="2596"/>
        <v>-100</v>
      </c>
      <c r="AH448" s="105">
        <f t="shared" ref="AH448:AJ448" si="2969">AH447</f>
        <v>20.3</v>
      </c>
      <c r="AI448" s="105">
        <f t="shared" si="2969"/>
        <v>1.5089999999999999</v>
      </c>
      <c r="AJ448" s="105">
        <f t="shared" si="2969"/>
        <v>1.504</v>
      </c>
      <c r="AK448" s="53">
        <f t="shared" si="2892"/>
        <v>0</v>
      </c>
      <c r="AL448" s="45"/>
      <c r="AM448" s="54">
        <f t="shared" ref="AM448:AN448" si="2970">AM447</f>
        <v>5.0129999999999999</v>
      </c>
      <c r="AN448" s="101" t="str">
        <f t="shared" si="2970"/>
        <v>17,59,050</v>
      </c>
      <c r="AO448" s="11" t="str">
        <f t="shared" si="2581"/>
        <v>17</v>
      </c>
      <c r="AP448" s="11" t="str">
        <f t="shared" si="2582"/>
        <v>59,050</v>
      </c>
      <c r="AQ448" s="11">
        <f t="shared" si="2583"/>
        <v>0.29973611111111109</v>
      </c>
      <c r="AR448" s="14">
        <f t="shared" si="2553"/>
        <v>16.724711551827998</v>
      </c>
      <c r="AS448" s="41">
        <f t="shared" si="2554"/>
        <v>-100</v>
      </c>
      <c r="AT448" s="43" t="str">
        <f t="shared" si="2555"/>
        <v>NO CONFORME</v>
      </c>
      <c r="AU448" s="8" t="b">
        <f t="shared" si="2584"/>
        <v>1</v>
      </c>
      <c r="AV448" s="8" t="b">
        <f t="shared" si="2585"/>
        <v>0</v>
      </c>
      <c r="AW448" s="8" t="b">
        <f t="shared" si="2586"/>
        <v>1</v>
      </c>
      <c r="AX448" s="8" t="str">
        <f t="shared" si="2587"/>
        <v>Qcorrecto</v>
      </c>
      <c r="AY448" s="22" t="str">
        <f t="shared" si="2556"/>
        <v>aceptable</v>
      </c>
      <c r="AZ448" s="22" t="str">
        <f t="shared" si="2557"/>
        <v>aceptable</v>
      </c>
      <c r="BA448" s="22" t="str">
        <f t="shared" si="2588"/>
        <v>aceptable</v>
      </c>
      <c r="BB448" s="25" t="str">
        <f t="shared" si="2589"/>
        <v>NO CONFORME</v>
      </c>
      <c r="BC448" s="5" t="str">
        <f t="shared" si="2590"/>
        <v>NO CONFORME</v>
      </c>
      <c r="BD448" s="15">
        <f t="shared" si="2558"/>
        <v>-1</v>
      </c>
      <c r="BE448" s="15">
        <f t="shared" si="2559"/>
        <v>-1</v>
      </c>
      <c r="BF448" s="15">
        <f t="shared" si="2560"/>
        <v>-1</v>
      </c>
      <c r="BG448" s="15" t="str">
        <f t="shared" si="2561"/>
        <v>-1-1-1</v>
      </c>
      <c r="BH448" s="15" t="str">
        <f t="shared" si="2562"/>
        <v>SD</v>
      </c>
      <c r="BI448" s="15" t="str">
        <f t="shared" si="2563"/>
        <v>SI</v>
      </c>
      <c r="BJ448" s="15" t="b">
        <f t="shared" si="2564"/>
        <v>1</v>
      </c>
      <c r="BK448" s="15" t="str">
        <f t="shared" si="2565"/>
        <v>SIGIGUALES</v>
      </c>
      <c r="BL448" s="22" t="str">
        <f t="shared" si="2566"/>
        <v>NO CONFORME</v>
      </c>
    </row>
    <row r="449" spans="1:64" ht="15.75" thickBot="1" x14ac:dyDescent="0.3">
      <c r="A449" s="37">
        <v>441</v>
      </c>
      <c r="B449" s="93">
        <f t="shared" ref="B449:E449" si="2971">B448</f>
        <v>45919</v>
      </c>
      <c r="C449" s="93">
        <f t="shared" si="2971"/>
        <v>45919</v>
      </c>
      <c r="D449" s="94">
        <f t="shared" si="2971"/>
        <v>6</v>
      </c>
      <c r="E449" s="95">
        <f t="shared" si="2971"/>
        <v>15</v>
      </c>
      <c r="F449" s="13"/>
      <c r="G449" s="90"/>
      <c r="H449" s="97">
        <f t="shared" ref="H449:L449" si="2972">H448</f>
        <v>25.6</v>
      </c>
      <c r="I449" s="98">
        <f t="shared" si="2972"/>
        <v>0</v>
      </c>
      <c r="J449" s="99">
        <f t="shared" si="2972"/>
        <v>20.9</v>
      </c>
      <c r="K449" s="99">
        <f t="shared" si="2972"/>
        <v>7.883</v>
      </c>
      <c r="L449" s="99">
        <f t="shared" si="2972"/>
        <v>0.55400000000000005</v>
      </c>
      <c r="M449" s="45"/>
      <c r="N449" s="45"/>
      <c r="O449" s="100">
        <f t="shared" ref="O449:P449" si="2973">O448</f>
        <v>100.62</v>
      </c>
      <c r="P449" s="101" t="str">
        <f t="shared" si="2973"/>
        <v>2,29,560</v>
      </c>
      <c r="Q449" s="11" t="str">
        <f t="shared" si="2570"/>
        <v>2</v>
      </c>
      <c r="R449" s="11" t="str">
        <f t="shared" si="2571"/>
        <v>29,560</v>
      </c>
      <c r="S449" s="11">
        <f t="shared" si="2572"/>
        <v>4.1544444444444446E-2</v>
      </c>
      <c r="T449" s="14">
        <f t="shared" si="2573"/>
        <v>2421.9844878309709</v>
      </c>
      <c r="U449" s="39">
        <f t="shared" si="2547"/>
        <v>-100</v>
      </c>
      <c r="V449" s="105">
        <f t="shared" ref="V449:X449" si="2974">V448</f>
        <v>20.399999999999999</v>
      </c>
      <c r="W449" s="105">
        <f t="shared" si="2974"/>
        <v>1.5069999999999999</v>
      </c>
      <c r="X449" s="106">
        <f t="shared" si="2974"/>
        <v>1.504</v>
      </c>
      <c r="Y449" s="45"/>
      <c r="Z449" s="45"/>
      <c r="AA449" s="107">
        <f t="shared" ref="AA449:AB449" si="2975">AA448</f>
        <v>10.015000000000001</v>
      </c>
      <c r="AB449" s="108" t="str">
        <f t="shared" si="2975"/>
        <v>22,10,090</v>
      </c>
      <c r="AC449" s="11" t="str">
        <f t="shared" si="2576"/>
        <v>22</v>
      </c>
      <c r="AD449" s="11" t="str">
        <f t="shared" si="2577"/>
        <v>10,090</v>
      </c>
      <c r="AE449" s="11">
        <f t="shared" si="2578"/>
        <v>0.36946944444444441</v>
      </c>
      <c r="AF449" s="14">
        <f t="shared" si="2550"/>
        <v>27.106436406558959</v>
      </c>
      <c r="AG449" s="41">
        <f t="shared" si="2596"/>
        <v>-100</v>
      </c>
      <c r="AH449" s="105">
        <f t="shared" ref="AH449:AJ449" si="2976">AH448</f>
        <v>20.3</v>
      </c>
      <c r="AI449" s="105">
        <f t="shared" si="2976"/>
        <v>1.5089999999999999</v>
      </c>
      <c r="AJ449" s="105">
        <f t="shared" si="2976"/>
        <v>1.504</v>
      </c>
      <c r="AK449" s="53">
        <f t="shared" si="2892"/>
        <v>0</v>
      </c>
      <c r="AL449" s="45"/>
      <c r="AM449" s="54">
        <f t="shared" ref="AM449:AN449" si="2977">AM448</f>
        <v>5.0129999999999999</v>
      </c>
      <c r="AN449" s="101" t="str">
        <f t="shared" si="2977"/>
        <v>17,59,050</v>
      </c>
      <c r="AO449" s="11" t="str">
        <f t="shared" si="2581"/>
        <v>17</v>
      </c>
      <c r="AP449" s="11" t="str">
        <f t="shared" si="2582"/>
        <v>59,050</v>
      </c>
      <c r="AQ449" s="11">
        <f t="shared" si="2583"/>
        <v>0.29973611111111109</v>
      </c>
      <c r="AR449" s="14">
        <f t="shared" si="2553"/>
        <v>16.724711551827998</v>
      </c>
      <c r="AS449" s="41">
        <f t="shared" si="2554"/>
        <v>-100</v>
      </c>
      <c r="AT449" s="43" t="str">
        <f t="shared" si="2555"/>
        <v>NO CONFORME</v>
      </c>
      <c r="AU449" s="8" t="b">
        <f t="shared" si="2584"/>
        <v>1</v>
      </c>
      <c r="AV449" s="8" t="b">
        <f t="shared" si="2585"/>
        <v>0</v>
      </c>
      <c r="AW449" s="8" t="b">
        <f t="shared" si="2586"/>
        <v>1</v>
      </c>
      <c r="AX449" s="8" t="str">
        <f t="shared" si="2587"/>
        <v>Qcorrecto</v>
      </c>
      <c r="AY449" s="22" t="str">
        <f t="shared" si="2556"/>
        <v>aceptable</v>
      </c>
      <c r="AZ449" s="22" t="str">
        <f t="shared" si="2557"/>
        <v>aceptable</v>
      </c>
      <c r="BA449" s="22" t="str">
        <f t="shared" si="2588"/>
        <v>aceptable</v>
      </c>
      <c r="BB449" s="25" t="str">
        <f t="shared" si="2589"/>
        <v>NO CONFORME</v>
      </c>
      <c r="BC449" s="5" t="str">
        <f t="shared" si="2590"/>
        <v>NO CONFORME</v>
      </c>
      <c r="BD449" s="15">
        <f t="shared" si="2558"/>
        <v>-1</v>
      </c>
      <c r="BE449" s="15">
        <f t="shared" si="2559"/>
        <v>-1</v>
      </c>
      <c r="BF449" s="15">
        <f t="shared" si="2560"/>
        <v>-1</v>
      </c>
      <c r="BG449" s="15" t="str">
        <f t="shared" si="2561"/>
        <v>-1-1-1</v>
      </c>
      <c r="BH449" s="15" t="str">
        <f t="shared" si="2562"/>
        <v>SD</v>
      </c>
      <c r="BI449" s="15" t="str">
        <f t="shared" si="2563"/>
        <v>SI</v>
      </c>
      <c r="BJ449" s="15" t="b">
        <f t="shared" si="2564"/>
        <v>1</v>
      </c>
      <c r="BK449" s="15" t="str">
        <f t="shared" si="2565"/>
        <v>SIGIGUALES</v>
      </c>
      <c r="BL449" s="22" t="str">
        <f t="shared" si="2566"/>
        <v>NO CONFORME</v>
      </c>
    </row>
    <row r="450" spans="1:64" ht="15.75" thickBot="1" x14ac:dyDescent="0.3">
      <c r="A450" s="37">
        <v>442</v>
      </c>
      <c r="B450" s="93">
        <f t="shared" ref="B450:E450" si="2978">B449</f>
        <v>45919</v>
      </c>
      <c r="C450" s="93">
        <f t="shared" si="2978"/>
        <v>45919</v>
      </c>
      <c r="D450" s="94">
        <f t="shared" si="2978"/>
        <v>6</v>
      </c>
      <c r="E450" s="95">
        <f t="shared" si="2978"/>
        <v>15</v>
      </c>
      <c r="F450" s="13"/>
      <c r="G450" s="90"/>
      <c r="H450" s="97">
        <f t="shared" ref="H450:L450" si="2979">H449</f>
        <v>25.6</v>
      </c>
      <c r="I450" s="98">
        <f t="shared" si="2979"/>
        <v>0</v>
      </c>
      <c r="J450" s="99">
        <f t="shared" si="2979"/>
        <v>20.9</v>
      </c>
      <c r="K450" s="99">
        <f t="shared" si="2979"/>
        <v>7.883</v>
      </c>
      <c r="L450" s="99">
        <f t="shared" si="2979"/>
        <v>0.55400000000000005</v>
      </c>
      <c r="M450" s="45"/>
      <c r="N450" s="45"/>
      <c r="O450" s="100">
        <f t="shared" ref="O450:P450" si="2980">O449</f>
        <v>100.62</v>
      </c>
      <c r="P450" s="101" t="str">
        <f t="shared" si="2980"/>
        <v>2,29,560</v>
      </c>
      <c r="Q450" s="11" t="str">
        <f t="shared" si="2570"/>
        <v>2</v>
      </c>
      <c r="R450" s="11" t="str">
        <f t="shared" si="2571"/>
        <v>29,560</v>
      </c>
      <c r="S450" s="11">
        <f t="shared" si="2572"/>
        <v>4.1544444444444446E-2</v>
      </c>
      <c r="T450" s="14">
        <f t="shared" si="2573"/>
        <v>2421.9844878309709</v>
      </c>
      <c r="U450" s="39">
        <f t="shared" si="2547"/>
        <v>-100</v>
      </c>
      <c r="V450" s="105">
        <f t="shared" ref="V450:X450" si="2981">V449</f>
        <v>20.399999999999999</v>
      </c>
      <c r="W450" s="105">
        <f t="shared" si="2981"/>
        <v>1.5069999999999999</v>
      </c>
      <c r="X450" s="106">
        <f t="shared" si="2981"/>
        <v>1.504</v>
      </c>
      <c r="Y450" s="45"/>
      <c r="Z450" s="45"/>
      <c r="AA450" s="107">
        <f t="shared" ref="AA450:AB450" si="2982">AA449</f>
        <v>10.015000000000001</v>
      </c>
      <c r="AB450" s="108" t="str">
        <f t="shared" si="2982"/>
        <v>22,10,090</v>
      </c>
      <c r="AC450" s="11" t="str">
        <f t="shared" si="2576"/>
        <v>22</v>
      </c>
      <c r="AD450" s="11" t="str">
        <f t="shared" si="2577"/>
        <v>10,090</v>
      </c>
      <c r="AE450" s="11">
        <f t="shared" si="2578"/>
        <v>0.36946944444444441</v>
      </c>
      <c r="AF450" s="14">
        <f t="shared" si="2550"/>
        <v>27.106436406558959</v>
      </c>
      <c r="AG450" s="41">
        <f t="shared" si="2596"/>
        <v>-100</v>
      </c>
      <c r="AH450" s="105">
        <f t="shared" ref="AH450:AJ450" si="2983">AH449</f>
        <v>20.3</v>
      </c>
      <c r="AI450" s="105">
        <f t="shared" si="2983"/>
        <v>1.5089999999999999</v>
      </c>
      <c r="AJ450" s="105">
        <f t="shared" si="2983"/>
        <v>1.504</v>
      </c>
      <c r="AK450" s="53">
        <f t="shared" si="2892"/>
        <v>0</v>
      </c>
      <c r="AL450" s="45"/>
      <c r="AM450" s="54">
        <f t="shared" ref="AM450:AN450" si="2984">AM449</f>
        <v>5.0129999999999999</v>
      </c>
      <c r="AN450" s="101" t="str">
        <f t="shared" si="2984"/>
        <v>17,59,050</v>
      </c>
      <c r="AO450" s="11" t="str">
        <f t="shared" si="2581"/>
        <v>17</v>
      </c>
      <c r="AP450" s="11" t="str">
        <f t="shared" si="2582"/>
        <v>59,050</v>
      </c>
      <c r="AQ450" s="11">
        <f t="shared" si="2583"/>
        <v>0.29973611111111109</v>
      </c>
      <c r="AR450" s="14">
        <f t="shared" si="2553"/>
        <v>16.724711551827998</v>
      </c>
      <c r="AS450" s="41">
        <f t="shared" si="2554"/>
        <v>-100</v>
      </c>
      <c r="AT450" s="43" t="str">
        <f t="shared" si="2555"/>
        <v>NO CONFORME</v>
      </c>
      <c r="AU450" s="8" t="b">
        <f t="shared" si="2584"/>
        <v>1</v>
      </c>
      <c r="AV450" s="8" t="b">
        <f t="shared" si="2585"/>
        <v>0</v>
      </c>
      <c r="AW450" s="8" t="b">
        <f t="shared" si="2586"/>
        <v>1</v>
      </c>
      <c r="AX450" s="8" t="str">
        <f t="shared" si="2587"/>
        <v>Qcorrecto</v>
      </c>
      <c r="AY450" s="22" t="str">
        <f t="shared" si="2556"/>
        <v>aceptable</v>
      </c>
      <c r="AZ450" s="22" t="str">
        <f t="shared" si="2557"/>
        <v>aceptable</v>
      </c>
      <c r="BA450" s="22" t="str">
        <f t="shared" si="2588"/>
        <v>aceptable</v>
      </c>
      <c r="BB450" s="25" t="str">
        <f t="shared" si="2589"/>
        <v>NO CONFORME</v>
      </c>
      <c r="BC450" s="5" t="str">
        <f t="shared" si="2590"/>
        <v>NO CONFORME</v>
      </c>
      <c r="BD450" s="15">
        <f t="shared" si="2558"/>
        <v>-1</v>
      </c>
      <c r="BE450" s="15">
        <f t="shared" si="2559"/>
        <v>-1</v>
      </c>
      <c r="BF450" s="15">
        <f t="shared" si="2560"/>
        <v>-1</v>
      </c>
      <c r="BG450" s="15" t="str">
        <f t="shared" si="2561"/>
        <v>-1-1-1</v>
      </c>
      <c r="BH450" s="15" t="str">
        <f t="shared" si="2562"/>
        <v>SD</v>
      </c>
      <c r="BI450" s="15" t="str">
        <f t="shared" si="2563"/>
        <v>SI</v>
      </c>
      <c r="BJ450" s="15" t="b">
        <f t="shared" si="2564"/>
        <v>1</v>
      </c>
      <c r="BK450" s="15" t="str">
        <f t="shared" si="2565"/>
        <v>SIGIGUALES</v>
      </c>
      <c r="BL450" s="22" t="str">
        <f t="shared" si="2566"/>
        <v>NO CONFORME</v>
      </c>
    </row>
    <row r="451" spans="1:64" ht="15.75" thickBot="1" x14ac:dyDescent="0.3">
      <c r="A451" s="37">
        <v>443</v>
      </c>
      <c r="B451" s="93">
        <f t="shared" ref="B451:E451" si="2985">B450</f>
        <v>45919</v>
      </c>
      <c r="C451" s="93">
        <f t="shared" si="2985"/>
        <v>45919</v>
      </c>
      <c r="D451" s="94">
        <f t="shared" si="2985"/>
        <v>6</v>
      </c>
      <c r="E451" s="95">
        <f t="shared" si="2985"/>
        <v>15</v>
      </c>
      <c r="F451" s="13"/>
      <c r="G451" s="90"/>
      <c r="H451" s="97">
        <f t="shared" ref="H451:L451" si="2986">H450</f>
        <v>25.6</v>
      </c>
      <c r="I451" s="98">
        <f t="shared" si="2986"/>
        <v>0</v>
      </c>
      <c r="J451" s="99">
        <f t="shared" si="2986"/>
        <v>20.9</v>
      </c>
      <c r="K451" s="99">
        <f t="shared" si="2986"/>
        <v>7.883</v>
      </c>
      <c r="L451" s="99">
        <f t="shared" si="2986"/>
        <v>0.55400000000000005</v>
      </c>
      <c r="M451" s="45"/>
      <c r="N451" s="45"/>
      <c r="O451" s="100">
        <f t="shared" ref="O451:P451" si="2987">O450</f>
        <v>100.62</v>
      </c>
      <c r="P451" s="101" t="str">
        <f t="shared" si="2987"/>
        <v>2,29,560</v>
      </c>
      <c r="Q451" s="11" t="str">
        <f t="shared" si="2570"/>
        <v>2</v>
      </c>
      <c r="R451" s="11" t="str">
        <f t="shared" si="2571"/>
        <v>29,560</v>
      </c>
      <c r="S451" s="11">
        <f t="shared" si="2572"/>
        <v>4.1544444444444446E-2</v>
      </c>
      <c r="T451" s="14">
        <f t="shared" si="2573"/>
        <v>2421.9844878309709</v>
      </c>
      <c r="U451" s="39">
        <f t="shared" si="2547"/>
        <v>-100</v>
      </c>
      <c r="V451" s="105">
        <f t="shared" ref="V451:X451" si="2988">V450</f>
        <v>20.399999999999999</v>
      </c>
      <c r="W451" s="105">
        <f t="shared" si="2988"/>
        <v>1.5069999999999999</v>
      </c>
      <c r="X451" s="106">
        <f t="shared" si="2988"/>
        <v>1.504</v>
      </c>
      <c r="Y451" s="45"/>
      <c r="Z451" s="45"/>
      <c r="AA451" s="107">
        <f t="shared" ref="AA451:AB451" si="2989">AA450</f>
        <v>10.015000000000001</v>
      </c>
      <c r="AB451" s="108" t="str">
        <f t="shared" si="2989"/>
        <v>22,10,090</v>
      </c>
      <c r="AC451" s="11" t="str">
        <f t="shared" si="2576"/>
        <v>22</v>
      </c>
      <c r="AD451" s="11" t="str">
        <f t="shared" si="2577"/>
        <v>10,090</v>
      </c>
      <c r="AE451" s="11">
        <f t="shared" si="2578"/>
        <v>0.36946944444444441</v>
      </c>
      <c r="AF451" s="14">
        <f t="shared" si="2550"/>
        <v>27.106436406558959</v>
      </c>
      <c r="AG451" s="41">
        <f t="shared" si="2596"/>
        <v>-100</v>
      </c>
      <c r="AH451" s="105">
        <f t="shared" ref="AH451:AJ451" si="2990">AH450</f>
        <v>20.3</v>
      </c>
      <c r="AI451" s="105">
        <f t="shared" si="2990"/>
        <v>1.5089999999999999</v>
      </c>
      <c r="AJ451" s="105">
        <f t="shared" si="2990"/>
        <v>1.504</v>
      </c>
      <c r="AK451" s="53">
        <f t="shared" si="2892"/>
        <v>0</v>
      </c>
      <c r="AL451" s="45"/>
      <c r="AM451" s="54">
        <f t="shared" ref="AM451:AN451" si="2991">AM450</f>
        <v>5.0129999999999999</v>
      </c>
      <c r="AN451" s="101" t="str">
        <f t="shared" si="2991"/>
        <v>17,59,050</v>
      </c>
      <c r="AO451" s="11" t="str">
        <f t="shared" si="2581"/>
        <v>17</v>
      </c>
      <c r="AP451" s="11" t="str">
        <f t="shared" si="2582"/>
        <v>59,050</v>
      </c>
      <c r="AQ451" s="11">
        <f t="shared" si="2583"/>
        <v>0.29973611111111109</v>
      </c>
      <c r="AR451" s="14">
        <f t="shared" si="2553"/>
        <v>16.724711551827998</v>
      </c>
      <c r="AS451" s="41">
        <f t="shared" si="2554"/>
        <v>-100</v>
      </c>
      <c r="AT451" s="43" t="str">
        <f t="shared" si="2555"/>
        <v>NO CONFORME</v>
      </c>
      <c r="AU451" s="8" t="b">
        <f t="shared" si="2584"/>
        <v>1</v>
      </c>
      <c r="AV451" s="8" t="b">
        <f t="shared" si="2585"/>
        <v>0</v>
      </c>
      <c r="AW451" s="8" t="b">
        <f t="shared" si="2586"/>
        <v>1</v>
      </c>
      <c r="AX451" s="8" t="str">
        <f t="shared" si="2587"/>
        <v>Qcorrecto</v>
      </c>
      <c r="AY451" s="22" t="str">
        <f t="shared" si="2556"/>
        <v>aceptable</v>
      </c>
      <c r="AZ451" s="22" t="str">
        <f t="shared" si="2557"/>
        <v>aceptable</v>
      </c>
      <c r="BA451" s="22" t="str">
        <f t="shared" si="2588"/>
        <v>aceptable</v>
      </c>
      <c r="BB451" s="25" t="str">
        <f t="shared" si="2589"/>
        <v>NO CONFORME</v>
      </c>
      <c r="BC451" s="5" t="str">
        <f t="shared" si="2590"/>
        <v>NO CONFORME</v>
      </c>
      <c r="BD451" s="15">
        <f t="shared" si="2558"/>
        <v>-1</v>
      </c>
      <c r="BE451" s="15">
        <f t="shared" si="2559"/>
        <v>-1</v>
      </c>
      <c r="BF451" s="15">
        <f t="shared" si="2560"/>
        <v>-1</v>
      </c>
      <c r="BG451" s="15" t="str">
        <f t="shared" si="2561"/>
        <v>-1-1-1</v>
      </c>
      <c r="BH451" s="15" t="str">
        <f t="shared" si="2562"/>
        <v>SD</v>
      </c>
      <c r="BI451" s="15" t="str">
        <f t="shared" si="2563"/>
        <v>SI</v>
      </c>
      <c r="BJ451" s="15" t="b">
        <f t="shared" si="2564"/>
        <v>1</v>
      </c>
      <c r="BK451" s="15" t="str">
        <f t="shared" si="2565"/>
        <v>SIGIGUALES</v>
      </c>
      <c r="BL451" s="22" t="str">
        <f t="shared" si="2566"/>
        <v>NO CONFORME</v>
      </c>
    </row>
    <row r="452" spans="1:64" ht="15.75" thickBot="1" x14ac:dyDescent="0.3">
      <c r="A452" s="37">
        <v>444</v>
      </c>
      <c r="B452" s="93">
        <f t="shared" ref="B452:E452" si="2992">B451</f>
        <v>45919</v>
      </c>
      <c r="C452" s="93">
        <f t="shared" si="2992"/>
        <v>45919</v>
      </c>
      <c r="D452" s="94">
        <f t="shared" si="2992"/>
        <v>6</v>
      </c>
      <c r="E452" s="95">
        <f t="shared" si="2992"/>
        <v>15</v>
      </c>
      <c r="F452" s="13"/>
      <c r="G452" s="90"/>
      <c r="H452" s="97">
        <f t="shared" ref="H452:L452" si="2993">H451</f>
        <v>25.6</v>
      </c>
      <c r="I452" s="98">
        <f t="shared" si="2993"/>
        <v>0</v>
      </c>
      <c r="J452" s="99">
        <f t="shared" si="2993"/>
        <v>20.9</v>
      </c>
      <c r="K452" s="99">
        <f t="shared" si="2993"/>
        <v>7.883</v>
      </c>
      <c r="L452" s="99">
        <f t="shared" si="2993"/>
        <v>0.55400000000000005</v>
      </c>
      <c r="M452" s="45"/>
      <c r="N452" s="45"/>
      <c r="O452" s="100">
        <f t="shared" ref="O452:P452" si="2994">O451</f>
        <v>100.62</v>
      </c>
      <c r="P452" s="101" t="str">
        <f t="shared" si="2994"/>
        <v>2,29,560</v>
      </c>
      <c r="Q452" s="11" t="str">
        <f t="shared" si="2570"/>
        <v>2</v>
      </c>
      <c r="R452" s="11" t="str">
        <f t="shared" si="2571"/>
        <v>29,560</v>
      </c>
      <c r="S452" s="11">
        <f t="shared" si="2572"/>
        <v>4.1544444444444446E-2</v>
      </c>
      <c r="T452" s="14">
        <f t="shared" si="2573"/>
        <v>2421.9844878309709</v>
      </c>
      <c r="U452" s="39">
        <f t="shared" si="2547"/>
        <v>-100</v>
      </c>
      <c r="V452" s="105">
        <f t="shared" ref="V452:X452" si="2995">V451</f>
        <v>20.399999999999999</v>
      </c>
      <c r="W452" s="105">
        <f t="shared" si="2995"/>
        <v>1.5069999999999999</v>
      </c>
      <c r="X452" s="106">
        <f t="shared" si="2995"/>
        <v>1.504</v>
      </c>
      <c r="Y452" s="45"/>
      <c r="Z452" s="45"/>
      <c r="AA452" s="107">
        <f t="shared" ref="AA452:AB452" si="2996">AA451</f>
        <v>10.015000000000001</v>
      </c>
      <c r="AB452" s="108" t="str">
        <f t="shared" si="2996"/>
        <v>22,10,090</v>
      </c>
      <c r="AC452" s="11" t="str">
        <f t="shared" si="2576"/>
        <v>22</v>
      </c>
      <c r="AD452" s="11" t="str">
        <f t="shared" si="2577"/>
        <v>10,090</v>
      </c>
      <c r="AE452" s="11">
        <f t="shared" si="2578"/>
        <v>0.36946944444444441</v>
      </c>
      <c r="AF452" s="14">
        <f t="shared" si="2550"/>
        <v>27.106436406558959</v>
      </c>
      <c r="AG452" s="41">
        <f t="shared" si="2596"/>
        <v>-100</v>
      </c>
      <c r="AH452" s="105">
        <f t="shared" ref="AH452:AJ452" si="2997">AH451</f>
        <v>20.3</v>
      </c>
      <c r="AI452" s="105">
        <f t="shared" si="2997"/>
        <v>1.5089999999999999</v>
      </c>
      <c r="AJ452" s="105">
        <f t="shared" si="2997"/>
        <v>1.504</v>
      </c>
      <c r="AK452" s="53">
        <f t="shared" si="2892"/>
        <v>0</v>
      </c>
      <c r="AL452" s="45"/>
      <c r="AM452" s="54">
        <f t="shared" ref="AM452:AN452" si="2998">AM451</f>
        <v>5.0129999999999999</v>
      </c>
      <c r="AN452" s="101" t="str">
        <f t="shared" si="2998"/>
        <v>17,59,050</v>
      </c>
      <c r="AO452" s="11" t="str">
        <f t="shared" si="2581"/>
        <v>17</v>
      </c>
      <c r="AP452" s="11" t="str">
        <f t="shared" si="2582"/>
        <v>59,050</v>
      </c>
      <c r="AQ452" s="11">
        <f t="shared" si="2583"/>
        <v>0.29973611111111109</v>
      </c>
      <c r="AR452" s="14">
        <f t="shared" si="2553"/>
        <v>16.724711551827998</v>
      </c>
      <c r="AS452" s="41">
        <f t="shared" si="2554"/>
        <v>-100</v>
      </c>
      <c r="AT452" s="43" t="str">
        <f t="shared" si="2555"/>
        <v>NO CONFORME</v>
      </c>
      <c r="AU452" s="8" t="b">
        <f t="shared" si="2584"/>
        <v>1</v>
      </c>
      <c r="AV452" s="8" t="b">
        <f t="shared" si="2585"/>
        <v>0</v>
      </c>
      <c r="AW452" s="8" t="b">
        <f t="shared" si="2586"/>
        <v>1</v>
      </c>
      <c r="AX452" s="8" t="str">
        <f t="shared" si="2587"/>
        <v>Qcorrecto</v>
      </c>
      <c r="AY452" s="22" t="str">
        <f t="shared" si="2556"/>
        <v>aceptable</v>
      </c>
      <c r="AZ452" s="22" t="str">
        <f t="shared" si="2557"/>
        <v>aceptable</v>
      </c>
      <c r="BA452" s="22" t="str">
        <f t="shared" si="2588"/>
        <v>aceptable</v>
      </c>
      <c r="BB452" s="25" t="str">
        <f t="shared" si="2589"/>
        <v>NO CONFORME</v>
      </c>
      <c r="BC452" s="5" t="str">
        <f t="shared" si="2590"/>
        <v>NO CONFORME</v>
      </c>
      <c r="BD452" s="15">
        <f t="shared" si="2558"/>
        <v>-1</v>
      </c>
      <c r="BE452" s="15">
        <f t="shared" si="2559"/>
        <v>-1</v>
      </c>
      <c r="BF452" s="15">
        <f t="shared" si="2560"/>
        <v>-1</v>
      </c>
      <c r="BG452" s="15" t="str">
        <f t="shared" si="2561"/>
        <v>-1-1-1</v>
      </c>
      <c r="BH452" s="15" t="str">
        <f t="shared" si="2562"/>
        <v>SD</v>
      </c>
      <c r="BI452" s="15" t="str">
        <f t="shared" si="2563"/>
        <v>SI</v>
      </c>
      <c r="BJ452" s="15" t="b">
        <f t="shared" si="2564"/>
        <v>1</v>
      </c>
      <c r="BK452" s="15" t="str">
        <f t="shared" si="2565"/>
        <v>SIGIGUALES</v>
      </c>
      <c r="BL452" s="22" t="str">
        <f t="shared" si="2566"/>
        <v>NO CONFORME</v>
      </c>
    </row>
    <row r="453" spans="1:64" ht="15.75" thickBot="1" x14ac:dyDescent="0.3">
      <c r="A453" s="37">
        <v>445</v>
      </c>
      <c r="B453" s="93">
        <f t="shared" ref="B453:E453" si="2999">B452</f>
        <v>45919</v>
      </c>
      <c r="C453" s="93">
        <f t="shared" si="2999"/>
        <v>45919</v>
      </c>
      <c r="D453" s="94">
        <f t="shared" si="2999"/>
        <v>6</v>
      </c>
      <c r="E453" s="95">
        <f t="shared" si="2999"/>
        <v>15</v>
      </c>
      <c r="F453" s="13"/>
      <c r="G453" s="90"/>
      <c r="H453" s="97">
        <f t="shared" ref="H453:L453" si="3000">H452</f>
        <v>25.6</v>
      </c>
      <c r="I453" s="98">
        <f t="shared" si="3000"/>
        <v>0</v>
      </c>
      <c r="J453" s="99">
        <f t="shared" si="3000"/>
        <v>20.9</v>
      </c>
      <c r="K453" s="99">
        <f t="shared" si="3000"/>
        <v>7.883</v>
      </c>
      <c r="L453" s="99">
        <f t="shared" si="3000"/>
        <v>0.55400000000000005</v>
      </c>
      <c r="M453" s="45"/>
      <c r="N453" s="45"/>
      <c r="O453" s="100">
        <f t="shared" ref="O453:P453" si="3001">O452</f>
        <v>100.62</v>
      </c>
      <c r="P453" s="101" t="str">
        <f t="shared" si="3001"/>
        <v>2,29,560</v>
      </c>
      <c r="Q453" s="11" t="str">
        <f t="shared" si="2570"/>
        <v>2</v>
      </c>
      <c r="R453" s="11" t="str">
        <f t="shared" si="2571"/>
        <v>29,560</v>
      </c>
      <c r="S453" s="11">
        <f t="shared" si="2572"/>
        <v>4.1544444444444446E-2</v>
      </c>
      <c r="T453" s="14">
        <f t="shared" si="2573"/>
        <v>2421.9844878309709</v>
      </c>
      <c r="U453" s="39">
        <f t="shared" si="2547"/>
        <v>-100</v>
      </c>
      <c r="V453" s="105">
        <f t="shared" ref="V453:X453" si="3002">V452</f>
        <v>20.399999999999999</v>
      </c>
      <c r="W453" s="105">
        <f t="shared" si="3002"/>
        <v>1.5069999999999999</v>
      </c>
      <c r="X453" s="106">
        <f t="shared" si="3002"/>
        <v>1.504</v>
      </c>
      <c r="Y453" s="45"/>
      <c r="Z453" s="45"/>
      <c r="AA453" s="107">
        <f t="shared" ref="AA453:AB453" si="3003">AA452</f>
        <v>10.015000000000001</v>
      </c>
      <c r="AB453" s="108" t="str">
        <f t="shared" si="3003"/>
        <v>22,10,090</v>
      </c>
      <c r="AC453" s="11" t="str">
        <f t="shared" si="2576"/>
        <v>22</v>
      </c>
      <c r="AD453" s="11" t="str">
        <f t="shared" si="2577"/>
        <v>10,090</v>
      </c>
      <c r="AE453" s="11">
        <f t="shared" si="2578"/>
        <v>0.36946944444444441</v>
      </c>
      <c r="AF453" s="14">
        <f t="shared" si="2550"/>
        <v>27.106436406558959</v>
      </c>
      <c r="AG453" s="41">
        <f t="shared" si="2596"/>
        <v>-100</v>
      </c>
      <c r="AH453" s="105">
        <f t="shared" ref="AH453:AJ453" si="3004">AH452</f>
        <v>20.3</v>
      </c>
      <c r="AI453" s="105">
        <f t="shared" si="3004"/>
        <v>1.5089999999999999</v>
      </c>
      <c r="AJ453" s="105">
        <f t="shared" si="3004"/>
        <v>1.504</v>
      </c>
      <c r="AK453" s="53">
        <f t="shared" si="2892"/>
        <v>0</v>
      </c>
      <c r="AL453" s="45"/>
      <c r="AM453" s="54">
        <f t="shared" ref="AM453:AN453" si="3005">AM452</f>
        <v>5.0129999999999999</v>
      </c>
      <c r="AN453" s="101" t="str">
        <f t="shared" si="3005"/>
        <v>17,59,050</v>
      </c>
      <c r="AO453" s="11" t="str">
        <f t="shared" si="2581"/>
        <v>17</v>
      </c>
      <c r="AP453" s="11" t="str">
        <f t="shared" si="2582"/>
        <v>59,050</v>
      </c>
      <c r="AQ453" s="11">
        <f t="shared" si="2583"/>
        <v>0.29973611111111109</v>
      </c>
      <c r="AR453" s="14">
        <f t="shared" si="2553"/>
        <v>16.724711551827998</v>
      </c>
      <c r="AS453" s="41">
        <f t="shared" si="2554"/>
        <v>-100</v>
      </c>
      <c r="AT453" s="43" t="str">
        <f t="shared" si="2555"/>
        <v>NO CONFORME</v>
      </c>
      <c r="AU453" s="8" t="b">
        <f t="shared" si="2584"/>
        <v>1</v>
      </c>
      <c r="AV453" s="8" t="b">
        <f t="shared" si="2585"/>
        <v>0</v>
      </c>
      <c r="AW453" s="8" t="b">
        <f t="shared" si="2586"/>
        <v>1</v>
      </c>
      <c r="AX453" s="8" t="str">
        <f t="shared" si="2587"/>
        <v>Qcorrecto</v>
      </c>
      <c r="AY453" s="22" t="str">
        <f t="shared" si="2556"/>
        <v>aceptable</v>
      </c>
      <c r="AZ453" s="22" t="str">
        <f t="shared" si="2557"/>
        <v>aceptable</v>
      </c>
      <c r="BA453" s="22" t="str">
        <f t="shared" si="2588"/>
        <v>aceptable</v>
      </c>
      <c r="BB453" s="25" t="str">
        <f t="shared" si="2589"/>
        <v>NO CONFORME</v>
      </c>
      <c r="BC453" s="5" t="str">
        <f t="shared" si="2590"/>
        <v>NO CONFORME</v>
      </c>
      <c r="BD453" s="15">
        <f t="shared" si="2558"/>
        <v>-1</v>
      </c>
      <c r="BE453" s="15">
        <f t="shared" si="2559"/>
        <v>-1</v>
      </c>
      <c r="BF453" s="15">
        <f t="shared" si="2560"/>
        <v>-1</v>
      </c>
      <c r="BG453" s="15" t="str">
        <f t="shared" si="2561"/>
        <v>-1-1-1</v>
      </c>
      <c r="BH453" s="15" t="str">
        <f t="shared" si="2562"/>
        <v>SD</v>
      </c>
      <c r="BI453" s="15" t="str">
        <f t="shared" si="2563"/>
        <v>SI</v>
      </c>
      <c r="BJ453" s="15" t="b">
        <f t="shared" si="2564"/>
        <v>1</v>
      </c>
      <c r="BK453" s="15" t="str">
        <f t="shared" si="2565"/>
        <v>SIGIGUALES</v>
      </c>
      <c r="BL453" s="22" t="str">
        <f t="shared" si="2566"/>
        <v>NO CONFORME</v>
      </c>
    </row>
    <row r="454" spans="1:64" ht="15.75" thickBot="1" x14ac:dyDescent="0.3">
      <c r="A454" s="37">
        <v>446</v>
      </c>
      <c r="B454" s="93">
        <f t="shared" ref="B454:E454" si="3006">B453</f>
        <v>45919</v>
      </c>
      <c r="C454" s="93">
        <f t="shared" si="3006"/>
        <v>45919</v>
      </c>
      <c r="D454" s="94">
        <f t="shared" si="3006"/>
        <v>6</v>
      </c>
      <c r="E454" s="95">
        <f t="shared" si="3006"/>
        <v>15</v>
      </c>
      <c r="F454" s="13"/>
      <c r="G454" s="90"/>
      <c r="H454" s="97">
        <f t="shared" ref="H454:L454" si="3007">H453</f>
        <v>25.6</v>
      </c>
      <c r="I454" s="98">
        <f t="shared" si="3007"/>
        <v>0</v>
      </c>
      <c r="J454" s="99">
        <f t="shared" si="3007"/>
        <v>20.9</v>
      </c>
      <c r="K454" s="99">
        <f t="shared" si="3007"/>
        <v>7.883</v>
      </c>
      <c r="L454" s="99">
        <f t="shared" si="3007"/>
        <v>0.55400000000000005</v>
      </c>
      <c r="M454" s="45"/>
      <c r="N454" s="45"/>
      <c r="O454" s="100">
        <f t="shared" ref="O454:P454" si="3008">O453</f>
        <v>100.62</v>
      </c>
      <c r="P454" s="101" t="str">
        <f t="shared" si="3008"/>
        <v>2,29,560</v>
      </c>
      <c r="Q454" s="11" t="str">
        <f t="shared" si="2570"/>
        <v>2</v>
      </c>
      <c r="R454" s="11" t="str">
        <f t="shared" si="2571"/>
        <v>29,560</v>
      </c>
      <c r="S454" s="11">
        <f t="shared" si="2572"/>
        <v>4.1544444444444446E-2</v>
      </c>
      <c r="T454" s="14">
        <f t="shared" si="2573"/>
        <v>2421.9844878309709</v>
      </c>
      <c r="U454" s="39">
        <f t="shared" si="2547"/>
        <v>-100</v>
      </c>
      <c r="V454" s="105">
        <f t="shared" ref="V454:X454" si="3009">V453</f>
        <v>20.399999999999999</v>
      </c>
      <c r="W454" s="105">
        <f t="shared" si="3009"/>
        <v>1.5069999999999999</v>
      </c>
      <c r="X454" s="106">
        <f t="shared" si="3009"/>
        <v>1.504</v>
      </c>
      <c r="Y454" s="45"/>
      <c r="Z454" s="45"/>
      <c r="AA454" s="107">
        <f t="shared" ref="AA454:AB454" si="3010">AA453</f>
        <v>10.015000000000001</v>
      </c>
      <c r="AB454" s="108" t="str">
        <f t="shared" si="3010"/>
        <v>22,10,090</v>
      </c>
      <c r="AC454" s="11" t="str">
        <f t="shared" si="2576"/>
        <v>22</v>
      </c>
      <c r="AD454" s="11" t="str">
        <f t="shared" si="2577"/>
        <v>10,090</v>
      </c>
      <c r="AE454" s="11">
        <f t="shared" si="2578"/>
        <v>0.36946944444444441</v>
      </c>
      <c r="AF454" s="14">
        <f t="shared" si="2550"/>
        <v>27.106436406558959</v>
      </c>
      <c r="AG454" s="41">
        <f t="shared" si="2596"/>
        <v>-100</v>
      </c>
      <c r="AH454" s="105">
        <f t="shared" ref="AH454:AJ454" si="3011">AH453</f>
        <v>20.3</v>
      </c>
      <c r="AI454" s="105">
        <f t="shared" si="3011"/>
        <v>1.5089999999999999</v>
      </c>
      <c r="AJ454" s="105">
        <f t="shared" si="3011"/>
        <v>1.504</v>
      </c>
      <c r="AK454" s="53">
        <f t="shared" si="2892"/>
        <v>0</v>
      </c>
      <c r="AL454" s="45"/>
      <c r="AM454" s="54">
        <f t="shared" ref="AM454:AN454" si="3012">AM453</f>
        <v>5.0129999999999999</v>
      </c>
      <c r="AN454" s="101" t="str">
        <f t="shared" si="3012"/>
        <v>17,59,050</v>
      </c>
      <c r="AO454" s="11" t="str">
        <f t="shared" si="2581"/>
        <v>17</v>
      </c>
      <c r="AP454" s="11" t="str">
        <f t="shared" si="2582"/>
        <v>59,050</v>
      </c>
      <c r="AQ454" s="11">
        <f t="shared" si="2583"/>
        <v>0.29973611111111109</v>
      </c>
      <c r="AR454" s="14">
        <f t="shared" si="2553"/>
        <v>16.724711551827998</v>
      </c>
      <c r="AS454" s="41">
        <f t="shared" si="2554"/>
        <v>-100</v>
      </c>
      <c r="AT454" s="43" t="str">
        <f t="shared" si="2555"/>
        <v>NO CONFORME</v>
      </c>
      <c r="AU454" s="8" t="b">
        <f t="shared" si="2584"/>
        <v>1</v>
      </c>
      <c r="AV454" s="8" t="b">
        <f t="shared" si="2585"/>
        <v>0</v>
      </c>
      <c r="AW454" s="8" t="b">
        <f t="shared" si="2586"/>
        <v>1</v>
      </c>
      <c r="AX454" s="8" t="str">
        <f t="shared" si="2587"/>
        <v>Qcorrecto</v>
      </c>
      <c r="AY454" s="22" t="str">
        <f t="shared" si="2556"/>
        <v>aceptable</v>
      </c>
      <c r="AZ454" s="22" t="str">
        <f t="shared" si="2557"/>
        <v>aceptable</v>
      </c>
      <c r="BA454" s="22" t="str">
        <f t="shared" si="2588"/>
        <v>aceptable</v>
      </c>
      <c r="BB454" s="25" t="str">
        <f t="shared" si="2589"/>
        <v>NO CONFORME</v>
      </c>
      <c r="BC454" s="5" t="str">
        <f t="shared" si="2590"/>
        <v>NO CONFORME</v>
      </c>
      <c r="BD454" s="15">
        <f t="shared" si="2558"/>
        <v>-1</v>
      </c>
      <c r="BE454" s="15">
        <f t="shared" si="2559"/>
        <v>-1</v>
      </c>
      <c r="BF454" s="15">
        <f t="shared" si="2560"/>
        <v>-1</v>
      </c>
      <c r="BG454" s="15" t="str">
        <f t="shared" si="2561"/>
        <v>-1-1-1</v>
      </c>
      <c r="BH454" s="15" t="str">
        <f t="shared" si="2562"/>
        <v>SD</v>
      </c>
      <c r="BI454" s="15" t="str">
        <f t="shared" si="2563"/>
        <v>SI</v>
      </c>
      <c r="BJ454" s="15" t="b">
        <f t="shared" si="2564"/>
        <v>1</v>
      </c>
      <c r="BK454" s="15" t="str">
        <f t="shared" si="2565"/>
        <v>SIGIGUALES</v>
      </c>
      <c r="BL454" s="22" t="str">
        <f t="shared" si="2566"/>
        <v>NO CONFORME</v>
      </c>
    </row>
    <row r="455" spans="1:64" ht="15.75" thickBot="1" x14ac:dyDescent="0.3">
      <c r="A455" s="37">
        <v>447</v>
      </c>
      <c r="B455" s="93">
        <f t="shared" ref="B455:E455" si="3013">B454</f>
        <v>45919</v>
      </c>
      <c r="C455" s="93">
        <f t="shared" si="3013"/>
        <v>45919</v>
      </c>
      <c r="D455" s="94">
        <f t="shared" si="3013"/>
        <v>6</v>
      </c>
      <c r="E455" s="95">
        <f t="shared" si="3013"/>
        <v>15</v>
      </c>
      <c r="F455" s="13"/>
      <c r="G455" s="90"/>
      <c r="H455" s="97">
        <f t="shared" ref="H455:L455" si="3014">H454</f>
        <v>25.6</v>
      </c>
      <c r="I455" s="98">
        <f t="shared" si="3014"/>
        <v>0</v>
      </c>
      <c r="J455" s="99">
        <f t="shared" si="3014"/>
        <v>20.9</v>
      </c>
      <c r="K455" s="99">
        <f t="shared" si="3014"/>
        <v>7.883</v>
      </c>
      <c r="L455" s="99">
        <f t="shared" si="3014"/>
        <v>0.55400000000000005</v>
      </c>
      <c r="M455" s="45"/>
      <c r="N455" s="45"/>
      <c r="O455" s="100">
        <f t="shared" ref="O455:P455" si="3015">O454</f>
        <v>100.62</v>
      </c>
      <c r="P455" s="101" t="str">
        <f t="shared" si="3015"/>
        <v>2,29,560</v>
      </c>
      <c r="Q455" s="11" t="str">
        <f t="shared" si="2570"/>
        <v>2</v>
      </c>
      <c r="R455" s="11" t="str">
        <f t="shared" si="2571"/>
        <v>29,560</v>
      </c>
      <c r="S455" s="11">
        <f t="shared" si="2572"/>
        <v>4.1544444444444446E-2</v>
      </c>
      <c r="T455" s="14">
        <f t="shared" si="2573"/>
        <v>2421.9844878309709</v>
      </c>
      <c r="U455" s="39">
        <f t="shared" si="2547"/>
        <v>-100</v>
      </c>
      <c r="V455" s="105">
        <f t="shared" ref="V455:X455" si="3016">V454</f>
        <v>20.399999999999999</v>
      </c>
      <c r="W455" s="105">
        <f t="shared" si="3016"/>
        <v>1.5069999999999999</v>
      </c>
      <c r="X455" s="106">
        <f t="shared" si="3016"/>
        <v>1.504</v>
      </c>
      <c r="Y455" s="45"/>
      <c r="Z455" s="45"/>
      <c r="AA455" s="107">
        <f t="shared" ref="AA455:AB455" si="3017">AA454</f>
        <v>10.015000000000001</v>
      </c>
      <c r="AB455" s="108" t="str">
        <f t="shared" si="3017"/>
        <v>22,10,090</v>
      </c>
      <c r="AC455" s="11" t="str">
        <f t="shared" si="2576"/>
        <v>22</v>
      </c>
      <c r="AD455" s="11" t="str">
        <f t="shared" si="2577"/>
        <v>10,090</v>
      </c>
      <c r="AE455" s="11">
        <f t="shared" si="2578"/>
        <v>0.36946944444444441</v>
      </c>
      <c r="AF455" s="14">
        <f t="shared" si="2550"/>
        <v>27.106436406558959</v>
      </c>
      <c r="AG455" s="41">
        <f t="shared" si="2596"/>
        <v>-100</v>
      </c>
      <c r="AH455" s="105">
        <f t="shared" ref="AH455:AJ455" si="3018">AH454</f>
        <v>20.3</v>
      </c>
      <c r="AI455" s="105">
        <f t="shared" si="3018"/>
        <v>1.5089999999999999</v>
      </c>
      <c r="AJ455" s="105">
        <f t="shared" si="3018"/>
        <v>1.504</v>
      </c>
      <c r="AK455" s="53">
        <f t="shared" si="2892"/>
        <v>0</v>
      </c>
      <c r="AL455" s="45"/>
      <c r="AM455" s="54">
        <f t="shared" ref="AM455:AN455" si="3019">AM454</f>
        <v>5.0129999999999999</v>
      </c>
      <c r="AN455" s="101" t="str">
        <f t="shared" si="3019"/>
        <v>17,59,050</v>
      </c>
      <c r="AO455" s="11" t="str">
        <f t="shared" si="2581"/>
        <v>17</v>
      </c>
      <c r="AP455" s="11" t="str">
        <f t="shared" si="2582"/>
        <v>59,050</v>
      </c>
      <c r="AQ455" s="11">
        <f t="shared" si="2583"/>
        <v>0.29973611111111109</v>
      </c>
      <c r="AR455" s="14">
        <f t="shared" si="2553"/>
        <v>16.724711551827998</v>
      </c>
      <c r="AS455" s="41">
        <f t="shared" si="2554"/>
        <v>-100</v>
      </c>
      <c r="AT455" s="43" t="str">
        <f t="shared" si="2555"/>
        <v>NO CONFORME</v>
      </c>
      <c r="AU455" s="8" t="b">
        <f t="shared" si="2584"/>
        <v>1</v>
      </c>
      <c r="AV455" s="8" t="b">
        <f t="shared" si="2585"/>
        <v>0</v>
      </c>
      <c r="AW455" s="8" t="b">
        <f t="shared" si="2586"/>
        <v>1</v>
      </c>
      <c r="AX455" s="8" t="str">
        <f t="shared" si="2587"/>
        <v>Qcorrecto</v>
      </c>
      <c r="AY455" s="22" t="str">
        <f t="shared" si="2556"/>
        <v>aceptable</v>
      </c>
      <c r="AZ455" s="22" t="str">
        <f t="shared" si="2557"/>
        <v>aceptable</v>
      </c>
      <c r="BA455" s="22" t="str">
        <f t="shared" si="2588"/>
        <v>aceptable</v>
      </c>
      <c r="BB455" s="25" t="str">
        <f t="shared" si="2589"/>
        <v>NO CONFORME</v>
      </c>
      <c r="BC455" s="5" t="str">
        <f t="shared" si="2590"/>
        <v>NO CONFORME</v>
      </c>
      <c r="BD455" s="15">
        <f t="shared" si="2558"/>
        <v>-1</v>
      </c>
      <c r="BE455" s="15">
        <f t="shared" si="2559"/>
        <v>-1</v>
      </c>
      <c r="BF455" s="15">
        <f t="shared" si="2560"/>
        <v>-1</v>
      </c>
      <c r="BG455" s="15" t="str">
        <f t="shared" si="2561"/>
        <v>-1-1-1</v>
      </c>
      <c r="BH455" s="15" t="str">
        <f t="shared" si="2562"/>
        <v>SD</v>
      </c>
      <c r="BI455" s="15" t="str">
        <f t="shared" si="2563"/>
        <v>SI</v>
      </c>
      <c r="BJ455" s="15" t="b">
        <f t="shared" si="2564"/>
        <v>1</v>
      </c>
      <c r="BK455" s="15" t="str">
        <f t="shared" si="2565"/>
        <v>SIGIGUALES</v>
      </c>
      <c r="BL455" s="22" t="str">
        <f t="shared" si="2566"/>
        <v>NO CONFORME</v>
      </c>
    </row>
    <row r="456" spans="1:64" ht="15.75" thickBot="1" x14ac:dyDescent="0.3">
      <c r="A456" s="37">
        <v>448</v>
      </c>
      <c r="B456" s="93">
        <f t="shared" ref="B456:E456" si="3020">B455</f>
        <v>45919</v>
      </c>
      <c r="C456" s="93">
        <f t="shared" si="3020"/>
        <v>45919</v>
      </c>
      <c r="D456" s="94">
        <f t="shared" si="3020"/>
        <v>6</v>
      </c>
      <c r="E456" s="95">
        <f t="shared" si="3020"/>
        <v>15</v>
      </c>
      <c r="F456" s="52"/>
      <c r="G456" s="96"/>
      <c r="H456" s="97">
        <f t="shared" ref="H456:L456" si="3021">H455</f>
        <v>25.6</v>
      </c>
      <c r="I456" s="98">
        <f t="shared" si="3021"/>
        <v>0</v>
      </c>
      <c r="J456" s="99">
        <f t="shared" si="3021"/>
        <v>20.9</v>
      </c>
      <c r="K456" s="99">
        <f t="shared" si="3021"/>
        <v>7.883</v>
      </c>
      <c r="L456" s="99">
        <f t="shared" si="3021"/>
        <v>0.55400000000000005</v>
      </c>
      <c r="M456" s="53"/>
      <c r="N456" s="53"/>
      <c r="O456" s="100">
        <f t="shared" ref="O456:P456" si="3022">O455</f>
        <v>100.62</v>
      </c>
      <c r="P456" s="101" t="str">
        <f t="shared" si="3022"/>
        <v>2,29,560</v>
      </c>
      <c r="Q456" s="11" t="str">
        <f t="shared" si="2570"/>
        <v>2</v>
      </c>
      <c r="R456" s="11" t="str">
        <f t="shared" si="2571"/>
        <v>29,560</v>
      </c>
      <c r="S456" s="11">
        <f t="shared" si="2572"/>
        <v>4.1544444444444446E-2</v>
      </c>
      <c r="T456" s="14">
        <f t="shared" si="2573"/>
        <v>2421.9844878309709</v>
      </c>
      <c r="U456" s="39">
        <f t="shared" si="2547"/>
        <v>-100</v>
      </c>
      <c r="V456" s="105">
        <f t="shared" ref="V456:X456" si="3023">V455</f>
        <v>20.399999999999999</v>
      </c>
      <c r="W456" s="105">
        <f t="shared" si="3023"/>
        <v>1.5069999999999999</v>
      </c>
      <c r="X456" s="106">
        <f t="shared" si="3023"/>
        <v>1.504</v>
      </c>
      <c r="Y456" s="53"/>
      <c r="Z456" s="53"/>
      <c r="AA456" s="107">
        <f t="shared" ref="AA456:AB456" si="3024">AA455</f>
        <v>10.015000000000001</v>
      </c>
      <c r="AB456" s="108" t="str">
        <f t="shared" si="3024"/>
        <v>22,10,090</v>
      </c>
      <c r="AC456" s="11" t="str">
        <f t="shared" si="2576"/>
        <v>22</v>
      </c>
      <c r="AD456" s="11" t="str">
        <f t="shared" si="2577"/>
        <v>10,090</v>
      </c>
      <c r="AE456" s="11">
        <f t="shared" si="2578"/>
        <v>0.36946944444444441</v>
      </c>
      <c r="AF456" s="14">
        <f t="shared" si="2550"/>
        <v>27.106436406558959</v>
      </c>
      <c r="AG456" s="41">
        <f t="shared" si="2596"/>
        <v>-100</v>
      </c>
      <c r="AH456" s="105">
        <f t="shared" ref="AH456:AJ456" si="3025">AH455</f>
        <v>20.3</v>
      </c>
      <c r="AI456" s="105">
        <f t="shared" si="3025"/>
        <v>1.5089999999999999</v>
      </c>
      <c r="AJ456" s="105">
        <f t="shared" si="3025"/>
        <v>1.504</v>
      </c>
      <c r="AK456" s="53">
        <f t="shared" si="2892"/>
        <v>0</v>
      </c>
      <c r="AL456" s="53"/>
      <c r="AM456" s="54">
        <f t="shared" ref="AM456:AN456" si="3026">AM455</f>
        <v>5.0129999999999999</v>
      </c>
      <c r="AN456" s="101" t="str">
        <f t="shared" si="3026"/>
        <v>17,59,050</v>
      </c>
      <c r="AO456" s="11" t="str">
        <f t="shared" si="2581"/>
        <v>17</v>
      </c>
      <c r="AP456" s="11" t="str">
        <f t="shared" si="2582"/>
        <v>59,050</v>
      </c>
      <c r="AQ456" s="11">
        <f t="shared" si="2583"/>
        <v>0.29973611111111109</v>
      </c>
      <c r="AR456" s="14">
        <f t="shared" si="2553"/>
        <v>16.724711551827998</v>
      </c>
      <c r="AS456" s="41">
        <f t="shared" si="2554"/>
        <v>-100</v>
      </c>
      <c r="AT456" s="43" t="str">
        <f t="shared" si="2555"/>
        <v>NO CONFORME</v>
      </c>
      <c r="AU456" s="8" t="b">
        <f t="shared" si="2584"/>
        <v>1</v>
      </c>
      <c r="AV456" s="8" t="b">
        <f t="shared" si="2585"/>
        <v>0</v>
      </c>
      <c r="AW456" s="8" t="b">
        <f t="shared" si="2586"/>
        <v>1</v>
      </c>
      <c r="AX456" s="8" t="str">
        <f t="shared" si="2587"/>
        <v>Qcorrecto</v>
      </c>
      <c r="AY456" s="22" t="str">
        <f t="shared" si="2556"/>
        <v>aceptable</v>
      </c>
      <c r="AZ456" s="22" t="str">
        <f t="shared" si="2557"/>
        <v>aceptable</v>
      </c>
      <c r="BA456" s="22" t="str">
        <f t="shared" si="2588"/>
        <v>aceptable</v>
      </c>
      <c r="BB456" s="25" t="str">
        <f t="shared" si="2589"/>
        <v>NO CONFORME</v>
      </c>
      <c r="BC456" s="5" t="str">
        <f t="shared" si="2590"/>
        <v>NO CONFORME</v>
      </c>
      <c r="BD456" s="15">
        <f t="shared" si="2558"/>
        <v>-1</v>
      </c>
      <c r="BE456" s="15">
        <f t="shared" si="2559"/>
        <v>-1</v>
      </c>
      <c r="BF456" s="15">
        <f t="shared" si="2560"/>
        <v>-1</v>
      </c>
      <c r="BG456" s="15" t="str">
        <f t="shared" si="2561"/>
        <v>-1-1-1</v>
      </c>
      <c r="BH456" s="15" t="str">
        <f t="shared" si="2562"/>
        <v>SD</v>
      </c>
      <c r="BI456" s="15" t="str">
        <f t="shared" si="2563"/>
        <v>SI</v>
      </c>
      <c r="BJ456" s="15" t="b">
        <f t="shared" si="2564"/>
        <v>1</v>
      </c>
      <c r="BK456" s="15" t="str">
        <f t="shared" si="2565"/>
        <v>SIGIGUALES</v>
      </c>
      <c r="BL456" s="22" t="str">
        <f t="shared" si="2566"/>
        <v>NO CONFORME</v>
      </c>
    </row>
    <row r="457" spans="1:64" ht="15.75" thickBot="1" x14ac:dyDescent="0.3">
      <c r="A457" s="37">
        <v>449</v>
      </c>
      <c r="B457" s="93">
        <f t="shared" ref="B457:E457" si="3027">B456</f>
        <v>45919</v>
      </c>
      <c r="C457" s="93">
        <f t="shared" si="3027"/>
        <v>45919</v>
      </c>
      <c r="D457" s="94">
        <f t="shared" si="3027"/>
        <v>6</v>
      </c>
      <c r="E457" s="95">
        <f t="shared" si="3027"/>
        <v>15</v>
      </c>
      <c r="F457" s="46"/>
      <c r="G457" s="110"/>
      <c r="H457" s="97">
        <f t="shared" ref="H457:L457" si="3028">H456</f>
        <v>25.6</v>
      </c>
      <c r="I457" s="98">
        <f t="shared" si="3028"/>
        <v>0</v>
      </c>
      <c r="J457" s="99">
        <f t="shared" si="3028"/>
        <v>20.9</v>
      </c>
      <c r="K457" s="99">
        <f t="shared" si="3028"/>
        <v>7.883</v>
      </c>
      <c r="L457" s="99">
        <f t="shared" si="3028"/>
        <v>0.55400000000000005</v>
      </c>
      <c r="M457" s="47"/>
      <c r="N457" s="47"/>
      <c r="O457" s="100">
        <f t="shared" ref="O457:P457" si="3029">O456</f>
        <v>100.62</v>
      </c>
      <c r="P457" s="101" t="str">
        <f t="shared" si="3029"/>
        <v>2,29,560</v>
      </c>
      <c r="Q457" s="11" t="str">
        <f t="shared" si="2570"/>
        <v>2</v>
      </c>
      <c r="R457" s="11" t="str">
        <f t="shared" si="2571"/>
        <v>29,560</v>
      </c>
      <c r="S457" s="11">
        <f t="shared" si="2572"/>
        <v>4.1544444444444446E-2</v>
      </c>
      <c r="T457" s="14">
        <f t="shared" si="2573"/>
        <v>2421.9844878309709</v>
      </c>
      <c r="U457" s="39">
        <f t="shared" ref="U457:U520" si="3030">+(((N457-M457-O457)/O457)*100)</f>
        <v>-100</v>
      </c>
      <c r="V457" s="105">
        <f t="shared" ref="V457:X457" si="3031">V456</f>
        <v>20.399999999999999</v>
      </c>
      <c r="W457" s="105">
        <f t="shared" si="3031"/>
        <v>1.5069999999999999</v>
      </c>
      <c r="X457" s="106">
        <f t="shared" si="3031"/>
        <v>1.504</v>
      </c>
      <c r="Y457" s="47"/>
      <c r="Z457" s="47"/>
      <c r="AA457" s="107">
        <f t="shared" ref="AA457:AB457" si="3032">AA456</f>
        <v>10.015000000000001</v>
      </c>
      <c r="AB457" s="108" t="str">
        <f t="shared" si="3032"/>
        <v>22,10,090</v>
      </c>
      <c r="AC457" s="11" t="str">
        <f t="shared" si="2576"/>
        <v>22</v>
      </c>
      <c r="AD457" s="11" t="str">
        <f t="shared" si="2577"/>
        <v>10,090</v>
      </c>
      <c r="AE457" s="11">
        <f t="shared" si="2578"/>
        <v>0.36946944444444441</v>
      </c>
      <c r="AF457" s="14">
        <f t="shared" ref="AF457:AF520" si="3033">+AA457/AE457</f>
        <v>27.106436406558959</v>
      </c>
      <c r="AG457" s="41">
        <f t="shared" si="2596"/>
        <v>-100</v>
      </c>
      <c r="AH457" s="105">
        <f t="shared" ref="AH457:AJ457" si="3034">AH456</f>
        <v>20.3</v>
      </c>
      <c r="AI457" s="105">
        <f t="shared" si="3034"/>
        <v>1.5089999999999999</v>
      </c>
      <c r="AJ457" s="105">
        <f t="shared" si="3034"/>
        <v>1.504</v>
      </c>
      <c r="AK457" s="53">
        <f t="shared" si="2892"/>
        <v>0</v>
      </c>
      <c r="AL457" s="47"/>
      <c r="AM457" s="54">
        <f t="shared" ref="AM457:AN457" si="3035">AM456</f>
        <v>5.0129999999999999</v>
      </c>
      <c r="AN457" s="101" t="str">
        <f t="shared" si="3035"/>
        <v>17,59,050</v>
      </c>
      <c r="AO457" s="11" t="str">
        <f t="shared" si="2581"/>
        <v>17</v>
      </c>
      <c r="AP457" s="11" t="str">
        <f t="shared" si="2582"/>
        <v>59,050</v>
      </c>
      <c r="AQ457" s="11">
        <f t="shared" si="2583"/>
        <v>0.29973611111111109</v>
      </c>
      <c r="AR457" s="14">
        <f t="shared" ref="AR457:AR520" si="3036">+AM457/AQ457</f>
        <v>16.724711551827998</v>
      </c>
      <c r="AS457" s="41">
        <f t="shared" ref="AS457:AS520" si="3037">+(((AL457-AK457-AM457)/AM457)*100)</f>
        <v>-100</v>
      </c>
      <c r="AT457" s="43" t="str">
        <f t="shared" ref="AT457:AT520" si="3038">IF(I457&gt;=1,"NO CONFORME",IF(BK457="SIGDIFERENTES",BC457,BL457))</f>
        <v>NO CONFORME</v>
      </c>
      <c r="AU457" s="8" t="b">
        <f t="shared" si="2584"/>
        <v>1</v>
      </c>
      <c r="AV457" s="8" t="b">
        <f t="shared" si="2585"/>
        <v>0</v>
      </c>
      <c r="AW457" s="8" t="b">
        <f t="shared" si="2586"/>
        <v>1</v>
      </c>
      <c r="AX457" s="8" t="str">
        <f t="shared" si="2587"/>
        <v>Qcorrecto</v>
      </c>
      <c r="AY457" s="22" t="str">
        <f t="shared" ref="AY457:AY520" si="3039">IF(AR457&lt;$AH$6,"error",IF(AR457&gt;$AH$6*1.1,"error","aceptable"))</f>
        <v>aceptable</v>
      </c>
      <c r="AZ457" s="22" t="str">
        <f t="shared" ref="AZ457:AZ520" si="3040">IF(AF457&lt;$V$6,"error",IF(AF457&gt;$V$6*1.1,"error","aceptable"))</f>
        <v>aceptable</v>
      </c>
      <c r="BA457" s="22" t="str">
        <f t="shared" si="2588"/>
        <v>aceptable</v>
      </c>
      <c r="BB457" s="25" t="str">
        <f t="shared" si="2589"/>
        <v>NO CONFORME</v>
      </c>
      <c r="BC457" s="5" t="str">
        <f t="shared" si="2590"/>
        <v>NO CONFORME</v>
      </c>
      <c r="BD457" s="15">
        <f t="shared" ref="BD457:BD520" si="3041">SIGN(U457)</f>
        <v>-1</v>
      </c>
      <c r="BE457" s="15">
        <f t="shared" ref="BE457:BE520" si="3042">SIGN(AG457)</f>
        <v>-1</v>
      </c>
      <c r="BF457" s="15">
        <f t="shared" ref="BF457:BF520" si="3043">SIGN(AS457)</f>
        <v>-1</v>
      </c>
      <c r="BG457" s="15" t="str">
        <f t="shared" ref="BG457:BG520" si="3044">CONCATENATE(BD457,BE457,BF457)</f>
        <v>-1-1-1</v>
      </c>
      <c r="BH457" s="15" t="str">
        <f t="shared" ref="BH457:BH520" si="3045">IF(BG457="111","SI","SD")</f>
        <v>SD</v>
      </c>
      <c r="BI457" s="15" t="str">
        <f t="shared" ref="BI457:BI520" si="3046">IF(BG457="-1-1-1","SI","SD")</f>
        <v>SI</v>
      </c>
      <c r="BJ457" s="15" t="b">
        <f t="shared" ref="BJ457:BJ520" si="3047">OR(BH457="SI",BI457="SI")</f>
        <v>1</v>
      </c>
      <c r="BK457" s="15" t="str">
        <f t="shared" ref="BK457:BK520" si="3048">IF(BJ457=FALSE,"SIGDIFERENTES","SIGIGUALES")</f>
        <v>SIGIGUALES</v>
      </c>
      <c r="BL457" s="22" t="str">
        <f t="shared" ref="BL457:BL520" si="3049">IF(BC457="NO CONFORME","NO CONFORME",IF(BB457="CONFORME","CONFORME","NO CONFORME"))</f>
        <v>NO CONFORME</v>
      </c>
    </row>
    <row r="458" spans="1:64" ht="15.75" thickBot="1" x14ac:dyDescent="0.3">
      <c r="A458" s="37">
        <v>450</v>
      </c>
      <c r="B458" s="93">
        <f t="shared" ref="B458:E458" si="3050">B457</f>
        <v>45919</v>
      </c>
      <c r="C458" s="93">
        <f t="shared" si="3050"/>
        <v>45919</v>
      </c>
      <c r="D458" s="94">
        <f t="shared" si="3050"/>
        <v>6</v>
      </c>
      <c r="E458" s="95">
        <f t="shared" si="3050"/>
        <v>15</v>
      </c>
      <c r="F458" s="13"/>
      <c r="G458" s="90"/>
      <c r="H458" s="97">
        <f t="shared" ref="H458:L458" si="3051">H457</f>
        <v>25.6</v>
      </c>
      <c r="I458" s="98">
        <f t="shared" si="3051"/>
        <v>0</v>
      </c>
      <c r="J458" s="99">
        <f t="shared" si="3051"/>
        <v>20.9</v>
      </c>
      <c r="K458" s="99">
        <f t="shared" si="3051"/>
        <v>7.883</v>
      </c>
      <c r="L458" s="99">
        <f t="shared" si="3051"/>
        <v>0.55400000000000005</v>
      </c>
      <c r="M458" s="45"/>
      <c r="N458" s="45"/>
      <c r="O458" s="100">
        <f t="shared" ref="O458:P458" si="3052">O457</f>
        <v>100.62</v>
      </c>
      <c r="P458" s="101" t="str">
        <f t="shared" si="3052"/>
        <v>2,29,560</v>
      </c>
      <c r="Q458" s="11" t="str">
        <f t="shared" ref="Q458:Q508" si="3053">LEFT(P458,1)</f>
        <v>2</v>
      </c>
      <c r="R458" s="11" t="str">
        <f t="shared" ref="R458:R508" si="3054">RIGHT(P458,6)</f>
        <v>29,560</v>
      </c>
      <c r="S458" s="11">
        <f t="shared" ref="S458:S508" si="3055">+(Q458*60+R458)/(60*60)</f>
        <v>4.1544444444444446E-2</v>
      </c>
      <c r="T458" s="14">
        <f t="shared" ref="T458:T508" si="3056">+O458/S458</f>
        <v>2421.9844878309709</v>
      </c>
      <c r="U458" s="39">
        <f t="shared" si="3030"/>
        <v>-100</v>
      </c>
      <c r="V458" s="105">
        <f t="shared" ref="V458:X458" si="3057">V457</f>
        <v>20.399999999999999</v>
      </c>
      <c r="W458" s="105">
        <f t="shared" si="3057"/>
        <v>1.5069999999999999</v>
      </c>
      <c r="X458" s="106">
        <f t="shared" si="3057"/>
        <v>1.504</v>
      </c>
      <c r="Y458" s="45"/>
      <c r="Z458" s="45"/>
      <c r="AA458" s="107">
        <f t="shared" ref="AA458:AB458" si="3058">AA457</f>
        <v>10.015000000000001</v>
      </c>
      <c r="AB458" s="108" t="str">
        <f t="shared" si="3058"/>
        <v>22,10,090</v>
      </c>
      <c r="AC458" s="11" t="str">
        <f t="shared" ref="AC458:AC508" si="3059">LEFT(AB458,2)</f>
        <v>22</v>
      </c>
      <c r="AD458" s="11" t="str">
        <f t="shared" ref="AD458:AD508" si="3060">RIGHT(AB458,6)</f>
        <v>10,090</v>
      </c>
      <c r="AE458" s="11">
        <f t="shared" ref="AE458:AE508" si="3061">+(AC458*60+AD458)/(60*60)</f>
        <v>0.36946944444444441</v>
      </c>
      <c r="AF458" s="14">
        <f t="shared" si="3033"/>
        <v>27.106436406558959</v>
      </c>
      <c r="AG458" s="41">
        <f t="shared" si="2596"/>
        <v>-100</v>
      </c>
      <c r="AH458" s="105">
        <f t="shared" ref="AH458:AJ458" si="3062">AH457</f>
        <v>20.3</v>
      </c>
      <c r="AI458" s="105">
        <f t="shared" si="3062"/>
        <v>1.5089999999999999</v>
      </c>
      <c r="AJ458" s="105">
        <f t="shared" si="3062"/>
        <v>1.504</v>
      </c>
      <c r="AK458" s="53">
        <f t="shared" si="2892"/>
        <v>0</v>
      </c>
      <c r="AL458" s="45"/>
      <c r="AM458" s="54">
        <f t="shared" ref="AM458:AN458" si="3063">AM457</f>
        <v>5.0129999999999999</v>
      </c>
      <c r="AN458" s="101" t="str">
        <f t="shared" si="3063"/>
        <v>17,59,050</v>
      </c>
      <c r="AO458" s="11" t="str">
        <f t="shared" ref="AO458:AO508" si="3064">LEFT(AN458,2)</f>
        <v>17</v>
      </c>
      <c r="AP458" s="11" t="str">
        <f t="shared" ref="AP458:AP508" si="3065">RIGHT(AN458,6)</f>
        <v>59,050</v>
      </c>
      <c r="AQ458" s="11">
        <f t="shared" ref="AQ458:AQ508" si="3066">+(AO458*60+AP458)/(60*60)</f>
        <v>0.29973611111111109</v>
      </c>
      <c r="AR458" s="14">
        <f t="shared" si="3036"/>
        <v>16.724711551827998</v>
      </c>
      <c r="AS458" s="41">
        <f t="shared" si="3037"/>
        <v>-100</v>
      </c>
      <c r="AT458" s="43" t="str">
        <f t="shared" si="3038"/>
        <v>NO CONFORME</v>
      </c>
      <c r="AU458" s="8" t="b">
        <f t="shared" ref="AU458:AU521" si="3067">B458=C458</f>
        <v>1</v>
      </c>
      <c r="AV458" s="8" t="b">
        <f t="shared" ref="AV458:AV508" si="3068">N458&lt;Y458</f>
        <v>0</v>
      </c>
      <c r="AW458" s="8" t="b">
        <f t="shared" ref="AW458:AW508" si="3069">Z458&lt;=AK458</f>
        <v>1</v>
      </c>
      <c r="AX458" s="8" t="str">
        <f t="shared" ref="AX458:AX508" si="3070">IF(I458&gt;=1,"Qcorrecto",IF(AND(AY458="aceptable",AZ458="aceptable",BA458="aceptable"),"Qcorrecto","Qincorrecto"))</f>
        <v>Qcorrecto</v>
      </c>
      <c r="AY458" s="22" t="str">
        <f t="shared" si="3039"/>
        <v>aceptable</v>
      </c>
      <c r="AZ458" s="22" t="str">
        <f t="shared" si="3040"/>
        <v>aceptable</v>
      </c>
      <c r="BA458" s="22" t="str">
        <f t="shared" ref="BA458:BA508" si="3071">IF(T458&lt;$J$6*0.9,"error",IF(T458&gt;$J$6,"error","aceptable"))</f>
        <v>aceptable</v>
      </c>
      <c r="BB458" s="25" t="str">
        <f t="shared" ref="BB458:BB521" si="3072">(IF(ABS(U458)&lt;1.05,"CONFORME",IF(ABS(AG458)&lt;1.05,"CONFORME",IF(ABS(AS458)&lt;2.55,"CONFORME","NO CONFORME"))))</f>
        <v>NO CONFORME</v>
      </c>
      <c r="BC458" s="5" t="str">
        <f t="shared" ref="BC458:BC521" si="3073">(IF(ABS(U458)&gt;2.05,"NO CONFORME",IF(ABS(AG458)&gt;2.05,"NO CONFORME",IF(ABS(AS458)&gt;5.05,"NO CONFORME","CONFORME"))))</f>
        <v>NO CONFORME</v>
      </c>
      <c r="BD458" s="15">
        <f t="shared" si="3041"/>
        <v>-1</v>
      </c>
      <c r="BE458" s="15">
        <f t="shared" si="3042"/>
        <v>-1</v>
      </c>
      <c r="BF458" s="15">
        <f t="shared" si="3043"/>
        <v>-1</v>
      </c>
      <c r="BG458" s="15" t="str">
        <f t="shared" si="3044"/>
        <v>-1-1-1</v>
      </c>
      <c r="BH458" s="15" t="str">
        <f t="shared" si="3045"/>
        <v>SD</v>
      </c>
      <c r="BI458" s="15" t="str">
        <f t="shared" si="3046"/>
        <v>SI</v>
      </c>
      <c r="BJ458" s="15" t="b">
        <f t="shared" si="3047"/>
        <v>1</v>
      </c>
      <c r="BK458" s="15" t="str">
        <f t="shared" si="3048"/>
        <v>SIGIGUALES</v>
      </c>
      <c r="BL458" s="22" t="str">
        <f t="shared" si="3049"/>
        <v>NO CONFORME</v>
      </c>
    </row>
    <row r="459" spans="1:64" ht="15.75" thickBot="1" x14ac:dyDescent="0.3">
      <c r="A459" s="37">
        <v>451</v>
      </c>
      <c r="B459" s="93">
        <f t="shared" ref="B459:E459" si="3074">B458</f>
        <v>45919</v>
      </c>
      <c r="C459" s="93">
        <f t="shared" si="3074"/>
        <v>45919</v>
      </c>
      <c r="D459" s="94">
        <f t="shared" si="3074"/>
        <v>6</v>
      </c>
      <c r="E459" s="95">
        <f t="shared" si="3074"/>
        <v>15</v>
      </c>
      <c r="F459" s="13"/>
      <c r="G459" s="90"/>
      <c r="H459" s="97">
        <f t="shared" ref="H459:L459" si="3075">H458</f>
        <v>25.6</v>
      </c>
      <c r="I459" s="98">
        <f t="shared" si="3075"/>
        <v>0</v>
      </c>
      <c r="J459" s="99">
        <f t="shared" si="3075"/>
        <v>20.9</v>
      </c>
      <c r="K459" s="99">
        <f t="shared" si="3075"/>
        <v>7.883</v>
      </c>
      <c r="L459" s="99">
        <f t="shared" si="3075"/>
        <v>0.55400000000000005</v>
      </c>
      <c r="M459" s="45"/>
      <c r="N459" s="45"/>
      <c r="O459" s="100">
        <f t="shared" ref="O459:P459" si="3076">O458</f>
        <v>100.62</v>
      </c>
      <c r="P459" s="101" t="str">
        <f t="shared" si="3076"/>
        <v>2,29,560</v>
      </c>
      <c r="Q459" s="11" t="str">
        <f t="shared" si="3053"/>
        <v>2</v>
      </c>
      <c r="R459" s="11" t="str">
        <f t="shared" si="3054"/>
        <v>29,560</v>
      </c>
      <c r="S459" s="11">
        <f t="shared" si="3055"/>
        <v>4.1544444444444446E-2</v>
      </c>
      <c r="T459" s="14">
        <f t="shared" si="3056"/>
        <v>2421.9844878309709</v>
      </c>
      <c r="U459" s="39">
        <f t="shared" si="3030"/>
        <v>-100</v>
      </c>
      <c r="V459" s="105">
        <f t="shared" ref="V459:X459" si="3077">V458</f>
        <v>20.399999999999999</v>
      </c>
      <c r="W459" s="105">
        <f t="shared" si="3077"/>
        <v>1.5069999999999999</v>
      </c>
      <c r="X459" s="106">
        <f t="shared" si="3077"/>
        <v>1.504</v>
      </c>
      <c r="Y459" s="45"/>
      <c r="Z459" s="45"/>
      <c r="AA459" s="107">
        <f t="shared" ref="AA459:AB459" si="3078">AA458</f>
        <v>10.015000000000001</v>
      </c>
      <c r="AB459" s="108" t="str">
        <f t="shared" si="3078"/>
        <v>22,10,090</v>
      </c>
      <c r="AC459" s="11" t="str">
        <f t="shared" si="3059"/>
        <v>22</v>
      </c>
      <c r="AD459" s="11" t="str">
        <f t="shared" si="3060"/>
        <v>10,090</v>
      </c>
      <c r="AE459" s="11">
        <f t="shared" si="3061"/>
        <v>0.36946944444444441</v>
      </c>
      <c r="AF459" s="14">
        <f t="shared" si="3033"/>
        <v>27.106436406558959</v>
      </c>
      <c r="AG459" s="41">
        <f t="shared" ref="AG459:AG508" si="3079">+(((Z459-Y459-AA459)/AA459)*100)</f>
        <v>-100</v>
      </c>
      <c r="AH459" s="105">
        <f t="shared" ref="AH459:AJ459" si="3080">AH458</f>
        <v>20.3</v>
      </c>
      <c r="AI459" s="105">
        <f t="shared" si="3080"/>
        <v>1.5089999999999999</v>
      </c>
      <c r="AJ459" s="105">
        <f t="shared" si="3080"/>
        <v>1.504</v>
      </c>
      <c r="AK459" s="53">
        <f t="shared" si="2892"/>
        <v>0</v>
      </c>
      <c r="AL459" s="45"/>
      <c r="AM459" s="54">
        <f t="shared" ref="AM459:AN459" si="3081">AM458</f>
        <v>5.0129999999999999</v>
      </c>
      <c r="AN459" s="101" t="str">
        <f t="shared" si="3081"/>
        <v>17,59,050</v>
      </c>
      <c r="AO459" s="11" t="str">
        <f t="shared" si="3064"/>
        <v>17</v>
      </c>
      <c r="AP459" s="11" t="str">
        <f t="shared" si="3065"/>
        <v>59,050</v>
      </c>
      <c r="AQ459" s="11">
        <f t="shared" si="3066"/>
        <v>0.29973611111111109</v>
      </c>
      <c r="AR459" s="14">
        <f t="shared" si="3036"/>
        <v>16.724711551827998</v>
      </c>
      <c r="AS459" s="41">
        <f t="shared" si="3037"/>
        <v>-100</v>
      </c>
      <c r="AT459" s="43" t="str">
        <f t="shared" si="3038"/>
        <v>NO CONFORME</v>
      </c>
      <c r="AU459" s="8" t="b">
        <f t="shared" si="3067"/>
        <v>1</v>
      </c>
      <c r="AV459" s="8" t="b">
        <f t="shared" si="3068"/>
        <v>0</v>
      </c>
      <c r="AW459" s="8" t="b">
        <f t="shared" si="3069"/>
        <v>1</v>
      </c>
      <c r="AX459" s="8" t="str">
        <f t="shared" si="3070"/>
        <v>Qcorrecto</v>
      </c>
      <c r="AY459" s="22" t="str">
        <f t="shared" si="3039"/>
        <v>aceptable</v>
      </c>
      <c r="AZ459" s="22" t="str">
        <f t="shared" si="3040"/>
        <v>aceptable</v>
      </c>
      <c r="BA459" s="22" t="str">
        <f t="shared" si="3071"/>
        <v>aceptable</v>
      </c>
      <c r="BB459" s="25" t="str">
        <f t="shared" si="3072"/>
        <v>NO CONFORME</v>
      </c>
      <c r="BC459" s="5" t="str">
        <f t="shared" si="3073"/>
        <v>NO CONFORME</v>
      </c>
      <c r="BD459" s="15">
        <f t="shared" si="3041"/>
        <v>-1</v>
      </c>
      <c r="BE459" s="15">
        <f t="shared" si="3042"/>
        <v>-1</v>
      </c>
      <c r="BF459" s="15">
        <f t="shared" si="3043"/>
        <v>-1</v>
      </c>
      <c r="BG459" s="15" t="str">
        <f t="shared" si="3044"/>
        <v>-1-1-1</v>
      </c>
      <c r="BH459" s="15" t="str">
        <f t="shared" si="3045"/>
        <v>SD</v>
      </c>
      <c r="BI459" s="15" t="str">
        <f t="shared" si="3046"/>
        <v>SI</v>
      </c>
      <c r="BJ459" s="15" t="b">
        <f t="shared" si="3047"/>
        <v>1</v>
      </c>
      <c r="BK459" s="15" t="str">
        <f t="shared" si="3048"/>
        <v>SIGIGUALES</v>
      </c>
      <c r="BL459" s="22" t="str">
        <f t="shared" si="3049"/>
        <v>NO CONFORME</v>
      </c>
    </row>
    <row r="460" spans="1:64" ht="15.75" thickBot="1" x14ac:dyDescent="0.3">
      <c r="A460" s="37">
        <v>452</v>
      </c>
      <c r="B460" s="93">
        <f t="shared" ref="B460:E460" si="3082">B459</f>
        <v>45919</v>
      </c>
      <c r="C460" s="93">
        <f t="shared" si="3082"/>
        <v>45919</v>
      </c>
      <c r="D460" s="94">
        <f t="shared" si="3082"/>
        <v>6</v>
      </c>
      <c r="E460" s="95">
        <f t="shared" si="3082"/>
        <v>15</v>
      </c>
      <c r="F460" s="13"/>
      <c r="G460" s="90"/>
      <c r="H460" s="97">
        <f t="shared" ref="H460:L460" si="3083">H459</f>
        <v>25.6</v>
      </c>
      <c r="I460" s="98">
        <f t="shared" si="3083"/>
        <v>0</v>
      </c>
      <c r="J460" s="99">
        <f t="shared" si="3083"/>
        <v>20.9</v>
      </c>
      <c r="K460" s="99">
        <f t="shared" si="3083"/>
        <v>7.883</v>
      </c>
      <c r="L460" s="99">
        <f t="shared" si="3083"/>
        <v>0.55400000000000005</v>
      </c>
      <c r="M460" s="45"/>
      <c r="N460" s="45"/>
      <c r="O460" s="100">
        <f t="shared" ref="O460:P460" si="3084">O459</f>
        <v>100.62</v>
      </c>
      <c r="P460" s="101" t="str">
        <f t="shared" si="3084"/>
        <v>2,29,560</v>
      </c>
      <c r="Q460" s="11" t="str">
        <f t="shared" si="3053"/>
        <v>2</v>
      </c>
      <c r="R460" s="11" t="str">
        <f t="shared" si="3054"/>
        <v>29,560</v>
      </c>
      <c r="S460" s="11">
        <f t="shared" si="3055"/>
        <v>4.1544444444444446E-2</v>
      </c>
      <c r="T460" s="14">
        <f t="shared" si="3056"/>
        <v>2421.9844878309709</v>
      </c>
      <c r="U460" s="39">
        <f t="shared" si="3030"/>
        <v>-100</v>
      </c>
      <c r="V460" s="105">
        <f t="shared" ref="V460:X460" si="3085">V459</f>
        <v>20.399999999999999</v>
      </c>
      <c r="W460" s="105">
        <f t="shared" si="3085"/>
        <v>1.5069999999999999</v>
      </c>
      <c r="X460" s="106">
        <f t="shared" si="3085"/>
        <v>1.504</v>
      </c>
      <c r="Y460" s="45"/>
      <c r="Z460" s="45"/>
      <c r="AA460" s="107">
        <f t="shared" ref="AA460:AB460" si="3086">AA459</f>
        <v>10.015000000000001</v>
      </c>
      <c r="AB460" s="108" t="str">
        <f t="shared" si="3086"/>
        <v>22,10,090</v>
      </c>
      <c r="AC460" s="11" t="str">
        <f t="shared" si="3059"/>
        <v>22</v>
      </c>
      <c r="AD460" s="11" t="str">
        <f t="shared" si="3060"/>
        <v>10,090</v>
      </c>
      <c r="AE460" s="11">
        <f t="shared" si="3061"/>
        <v>0.36946944444444441</v>
      </c>
      <c r="AF460" s="14">
        <f t="shared" si="3033"/>
        <v>27.106436406558959</v>
      </c>
      <c r="AG460" s="41">
        <f t="shared" si="3079"/>
        <v>-100</v>
      </c>
      <c r="AH460" s="105">
        <f t="shared" ref="AH460:AJ460" si="3087">AH459</f>
        <v>20.3</v>
      </c>
      <c r="AI460" s="105">
        <f t="shared" si="3087"/>
        <v>1.5089999999999999</v>
      </c>
      <c r="AJ460" s="105">
        <f t="shared" si="3087"/>
        <v>1.504</v>
      </c>
      <c r="AK460" s="53">
        <f t="shared" si="2892"/>
        <v>0</v>
      </c>
      <c r="AL460" s="45"/>
      <c r="AM460" s="54">
        <f t="shared" ref="AM460:AN460" si="3088">AM459</f>
        <v>5.0129999999999999</v>
      </c>
      <c r="AN460" s="101" t="str">
        <f t="shared" si="3088"/>
        <v>17,59,050</v>
      </c>
      <c r="AO460" s="11" t="str">
        <f t="shared" si="3064"/>
        <v>17</v>
      </c>
      <c r="AP460" s="11" t="str">
        <f t="shared" si="3065"/>
        <v>59,050</v>
      </c>
      <c r="AQ460" s="11">
        <f t="shared" si="3066"/>
        <v>0.29973611111111109</v>
      </c>
      <c r="AR460" s="14">
        <f t="shared" si="3036"/>
        <v>16.724711551827998</v>
      </c>
      <c r="AS460" s="41">
        <f t="shared" si="3037"/>
        <v>-100</v>
      </c>
      <c r="AT460" s="43" t="str">
        <f t="shared" si="3038"/>
        <v>NO CONFORME</v>
      </c>
      <c r="AU460" s="8" t="b">
        <f t="shared" si="3067"/>
        <v>1</v>
      </c>
      <c r="AV460" s="8" t="b">
        <f t="shared" si="3068"/>
        <v>0</v>
      </c>
      <c r="AW460" s="8" t="b">
        <f t="shared" si="3069"/>
        <v>1</v>
      </c>
      <c r="AX460" s="8" t="str">
        <f t="shared" si="3070"/>
        <v>Qcorrecto</v>
      </c>
      <c r="AY460" s="22" t="str">
        <f t="shared" si="3039"/>
        <v>aceptable</v>
      </c>
      <c r="AZ460" s="22" t="str">
        <f t="shared" si="3040"/>
        <v>aceptable</v>
      </c>
      <c r="BA460" s="22" t="str">
        <f t="shared" si="3071"/>
        <v>aceptable</v>
      </c>
      <c r="BB460" s="25" t="str">
        <f t="shared" si="3072"/>
        <v>NO CONFORME</v>
      </c>
      <c r="BC460" s="5" t="str">
        <f t="shared" si="3073"/>
        <v>NO CONFORME</v>
      </c>
      <c r="BD460" s="15">
        <f t="shared" si="3041"/>
        <v>-1</v>
      </c>
      <c r="BE460" s="15">
        <f t="shared" si="3042"/>
        <v>-1</v>
      </c>
      <c r="BF460" s="15">
        <f t="shared" si="3043"/>
        <v>-1</v>
      </c>
      <c r="BG460" s="15" t="str">
        <f t="shared" si="3044"/>
        <v>-1-1-1</v>
      </c>
      <c r="BH460" s="15" t="str">
        <f t="shared" si="3045"/>
        <v>SD</v>
      </c>
      <c r="BI460" s="15" t="str">
        <f t="shared" si="3046"/>
        <v>SI</v>
      </c>
      <c r="BJ460" s="15" t="b">
        <f t="shared" si="3047"/>
        <v>1</v>
      </c>
      <c r="BK460" s="15" t="str">
        <f t="shared" si="3048"/>
        <v>SIGIGUALES</v>
      </c>
      <c r="BL460" s="22" t="str">
        <f t="shared" si="3049"/>
        <v>NO CONFORME</v>
      </c>
    </row>
    <row r="461" spans="1:64" ht="15.75" thickBot="1" x14ac:dyDescent="0.3">
      <c r="A461" s="37">
        <v>453</v>
      </c>
      <c r="B461" s="93">
        <f t="shared" ref="B461:E461" si="3089">B460</f>
        <v>45919</v>
      </c>
      <c r="C461" s="93">
        <f t="shared" si="3089"/>
        <v>45919</v>
      </c>
      <c r="D461" s="94">
        <f t="shared" si="3089"/>
        <v>6</v>
      </c>
      <c r="E461" s="95">
        <f t="shared" si="3089"/>
        <v>15</v>
      </c>
      <c r="F461" s="13"/>
      <c r="G461" s="90"/>
      <c r="H461" s="97">
        <f t="shared" ref="H461:L461" si="3090">H460</f>
        <v>25.6</v>
      </c>
      <c r="I461" s="98">
        <f t="shared" si="3090"/>
        <v>0</v>
      </c>
      <c r="J461" s="99">
        <f t="shared" si="3090"/>
        <v>20.9</v>
      </c>
      <c r="K461" s="99">
        <f t="shared" si="3090"/>
        <v>7.883</v>
      </c>
      <c r="L461" s="99">
        <f t="shared" si="3090"/>
        <v>0.55400000000000005</v>
      </c>
      <c r="M461" s="45"/>
      <c r="N461" s="45"/>
      <c r="O461" s="100">
        <f t="shared" ref="O461:P461" si="3091">O460</f>
        <v>100.62</v>
      </c>
      <c r="P461" s="101" t="str">
        <f t="shared" si="3091"/>
        <v>2,29,560</v>
      </c>
      <c r="Q461" s="11" t="str">
        <f t="shared" si="3053"/>
        <v>2</v>
      </c>
      <c r="R461" s="11" t="str">
        <f t="shared" si="3054"/>
        <v>29,560</v>
      </c>
      <c r="S461" s="11">
        <f t="shared" si="3055"/>
        <v>4.1544444444444446E-2</v>
      </c>
      <c r="T461" s="14">
        <f t="shared" si="3056"/>
        <v>2421.9844878309709</v>
      </c>
      <c r="U461" s="39">
        <f t="shared" si="3030"/>
        <v>-100</v>
      </c>
      <c r="V461" s="105">
        <f t="shared" ref="V461:X461" si="3092">V460</f>
        <v>20.399999999999999</v>
      </c>
      <c r="W461" s="105">
        <f t="shared" si="3092"/>
        <v>1.5069999999999999</v>
      </c>
      <c r="X461" s="106">
        <f t="shared" si="3092"/>
        <v>1.504</v>
      </c>
      <c r="Y461" s="45"/>
      <c r="Z461" s="45"/>
      <c r="AA461" s="107">
        <f t="shared" ref="AA461:AB461" si="3093">AA460</f>
        <v>10.015000000000001</v>
      </c>
      <c r="AB461" s="108" t="str">
        <f t="shared" si="3093"/>
        <v>22,10,090</v>
      </c>
      <c r="AC461" s="11" t="str">
        <f t="shared" si="3059"/>
        <v>22</v>
      </c>
      <c r="AD461" s="11" t="str">
        <f t="shared" si="3060"/>
        <v>10,090</v>
      </c>
      <c r="AE461" s="11">
        <f t="shared" si="3061"/>
        <v>0.36946944444444441</v>
      </c>
      <c r="AF461" s="14">
        <f t="shared" si="3033"/>
        <v>27.106436406558959</v>
      </c>
      <c r="AG461" s="41">
        <f t="shared" si="3079"/>
        <v>-100</v>
      </c>
      <c r="AH461" s="105">
        <f t="shared" ref="AH461:AJ461" si="3094">AH460</f>
        <v>20.3</v>
      </c>
      <c r="AI461" s="105">
        <f t="shared" si="3094"/>
        <v>1.5089999999999999</v>
      </c>
      <c r="AJ461" s="105">
        <f t="shared" si="3094"/>
        <v>1.504</v>
      </c>
      <c r="AK461" s="53">
        <f t="shared" si="2892"/>
        <v>0</v>
      </c>
      <c r="AL461" s="45"/>
      <c r="AM461" s="54">
        <f t="shared" ref="AM461:AN461" si="3095">AM460</f>
        <v>5.0129999999999999</v>
      </c>
      <c r="AN461" s="101" t="str">
        <f t="shared" si="3095"/>
        <v>17,59,050</v>
      </c>
      <c r="AO461" s="11" t="str">
        <f t="shared" si="3064"/>
        <v>17</v>
      </c>
      <c r="AP461" s="11" t="str">
        <f t="shared" si="3065"/>
        <v>59,050</v>
      </c>
      <c r="AQ461" s="11">
        <f t="shared" si="3066"/>
        <v>0.29973611111111109</v>
      </c>
      <c r="AR461" s="14">
        <f t="shared" si="3036"/>
        <v>16.724711551827998</v>
      </c>
      <c r="AS461" s="41">
        <f t="shared" si="3037"/>
        <v>-100</v>
      </c>
      <c r="AT461" s="43" t="str">
        <f t="shared" si="3038"/>
        <v>NO CONFORME</v>
      </c>
      <c r="AU461" s="8" t="b">
        <f t="shared" si="3067"/>
        <v>1</v>
      </c>
      <c r="AV461" s="8" t="b">
        <f t="shared" si="3068"/>
        <v>0</v>
      </c>
      <c r="AW461" s="8" t="b">
        <f t="shared" si="3069"/>
        <v>1</v>
      </c>
      <c r="AX461" s="8" t="str">
        <f t="shared" si="3070"/>
        <v>Qcorrecto</v>
      </c>
      <c r="AY461" s="22" t="str">
        <f t="shared" si="3039"/>
        <v>aceptable</v>
      </c>
      <c r="AZ461" s="22" t="str">
        <f t="shared" si="3040"/>
        <v>aceptable</v>
      </c>
      <c r="BA461" s="22" t="str">
        <f t="shared" si="3071"/>
        <v>aceptable</v>
      </c>
      <c r="BB461" s="25" t="str">
        <f t="shared" si="3072"/>
        <v>NO CONFORME</v>
      </c>
      <c r="BC461" s="5" t="str">
        <f t="shared" si="3073"/>
        <v>NO CONFORME</v>
      </c>
      <c r="BD461" s="15">
        <f t="shared" si="3041"/>
        <v>-1</v>
      </c>
      <c r="BE461" s="15">
        <f t="shared" si="3042"/>
        <v>-1</v>
      </c>
      <c r="BF461" s="15">
        <f t="shared" si="3043"/>
        <v>-1</v>
      </c>
      <c r="BG461" s="15" t="str">
        <f t="shared" si="3044"/>
        <v>-1-1-1</v>
      </c>
      <c r="BH461" s="15" t="str">
        <f t="shared" si="3045"/>
        <v>SD</v>
      </c>
      <c r="BI461" s="15" t="str">
        <f t="shared" si="3046"/>
        <v>SI</v>
      </c>
      <c r="BJ461" s="15" t="b">
        <f t="shared" si="3047"/>
        <v>1</v>
      </c>
      <c r="BK461" s="15" t="str">
        <f t="shared" si="3048"/>
        <v>SIGIGUALES</v>
      </c>
      <c r="BL461" s="22" t="str">
        <f t="shared" si="3049"/>
        <v>NO CONFORME</v>
      </c>
    </row>
    <row r="462" spans="1:64" ht="15.75" thickBot="1" x14ac:dyDescent="0.3">
      <c r="A462" s="37">
        <v>454</v>
      </c>
      <c r="B462" s="93">
        <f t="shared" ref="B462:E462" si="3096">B461</f>
        <v>45919</v>
      </c>
      <c r="C462" s="93">
        <f t="shared" si="3096"/>
        <v>45919</v>
      </c>
      <c r="D462" s="94">
        <f t="shared" si="3096"/>
        <v>6</v>
      </c>
      <c r="E462" s="95">
        <f t="shared" si="3096"/>
        <v>15</v>
      </c>
      <c r="F462" s="13"/>
      <c r="G462" s="90"/>
      <c r="H462" s="97">
        <f t="shared" ref="H462:L462" si="3097">H461</f>
        <v>25.6</v>
      </c>
      <c r="I462" s="98">
        <f t="shared" si="3097"/>
        <v>0</v>
      </c>
      <c r="J462" s="99">
        <f t="shared" si="3097"/>
        <v>20.9</v>
      </c>
      <c r="K462" s="99">
        <f t="shared" si="3097"/>
        <v>7.883</v>
      </c>
      <c r="L462" s="99">
        <f t="shared" si="3097"/>
        <v>0.55400000000000005</v>
      </c>
      <c r="M462" s="45"/>
      <c r="N462" s="45"/>
      <c r="O462" s="100">
        <f t="shared" ref="O462:P462" si="3098">O461</f>
        <v>100.62</v>
      </c>
      <c r="P462" s="101" t="str">
        <f t="shared" si="3098"/>
        <v>2,29,560</v>
      </c>
      <c r="Q462" s="11" t="str">
        <f t="shared" si="3053"/>
        <v>2</v>
      </c>
      <c r="R462" s="11" t="str">
        <f t="shared" si="3054"/>
        <v>29,560</v>
      </c>
      <c r="S462" s="11">
        <f t="shared" si="3055"/>
        <v>4.1544444444444446E-2</v>
      </c>
      <c r="T462" s="14">
        <f t="shared" si="3056"/>
        <v>2421.9844878309709</v>
      </c>
      <c r="U462" s="39">
        <f t="shared" si="3030"/>
        <v>-100</v>
      </c>
      <c r="V462" s="105">
        <f t="shared" ref="V462:X462" si="3099">V461</f>
        <v>20.399999999999999</v>
      </c>
      <c r="W462" s="105">
        <f t="shared" si="3099"/>
        <v>1.5069999999999999</v>
      </c>
      <c r="X462" s="106">
        <f t="shared" si="3099"/>
        <v>1.504</v>
      </c>
      <c r="Y462" s="45"/>
      <c r="Z462" s="45"/>
      <c r="AA462" s="107">
        <f t="shared" ref="AA462:AB462" si="3100">AA461</f>
        <v>10.015000000000001</v>
      </c>
      <c r="AB462" s="108" t="str">
        <f t="shared" si="3100"/>
        <v>22,10,090</v>
      </c>
      <c r="AC462" s="11" t="str">
        <f t="shared" si="3059"/>
        <v>22</v>
      </c>
      <c r="AD462" s="11" t="str">
        <f t="shared" si="3060"/>
        <v>10,090</v>
      </c>
      <c r="AE462" s="11">
        <f t="shared" si="3061"/>
        <v>0.36946944444444441</v>
      </c>
      <c r="AF462" s="14">
        <f t="shared" si="3033"/>
        <v>27.106436406558959</v>
      </c>
      <c r="AG462" s="41">
        <f t="shared" si="3079"/>
        <v>-100</v>
      </c>
      <c r="AH462" s="105">
        <f t="shared" ref="AH462:AJ462" si="3101">AH461</f>
        <v>20.3</v>
      </c>
      <c r="AI462" s="105">
        <f t="shared" si="3101"/>
        <v>1.5089999999999999</v>
      </c>
      <c r="AJ462" s="105">
        <f t="shared" si="3101"/>
        <v>1.504</v>
      </c>
      <c r="AK462" s="53">
        <f t="shared" si="2892"/>
        <v>0</v>
      </c>
      <c r="AL462" s="45"/>
      <c r="AM462" s="54">
        <f t="shared" ref="AM462:AN462" si="3102">AM461</f>
        <v>5.0129999999999999</v>
      </c>
      <c r="AN462" s="101" t="str">
        <f t="shared" si="3102"/>
        <v>17,59,050</v>
      </c>
      <c r="AO462" s="11" t="str">
        <f t="shared" si="3064"/>
        <v>17</v>
      </c>
      <c r="AP462" s="11" t="str">
        <f t="shared" si="3065"/>
        <v>59,050</v>
      </c>
      <c r="AQ462" s="11">
        <f t="shared" si="3066"/>
        <v>0.29973611111111109</v>
      </c>
      <c r="AR462" s="14">
        <f t="shared" si="3036"/>
        <v>16.724711551827998</v>
      </c>
      <c r="AS462" s="41">
        <f t="shared" si="3037"/>
        <v>-100</v>
      </c>
      <c r="AT462" s="43" t="str">
        <f t="shared" si="3038"/>
        <v>NO CONFORME</v>
      </c>
      <c r="AU462" s="8" t="b">
        <f t="shared" si="3067"/>
        <v>1</v>
      </c>
      <c r="AV462" s="8" t="b">
        <f t="shared" si="3068"/>
        <v>0</v>
      </c>
      <c r="AW462" s="8" t="b">
        <f t="shared" si="3069"/>
        <v>1</v>
      </c>
      <c r="AX462" s="8" t="str">
        <f t="shared" si="3070"/>
        <v>Qcorrecto</v>
      </c>
      <c r="AY462" s="22" t="str">
        <f t="shared" si="3039"/>
        <v>aceptable</v>
      </c>
      <c r="AZ462" s="22" t="str">
        <f t="shared" si="3040"/>
        <v>aceptable</v>
      </c>
      <c r="BA462" s="22" t="str">
        <f t="shared" si="3071"/>
        <v>aceptable</v>
      </c>
      <c r="BB462" s="25" t="str">
        <f t="shared" si="3072"/>
        <v>NO CONFORME</v>
      </c>
      <c r="BC462" s="5" t="str">
        <f t="shared" si="3073"/>
        <v>NO CONFORME</v>
      </c>
      <c r="BD462" s="15">
        <f t="shared" si="3041"/>
        <v>-1</v>
      </c>
      <c r="BE462" s="15">
        <f t="shared" si="3042"/>
        <v>-1</v>
      </c>
      <c r="BF462" s="15">
        <f t="shared" si="3043"/>
        <v>-1</v>
      </c>
      <c r="BG462" s="15" t="str">
        <f t="shared" si="3044"/>
        <v>-1-1-1</v>
      </c>
      <c r="BH462" s="15" t="str">
        <f t="shared" si="3045"/>
        <v>SD</v>
      </c>
      <c r="BI462" s="15" t="str">
        <f t="shared" si="3046"/>
        <v>SI</v>
      </c>
      <c r="BJ462" s="15" t="b">
        <f t="shared" si="3047"/>
        <v>1</v>
      </c>
      <c r="BK462" s="15" t="str">
        <f t="shared" si="3048"/>
        <v>SIGIGUALES</v>
      </c>
      <c r="BL462" s="22" t="str">
        <f t="shared" si="3049"/>
        <v>NO CONFORME</v>
      </c>
    </row>
    <row r="463" spans="1:64" ht="15.75" thickBot="1" x14ac:dyDescent="0.3">
      <c r="A463" s="37">
        <v>455</v>
      </c>
      <c r="B463" s="93">
        <f t="shared" ref="B463:E463" si="3103">B462</f>
        <v>45919</v>
      </c>
      <c r="C463" s="93">
        <f t="shared" si="3103"/>
        <v>45919</v>
      </c>
      <c r="D463" s="94">
        <f t="shared" si="3103"/>
        <v>6</v>
      </c>
      <c r="E463" s="95">
        <f t="shared" si="3103"/>
        <v>15</v>
      </c>
      <c r="F463" s="13"/>
      <c r="G463" s="90"/>
      <c r="H463" s="97">
        <f t="shared" ref="H463:L463" si="3104">H462</f>
        <v>25.6</v>
      </c>
      <c r="I463" s="98">
        <f t="shared" si="3104"/>
        <v>0</v>
      </c>
      <c r="J463" s="99">
        <f t="shared" si="3104"/>
        <v>20.9</v>
      </c>
      <c r="K463" s="99">
        <f t="shared" si="3104"/>
        <v>7.883</v>
      </c>
      <c r="L463" s="99">
        <f t="shared" si="3104"/>
        <v>0.55400000000000005</v>
      </c>
      <c r="M463" s="45"/>
      <c r="N463" s="45"/>
      <c r="O463" s="100">
        <f t="shared" ref="O463:P463" si="3105">O462</f>
        <v>100.62</v>
      </c>
      <c r="P463" s="101" t="str">
        <f t="shared" si="3105"/>
        <v>2,29,560</v>
      </c>
      <c r="Q463" s="11" t="str">
        <f t="shared" si="3053"/>
        <v>2</v>
      </c>
      <c r="R463" s="11" t="str">
        <f t="shared" si="3054"/>
        <v>29,560</v>
      </c>
      <c r="S463" s="11">
        <f t="shared" si="3055"/>
        <v>4.1544444444444446E-2</v>
      </c>
      <c r="T463" s="14">
        <f t="shared" si="3056"/>
        <v>2421.9844878309709</v>
      </c>
      <c r="U463" s="39">
        <f t="shared" si="3030"/>
        <v>-100</v>
      </c>
      <c r="V463" s="105">
        <f t="shared" ref="V463:X463" si="3106">V462</f>
        <v>20.399999999999999</v>
      </c>
      <c r="W463" s="105">
        <f t="shared" si="3106"/>
        <v>1.5069999999999999</v>
      </c>
      <c r="X463" s="106">
        <f t="shared" si="3106"/>
        <v>1.504</v>
      </c>
      <c r="Y463" s="45"/>
      <c r="Z463" s="45"/>
      <c r="AA463" s="107">
        <f t="shared" ref="AA463:AB463" si="3107">AA462</f>
        <v>10.015000000000001</v>
      </c>
      <c r="AB463" s="108" t="str">
        <f t="shared" si="3107"/>
        <v>22,10,090</v>
      </c>
      <c r="AC463" s="11" t="str">
        <f t="shared" si="3059"/>
        <v>22</v>
      </c>
      <c r="AD463" s="11" t="str">
        <f t="shared" si="3060"/>
        <v>10,090</v>
      </c>
      <c r="AE463" s="11">
        <f t="shared" si="3061"/>
        <v>0.36946944444444441</v>
      </c>
      <c r="AF463" s="14">
        <f t="shared" si="3033"/>
        <v>27.106436406558959</v>
      </c>
      <c r="AG463" s="41">
        <f t="shared" si="3079"/>
        <v>-100</v>
      </c>
      <c r="AH463" s="105">
        <f t="shared" ref="AH463:AJ463" si="3108">AH462</f>
        <v>20.3</v>
      </c>
      <c r="AI463" s="105">
        <f t="shared" si="3108"/>
        <v>1.5089999999999999</v>
      </c>
      <c r="AJ463" s="105">
        <f t="shared" si="3108"/>
        <v>1.504</v>
      </c>
      <c r="AK463" s="53">
        <f t="shared" si="2892"/>
        <v>0</v>
      </c>
      <c r="AL463" s="45"/>
      <c r="AM463" s="54">
        <f t="shared" ref="AM463:AN463" si="3109">AM462</f>
        <v>5.0129999999999999</v>
      </c>
      <c r="AN463" s="101" t="str">
        <f t="shared" si="3109"/>
        <v>17,59,050</v>
      </c>
      <c r="AO463" s="11" t="str">
        <f t="shared" si="3064"/>
        <v>17</v>
      </c>
      <c r="AP463" s="11" t="str">
        <f t="shared" si="3065"/>
        <v>59,050</v>
      </c>
      <c r="AQ463" s="11">
        <f t="shared" si="3066"/>
        <v>0.29973611111111109</v>
      </c>
      <c r="AR463" s="14">
        <f t="shared" si="3036"/>
        <v>16.724711551827998</v>
      </c>
      <c r="AS463" s="41">
        <f t="shared" si="3037"/>
        <v>-100</v>
      </c>
      <c r="AT463" s="43" t="str">
        <f t="shared" si="3038"/>
        <v>NO CONFORME</v>
      </c>
      <c r="AU463" s="8" t="b">
        <f t="shared" si="3067"/>
        <v>1</v>
      </c>
      <c r="AV463" s="8" t="b">
        <f t="shared" si="3068"/>
        <v>0</v>
      </c>
      <c r="AW463" s="8" t="b">
        <f t="shared" si="3069"/>
        <v>1</v>
      </c>
      <c r="AX463" s="8" t="str">
        <f t="shared" si="3070"/>
        <v>Qcorrecto</v>
      </c>
      <c r="AY463" s="22" t="str">
        <f t="shared" si="3039"/>
        <v>aceptable</v>
      </c>
      <c r="AZ463" s="22" t="str">
        <f t="shared" si="3040"/>
        <v>aceptable</v>
      </c>
      <c r="BA463" s="22" t="str">
        <f t="shared" si="3071"/>
        <v>aceptable</v>
      </c>
      <c r="BB463" s="25" t="str">
        <f t="shared" si="3072"/>
        <v>NO CONFORME</v>
      </c>
      <c r="BC463" s="5" t="str">
        <f t="shared" si="3073"/>
        <v>NO CONFORME</v>
      </c>
      <c r="BD463" s="15">
        <f t="shared" si="3041"/>
        <v>-1</v>
      </c>
      <c r="BE463" s="15">
        <f t="shared" si="3042"/>
        <v>-1</v>
      </c>
      <c r="BF463" s="15">
        <f t="shared" si="3043"/>
        <v>-1</v>
      </c>
      <c r="BG463" s="15" t="str">
        <f t="shared" si="3044"/>
        <v>-1-1-1</v>
      </c>
      <c r="BH463" s="15" t="str">
        <f t="shared" si="3045"/>
        <v>SD</v>
      </c>
      <c r="BI463" s="15" t="str">
        <f t="shared" si="3046"/>
        <v>SI</v>
      </c>
      <c r="BJ463" s="15" t="b">
        <f t="shared" si="3047"/>
        <v>1</v>
      </c>
      <c r="BK463" s="15" t="str">
        <f t="shared" si="3048"/>
        <v>SIGIGUALES</v>
      </c>
      <c r="BL463" s="22" t="str">
        <f t="shared" si="3049"/>
        <v>NO CONFORME</v>
      </c>
    </row>
    <row r="464" spans="1:64" ht="15.75" thickBot="1" x14ac:dyDescent="0.3">
      <c r="A464" s="37">
        <v>456</v>
      </c>
      <c r="B464" s="93">
        <f t="shared" ref="B464:E464" si="3110">B463</f>
        <v>45919</v>
      </c>
      <c r="C464" s="93">
        <f t="shared" si="3110"/>
        <v>45919</v>
      </c>
      <c r="D464" s="94">
        <f t="shared" si="3110"/>
        <v>6</v>
      </c>
      <c r="E464" s="95">
        <f t="shared" si="3110"/>
        <v>15</v>
      </c>
      <c r="F464" s="13"/>
      <c r="G464" s="90"/>
      <c r="H464" s="97">
        <f t="shared" ref="H464:L464" si="3111">H463</f>
        <v>25.6</v>
      </c>
      <c r="I464" s="98">
        <f t="shared" si="3111"/>
        <v>0</v>
      </c>
      <c r="J464" s="99">
        <f t="shared" si="3111"/>
        <v>20.9</v>
      </c>
      <c r="K464" s="99">
        <f t="shared" si="3111"/>
        <v>7.883</v>
      </c>
      <c r="L464" s="99">
        <f t="shared" si="3111"/>
        <v>0.55400000000000005</v>
      </c>
      <c r="M464" s="45"/>
      <c r="N464" s="45"/>
      <c r="O464" s="100">
        <f t="shared" ref="O464:P464" si="3112">O463</f>
        <v>100.62</v>
      </c>
      <c r="P464" s="101" t="str">
        <f t="shared" si="3112"/>
        <v>2,29,560</v>
      </c>
      <c r="Q464" s="11" t="str">
        <f t="shared" si="3053"/>
        <v>2</v>
      </c>
      <c r="R464" s="11" t="str">
        <f t="shared" si="3054"/>
        <v>29,560</v>
      </c>
      <c r="S464" s="11">
        <f t="shared" si="3055"/>
        <v>4.1544444444444446E-2</v>
      </c>
      <c r="T464" s="14">
        <f t="shared" si="3056"/>
        <v>2421.9844878309709</v>
      </c>
      <c r="U464" s="39">
        <f t="shared" si="3030"/>
        <v>-100</v>
      </c>
      <c r="V464" s="105">
        <f t="shared" ref="V464:X464" si="3113">V463</f>
        <v>20.399999999999999</v>
      </c>
      <c r="W464" s="105">
        <f t="shared" si="3113"/>
        <v>1.5069999999999999</v>
      </c>
      <c r="X464" s="106">
        <f t="shared" si="3113"/>
        <v>1.504</v>
      </c>
      <c r="Y464" s="45"/>
      <c r="Z464" s="45"/>
      <c r="AA464" s="107">
        <f t="shared" ref="AA464:AB464" si="3114">AA463</f>
        <v>10.015000000000001</v>
      </c>
      <c r="AB464" s="108" t="str">
        <f t="shared" si="3114"/>
        <v>22,10,090</v>
      </c>
      <c r="AC464" s="11" t="str">
        <f t="shared" si="3059"/>
        <v>22</v>
      </c>
      <c r="AD464" s="11" t="str">
        <f t="shared" si="3060"/>
        <v>10,090</v>
      </c>
      <c r="AE464" s="11">
        <f t="shared" si="3061"/>
        <v>0.36946944444444441</v>
      </c>
      <c r="AF464" s="14">
        <f t="shared" si="3033"/>
        <v>27.106436406558959</v>
      </c>
      <c r="AG464" s="41">
        <f t="shared" si="3079"/>
        <v>-100</v>
      </c>
      <c r="AH464" s="105">
        <f t="shared" ref="AH464:AJ464" si="3115">AH463</f>
        <v>20.3</v>
      </c>
      <c r="AI464" s="105">
        <f t="shared" si="3115"/>
        <v>1.5089999999999999</v>
      </c>
      <c r="AJ464" s="105">
        <f t="shared" si="3115"/>
        <v>1.504</v>
      </c>
      <c r="AK464" s="53">
        <f t="shared" si="2892"/>
        <v>0</v>
      </c>
      <c r="AL464" s="45"/>
      <c r="AM464" s="54">
        <f t="shared" ref="AM464:AN464" si="3116">AM463</f>
        <v>5.0129999999999999</v>
      </c>
      <c r="AN464" s="101" t="str">
        <f t="shared" si="3116"/>
        <v>17,59,050</v>
      </c>
      <c r="AO464" s="11" t="str">
        <f t="shared" si="3064"/>
        <v>17</v>
      </c>
      <c r="AP464" s="11" t="str">
        <f t="shared" si="3065"/>
        <v>59,050</v>
      </c>
      <c r="AQ464" s="11">
        <f t="shared" si="3066"/>
        <v>0.29973611111111109</v>
      </c>
      <c r="AR464" s="14">
        <f t="shared" si="3036"/>
        <v>16.724711551827998</v>
      </c>
      <c r="AS464" s="41">
        <f t="shared" si="3037"/>
        <v>-100</v>
      </c>
      <c r="AT464" s="43" t="str">
        <f t="shared" si="3038"/>
        <v>NO CONFORME</v>
      </c>
      <c r="AU464" s="8" t="b">
        <f t="shared" si="3067"/>
        <v>1</v>
      </c>
      <c r="AV464" s="8" t="b">
        <f t="shared" si="3068"/>
        <v>0</v>
      </c>
      <c r="AW464" s="8" t="b">
        <f t="shared" si="3069"/>
        <v>1</v>
      </c>
      <c r="AX464" s="8" t="str">
        <f t="shared" si="3070"/>
        <v>Qcorrecto</v>
      </c>
      <c r="AY464" s="22" t="str">
        <f t="shared" si="3039"/>
        <v>aceptable</v>
      </c>
      <c r="AZ464" s="22" t="str">
        <f t="shared" si="3040"/>
        <v>aceptable</v>
      </c>
      <c r="BA464" s="22" t="str">
        <f t="shared" si="3071"/>
        <v>aceptable</v>
      </c>
      <c r="BB464" s="25" t="str">
        <f t="shared" si="3072"/>
        <v>NO CONFORME</v>
      </c>
      <c r="BC464" s="5" t="str">
        <f t="shared" si="3073"/>
        <v>NO CONFORME</v>
      </c>
      <c r="BD464" s="15">
        <f t="shared" si="3041"/>
        <v>-1</v>
      </c>
      <c r="BE464" s="15">
        <f t="shared" si="3042"/>
        <v>-1</v>
      </c>
      <c r="BF464" s="15">
        <f t="shared" si="3043"/>
        <v>-1</v>
      </c>
      <c r="BG464" s="15" t="str">
        <f t="shared" si="3044"/>
        <v>-1-1-1</v>
      </c>
      <c r="BH464" s="15" t="str">
        <f t="shared" si="3045"/>
        <v>SD</v>
      </c>
      <c r="BI464" s="15" t="str">
        <f t="shared" si="3046"/>
        <v>SI</v>
      </c>
      <c r="BJ464" s="15" t="b">
        <f t="shared" si="3047"/>
        <v>1</v>
      </c>
      <c r="BK464" s="15" t="str">
        <f t="shared" si="3048"/>
        <v>SIGIGUALES</v>
      </c>
      <c r="BL464" s="22" t="str">
        <f t="shared" si="3049"/>
        <v>NO CONFORME</v>
      </c>
    </row>
    <row r="465" spans="1:64" ht="15.75" thickBot="1" x14ac:dyDescent="0.3">
      <c r="A465" s="37">
        <v>457</v>
      </c>
      <c r="B465" s="93">
        <f t="shared" ref="B465:E465" si="3117">B464</f>
        <v>45919</v>
      </c>
      <c r="C465" s="93">
        <f t="shared" si="3117"/>
        <v>45919</v>
      </c>
      <c r="D465" s="94">
        <f t="shared" si="3117"/>
        <v>6</v>
      </c>
      <c r="E465" s="95">
        <f t="shared" si="3117"/>
        <v>15</v>
      </c>
      <c r="F465" s="13"/>
      <c r="G465" s="90"/>
      <c r="H465" s="97">
        <f t="shared" ref="H465:L465" si="3118">H464</f>
        <v>25.6</v>
      </c>
      <c r="I465" s="98">
        <f t="shared" si="3118"/>
        <v>0</v>
      </c>
      <c r="J465" s="99">
        <f t="shared" si="3118"/>
        <v>20.9</v>
      </c>
      <c r="K465" s="99">
        <f t="shared" si="3118"/>
        <v>7.883</v>
      </c>
      <c r="L465" s="99">
        <f t="shared" si="3118"/>
        <v>0.55400000000000005</v>
      </c>
      <c r="M465" s="45"/>
      <c r="N465" s="45"/>
      <c r="O465" s="100">
        <f t="shared" ref="O465:P465" si="3119">O464</f>
        <v>100.62</v>
      </c>
      <c r="P465" s="101" t="str">
        <f t="shared" si="3119"/>
        <v>2,29,560</v>
      </c>
      <c r="Q465" s="11" t="str">
        <f t="shared" si="3053"/>
        <v>2</v>
      </c>
      <c r="R465" s="11" t="str">
        <f t="shared" si="3054"/>
        <v>29,560</v>
      </c>
      <c r="S465" s="11">
        <f t="shared" si="3055"/>
        <v>4.1544444444444446E-2</v>
      </c>
      <c r="T465" s="14">
        <f t="shared" si="3056"/>
        <v>2421.9844878309709</v>
      </c>
      <c r="U465" s="39">
        <f t="shared" si="3030"/>
        <v>-100</v>
      </c>
      <c r="V465" s="105">
        <f t="shared" ref="V465:X465" si="3120">V464</f>
        <v>20.399999999999999</v>
      </c>
      <c r="W465" s="105">
        <f t="shared" si="3120"/>
        <v>1.5069999999999999</v>
      </c>
      <c r="X465" s="106">
        <f t="shared" si="3120"/>
        <v>1.504</v>
      </c>
      <c r="Y465" s="45"/>
      <c r="Z465" s="45"/>
      <c r="AA465" s="107">
        <f t="shared" ref="AA465:AB465" si="3121">AA464</f>
        <v>10.015000000000001</v>
      </c>
      <c r="AB465" s="108" t="str">
        <f t="shared" si="3121"/>
        <v>22,10,090</v>
      </c>
      <c r="AC465" s="11" t="str">
        <f t="shared" si="3059"/>
        <v>22</v>
      </c>
      <c r="AD465" s="11" t="str">
        <f t="shared" si="3060"/>
        <v>10,090</v>
      </c>
      <c r="AE465" s="11">
        <f t="shared" si="3061"/>
        <v>0.36946944444444441</v>
      </c>
      <c r="AF465" s="14">
        <f t="shared" si="3033"/>
        <v>27.106436406558959</v>
      </c>
      <c r="AG465" s="41">
        <f t="shared" si="3079"/>
        <v>-100</v>
      </c>
      <c r="AH465" s="105">
        <f t="shared" ref="AH465:AJ465" si="3122">AH464</f>
        <v>20.3</v>
      </c>
      <c r="AI465" s="105">
        <f t="shared" si="3122"/>
        <v>1.5089999999999999</v>
      </c>
      <c r="AJ465" s="105">
        <f t="shared" si="3122"/>
        <v>1.504</v>
      </c>
      <c r="AK465" s="53">
        <f t="shared" si="2892"/>
        <v>0</v>
      </c>
      <c r="AL465" s="45"/>
      <c r="AM465" s="54">
        <f t="shared" ref="AM465:AN465" si="3123">AM464</f>
        <v>5.0129999999999999</v>
      </c>
      <c r="AN465" s="101" t="str">
        <f t="shared" si="3123"/>
        <v>17,59,050</v>
      </c>
      <c r="AO465" s="11" t="str">
        <f t="shared" si="3064"/>
        <v>17</v>
      </c>
      <c r="AP465" s="11" t="str">
        <f t="shared" si="3065"/>
        <v>59,050</v>
      </c>
      <c r="AQ465" s="11">
        <f t="shared" si="3066"/>
        <v>0.29973611111111109</v>
      </c>
      <c r="AR465" s="14">
        <f t="shared" si="3036"/>
        <v>16.724711551827998</v>
      </c>
      <c r="AS465" s="41">
        <f t="shared" si="3037"/>
        <v>-100</v>
      </c>
      <c r="AT465" s="43" t="str">
        <f t="shared" si="3038"/>
        <v>NO CONFORME</v>
      </c>
      <c r="AU465" s="8" t="b">
        <f t="shared" si="3067"/>
        <v>1</v>
      </c>
      <c r="AV465" s="8" t="b">
        <f t="shared" si="3068"/>
        <v>0</v>
      </c>
      <c r="AW465" s="8" t="b">
        <f t="shared" si="3069"/>
        <v>1</v>
      </c>
      <c r="AX465" s="8" t="str">
        <f t="shared" si="3070"/>
        <v>Qcorrecto</v>
      </c>
      <c r="AY465" s="22" t="str">
        <f t="shared" si="3039"/>
        <v>aceptable</v>
      </c>
      <c r="AZ465" s="22" t="str">
        <f t="shared" si="3040"/>
        <v>aceptable</v>
      </c>
      <c r="BA465" s="22" t="str">
        <f t="shared" si="3071"/>
        <v>aceptable</v>
      </c>
      <c r="BB465" s="25" t="str">
        <f t="shared" si="3072"/>
        <v>NO CONFORME</v>
      </c>
      <c r="BC465" s="5" t="str">
        <f t="shared" si="3073"/>
        <v>NO CONFORME</v>
      </c>
      <c r="BD465" s="15">
        <f t="shared" si="3041"/>
        <v>-1</v>
      </c>
      <c r="BE465" s="15">
        <f t="shared" si="3042"/>
        <v>-1</v>
      </c>
      <c r="BF465" s="15">
        <f t="shared" si="3043"/>
        <v>-1</v>
      </c>
      <c r="BG465" s="15" t="str">
        <f t="shared" si="3044"/>
        <v>-1-1-1</v>
      </c>
      <c r="BH465" s="15" t="str">
        <f t="shared" si="3045"/>
        <v>SD</v>
      </c>
      <c r="BI465" s="15" t="str">
        <f t="shared" si="3046"/>
        <v>SI</v>
      </c>
      <c r="BJ465" s="15" t="b">
        <f t="shared" si="3047"/>
        <v>1</v>
      </c>
      <c r="BK465" s="15" t="str">
        <f t="shared" si="3048"/>
        <v>SIGIGUALES</v>
      </c>
      <c r="BL465" s="22" t="str">
        <f t="shared" si="3049"/>
        <v>NO CONFORME</v>
      </c>
    </row>
    <row r="466" spans="1:64" ht="15.75" thickBot="1" x14ac:dyDescent="0.3">
      <c r="A466" s="37">
        <v>458</v>
      </c>
      <c r="B466" s="93">
        <f t="shared" ref="B466:E466" si="3124">B465</f>
        <v>45919</v>
      </c>
      <c r="C466" s="93">
        <f t="shared" si="3124"/>
        <v>45919</v>
      </c>
      <c r="D466" s="94">
        <f t="shared" si="3124"/>
        <v>6</v>
      </c>
      <c r="E466" s="95">
        <f t="shared" si="3124"/>
        <v>15</v>
      </c>
      <c r="F466" s="13"/>
      <c r="G466" s="90"/>
      <c r="H466" s="97">
        <f t="shared" ref="H466:L466" si="3125">H465</f>
        <v>25.6</v>
      </c>
      <c r="I466" s="98">
        <f t="shared" si="3125"/>
        <v>0</v>
      </c>
      <c r="J466" s="99">
        <f t="shared" si="3125"/>
        <v>20.9</v>
      </c>
      <c r="K466" s="99">
        <f t="shared" si="3125"/>
        <v>7.883</v>
      </c>
      <c r="L466" s="99">
        <f t="shared" si="3125"/>
        <v>0.55400000000000005</v>
      </c>
      <c r="M466" s="45"/>
      <c r="N466" s="45"/>
      <c r="O466" s="100">
        <f t="shared" ref="O466:P466" si="3126">O465</f>
        <v>100.62</v>
      </c>
      <c r="P466" s="101" t="str">
        <f t="shared" si="3126"/>
        <v>2,29,560</v>
      </c>
      <c r="Q466" s="11" t="str">
        <f t="shared" si="3053"/>
        <v>2</v>
      </c>
      <c r="R466" s="11" t="str">
        <f t="shared" si="3054"/>
        <v>29,560</v>
      </c>
      <c r="S466" s="11">
        <f t="shared" si="3055"/>
        <v>4.1544444444444446E-2</v>
      </c>
      <c r="T466" s="14">
        <f t="shared" si="3056"/>
        <v>2421.9844878309709</v>
      </c>
      <c r="U466" s="39">
        <f t="shared" si="3030"/>
        <v>-100</v>
      </c>
      <c r="V466" s="105">
        <f t="shared" ref="V466:X466" si="3127">V465</f>
        <v>20.399999999999999</v>
      </c>
      <c r="W466" s="105">
        <f t="shared" si="3127"/>
        <v>1.5069999999999999</v>
      </c>
      <c r="X466" s="106">
        <f t="shared" si="3127"/>
        <v>1.504</v>
      </c>
      <c r="Y466" s="45"/>
      <c r="Z466" s="45"/>
      <c r="AA466" s="107">
        <f t="shared" ref="AA466:AB466" si="3128">AA465</f>
        <v>10.015000000000001</v>
      </c>
      <c r="AB466" s="108" t="str">
        <f t="shared" si="3128"/>
        <v>22,10,090</v>
      </c>
      <c r="AC466" s="11" t="str">
        <f t="shared" si="3059"/>
        <v>22</v>
      </c>
      <c r="AD466" s="11" t="str">
        <f t="shared" si="3060"/>
        <v>10,090</v>
      </c>
      <c r="AE466" s="11">
        <f t="shared" si="3061"/>
        <v>0.36946944444444441</v>
      </c>
      <c r="AF466" s="14">
        <f t="shared" si="3033"/>
        <v>27.106436406558959</v>
      </c>
      <c r="AG466" s="41">
        <f t="shared" si="3079"/>
        <v>-100</v>
      </c>
      <c r="AH466" s="105">
        <f t="shared" ref="AH466:AJ466" si="3129">AH465</f>
        <v>20.3</v>
      </c>
      <c r="AI466" s="105">
        <f t="shared" si="3129"/>
        <v>1.5089999999999999</v>
      </c>
      <c r="AJ466" s="105">
        <f t="shared" si="3129"/>
        <v>1.504</v>
      </c>
      <c r="AK466" s="53">
        <f t="shared" si="2892"/>
        <v>0</v>
      </c>
      <c r="AL466" s="45"/>
      <c r="AM466" s="54">
        <f t="shared" ref="AM466:AN466" si="3130">AM465</f>
        <v>5.0129999999999999</v>
      </c>
      <c r="AN466" s="101" t="str">
        <f t="shared" si="3130"/>
        <v>17,59,050</v>
      </c>
      <c r="AO466" s="11" t="str">
        <f t="shared" si="3064"/>
        <v>17</v>
      </c>
      <c r="AP466" s="11" t="str">
        <f t="shared" si="3065"/>
        <v>59,050</v>
      </c>
      <c r="AQ466" s="11">
        <f t="shared" si="3066"/>
        <v>0.29973611111111109</v>
      </c>
      <c r="AR466" s="14">
        <f t="shared" si="3036"/>
        <v>16.724711551827998</v>
      </c>
      <c r="AS466" s="41">
        <f t="shared" si="3037"/>
        <v>-100</v>
      </c>
      <c r="AT466" s="43" t="str">
        <f t="shared" si="3038"/>
        <v>NO CONFORME</v>
      </c>
      <c r="AU466" s="8" t="b">
        <f t="shared" si="3067"/>
        <v>1</v>
      </c>
      <c r="AV466" s="8" t="b">
        <f t="shared" si="3068"/>
        <v>0</v>
      </c>
      <c r="AW466" s="8" t="b">
        <f t="shared" si="3069"/>
        <v>1</v>
      </c>
      <c r="AX466" s="8" t="str">
        <f t="shared" si="3070"/>
        <v>Qcorrecto</v>
      </c>
      <c r="AY466" s="22" t="str">
        <f t="shared" si="3039"/>
        <v>aceptable</v>
      </c>
      <c r="AZ466" s="22" t="str">
        <f t="shared" si="3040"/>
        <v>aceptable</v>
      </c>
      <c r="BA466" s="22" t="str">
        <f t="shared" si="3071"/>
        <v>aceptable</v>
      </c>
      <c r="BB466" s="25" t="str">
        <f t="shared" si="3072"/>
        <v>NO CONFORME</v>
      </c>
      <c r="BC466" s="5" t="str">
        <f t="shared" si="3073"/>
        <v>NO CONFORME</v>
      </c>
      <c r="BD466" s="15">
        <f t="shared" si="3041"/>
        <v>-1</v>
      </c>
      <c r="BE466" s="15">
        <f t="shared" si="3042"/>
        <v>-1</v>
      </c>
      <c r="BF466" s="15">
        <f t="shared" si="3043"/>
        <v>-1</v>
      </c>
      <c r="BG466" s="15" t="str">
        <f t="shared" si="3044"/>
        <v>-1-1-1</v>
      </c>
      <c r="BH466" s="15" t="str">
        <f t="shared" si="3045"/>
        <v>SD</v>
      </c>
      <c r="BI466" s="15" t="str">
        <f t="shared" si="3046"/>
        <v>SI</v>
      </c>
      <c r="BJ466" s="15" t="b">
        <f t="shared" si="3047"/>
        <v>1</v>
      </c>
      <c r="BK466" s="15" t="str">
        <f t="shared" si="3048"/>
        <v>SIGIGUALES</v>
      </c>
      <c r="BL466" s="22" t="str">
        <f t="shared" si="3049"/>
        <v>NO CONFORME</v>
      </c>
    </row>
    <row r="467" spans="1:64" ht="15.75" thickBot="1" x14ac:dyDescent="0.3">
      <c r="A467" s="37">
        <v>459</v>
      </c>
      <c r="B467" s="93">
        <f t="shared" ref="B467:E467" si="3131">B466</f>
        <v>45919</v>
      </c>
      <c r="C467" s="93">
        <f t="shared" si="3131"/>
        <v>45919</v>
      </c>
      <c r="D467" s="94">
        <f t="shared" si="3131"/>
        <v>6</v>
      </c>
      <c r="E467" s="95">
        <f t="shared" si="3131"/>
        <v>15</v>
      </c>
      <c r="F467" s="13"/>
      <c r="G467" s="90"/>
      <c r="H467" s="97">
        <f t="shared" ref="H467:L467" si="3132">H466</f>
        <v>25.6</v>
      </c>
      <c r="I467" s="98">
        <f t="shared" si="3132"/>
        <v>0</v>
      </c>
      <c r="J467" s="99">
        <f t="shared" si="3132"/>
        <v>20.9</v>
      </c>
      <c r="K467" s="99">
        <f t="shared" si="3132"/>
        <v>7.883</v>
      </c>
      <c r="L467" s="99">
        <f t="shared" si="3132"/>
        <v>0.55400000000000005</v>
      </c>
      <c r="M467" s="45"/>
      <c r="N467" s="45"/>
      <c r="O467" s="100">
        <f t="shared" ref="O467:P467" si="3133">O466</f>
        <v>100.62</v>
      </c>
      <c r="P467" s="101" t="str">
        <f t="shared" si="3133"/>
        <v>2,29,560</v>
      </c>
      <c r="Q467" s="11" t="str">
        <f t="shared" si="3053"/>
        <v>2</v>
      </c>
      <c r="R467" s="11" t="str">
        <f t="shared" si="3054"/>
        <v>29,560</v>
      </c>
      <c r="S467" s="11">
        <f t="shared" si="3055"/>
        <v>4.1544444444444446E-2</v>
      </c>
      <c r="T467" s="14">
        <f t="shared" si="3056"/>
        <v>2421.9844878309709</v>
      </c>
      <c r="U467" s="39">
        <f t="shared" si="3030"/>
        <v>-100</v>
      </c>
      <c r="V467" s="105">
        <f t="shared" ref="V467:X467" si="3134">V466</f>
        <v>20.399999999999999</v>
      </c>
      <c r="W467" s="105">
        <f t="shared" si="3134"/>
        <v>1.5069999999999999</v>
      </c>
      <c r="X467" s="106">
        <f t="shared" si="3134"/>
        <v>1.504</v>
      </c>
      <c r="Y467" s="45"/>
      <c r="Z467" s="45"/>
      <c r="AA467" s="107">
        <f t="shared" ref="AA467:AB467" si="3135">AA466</f>
        <v>10.015000000000001</v>
      </c>
      <c r="AB467" s="108" t="str">
        <f t="shared" si="3135"/>
        <v>22,10,090</v>
      </c>
      <c r="AC467" s="11" t="str">
        <f t="shared" si="3059"/>
        <v>22</v>
      </c>
      <c r="AD467" s="11" t="str">
        <f t="shared" si="3060"/>
        <v>10,090</v>
      </c>
      <c r="AE467" s="11">
        <f t="shared" si="3061"/>
        <v>0.36946944444444441</v>
      </c>
      <c r="AF467" s="14">
        <f t="shared" si="3033"/>
        <v>27.106436406558959</v>
      </c>
      <c r="AG467" s="41">
        <f t="shared" si="3079"/>
        <v>-100</v>
      </c>
      <c r="AH467" s="105">
        <f t="shared" ref="AH467:AJ467" si="3136">AH466</f>
        <v>20.3</v>
      </c>
      <c r="AI467" s="105">
        <f t="shared" si="3136"/>
        <v>1.5089999999999999</v>
      </c>
      <c r="AJ467" s="105">
        <f t="shared" si="3136"/>
        <v>1.504</v>
      </c>
      <c r="AK467" s="53">
        <f t="shared" si="2892"/>
        <v>0</v>
      </c>
      <c r="AL467" s="45"/>
      <c r="AM467" s="54">
        <f t="shared" ref="AM467:AN467" si="3137">AM466</f>
        <v>5.0129999999999999</v>
      </c>
      <c r="AN467" s="101" t="str">
        <f t="shared" si="3137"/>
        <v>17,59,050</v>
      </c>
      <c r="AO467" s="11" t="str">
        <f t="shared" si="3064"/>
        <v>17</v>
      </c>
      <c r="AP467" s="11" t="str">
        <f t="shared" si="3065"/>
        <v>59,050</v>
      </c>
      <c r="AQ467" s="11">
        <f t="shared" si="3066"/>
        <v>0.29973611111111109</v>
      </c>
      <c r="AR467" s="14">
        <f t="shared" si="3036"/>
        <v>16.724711551827998</v>
      </c>
      <c r="AS467" s="41">
        <f t="shared" si="3037"/>
        <v>-100</v>
      </c>
      <c r="AT467" s="43" t="str">
        <f t="shared" si="3038"/>
        <v>NO CONFORME</v>
      </c>
      <c r="AU467" s="8" t="b">
        <f t="shared" si="3067"/>
        <v>1</v>
      </c>
      <c r="AV467" s="8" t="b">
        <f t="shared" si="3068"/>
        <v>0</v>
      </c>
      <c r="AW467" s="8" t="b">
        <f t="shared" si="3069"/>
        <v>1</v>
      </c>
      <c r="AX467" s="8" t="str">
        <f t="shared" si="3070"/>
        <v>Qcorrecto</v>
      </c>
      <c r="AY467" s="22" t="str">
        <f t="shared" si="3039"/>
        <v>aceptable</v>
      </c>
      <c r="AZ467" s="22" t="str">
        <f t="shared" si="3040"/>
        <v>aceptable</v>
      </c>
      <c r="BA467" s="22" t="str">
        <f t="shared" si="3071"/>
        <v>aceptable</v>
      </c>
      <c r="BB467" s="25" t="str">
        <f t="shared" si="3072"/>
        <v>NO CONFORME</v>
      </c>
      <c r="BC467" s="5" t="str">
        <f t="shared" si="3073"/>
        <v>NO CONFORME</v>
      </c>
      <c r="BD467" s="15">
        <f t="shared" si="3041"/>
        <v>-1</v>
      </c>
      <c r="BE467" s="15">
        <f t="shared" si="3042"/>
        <v>-1</v>
      </c>
      <c r="BF467" s="15">
        <f t="shared" si="3043"/>
        <v>-1</v>
      </c>
      <c r="BG467" s="15" t="str">
        <f t="shared" si="3044"/>
        <v>-1-1-1</v>
      </c>
      <c r="BH467" s="15" t="str">
        <f t="shared" si="3045"/>
        <v>SD</v>
      </c>
      <c r="BI467" s="15" t="str">
        <f t="shared" si="3046"/>
        <v>SI</v>
      </c>
      <c r="BJ467" s="15" t="b">
        <f t="shared" si="3047"/>
        <v>1</v>
      </c>
      <c r="BK467" s="15" t="str">
        <f t="shared" si="3048"/>
        <v>SIGIGUALES</v>
      </c>
      <c r="BL467" s="22" t="str">
        <f t="shared" si="3049"/>
        <v>NO CONFORME</v>
      </c>
    </row>
    <row r="468" spans="1:64" ht="15.75" thickBot="1" x14ac:dyDescent="0.3">
      <c r="A468" s="37">
        <v>460</v>
      </c>
      <c r="B468" s="93">
        <f t="shared" ref="B468:E468" si="3138">B467</f>
        <v>45919</v>
      </c>
      <c r="C468" s="93">
        <f t="shared" si="3138"/>
        <v>45919</v>
      </c>
      <c r="D468" s="94">
        <f t="shared" si="3138"/>
        <v>6</v>
      </c>
      <c r="E468" s="95">
        <f t="shared" si="3138"/>
        <v>15</v>
      </c>
      <c r="F468" s="13"/>
      <c r="G468" s="90"/>
      <c r="H468" s="97">
        <f t="shared" ref="H468:L468" si="3139">H467</f>
        <v>25.6</v>
      </c>
      <c r="I468" s="98">
        <f t="shared" si="3139"/>
        <v>0</v>
      </c>
      <c r="J468" s="99">
        <f t="shared" si="3139"/>
        <v>20.9</v>
      </c>
      <c r="K468" s="99">
        <f t="shared" si="3139"/>
        <v>7.883</v>
      </c>
      <c r="L468" s="99">
        <f t="shared" si="3139"/>
        <v>0.55400000000000005</v>
      </c>
      <c r="M468" s="45"/>
      <c r="N468" s="45"/>
      <c r="O468" s="100">
        <f t="shared" ref="O468:P468" si="3140">O467</f>
        <v>100.62</v>
      </c>
      <c r="P468" s="101" t="str">
        <f t="shared" si="3140"/>
        <v>2,29,560</v>
      </c>
      <c r="Q468" s="11" t="str">
        <f t="shared" si="3053"/>
        <v>2</v>
      </c>
      <c r="R468" s="11" t="str">
        <f t="shared" si="3054"/>
        <v>29,560</v>
      </c>
      <c r="S468" s="11">
        <f t="shared" si="3055"/>
        <v>4.1544444444444446E-2</v>
      </c>
      <c r="T468" s="14">
        <f t="shared" si="3056"/>
        <v>2421.9844878309709</v>
      </c>
      <c r="U468" s="39">
        <f t="shared" si="3030"/>
        <v>-100</v>
      </c>
      <c r="V468" s="105">
        <f t="shared" ref="V468:X468" si="3141">V467</f>
        <v>20.399999999999999</v>
      </c>
      <c r="W468" s="105">
        <f t="shared" si="3141"/>
        <v>1.5069999999999999</v>
      </c>
      <c r="X468" s="106">
        <f t="shared" si="3141"/>
        <v>1.504</v>
      </c>
      <c r="Y468" s="45"/>
      <c r="Z468" s="45"/>
      <c r="AA468" s="107">
        <f t="shared" ref="AA468:AB468" si="3142">AA467</f>
        <v>10.015000000000001</v>
      </c>
      <c r="AB468" s="108" t="str">
        <f t="shared" si="3142"/>
        <v>22,10,090</v>
      </c>
      <c r="AC468" s="11" t="str">
        <f t="shared" si="3059"/>
        <v>22</v>
      </c>
      <c r="AD468" s="11" t="str">
        <f t="shared" si="3060"/>
        <v>10,090</v>
      </c>
      <c r="AE468" s="11">
        <f t="shared" si="3061"/>
        <v>0.36946944444444441</v>
      </c>
      <c r="AF468" s="14">
        <f t="shared" si="3033"/>
        <v>27.106436406558959</v>
      </c>
      <c r="AG468" s="41">
        <f t="shared" si="3079"/>
        <v>-100</v>
      </c>
      <c r="AH468" s="105">
        <f t="shared" ref="AH468:AJ468" si="3143">AH467</f>
        <v>20.3</v>
      </c>
      <c r="AI468" s="105">
        <f t="shared" si="3143"/>
        <v>1.5089999999999999</v>
      </c>
      <c r="AJ468" s="105">
        <f t="shared" si="3143"/>
        <v>1.504</v>
      </c>
      <c r="AK468" s="53">
        <f t="shared" si="2892"/>
        <v>0</v>
      </c>
      <c r="AL468" s="45"/>
      <c r="AM468" s="54">
        <f t="shared" ref="AM468:AN468" si="3144">AM467</f>
        <v>5.0129999999999999</v>
      </c>
      <c r="AN468" s="101" t="str">
        <f t="shared" si="3144"/>
        <v>17,59,050</v>
      </c>
      <c r="AO468" s="11" t="str">
        <f t="shared" si="3064"/>
        <v>17</v>
      </c>
      <c r="AP468" s="11" t="str">
        <f t="shared" si="3065"/>
        <v>59,050</v>
      </c>
      <c r="AQ468" s="11">
        <f t="shared" si="3066"/>
        <v>0.29973611111111109</v>
      </c>
      <c r="AR468" s="14">
        <f t="shared" si="3036"/>
        <v>16.724711551827998</v>
      </c>
      <c r="AS468" s="41">
        <f t="shared" si="3037"/>
        <v>-100</v>
      </c>
      <c r="AT468" s="43" t="str">
        <f t="shared" si="3038"/>
        <v>NO CONFORME</v>
      </c>
      <c r="AU468" s="8" t="b">
        <f t="shared" si="3067"/>
        <v>1</v>
      </c>
      <c r="AV468" s="8" t="b">
        <f t="shared" si="3068"/>
        <v>0</v>
      </c>
      <c r="AW468" s="8" t="b">
        <f t="shared" si="3069"/>
        <v>1</v>
      </c>
      <c r="AX468" s="8" t="str">
        <f t="shared" si="3070"/>
        <v>Qcorrecto</v>
      </c>
      <c r="AY468" s="22" t="str">
        <f t="shared" si="3039"/>
        <v>aceptable</v>
      </c>
      <c r="AZ468" s="22" t="str">
        <f t="shared" si="3040"/>
        <v>aceptable</v>
      </c>
      <c r="BA468" s="22" t="str">
        <f t="shared" si="3071"/>
        <v>aceptable</v>
      </c>
      <c r="BB468" s="25" t="str">
        <f t="shared" si="3072"/>
        <v>NO CONFORME</v>
      </c>
      <c r="BC468" s="5" t="str">
        <f t="shared" si="3073"/>
        <v>NO CONFORME</v>
      </c>
      <c r="BD468" s="15">
        <f t="shared" si="3041"/>
        <v>-1</v>
      </c>
      <c r="BE468" s="15">
        <f t="shared" si="3042"/>
        <v>-1</v>
      </c>
      <c r="BF468" s="15">
        <f t="shared" si="3043"/>
        <v>-1</v>
      </c>
      <c r="BG468" s="15" t="str">
        <f t="shared" si="3044"/>
        <v>-1-1-1</v>
      </c>
      <c r="BH468" s="15" t="str">
        <f t="shared" si="3045"/>
        <v>SD</v>
      </c>
      <c r="BI468" s="15" t="str">
        <f t="shared" si="3046"/>
        <v>SI</v>
      </c>
      <c r="BJ468" s="15" t="b">
        <f t="shared" si="3047"/>
        <v>1</v>
      </c>
      <c r="BK468" s="15" t="str">
        <f t="shared" si="3048"/>
        <v>SIGIGUALES</v>
      </c>
      <c r="BL468" s="22" t="str">
        <f t="shared" si="3049"/>
        <v>NO CONFORME</v>
      </c>
    </row>
    <row r="469" spans="1:64" ht="15.75" thickBot="1" x14ac:dyDescent="0.3">
      <c r="A469" s="37">
        <v>461</v>
      </c>
      <c r="B469" s="93">
        <f t="shared" ref="B469:E469" si="3145">B468</f>
        <v>45919</v>
      </c>
      <c r="C469" s="93">
        <f t="shared" si="3145"/>
        <v>45919</v>
      </c>
      <c r="D469" s="94">
        <f t="shared" si="3145"/>
        <v>6</v>
      </c>
      <c r="E469" s="95">
        <f t="shared" si="3145"/>
        <v>15</v>
      </c>
      <c r="F469" s="13"/>
      <c r="G469" s="90"/>
      <c r="H469" s="97">
        <f t="shared" ref="H469:L469" si="3146">H468</f>
        <v>25.6</v>
      </c>
      <c r="I469" s="98">
        <f t="shared" si="3146"/>
        <v>0</v>
      </c>
      <c r="J469" s="99">
        <f t="shared" si="3146"/>
        <v>20.9</v>
      </c>
      <c r="K469" s="99">
        <f t="shared" si="3146"/>
        <v>7.883</v>
      </c>
      <c r="L469" s="99">
        <f t="shared" si="3146"/>
        <v>0.55400000000000005</v>
      </c>
      <c r="M469" s="45"/>
      <c r="N469" s="45"/>
      <c r="O469" s="100">
        <f t="shared" ref="O469:P469" si="3147">O468</f>
        <v>100.62</v>
      </c>
      <c r="P469" s="101" t="str">
        <f t="shared" si="3147"/>
        <v>2,29,560</v>
      </c>
      <c r="Q469" s="11" t="str">
        <f t="shared" si="3053"/>
        <v>2</v>
      </c>
      <c r="R469" s="11" t="str">
        <f t="shared" si="3054"/>
        <v>29,560</v>
      </c>
      <c r="S469" s="11">
        <f t="shared" si="3055"/>
        <v>4.1544444444444446E-2</v>
      </c>
      <c r="T469" s="14">
        <f t="shared" si="3056"/>
        <v>2421.9844878309709</v>
      </c>
      <c r="U469" s="39">
        <f t="shared" si="3030"/>
        <v>-100</v>
      </c>
      <c r="V469" s="105">
        <f t="shared" ref="V469:X469" si="3148">V468</f>
        <v>20.399999999999999</v>
      </c>
      <c r="W469" s="105">
        <f t="shared" si="3148"/>
        <v>1.5069999999999999</v>
      </c>
      <c r="X469" s="106">
        <f t="shared" si="3148"/>
        <v>1.504</v>
      </c>
      <c r="Y469" s="45"/>
      <c r="Z469" s="45"/>
      <c r="AA469" s="107">
        <f t="shared" ref="AA469:AB469" si="3149">AA468</f>
        <v>10.015000000000001</v>
      </c>
      <c r="AB469" s="108" t="str">
        <f t="shared" si="3149"/>
        <v>22,10,090</v>
      </c>
      <c r="AC469" s="11" t="str">
        <f t="shared" si="3059"/>
        <v>22</v>
      </c>
      <c r="AD469" s="11" t="str">
        <f t="shared" si="3060"/>
        <v>10,090</v>
      </c>
      <c r="AE469" s="11">
        <f t="shared" si="3061"/>
        <v>0.36946944444444441</v>
      </c>
      <c r="AF469" s="14">
        <f t="shared" si="3033"/>
        <v>27.106436406558959</v>
      </c>
      <c r="AG469" s="41">
        <f t="shared" si="3079"/>
        <v>-100</v>
      </c>
      <c r="AH469" s="105">
        <f t="shared" ref="AH469:AJ469" si="3150">AH468</f>
        <v>20.3</v>
      </c>
      <c r="AI469" s="105">
        <f t="shared" si="3150"/>
        <v>1.5089999999999999</v>
      </c>
      <c r="AJ469" s="105">
        <f t="shared" si="3150"/>
        <v>1.504</v>
      </c>
      <c r="AK469" s="53">
        <f t="shared" si="2892"/>
        <v>0</v>
      </c>
      <c r="AL469" s="45"/>
      <c r="AM469" s="54">
        <f t="shared" ref="AM469:AN469" si="3151">AM468</f>
        <v>5.0129999999999999</v>
      </c>
      <c r="AN469" s="101" t="str">
        <f t="shared" si="3151"/>
        <v>17,59,050</v>
      </c>
      <c r="AO469" s="11" t="str">
        <f t="shared" si="3064"/>
        <v>17</v>
      </c>
      <c r="AP469" s="11" t="str">
        <f t="shared" si="3065"/>
        <v>59,050</v>
      </c>
      <c r="AQ469" s="11">
        <f t="shared" si="3066"/>
        <v>0.29973611111111109</v>
      </c>
      <c r="AR469" s="14">
        <f t="shared" si="3036"/>
        <v>16.724711551827998</v>
      </c>
      <c r="AS469" s="41">
        <f t="shared" si="3037"/>
        <v>-100</v>
      </c>
      <c r="AT469" s="43" t="str">
        <f t="shared" si="3038"/>
        <v>NO CONFORME</v>
      </c>
      <c r="AU469" s="8" t="b">
        <f t="shared" si="3067"/>
        <v>1</v>
      </c>
      <c r="AV469" s="8" t="b">
        <f t="shared" si="3068"/>
        <v>0</v>
      </c>
      <c r="AW469" s="8" t="b">
        <f t="shared" si="3069"/>
        <v>1</v>
      </c>
      <c r="AX469" s="8" t="str">
        <f t="shared" si="3070"/>
        <v>Qcorrecto</v>
      </c>
      <c r="AY469" s="22" t="str">
        <f t="shared" si="3039"/>
        <v>aceptable</v>
      </c>
      <c r="AZ469" s="22" t="str">
        <f t="shared" si="3040"/>
        <v>aceptable</v>
      </c>
      <c r="BA469" s="22" t="str">
        <f t="shared" si="3071"/>
        <v>aceptable</v>
      </c>
      <c r="BB469" s="25" t="str">
        <f t="shared" si="3072"/>
        <v>NO CONFORME</v>
      </c>
      <c r="BC469" s="5" t="str">
        <f t="shared" si="3073"/>
        <v>NO CONFORME</v>
      </c>
      <c r="BD469" s="15">
        <f t="shared" si="3041"/>
        <v>-1</v>
      </c>
      <c r="BE469" s="15">
        <f t="shared" si="3042"/>
        <v>-1</v>
      </c>
      <c r="BF469" s="15">
        <f t="shared" si="3043"/>
        <v>-1</v>
      </c>
      <c r="BG469" s="15" t="str">
        <f t="shared" si="3044"/>
        <v>-1-1-1</v>
      </c>
      <c r="BH469" s="15" t="str">
        <f t="shared" si="3045"/>
        <v>SD</v>
      </c>
      <c r="BI469" s="15" t="str">
        <f t="shared" si="3046"/>
        <v>SI</v>
      </c>
      <c r="BJ469" s="15" t="b">
        <f t="shared" si="3047"/>
        <v>1</v>
      </c>
      <c r="BK469" s="15" t="str">
        <f t="shared" si="3048"/>
        <v>SIGIGUALES</v>
      </c>
      <c r="BL469" s="22" t="str">
        <f t="shared" si="3049"/>
        <v>NO CONFORME</v>
      </c>
    </row>
    <row r="470" spans="1:64" ht="15.75" thickBot="1" x14ac:dyDescent="0.3">
      <c r="A470" s="37">
        <v>462</v>
      </c>
      <c r="B470" s="93">
        <f t="shared" ref="B470:E470" si="3152">B469</f>
        <v>45919</v>
      </c>
      <c r="C470" s="93">
        <f t="shared" si="3152"/>
        <v>45919</v>
      </c>
      <c r="D470" s="94">
        <f t="shared" si="3152"/>
        <v>6</v>
      </c>
      <c r="E470" s="95">
        <f t="shared" si="3152"/>
        <v>15</v>
      </c>
      <c r="F470" s="13"/>
      <c r="G470" s="90"/>
      <c r="H470" s="97">
        <f t="shared" ref="H470:L470" si="3153">H469</f>
        <v>25.6</v>
      </c>
      <c r="I470" s="98">
        <f t="shared" si="3153"/>
        <v>0</v>
      </c>
      <c r="J470" s="99">
        <f t="shared" si="3153"/>
        <v>20.9</v>
      </c>
      <c r="K470" s="99">
        <f t="shared" si="3153"/>
        <v>7.883</v>
      </c>
      <c r="L470" s="99">
        <f t="shared" si="3153"/>
        <v>0.55400000000000005</v>
      </c>
      <c r="M470" s="45"/>
      <c r="N470" s="45"/>
      <c r="O470" s="100">
        <f t="shared" ref="O470:P470" si="3154">O469</f>
        <v>100.62</v>
      </c>
      <c r="P470" s="101" t="str">
        <f t="shared" si="3154"/>
        <v>2,29,560</v>
      </c>
      <c r="Q470" s="11" t="str">
        <f t="shared" si="3053"/>
        <v>2</v>
      </c>
      <c r="R470" s="11" t="str">
        <f t="shared" si="3054"/>
        <v>29,560</v>
      </c>
      <c r="S470" s="11">
        <f t="shared" si="3055"/>
        <v>4.1544444444444446E-2</v>
      </c>
      <c r="T470" s="14">
        <f t="shared" si="3056"/>
        <v>2421.9844878309709</v>
      </c>
      <c r="U470" s="39">
        <f t="shared" si="3030"/>
        <v>-100</v>
      </c>
      <c r="V470" s="105">
        <f t="shared" ref="V470:X470" si="3155">V469</f>
        <v>20.399999999999999</v>
      </c>
      <c r="W470" s="105">
        <f t="shared" si="3155"/>
        <v>1.5069999999999999</v>
      </c>
      <c r="X470" s="106">
        <f t="shared" si="3155"/>
        <v>1.504</v>
      </c>
      <c r="Y470" s="45"/>
      <c r="Z470" s="45"/>
      <c r="AA470" s="107">
        <f t="shared" ref="AA470:AB470" si="3156">AA469</f>
        <v>10.015000000000001</v>
      </c>
      <c r="AB470" s="108" t="str">
        <f t="shared" si="3156"/>
        <v>22,10,090</v>
      </c>
      <c r="AC470" s="11" t="str">
        <f t="shared" si="3059"/>
        <v>22</v>
      </c>
      <c r="AD470" s="11" t="str">
        <f t="shared" si="3060"/>
        <v>10,090</v>
      </c>
      <c r="AE470" s="11">
        <f t="shared" si="3061"/>
        <v>0.36946944444444441</v>
      </c>
      <c r="AF470" s="14">
        <f t="shared" si="3033"/>
        <v>27.106436406558959</v>
      </c>
      <c r="AG470" s="41">
        <f t="shared" si="3079"/>
        <v>-100</v>
      </c>
      <c r="AH470" s="105">
        <f t="shared" ref="AH470:AJ470" si="3157">AH469</f>
        <v>20.3</v>
      </c>
      <c r="AI470" s="105">
        <f t="shared" si="3157"/>
        <v>1.5089999999999999</v>
      </c>
      <c r="AJ470" s="105">
        <f t="shared" si="3157"/>
        <v>1.504</v>
      </c>
      <c r="AK470" s="53">
        <f t="shared" si="2892"/>
        <v>0</v>
      </c>
      <c r="AL470" s="45"/>
      <c r="AM470" s="54">
        <f t="shared" ref="AM470:AN470" si="3158">AM469</f>
        <v>5.0129999999999999</v>
      </c>
      <c r="AN470" s="101" t="str">
        <f t="shared" si="3158"/>
        <v>17,59,050</v>
      </c>
      <c r="AO470" s="11" t="str">
        <f t="shared" si="3064"/>
        <v>17</v>
      </c>
      <c r="AP470" s="11" t="str">
        <f t="shared" si="3065"/>
        <v>59,050</v>
      </c>
      <c r="AQ470" s="11">
        <f t="shared" si="3066"/>
        <v>0.29973611111111109</v>
      </c>
      <c r="AR470" s="14">
        <f t="shared" si="3036"/>
        <v>16.724711551827998</v>
      </c>
      <c r="AS470" s="41">
        <f t="shared" si="3037"/>
        <v>-100</v>
      </c>
      <c r="AT470" s="43" t="str">
        <f t="shared" si="3038"/>
        <v>NO CONFORME</v>
      </c>
      <c r="AU470" s="8" t="b">
        <f t="shared" si="3067"/>
        <v>1</v>
      </c>
      <c r="AV470" s="8" t="b">
        <f t="shared" si="3068"/>
        <v>0</v>
      </c>
      <c r="AW470" s="8" t="b">
        <f t="shared" si="3069"/>
        <v>1</v>
      </c>
      <c r="AX470" s="8" t="str">
        <f t="shared" si="3070"/>
        <v>Qcorrecto</v>
      </c>
      <c r="AY470" s="22" t="str">
        <f t="shared" si="3039"/>
        <v>aceptable</v>
      </c>
      <c r="AZ470" s="22" t="str">
        <f t="shared" si="3040"/>
        <v>aceptable</v>
      </c>
      <c r="BA470" s="22" t="str">
        <f t="shared" si="3071"/>
        <v>aceptable</v>
      </c>
      <c r="BB470" s="25" t="str">
        <f t="shared" si="3072"/>
        <v>NO CONFORME</v>
      </c>
      <c r="BC470" s="5" t="str">
        <f t="shared" si="3073"/>
        <v>NO CONFORME</v>
      </c>
      <c r="BD470" s="15">
        <f t="shared" si="3041"/>
        <v>-1</v>
      </c>
      <c r="BE470" s="15">
        <f t="shared" si="3042"/>
        <v>-1</v>
      </c>
      <c r="BF470" s="15">
        <f t="shared" si="3043"/>
        <v>-1</v>
      </c>
      <c r="BG470" s="15" t="str">
        <f t="shared" si="3044"/>
        <v>-1-1-1</v>
      </c>
      <c r="BH470" s="15" t="str">
        <f t="shared" si="3045"/>
        <v>SD</v>
      </c>
      <c r="BI470" s="15" t="str">
        <f t="shared" si="3046"/>
        <v>SI</v>
      </c>
      <c r="BJ470" s="15" t="b">
        <f t="shared" si="3047"/>
        <v>1</v>
      </c>
      <c r="BK470" s="15" t="str">
        <f t="shared" si="3048"/>
        <v>SIGIGUALES</v>
      </c>
      <c r="BL470" s="22" t="str">
        <f t="shared" si="3049"/>
        <v>NO CONFORME</v>
      </c>
    </row>
    <row r="471" spans="1:64" ht="15.75" thickBot="1" x14ac:dyDescent="0.3">
      <c r="A471" s="37">
        <v>463</v>
      </c>
      <c r="B471" s="93">
        <f t="shared" ref="B471:E471" si="3159">B470</f>
        <v>45919</v>
      </c>
      <c r="C471" s="93">
        <f t="shared" si="3159"/>
        <v>45919</v>
      </c>
      <c r="D471" s="94">
        <f t="shared" si="3159"/>
        <v>6</v>
      </c>
      <c r="E471" s="95">
        <f t="shared" si="3159"/>
        <v>15</v>
      </c>
      <c r="F471" s="13"/>
      <c r="G471" s="90"/>
      <c r="H471" s="97">
        <f t="shared" ref="H471:L471" si="3160">H470</f>
        <v>25.6</v>
      </c>
      <c r="I471" s="98">
        <f t="shared" si="3160"/>
        <v>0</v>
      </c>
      <c r="J471" s="99">
        <f t="shared" si="3160"/>
        <v>20.9</v>
      </c>
      <c r="K471" s="99">
        <f t="shared" si="3160"/>
        <v>7.883</v>
      </c>
      <c r="L471" s="99">
        <f t="shared" si="3160"/>
        <v>0.55400000000000005</v>
      </c>
      <c r="M471" s="45"/>
      <c r="N471" s="45"/>
      <c r="O471" s="100">
        <f t="shared" ref="O471:P471" si="3161">O470</f>
        <v>100.62</v>
      </c>
      <c r="P471" s="101" t="str">
        <f t="shared" si="3161"/>
        <v>2,29,560</v>
      </c>
      <c r="Q471" s="11" t="str">
        <f t="shared" si="3053"/>
        <v>2</v>
      </c>
      <c r="R471" s="11" t="str">
        <f t="shared" si="3054"/>
        <v>29,560</v>
      </c>
      <c r="S471" s="11">
        <f t="shared" si="3055"/>
        <v>4.1544444444444446E-2</v>
      </c>
      <c r="T471" s="14">
        <f t="shared" si="3056"/>
        <v>2421.9844878309709</v>
      </c>
      <c r="U471" s="39">
        <f t="shared" si="3030"/>
        <v>-100</v>
      </c>
      <c r="V471" s="105">
        <f t="shared" ref="V471:X471" si="3162">V470</f>
        <v>20.399999999999999</v>
      </c>
      <c r="W471" s="105">
        <f t="shared" si="3162"/>
        <v>1.5069999999999999</v>
      </c>
      <c r="X471" s="106">
        <f t="shared" si="3162"/>
        <v>1.504</v>
      </c>
      <c r="Y471" s="45"/>
      <c r="Z471" s="45"/>
      <c r="AA471" s="107">
        <f t="shared" ref="AA471:AB471" si="3163">AA470</f>
        <v>10.015000000000001</v>
      </c>
      <c r="AB471" s="108" t="str">
        <f t="shared" si="3163"/>
        <v>22,10,090</v>
      </c>
      <c r="AC471" s="11" t="str">
        <f t="shared" si="3059"/>
        <v>22</v>
      </c>
      <c r="AD471" s="11" t="str">
        <f t="shared" si="3060"/>
        <v>10,090</v>
      </c>
      <c r="AE471" s="11">
        <f t="shared" si="3061"/>
        <v>0.36946944444444441</v>
      </c>
      <c r="AF471" s="14">
        <f t="shared" si="3033"/>
        <v>27.106436406558959</v>
      </c>
      <c r="AG471" s="41">
        <f t="shared" si="3079"/>
        <v>-100</v>
      </c>
      <c r="AH471" s="105">
        <f t="shared" ref="AH471:AJ471" si="3164">AH470</f>
        <v>20.3</v>
      </c>
      <c r="AI471" s="105">
        <f t="shared" si="3164"/>
        <v>1.5089999999999999</v>
      </c>
      <c r="AJ471" s="105">
        <f t="shared" si="3164"/>
        <v>1.504</v>
      </c>
      <c r="AK471" s="53">
        <f t="shared" si="2892"/>
        <v>0</v>
      </c>
      <c r="AL471" s="45"/>
      <c r="AM471" s="54">
        <f t="shared" ref="AM471:AN471" si="3165">AM470</f>
        <v>5.0129999999999999</v>
      </c>
      <c r="AN471" s="101" t="str">
        <f t="shared" si="3165"/>
        <v>17,59,050</v>
      </c>
      <c r="AO471" s="11" t="str">
        <f t="shared" si="3064"/>
        <v>17</v>
      </c>
      <c r="AP471" s="11" t="str">
        <f t="shared" si="3065"/>
        <v>59,050</v>
      </c>
      <c r="AQ471" s="11">
        <f t="shared" si="3066"/>
        <v>0.29973611111111109</v>
      </c>
      <c r="AR471" s="14">
        <f t="shared" si="3036"/>
        <v>16.724711551827998</v>
      </c>
      <c r="AS471" s="41">
        <f t="shared" si="3037"/>
        <v>-100</v>
      </c>
      <c r="AT471" s="43" t="str">
        <f t="shared" si="3038"/>
        <v>NO CONFORME</v>
      </c>
      <c r="AU471" s="8" t="b">
        <f t="shared" si="3067"/>
        <v>1</v>
      </c>
      <c r="AV471" s="8" t="b">
        <f t="shared" si="3068"/>
        <v>0</v>
      </c>
      <c r="AW471" s="8" t="b">
        <f t="shared" si="3069"/>
        <v>1</v>
      </c>
      <c r="AX471" s="8" t="str">
        <f t="shared" si="3070"/>
        <v>Qcorrecto</v>
      </c>
      <c r="AY471" s="22" t="str">
        <f t="shared" si="3039"/>
        <v>aceptable</v>
      </c>
      <c r="AZ471" s="22" t="str">
        <f t="shared" si="3040"/>
        <v>aceptable</v>
      </c>
      <c r="BA471" s="22" t="str">
        <f t="shared" si="3071"/>
        <v>aceptable</v>
      </c>
      <c r="BB471" s="25" t="str">
        <f t="shared" si="3072"/>
        <v>NO CONFORME</v>
      </c>
      <c r="BC471" s="5" t="str">
        <f t="shared" si="3073"/>
        <v>NO CONFORME</v>
      </c>
      <c r="BD471" s="15">
        <f t="shared" si="3041"/>
        <v>-1</v>
      </c>
      <c r="BE471" s="15">
        <f t="shared" si="3042"/>
        <v>-1</v>
      </c>
      <c r="BF471" s="15">
        <f t="shared" si="3043"/>
        <v>-1</v>
      </c>
      <c r="BG471" s="15" t="str">
        <f t="shared" si="3044"/>
        <v>-1-1-1</v>
      </c>
      <c r="BH471" s="15" t="str">
        <f t="shared" si="3045"/>
        <v>SD</v>
      </c>
      <c r="BI471" s="15" t="str">
        <f t="shared" si="3046"/>
        <v>SI</v>
      </c>
      <c r="BJ471" s="15" t="b">
        <f t="shared" si="3047"/>
        <v>1</v>
      </c>
      <c r="BK471" s="15" t="str">
        <f t="shared" si="3048"/>
        <v>SIGIGUALES</v>
      </c>
      <c r="BL471" s="22" t="str">
        <f t="shared" si="3049"/>
        <v>NO CONFORME</v>
      </c>
    </row>
    <row r="472" spans="1:64" ht="15.75" thickBot="1" x14ac:dyDescent="0.3">
      <c r="A472" s="37">
        <v>464</v>
      </c>
      <c r="B472" s="93">
        <f t="shared" ref="B472:E472" si="3166">B471</f>
        <v>45919</v>
      </c>
      <c r="C472" s="93">
        <f t="shared" si="3166"/>
        <v>45919</v>
      </c>
      <c r="D472" s="94">
        <f t="shared" si="3166"/>
        <v>6</v>
      </c>
      <c r="E472" s="95">
        <f t="shared" si="3166"/>
        <v>15</v>
      </c>
      <c r="F472" s="52"/>
      <c r="G472" s="96"/>
      <c r="H472" s="97">
        <f t="shared" ref="H472:L472" si="3167">H471</f>
        <v>25.6</v>
      </c>
      <c r="I472" s="98">
        <f t="shared" si="3167"/>
        <v>0</v>
      </c>
      <c r="J472" s="99">
        <f t="shared" si="3167"/>
        <v>20.9</v>
      </c>
      <c r="K472" s="99">
        <f t="shared" si="3167"/>
        <v>7.883</v>
      </c>
      <c r="L472" s="99">
        <f t="shared" si="3167"/>
        <v>0.55400000000000005</v>
      </c>
      <c r="M472" s="53"/>
      <c r="N472" s="53"/>
      <c r="O472" s="100">
        <f t="shared" ref="O472:P472" si="3168">O471</f>
        <v>100.62</v>
      </c>
      <c r="P472" s="101" t="str">
        <f t="shared" si="3168"/>
        <v>2,29,560</v>
      </c>
      <c r="Q472" s="11" t="str">
        <f t="shared" si="3053"/>
        <v>2</v>
      </c>
      <c r="R472" s="11" t="str">
        <f t="shared" si="3054"/>
        <v>29,560</v>
      </c>
      <c r="S472" s="11">
        <f t="shared" si="3055"/>
        <v>4.1544444444444446E-2</v>
      </c>
      <c r="T472" s="14">
        <f t="shared" si="3056"/>
        <v>2421.9844878309709</v>
      </c>
      <c r="U472" s="39">
        <f t="shared" si="3030"/>
        <v>-100</v>
      </c>
      <c r="V472" s="105">
        <f t="shared" ref="V472:X472" si="3169">V471</f>
        <v>20.399999999999999</v>
      </c>
      <c r="W472" s="105">
        <f t="shared" si="3169"/>
        <v>1.5069999999999999</v>
      </c>
      <c r="X472" s="106">
        <f t="shared" si="3169"/>
        <v>1.504</v>
      </c>
      <c r="Y472" s="53"/>
      <c r="Z472" s="53"/>
      <c r="AA472" s="107">
        <f t="shared" ref="AA472:AB472" si="3170">AA471</f>
        <v>10.015000000000001</v>
      </c>
      <c r="AB472" s="108" t="str">
        <f t="shared" si="3170"/>
        <v>22,10,090</v>
      </c>
      <c r="AC472" s="11" t="str">
        <f t="shared" si="3059"/>
        <v>22</v>
      </c>
      <c r="AD472" s="11" t="str">
        <f t="shared" si="3060"/>
        <v>10,090</v>
      </c>
      <c r="AE472" s="11">
        <f t="shared" si="3061"/>
        <v>0.36946944444444441</v>
      </c>
      <c r="AF472" s="14">
        <f t="shared" si="3033"/>
        <v>27.106436406558959</v>
      </c>
      <c r="AG472" s="41">
        <f t="shared" si="3079"/>
        <v>-100</v>
      </c>
      <c r="AH472" s="105">
        <f t="shared" ref="AH472:AJ472" si="3171">AH471</f>
        <v>20.3</v>
      </c>
      <c r="AI472" s="105">
        <f t="shared" si="3171"/>
        <v>1.5089999999999999</v>
      </c>
      <c r="AJ472" s="105">
        <f t="shared" si="3171"/>
        <v>1.504</v>
      </c>
      <c r="AK472" s="53">
        <f t="shared" si="2892"/>
        <v>0</v>
      </c>
      <c r="AL472" s="53"/>
      <c r="AM472" s="54">
        <f t="shared" ref="AM472:AN472" si="3172">AM471</f>
        <v>5.0129999999999999</v>
      </c>
      <c r="AN472" s="101" t="str">
        <f t="shared" si="3172"/>
        <v>17,59,050</v>
      </c>
      <c r="AO472" s="11" t="str">
        <f t="shared" si="3064"/>
        <v>17</v>
      </c>
      <c r="AP472" s="11" t="str">
        <f t="shared" si="3065"/>
        <v>59,050</v>
      </c>
      <c r="AQ472" s="11">
        <f t="shared" si="3066"/>
        <v>0.29973611111111109</v>
      </c>
      <c r="AR472" s="14">
        <f t="shared" si="3036"/>
        <v>16.724711551827998</v>
      </c>
      <c r="AS472" s="41">
        <f t="shared" si="3037"/>
        <v>-100</v>
      </c>
      <c r="AT472" s="43" t="str">
        <f t="shared" si="3038"/>
        <v>NO CONFORME</v>
      </c>
      <c r="AU472" s="8" t="b">
        <f t="shared" si="3067"/>
        <v>1</v>
      </c>
      <c r="AV472" s="8" t="b">
        <f t="shared" si="3068"/>
        <v>0</v>
      </c>
      <c r="AW472" s="8" t="b">
        <f t="shared" si="3069"/>
        <v>1</v>
      </c>
      <c r="AX472" s="8" t="str">
        <f t="shared" si="3070"/>
        <v>Qcorrecto</v>
      </c>
      <c r="AY472" s="22" t="str">
        <f t="shared" si="3039"/>
        <v>aceptable</v>
      </c>
      <c r="AZ472" s="22" t="str">
        <f t="shared" si="3040"/>
        <v>aceptable</v>
      </c>
      <c r="BA472" s="22" t="str">
        <f t="shared" si="3071"/>
        <v>aceptable</v>
      </c>
      <c r="BB472" s="25" t="str">
        <f t="shared" si="3072"/>
        <v>NO CONFORME</v>
      </c>
      <c r="BC472" s="5" t="str">
        <f t="shared" si="3073"/>
        <v>NO CONFORME</v>
      </c>
      <c r="BD472" s="15">
        <f t="shared" si="3041"/>
        <v>-1</v>
      </c>
      <c r="BE472" s="15">
        <f t="shared" si="3042"/>
        <v>-1</v>
      </c>
      <c r="BF472" s="15">
        <f t="shared" si="3043"/>
        <v>-1</v>
      </c>
      <c r="BG472" s="15" t="str">
        <f t="shared" si="3044"/>
        <v>-1-1-1</v>
      </c>
      <c r="BH472" s="15" t="str">
        <f t="shared" si="3045"/>
        <v>SD</v>
      </c>
      <c r="BI472" s="15" t="str">
        <f t="shared" si="3046"/>
        <v>SI</v>
      </c>
      <c r="BJ472" s="15" t="b">
        <f t="shared" si="3047"/>
        <v>1</v>
      </c>
      <c r="BK472" s="15" t="str">
        <f t="shared" si="3048"/>
        <v>SIGIGUALES</v>
      </c>
      <c r="BL472" s="22" t="str">
        <f t="shared" si="3049"/>
        <v>NO CONFORME</v>
      </c>
    </row>
    <row r="473" spans="1:64" ht="15.75" thickBot="1" x14ac:dyDescent="0.3">
      <c r="A473" s="37">
        <v>465</v>
      </c>
      <c r="B473" s="93">
        <f t="shared" ref="B473:E473" si="3173">B472</f>
        <v>45919</v>
      </c>
      <c r="C473" s="93">
        <f t="shared" si="3173"/>
        <v>45919</v>
      </c>
      <c r="D473" s="94">
        <f t="shared" si="3173"/>
        <v>6</v>
      </c>
      <c r="E473" s="95">
        <f t="shared" si="3173"/>
        <v>15</v>
      </c>
      <c r="F473" s="46"/>
      <c r="G473" s="110"/>
      <c r="H473" s="97">
        <f t="shared" ref="H473:L473" si="3174">H472</f>
        <v>25.6</v>
      </c>
      <c r="I473" s="98">
        <f t="shared" si="3174"/>
        <v>0</v>
      </c>
      <c r="J473" s="99">
        <f t="shared" si="3174"/>
        <v>20.9</v>
      </c>
      <c r="K473" s="99">
        <f t="shared" si="3174"/>
        <v>7.883</v>
      </c>
      <c r="L473" s="99">
        <f t="shared" si="3174"/>
        <v>0.55400000000000005</v>
      </c>
      <c r="M473" s="47"/>
      <c r="N473" s="47"/>
      <c r="O473" s="100">
        <f t="shared" ref="O473:P473" si="3175">O472</f>
        <v>100.62</v>
      </c>
      <c r="P473" s="101" t="str">
        <f t="shared" si="3175"/>
        <v>2,29,560</v>
      </c>
      <c r="Q473" s="11" t="str">
        <f t="shared" si="3053"/>
        <v>2</v>
      </c>
      <c r="R473" s="11" t="str">
        <f t="shared" si="3054"/>
        <v>29,560</v>
      </c>
      <c r="S473" s="11">
        <f t="shared" si="3055"/>
        <v>4.1544444444444446E-2</v>
      </c>
      <c r="T473" s="14">
        <f t="shared" si="3056"/>
        <v>2421.9844878309709</v>
      </c>
      <c r="U473" s="39">
        <f t="shared" si="3030"/>
        <v>-100</v>
      </c>
      <c r="V473" s="105">
        <f t="shared" ref="V473:X473" si="3176">V472</f>
        <v>20.399999999999999</v>
      </c>
      <c r="W473" s="105">
        <f t="shared" si="3176"/>
        <v>1.5069999999999999</v>
      </c>
      <c r="X473" s="106">
        <f t="shared" si="3176"/>
        <v>1.504</v>
      </c>
      <c r="Y473" s="47"/>
      <c r="Z473" s="47"/>
      <c r="AA473" s="107">
        <f t="shared" ref="AA473:AB473" si="3177">AA472</f>
        <v>10.015000000000001</v>
      </c>
      <c r="AB473" s="108" t="str">
        <f t="shared" si="3177"/>
        <v>22,10,090</v>
      </c>
      <c r="AC473" s="11" t="str">
        <f t="shared" si="3059"/>
        <v>22</v>
      </c>
      <c r="AD473" s="11" t="str">
        <f t="shared" si="3060"/>
        <v>10,090</v>
      </c>
      <c r="AE473" s="11">
        <f t="shared" si="3061"/>
        <v>0.36946944444444441</v>
      </c>
      <c r="AF473" s="14">
        <f t="shared" si="3033"/>
        <v>27.106436406558959</v>
      </c>
      <c r="AG473" s="41">
        <f t="shared" si="3079"/>
        <v>-100</v>
      </c>
      <c r="AH473" s="105">
        <f t="shared" ref="AH473:AJ473" si="3178">AH472</f>
        <v>20.3</v>
      </c>
      <c r="AI473" s="105">
        <f t="shared" si="3178"/>
        <v>1.5089999999999999</v>
      </c>
      <c r="AJ473" s="105">
        <f t="shared" si="3178"/>
        <v>1.504</v>
      </c>
      <c r="AK473" s="53">
        <f t="shared" si="2892"/>
        <v>0</v>
      </c>
      <c r="AL473" s="47"/>
      <c r="AM473" s="54">
        <f t="shared" ref="AM473:AN473" si="3179">AM472</f>
        <v>5.0129999999999999</v>
      </c>
      <c r="AN473" s="101" t="str">
        <f t="shared" si="3179"/>
        <v>17,59,050</v>
      </c>
      <c r="AO473" s="11" t="str">
        <f t="shared" si="3064"/>
        <v>17</v>
      </c>
      <c r="AP473" s="11" t="str">
        <f t="shared" si="3065"/>
        <v>59,050</v>
      </c>
      <c r="AQ473" s="11">
        <f t="shared" si="3066"/>
        <v>0.29973611111111109</v>
      </c>
      <c r="AR473" s="14">
        <f t="shared" si="3036"/>
        <v>16.724711551827998</v>
      </c>
      <c r="AS473" s="41">
        <f t="shared" si="3037"/>
        <v>-100</v>
      </c>
      <c r="AT473" s="43" t="str">
        <f t="shared" si="3038"/>
        <v>NO CONFORME</v>
      </c>
      <c r="AU473" s="8" t="b">
        <f t="shared" si="3067"/>
        <v>1</v>
      </c>
      <c r="AV473" s="8" t="b">
        <f t="shared" si="3068"/>
        <v>0</v>
      </c>
      <c r="AW473" s="8" t="b">
        <f t="shared" si="3069"/>
        <v>1</v>
      </c>
      <c r="AX473" s="8" t="str">
        <f t="shared" si="3070"/>
        <v>Qcorrecto</v>
      </c>
      <c r="AY473" s="22" t="str">
        <f t="shared" si="3039"/>
        <v>aceptable</v>
      </c>
      <c r="AZ473" s="22" t="str">
        <f t="shared" si="3040"/>
        <v>aceptable</v>
      </c>
      <c r="BA473" s="22" t="str">
        <f t="shared" si="3071"/>
        <v>aceptable</v>
      </c>
      <c r="BB473" s="25" t="str">
        <f t="shared" si="3072"/>
        <v>NO CONFORME</v>
      </c>
      <c r="BC473" s="5" t="str">
        <f t="shared" si="3073"/>
        <v>NO CONFORME</v>
      </c>
      <c r="BD473" s="15">
        <f t="shared" si="3041"/>
        <v>-1</v>
      </c>
      <c r="BE473" s="15">
        <f t="shared" si="3042"/>
        <v>-1</v>
      </c>
      <c r="BF473" s="15">
        <f t="shared" si="3043"/>
        <v>-1</v>
      </c>
      <c r="BG473" s="15" t="str">
        <f t="shared" si="3044"/>
        <v>-1-1-1</v>
      </c>
      <c r="BH473" s="15" t="str">
        <f t="shared" si="3045"/>
        <v>SD</v>
      </c>
      <c r="BI473" s="15" t="str">
        <f t="shared" si="3046"/>
        <v>SI</v>
      </c>
      <c r="BJ473" s="15" t="b">
        <f t="shared" si="3047"/>
        <v>1</v>
      </c>
      <c r="BK473" s="15" t="str">
        <f t="shared" si="3048"/>
        <v>SIGIGUALES</v>
      </c>
      <c r="BL473" s="22" t="str">
        <f t="shared" si="3049"/>
        <v>NO CONFORME</v>
      </c>
    </row>
    <row r="474" spans="1:64" ht="15.75" thickBot="1" x14ac:dyDescent="0.3">
      <c r="A474" s="37">
        <v>466</v>
      </c>
      <c r="B474" s="93">
        <f t="shared" ref="B474:E474" si="3180">B473</f>
        <v>45919</v>
      </c>
      <c r="C474" s="93">
        <f t="shared" si="3180"/>
        <v>45919</v>
      </c>
      <c r="D474" s="94">
        <f t="shared" si="3180"/>
        <v>6</v>
      </c>
      <c r="E474" s="95">
        <f t="shared" si="3180"/>
        <v>15</v>
      </c>
      <c r="F474" s="13"/>
      <c r="G474" s="90"/>
      <c r="H474" s="97">
        <f t="shared" ref="H474:L474" si="3181">H473</f>
        <v>25.6</v>
      </c>
      <c r="I474" s="98">
        <f t="shared" si="3181"/>
        <v>0</v>
      </c>
      <c r="J474" s="99">
        <f t="shared" si="3181"/>
        <v>20.9</v>
      </c>
      <c r="K474" s="99">
        <f t="shared" si="3181"/>
        <v>7.883</v>
      </c>
      <c r="L474" s="99">
        <f t="shared" si="3181"/>
        <v>0.55400000000000005</v>
      </c>
      <c r="M474" s="45"/>
      <c r="N474" s="45"/>
      <c r="O474" s="100">
        <f t="shared" ref="O474:P474" si="3182">O473</f>
        <v>100.62</v>
      </c>
      <c r="P474" s="101" t="str">
        <f t="shared" si="3182"/>
        <v>2,29,560</v>
      </c>
      <c r="Q474" s="11" t="str">
        <f t="shared" si="3053"/>
        <v>2</v>
      </c>
      <c r="R474" s="11" t="str">
        <f t="shared" si="3054"/>
        <v>29,560</v>
      </c>
      <c r="S474" s="11">
        <f t="shared" si="3055"/>
        <v>4.1544444444444446E-2</v>
      </c>
      <c r="T474" s="14">
        <f t="shared" si="3056"/>
        <v>2421.9844878309709</v>
      </c>
      <c r="U474" s="39">
        <f t="shared" si="3030"/>
        <v>-100</v>
      </c>
      <c r="V474" s="105">
        <f t="shared" ref="V474:X474" si="3183">V473</f>
        <v>20.399999999999999</v>
      </c>
      <c r="W474" s="105">
        <f t="shared" si="3183"/>
        <v>1.5069999999999999</v>
      </c>
      <c r="X474" s="106">
        <f t="shared" si="3183"/>
        <v>1.504</v>
      </c>
      <c r="Y474" s="45"/>
      <c r="Z474" s="45"/>
      <c r="AA474" s="107">
        <f t="shared" ref="AA474:AB474" si="3184">AA473</f>
        <v>10.015000000000001</v>
      </c>
      <c r="AB474" s="108" t="str">
        <f t="shared" si="3184"/>
        <v>22,10,090</v>
      </c>
      <c r="AC474" s="11" t="str">
        <f t="shared" si="3059"/>
        <v>22</v>
      </c>
      <c r="AD474" s="11" t="str">
        <f t="shared" si="3060"/>
        <v>10,090</v>
      </c>
      <c r="AE474" s="11">
        <f t="shared" si="3061"/>
        <v>0.36946944444444441</v>
      </c>
      <c r="AF474" s="14">
        <f t="shared" si="3033"/>
        <v>27.106436406558959</v>
      </c>
      <c r="AG474" s="41">
        <f t="shared" si="3079"/>
        <v>-100</v>
      </c>
      <c r="AH474" s="105">
        <f t="shared" ref="AH474:AJ474" si="3185">AH473</f>
        <v>20.3</v>
      </c>
      <c r="AI474" s="105">
        <f t="shared" si="3185"/>
        <v>1.5089999999999999</v>
      </c>
      <c r="AJ474" s="105">
        <f t="shared" si="3185"/>
        <v>1.504</v>
      </c>
      <c r="AK474" s="53">
        <f t="shared" si="2892"/>
        <v>0</v>
      </c>
      <c r="AL474" s="45"/>
      <c r="AM474" s="54">
        <f t="shared" ref="AM474:AN474" si="3186">AM473</f>
        <v>5.0129999999999999</v>
      </c>
      <c r="AN474" s="101" t="str">
        <f t="shared" si="3186"/>
        <v>17,59,050</v>
      </c>
      <c r="AO474" s="11" t="str">
        <f t="shared" si="3064"/>
        <v>17</v>
      </c>
      <c r="AP474" s="11" t="str">
        <f t="shared" si="3065"/>
        <v>59,050</v>
      </c>
      <c r="AQ474" s="11">
        <f t="shared" si="3066"/>
        <v>0.29973611111111109</v>
      </c>
      <c r="AR474" s="14">
        <f t="shared" si="3036"/>
        <v>16.724711551827998</v>
      </c>
      <c r="AS474" s="41">
        <f t="shared" si="3037"/>
        <v>-100</v>
      </c>
      <c r="AT474" s="43" t="str">
        <f t="shared" si="3038"/>
        <v>NO CONFORME</v>
      </c>
      <c r="AU474" s="8" t="b">
        <f t="shared" si="3067"/>
        <v>1</v>
      </c>
      <c r="AV474" s="8" t="b">
        <f t="shared" si="3068"/>
        <v>0</v>
      </c>
      <c r="AW474" s="8" t="b">
        <f t="shared" si="3069"/>
        <v>1</v>
      </c>
      <c r="AX474" s="8" t="str">
        <f t="shared" si="3070"/>
        <v>Qcorrecto</v>
      </c>
      <c r="AY474" s="22" t="str">
        <f t="shared" si="3039"/>
        <v>aceptable</v>
      </c>
      <c r="AZ474" s="22" t="str">
        <f t="shared" si="3040"/>
        <v>aceptable</v>
      </c>
      <c r="BA474" s="22" t="str">
        <f t="shared" si="3071"/>
        <v>aceptable</v>
      </c>
      <c r="BB474" s="25" t="str">
        <f t="shared" si="3072"/>
        <v>NO CONFORME</v>
      </c>
      <c r="BC474" s="5" t="str">
        <f t="shared" si="3073"/>
        <v>NO CONFORME</v>
      </c>
      <c r="BD474" s="15">
        <f t="shared" si="3041"/>
        <v>-1</v>
      </c>
      <c r="BE474" s="15">
        <f t="shared" si="3042"/>
        <v>-1</v>
      </c>
      <c r="BF474" s="15">
        <f t="shared" si="3043"/>
        <v>-1</v>
      </c>
      <c r="BG474" s="15" t="str">
        <f t="shared" si="3044"/>
        <v>-1-1-1</v>
      </c>
      <c r="BH474" s="15" t="str">
        <f t="shared" si="3045"/>
        <v>SD</v>
      </c>
      <c r="BI474" s="15" t="str">
        <f t="shared" si="3046"/>
        <v>SI</v>
      </c>
      <c r="BJ474" s="15" t="b">
        <f t="shared" si="3047"/>
        <v>1</v>
      </c>
      <c r="BK474" s="15" t="str">
        <f t="shared" si="3048"/>
        <v>SIGIGUALES</v>
      </c>
      <c r="BL474" s="22" t="str">
        <f t="shared" si="3049"/>
        <v>NO CONFORME</v>
      </c>
    </row>
    <row r="475" spans="1:64" ht="15.75" thickBot="1" x14ac:dyDescent="0.3">
      <c r="A475" s="37">
        <v>467</v>
      </c>
      <c r="B475" s="93">
        <f t="shared" ref="B475:E475" si="3187">B474</f>
        <v>45919</v>
      </c>
      <c r="C475" s="93">
        <f t="shared" si="3187"/>
        <v>45919</v>
      </c>
      <c r="D475" s="94">
        <f t="shared" si="3187"/>
        <v>6</v>
      </c>
      <c r="E475" s="95">
        <f t="shared" si="3187"/>
        <v>15</v>
      </c>
      <c r="F475" s="13"/>
      <c r="G475" s="90"/>
      <c r="H475" s="97">
        <f t="shared" ref="H475:L475" si="3188">H474</f>
        <v>25.6</v>
      </c>
      <c r="I475" s="98">
        <f t="shared" si="3188"/>
        <v>0</v>
      </c>
      <c r="J475" s="99">
        <f t="shared" si="3188"/>
        <v>20.9</v>
      </c>
      <c r="K475" s="99">
        <f t="shared" si="3188"/>
        <v>7.883</v>
      </c>
      <c r="L475" s="99">
        <f t="shared" si="3188"/>
        <v>0.55400000000000005</v>
      </c>
      <c r="M475" s="45"/>
      <c r="N475" s="45"/>
      <c r="O475" s="100">
        <f t="shared" ref="O475:P475" si="3189">O474</f>
        <v>100.62</v>
      </c>
      <c r="P475" s="101" t="str">
        <f t="shared" si="3189"/>
        <v>2,29,560</v>
      </c>
      <c r="Q475" s="11" t="str">
        <f t="shared" si="3053"/>
        <v>2</v>
      </c>
      <c r="R475" s="11" t="str">
        <f t="shared" si="3054"/>
        <v>29,560</v>
      </c>
      <c r="S475" s="11">
        <f t="shared" si="3055"/>
        <v>4.1544444444444446E-2</v>
      </c>
      <c r="T475" s="14">
        <f t="shared" si="3056"/>
        <v>2421.9844878309709</v>
      </c>
      <c r="U475" s="39">
        <f t="shared" si="3030"/>
        <v>-100</v>
      </c>
      <c r="V475" s="105">
        <f t="shared" ref="V475:X475" si="3190">V474</f>
        <v>20.399999999999999</v>
      </c>
      <c r="W475" s="105">
        <f t="shared" si="3190"/>
        <v>1.5069999999999999</v>
      </c>
      <c r="X475" s="106">
        <f t="shared" si="3190"/>
        <v>1.504</v>
      </c>
      <c r="Y475" s="45"/>
      <c r="Z475" s="45"/>
      <c r="AA475" s="107">
        <f t="shared" ref="AA475:AB475" si="3191">AA474</f>
        <v>10.015000000000001</v>
      </c>
      <c r="AB475" s="108" t="str">
        <f t="shared" si="3191"/>
        <v>22,10,090</v>
      </c>
      <c r="AC475" s="11" t="str">
        <f t="shared" si="3059"/>
        <v>22</v>
      </c>
      <c r="AD475" s="11" t="str">
        <f t="shared" si="3060"/>
        <v>10,090</v>
      </c>
      <c r="AE475" s="11">
        <f t="shared" si="3061"/>
        <v>0.36946944444444441</v>
      </c>
      <c r="AF475" s="14">
        <f t="shared" si="3033"/>
        <v>27.106436406558959</v>
      </c>
      <c r="AG475" s="41">
        <f t="shared" si="3079"/>
        <v>-100</v>
      </c>
      <c r="AH475" s="105">
        <f t="shared" ref="AH475:AJ475" si="3192">AH474</f>
        <v>20.3</v>
      </c>
      <c r="AI475" s="105">
        <f t="shared" si="3192"/>
        <v>1.5089999999999999</v>
      </c>
      <c r="AJ475" s="105">
        <f t="shared" si="3192"/>
        <v>1.504</v>
      </c>
      <c r="AK475" s="53">
        <f t="shared" si="2892"/>
        <v>0</v>
      </c>
      <c r="AL475" s="45"/>
      <c r="AM475" s="54">
        <f t="shared" ref="AM475:AN475" si="3193">AM474</f>
        <v>5.0129999999999999</v>
      </c>
      <c r="AN475" s="101" t="str">
        <f t="shared" si="3193"/>
        <v>17,59,050</v>
      </c>
      <c r="AO475" s="11" t="str">
        <f t="shared" si="3064"/>
        <v>17</v>
      </c>
      <c r="AP475" s="11" t="str">
        <f t="shared" si="3065"/>
        <v>59,050</v>
      </c>
      <c r="AQ475" s="11">
        <f t="shared" si="3066"/>
        <v>0.29973611111111109</v>
      </c>
      <c r="AR475" s="14">
        <f t="shared" si="3036"/>
        <v>16.724711551827998</v>
      </c>
      <c r="AS475" s="41">
        <f t="shared" si="3037"/>
        <v>-100</v>
      </c>
      <c r="AT475" s="43" t="str">
        <f t="shared" si="3038"/>
        <v>NO CONFORME</v>
      </c>
      <c r="AU475" s="8" t="b">
        <f t="shared" si="3067"/>
        <v>1</v>
      </c>
      <c r="AV475" s="8" t="b">
        <f t="shared" si="3068"/>
        <v>0</v>
      </c>
      <c r="AW475" s="8" t="b">
        <f t="shared" si="3069"/>
        <v>1</v>
      </c>
      <c r="AX475" s="8" t="str">
        <f t="shared" si="3070"/>
        <v>Qcorrecto</v>
      </c>
      <c r="AY475" s="22" t="str">
        <f t="shared" si="3039"/>
        <v>aceptable</v>
      </c>
      <c r="AZ475" s="22" t="str">
        <f t="shared" si="3040"/>
        <v>aceptable</v>
      </c>
      <c r="BA475" s="22" t="str">
        <f t="shared" si="3071"/>
        <v>aceptable</v>
      </c>
      <c r="BB475" s="25" t="str">
        <f t="shared" si="3072"/>
        <v>NO CONFORME</v>
      </c>
      <c r="BC475" s="5" t="str">
        <f t="shared" si="3073"/>
        <v>NO CONFORME</v>
      </c>
      <c r="BD475" s="15">
        <f t="shared" si="3041"/>
        <v>-1</v>
      </c>
      <c r="BE475" s="15">
        <f t="shared" si="3042"/>
        <v>-1</v>
      </c>
      <c r="BF475" s="15">
        <f t="shared" si="3043"/>
        <v>-1</v>
      </c>
      <c r="BG475" s="15" t="str">
        <f t="shared" si="3044"/>
        <v>-1-1-1</v>
      </c>
      <c r="BH475" s="15" t="str">
        <f t="shared" si="3045"/>
        <v>SD</v>
      </c>
      <c r="BI475" s="15" t="str">
        <f t="shared" si="3046"/>
        <v>SI</v>
      </c>
      <c r="BJ475" s="15" t="b">
        <f t="shared" si="3047"/>
        <v>1</v>
      </c>
      <c r="BK475" s="15" t="str">
        <f t="shared" si="3048"/>
        <v>SIGIGUALES</v>
      </c>
      <c r="BL475" s="22" t="str">
        <f t="shared" si="3049"/>
        <v>NO CONFORME</v>
      </c>
    </row>
    <row r="476" spans="1:64" ht="15.75" thickBot="1" x14ac:dyDescent="0.3">
      <c r="A476" s="37">
        <v>468</v>
      </c>
      <c r="B476" s="93">
        <f t="shared" ref="B476:E476" si="3194">B475</f>
        <v>45919</v>
      </c>
      <c r="C476" s="93">
        <f t="shared" si="3194"/>
        <v>45919</v>
      </c>
      <c r="D476" s="94">
        <f t="shared" si="3194"/>
        <v>6</v>
      </c>
      <c r="E476" s="95">
        <f t="shared" si="3194"/>
        <v>15</v>
      </c>
      <c r="F476" s="13"/>
      <c r="G476" s="90"/>
      <c r="H476" s="97">
        <f t="shared" ref="H476:L476" si="3195">H475</f>
        <v>25.6</v>
      </c>
      <c r="I476" s="98">
        <f t="shared" si="3195"/>
        <v>0</v>
      </c>
      <c r="J476" s="99">
        <f t="shared" si="3195"/>
        <v>20.9</v>
      </c>
      <c r="K476" s="99">
        <f t="shared" si="3195"/>
        <v>7.883</v>
      </c>
      <c r="L476" s="99">
        <f t="shared" si="3195"/>
        <v>0.55400000000000005</v>
      </c>
      <c r="M476" s="45"/>
      <c r="N476" s="45"/>
      <c r="O476" s="100">
        <f t="shared" ref="O476:P476" si="3196">O475</f>
        <v>100.62</v>
      </c>
      <c r="P476" s="101" t="str">
        <f t="shared" si="3196"/>
        <v>2,29,560</v>
      </c>
      <c r="Q476" s="11" t="str">
        <f t="shared" si="3053"/>
        <v>2</v>
      </c>
      <c r="R476" s="11" t="str">
        <f t="shared" si="3054"/>
        <v>29,560</v>
      </c>
      <c r="S476" s="11">
        <f t="shared" si="3055"/>
        <v>4.1544444444444446E-2</v>
      </c>
      <c r="T476" s="14">
        <f t="shared" si="3056"/>
        <v>2421.9844878309709</v>
      </c>
      <c r="U476" s="39">
        <f t="shared" si="3030"/>
        <v>-100</v>
      </c>
      <c r="V476" s="105">
        <f t="shared" ref="V476:X476" si="3197">V475</f>
        <v>20.399999999999999</v>
      </c>
      <c r="W476" s="105">
        <f t="shared" si="3197"/>
        <v>1.5069999999999999</v>
      </c>
      <c r="X476" s="106">
        <f t="shared" si="3197"/>
        <v>1.504</v>
      </c>
      <c r="Y476" s="45"/>
      <c r="Z476" s="45"/>
      <c r="AA476" s="107">
        <f t="shared" ref="AA476:AB476" si="3198">AA475</f>
        <v>10.015000000000001</v>
      </c>
      <c r="AB476" s="108" t="str">
        <f t="shared" si="3198"/>
        <v>22,10,090</v>
      </c>
      <c r="AC476" s="11" t="str">
        <f t="shared" si="3059"/>
        <v>22</v>
      </c>
      <c r="AD476" s="11" t="str">
        <f t="shared" si="3060"/>
        <v>10,090</v>
      </c>
      <c r="AE476" s="11">
        <f t="shared" si="3061"/>
        <v>0.36946944444444441</v>
      </c>
      <c r="AF476" s="14">
        <f t="shared" si="3033"/>
        <v>27.106436406558959</v>
      </c>
      <c r="AG476" s="41">
        <f t="shared" si="3079"/>
        <v>-100</v>
      </c>
      <c r="AH476" s="105">
        <f t="shared" ref="AH476:AJ476" si="3199">AH475</f>
        <v>20.3</v>
      </c>
      <c r="AI476" s="105">
        <f t="shared" si="3199"/>
        <v>1.5089999999999999</v>
      </c>
      <c r="AJ476" s="105">
        <f t="shared" si="3199"/>
        <v>1.504</v>
      </c>
      <c r="AK476" s="53">
        <f t="shared" si="2892"/>
        <v>0</v>
      </c>
      <c r="AL476" s="45"/>
      <c r="AM476" s="54">
        <f t="shared" ref="AM476:AN476" si="3200">AM475</f>
        <v>5.0129999999999999</v>
      </c>
      <c r="AN476" s="101" t="str">
        <f t="shared" si="3200"/>
        <v>17,59,050</v>
      </c>
      <c r="AO476" s="11" t="str">
        <f t="shared" si="3064"/>
        <v>17</v>
      </c>
      <c r="AP476" s="11" t="str">
        <f t="shared" si="3065"/>
        <v>59,050</v>
      </c>
      <c r="AQ476" s="11">
        <f t="shared" si="3066"/>
        <v>0.29973611111111109</v>
      </c>
      <c r="AR476" s="14">
        <f t="shared" si="3036"/>
        <v>16.724711551827998</v>
      </c>
      <c r="AS476" s="41">
        <f t="shared" si="3037"/>
        <v>-100</v>
      </c>
      <c r="AT476" s="43" t="str">
        <f t="shared" si="3038"/>
        <v>NO CONFORME</v>
      </c>
      <c r="AU476" s="8" t="b">
        <f t="shared" si="3067"/>
        <v>1</v>
      </c>
      <c r="AV476" s="8" t="b">
        <f t="shared" si="3068"/>
        <v>0</v>
      </c>
      <c r="AW476" s="8" t="b">
        <f t="shared" si="3069"/>
        <v>1</v>
      </c>
      <c r="AX476" s="8" t="str">
        <f t="shared" si="3070"/>
        <v>Qcorrecto</v>
      </c>
      <c r="AY476" s="22" t="str">
        <f t="shared" si="3039"/>
        <v>aceptable</v>
      </c>
      <c r="AZ476" s="22" t="str">
        <f t="shared" si="3040"/>
        <v>aceptable</v>
      </c>
      <c r="BA476" s="22" t="str">
        <f t="shared" si="3071"/>
        <v>aceptable</v>
      </c>
      <c r="BB476" s="25" t="str">
        <f t="shared" si="3072"/>
        <v>NO CONFORME</v>
      </c>
      <c r="BC476" s="5" t="str">
        <f t="shared" si="3073"/>
        <v>NO CONFORME</v>
      </c>
      <c r="BD476" s="15">
        <f t="shared" si="3041"/>
        <v>-1</v>
      </c>
      <c r="BE476" s="15">
        <f t="shared" si="3042"/>
        <v>-1</v>
      </c>
      <c r="BF476" s="15">
        <f t="shared" si="3043"/>
        <v>-1</v>
      </c>
      <c r="BG476" s="15" t="str">
        <f t="shared" si="3044"/>
        <v>-1-1-1</v>
      </c>
      <c r="BH476" s="15" t="str">
        <f t="shared" si="3045"/>
        <v>SD</v>
      </c>
      <c r="BI476" s="15" t="str">
        <f t="shared" si="3046"/>
        <v>SI</v>
      </c>
      <c r="BJ476" s="15" t="b">
        <f t="shared" si="3047"/>
        <v>1</v>
      </c>
      <c r="BK476" s="15" t="str">
        <f t="shared" si="3048"/>
        <v>SIGIGUALES</v>
      </c>
      <c r="BL476" s="22" t="str">
        <f t="shared" si="3049"/>
        <v>NO CONFORME</v>
      </c>
    </row>
    <row r="477" spans="1:64" ht="15.75" thickBot="1" x14ac:dyDescent="0.3">
      <c r="A477" s="37">
        <v>469</v>
      </c>
      <c r="B477" s="93">
        <f t="shared" ref="B477:E477" si="3201">B476</f>
        <v>45919</v>
      </c>
      <c r="C477" s="93">
        <f t="shared" si="3201"/>
        <v>45919</v>
      </c>
      <c r="D477" s="94">
        <f t="shared" si="3201"/>
        <v>6</v>
      </c>
      <c r="E477" s="95">
        <f t="shared" si="3201"/>
        <v>15</v>
      </c>
      <c r="F477" s="13"/>
      <c r="G477" s="109"/>
      <c r="H477" s="97">
        <f t="shared" ref="H477:L477" si="3202">H476</f>
        <v>25.6</v>
      </c>
      <c r="I477" s="98">
        <f t="shared" si="3202"/>
        <v>0</v>
      </c>
      <c r="J477" s="99">
        <f t="shared" si="3202"/>
        <v>20.9</v>
      </c>
      <c r="K477" s="99">
        <f t="shared" si="3202"/>
        <v>7.883</v>
      </c>
      <c r="L477" s="99">
        <f t="shared" si="3202"/>
        <v>0.55400000000000005</v>
      </c>
      <c r="M477" s="45"/>
      <c r="N477" s="45"/>
      <c r="O477" s="100">
        <f t="shared" ref="O477:P477" si="3203">O476</f>
        <v>100.62</v>
      </c>
      <c r="P477" s="101" t="str">
        <f t="shared" si="3203"/>
        <v>2,29,560</v>
      </c>
      <c r="Q477" s="11" t="str">
        <f t="shared" si="3053"/>
        <v>2</v>
      </c>
      <c r="R477" s="11" t="str">
        <f t="shared" si="3054"/>
        <v>29,560</v>
      </c>
      <c r="S477" s="11">
        <f t="shared" si="3055"/>
        <v>4.1544444444444446E-2</v>
      </c>
      <c r="T477" s="14">
        <f t="shared" si="3056"/>
        <v>2421.9844878309709</v>
      </c>
      <c r="U477" s="39">
        <f t="shared" si="3030"/>
        <v>-100</v>
      </c>
      <c r="V477" s="105">
        <f t="shared" ref="V477:X477" si="3204">V476</f>
        <v>20.399999999999999</v>
      </c>
      <c r="W477" s="105">
        <f t="shared" si="3204"/>
        <v>1.5069999999999999</v>
      </c>
      <c r="X477" s="106">
        <f t="shared" si="3204"/>
        <v>1.504</v>
      </c>
      <c r="Y477" s="45"/>
      <c r="Z477" s="45"/>
      <c r="AA477" s="107">
        <f t="shared" ref="AA477:AB477" si="3205">AA476</f>
        <v>10.015000000000001</v>
      </c>
      <c r="AB477" s="108" t="str">
        <f t="shared" si="3205"/>
        <v>22,10,090</v>
      </c>
      <c r="AC477" s="11" t="str">
        <f t="shared" si="3059"/>
        <v>22</v>
      </c>
      <c r="AD477" s="11" t="str">
        <f t="shared" si="3060"/>
        <v>10,090</v>
      </c>
      <c r="AE477" s="11">
        <f t="shared" si="3061"/>
        <v>0.36946944444444441</v>
      </c>
      <c r="AF477" s="14">
        <f t="shared" si="3033"/>
        <v>27.106436406558959</v>
      </c>
      <c r="AG477" s="41">
        <f t="shared" si="3079"/>
        <v>-100</v>
      </c>
      <c r="AH477" s="105">
        <f t="shared" ref="AH477:AJ477" si="3206">AH476</f>
        <v>20.3</v>
      </c>
      <c r="AI477" s="105">
        <f t="shared" si="3206"/>
        <v>1.5089999999999999</v>
      </c>
      <c r="AJ477" s="105">
        <f t="shared" si="3206"/>
        <v>1.504</v>
      </c>
      <c r="AK477" s="53">
        <f t="shared" si="2892"/>
        <v>0</v>
      </c>
      <c r="AL477" s="45"/>
      <c r="AM477" s="54">
        <f t="shared" ref="AM477:AN477" si="3207">AM476</f>
        <v>5.0129999999999999</v>
      </c>
      <c r="AN477" s="101" t="str">
        <f t="shared" si="3207"/>
        <v>17,59,050</v>
      </c>
      <c r="AO477" s="11" t="str">
        <f t="shared" si="3064"/>
        <v>17</v>
      </c>
      <c r="AP477" s="11" t="str">
        <f t="shared" si="3065"/>
        <v>59,050</v>
      </c>
      <c r="AQ477" s="11">
        <f t="shared" si="3066"/>
        <v>0.29973611111111109</v>
      </c>
      <c r="AR477" s="14">
        <f t="shared" si="3036"/>
        <v>16.724711551827998</v>
      </c>
      <c r="AS477" s="41">
        <f t="shared" si="3037"/>
        <v>-100</v>
      </c>
      <c r="AT477" s="43" t="str">
        <f t="shared" si="3038"/>
        <v>NO CONFORME</v>
      </c>
      <c r="AU477" s="8" t="b">
        <f t="shared" si="3067"/>
        <v>1</v>
      </c>
      <c r="AV477" s="8" t="b">
        <f t="shared" si="3068"/>
        <v>0</v>
      </c>
      <c r="AW477" s="8" t="b">
        <f t="shared" si="3069"/>
        <v>1</v>
      </c>
      <c r="AX477" s="8" t="str">
        <f t="shared" si="3070"/>
        <v>Qcorrecto</v>
      </c>
      <c r="AY477" s="22" t="str">
        <f t="shared" si="3039"/>
        <v>aceptable</v>
      </c>
      <c r="AZ477" s="22" t="str">
        <f t="shared" si="3040"/>
        <v>aceptable</v>
      </c>
      <c r="BA477" s="22" t="str">
        <f t="shared" si="3071"/>
        <v>aceptable</v>
      </c>
      <c r="BB477" s="25" t="str">
        <f t="shared" si="3072"/>
        <v>NO CONFORME</v>
      </c>
      <c r="BC477" s="5" t="str">
        <f t="shared" si="3073"/>
        <v>NO CONFORME</v>
      </c>
      <c r="BD477" s="15">
        <f t="shared" si="3041"/>
        <v>-1</v>
      </c>
      <c r="BE477" s="15">
        <f t="shared" si="3042"/>
        <v>-1</v>
      </c>
      <c r="BF477" s="15">
        <f t="shared" si="3043"/>
        <v>-1</v>
      </c>
      <c r="BG477" s="15" t="str">
        <f t="shared" si="3044"/>
        <v>-1-1-1</v>
      </c>
      <c r="BH477" s="15" t="str">
        <f t="shared" si="3045"/>
        <v>SD</v>
      </c>
      <c r="BI477" s="15" t="str">
        <f t="shared" si="3046"/>
        <v>SI</v>
      </c>
      <c r="BJ477" s="15" t="b">
        <f t="shared" si="3047"/>
        <v>1</v>
      </c>
      <c r="BK477" s="15" t="str">
        <f t="shared" si="3048"/>
        <v>SIGIGUALES</v>
      </c>
      <c r="BL477" s="22" t="str">
        <f t="shared" si="3049"/>
        <v>NO CONFORME</v>
      </c>
    </row>
    <row r="478" spans="1:64" ht="15.75" thickBot="1" x14ac:dyDescent="0.3">
      <c r="A478" s="37">
        <v>470</v>
      </c>
      <c r="B478" s="93">
        <f t="shared" ref="B478:E478" si="3208">B477</f>
        <v>45919</v>
      </c>
      <c r="C478" s="93">
        <f t="shared" si="3208"/>
        <v>45919</v>
      </c>
      <c r="D478" s="94">
        <f t="shared" si="3208"/>
        <v>6</v>
      </c>
      <c r="E478" s="95">
        <f t="shared" si="3208"/>
        <v>15</v>
      </c>
      <c r="F478" s="13"/>
      <c r="G478" s="90"/>
      <c r="H478" s="97">
        <f t="shared" ref="H478:L478" si="3209">H477</f>
        <v>25.6</v>
      </c>
      <c r="I478" s="98">
        <f t="shared" si="3209"/>
        <v>0</v>
      </c>
      <c r="J478" s="99">
        <f t="shared" si="3209"/>
        <v>20.9</v>
      </c>
      <c r="K478" s="99">
        <f t="shared" si="3209"/>
        <v>7.883</v>
      </c>
      <c r="L478" s="99">
        <f t="shared" si="3209"/>
        <v>0.55400000000000005</v>
      </c>
      <c r="M478" s="45"/>
      <c r="N478" s="45"/>
      <c r="O478" s="100">
        <f t="shared" ref="O478:P478" si="3210">O477</f>
        <v>100.62</v>
      </c>
      <c r="P478" s="101" t="str">
        <f t="shared" si="3210"/>
        <v>2,29,560</v>
      </c>
      <c r="Q478" s="11" t="str">
        <f t="shared" si="3053"/>
        <v>2</v>
      </c>
      <c r="R478" s="11" t="str">
        <f t="shared" si="3054"/>
        <v>29,560</v>
      </c>
      <c r="S478" s="11">
        <f t="shared" si="3055"/>
        <v>4.1544444444444446E-2</v>
      </c>
      <c r="T478" s="14">
        <f t="shared" si="3056"/>
        <v>2421.9844878309709</v>
      </c>
      <c r="U478" s="39">
        <f t="shared" si="3030"/>
        <v>-100</v>
      </c>
      <c r="V478" s="105">
        <f t="shared" ref="V478:X478" si="3211">V477</f>
        <v>20.399999999999999</v>
      </c>
      <c r="W478" s="105">
        <f t="shared" si="3211"/>
        <v>1.5069999999999999</v>
      </c>
      <c r="X478" s="106">
        <f t="shared" si="3211"/>
        <v>1.504</v>
      </c>
      <c r="Y478" s="45"/>
      <c r="Z478" s="45"/>
      <c r="AA478" s="107">
        <f t="shared" ref="AA478:AB478" si="3212">AA477</f>
        <v>10.015000000000001</v>
      </c>
      <c r="AB478" s="108" t="str">
        <f t="shared" si="3212"/>
        <v>22,10,090</v>
      </c>
      <c r="AC478" s="11" t="str">
        <f t="shared" si="3059"/>
        <v>22</v>
      </c>
      <c r="AD478" s="11" t="str">
        <f t="shared" si="3060"/>
        <v>10,090</v>
      </c>
      <c r="AE478" s="11">
        <f t="shared" si="3061"/>
        <v>0.36946944444444441</v>
      </c>
      <c r="AF478" s="14">
        <f t="shared" si="3033"/>
        <v>27.106436406558959</v>
      </c>
      <c r="AG478" s="41">
        <f t="shared" si="3079"/>
        <v>-100</v>
      </c>
      <c r="AH478" s="105">
        <f t="shared" ref="AH478:AJ478" si="3213">AH477</f>
        <v>20.3</v>
      </c>
      <c r="AI478" s="105">
        <f t="shared" si="3213"/>
        <v>1.5089999999999999</v>
      </c>
      <c r="AJ478" s="105">
        <f t="shared" si="3213"/>
        <v>1.504</v>
      </c>
      <c r="AK478" s="53">
        <f t="shared" si="2892"/>
        <v>0</v>
      </c>
      <c r="AL478" s="45"/>
      <c r="AM478" s="54">
        <f t="shared" ref="AM478:AN478" si="3214">AM477</f>
        <v>5.0129999999999999</v>
      </c>
      <c r="AN478" s="101" t="str">
        <f t="shared" si="3214"/>
        <v>17,59,050</v>
      </c>
      <c r="AO478" s="11" t="str">
        <f t="shared" si="3064"/>
        <v>17</v>
      </c>
      <c r="AP478" s="11" t="str">
        <f t="shared" si="3065"/>
        <v>59,050</v>
      </c>
      <c r="AQ478" s="11">
        <f t="shared" si="3066"/>
        <v>0.29973611111111109</v>
      </c>
      <c r="AR478" s="14">
        <f t="shared" si="3036"/>
        <v>16.724711551827998</v>
      </c>
      <c r="AS478" s="41">
        <f t="shared" si="3037"/>
        <v>-100</v>
      </c>
      <c r="AT478" s="43" t="str">
        <f t="shared" si="3038"/>
        <v>NO CONFORME</v>
      </c>
      <c r="AU478" s="8" t="b">
        <f t="shared" si="3067"/>
        <v>1</v>
      </c>
      <c r="AV478" s="8" t="b">
        <f t="shared" si="3068"/>
        <v>0</v>
      </c>
      <c r="AW478" s="8" t="b">
        <f t="shared" si="3069"/>
        <v>1</v>
      </c>
      <c r="AX478" s="8" t="str">
        <f t="shared" si="3070"/>
        <v>Qcorrecto</v>
      </c>
      <c r="AY478" s="22" t="str">
        <f t="shared" si="3039"/>
        <v>aceptable</v>
      </c>
      <c r="AZ478" s="22" t="str">
        <f t="shared" si="3040"/>
        <v>aceptable</v>
      </c>
      <c r="BA478" s="22" t="str">
        <f t="shared" si="3071"/>
        <v>aceptable</v>
      </c>
      <c r="BB478" s="25" t="str">
        <f t="shared" si="3072"/>
        <v>NO CONFORME</v>
      </c>
      <c r="BC478" s="5" t="str">
        <f t="shared" si="3073"/>
        <v>NO CONFORME</v>
      </c>
      <c r="BD478" s="15">
        <f t="shared" si="3041"/>
        <v>-1</v>
      </c>
      <c r="BE478" s="15">
        <f t="shared" si="3042"/>
        <v>-1</v>
      </c>
      <c r="BF478" s="15">
        <f t="shared" si="3043"/>
        <v>-1</v>
      </c>
      <c r="BG478" s="15" t="str">
        <f t="shared" si="3044"/>
        <v>-1-1-1</v>
      </c>
      <c r="BH478" s="15" t="str">
        <f t="shared" si="3045"/>
        <v>SD</v>
      </c>
      <c r="BI478" s="15" t="str">
        <f t="shared" si="3046"/>
        <v>SI</v>
      </c>
      <c r="BJ478" s="15" t="b">
        <f t="shared" si="3047"/>
        <v>1</v>
      </c>
      <c r="BK478" s="15" t="str">
        <f t="shared" si="3048"/>
        <v>SIGIGUALES</v>
      </c>
      <c r="BL478" s="22" t="str">
        <f t="shared" si="3049"/>
        <v>NO CONFORME</v>
      </c>
    </row>
    <row r="479" spans="1:64" ht="15.75" thickBot="1" x14ac:dyDescent="0.3">
      <c r="A479" s="37">
        <v>471</v>
      </c>
      <c r="B479" s="93">
        <f t="shared" ref="B479:E479" si="3215">B478</f>
        <v>45919</v>
      </c>
      <c r="C479" s="93">
        <f t="shared" si="3215"/>
        <v>45919</v>
      </c>
      <c r="D479" s="94">
        <f t="shared" si="3215"/>
        <v>6</v>
      </c>
      <c r="E479" s="95">
        <f t="shared" si="3215"/>
        <v>15</v>
      </c>
      <c r="F479" s="13"/>
      <c r="G479" s="90"/>
      <c r="H479" s="97">
        <f t="shared" ref="H479:L479" si="3216">H478</f>
        <v>25.6</v>
      </c>
      <c r="I479" s="98">
        <f t="shared" si="3216"/>
        <v>0</v>
      </c>
      <c r="J479" s="99">
        <f t="shared" si="3216"/>
        <v>20.9</v>
      </c>
      <c r="K479" s="99">
        <f t="shared" si="3216"/>
        <v>7.883</v>
      </c>
      <c r="L479" s="99">
        <f t="shared" si="3216"/>
        <v>0.55400000000000005</v>
      </c>
      <c r="M479" s="45"/>
      <c r="N479" s="45"/>
      <c r="O479" s="100">
        <f t="shared" ref="O479:P479" si="3217">O478</f>
        <v>100.62</v>
      </c>
      <c r="P479" s="101" t="str">
        <f t="shared" si="3217"/>
        <v>2,29,560</v>
      </c>
      <c r="Q479" s="11" t="str">
        <f t="shared" si="3053"/>
        <v>2</v>
      </c>
      <c r="R479" s="11" t="str">
        <f t="shared" si="3054"/>
        <v>29,560</v>
      </c>
      <c r="S479" s="11">
        <f t="shared" si="3055"/>
        <v>4.1544444444444446E-2</v>
      </c>
      <c r="T479" s="14">
        <f t="shared" si="3056"/>
        <v>2421.9844878309709</v>
      </c>
      <c r="U479" s="39">
        <f t="shared" si="3030"/>
        <v>-100</v>
      </c>
      <c r="V479" s="105">
        <f t="shared" ref="V479:X479" si="3218">V478</f>
        <v>20.399999999999999</v>
      </c>
      <c r="W479" s="105">
        <f t="shared" si="3218"/>
        <v>1.5069999999999999</v>
      </c>
      <c r="X479" s="106">
        <f t="shared" si="3218"/>
        <v>1.504</v>
      </c>
      <c r="Y479" s="45"/>
      <c r="Z479" s="45"/>
      <c r="AA479" s="107">
        <f t="shared" ref="AA479:AB479" si="3219">AA478</f>
        <v>10.015000000000001</v>
      </c>
      <c r="AB479" s="108" t="str">
        <f t="shared" si="3219"/>
        <v>22,10,090</v>
      </c>
      <c r="AC479" s="11" t="str">
        <f t="shared" si="3059"/>
        <v>22</v>
      </c>
      <c r="AD479" s="11" t="str">
        <f t="shared" si="3060"/>
        <v>10,090</v>
      </c>
      <c r="AE479" s="11">
        <f t="shared" si="3061"/>
        <v>0.36946944444444441</v>
      </c>
      <c r="AF479" s="14">
        <f t="shared" si="3033"/>
        <v>27.106436406558959</v>
      </c>
      <c r="AG479" s="41">
        <f t="shared" si="3079"/>
        <v>-100</v>
      </c>
      <c r="AH479" s="105">
        <f t="shared" ref="AH479:AJ479" si="3220">AH478</f>
        <v>20.3</v>
      </c>
      <c r="AI479" s="105">
        <f t="shared" si="3220"/>
        <v>1.5089999999999999</v>
      </c>
      <c r="AJ479" s="105">
        <f t="shared" si="3220"/>
        <v>1.504</v>
      </c>
      <c r="AK479" s="53">
        <f t="shared" si="2892"/>
        <v>0</v>
      </c>
      <c r="AL479" s="45"/>
      <c r="AM479" s="54">
        <f t="shared" ref="AM479:AN479" si="3221">AM478</f>
        <v>5.0129999999999999</v>
      </c>
      <c r="AN479" s="101" t="str">
        <f t="shared" si="3221"/>
        <v>17,59,050</v>
      </c>
      <c r="AO479" s="11" t="str">
        <f t="shared" si="3064"/>
        <v>17</v>
      </c>
      <c r="AP479" s="11" t="str">
        <f t="shared" si="3065"/>
        <v>59,050</v>
      </c>
      <c r="AQ479" s="11">
        <f t="shared" si="3066"/>
        <v>0.29973611111111109</v>
      </c>
      <c r="AR479" s="14">
        <f t="shared" si="3036"/>
        <v>16.724711551827998</v>
      </c>
      <c r="AS479" s="41">
        <f t="shared" si="3037"/>
        <v>-100</v>
      </c>
      <c r="AT479" s="43" t="str">
        <f t="shared" si="3038"/>
        <v>NO CONFORME</v>
      </c>
      <c r="AU479" s="8" t="b">
        <f t="shared" si="3067"/>
        <v>1</v>
      </c>
      <c r="AV479" s="8" t="b">
        <f t="shared" si="3068"/>
        <v>0</v>
      </c>
      <c r="AW479" s="8" t="b">
        <f t="shared" si="3069"/>
        <v>1</v>
      </c>
      <c r="AX479" s="8" t="str">
        <f t="shared" si="3070"/>
        <v>Qcorrecto</v>
      </c>
      <c r="AY479" s="22" t="str">
        <f t="shared" si="3039"/>
        <v>aceptable</v>
      </c>
      <c r="AZ479" s="22" t="str">
        <f t="shared" si="3040"/>
        <v>aceptable</v>
      </c>
      <c r="BA479" s="22" t="str">
        <f t="shared" si="3071"/>
        <v>aceptable</v>
      </c>
      <c r="BB479" s="25" t="str">
        <f t="shared" si="3072"/>
        <v>NO CONFORME</v>
      </c>
      <c r="BC479" s="5" t="str">
        <f t="shared" si="3073"/>
        <v>NO CONFORME</v>
      </c>
      <c r="BD479" s="15">
        <f t="shared" si="3041"/>
        <v>-1</v>
      </c>
      <c r="BE479" s="15">
        <f t="shared" si="3042"/>
        <v>-1</v>
      </c>
      <c r="BF479" s="15">
        <f t="shared" si="3043"/>
        <v>-1</v>
      </c>
      <c r="BG479" s="15" t="str">
        <f t="shared" si="3044"/>
        <v>-1-1-1</v>
      </c>
      <c r="BH479" s="15" t="str">
        <f t="shared" si="3045"/>
        <v>SD</v>
      </c>
      <c r="BI479" s="15" t="str">
        <f t="shared" si="3046"/>
        <v>SI</v>
      </c>
      <c r="BJ479" s="15" t="b">
        <f t="shared" si="3047"/>
        <v>1</v>
      </c>
      <c r="BK479" s="15" t="str">
        <f t="shared" si="3048"/>
        <v>SIGIGUALES</v>
      </c>
      <c r="BL479" s="22" t="str">
        <f t="shared" si="3049"/>
        <v>NO CONFORME</v>
      </c>
    </row>
    <row r="480" spans="1:64" ht="15.75" thickBot="1" x14ac:dyDescent="0.3">
      <c r="A480" s="37">
        <v>472</v>
      </c>
      <c r="B480" s="93">
        <f t="shared" ref="B480:E480" si="3222">B479</f>
        <v>45919</v>
      </c>
      <c r="C480" s="93">
        <f t="shared" si="3222"/>
        <v>45919</v>
      </c>
      <c r="D480" s="94">
        <f t="shared" si="3222"/>
        <v>6</v>
      </c>
      <c r="E480" s="95">
        <f t="shared" si="3222"/>
        <v>15</v>
      </c>
      <c r="F480" s="13"/>
      <c r="G480" s="90"/>
      <c r="H480" s="97">
        <f t="shared" ref="H480:L480" si="3223">H479</f>
        <v>25.6</v>
      </c>
      <c r="I480" s="98">
        <f t="shared" si="3223"/>
        <v>0</v>
      </c>
      <c r="J480" s="99">
        <f t="shared" si="3223"/>
        <v>20.9</v>
      </c>
      <c r="K480" s="99">
        <f t="shared" si="3223"/>
        <v>7.883</v>
      </c>
      <c r="L480" s="99">
        <f t="shared" si="3223"/>
        <v>0.55400000000000005</v>
      </c>
      <c r="M480" s="45"/>
      <c r="N480" s="45"/>
      <c r="O480" s="100">
        <f t="shared" ref="O480:P480" si="3224">O479</f>
        <v>100.62</v>
      </c>
      <c r="P480" s="101" t="str">
        <f t="shared" si="3224"/>
        <v>2,29,560</v>
      </c>
      <c r="Q480" s="11" t="str">
        <f t="shared" si="3053"/>
        <v>2</v>
      </c>
      <c r="R480" s="11" t="str">
        <f t="shared" si="3054"/>
        <v>29,560</v>
      </c>
      <c r="S480" s="11">
        <f t="shared" si="3055"/>
        <v>4.1544444444444446E-2</v>
      </c>
      <c r="T480" s="14">
        <f t="shared" si="3056"/>
        <v>2421.9844878309709</v>
      </c>
      <c r="U480" s="39">
        <f t="shared" si="3030"/>
        <v>-100</v>
      </c>
      <c r="V480" s="105">
        <f t="shared" ref="V480:X480" si="3225">V479</f>
        <v>20.399999999999999</v>
      </c>
      <c r="W480" s="105">
        <f t="shared" si="3225"/>
        <v>1.5069999999999999</v>
      </c>
      <c r="X480" s="106">
        <f t="shared" si="3225"/>
        <v>1.504</v>
      </c>
      <c r="Y480" s="45"/>
      <c r="Z480" s="45"/>
      <c r="AA480" s="107">
        <f t="shared" ref="AA480:AB480" si="3226">AA479</f>
        <v>10.015000000000001</v>
      </c>
      <c r="AB480" s="108" t="str">
        <f t="shared" si="3226"/>
        <v>22,10,090</v>
      </c>
      <c r="AC480" s="11" t="str">
        <f t="shared" si="3059"/>
        <v>22</v>
      </c>
      <c r="AD480" s="11" t="str">
        <f t="shared" si="3060"/>
        <v>10,090</v>
      </c>
      <c r="AE480" s="11">
        <f t="shared" si="3061"/>
        <v>0.36946944444444441</v>
      </c>
      <c r="AF480" s="14">
        <f t="shared" si="3033"/>
        <v>27.106436406558959</v>
      </c>
      <c r="AG480" s="41">
        <f t="shared" si="3079"/>
        <v>-100</v>
      </c>
      <c r="AH480" s="105">
        <f t="shared" ref="AH480:AJ480" si="3227">AH479</f>
        <v>20.3</v>
      </c>
      <c r="AI480" s="105">
        <f t="shared" si="3227"/>
        <v>1.5089999999999999</v>
      </c>
      <c r="AJ480" s="105">
        <f t="shared" si="3227"/>
        <v>1.504</v>
      </c>
      <c r="AK480" s="53">
        <f t="shared" si="2892"/>
        <v>0</v>
      </c>
      <c r="AL480" s="45"/>
      <c r="AM480" s="54">
        <f t="shared" ref="AM480:AN480" si="3228">AM479</f>
        <v>5.0129999999999999</v>
      </c>
      <c r="AN480" s="101" t="str">
        <f t="shared" si="3228"/>
        <v>17,59,050</v>
      </c>
      <c r="AO480" s="11" t="str">
        <f t="shared" si="3064"/>
        <v>17</v>
      </c>
      <c r="AP480" s="11" t="str">
        <f t="shared" si="3065"/>
        <v>59,050</v>
      </c>
      <c r="AQ480" s="11">
        <f t="shared" si="3066"/>
        <v>0.29973611111111109</v>
      </c>
      <c r="AR480" s="14">
        <f t="shared" si="3036"/>
        <v>16.724711551827998</v>
      </c>
      <c r="AS480" s="41">
        <f t="shared" si="3037"/>
        <v>-100</v>
      </c>
      <c r="AT480" s="43" t="str">
        <f t="shared" si="3038"/>
        <v>NO CONFORME</v>
      </c>
      <c r="AU480" s="8" t="b">
        <f t="shared" si="3067"/>
        <v>1</v>
      </c>
      <c r="AV480" s="8" t="b">
        <f t="shared" si="3068"/>
        <v>0</v>
      </c>
      <c r="AW480" s="8" t="b">
        <f t="shared" si="3069"/>
        <v>1</v>
      </c>
      <c r="AX480" s="8" t="str">
        <f t="shared" si="3070"/>
        <v>Qcorrecto</v>
      </c>
      <c r="AY480" s="22" t="str">
        <f t="shared" si="3039"/>
        <v>aceptable</v>
      </c>
      <c r="AZ480" s="22" t="str">
        <f t="shared" si="3040"/>
        <v>aceptable</v>
      </c>
      <c r="BA480" s="22" t="str">
        <f t="shared" si="3071"/>
        <v>aceptable</v>
      </c>
      <c r="BB480" s="25" t="str">
        <f t="shared" si="3072"/>
        <v>NO CONFORME</v>
      </c>
      <c r="BC480" s="5" t="str">
        <f t="shared" si="3073"/>
        <v>NO CONFORME</v>
      </c>
      <c r="BD480" s="15">
        <f t="shared" si="3041"/>
        <v>-1</v>
      </c>
      <c r="BE480" s="15">
        <f t="shared" si="3042"/>
        <v>-1</v>
      </c>
      <c r="BF480" s="15">
        <f t="shared" si="3043"/>
        <v>-1</v>
      </c>
      <c r="BG480" s="15" t="str">
        <f t="shared" si="3044"/>
        <v>-1-1-1</v>
      </c>
      <c r="BH480" s="15" t="str">
        <f t="shared" si="3045"/>
        <v>SD</v>
      </c>
      <c r="BI480" s="15" t="str">
        <f t="shared" si="3046"/>
        <v>SI</v>
      </c>
      <c r="BJ480" s="15" t="b">
        <f t="shared" si="3047"/>
        <v>1</v>
      </c>
      <c r="BK480" s="15" t="str">
        <f t="shared" si="3048"/>
        <v>SIGIGUALES</v>
      </c>
      <c r="BL480" s="22" t="str">
        <f t="shared" si="3049"/>
        <v>NO CONFORME</v>
      </c>
    </row>
    <row r="481" spans="1:64" ht="15.75" thickBot="1" x14ac:dyDescent="0.3">
      <c r="A481" s="37">
        <v>473</v>
      </c>
      <c r="B481" s="93">
        <f t="shared" ref="B481:E481" si="3229">B480</f>
        <v>45919</v>
      </c>
      <c r="C481" s="93">
        <f t="shared" si="3229"/>
        <v>45919</v>
      </c>
      <c r="D481" s="94">
        <f t="shared" si="3229"/>
        <v>6</v>
      </c>
      <c r="E481" s="95">
        <f t="shared" si="3229"/>
        <v>15</v>
      </c>
      <c r="F481" s="13"/>
      <c r="G481" s="90"/>
      <c r="H481" s="97">
        <f t="shared" ref="H481:L481" si="3230">H480</f>
        <v>25.6</v>
      </c>
      <c r="I481" s="98">
        <f t="shared" si="3230"/>
        <v>0</v>
      </c>
      <c r="J481" s="99">
        <f t="shared" si="3230"/>
        <v>20.9</v>
      </c>
      <c r="K481" s="99">
        <f t="shared" si="3230"/>
        <v>7.883</v>
      </c>
      <c r="L481" s="99">
        <f t="shared" si="3230"/>
        <v>0.55400000000000005</v>
      </c>
      <c r="M481" s="45"/>
      <c r="N481" s="45"/>
      <c r="O481" s="100">
        <f t="shared" ref="O481:P481" si="3231">O480</f>
        <v>100.62</v>
      </c>
      <c r="P481" s="101" t="str">
        <f t="shared" si="3231"/>
        <v>2,29,560</v>
      </c>
      <c r="Q481" s="11" t="str">
        <f t="shared" si="3053"/>
        <v>2</v>
      </c>
      <c r="R481" s="11" t="str">
        <f t="shared" si="3054"/>
        <v>29,560</v>
      </c>
      <c r="S481" s="11">
        <f t="shared" si="3055"/>
        <v>4.1544444444444446E-2</v>
      </c>
      <c r="T481" s="14">
        <f t="shared" si="3056"/>
        <v>2421.9844878309709</v>
      </c>
      <c r="U481" s="39">
        <f t="shared" si="3030"/>
        <v>-100</v>
      </c>
      <c r="V481" s="105">
        <f t="shared" ref="V481:X481" si="3232">V480</f>
        <v>20.399999999999999</v>
      </c>
      <c r="W481" s="105">
        <f t="shared" si="3232"/>
        <v>1.5069999999999999</v>
      </c>
      <c r="X481" s="106">
        <f t="shared" si="3232"/>
        <v>1.504</v>
      </c>
      <c r="Y481" s="45"/>
      <c r="Z481" s="45"/>
      <c r="AA481" s="107">
        <f t="shared" ref="AA481:AB481" si="3233">AA480</f>
        <v>10.015000000000001</v>
      </c>
      <c r="AB481" s="108" t="str">
        <f t="shared" si="3233"/>
        <v>22,10,090</v>
      </c>
      <c r="AC481" s="11" t="str">
        <f t="shared" si="3059"/>
        <v>22</v>
      </c>
      <c r="AD481" s="11" t="str">
        <f t="shared" si="3060"/>
        <v>10,090</v>
      </c>
      <c r="AE481" s="11">
        <f t="shared" si="3061"/>
        <v>0.36946944444444441</v>
      </c>
      <c r="AF481" s="14">
        <f t="shared" si="3033"/>
        <v>27.106436406558959</v>
      </c>
      <c r="AG481" s="41">
        <f t="shared" si="3079"/>
        <v>-100</v>
      </c>
      <c r="AH481" s="105">
        <f t="shared" ref="AH481:AJ481" si="3234">AH480</f>
        <v>20.3</v>
      </c>
      <c r="AI481" s="105">
        <f t="shared" si="3234"/>
        <v>1.5089999999999999</v>
      </c>
      <c r="AJ481" s="105">
        <f t="shared" si="3234"/>
        <v>1.504</v>
      </c>
      <c r="AK481" s="53">
        <f t="shared" si="2892"/>
        <v>0</v>
      </c>
      <c r="AL481" s="45"/>
      <c r="AM481" s="54">
        <f t="shared" ref="AM481:AN481" si="3235">AM480</f>
        <v>5.0129999999999999</v>
      </c>
      <c r="AN481" s="101" t="str">
        <f t="shared" si="3235"/>
        <v>17,59,050</v>
      </c>
      <c r="AO481" s="11" t="str">
        <f t="shared" si="3064"/>
        <v>17</v>
      </c>
      <c r="AP481" s="11" t="str">
        <f t="shared" si="3065"/>
        <v>59,050</v>
      </c>
      <c r="AQ481" s="11">
        <f t="shared" si="3066"/>
        <v>0.29973611111111109</v>
      </c>
      <c r="AR481" s="14">
        <f t="shared" si="3036"/>
        <v>16.724711551827998</v>
      </c>
      <c r="AS481" s="41">
        <f t="shared" si="3037"/>
        <v>-100</v>
      </c>
      <c r="AT481" s="43" t="str">
        <f t="shared" si="3038"/>
        <v>NO CONFORME</v>
      </c>
      <c r="AU481" s="8" t="b">
        <f t="shared" si="3067"/>
        <v>1</v>
      </c>
      <c r="AV481" s="8" t="b">
        <f t="shared" si="3068"/>
        <v>0</v>
      </c>
      <c r="AW481" s="8" t="b">
        <f t="shared" si="3069"/>
        <v>1</v>
      </c>
      <c r="AX481" s="8" t="str">
        <f t="shared" si="3070"/>
        <v>Qcorrecto</v>
      </c>
      <c r="AY481" s="22" t="str">
        <f t="shared" si="3039"/>
        <v>aceptable</v>
      </c>
      <c r="AZ481" s="22" t="str">
        <f t="shared" si="3040"/>
        <v>aceptable</v>
      </c>
      <c r="BA481" s="22" t="str">
        <f t="shared" si="3071"/>
        <v>aceptable</v>
      </c>
      <c r="BB481" s="25" t="str">
        <f t="shared" si="3072"/>
        <v>NO CONFORME</v>
      </c>
      <c r="BC481" s="5" t="str">
        <f t="shared" si="3073"/>
        <v>NO CONFORME</v>
      </c>
      <c r="BD481" s="15">
        <f t="shared" si="3041"/>
        <v>-1</v>
      </c>
      <c r="BE481" s="15">
        <f t="shared" si="3042"/>
        <v>-1</v>
      </c>
      <c r="BF481" s="15">
        <f t="shared" si="3043"/>
        <v>-1</v>
      </c>
      <c r="BG481" s="15" t="str">
        <f t="shared" si="3044"/>
        <v>-1-1-1</v>
      </c>
      <c r="BH481" s="15" t="str">
        <f t="shared" si="3045"/>
        <v>SD</v>
      </c>
      <c r="BI481" s="15" t="str">
        <f t="shared" si="3046"/>
        <v>SI</v>
      </c>
      <c r="BJ481" s="15" t="b">
        <f t="shared" si="3047"/>
        <v>1</v>
      </c>
      <c r="BK481" s="15" t="str">
        <f t="shared" si="3048"/>
        <v>SIGIGUALES</v>
      </c>
      <c r="BL481" s="22" t="str">
        <f t="shared" si="3049"/>
        <v>NO CONFORME</v>
      </c>
    </row>
    <row r="482" spans="1:64" ht="15.75" thickBot="1" x14ac:dyDescent="0.3">
      <c r="A482" s="37">
        <v>474</v>
      </c>
      <c r="B482" s="93">
        <f t="shared" ref="B482:E482" si="3236">B481</f>
        <v>45919</v>
      </c>
      <c r="C482" s="93">
        <f t="shared" si="3236"/>
        <v>45919</v>
      </c>
      <c r="D482" s="94">
        <f t="shared" si="3236"/>
        <v>6</v>
      </c>
      <c r="E482" s="95">
        <f t="shared" si="3236"/>
        <v>15</v>
      </c>
      <c r="F482" s="13"/>
      <c r="G482" s="90"/>
      <c r="H482" s="97">
        <f t="shared" ref="H482:L482" si="3237">H481</f>
        <v>25.6</v>
      </c>
      <c r="I482" s="98">
        <f t="shared" si="3237"/>
        <v>0</v>
      </c>
      <c r="J482" s="99">
        <f t="shared" si="3237"/>
        <v>20.9</v>
      </c>
      <c r="K482" s="99">
        <f t="shared" si="3237"/>
        <v>7.883</v>
      </c>
      <c r="L482" s="99">
        <f t="shared" si="3237"/>
        <v>0.55400000000000005</v>
      </c>
      <c r="M482" s="45"/>
      <c r="N482" s="45"/>
      <c r="O482" s="100">
        <f t="shared" ref="O482:P482" si="3238">O481</f>
        <v>100.62</v>
      </c>
      <c r="P482" s="101" t="str">
        <f t="shared" si="3238"/>
        <v>2,29,560</v>
      </c>
      <c r="Q482" s="11" t="str">
        <f t="shared" si="3053"/>
        <v>2</v>
      </c>
      <c r="R482" s="11" t="str">
        <f t="shared" si="3054"/>
        <v>29,560</v>
      </c>
      <c r="S482" s="11">
        <f t="shared" si="3055"/>
        <v>4.1544444444444446E-2</v>
      </c>
      <c r="T482" s="14">
        <f t="shared" si="3056"/>
        <v>2421.9844878309709</v>
      </c>
      <c r="U482" s="39">
        <f t="shared" si="3030"/>
        <v>-100</v>
      </c>
      <c r="V482" s="105">
        <f t="shared" ref="V482:X482" si="3239">V481</f>
        <v>20.399999999999999</v>
      </c>
      <c r="W482" s="105">
        <f t="shared" si="3239"/>
        <v>1.5069999999999999</v>
      </c>
      <c r="X482" s="106">
        <f t="shared" si="3239"/>
        <v>1.504</v>
      </c>
      <c r="Y482" s="45"/>
      <c r="Z482" s="45"/>
      <c r="AA482" s="107">
        <f t="shared" ref="AA482:AB482" si="3240">AA481</f>
        <v>10.015000000000001</v>
      </c>
      <c r="AB482" s="108" t="str">
        <f t="shared" si="3240"/>
        <v>22,10,090</v>
      </c>
      <c r="AC482" s="11" t="str">
        <f t="shared" si="3059"/>
        <v>22</v>
      </c>
      <c r="AD482" s="11" t="str">
        <f t="shared" si="3060"/>
        <v>10,090</v>
      </c>
      <c r="AE482" s="11">
        <f t="shared" si="3061"/>
        <v>0.36946944444444441</v>
      </c>
      <c r="AF482" s="14">
        <f t="shared" si="3033"/>
        <v>27.106436406558959</v>
      </c>
      <c r="AG482" s="41">
        <f t="shared" si="3079"/>
        <v>-100</v>
      </c>
      <c r="AH482" s="105">
        <f t="shared" ref="AH482:AJ482" si="3241">AH481</f>
        <v>20.3</v>
      </c>
      <c r="AI482" s="105">
        <f t="shared" si="3241"/>
        <v>1.5089999999999999</v>
      </c>
      <c r="AJ482" s="105">
        <f t="shared" si="3241"/>
        <v>1.504</v>
      </c>
      <c r="AK482" s="53">
        <f t="shared" si="2892"/>
        <v>0</v>
      </c>
      <c r="AL482" s="45"/>
      <c r="AM482" s="54">
        <f t="shared" ref="AM482:AN482" si="3242">AM481</f>
        <v>5.0129999999999999</v>
      </c>
      <c r="AN482" s="101" t="str">
        <f t="shared" si="3242"/>
        <v>17,59,050</v>
      </c>
      <c r="AO482" s="11" t="str">
        <f t="shared" si="3064"/>
        <v>17</v>
      </c>
      <c r="AP482" s="11" t="str">
        <f t="shared" si="3065"/>
        <v>59,050</v>
      </c>
      <c r="AQ482" s="11">
        <f t="shared" si="3066"/>
        <v>0.29973611111111109</v>
      </c>
      <c r="AR482" s="14">
        <f t="shared" si="3036"/>
        <v>16.724711551827998</v>
      </c>
      <c r="AS482" s="41">
        <f t="shared" si="3037"/>
        <v>-100</v>
      </c>
      <c r="AT482" s="43" t="str">
        <f t="shared" si="3038"/>
        <v>NO CONFORME</v>
      </c>
      <c r="AU482" s="8" t="b">
        <f t="shared" si="3067"/>
        <v>1</v>
      </c>
      <c r="AV482" s="8" t="b">
        <f t="shared" si="3068"/>
        <v>0</v>
      </c>
      <c r="AW482" s="8" t="b">
        <f t="shared" si="3069"/>
        <v>1</v>
      </c>
      <c r="AX482" s="8" t="str">
        <f t="shared" si="3070"/>
        <v>Qcorrecto</v>
      </c>
      <c r="AY482" s="22" t="str">
        <f t="shared" si="3039"/>
        <v>aceptable</v>
      </c>
      <c r="AZ482" s="22" t="str">
        <f t="shared" si="3040"/>
        <v>aceptable</v>
      </c>
      <c r="BA482" s="22" t="str">
        <f t="shared" si="3071"/>
        <v>aceptable</v>
      </c>
      <c r="BB482" s="25" t="str">
        <f t="shared" si="3072"/>
        <v>NO CONFORME</v>
      </c>
      <c r="BC482" s="5" t="str">
        <f t="shared" si="3073"/>
        <v>NO CONFORME</v>
      </c>
      <c r="BD482" s="15">
        <f t="shared" si="3041"/>
        <v>-1</v>
      </c>
      <c r="BE482" s="15">
        <f t="shared" si="3042"/>
        <v>-1</v>
      </c>
      <c r="BF482" s="15">
        <f t="shared" si="3043"/>
        <v>-1</v>
      </c>
      <c r="BG482" s="15" t="str">
        <f t="shared" si="3044"/>
        <v>-1-1-1</v>
      </c>
      <c r="BH482" s="15" t="str">
        <f t="shared" si="3045"/>
        <v>SD</v>
      </c>
      <c r="BI482" s="15" t="str">
        <f t="shared" si="3046"/>
        <v>SI</v>
      </c>
      <c r="BJ482" s="15" t="b">
        <f t="shared" si="3047"/>
        <v>1</v>
      </c>
      <c r="BK482" s="15" t="str">
        <f t="shared" si="3048"/>
        <v>SIGIGUALES</v>
      </c>
      <c r="BL482" s="22" t="str">
        <f t="shared" si="3049"/>
        <v>NO CONFORME</v>
      </c>
    </row>
    <row r="483" spans="1:64" ht="15.75" thickBot="1" x14ac:dyDescent="0.3">
      <c r="A483" s="37">
        <v>475</v>
      </c>
      <c r="B483" s="93">
        <f t="shared" ref="B483:E483" si="3243">B482</f>
        <v>45919</v>
      </c>
      <c r="C483" s="93">
        <f t="shared" si="3243"/>
        <v>45919</v>
      </c>
      <c r="D483" s="94">
        <f t="shared" si="3243"/>
        <v>6</v>
      </c>
      <c r="E483" s="95">
        <f t="shared" si="3243"/>
        <v>15</v>
      </c>
      <c r="F483" s="13"/>
      <c r="G483" s="90"/>
      <c r="H483" s="97">
        <f t="shared" ref="H483:L483" si="3244">H482</f>
        <v>25.6</v>
      </c>
      <c r="I483" s="98">
        <f t="shared" si="3244"/>
        <v>0</v>
      </c>
      <c r="J483" s="99">
        <f t="shared" si="3244"/>
        <v>20.9</v>
      </c>
      <c r="K483" s="99">
        <f t="shared" si="3244"/>
        <v>7.883</v>
      </c>
      <c r="L483" s="99">
        <f t="shared" si="3244"/>
        <v>0.55400000000000005</v>
      </c>
      <c r="M483" s="45"/>
      <c r="N483" s="45"/>
      <c r="O483" s="100">
        <f t="shared" ref="O483:P483" si="3245">O482</f>
        <v>100.62</v>
      </c>
      <c r="P483" s="101" t="str">
        <f t="shared" si="3245"/>
        <v>2,29,560</v>
      </c>
      <c r="Q483" s="11" t="str">
        <f t="shared" si="3053"/>
        <v>2</v>
      </c>
      <c r="R483" s="11" t="str">
        <f t="shared" si="3054"/>
        <v>29,560</v>
      </c>
      <c r="S483" s="11">
        <f t="shared" si="3055"/>
        <v>4.1544444444444446E-2</v>
      </c>
      <c r="T483" s="14">
        <f t="shared" si="3056"/>
        <v>2421.9844878309709</v>
      </c>
      <c r="U483" s="39">
        <f t="shared" si="3030"/>
        <v>-100</v>
      </c>
      <c r="V483" s="105">
        <f t="shared" ref="V483:X483" si="3246">V482</f>
        <v>20.399999999999999</v>
      </c>
      <c r="W483" s="105">
        <f t="shared" si="3246"/>
        <v>1.5069999999999999</v>
      </c>
      <c r="X483" s="106">
        <f t="shared" si="3246"/>
        <v>1.504</v>
      </c>
      <c r="Y483" s="45"/>
      <c r="Z483" s="45"/>
      <c r="AA483" s="107">
        <f t="shared" ref="AA483:AB483" si="3247">AA482</f>
        <v>10.015000000000001</v>
      </c>
      <c r="AB483" s="108" t="str">
        <f t="shared" si="3247"/>
        <v>22,10,090</v>
      </c>
      <c r="AC483" s="11" t="str">
        <f t="shared" si="3059"/>
        <v>22</v>
      </c>
      <c r="AD483" s="11" t="str">
        <f t="shared" si="3060"/>
        <v>10,090</v>
      </c>
      <c r="AE483" s="11">
        <f t="shared" si="3061"/>
        <v>0.36946944444444441</v>
      </c>
      <c r="AF483" s="14">
        <f t="shared" si="3033"/>
        <v>27.106436406558959</v>
      </c>
      <c r="AG483" s="41">
        <f t="shared" si="3079"/>
        <v>-100</v>
      </c>
      <c r="AH483" s="105">
        <f t="shared" ref="AH483:AJ483" si="3248">AH482</f>
        <v>20.3</v>
      </c>
      <c r="AI483" s="105">
        <f t="shared" si="3248"/>
        <v>1.5089999999999999</v>
      </c>
      <c r="AJ483" s="105">
        <f t="shared" si="3248"/>
        <v>1.504</v>
      </c>
      <c r="AK483" s="53">
        <f t="shared" si="2892"/>
        <v>0</v>
      </c>
      <c r="AL483" s="45"/>
      <c r="AM483" s="54">
        <f t="shared" ref="AM483:AN483" si="3249">AM482</f>
        <v>5.0129999999999999</v>
      </c>
      <c r="AN483" s="101" t="str">
        <f t="shared" si="3249"/>
        <v>17,59,050</v>
      </c>
      <c r="AO483" s="11" t="str">
        <f t="shared" si="3064"/>
        <v>17</v>
      </c>
      <c r="AP483" s="11" t="str">
        <f t="shared" si="3065"/>
        <v>59,050</v>
      </c>
      <c r="AQ483" s="11">
        <f t="shared" si="3066"/>
        <v>0.29973611111111109</v>
      </c>
      <c r="AR483" s="14">
        <f t="shared" si="3036"/>
        <v>16.724711551827998</v>
      </c>
      <c r="AS483" s="41">
        <f t="shared" si="3037"/>
        <v>-100</v>
      </c>
      <c r="AT483" s="43" t="str">
        <f t="shared" si="3038"/>
        <v>NO CONFORME</v>
      </c>
      <c r="AU483" s="8" t="b">
        <f t="shared" si="3067"/>
        <v>1</v>
      </c>
      <c r="AV483" s="8" t="b">
        <f t="shared" si="3068"/>
        <v>0</v>
      </c>
      <c r="AW483" s="8" t="b">
        <f t="shared" si="3069"/>
        <v>1</v>
      </c>
      <c r="AX483" s="8" t="str">
        <f t="shared" si="3070"/>
        <v>Qcorrecto</v>
      </c>
      <c r="AY483" s="22" t="str">
        <f t="shared" si="3039"/>
        <v>aceptable</v>
      </c>
      <c r="AZ483" s="22" t="str">
        <f t="shared" si="3040"/>
        <v>aceptable</v>
      </c>
      <c r="BA483" s="22" t="str">
        <f t="shared" si="3071"/>
        <v>aceptable</v>
      </c>
      <c r="BB483" s="25" t="str">
        <f t="shared" si="3072"/>
        <v>NO CONFORME</v>
      </c>
      <c r="BC483" s="5" t="str">
        <f t="shared" si="3073"/>
        <v>NO CONFORME</v>
      </c>
      <c r="BD483" s="15">
        <f t="shared" si="3041"/>
        <v>-1</v>
      </c>
      <c r="BE483" s="15">
        <f t="shared" si="3042"/>
        <v>-1</v>
      </c>
      <c r="BF483" s="15">
        <f t="shared" si="3043"/>
        <v>-1</v>
      </c>
      <c r="BG483" s="15" t="str">
        <f t="shared" si="3044"/>
        <v>-1-1-1</v>
      </c>
      <c r="BH483" s="15" t="str">
        <f t="shared" si="3045"/>
        <v>SD</v>
      </c>
      <c r="BI483" s="15" t="str">
        <f t="shared" si="3046"/>
        <v>SI</v>
      </c>
      <c r="BJ483" s="15" t="b">
        <f t="shared" si="3047"/>
        <v>1</v>
      </c>
      <c r="BK483" s="15" t="str">
        <f t="shared" si="3048"/>
        <v>SIGIGUALES</v>
      </c>
      <c r="BL483" s="22" t="str">
        <f t="shared" si="3049"/>
        <v>NO CONFORME</v>
      </c>
    </row>
    <row r="484" spans="1:64" ht="15.75" thickBot="1" x14ac:dyDescent="0.3">
      <c r="A484" s="37">
        <v>476</v>
      </c>
      <c r="B484" s="93">
        <f t="shared" ref="B484:E484" si="3250">B483</f>
        <v>45919</v>
      </c>
      <c r="C484" s="93">
        <f t="shared" si="3250"/>
        <v>45919</v>
      </c>
      <c r="D484" s="94">
        <f t="shared" si="3250"/>
        <v>6</v>
      </c>
      <c r="E484" s="95">
        <f t="shared" si="3250"/>
        <v>15</v>
      </c>
      <c r="F484" s="13"/>
      <c r="G484" s="90"/>
      <c r="H484" s="97">
        <f t="shared" ref="H484:L484" si="3251">H483</f>
        <v>25.6</v>
      </c>
      <c r="I484" s="98">
        <f t="shared" si="3251"/>
        <v>0</v>
      </c>
      <c r="J484" s="99">
        <f t="shared" si="3251"/>
        <v>20.9</v>
      </c>
      <c r="K484" s="99">
        <f t="shared" si="3251"/>
        <v>7.883</v>
      </c>
      <c r="L484" s="99">
        <f t="shared" si="3251"/>
        <v>0.55400000000000005</v>
      </c>
      <c r="M484" s="45"/>
      <c r="N484" s="45"/>
      <c r="O484" s="100">
        <f t="shared" ref="O484:P484" si="3252">O483</f>
        <v>100.62</v>
      </c>
      <c r="P484" s="101" t="str">
        <f t="shared" si="3252"/>
        <v>2,29,560</v>
      </c>
      <c r="Q484" s="11" t="str">
        <f t="shared" si="3053"/>
        <v>2</v>
      </c>
      <c r="R484" s="11" t="str">
        <f t="shared" si="3054"/>
        <v>29,560</v>
      </c>
      <c r="S484" s="11">
        <f t="shared" si="3055"/>
        <v>4.1544444444444446E-2</v>
      </c>
      <c r="T484" s="14">
        <f t="shared" si="3056"/>
        <v>2421.9844878309709</v>
      </c>
      <c r="U484" s="39">
        <f t="shared" si="3030"/>
        <v>-100</v>
      </c>
      <c r="V484" s="105">
        <f t="shared" ref="V484:X484" si="3253">V483</f>
        <v>20.399999999999999</v>
      </c>
      <c r="W484" s="105">
        <f t="shared" si="3253"/>
        <v>1.5069999999999999</v>
      </c>
      <c r="X484" s="106">
        <f t="shared" si="3253"/>
        <v>1.504</v>
      </c>
      <c r="Y484" s="45"/>
      <c r="Z484" s="45"/>
      <c r="AA484" s="107">
        <f t="shared" ref="AA484:AB484" si="3254">AA483</f>
        <v>10.015000000000001</v>
      </c>
      <c r="AB484" s="108" t="str">
        <f t="shared" si="3254"/>
        <v>22,10,090</v>
      </c>
      <c r="AC484" s="11" t="str">
        <f t="shared" si="3059"/>
        <v>22</v>
      </c>
      <c r="AD484" s="11" t="str">
        <f t="shared" si="3060"/>
        <v>10,090</v>
      </c>
      <c r="AE484" s="11">
        <f t="shared" si="3061"/>
        <v>0.36946944444444441</v>
      </c>
      <c r="AF484" s="14">
        <f t="shared" si="3033"/>
        <v>27.106436406558959</v>
      </c>
      <c r="AG484" s="41">
        <f t="shared" si="3079"/>
        <v>-100</v>
      </c>
      <c r="AH484" s="105">
        <f t="shared" ref="AH484:AJ484" si="3255">AH483</f>
        <v>20.3</v>
      </c>
      <c r="AI484" s="105">
        <f t="shared" si="3255"/>
        <v>1.5089999999999999</v>
      </c>
      <c r="AJ484" s="105">
        <f t="shared" si="3255"/>
        <v>1.504</v>
      </c>
      <c r="AK484" s="53">
        <f t="shared" si="2892"/>
        <v>0</v>
      </c>
      <c r="AL484" s="45"/>
      <c r="AM484" s="54">
        <f t="shared" ref="AM484:AN484" si="3256">AM483</f>
        <v>5.0129999999999999</v>
      </c>
      <c r="AN484" s="101" t="str">
        <f t="shared" si="3256"/>
        <v>17,59,050</v>
      </c>
      <c r="AO484" s="11" t="str">
        <f t="shared" si="3064"/>
        <v>17</v>
      </c>
      <c r="AP484" s="11" t="str">
        <f t="shared" si="3065"/>
        <v>59,050</v>
      </c>
      <c r="AQ484" s="11">
        <f t="shared" si="3066"/>
        <v>0.29973611111111109</v>
      </c>
      <c r="AR484" s="14">
        <f t="shared" si="3036"/>
        <v>16.724711551827998</v>
      </c>
      <c r="AS484" s="41">
        <f t="shared" si="3037"/>
        <v>-100</v>
      </c>
      <c r="AT484" s="43" t="str">
        <f t="shared" si="3038"/>
        <v>NO CONFORME</v>
      </c>
      <c r="AU484" s="8" t="b">
        <f t="shared" si="3067"/>
        <v>1</v>
      </c>
      <c r="AV484" s="8" t="b">
        <f t="shared" si="3068"/>
        <v>0</v>
      </c>
      <c r="AW484" s="8" t="b">
        <f t="shared" si="3069"/>
        <v>1</v>
      </c>
      <c r="AX484" s="8" t="str">
        <f t="shared" si="3070"/>
        <v>Qcorrecto</v>
      </c>
      <c r="AY484" s="22" t="str">
        <f t="shared" si="3039"/>
        <v>aceptable</v>
      </c>
      <c r="AZ484" s="22" t="str">
        <f t="shared" si="3040"/>
        <v>aceptable</v>
      </c>
      <c r="BA484" s="22" t="str">
        <f t="shared" si="3071"/>
        <v>aceptable</v>
      </c>
      <c r="BB484" s="25" t="str">
        <f t="shared" si="3072"/>
        <v>NO CONFORME</v>
      </c>
      <c r="BC484" s="5" t="str">
        <f t="shared" si="3073"/>
        <v>NO CONFORME</v>
      </c>
      <c r="BD484" s="15">
        <f t="shared" si="3041"/>
        <v>-1</v>
      </c>
      <c r="BE484" s="15">
        <f t="shared" si="3042"/>
        <v>-1</v>
      </c>
      <c r="BF484" s="15">
        <f t="shared" si="3043"/>
        <v>-1</v>
      </c>
      <c r="BG484" s="15" t="str">
        <f t="shared" si="3044"/>
        <v>-1-1-1</v>
      </c>
      <c r="BH484" s="15" t="str">
        <f t="shared" si="3045"/>
        <v>SD</v>
      </c>
      <c r="BI484" s="15" t="str">
        <f t="shared" si="3046"/>
        <v>SI</v>
      </c>
      <c r="BJ484" s="15" t="b">
        <f t="shared" si="3047"/>
        <v>1</v>
      </c>
      <c r="BK484" s="15" t="str">
        <f t="shared" si="3048"/>
        <v>SIGIGUALES</v>
      </c>
      <c r="BL484" s="22" t="str">
        <f t="shared" si="3049"/>
        <v>NO CONFORME</v>
      </c>
    </row>
    <row r="485" spans="1:64" ht="15.75" thickBot="1" x14ac:dyDescent="0.3">
      <c r="A485" s="37">
        <v>477</v>
      </c>
      <c r="B485" s="93">
        <f t="shared" ref="B485:E485" si="3257">B484</f>
        <v>45919</v>
      </c>
      <c r="C485" s="93">
        <f t="shared" si="3257"/>
        <v>45919</v>
      </c>
      <c r="D485" s="94">
        <f t="shared" si="3257"/>
        <v>6</v>
      </c>
      <c r="E485" s="95">
        <f t="shared" si="3257"/>
        <v>15</v>
      </c>
      <c r="F485" s="13"/>
      <c r="G485" s="90"/>
      <c r="H485" s="97">
        <f t="shared" ref="H485:L485" si="3258">H484</f>
        <v>25.6</v>
      </c>
      <c r="I485" s="98">
        <f t="shared" si="3258"/>
        <v>0</v>
      </c>
      <c r="J485" s="99">
        <f t="shared" si="3258"/>
        <v>20.9</v>
      </c>
      <c r="K485" s="99">
        <f t="shared" si="3258"/>
        <v>7.883</v>
      </c>
      <c r="L485" s="99">
        <f t="shared" si="3258"/>
        <v>0.55400000000000005</v>
      </c>
      <c r="M485" s="45"/>
      <c r="N485" s="45"/>
      <c r="O485" s="100">
        <f t="shared" ref="O485:P485" si="3259">O484</f>
        <v>100.62</v>
      </c>
      <c r="P485" s="101" t="str">
        <f t="shared" si="3259"/>
        <v>2,29,560</v>
      </c>
      <c r="Q485" s="11" t="str">
        <f t="shared" si="3053"/>
        <v>2</v>
      </c>
      <c r="R485" s="11" t="str">
        <f t="shared" si="3054"/>
        <v>29,560</v>
      </c>
      <c r="S485" s="11">
        <f t="shared" si="3055"/>
        <v>4.1544444444444446E-2</v>
      </c>
      <c r="T485" s="14">
        <f t="shared" si="3056"/>
        <v>2421.9844878309709</v>
      </c>
      <c r="U485" s="39">
        <f t="shared" si="3030"/>
        <v>-100</v>
      </c>
      <c r="V485" s="105">
        <f t="shared" ref="V485:X485" si="3260">V484</f>
        <v>20.399999999999999</v>
      </c>
      <c r="W485" s="105">
        <f t="shared" si="3260"/>
        <v>1.5069999999999999</v>
      </c>
      <c r="X485" s="106">
        <f t="shared" si="3260"/>
        <v>1.504</v>
      </c>
      <c r="Y485" s="45"/>
      <c r="Z485" s="45"/>
      <c r="AA485" s="107">
        <f t="shared" ref="AA485:AB485" si="3261">AA484</f>
        <v>10.015000000000001</v>
      </c>
      <c r="AB485" s="108" t="str">
        <f t="shared" si="3261"/>
        <v>22,10,090</v>
      </c>
      <c r="AC485" s="11" t="str">
        <f t="shared" si="3059"/>
        <v>22</v>
      </c>
      <c r="AD485" s="11" t="str">
        <f t="shared" si="3060"/>
        <v>10,090</v>
      </c>
      <c r="AE485" s="11">
        <f t="shared" si="3061"/>
        <v>0.36946944444444441</v>
      </c>
      <c r="AF485" s="14">
        <f t="shared" si="3033"/>
        <v>27.106436406558959</v>
      </c>
      <c r="AG485" s="41">
        <f t="shared" si="3079"/>
        <v>-100</v>
      </c>
      <c r="AH485" s="105">
        <f t="shared" ref="AH485:AJ485" si="3262">AH484</f>
        <v>20.3</v>
      </c>
      <c r="AI485" s="105">
        <f t="shared" si="3262"/>
        <v>1.5089999999999999</v>
      </c>
      <c r="AJ485" s="105">
        <f t="shared" si="3262"/>
        <v>1.504</v>
      </c>
      <c r="AK485" s="53">
        <f t="shared" si="2892"/>
        <v>0</v>
      </c>
      <c r="AL485" s="45"/>
      <c r="AM485" s="54">
        <f t="shared" ref="AM485:AN485" si="3263">AM484</f>
        <v>5.0129999999999999</v>
      </c>
      <c r="AN485" s="101" t="str">
        <f t="shared" si="3263"/>
        <v>17,59,050</v>
      </c>
      <c r="AO485" s="11" t="str">
        <f t="shared" si="3064"/>
        <v>17</v>
      </c>
      <c r="AP485" s="11" t="str">
        <f t="shared" si="3065"/>
        <v>59,050</v>
      </c>
      <c r="AQ485" s="11">
        <f t="shared" si="3066"/>
        <v>0.29973611111111109</v>
      </c>
      <c r="AR485" s="14">
        <f t="shared" si="3036"/>
        <v>16.724711551827998</v>
      </c>
      <c r="AS485" s="41">
        <f t="shared" si="3037"/>
        <v>-100</v>
      </c>
      <c r="AT485" s="43" t="str">
        <f t="shared" si="3038"/>
        <v>NO CONFORME</v>
      </c>
      <c r="AU485" s="8" t="b">
        <f t="shared" si="3067"/>
        <v>1</v>
      </c>
      <c r="AV485" s="8" t="b">
        <f t="shared" si="3068"/>
        <v>0</v>
      </c>
      <c r="AW485" s="8" t="b">
        <f t="shared" si="3069"/>
        <v>1</v>
      </c>
      <c r="AX485" s="8" t="str">
        <f t="shared" si="3070"/>
        <v>Qcorrecto</v>
      </c>
      <c r="AY485" s="22" t="str">
        <f t="shared" si="3039"/>
        <v>aceptable</v>
      </c>
      <c r="AZ485" s="22" t="str">
        <f t="shared" si="3040"/>
        <v>aceptable</v>
      </c>
      <c r="BA485" s="22" t="str">
        <f t="shared" si="3071"/>
        <v>aceptable</v>
      </c>
      <c r="BB485" s="25" t="str">
        <f t="shared" si="3072"/>
        <v>NO CONFORME</v>
      </c>
      <c r="BC485" s="5" t="str">
        <f t="shared" si="3073"/>
        <v>NO CONFORME</v>
      </c>
      <c r="BD485" s="15">
        <f t="shared" si="3041"/>
        <v>-1</v>
      </c>
      <c r="BE485" s="15">
        <f t="shared" si="3042"/>
        <v>-1</v>
      </c>
      <c r="BF485" s="15">
        <f t="shared" si="3043"/>
        <v>-1</v>
      </c>
      <c r="BG485" s="15" t="str">
        <f t="shared" si="3044"/>
        <v>-1-1-1</v>
      </c>
      <c r="BH485" s="15" t="str">
        <f t="shared" si="3045"/>
        <v>SD</v>
      </c>
      <c r="BI485" s="15" t="str">
        <f t="shared" si="3046"/>
        <v>SI</v>
      </c>
      <c r="BJ485" s="15" t="b">
        <f t="shared" si="3047"/>
        <v>1</v>
      </c>
      <c r="BK485" s="15" t="str">
        <f t="shared" si="3048"/>
        <v>SIGIGUALES</v>
      </c>
      <c r="BL485" s="22" t="str">
        <f t="shared" si="3049"/>
        <v>NO CONFORME</v>
      </c>
    </row>
    <row r="486" spans="1:64" ht="15.75" thickBot="1" x14ac:dyDescent="0.3">
      <c r="A486" s="37">
        <v>478</v>
      </c>
      <c r="B486" s="93">
        <f t="shared" ref="B486:E486" si="3264">B485</f>
        <v>45919</v>
      </c>
      <c r="C486" s="93">
        <f t="shared" si="3264"/>
        <v>45919</v>
      </c>
      <c r="D486" s="94">
        <f t="shared" si="3264"/>
        <v>6</v>
      </c>
      <c r="E486" s="95">
        <f t="shared" si="3264"/>
        <v>15</v>
      </c>
      <c r="F486" s="13"/>
      <c r="G486" s="90"/>
      <c r="H486" s="97">
        <f t="shared" ref="H486:L486" si="3265">H485</f>
        <v>25.6</v>
      </c>
      <c r="I486" s="98">
        <f t="shared" si="3265"/>
        <v>0</v>
      </c>
      <c r="J486" s="99">
        <f t="shared" si="3265"/>
        <v>20.9</v>
      </c>
      <c r="K486" s="99">
        <f t="shared" si="3265"/>
        <v>7.883</v>
      </c>
      <c r="L486" s="99">
        <f t="shared" si="3265"/>
        <v>0.55400000000000005</v>
      </c>
      <c r="M486" s="45"/>
      <c r="N486" s="45"/>
      <c r="O486" s="100">
        <f t="shared" ref="O486:P486" si="3266">O485</f>
        <v>100.62</v>
      </c>
      <c r="P486" s="101" t="str">
        <f t="shared" si="3266"/>
        <v>2,29,560</v>
      </c>
      <c r="Q486" s="11" t="str">
        <f t="shared" si="3053"/>
        <v>2</v>
      </c>
      <c r="R486" s="11" t="str">
        <f t="shared" si="3054"/>
        <v>29,560</v>
      </c>
      <c r="S486" s="11">
        <f t="shared" si="3055"/>
        <v>4.1544444444444446E-2</v>
      </c>
      <c r="T486" s="14">
        <f t="shared" si="3056"/>
        <v>2421.9844878309709</v>
      </c>
      <c r="U486" s="39">
        <f t="shared" si="3030"/>
        <v>-100</v>
      </c>
      <c r="V486" s="105">
        <f t="shared" ref="V486:X486" si="3267">V485</f>
        <v>20.399999999999999</v>
      </c>
      <c r="W486" s="105">
        <f t="shared" si="3267"/>
        <v>1.5069999999999999</v>
      </c>
      <c r="X486" s="106">
        <f t="shared" si="3267"/>
        <v>1.504</v>
      </c>
      <c r="Y486" s="45"/>
      <c r="Z486" s="45"/>
      <c r="AA486" s="107">
        <f t="shared" ref="AA486:AB486" si="3268">AA485</f>
        <v>10.015000000000001</v>
      </c>
      <c r="AB486" s="108" t="str">
        <f t="shared" si="3268"/>
        <v>22,10,090</v>
      </c>
      <c r="AC486" s="11" t="str">
        <f t="shared" si="3059"/>
        <v>22</v>
      </c>
      <c r="AD486" s="11" t="str">
        <f t="shared" si="3060"/>
        <v>10,090</v>
      </c>
      <c r="AE486" s="11">
        <f t="shared" si="3061"/>
        <v>0.36946944444444441</v>
      </c>
      <c r="AF486" s="14">
        <f t="shared" si="3033"/>
        <v>27.106436406558959</v>
      </c>
      <c r="AG486" s="41">
        <f t="shared" si="3079"/>
        <v>-100</v>
      </c>
      <c r="AH486" s="105">
        <f t="shared" ref="AH486:AJ486" si="3269">AH485</f>
        <v>20.3</v>
      </c>
      <c r="AI486" s="105">
        <f t="shared" si="3269"/>
        <v>1.5089999999999999</v>
      </c>
      <c r="AJ486" s="105">
        <f t="shared" si="3269"/>
        <v>1.504</v>
      </c>
      <c r="AK486" s="53">
        <f t="shared" si="2892"/>
        <v>0</v>
      </c>
      <c r="AL486" s="45"/>
      <c r="AM486" s="54">
        <f t="shared" ref="AM486:AN486" si="3270">AM485</f>
        <v>5.0129999999999999</v>
      </c>
      <c r="AN486" s="101" t="str">
        <f t="shared" si="3270"/>
        <v>17,59,050</v>
      </c>
      <c r="AO486" s="11" t="str">
        <f t="shared" si="3064"/>
        <v>17</v>
      </c>
      <c r="AP486" s="11" t="str">
        <f t="shared" si="3065"/>
        <v>59,050</v>
      </c>
      <c r="AQ486" s="11">
        <f t="shared" si="3066"/>
        <v>0.29973611111111109</v>
      </c>
      <c r="AR486" s="14">
        <f t="shared" si="3036"/>
        <v>16.724711551827998</v>
      </c>
      <c r="AS486" s="41">
        <f t="shared" si="3037"/>
        <v>-100</v>
      </c>
      <c r="AT486" s="43" t="str">
        <f t="shared" si="3038"/>
        <v>NO CONFORME</v>
      </c>
      <c r="AU486" s="8" t="b">
        <f t="shared" si="3067"/>
        <v>1</v>
      </c>
      <c r="AV486" s="8" t="b">
        <f t="shared" si="3068"/>
        <v>0</v>
      </c>
      <c r="AW486" s="8" t="b">
        <f t="shared" si="3069"/>
        <v>1</v>
      </c>
      <c r="AX486" s="8" t="str">
        <f t="shared" si="3070"/>
        <v>Qcorrecto</v>
      </c>
      <c r="AY486" s="22" t="str">
        <f t="shared" si="3039"/>
        <v>aceptable</v>
      </c>
      <c r="AZ486" s="22" t="str">
        <f t="shared" si="3040"/>
        <v>aceptable</v>
      </c>
      <c r="BA486" s="22" t="str">
        <f t="shared" si="3071"/>
        <v>aceptable</v>
      </c>
      <c r="BB486" s="25" t="str">
        <f t="shared" si="3072"/>
        <v>NO CONFORME</v>
      </c>
      <c r="BC486" s="5" t="str">
        <f t="shared" si="3073"/>
        <v>NO CONFORME</v>
      </c>
      <c r="BD486" s="15">
        <f t="shared" si="3041"/>
        <v>-1</v>
      </c>
      <c r="BE486" s="15">
        <f t="shared" si="3042"/>
        <v>-1</v>
      </c>
      <c r="BF486" s="15">
        <f t="shared" si="3043"/>
        <v>-1</v>
      </c>
      <c r="BG486" s="15" t="str">
        <f t="shared" si="3044"/>
        <v>-1-1-1</v>
      </c>
      <c r="BH486" s="15" t="str">
        <f t="shared" si="3045"/>
        <v>SD</v>
      </c>
      <c r="BI486" s="15" t="str">
        <f t="shared" si="3046"/>
        <v>SI</v>
      </c>
      <c r="BJ486" s="15" t="b">
        <f t="shared" si="3047"/>
        <v>1</v>
      </c>
      <c r="BK486" s="15" t="str">
        <f t="shared" si="3048"/>
        <v>SIGIGUALES</v>
      </c>
      <c r="BL486" s="22" t="str">
        <f t="shared" si="3049"/>
        <v>NO CONFORME</v>
      </c>
    </row>
    <row r="487" spans="1:64" ht="15.75" thickBot="1" x14ac:dyDescent="0.3">
      <c r="A487" s="37">
        <v>479</v>
      </c>
      <c r="B487" s="93">
        <f t="shared" ref="B487:E487" si="3271">B486</f>
        <v>45919</v>
      </c>
      <c r="C487" s="93">
        <f t="shared" si="3271"/>
        <v>45919</v>
      </c>
      <c r="D487" s="94">
        <f t="shared" si="3271"/>
        <v>6</v>
      </c>
      <c r="E487" s="95">
        <f t="shared" si="3271"/>
        <v>15</v>
      </c>
      <c r="F487" s="13"/>
      <c r="G487" s="90"/>
      <c r="H487" s="97">
        <f t="shared" ref="H487:L487" si="3272">H486</f>
        <v>25.6</v>
      </c>
      <c r="I487" s="98">
        <f t="shared" si="3272"/>
        <v>0</v>
      </c>
      <c r="J487" s="99">
        <f t="shared" si="3272"/>
        <v>20.9</v>
      </c>
      <c r="K487" s="99">
        <f t="shared" si="3272"/>
        <v>7.883</v>
      </c>
      <c r="L487" s="99">
        <f t="shared" si="3272"/>
        <v>0.55400000000000005</v>
      </c>
      <c r="M487" s="45"/>
      <c r="N487" s="45"/>
      <c r="O487" s="100">
        <f t="shared" ref="O487:P487" si="3273">O486</f>
        <v>100.62</v>
      </c>
      <c r="P487" s="101" t="str">
        <f t="shared" si="3273"/>
        <v>2,29,560</v>
      </c>
      <c r="Q487" s="11" t="str">
        <f t="shared" si="3053"/>
        <v>2</v>
      </c>
      <c r="R487" s="11" t="str">
        <f t="shared" si="3054"/>
        <v>29,560</v>
      </c>
      <c r="S487" s="11">
        <f t="shared" si="3055"/>
        <v>4.1544444444444446E-2</v>
      </c>
      <c r="T487" s="14">
        <f t="shared" si="3056"/>
        <v>2421.9844878309709</v>
      </c>
      <c r="U487" s="39">
        <f t="shared" si="3030"/>
        <v>-100</v>
      </c>
      <c r="V487" s="105">
        <f t="shared" ref="V487:X487" si="3274">V486</f>
        <v>20.399999999999999</v>
      </c>
      <c r="W487" s="105">
        <f t="shared" si="3274"/>
        <v>1.5069999999999999</v>
      </c>
      <c r="X487" s="106">
        <f t="shared" si="3274"/>
        <v>1.504</v>
      </c>
      <c r="Y487" s="45"/>
      <c r="Z487" s="45"/>
      <c r="AA487" s="107">
        <f t="shared" ref="AA487:AB487" si="3275">AA486</f>
        <v>10.015000000000001</v>
      </c>
      <c r="AB487" s="108" t="str">
        <f t="shared" si="3275"/>
        <v>22,10,090</v>
      </c>
      <c r="AC487" s="11" t="str">
        <f t="shared" si="3059"/>
        <v>22</v>
      </c>
      <c r="AD487" s="11" t="str">
        <f t="shared" si="3060"/>
        <v>10,090</v>
      </c>
      <c r="AE487" s="11">
        <f t="shared" si="3061"/>
        <v>0.36946944444444441</v>
      </c>
      <c r="AF487" s="14">
        <f t="shared" si="3033"/>
        <v>27.106436406558959</v>
      </c>
      <c r="AG487" s="41">
        <f t="shared" si="3079"/>
        <v>-100</v>
      </c>
      <c r="AH487" s="105">
        <f t="shared" ref="AH487:AJ487" si="3276">AH486</f>
        <v>20.3</v>
      </c>
      <c r="AI487" s="105">
        <f t="shared" si="3276"/>
        <v>1.5089999999999999</v>
      </c>
      <c r="AJ487" s="105">
        <f t="shared" si="3276"/>
        <v>1.504</v>
      </c>
      <c r="AK487" s="53">
        <f t="shared" si="2892"/>
        <v>0</v>
      </c>
      <c r="AL487" s="45"/>
      <c r="AM487" s="54">
        <f t="shared" ref="AM487:AN487" si="3277">AM486</f>
        <v>5.0129999999999999</v>
      </c>
      <c r="AN487" s="101" t="str">
        <f t="shared" si="3277"/>
        <v>17,59,050</v>
      </c>
      <c r="AO487" s="11" t="str">
        <f t="shared" si="3064"/>
        <v>17</v>
      </c>
      <c r="AP487" s="11" t="str">
        <f t="shared" si="3065"/>
        <v>59,050</v>
      </c>
      <c r="AQ487" s="11">
        <f t="shared" si="3066"/>
        <v>0.29973611111111109</v>
      </c>
      <c r="AR487" s="14">
        <f t="shared" si="3036"/>
        <v>16.724711551827998</v>
      </c>
      <c r="AS487" s="41">
        <f t="shared" si="3037"/>
        <v>-100</v>
      </c>
      <c r="AT487" s="43" t="str">
        <f t="shared" si="3038"/>
        <v>NO CONFORME</v>
      </c>
      <c r="AU487" s="8" t="b">
        <f t="shared" si="3067"/>
        <v>1</v>
      </c>
      <c r="AV487" s="8" t="b">
        <f t="shared" si="3068"/>
        <v>0</v>
      </c>
      <c r="AW487" s="8" t="b">
        <f t="shared" si="3069"/>
        <v>1</v>
      </c>
      <c r="AX487" s="8" t="str">
        <f t="shared" si="3070"/>
        <v>Qcorrecto</v>
      </c>
      <c r="AY487" s="22" t="str">
        <f t="shared" si="3039"/>
        <v>aceptable</v>
      </c>
      <c r="AZ487" s="22" t="str">
        <f t="shared" si="3040"/>
        <v>aceptable</v>
      </c>
      <c r="BA487" s="22" t="str">
        <f t="shared" si="3071"/>
        <v>aceptable</v>
      </c>
      <c r="BB487" s="25" t="str">
        <f t="shared" si="3072"/>
        <v>NO CONFORME</v>
      </c>
      <c r="BC487" s="5" t="str">
        <f t="shared" si="3073"/>
        <v>NO CONFORME</v>
      </c>
      <c r="BD487" s="15">
        <f t="shared" si="3041"/>
        <v>-1</v>
      </c>
      <c r="BE487" s="15">
        <f t="shared" si="3042"/>
        <v>-1</v>
      </c>
      <c r="BF487" s="15">
        <f t="shared" si="3043"/>
        <v>-1</v>
      </c>
      <c r="BG487" s="15" t="str">
        <f t="shared" si="3044"/>
        <v>-1-1-1</v>
      </c>
      <c r="BH487" s="15" t="str">
        <f t="shared" si="3045"/>
        <v>SD</v>
      </c>
      <c r="BI487" s="15" t="str">
        <f t="shared" si="3046"/>
        <v>SI</v>
      </c>
      <c r="BJ487" s="15" t="b">
        <f t="shared" si="3047"/>
        <v>1</v>
      </c>
      <c r="BK487" s="15" t="str">
        <f t="shared" si="3048"/>
        <v>SIGIGUALES</v>
      </c>
      <c r="BL487" s="22" t="str">
        <f t="shared" si="3049"/>
        <v>NO CONFORME</v>
      </c>
    </row>
    <row r="488" spans="1:64" ht="15.75" thickBot="1" x14ac:dyDescent="0.3">
      <c r="A488" s="37">
        <v>480</v>
      </c>
      <c r="B488" s="93">
        <f t="shared" ref="B488:E488" si="3278">B487</f>
        <v>45919</v>
      </c>
      <c r="C488" s="93">
        <f t="shared" si="3278"/>
        <v>45919</v>
      </c>
      <c r="D488" s="94">
        <f t="shared" si="3278"/>
        <v>6</v>
      </c>
      <c r="E488" s="95">
        <f t="shared" si="3278"/>
        <v>15</v>
      </c>
      <c r="F488" s="52"/>
      <c r="G488" s="96"/>
      <c r="H488" s="97">
        <f t="shared" ref="H488:L488" si="3279">H487</f>
        <v>25.6</v>
      </c>
      <c r="I488" s="98">
        <f t="shared" si="3279"/>
        <v>0</v>
      </c>
      <c r="J488" s="99">
        <f t="shared" si="3279"/>
        <v>20.9</v>
      </c>
      <c r="K488" s="99">
        <f t="shared" si="3279"/>
        <v>7.883</v>
      </c>
      <c r="L488" s="99">
        <f t="shared" si="3279"/>
        <v>0.55400000000000005</v>
      </c>
      <c r="M488" s="53"/>
      <c r="N488" s="53"/>
      <c r="O488" s="100">
        <f t="shared" ref="O488:P488" si="3280">O487</f>
        <v>100.62</v>
      </c>
      <c r="P488" s="101" t="str">
        <f t="shared" si="3280"/>
        <v>2,29,560</v>
      </c>
      <c r="Q488" s="11" t="str">
        <f t="shared" si="3053"/>
        <v>2</v>
      </c>
      <c r="R488" s="11" t="str">
        <f t="shared" si="3054"/>
        <v>29,560</v>
      </c>
      <c r="S488" s="11">
        <f t="shared" si="3055"/>
        <v>4.1544444444444446E-2</v>
      </c>
      <c r="T488" s="14">
        <f t="shared" si="3056"/>
        <v>2421.9844878309709</v>
      </c>
      <c r="U488" s="39">
        <f t="shared" si="3030"/>
        <v>-100</v>
      </c>
      <c r="V488" s="105">
        <f t="shared" ref="V488:X488" si="3281">V487</f>
        <v>20.399999999999999</v>
      </c>
      <c r="W488" s="105">
        <f t="shared" si="3281"/>
        <v>1.5069999999999999</v>
      </c>
      <c r="X488" s="106">
        <f t="shared" si="3281"/>
        <v>1.504</v>
      </c>
      <c r="Y488" s="53"/>
      <c r="Z488" s="53"/>
      <c r="AA488" s="107">
        <f t="shared" ref="AA488:AB488" si="3282">AA487</f>
        <v>10.015000000000001</v>
      </c>
      <c r="AB488" s="108" t="str">
        <f t="shared" si="3282"/>
        <v>22,10,090</v>
      </c>
      <c r="AC488" s="11" t="str">
        <f t="shared" si="3059"/>
        <v>22</v>
      </c>
      <c r="AD488" s="11" t="str">
        <f t="shared" si="3060"/>
        <v>10,090</v>
      </c>
      <c r="AE488" s="11">
        <f t="shared" si="3061"/>
        <v>0.36946944444444441</v>
      </c>
      <c r="AF488" s="14">
        <f t="shared" si="3033"/>
        <v>27.106436406558959</v>
      </c>
      <c r="AG488" s="41">
        <f t="shared" si="3079"/>
        <v>-100</v>
      </c>
      <c r="AH488" s="105">
        <f t="shared" ref="AH488:AJ488" si="3283">AH487</f>
        <v>20.3</v>
      </c>
      <c r="AI488" s="105">
        <f t="shared" si="3283"/>
        <v>1.5089999999999999</v>
      </c>
      <c r="AJ488" s="105">
        <f t="shared" si="3283"/>
        <v>1.504</v>
      </c>
      <c r="AK488" s="53">
        <f t="shared" si="2892"/>
        <v>0</v>
      </c>
      <c r="AL488" s="53"/>
      <c r="AM488" s="54">
        <f t="shared" ref="AM488:AN488" si="3284">AM487</f>
        <v>5.0129999999999999</v>
      </c>
      <c r="AN488" s="101" t="str">
        <f t="shared" si="3284"/>
        <v>17,59,050</v>
      </c>
      <c r="AO488" s="11" t="str">
        <f t="shared" si="3064"/>
        <v>17</v>
      </c>
      <c r="AP488" s="11" t="str">
        <f t="shared" si="3065"/>
        <v>59,050</v>
      </c>
      <c r="AQ488" s="11">
        <f t="shared" si="3066"/>
        <v>0.29973611111111109</v>
      </c>
      <c r="AR488" s="14">
        <f t="shared" si="3036"/>
        <v>16.724711551827998</v>
      </c>
      <c r="AS488" s="41">
        <f t="shared" si="3037"/>
        <v>-100</v>
      </c>
      <c r="AT488" s="43" t="str">
        <f t="shared" si="3038"/>
        <v>NO CONFORME</v>
      </c>
      <c r="AU488" s="8" t="b">
        <f t="shared" si="3067"/>
        <v>1</v>
      </c>
      <c r="AV488" s="8" t="b">
        <f t="shared" si="3068"/>
        <v>0</v>
      </c>
      <c r="AW488" s="8" t="b">
        <f t="shared" si="3069"/>
        <v>1</v>
      </c>
      <c r="AX488" s="8" t="str">
        <f t="shared" si="3070"/>
        <v>Qcorrecto</v>
      </c>
      <c r="AY488" s="22" t="str">
        <f t="shared" si="3039"/>
        <v>aceptable</v>
      </c>
      <c r="AZ488" s="22" t="str">
        <f t="shared" si="3040"/>
        <v>aceptable</v>
      </c>
      <c r="BA488" s="22" t="str">
        <f t="shared" si="3071"/>
        <v>aceptable</v>
      </c>
      <c r="BB488" s="25" t="str">
        <f t="shared" si="3072"/>
        <v>NO CONFORME</v>
      </c>
      <c r="BC488" s="5" t="str">
        <f t="shared" si="3073"/>
        <v>NO CONFORME</v>
      </c>
      <c r="BD488" s="15">
        <f t="shared" si="3041"/>
        <v>-1</v>
      </c>
      <c r="BE488" s="15">
        <f t="shared" si="3042"/>
        <v>-1</v>
      </c>
      <c r="BF488" s="15">
        <f t="shared" si="3043"/>
        <v>-1</v>
      </c>
      <c r="BG488" s="15" t="str">
        <f t="shared" si="3044"/>
        <v>-1-1-1</v>
      </c>
      <c r="BH488" s="15" t="str">
        <f t="shared" si="3045"/>
        <v>SD</v>
      </c>
      <c r="BI488" s="15" t="str">
        <f t="shared" si="3046"/>
        <v>SI</v>
      </c>
      <c r="BJ488" s="15" t="b">
        <f t="shared" si="3047"/>
        <v>1</v>
      </c>
      <c r="BK488" s="15" t="str">
        <f t="shared" si="3048"/>
        <v>SIGIGUALES</v>
      </c>
      <c r="BL488" s="22" t="str">
        <f t="shared" si="3049"/>
        <v>NO CONFORME</v>
      </c>
    </row>
    <row r="489" spans="1:64" ht="15.75" thickBot="1" x14ac:dyDescent="0.3">
      <c r="A489" s="37">
        <v>481</v>
      </c>
      <c r="B489" s="93">
        <f t="shared" ref="B489:E489" si="3285">B488</f>
        <v>45919</v>
      </c>
      <c r="C489" s="93">
        <f t="shared" si="3285"/>
        <v>45919</v>
      </c>
      <c r="D489" s="94">
        <f t="shared" si="3285"/>
        <v>6</v>
      </c>
      <c r="E489" s="95">
        <f t="shared" si="3285"/>
        <v>15</v>
      </c>
      <c r="F489" s="46"/>
      <c r="G489" s="110"/>
      <c r="H489" s="97">
        <f t="shared" ref="H489:L489" si="3286">H488</f>
        <v>25.6</v>
      </c>
      <c r="I489" s="98">
        <f t="shared" si="3286"/>
        <v>0</v>
      </c>
      <c r="J489" s="99">
        <f t="shared" si="3286"/>
        <v>20.9</v>
      </c>
      <c r="K489" s="99">
        <f t="shared" si="3286"/>
        <v>7.883</v>
      </c>
      <c r="L489" s="99">
        <f t="shared" si="3286"/>
        <v>0.55400000000000005</v>
      </c>
      <c r="M489" s="47"/>
      <c r="N489" s="47"/>
      <c r="O489" s="100">
        <f t="shared" ref="O489:P489" si="3287">O488</f>
        <v>100.62</v>
      </c>
      <c r="P489" s="101" t="str">
        <f t="shared" si="3287"/>
        <v>2,29,560</v>
      </c>
      <c r="Q489" s="11" t="str">
        <f t="shared" si="3053"/>
        <v>2</v>
      </c>
      <c r="R489" s="11" t="str">
        <f t="shared" si="3054"/>
        <v>29,560</v>
      </c>
      <c r="S489" s="11">
        <f t="shared" si="3055"/>
        <v>4.1544444444444446E-2</v>
      </c>
      <c r="T489" s="14">
        <f t="shared" si="3056"/>
        <v>2421.9844878309709</v>
      </c>
      <c r="U489" s="39">
        <f t="shared" si="3030"/>
        <v>-100</v>
      </c>
      <c r="V489" s="105">
        <f t="shared" ref="V489:X489" si="3288">V488</f>
        <v>20.399999999999999</v>
      </c>
      <c r="W489" s="105">
        <f t="shared" si="3288"/>
        <v>1.5069999999999999</v>
      </c>
      <c r="X489" s="106">
        <f t="shared" si="3288"/>
        <v>1.504</v>
      </c>
      <c r="Y489" s="47"/>
      <c r="Z489" s="47"/>
      <c r="AA489" s="107">
        <f t="shared" ref="AA489:AB489" si="3289">AA488</f>
        <v>10.015000000000001</v>
      </c>
      <c r="AB489" s="108" t="str">
        <f t="shared" si="3289"/>
        <v>22,10,090</v>
      </c>
      <c r="AC489" s="11" t="str">
        <f t="shared" si="3059"/>
        <v>22</v>
      </c>
      <c r="AD489" s="11" t="str">
        <f t="shared" si="3060"/>
        <v>10,090</v>
      </c>
      <c r="AE489" s="11">
        <f t="shared" si="3061"/>
        <v>0.36946944444444441</v>
      </c>
      <c r="AF489" s="14">
        <f t="shared" si="3033"/>
        <v>27.106436406558959</v>
      </c>
      <c r="AG489" s="41">
        <f t="shared" si="3079"/>
        <v>-100</v>
      </c>
      <c r="AH489" s="105">
        <f t="shared" ref="AH489:AJ489" si="3290">AH488</f>
        <v>20.3</v>
      </c>
      <c r="AI489" s="105">
        <f t="shared" si="3290"/>
        <v>1.5089999999999999</v>
      </c>
      <c r="AJ489" s="105">
        <f t="shared" si="3290"/>
        <v>1.504</v>
      </c>
      <c r="AK489" s="53">
        <f t="shared" si="2892"/>
        <v>0</v>
      </c>
      <c r="AL489" s="47"/>
      <c r="AM489" s="54">
        <f t="shared" ref="AM489:AN489" si="3291">AM488</f>
        <v>5.0129999999999999</v>
      </c>
      <c r="AN489" s="101" t="str">
        <f t="shared" si="3291"/>
        <v>17,59,050</v>
      </c>
      <c r="AO489" s="11" t="str">
        <f t="shared" si="3064"/>
        <v>17</v>
      </c>
      <c r="AP489" s="11" t="str">
        <f t="shared" si="3065"/>
        <v>59,050</v>
      </c>
      <c r="AQ489" s="11">
        <f t="shared" si="3066"/>
        <v>0.29973611111111109</v>
      </c>
      <c r="AR489" s="14">
        <f t="shared" si="3036"/>
        <v>16.724711551827998</v>
      </c>
      <c r="AS489" s="41">
        <f t="shared" si="3037"/>
        <v>-100</v>
      </c>
      <c r="AT489" s="43" t="str">
        <f t="shared" si="3038"/>
        <v>NO CONFORME</v>
      </c>
      <c r="AU489" s="8" t="b">
        <f t="shared" si="3067"/>
        <v>1</v>
      </c>
      <c r="AV489" s="8" t="b">
        <f t="shared" si="3068"/>
        <v>0</v>
      </c>
      <c r="AW489" s="8" t="b">
        <f t="shared" si="3069"/>
        <v>1</v>
      </c>
      <c r="AX489" s="8" t="str">
        <f t="shared" si="3070"/>
        <v>Qcorrecto</v>
      </c>
      <c r="AY489" s="22" t="str">
        <f t="shared" si="3039"/>
        <v>aceptable</v>
      </c>
      <c r="AZ489" s="22" t="str">
        <f t="shared" si="3040"/>
        <v>aceptable</v>
      </c>
      <c r="BA489" s="22" t="str">
        <f t="shared" si="3071"/>
        <v>aceptable</v>
      </c>
      <c r="BB489" s="25" t="str">
        <f t="shared" si="3072"/>
        <v>NO CONFORME</v>
      </c>
      <c r="BC489" s="5" t="str">
        <f t="shared" si="3073"/>
        <v>NO CONFORME</v>
      </c>
      <c r="BD489" s="15">
        <f t="shared" si="3041"/>
        <v>-1</v>
      </c>
      <c r="BE489" s="15">
        <f t="shared" si="3042"/>
        <v>-1</v>
      </c>
      <c r="BF489" s="15">
        <f t="shared" si="3043"/>
        <v>-1</v>
      </c>
      <c r="BG489" s="15" t="str">
        <f t="shared" si="3044"/>
        <v>-1-1-1</v>
      </c>
      <c r="BH489" s="15" t="str">
        <f t="shared" si="3045"/>
        <v>SD</v>
      </c>
      <c r="BI489" s="15" t="str">
        <f t="shared" si="3046"/>
        <v>SI</v>
      </c>
      <c r="BJ489" s="15" t="b">
        <f t="shared" si="3047"/>
        <v>1</v>
      </c>
      <c r="BK489" s="15" t="str">
        <f t="shared" si="3048"/>
        <v>SIGIGUALES</v>
      </c>
      <c r="BL489" s="22" t="str">
        <f t="shared" si="3049"/>
        <v>NO CONFORME</v>
      </c>
    </row>
    <row r="490" spans="1:64" ht="15.75" thickBot="1" x14ac:dyDescent="0.3">
      <c r="A490" s="37">
        <v>482</v>
      </c>
      <c r="B490" s="93">
        <f t="shared" ref="B490:E490" si="3292">B489</f>
        <v>45919</v>
      </c>
      <c r="C490" s="93">
        <f t="shared" si="3292"/>
        <v>45919</v>
      </c>
      <c r="D490" s="94">
        <f t="shared" si="3292"/>
        <v>6</v>
      </c>
      <c r="E490" s="95">
        <f t="shared" si="3292"/>
        <v>15</v>
      </c>
      <c r="F490" s="13"/>
      <c r="G490" s="90"/>
      <c r="H490" s="97">
        <f t="shared" ref="H490:L490" si="3293">H489</f>
        <v>25.6</v>
      </c>
      <c r="I490" s="98">
        <f t="shared" si="3293"/>
        <v>0</v>
      </c>
      <c r="J490" s="99">
        <f t="shared" si="3293"/>
        <v>20.9</v>
      </c>
      <c r="K490" s="99">
        <f t="shared" si="3293"/>
        <v>7.883</v>
      </c>
      <c r="L490" s="99">
        <f t="shared" si="3293"/>
        <v>0.55400000000000005</v>
      </c>
      <c r="M490" s="45"/>
      <c r="N490" s="45"/>
      <c r="O490" s="100">
        <f t="shared" ref="O490:P490" si="3294">O489</f>
        <v>100.62</v>
      </c>
      <c r="P490" s="101" t="str">
        <f t="shared" si="3294"/>
        <v>2,29,560</v>
      </c>
      <c r="Q490" s="11" t="str">
        <f t="shared" si="3053"/>
        <v>2</v>
      </c>
      <c r="R490" s="11" t="str">
        <f t="shared" si="3054"/>
        <v>29,560</v>
      </c>
      <c r="S490" s="11">
        <f t="shared" si="3055"/>
        <v>4.1544444444444446E-2</v>
      </c>
      <c r="T490" s="14">
        <f t="shared" si="3056"/>
        <v>2421.9844878309709</v>
      </c>
      <c r="U490" s="39">
        <f t="shared" si="3030"/>
        <v>-100</v>
      </c>
      <c r="V490" s="105">
        <f t="shared" ref="V490:X490" si="3295">V489</f>
        <v>20.399999999999999</v>
      </c>
      <c r="W490" s="105">
        <f t="shared" si="3295"/>
        <v>1.5069999999999999</v>
      </c>
      <c r="X490" s="106">
        <f t="shared" si="3295"/>
        <v>1.504</v>
      </c>
      <c r="Y490" s="45"/>
      <c r="Z490" s="45"/>
      <c r="AA490" s="107">
        <f t="shared" ref="AA490:AB490" si="3296">AA489</f>
        <v>10.015000000000001</v>
      </c>
      <c r="AB490" s="108" t="str">
        <f t="shared" si="3296"/>
        <v>22,10,090</v>
      </c>
      <c r="AC490" s="11" t="str">
        <f t="shared" si="3059"/>
        <v>22</v>
      </c>
      <c r="AD490" s="11" t="str">
        <f t="shared" si="3060"/>
        <v>10,090</v>
      </c>
      <c r="AE490" s="11">
        <f t="shared" si="3061"/>
        <v>0.36946944444444441</v>
      </c>
      <c r="AF490" s="14">
        <f t="shared" si="3033"/>
        <v>27.106436406558959</v>
      </c>
      <c r="AG490" s="41">
        <f t="shared" si="3079"/>
        <v>-100</v>
      </c>
      <c r="AH490" s="105">
        <f t="shared" ref="AH490:AJ490" si="3297">AH489</f>
        <v>20.3</v>
      </c>
      <c r="AI490" s="105">
        <f t="shared" si="3297"/>
        <v>1.5089999999999999</v>
      </c>
      <c r="AJ490" s="105">
        <f t="shared" si="3297"/>
        <v>1.504</v>
      </c>
      <c r="AK490" s="53">
        <f t="shared" si="2892"/>
        <v>0</v>
      </c>
      <c r="AL490" s="45"/>
      <c r="AM490" s="54">
        <f t="shared" ref="AM490:AN490" si="3298">AM489</f>
        <v>5.0129999999999999</v>
      </c>
      <c r="AN490" s="101" t="str">
        <f t="shared" si="3298"/>
        <v>17,59,050</v>
      </c>
      <c r="AO490" s="11" t="str">
        <f t="shared" si="3064"/>
        <v>17</v>
      </c>
      <c r="AP490" s="11" t="str">
        <f t="shared" si="3065"/>
        <v>59,050</v>
      </c>
      <c r="AQ490" s="11">
        <f t="shared" si="3066"/>
        <v>0.29973611111111109</v>
      </c>
      <c r="AR490" s="14">
        <f t="shared" si="3036"/>
        <v>16.724711551827998</v>
      </c>
      <c r="AS490" s="41">
        <f t="shared" si="3037"/>
        <v>-100</v>
      </c>
      <c r="AT490" s="43" t="str">
        <f t="shared" si="3038"/>
        <v>NO CONFORME</v>
      </c>
      <c r="AU490" s="8" t="b">
        <f t="shared" si="3067"/>
        <v>1</v>
      </c>
      <c r="AV490" s="8" t="b">
        <f t="shared" si="3068"/>
        <v>0</v>
      </c>
      <c r="AW490" s="8" t="b">
        <f t="shared" si="3069"/>
        <v>1</v>
      </c>
      <c r="AX490" s="8" t="str">
        <f t="shared" si="3070"/>
        <v>Qcorrecto</v>
      </c>
      <c r="AY490" s="22" t="str">
        <f t="shared" si="3039"/>
        <v>aceptable</v>
      </c>
      <c r="AZ490" s="22" t="str">
        <f t="shared" si="3040"/>
        <v>aceptable</v>
      </c>
      <c r="BA490" s="22" t="str">
        <f t="shared" si="3071"/>
        <v>aceptable</v>
      </c>
      <c r="BB490" s="25" t="str">
        <f t="shared" si="3072"/>
        <v>NO CONFORME</v>
      </c>
      <c r="BC490" s="5" t="str">
        <f t="shared" si="3073"/>
        <v>NO CONFORME</v>
      </c>
      <c r="BD490" s="15">
        <f t="shared" si="3041"/>
        <v>-1</v>
      </c>
      <c r="BE490" s="15">
        <f t="shared" si="3042"/>
        <v>-1</v>
      </c>
      <c r="BF490" s="15">
        <f t="shared" si="3043"/>
        <v>-1</v>
      </c>
      <c r="BG490" s="15" t="str">
        <f t="shared" si="3044"/>
        <v>-1-1-1</v>
      </c>
      <c r="BH490" s="15" t="str">
        <f t="shared" si="3045"/>
        <v>SD</v>
      </c>
      <c r="BI490" s="15" t="str">
        <f t="shared" si="3046"/>
        <v>SI</v>
      </c>
      <c r="BJ490" s="15" t="b">
        <f t="shared" si="3047"/>
        <v>1</v>
      </c>
      <c r="BK490" s="15" t="str">
        <f t="shared" si="3048"/>
        <v>SIGIGUALES</v>
      </c>
      <c r="BL490" s="22" t="str">
        <f t="shared" si="3049"/>
        <v>NO CONFORME</v>
      </c>
    </row>
    <row r="491" spans="1:64" ht="15.75" thickBot="1" x14ac:dyDescent="0.3">
      <c r="A491" s="37">
        <v>483</v>
      </c>
      <c r="B491" s="93">
        <f t="shared" ref="B491:E491" si="3299">B490</f>
        <v>45919</v>
      </c>
      <c r="C491" s="93">
        <f t="shared" si="3299"/>
        <v>45919</v>
      </c>
      <c r="D491" s="94">
        <f t="shared" si="3299"/>
        <v>6</v>
      </c>
      <c r="E491" s="95">
        <f t="shared" si="3299"/>
        <v>15</v>
      </c>
      <c r="F491" s="13"/>
      <c r="G491" s="90"/>
      <c r="H491" s="97">
        <f t="shared" ref="H491:L491" si="3300">H490</f>
        <v>25.6</v>
      </c>
      <c r="I491" s="98">
        <f t="shared" si="3300"/>
        <v>0</v>
      </c>
      <c r="J491" s="99">
        <f t="shared" si="3300"/>
        <v>20.9</v>
      </c>
      <c r="K491" s="99">
        <f t="shared" si="3300"/>
        <v>7.883</v>
      </c>
      <c r="L491" s="99">
        <f t="shared" si="3300"/>
        <v>0.55400000000000005</v>
      </c>
      <c r="M491" s="45"/>
      <c r="N491" s="45"/>
      <c r="O491" s="100">
        <f t="shared" ref="O491:P491" si="3301">O490</f>
        <v>100.62</v>
      </c>
      <c r="P491" s="101" t="str">
        <f t="shared" si="3301"/>
        <v>2,29,560</v>
      </c>
      <c r="Q491" s="11" t="str">
        <f t="shared" si="3053"/>
        <v>2</v>
      </c>
      <c r="R491" s="11" t="str">
        <f t="shared" si="3054"/>
        <v>29,560</v>
      </c>
      <c r="S491" s="11">
        <f t="shared" si="3055"/>
        <v>4.1544444444444446E-2</v>
      </c>
      <c r="T491" s="14">
        <f t="shared" si="3056"/>
        <v>2421.9844878309709</v>
      </c>
      <c r="U491" s="39">
        <f t="shared" si="3030"/>
        <v>-100</v>
      </c>
      <c r="V491" s="105">
        <f t="shared" ref="V491:X491" si="3302">V490</f>
        <v>20.399999999999999</v>
      </c>
      <c r="W491" s="105">
        <f t="shared" si="3302"/>
        <v>1.5069999999999999</v>
      </c>
      <c r="X491" s="106">
        <f t="shared" si="3302"/>
        <v>1.504</v>
      </c>
      <c r="Y491" s="45"/>
      <c r="Z491" s="45"/>
      <c r="AA491" s="107">
        <f t="shared" ref="AA491:AB491" si="3303">AA490</f>
        <v>10.015000000000001</v>
      </c>
      <c r="AB491" s="108" t="str">
        <f t="shared" si="3303"/>
        <v>22,10,090</v>
      </c>
      <c r="AC491" s="11" t="str">
        <f t="shared" si="3059"/>
        <v>22</v>
      </c>
      <c r="AD491" s="11" t="str">
        <f t="shared" si="3060"/>
        <v>10,090</v>
      </c>
      <c r="AE491" s="11">
        <f t="shared" si="3061"/>
        <v>0.36946944444444441</v>
      </c>
      <c r="AF491" s="14">
        <f t="shared" si="3033"/>
        <v>27.106436406558959</v>
      </c>
      <c r="AG491" s="41">
        <f t="shared" si="3079"/>
        <v>-100</v>
      </c>
      <c r="AH491" s="105">
        <f t="shared" ref="AH491:AJ491" si="3304">AH490</f>
        <v>20.3</v>
      </c>
      <c r="AI491" s="105">
        <f t="shared" si="3304"/>
        <v>1.5089999999999999</v>
      </c>
      <c r="AJ491" s="105">
        <f t="shared" si="3304"/>
        <v>1.504</v>
      </c>
      <c r="AK491" s="53">
        <f t="shared" si="2892"/>
        <v>0</v>
      </c>
      <c r="AL491" s="45"/>
      <c r="AM491" s="54">
        <f t="shared" ref="AM491:AN491" si="3305">AM490</f>
        <v>5.0129999999999999</v>
      </c>
      <c r="AN491" s="101" t="str">
        <f t="shared" si="3305"/>
        <v>17,59,050</v>
      </c>
      <c r="AO491" s="11" t="str">
        <f t="shared" si="3064"/>
        <v>17</v>
      </c>
      <c r="AP491" s="11" t="str">
        <f t="shared" si="3065"/>
        <v>59,050</v>
      </c>
      <c r="AQ491" s="11">
        <f t="shared" si="3066"/>
        <v>0.29973611111111109</v>
      </c>
      <c r="AR491" s="14">
        <f t="shared" si="3036"/>
        <v>16.724711551827998</v>
      </c>
      <c r="AS491" s="41">
        <f t="shared" si="3037"/>
        <v>-100</v>
      </c>
      <c r="AT491" s="43" t="str">
        <f t="shared" si="3038"/>
        <v>NO CONFORME</v>
      </c>
      <c r="AU491" s="8" t="b">
        <f t="shared" si="3067"/>
        <v>1</v>
      </c>
      <c r="AV491" s="8" t="b">
        <f t="shared" si="3068"/>
        <v>0</v>
      </c>
      <c r="AW491" s="8" t="b">
        <f t="shared" si="3069"/>
        <v>1</v>
      </c>
      <c r="AX491" s="8" t="str">
        <f t="shared" si="3070"/>
        <v>Qcorrecto</v>
      </c>
      <c r="AY491" s="22" t="str">
        <f t="shared" si="3039"/>
        <v>aceptable</v>
      </c>
      <c r="AZ491" s="22" t="str">
        <f t="shared" si="3040"/>
        <v>aceptable</v>
      </c>
      <c r="BA491" s="22" t="str">
        <f t="shared" si="3071"/>
        <v>aceptable</v>
      </c>
      <c r="BB491" s="25" t="str">
        <f t="shared" si="3072"/>
        <v>NO CONFORME</v>
      </c>
      <c r="BC491" s="5" t="str">
        <f t="shared" si="3073"/>
        <v>NO CONFORME</v>
      </c>
      <c r="BD491" s="15">
        <f t="shared" si="3041"/>
        <v>-1</v>
      </c>
      <c r="BE491" s="15">
        <f t="shared" si="3042"/>
        <v>-1</v>
      </c>
      <c r="BF491" s="15">
        <f t="shared" si="3043"/>
        <v>-1</v>
      </c>
      <c r="BG491" s="15" t="str">
        <f t="shared" si="3044"/>
        <v>-1-1-1</v>
      </c>
      <c r="BH491" s="15" t="str">
        <f t="shared" si="3045"/>
        <v>SD</v>
      </c>
      <c r="BI491" s="15" t="str">
        <f t="shared" si="3046"/>
        <v>SI</v>
      </c>
      <c r="BJ491" s="15" t="b">
        <f t="shared" si="3047"/>
        <v>1</v>
      </c>
      <c r="BK491" s="15" t="str">
        <f t="shared" si="3048"/>
        <v>SIGIGUALES</v>
      </c>
      <c r="BL491" s="22" t="str">
        <f t="shared" si="3049"/>
        <v>NO CONFORME</v>
      </c>
    </row>
    <row r="492" spans="1:64" ht="15.75" thickBot="1" x14ac:dyDescent="0.3">
      <c r="A492" s="37">
        <v>484</v>
      </c>
      <c r="B492" s="93">
        <f t="shared" ref="B492:E492" si="3306">B491</f>
        <v>45919</v>
      </c>
      <c r="C492" s="93">
        <f t="shared" si="3306"/>
        <v>45919</v>
      </c>
      <c r="D492" s="94">
        <f t="shared" si="3306"/>
        <v>6</v>
      </c>
      <c r="E492" s="95">
        <f t="shared" si="3306"/>
        <v>15</v>
      </c>
      <c r="F492" s="13"/>
      <c r="G492" s="90"/>
      <c r="H492" s="97">
        <f t="shared" ref="H492:L492" si="3307">H491</f>
        <v>25.6</v>
      </c>
      <c r="I492" s="98">
        <f t="shared" si="3307"/>
        <v>0</v>
      </c>
      <c r="J492" s="99">
        <f t="shared" si="3307"/>
        <v>20.9</v>
      </c>
      <c r="K492" s="99">
        <f t="shared" si="3307"/>
        <v>7.883</v>
      </c>
      <c r="L492" s="99">
        <f t="shared" si="3307"/>
        <v>0.55400000000000005</v>
      </c>
      <c r="M492" s="45"/>
      <c r="N492" s="45"/>
      <c r="O492" s="100">
        <f t="shared" ref="O492:P492" si="3308">O491</f>
        <v>100.62</v>
      </c>
      <c r="P492" s="101" t="str">
        <f t="shared" si="3308"/>
        <v>2,29,560</v>
      </c>
      <c r="Q492" s="11" t="str">
        <f t="shared" si="3053"/>
        <v>2</v>
      </c>
      <c r="R492" s="11" t="str">
        <f t="shared" si="3054"/>
        <v>29,560</v>
      </c>
      <c r="S492" s="11">
        <f t="shared" si="3055"/>
        <v>4.1544444444444446E-2</v>
      </c>
      <c r="T492" s="14">
        <f t="shared" si="3056"/>
        <v>2421.9844878309709</v>
      </c>
      <c r="U492" s="39">
        <f t="shared" si="3030"/>
        <v>-100</v>
      </c>
      <c r="V492" s="105">
        <f t="shared" ref="V492:X492" si="3309">V491</f>
        <v>20.399999999999999</v>
      </c>
      <c r="W492" s="105">
        <f t="shared" si="3309"/>
        <v>1.5069999999999999</v>
      </c>
      <c r="X492" s="106">
        <f t="shared" si="3309"/>
        <v>1.504</v>
      </c>
      <c r="Y492" s="45"/>
      <c r="Z492" s="45"/>
      <c r="AA492" s="107">
        <f t="shared" ref="AA492:AB492" si="3310">AA491</f>
        <v>10.015000000000001</v>
      </c>
      <c r="AB492" s="108" t="str">
        <f t="shared" si="3310"/>
        <v>22,10,090</v>
      </c>
      <c r="AC492" s="11" t="str">
        <f t="shared" si="3059"/>
        <v>22</v>
      </c>
      <c r="AD492" s="11" t="str">
        <f t="shared" si="3060"/>
        <v>10,090</v>
      </c>
      <c r="AE492" s="11">
        <f t="shared" si="3061"/>
        <v>0.36946944444444441</v>
      </c>
      <c r="AF492" s="14">
        <f t="shared" si="3033"/>
        <v>27.106436406558959</v>
      </c>
      <c r="AG492" s="41">
        <f t="shared" si="3079"/>
        <v>-100</v>
      </c>
      <c r="AH492" s="105">
        <f t="shared" ref="AH492:AJ492" si="3311">AH491</f>
        <v>20.3</v>
      </c>
      <c r="AI492" s="105">
        <f t="shared" si="3311"/>
        <v>1.5089999999999999</v>
      </c>
      <c r="AJ492" s="105">
        <f t="shared" si="3311"/>
        <v>1.504</v>
      </c>
      <c r="AK492" s="53">
        <f t="shared" si="2892"/>
        <v>0</v>
      </c>
      <c r="AL492" s="45"/>
      <c r="AM492" s="54">
        <f t="shared" ref="AM492:AN492" si="3312">AM491</f>
        <v>5.0129999999999999</v>
      </c>
      <c r="AN492" s="101" t="str">
        <f t="shared" si="3312"/>
        <v>17,59,050</v>
      </c>
      <c r="AO492" s="11" t="str">
        <f t="shared" si="3064"/>
        <v>17</v>
      </c>
      <c r="AP492" s="11" t="str">
        <f t="shared" si="3065"/>
        <v>59,050</v>
      </c>
      <c r="AQ492" s="11">
        <f t="shared" si="3066"/>
        <v>0.29973611111111109</v>
      </c>
      <c r="AR492" s="14">
        <f t="shared" si="3036"/>
        <v>16.724711551827998</v>
      </c>
      <c r="AS492" s="41">
        <f t="shared" si="3037"/>
        <v>-100</v>
      </c>
      <c r="AT492" s="43" t="str">
        <f t="shared" si="3038"/>
        <v>NO CONFORME</v>
      </c>
      <c r="AU492" s="8" t="b">
        <f t="shared" si="3067"/>
        <v>1</v>
      </c>
      <c r="AV492" s="8" t="b">
        <f t="shared" si="3068"/>
        <v>0</v>
      </c>
      <c r="AW492" s="8" t="b">
        <f t="shared" si="3069"/>
        <v>1</v>
      </c>
      <c r="AX492" s="8" t="str">
        <f t="shared" si="3070"/>
        <v>Qcorrecto</v>
      </c>
      <c r="AY492" s="22" t="str">
        <f t="shared" si="3039"/>
        <v>aceptable</v>
      </c>
      <c r="AZ492" s="22" t="str">
        <f t="shared" si="3040"/>
        <v>aceptable</v>
      </c>
      <c r="BA492" s="22" t="str">
        <f t="shared" si="3071"/>
        <v>aceptable</v>
      </c>
      <c r="BB492" s="25" t="str">
        <f t="shared" si="3072"/>
        <v>NO CONFORME</v>
      </c>
      <c r="BC492" s="5" t="str">
        <f t="shared" si="3073"/>
        <v>NO CONFORME</v>
      </c>
      <c r="BD492" s="15">
        <f t="shared" si="3041"/>
        <v>-1</v>
      </c>
      <c r="BE492" s="15">
        <f t="shared" si="3042"/>
        <v>-1</v>
      </c>
      <c r="BF492" s="15">
        <f t="shared" si="3043"/>
        <v>-1</v>
      </c>
      <c r="BG492" s="15" t="str">
        <f t="shared" si="3044"/>
        <v>-1-1-1</v>
      </c>
      <c r="BH492" s="15" t="str">
        <f t="shared" si="3045"/>
        <v>SD</v>
      </c>
      <c r="BI492" s="15" t="str">
        <f t="shared" si="3046"/>
        <v>SI</v>
      </c>
      <c r="BJ492" s="15" t="b">
        <f t="shared" si="3047"/>
        <v>1</v>
      </c>
      <c r="BK492" s="15" t="str">
        <f t="shared" si="3048"/>
        <v>SIGIGUALES</v>
      </c>
      <c r="BL492" s="22" t="str">
        <f t="shared" si="3049"/>
        <v>NO CONFORME</v>
      </c>
    </row>
    <row r="493" spans="1:64" ht="15.75" thickBot="1" x14ac:dyDescent="0.3">
      <c r="A493" s="37">
        <v>485</v>
      </c>
      <c r="B493" s="93">
        <f t="shared" ref="B493:E493" si="3313">B492</f>
        <v>45919</v>
      </c>
      <c r="C493" s="93">
        <f t="shared" si="3313"/>
        <v>45919</v>
      </c>
      <c r="D493" s="94">
        <f t="shared" si="3313"/>
        <v>6</v>
      </c>
      <c r="E493" s="95">
        <f t="shared" si="3313"/>
        <v>15</v>
      </c>
      <c r="F493" s="13"/>
      <c r="G493" s="90"/>
      <c r="H493" s="97">
        <f t="shared" ref="H493:L493" si="3314">H492</f>
        <v>25.6</v>
      </c>
      <c r="I493" s="98">
        <f t="shared" si="3314"/>
        <v>0</v>
      </c>
      <c r="J493" s="99">
        <f t="shared" si="3314"/>
        <v>20.9</v>
      </c>
      <c r="K493" s="99">
        <f t="shared" si="3314"/>
        <v>7.883</v>
      </c>
      <c r="L493" s="99">
        <f t="shared" si="3314"/>
        <v>0.55400000000000005</v>
      </c>
      <c r="M493" s="45"/>
      <c r="N493" s="45"/>
      <c r="O493" s="100">
        <f t="shared" ref="O493:P493" si="3315">O492</f>
        <v>100.62</v>
      </c>
      <c r="P493" s="101" t="str">
        <f t="shared" si="3315"/>
        <v>2,29,560</v>
      </c>
      <c r="Q493" s="11" t="str">
        <f t="shared" si="3053"/>
        <v>2</v>
      </c>
      <c r="R493" s="11" t="str">
        <f t="shared" si="3054"/>
        <v>29,560</v>
      </c>
      <c r="S493" s="11">
        <f t="shared" si="3055"/>
        <v>4.1544444444444446E-2</v>
      </c>
      <c r="T493" s="14">
        <f t="shared" si="3056"/>
        <v>2421.9844878309709</v>
      </c>
      <c r="U493" s="39">
        <f t="shared" si="3030"/>
        <v>-100</v>
      </c>
      <c r="V493" s="105">
        <f t="shared" ref="V493:X493" si="3316">V492</f>
        <v>20.399999999999999</v>
      </c>
      <c r="W493" s="105">
        <f t="shared" si="3316"/>
        <v>1.5069999999999999</v>
      </c>
      <c r="X493" s="106">
        <f t="shared" si="3316"/>
        <v>1.504</v>
      </c>
      <c r="Y493" s="45"/>
      <c r="Z493" s="45"/>
      <c r="AA493" s="107">
        <f t="shared" ref="AA493:AB493" si="3317">AA492</f>
        <v>10.015000000000001</v>
      </c>
      <c r="AB493" s="108" t="str">
        <f t="shared" si="3317"/>
        <v>22,10,090</v>
      </c>
      <c r="AC493" s="11" t="str">
        <f t="shared" si="3059"/>
        <v>22</v>
      </c>
      <c r="AD493" s="11" t="str">
        <f t="shared" si="3060"/>
        <v>10,090</v>
      </c>
      <c r="AE493" s="11">
        <f t="shared" si="3061"/>
        <v>0.36946944444444441</v>
      </c>
      <c r="AF493" s="14">
        <f t="shared" si="3033"/>
        <v>27.106436406558959</v>
      </c>
      <c r="AG493" s="41">
        <f t="shared" si="3079"/>
        <v>-100</v>
      </c>
      <c r="AH493" s="105">
        <f t="shared" ref="AH493:AJ493" si="3318">AH492</f>
        <v>20.3</v>
      </c>
      <c r="AI493" s="105">
        <f t="shared" si="3318"/>
        <v>1.5089999999999999</v>
      </c>
      <c r="AJ493" s="105">
        <f t="shared" si="3318"/>
        <v>1.504</v>
      </c>
      <c r="AK493" s="53">
        <f t="shared" si="2892"/>
        <v>0</v>
      </c>
      <c r="AL493" s="45"/>
      <c r="AM493" s="54">
        <f t="shared" ref="AM493:AN493" si="3319">AM492</f>
        <v>5.0129999999999999</v>
      </c>
      <c r="AN493" s="101" t="str">
        <f t="shared" si="3319"/>
        <v>17,59,050</v>
      </c>
      <c r="AO493" s="11" t="str">
        <f t="shared" si="3064"/>
        <v>17</v>
      </c>
      <c r="AP493" s="11" t="str">
        <f t="shared" si="3065"/>
        <v>59,050</v>
      </c>
      <c r="AQ493" s="11">
        <f t="shared" si="3066"/>
        <v>0.29973611111111109</v>
      </c>
      <c r="AR493" s="14">
        <f t="shared" si="3036"/>
        <v>16.724711551827998</v>
      </c>
      <c r="AS493" s="41">
        <f t="shared" si="3037"/>
        <v>-100</v>
      </c>
      <c r="AT493" s="43" t="str">
        <f t="shared" si="3038"/>
        <v>NO CONFORME</v>
      </c>
      <c r="AU493" s="8" t="b">
        <f t="shared" si="3067"/>
        <v>1</v>
      </c>
      <c r="AV493" s="8" t="b">
        <f t="shared" si="3068"/>
        <v>0</v>
      </c>
      <c r="AW493" s="8" t="b">
        <f t="shared" si="3069"/>
        <v>1</v>
      </c>
      <c r="AX493" s="8" t="str">
        <f t="shared" si="3070"/>
        <v>Qcorrecto</v>
      </c>
      <c r="AY493" s="22" t="str">
        <f t="shared" si="3039"/>
        <v>aceptable</v>
      </c>
      <c r="AZ493" s="22" t="str">
        <f t="shared" si="3040"/>
        <v>aceptable</v>
      </c>
      <c r="BA493" s="22" t="str">
        <f t="shared" si="3071"/>
        <v>aceptable</v>
      </c>
      <c r="BB493" s="25" t="str">
        <f t="shared" si="3072"/>
        <v>NO CONFORME</v>
      </c>
      <c r="BC493" s="5" t="str">
        <f t="shared" si="3073"/>
        <v>NO CONFORME</v>
      </c>
      <c r="BD493" s="15">
        <f t="shared" si="3041"/>
        <v>-1</v>
      </c>
      <c r="BE493" s="15">
        <f t="shared" si="3042"/>
        <v>-1</v>
      </c>
      <c r="BF493" s="15">
        <f t="shared" si="3043"/>
        <v>-1</v>
      </c>
      <c r="BG493" s="15" t="str">
        <f t="shared" si="3044"/>
        <v>-1-1-1</v>
      </c>
      <c r="BH493" s="15" t="str">
        <f t="shared" si="3045"/>
        <v>SD</v>
      </c>
      <c r="BI493" s="15" t="str">
        <f t="shared" si="3046"/>
        <v>SI</v>
      </c>
      <c r="BJ493" s="15" t="b">
        <f t="shared" si="3047"/>
        <v>1</v>
      </c>
      <c r="BK493" s="15" t="str">
        <f t="shared" si="3048"/>
        <v>SIGIGUALES</v>
      </c>
      <c r="BL493" s="22" t="str">
        <f t="shared" si="3049"/>
        <v>NO CONFORME</v>
      </c>
    </row>
    <row r="494" spans="1:64" ht="15.75" thickBot="1" x14ac:dyDescent="0.3">
      <c r="A494" s="37">
        <v>486</v>
      </c>
      <c r="B494" s="93">
        <f t="shared" ref="B494:E494" si="3320">B493</f>
        <v>45919</v>
      </c>
      <c r="C494" s="93">
        <f t="shared" si="3320"/>
        <v>45919</v>
      </c>
      <c r="D494" s="94">
        <f t="shared" si="3320"/>
        <v>6</v>
      </c>
      <c r="E494" s="95">
        <f t="shared" si="3320"/>
        <v>15</v>
      </c>
      <c r="F494" s="13"/>
      <c r="G494" s="90"/>
      <c r="H494" s="97">
        <f t="shared" ref="H494:L494" si="3321">H493</f>
        <v>25.6</v>
      </c>
      <c r="I494" s="98">
        <f t="shared" si="3321"/>
        <v>0</v>
      </c>
      <c r="J494" s="99">
        <f t="shared" si="3321"/>
        <v>20.9</v>
      </c>
      <c r="K494" s="99">
        <f t="shared" si="3321"/>
        <v>7.883</v>
      </c>
      <c r="L494" s="99">
        <f t="shared" si="3321"/>
        <v>0.55400000000000005</v>
      </c>
      <c r="M494" s="45"/>
      <c r="N494" s="45"/>
      <c r="O494" s="100">
        <f t="shared" ref="O494:P494" si="3322">O493</f>
        <v>100.62</v>
      </c>
      <c r="P494" s="101" t="str">
        <f t="shared" si="3322"/>
        <v>2,29,560</v>
      </c>
      <c r="Q494" s="11" t="str">
        <f t="shared" si="3053"/>
        <v>2</v>
      </c>
      <c r="R494" s="11" t="str">
        <f t="shared" si="3054"/>
        <v>29,560</v>
      </c>
      <c r="S494" s="11">
        <f t="shared" si="3055"/>
        <v>4.1544444444444446E-2</v>
      </c>
      <c r="T494" s="14">
        <f t="shared" si="3056"/>
        <v>2421.9844878309709</v>
      </c>
      <c r="U494" s="39">
        <f t="shared" si="3030"/>
        <v>-100</v>
      </c>
      <c r="V494" s="105">
        <f t="shared" ref="V494:X494" si="3323">V493</f>
        <v>20.399999999999999</v>
      </c>
      <c r="W494" s="105">
        <f t="shared" si="3323"/>
        <v>1.5069999999999999</v>
      </c>
      <c r="X494" s="106">
        <f t="shared" si="3323"/>
        <v>1.504</v>
      </c>
      <c r="Y494" s="45"/>
      <c r="Z494" s="45"/>
      <c r="AA494" s="107">
        <f t="shared" ref="AA494:AB494" si="3324">AA493</f>
        <v>10.015000000000001</v>
      </c>
      <c r="AB494" s="108" t="str">
        <f t="shared" si="3324"/>
        <v>22,10,090</v>
      </c>
      <c r="AC494" s="11" t="str">
        <f t="shared" si="3059"/>
        <v>22</v>
      </c>
      <c r="AD494" s="11" t="str">
        <f t="shared" si="3060"/>
        <v>10,090</v>
      </c>
      <c r="AE494" s="11">
        <f t="shared" si="3061"/>
        <v>0.36946944444444441</v>
      </c>
      <c r="AF494" s="14">
        <f t="shared" si="3033"/>
        <v>27.106436406558959</v>
      </c>
      <c r="AG494" s="41">
        <f t="shared" si="3079"/>
        <v>-100</v>
      </c>
      <c r="AH494" s="105">
        <f t="shared" ref="AH494:AJ494" si="3325">AH493</f>
        <v>20.3</v>
      </c>
      <c r="AI494" s="105">
        <f t="shared" si="3325"/>
        <v>1.5089999999999999</v>
      </c>
      <c r="AJ494" s="105">
        <f t="shared" si="3325"/>
        <v>1.504</v>
      </c>
      <c r="AK494" s="53">
        <f t="shared" si="2892"/>
        <v>0</v>
      </c>
      <c r="AL494" s="45"/>
      <c r="AM494" s="54">
        <f t="shared" ref="AM494:AN494" si="3326">AM493</f>
        <v>5.0129999999999999</v>
      </c>
      <c r="AN494" s="101" t="str">
        <f t="shared" si="3326"/>
        <v>17,59,050</v>
      </c>
      <c r="AO494" s="11" t="str">
        <f t="shared" si="3064"/>
        <v>17</v>
      </c>
      <c r="AP494" s="11" t="str">
        <f t="shared" si="3065"/>
        <v>59,050</v>
      </c>
      <c r="AQ494" s="11">
        <f t="shared" si="3066"/>
        <v>0.29973611111111109</v>
      </c>
      <c r="AR494" s="14">
        <f t="shared" si="3036"/>
        <v>16.724711551827998</v>
      </c>
      <c r="AS494" s="41">
        <f t="shared" si="3037"/>
        <v>-100</v>
      </c>
      <c r="AT494" s="43" t="str">
        <f t="shared" si="3038"/>
        <v>NO CONFORME</v>
      </c>
      <c r="AU494" s="8" t="b">
        <f t="shared" si="3067"/>
        <v>1</v>
      </c>
      <c r="AV494" s="8" t="b">
        <f t="shared" si="3068"/>
        <v>0</v>
      </c>
      <c r="AW494" s="8" t="b">
        <f t="shared" si="3069"/>
        <v>1</v>
      </c>
      <c r="AX494" s="8" t="str">
        <f t="shared" si="3070"/>
        <v>Qcorrecto</v>
      </c>
      <c r="AY494" s="22" t="str">
        <f t="shared" si="3039"/>
        <v>aceptable</v>
      </c>
      <c r="AZ494" s="22" t="str">
        <f t="shared" si="3040"/>
        <v>aceptable</v>
      </c>
      <c r="BA494" s="22" t="str">
        <f t="shared" si="3071"/>
        <v>aceptable</v>
      </c>
      <c r="BB494" s="25" t="str">
        <f t="shared" si="3072"/>
        <v>NO CONFORME</v>
      </c>
      <c r="BC494" s="5" t="str">
        <f t="shared" si="3073"/>
        <v>NO CONFORME</v>
      </c>
      <c r="BD494" s="15">
        <f t="shared" si="3041"/>
        <v>-1</v>
      </c>
      <c r="BE494" s="15">
        <f t="shared" si="3042"/>
        <v>-1</v>
      </c>
      <c r="BF494" s="15">
        <f t="shared" si="3043"/>
        <v>-1</v>
      </c>
      <c r="BG494" s="15" t="str">
        <f t="shared" si="3044"/>
        <v>-1-1-1</v>
      </c>
      <c r="BH494" s="15" t="str">
        <f t="shared" si="3045"/>
        <v>SD</v>
      </c>
      <c r="BI494" s="15" t="str">
        <f t="shared" si="3046"/>
        <v>SI</v>
      </c>
      <c r="BJ494" s="15" t="b">
        <f t="shared" si="3047"/>
        <v>1</v>
      </c>
      <c r="BK494" s="15" t="str">
        <f t="shared" si="3048"/>
        <v>SIGIGUALES</v>
      </c>
      <c r="BL494" s="22" t="str">
        <f t="shared" si="3049"/>
        <v>NO CONFORME</v>
      </c>
    </row>
    <row r="495" spans="1:64" ht="15.75" thickBot="1" x14ac:dyDescent="0.3">
      <c r="A495" s="37">
        <v>487</v>
      </c>
      <c r="B495" s="93">
        <f t="shared" ref="B495:E495" si="3327">B494</f>
        <v>45919</v>
      </c>
      <c r="C495" s="93">
        <f t="shared" si="3327"/>
        <v>45919</v>
      </c>
      <c r="D495" s="94">
        <f t="shared" si="3327"/>
        <v>6</v>
      </c>
      <c r="E495" s="95">
        <f t="shared" si="3327"/>
        <v>15</v>
      </c>
      <c r="F495" s="13"/>
      <c r="G495" s="90"/>
      <c r="H495" s="97">
        <f t="shared" ref="H495:L495" si="3328">H494</f>
        <v>25.6</v>
      </c>
      <c r="I495" s="98">
        <f t="shared" si="3328"/>
        <v>0</v>
      </c>
      <c r="J495" s="99">
        <f t="shared" si="3328"/>
        <v>20.9</v>
      </c>
      <c r="K495" s="99">
        <f t="shared" si="3328"/>
        <v>7.883</v>
      </c>
      <c r="L495" s="99">
        <f t="shared" si="3328"/>
        <v>0.55400000000000005</v>
      </c>
      <c r="M495" s="45"/>
      <c r="N495" s="45"/>
      <c r="O495" s="100">
        <f t="shared" ref="O495:P495" si="3329">O494</f>
        <v>100.62</v>
      </c>
      <c r="P495" s="101" t="str">
        <f t="shared" si="3329"/>
        <v>2,29,560</v>
      </c>
      <c r="Q495" s="11" t="str">
        <f t="shared" si="3053"/>
        <v>2</v>
      </c>
      <c r="R495" s="11" t="str">
        <f t="shared" si="3054"/>
        <v>29,560</v>
      </c>
      <c r="S495" s="11">
        <f t="shared" si="3055"/>
        <v>4.1544444444444446E-2</v>
      </c>
      <c r="T495" s="14">
        <f t="shared" si="3056"/>
        <v>2421.9844878309709</v>
      </c>
      <c r="U495" s="39">
        <f t="shared" si="3030"/>
        <v>-100</v>
      </c>
      <c r="V495" s="105">
        <f t="shared" ref="V495:X495" si="3330">V494</f>
        <v>20.399999999999999</v>
      </c>
      <c r="W495" s="105">
        <f t="shared" si="3330"/>
        <v>1.5069999999999999</v>
      </c>
      <c r="X495" s="106">
        <f t="shared" si="3330"/>
        <v>1.504</v>
      </c>
      <c r="Y495" s="45"/>
      <c r="Z495" s="45"/>
      <c r="AA495" s="107">
        <f t="shared" ref="AA495:AB495" si="3331">AA494</f>
        <v>10.015000000000001</v>
      </c>
      <c r="AB495" s="108" t="str">
        <f t="shared" si="3331"/>
        <v>22,10,090</v>
      </c>
      <c r="AC495" s="11" t="str">
        <f t="shared" si="3059"/>
        <v>22</v>
      </c>
      <c r="AD495" s="11" t="str">
        <f t="shared" si="3060"/>
        <v>10,090</v>
      </c>
      <c r="AE495" s="11">
        <f t="shared" si="3061"/>
        <v>0.36946944444444441</v>
      </c>
      <c r="AF495" s="14">
        <f t="shared" si="3033"/>
        <v>27.106436406558959</v>
      </c>
      <c r="AG495" s="41">
        <f t="shared" si="3079"/>
        <v>-100</v>
      </c>
      <c r="AH495" s="105">
        <f t="shared" ref="AH495:AJ495" si="3332">AH494</f>
        <v>20.3</v>
      </c>
      <c r="AI495" s="105">
        <f t="shared" si="3332"/>
        <v>1.5089999999999999</v>
      </c>
      <c r="AJ495" s="105">
        <f t="shared" si="3332"/>
        <v>1.504</v>
      </c>
      <c r="AK495" s="53">
        <f t="shared" si="2892"/>
        <v>0</v>
      </c>
      <c r="AL495" s="45"/>
      <c r="AM495" s="54">
        <f t="shared" ref="AM495:AN495" si="3333">AM494</f>
        <v>5.0129999999999999</v>
      </c>
      <c r="AN495" s="101" t="str">
        <f t="shared" si="3333"/>
        <v>17,59,050</v>
      </c>
      <c r="AO495" s="11" t="str">
        <f t="shared" si="3064"/>
        <v>17</v>
      </c>
      <c r="AP495" s="11" t="str">
        <f t="shared" si="3065"/>
        <v>59,050</v>
      </c>
      <c r="AQ495" s="11">
        <f t="shared" si="3066"/>
        <v>0.29973611111111109</v>
      </c>
      <c r="AR495" s="14">
        <f t="shared" si="3036"/>
        <v>16.724711551827998</v>
      </c>
      <c r="AS495" s="41">
        <f t="shared" si="3037"/>
        <v>-100</v>
      </c>
      <c r="AT495" s="43" t="str">
        <f t="shared" si="3038"/>
        <v>NO CONFORME</v>
      </c>
      <c r="AU495" s="8" t="b">
        <f t="shared" si="3067"/>
        <v>1</v>
      </c>
      <c r="AV495" s="8" t="b">
        <f t="shared" si="3068"/>
        <v>0</v>
      </c>
      <c r="AW495" s="8" t="b">
        <f t="shared" si="3069"/>
        <v>1</v>
      </c>
      <c r="AX495" s="8" t="str">
        <f t="shared" si="3070"/>
        <v>Qcorrecto</v>
      </c>
      <c r="AY495" s="22" t="str">
        <f t="shared" si="3039"/>
        <v>aceptable</v>
      </c>
      <c r="AZ495" s="22" t="str">
        <f t="shared" si="3040"/>
        <v>aceptable</v>
      </c>
      <c r="BA495" s="22" t="str">
        <f t="shared" si="3071"/>
        <v>aceptable</v>
      </c>
      <c r="BB495" s="25" t="str">
        <f t="shared" si="3072"/>
        <v>NO CONFORME</v>
      </c>
      <c r="BC495" s="5" t="str">
        <f t="shared" si="3073"/>
        <v>NO CONFORME</v>
      </c>
      <c r="BD495" s="15">
        <f t="shared" si="3041"/>
        <v>-1</v>
      </c>
      <c r="BE495" s="15">
        <f t="shared" si="3042"/>
        <v>-1</v>
      </c>
      <c r="BF495" s="15">
        <f t="shared" si="3043"/>
        <v>-1</v>
      </c>
      <c r="BG495" s="15" t="str">
        <f t="shared" si="3044"/>
        <v>-1-1-1</v>
      </c>
      <c r="BH495" s="15" t="str">
        <f t="shared" si="3045"/>
        <v>SD</v>
      </c>
      <c r="BI495" s="15" t="str">
        <f t="shared" si="3046"/>
        <v>SI</v>
      </c>
      <c r="BJ495" s="15" t="b">
        <f t="shared" si="3047"/>
        <v>1</v>
      </c>
      <c r="BK495" s="15" t="str">
        <f t="shared" si="3048"/>
        <v>SIGIGUALES</v>
      </c>
      <c r="BL495" s="22" t="str">
        <f t="shared" si="3049"/>
        <v>NO CONFORME</v>
      </c>
    </row>
    <row r="496" spans="1:64" ht="15.75" thickBot="1" x14ac:dyDescent="0.3">
      <c r="A496" s="37">
        <v>488</v>
      </c>
      <c r="B496" s="93">
        <f t="shared" ref="B496:E496" si="3334">B495</f>
        <v>45919</v>
      </c>
      <c r="C496" s="93">
        <f t="shared" si="3334"/>
        <v>45919</v>
      </c>
      <c r="D496" s="94">
        <f t="shared" si="3334"/>
        <v>6</v>
      </c>
      <c r="E496" s="95">
        <f t="shared" si="3334"/>
        <v>15</v>
      </c>
      <c r="F496" s="13"/>
      <c r="G496" s="109"/>
      <c r="H496" s="97">
        <f t="shared" ref="H496:L496" si="3335">H495</f>
        <v>25.6</v>
      </c>
      <c r="I496" s="98">
        <f t="shared" si="3335"/>
        <v>0</v>
      </c>
      <c r="J496" s="99">
        <f t="shared" si="3335"/>
        <v>20.9</v>
      </c>
      <c r="K496" s="99">
        <f t="shared" si="3335"/>
        <v>7.883</v>
      </c>
      <c r="L496" s="99">
        <f t="shared" si="3335"/>
        <v>0.55400000000000005</v>
      </c>
      <c r="M496" s="45"/>
      <c r="N496" s="45"/>
      <c r="O496" s="100">
        <f t="shared" ref="O496:P496" si="3336">O495</f>
        <v>100.62</v>
      </c>
      <c r="P496" s="101" t="str">
        <f t="shared" si="3336"/>
        <v>2,29,560</v>
      </c>
      <c r="Q496" s="11" t="str">
        <f t="shared" si="3053"/>
        <v>2</v>
      </c>
      <c r="R496" s="11" t="str">
        <f t="shared" si="3054"/>
        <v>29,560</v>
      </c>
      <c r="S496" s="11">
        <f t="shared" si="3055"/>
        <v>4.1544444444444446E-2</v>
      </c>
      <c r="T496" s="14">
        <f t="shared" si="3056"/>
        <v>2421.9844878309709</v>
      </c>
      <c r="U496" s="39">
        <f t="shared" si="3030"/>
        <v>-100</v>
      </c>
      <c r="V496" s="105">
        <f t="shared" ref="V496:X496" si="3337">V495</f>
        <v>20.399999999999999</v>
      </c>
      <c r="W496" s="105">
        <f t="shared" si="3337"/>
        <v>1.5069999999999999</v>
      </c>
      <c r="X496" s="106">
        <f t="shared" si="3337"/>
        <v>1.504</v>
      </c>
      <c r="Y496" s="45"/>
      <c r="Z496" s="45"/>
      <c r="AA496" s="107">
        <f t="shared" ref="AA496:AB496" si="3338">AA495</f>
        <v>10.015000000000001</v>
      </c>
      <c r="AB496" s="108" t="str">
        <f t="shared" si="3338"/>
        <v>22,10,090</v>
      </c>
      <c r="AC496" s="11" t="str">
        <f t="shared" si="3059"/>
        <v>22</v>
      </c>
      <c r="AD496" s="11" t="str">
        <f t="shared" si="3060"/>
        <v>10,090</v>
      </c>
      <c r="AE496" s="11">
        <f t="shared" si="3061"/>
        <v>0.36946944444444441</v>
      </c>
      <c r="AF496" s="14">
        <f t="shared" si="3033"/>
        <v>27.106436406558959</v>
      </c>
      <c r="AG496" s="41">
        <f t="shared" si="3079"/>
        <v>-100</v>
      </c>
      <c r="AH496" s="105">
        <f t="shared" ref="AH496:AJ496" si="3339">AH495</f>
        <v>20.3</v>
      </c>
      <c r="AI496" s="105">
        <f t="shared" si="3339"/>
        <v>1.5089999999999999</v>
      </c>
      <c r="AJ496" s="105">
        <f t="shared" si="3339"/>
        <v>1.504</v>
      </c>
      <c r="AK496" s="53">
        <f t="shared" si="2892"/>
        <v>0</v>
      </c>
      <c r="AL496" s="45"/>
      <c r="AM496" s="54">
        <f t="shared" ref="AM496:AN496" si="3340">AM495</f>
        <v>5.0129999999999999</v>
      </c>
      <c r="AN496" s="101" t="str">
        <f t="shared" si="3340"/>
        <v>17,59,050</v>
      </c>
      <c r="AO496" s="11" t="str">
        <f t="shared" si="3064"/>
        <v>17</v>
      </c>
      <c r="AP496" s="11" t="str">
        <f t="shared" si="3065"/>
        <v>59,050</v>
      </c>
      <c r="AQ496" s="11">
        <f t="shared" si="3066"/>
        <v>0.29973611111111109</v>
      </c>
      <c r="AR496" s="14">
        <f t="shared" si="3036"/>
        <v>16.724711551827998</v>
      </c>
      <c r="AS496" s="41">
        <f t="shared" si="3037"/>
        <v>-100</v>
      </c>
      <c r="AT496" s="43" t="str">
        <f t="shared" si="3038"/>
        <v>NO CONFORME</v>
      </c>
      <c r="AU496" s="8" t="b">
        <f t="shared" si="3067"/>
        <v>1</v>
      </c>
      <c r="AV496" s="8" t="b">
        <f t="shared" si="3068"/>
        <v>0</v>
      </c>
      <c r="AW496" s="8" t="b">
        <f t="shared" si="3069"/>
        <v>1</v>
      </c>
      <c r="AX496" s="8" t="str">
        <f t="shared" si="3070"/>
        <v>Qcorrecto</v>
      </c>
      <c r="AY496" s="22" t="str">
        <f t="shared" si="3039"/>
        <v>aceptable</v>
      </c>
      <c r="AZ496" s="22" t="str">
        <f t="shared" si="3040"/>
        <v>aceptable</v>
      </c>
      <c r="BA496" s="22" t="str">
        <f t="shared" si="3071"/>
        <v>aceptable</v>
      </c>
      <c r="BB496" s="25" t="str">
        <f t="shared" si="3072"/>
        <v>NO CONFORME</v>
      </c>
      <c r="BC496" s="5" t="str">
        <f t="shared" si="3073"/>
        <v>NO CONFORME</v>
      </c>
      <c r="BD496" s="15">
        <f t="shared" si="3041"/>
        <v>-1</v>
      </c>
      <c r="BE496" s="15">
        <f t="shared" si="3042"/>
        <v>-1</v>
      </c>
      <c r="BF496" s="15">
        <f t="shared" si="3043"/>
        <v>-1</v>
      </c>
      <c r="BG496" s="15" t="str">
        <f t="shared" si="3044"/>
        <v>-1-1-1</v>
      </c>
      <c r="BH496" s="15" t="str">
        <f t="shared" si="3045"/>
        <v>SD</v>
      </c>
      <c r="BI496" s="15" t="str">
        <f t="shared" si="3046"/>
        <v>SI</v>
      </c>
      <c r="BJ496" s="15" t="b">
        <f t="shared" si="3047"/>
        <v>1</v>
      </c>
      <c r="BK496" s="15" t="str">
        <f t="shared" si="3048"/>
        <v>SIGIGUALES</v>
      </c>
      <c r="BL496" s="22" t="str">
        <f t="shared" si="3049"/>
        <v>NO CONFORME</v>
      </c>
    </row>
    <row r="497" spans="1:64" ht="15.75" thickBot="1" x14ac:dyDescent="0.3">
      <c r="A497" s="37">
        <v>489</v>
      </c>
      <c r="B497" s="93">
        <f t="shared" ref="B497:E497" si="3341">B496</f>
        <v>45919</v>
      </c>
      <c r="C497" s="93">
        <f t="shared" si="3341"/>
        <v>45919</v>
      </c>
      <c r="D497" s="94">
        <f t="shared" si="3341"/>
        <v>6</v>
      </c>
      <c r="E497" s="95">
        <f t="shared" si="3341"/>
        <v>15</v>
      </c>
      <c r="F497" s="13"/>
      <c r="G497" s="90"/>
      <c r="H497" s="97">
        <f t="shared" ref="H497:L497" si="3342">H496</f>
        <v>25.6</v>
      </c>
      <c r="I497" s="98">
        <f t="shared" si="3342"/>
        <v>0</v>
      </c>
      <c r="J497" s="99">
        <f t="shared" si="3342"/>
        <v>20.9</v>
      </c>
      <c r="K497" s="99">
        <f t="shared" si="3342"/>
        <v>7.883</v>
      </c>
      <c r="L497" s="99">
        <f t="shared" si="3342"/>
        <v>0.55400000000000005</v>
      </c>
      <c r="M497" s="45"/>
      <c r="N497" s="45"/>
      <c r="O497" s="100">
        <f t="shared" ref="O497:P497" si="3343">O496</f>
        <v>100.62</v>
      </c>
      <c r="P497" s="101" t="str">
        <f t="shared" si="3343"/>
        <v>2,29,560</v>
      </c>
      <c r="Q497" s="11" t="str">
        <f t="shared" si="3053"/>
        <v>2</v>
      </c>
      <c r="R497" s="11" t="str">
        <f t="shared" si="3054"/>
        <v>29,560</v>
      </c>
      <c r="S497" s="11">
        <f t="shared" si="3055"/>
        <v>4.1544444444444446E-2</v>
      </c>
      <c r="T497" s="14">
        <f t="shared" si="3056"/>
        <v>2421.9844878309709</v>
      </c>
      <c r="U497" s="39">
        <f t="shared" si="3030"/>
        <v>-100</v>
      </c>
      <c r="V497" s="105">
        <f t="shared" ref="V497:X497" si="3344">V496</f>
        <v>20.399999999999999</v>
      </c>
      <c r="W497" s="105">
        <f t="shared" si="3344"/>
        <v>1.5069999999999999</v>
      </c>
      <c r="X497" s="106">
        <f t="shared" si="3344"/>
        <v>1.504</v>
      </c>
      <c r="Y497" s="45"/>
      <c r="Z497" s="45"/>
      <c r="AA497" s="107">
        <f t="shared" ref="AA497:AB497" si="3345">AA496</f>
        <v>10.015000000000001</v>
      </c>
      <c r="AB497" s="108" t="str">
        <f t="shared" si="3345"/>
        <v>22,10,090</v>
      </c>
      <c r="AC497" s="11" t="str">
        <f t="shared" si="3059"/>
        <v>22</v>
      </c>
      <c r="AD497" s="11" t="str">
        <f t="shared" si="3060"/>
        <v>10,090</v>
      </c>
      <c r="AE497" s="11">
        <f t="shared" si="3061"/>
        <v>0.36946944444444441</v>
      </c>
      <c r="AF497" s="14">
        <f t="shared" si="3033"/>
        <v>27.106436406558959</v>
      </c>
      <c r="AG497" s="41">
        <f t="shared" si="3079"/>
        <v>-100</v>
      </c>
      <c r="AH497" s="105">
        <f t="shared" ref="AH497:AJ497" si="3346">AH496</f>
        <v>20.3</v>
      </c>
      <c r="AI497" s="105">
        <f t="shared" si="3346"/>
        <v>1.5089999999999999</v>
      </c>
      <c r="AJ497" s="105">
        <f t="shared" si="3346"/>
        <v>1.504</v>
      </c>
      <c r="AK497" s="53">
        <f t="shared" si="2892"/>
        <v>0</v>
      </c>
      <c r="AL497" s="45"/>
      <c r="AM497" s="54">
        <f t="shared" ref="AM497:AN497" si="3347">AM496</f>
        <v>5.0129999999999999</v>
      </c>
      <c r="AN497" s="101" t="str">
        <f t="shared" si="3347"/>
        <v>17,59,050</v>
      </c>
      <c r="AO497" s="11" t="str">
        <f t="shared" si="3064"/>
        <v>17</v>
      </c>
      <c r="AP497" s="11" t="str">
        <f t="shared" si="3065"/>
        <v>59,050</v>
      </c>
      <c r="AQ497" s="11">
        <f t="shared" si="3066"/>
        <v>0.29973611111111109</v>
      </c>
      <c r="AR497" s="14">
        <f t="shared" si="3036"/>
        <v>16.724711551827998</v>
      </c>
      <c r="AS497" s="41">
        <f t="shared" si="3037"/>
        <v>-100</v>
      </c>
      <c r="AT497" s="43" t="str">
        <f t="shared" si="3038"/>
        <v>NO CONFORME</v>
      </c>
      <c r="AU497" s="8" t="b">
        <f t="shared" si="3067"/>
        <v>1</v>
      </c>
      <c r="AV497" s="8" t="b">
        <f t="shared" si="3068"/>
        <v>0</v>
      </c>
      <c r="AW497" s="8" t="b">
        <f t="shared" si="3069"/>
        <v>1</v>
      </c>
      <c r="AX497" s="8" t="str">
        <f t="shared" si="3070"/>
        <v>Qcorrecto</v>
      </c>
      <c r="AY497" s="22" t="str">
        <f t="shared" si="3039"/>
        <v>aceptable</v>
      </c>
      <c r="AZ497" s="22" t="str">
        <f t="shared" si="3040"/>
        <v>aceptable</v>
      </c>
      <c r="BA497" s="22" t="str">
        <f t="shared" si="3071"/>
        <v>aceptable</v>
      </c>
      <c r="BB497" s="25" t="str">
        <f t="shared" si="3072"/>
        <v>NO CONFORME</v>
      </c>
      <c r="BC497" s="5" t="str">
        <f t="shared" si="3073"/>
        <v>NO CONFORME</v>
      </c>
      <c r="BD497" s="15">
        <f t="shared" si="3041"/>
        <v>-1</v>
      </c>
      <c r="BE497" s="15">
        <f t="shared" si="3042"/>
        <v>-1</v>
      </c>
      <c r="BF497" s="15">
        <f t="shared" si="3043"/>
        <v>-1</v>
      </c>
      <c r="BG497" s="15" t="str">
        <f t="shared" si="3044"/>
        <v>-1-1-1</v>
      </c>
      <c r="BH497" s="15" t="str">
        <f t="shared" si="3045"/>
        <v>SD</v>
      </c>
      <c r="BI497" s="15" t="str">
        <f t="shared" si="3046"/>
        <v>SI</v>
      </c>
      <c r="BJ497" s="15" t="b">
        <f t="shared" si="3047"/>
        <v>1</v>
      </c>
      <c r="BK497" s="15" t="str">
        <f t="shared" si="3048"/>
        <v>SIGIGUALES</v>
      </c>
      <c r="BL497" s="22" t="str">
        <f t="shared" si="3049"/>
        <v>NO CONFORME</v>
      </c>
    </row>
    <row r="498" spans="1:64" ht="15.75" thickBot="1" x14ac:dyDescent="0.3">
      <c r="A498" s="37">
        <v>490</v>
      </c>
      <c r="B498" s="93">
        <f t="shared" ref="B498:E498" si="3348">B497</f>
        <v>45919</v>
      </c>
      <c r="C498" s="93">
        <f t="shared" si="3348"/>
        <v>45919</v>
      </c>
      <c r="D498" s="94">
        <f t="shared" si="3348"/>
        <v>6</v>
      </c>
      <c r="E498" s="95">
        <f t="shared" si="3348"/>
        <v>15</v>
      </c>
      <c r="F498" s="13"/>
      <c r="G498" s="90"/>
      <c r="H498" s="97">
        <f t="shared" ref="H498:L498" si="3349">H497</f>
        <v>25.6</v>
      </c>
      <c r="I498" s="98">
        <f t="shared" si="3349"/>
        <v>0</v>
      </c>
      <c r="J498" s="99">
        <f t="shared" si="3349"/>
        <v>20.9</v>
      </c>
      <c r="K498" s="99">
        <f t="shared" si="3349"/>
        <v>7.883</v>
      </c>
      <c r="L498" s="99">
        <f t="shared" si="3349"/>
        <v>0.55400000000000005</v>
      </c>
      <c r="M498" s="45"/>
      <c r="N498" s="45"/>
      <c r="O498" s="100">
        <f t="shared" ref="O498:P498" si="3350">O497</f>
        <v>100.62</v>
      </c>
      <c r="P498" s="101" t="str">
        <f t="shared" si="3350"/>
        <v>2,29,560</v>
      </c>
      <c r="Q498" s="11" t="str">
        <f t="shared" si="3053"/>
        <v>2</v>
      </c>
      <c r="R498" s="11" t="str">
        <f t="shared" si="3054"/>
        <v>29,560</v>
      </c>
      <c r="S498" s="11">
        <f t="shared" si="3055"/>
        <v>4.1544444444444446E-2</v>
      </c>
      <c r="T498" s="14">
        <f t="shared" si="3056"/>
        <v>2421.9844878309709</v>
      </c>
      <c r="U498" s="39">
        <f t="shared" si="3030"/>
        <v>-100</v>
      </c>
      <c r="V498" s="105">
        <f t="shared" ref="V498:X498" si="3351">V497</f>
        <v>20.399999999999999</v>
      </c>
      <c r="W498" s="105">
        <f t="shared" si="3351"/>
        <v>1.5069999999999999</v>
      </c>
      <c r="X498" s="106">
        <f t="shared" si="3351"/>
        <v>1.504</v>
      </c>
      <c r="Y498" s="45"/>
      <c r="Z498" s="45"/>
      <c r="AA498" s="107">
        <f t="shared" ref="AA498:AB498" si="3352">AA497</f>
        <v>10.015000000000001</v>
      </c>
      <c r="AB498" s="108" t="str">
        <f t="shared" si="3352"/>
        <v>22,10,090</v>
      </c>
      <c r="AC498" s="11" t="str">
        <f t="shared" si="3059"/>
        <v>22</v>
      </c>
      <c r="AD498" s="11" t="str">
        <f t="shared" si="3060"/>
        <v>10,090</v>
      </c>
      <c r="AE498" s="11">
        <f t="shared" si="3061"/>
        <v>0.36946944444444441</v>
      </c>
      <c r="AF498" s="14">
        <f t="shared" si="3033"/>
        <v>27.106436406558959</v>
      </c>
      <c r="AG498" s="41">
        <f t="shared" si="3079"/>
        <v>-100</v>
      </c>
      <c r="AH498" s="105">
        <f t="shared" ref="AH498:AJ498" si="3353">AH497</f>
        <v>20.3</v>
      </c>
      <c r="AI498" s="105">
        <f t="shared" si="3353"/>
        <v>1.5089999999999999</v>
      </c>
      <c r="AJ498" s="105">
        <f t="shared" si="3353"/>
        <v>1.504</v>
      </c>
      <c r="AK498" s="53">
        <f t="shared" si="2892"/>
        <v>0</v>
      </c>
      <c r="AL498" s="45"/>
      <c r="AM498" s="54">
        <f t="shared" ref="AM498:AN498" si="3354">AM497</f>
        <v>5.0129999999999999</v>
      </c>
      <c r="AN498" s="101" t="str">
        <f t="shared" si="3354"/>
        <v>17,59,050</v>
      </c>
      <c r="AO498" s="11" t="str">
        <f t="shared" si="3064"/>
        <v>17</v>
      </c>
      <c r="AP498" s="11" t="str">
        <f t="shared" si="3065"/>
        <v>59,050</v>
      </c>
      <c r="AQ498" s="11">
        <f t="shared" si="3066"/>
        <v>0.29973611111111109</v>
      </c>
      <c r="AR498" s="14">
        <f t="shared" si="3036"/>
        <v>16.724711551827998</v>
      </c>
      <c r="AS498" s="41">
        <f t="shared" si="3037"/>
        <v>-100</v>
      </c>
      <c r="AT498" s="43" t="str">
        <f t="shared" si="3038"/>
        <v>NO CONFORME</v>
      </c>
      <c r="AU498" s="8" t="b">
        <f t="shared" si="3067"/>
        <v>1</v>
      </c>
      <c r="AV498" s="8" t="b">
        <f t="shared" si="3068"/>
        <v>0</v>
      </c>
      <c r="AW498" s="8" t="b">
        <f t="shared" si="3069"/>
        <v>1</v>
      </c>
      <c r="AX498" s="8" t="str">
        <f t="shared" si="3070"/>
        <v>Qcorrecto</v>
      </c>
      <c r="AY498" s="22" t="str">
        <f t="shared" si="3039"/>
        <v>aceptable</v>
      </c>
      <c r="AZ498" s="22" t="str">
        <f t="shared" si="3040"/>
        <v>aceptable</v>
      </c>
      <c r="BA498" s="22" t="str">
        <f t="shared" si="3071"/>
        <v>aceptable</v>
      </c>
      <c r="BB498" s="25" t="str">
        <f t="shared" si="3072"/>
        <v>NO CONFORME</v>
      </c>
      <c r="BC498" s="5" t="str">
        <f t="shared" si="3073"/>
        <v>NO CONFORME</v>
      </c>
      <c r="BD498" s="15">
        <f t="shared" si="3041"/>
        <v>-1</v>
      </c>
      <c r="BE498" s="15">
        <f t="shared" si="3042"/>
        <v>-1</v>
      </c>
      <c r="BF498" s="15">
        <f t="shared" si="3043"/>
        <v>-1</v>
      </c>
      <c r="BG498" s="15" t="str">
        <f t="shared" si="3044"/>
        <v>-1-1-1</v>
      </c>
      <c r="BH498" s="15" t="str">
        <f t="shared" si="3045"/>
        <v>SD</v>
      </c>
      <c r="BI498" s="15" t="str">
        <f t="shared" si="3046"/>
        <v>SI</v>
      </c>
      <c r="BJ498" s="15" t="b">
        <f t="shared" si="3047"/>
        <v>1</v>
      </c>
      <c r="BK498" s="15" t="str">
        <f t="shared" si="3048"/>
        <v>SIGIGUALES</v>
      </c>
      <c r="BL498" s="22" t="str">
        <f t="shared" si="3049"/>
        <v>NO CONFORME</v>
      </c>
    </row>
    <row r="499" spans="1:64" ht="15.75" thickBot="1" x14ac:dyDescent="0.3">
      <c r="A499" s="37">
        <v>491</v>
      </c>
      <c r="B499" s="93">
        <f t="shared" ref="B499:E499" si="3355">B498</f>
        <v>45919</v>
      </c>
      <c r="C499" s="93">
        <f t="shared" si="3355"/>
        <v>45919</v>
      </c>
      <c r="D499" s="94">
        <f t="shared" si="3355"/>
        <v>6</v>
      </c>
      <c r="E499" s="95">
        <f t="shared" si="3355"/>
        <v>15</v>
      </c>
      <c r="F499" s="13"/>
      <c r="G499" s="90"/>
      <c r="H499" s="97">
        <f t="shared" ref="H499:L499" si="3356">H498</f>
        <v>25.6</v>
      </c>
      <c r="I499" s="98">
        <f t="shared" si="3356"/>
        <v>0</v>
      </c>
      <c r="J499" s="99">
        <f t="shared" si="3356"/>
        <v>20.9</v>
      </c>
      <c r="K499" s="99">
        <f t="shared" si="3356"/>
        <v>7.883</v>
      </c>
      <c r="L499" s="99">
        <f t="shared" si="3356"/>
        <v>0.55400000000000005</v>
      </c>
      <c r="M499" s="45"/>
      <c r="N499" s="45"/>
      <c r="O499" s="100">
        <f t="shared" ref="O499:P499" si="3357">O498</f>
        <v>100.62</v>
      </c>
      <c r="P499" s="101" t="str">
        <f t="shared" si="3357"/>
        <v>2,29,560</v>
      </c>
      <c r="Q499" s="11" t="str">
        <f t="shared" si="3053"/>
        <v>2</v>
      </c>
      <c r="R499" s="11" t="str">
        <f t="shared" si="3054"/>
        <v>29,560</v>
      </c>
      <c r="S499" s="11">
        <f t="shared" si="3055"/>
        <v>4.1544444444444446E-2</v>
      </c>
      <c r="T499" s="14">
        <f t="shared" si="3056"/>
        <v>2421.9844878309709</v>
      </c>
      <c r="U499" s="39">
        <f t="shared" si="3030"/>
        <v>-100</v>
      </c>
      <c r="V499" s="105">
        <f t="shared" ref="V499:X499" si="3358">V498</f>
        <v>20.399999999999999</v>
      </c>
      <c r="W499" s="105">
        <f t="shared" si="3358"/>
        <v>1.5069999999999999</v>
      </c>
      <c r="X499" s="106">
        <f t="shared" si="3358"/>
        <v>1.504</v>
      </c>
      <c r="Y499" s="45"/>
      <c r="Z499" s="45"/>
      <c r="AA499" s="107">
        <f t="shared" ref="AA499:AB499" si="3359">AA498</f>
        <v>10.015000000000001</v>
      </c>
      <c r="AB499" s="108" t="str">
        <f t="shared" si="3359"/>
        <v>22,10,090</v>
      </c>
      <c r="AC499" s="11" t="str">
        <f t="shared" si="3059"/>
        <v>22</v>
      </c>
      <c r="AD499" s="11" t="str">
        <f t="shared" si="3060"/>
        <v>10,090</v>
      </c>
      <c r="AE499" s="11">
        <f t="shared" si="3061"/>
        <v>0.36946944444444441</v>
      </c>
      <c r="AF499" s="14">
        <f t="shared" si="3033"/>
        <v>27.106436406558959</v>
      </c>
      <c r="AG499" s="41">
        <f t="shared" si="3079"/>
        <v>-100</v>
      </c>
      <c r="AH499" s="105">
        <f t="shared" ref="AH499:AJ499" si="3360">AH498</f>
        <v>20.3</v>
      </c>
      <c r="AI499" s="105">
        <f t="shared" si="3360"/>
        <v>1.5089999999999999</v>
      </c>
      <c r="AJ499" s="105">
        <f t="shared" si="3360"/>
        <v>1.504</v>
      </c>
      <c r="AK499" s="53">
        <f t="shared" si="2892"/>
        <v>0</v>
      </c>
      <c r="AL499" s="45"/>
      <c r="AM499" s="54">
        <f t="shared" ref="AM499:AN499" si="3361">AM498</f>
        <v>5.0129999999999999</v>
      </c>
      <c r="AN499" s="101" t="str">
        <f t="shared" si="3361"/>
        <v>17,59,050</v>
      </c>
      <c r="AO499" s="11" t="str">
        <f t="shared" si="3064"/>
        <v>17</v>
      </c>
      <c r="AP499" s="11" t="str">
        <f t="shared" si="3065"/>
        <v>59,050</v>
      </c>
      <c r="AQ499" s="11">
        <f t="shared" si="3066"/>
        <v>0.29973611111111109</v>
      </c>
      <c r="AR499" s="14">
        <f t="shared" si="3036"/>
        <v>16.724711551827998</v>
      </c>
      <c r="AS499" s="41">
        <f t="shared" si="3037"/>
        <v>-100</v>
      </c>
      <c r="AT499" s="43" t="str">
        <f t="shared" si="3038"/>
        <v>NO CONFORME</v>
      </c>
      <c r="AU499" s="8" t="b">
        <f t="shared" si="3067"/>
        <v>1</v>
      </c>
      <c r="AV499" s="8" t="b">
        <f t="shared" si="3068"/>
        <v>0</v>
      </c>
      <c r="AW499" s="8" t="b">
        <f t="shared" si="3069"/>
        <v>1</v>
      </c>
      <c r="AX499" s="8" t="str">
        <f t="shared" si="3070"/>
        <v>Qcorrecto</v>
      </c>
      <c r="AY499" s="22" t="str">
        <f t="shared" si="3039"/>
        <v>aceptable</v>
      </c>
      <c r="AZ499" s="22" t="str">
        <f t="shared" si="3040"/>
        <v>aceptable</v>
      </c>
      <c r="BA499" s="22" t="str">
        <f t="shared" si="3071"/>
        <v>aceptable</v>
      </c>
      <c r="BB499" s="25" t="str">
        <f t="shared" si="3072"/>
        <v>NO CONFORME</v>
      </c>
      <c r="BC499" s="5" t="str">
        <f t="shared" si="3073"/>
        <v>NO CONFORME</v>
      </c>
      <c r="BD499" s="15">
        <f t="shared" si="3041"/>
        <v>-1</v>
      </c>
      <c r="BE499" s="15">
        <f t="shared" si="3042"/>
        <v>-1</v>
      </c>
      <c r="BF499" s="15">
        <f t="shared" si="3043"/>
        <v>-1</v>
      </c>
      <c r="BG499" s="15" t="str">
        <f t="shared" si="3044"/>
        <v>-1-1-1</v>
      </c>
      <c r="BH499" s="15" t="str">
        <f t="shared" si="3045"/>
        <v>SD</v>
      </c>
      <c r="BI499" s="15" t="str">
        <f t="shared" si="3046"/>
        <v>SI</v>
      </c>
      <c r="BJ499" s="15" t="b">
        <f t="shared" si="3047"/>
        <v>1</v>
      </c>
      <c r="BK499" s="15" t="str">
        <f t="shared" si="3048"/>
        <v>SIGIGUALES</v>
      </c>
      <c r="BL499" s="22" t="str">
        <f t="shared" si="3049"/>
        <v>NO CONFORME</v>
      </c>
    </row>
    <row r="500" spans="1:64" ht="15.75" thickBot="1" x14ac:dyDescent="0.3">
      <c r="A500" s="37">
        <v>492</v>
      </c>
      <c r="B500" s="93">
        <f t="shared" ref="B500:E500" si="3362">B499</f>
        <v>45919</v>
      </c>
      <c r="C500" s="93">
        <f t="shared" si="3362"/>
        <v>45919</v>
      </c>
      <c r="D500" s="94">
        <f t="shared" si="3362"/>
        <v>6</v>
      </c>
      <c r="E500" s="95">
        <f t="shared" si="3362"/>
        <v>15</v>
      </c>
      <c r="F500" s="13"/>
      <c r="G500" s="109"/>
      <c r="H500" s="97">
        <f t="shared" ref="H500:L500" si="3363">H499</f>
        <v>25.6</v>
      </c>
      <c r="I500" s="98">
        <f t="shared" si="3363"/>
        <v>0</v>
      </c>
      <c r="J500" s="99">
        <f t="shared" si="3363"/>
        <v>20.9</v>
      </c>
      <c r="K500" s="99">
        <f t="shared" si="3363"/>
        <v>7.883</v>
      </c>
      <c r="L500" s="99">
        <f t="shared" si="3363"/>
        <v>0.55400000000000005</v>
      </c>
      <c r="M500" s="45"/>
      <c r="N500" s="45"/>
      <c r="O500" s="100">
        <f t="shared" ref="O500:P500" si="3364">O499</f>
        <v>100.62</v>
      </c>
      <c r="P500" s="101" t="str">
        <f t="shared" si="3364"/>
        <v>2,29,560</v>
      </c>
      <c r="Q500" s="11" t="str">
        <f t="shared" si="3053"/>
        <v>2</v>
      </c>
      <c r="R500" s="11" t="str">
        <f t="shared" si="3054"/>
        <v>29,560</v>
      </c>
      <c r="S500" s="11">
        <f t="shared" si="3055"/>
        <v>4.1544444444444446E-2</v>
      </c>
      <c r="T500" s="14">
        <f t="shared" si="3056"/>
        <v>2421.9844878309709</v>
      </c>
      <c r="U500" s="39">
        <f t="shared" si="3030"/>
        <v>-100</v>
      </c>
      <c r="V500" s="105">
        <f t="shared" ref="V500:X500" si="3365">V499</f>
        <v>20.399999999999999</v>
      </c>
      <c r="W500" s="105">
        <f t="shared" si="3365"/>
        <v>1.5069999999999999</v>
      </c>
      <c r="X500" s="106">
        <f t="shared" si="3365"/>
        <v>1.504</v>
      </c>
      <c r="Y500" s="45"/>
      <c r="Z500" s="45"/>
      <c r="AA500" s="107">
        <f t="shared" ref="AA500:AB500" si="3366">AA499</f>
        <v>10.015000000000001</v>
      </c>
      <c r="AB500" s="108" t="str">
        <f t="shared" si="3366"/>
        <v>22,10,090</v>
      </c>
      <c r="AC500" s="11" t="str">
        <f t="shared" si="3059"/>
        <v>22</v>
      </c>
      <c r="AD500" s="11" t="str">
        <f t="shared" si="3060"/>
        <v>10,090</v>
      </c>
      <c r="AE500" s="11">
        <f t="shared" si="3061"/>
        <v>0.36946944444444441</v>
      </c>
      <c r="AF500" s="14">
        <f t="shared" si="3033"/>
        <v>27.106436406558959</v>
      </c>
      <c r="AG500" s="41">
        <f t="shared" si="3079"/>
        <v>-100</v>
      </c>
      <c r="AH500" s="105">
        <f t="shared" ref="AH500:AJ500" si="3367">AH499</f>
        <v>20.3</v>
      </c>
      <c r="AI500" s="105">
        <f t="shared" si="3367"/>
        <v>1.5089999999999999</v>
      </c>
      <c r="AJ500" s="105">
        <f t="shared" si="3367"/>
        <v>1.504</v>
      </c>
      <c r="AK500" s="53">
        <f t="shared" si="2892"/>
        <v>0</v>
      </c>
      <c r="AL500" s="45"/>
      <c r="AM500" s="54">
        <f t="shared" ref="AM500:AN500" si="3368">AM499</f>
        <v>5.0129999999999999</v>
      </c>
      <c r="AN500" s="101" t="str">
        <f t="shared" si="3368"/>
        <v>17,59,050</v>
      </c>
      <c r="AO500" s="11" t="str">
        <f t="shared" si="3064"/>
        <v>17</v>
      </c>
      <c r="AP500" s="11" t="str">
        <f t="shared" si="3065"/>
        <v>59,050</v>
      </c>
      <c r="AQ500" s="11">
        <f t="shared" si="3066"/>
        <v>0.29973611111111109</v>
      </c>
      <c r="AR500" s="14">
        <f t="shared" si="3036"/>
        <v>16.724711551827998</v>
      </c>
      <c r="AS500" s="41">
        <f t="shared" si="3037"/>
        <v>-100</v>
      </c>
      <c r="AT500" s="43" t="str">
        <f t="shared" si="3038"/>
        <v>NO CONFORME</v>
      </c>
      <c r="AU500" s="8" t="b">
        <f t="shared" si="3067"/>
        <v>1</v>
      </c>
      <c r="AV500" s="8" t="b">
        <f t="shared" si="3068"/>
        <v>0</v>
      </c>
      <c r="AW500" s="8" t="b">
        <f t="shared" si="3069"/>
        <v>1</v>
      </c>
      <c r="AX500" s="8" t="str">
        <f t="shared" si="3070"/>
        <v>Qcorrecto</v>
      </c>
      <c r="AY500" s="22" t="str">
        <f t="shared" si="3039"/>
        <v>aceptable</v>
      </c>
      <c r="AZ500" s="22" t="str">
        <f t="shared" si="3040"/>
        <v>aceptable</v>
      </c>
      <c r="BA500" s="22" t="str">
        <f t="shared" si="3071"/>
        <v>aceptable</v>
      </c>
      <c r="BB500" s="25" t="str">
        <f t="shared" si="3072"/>
        <v>NO CONFORME</v>
      </c>
      <c r="BC500" s="5" t="str">
        <f t="shared" si="3073"/>
        <v>NO CONFORME</v>
      </c>
      <c r="BD500" s="15">
        <f t="shared" si="3041"/>
        <v>-1</v>
      </c>
      <c r="BE500" s="15">
        <f t="shared" si="3042"/>
        <v>-1</v>
      </c>
      <c r="BF500" s="15">
        <f t="shared" si="3043"/>
        <v>-1</v>
      </c>
      <c r="BG500" s="15" t="str">
        <f t="shared" si="3044"/>
        <v>-1-1-1</v>
      </c>
      <c r="BH500" s="15" t="str">
        <f t="shared" si="3045"/>
        <v>SD</v>
      </c>
      <c r="BI500" s="15" t="str">
        <f t="shared" si="3046"/>
        <v>SI</v>
      </c>
      <c r="BJ500" s="15" t="b">
        <f t="shared" si="3047"/>
        <v>1</v>
      </c>
      <c r="BK500" s="15" t="str">
        <f t="shared" si="3048"/>
        <v>SIGIGUALES</v>
      </c>
      <c r="BL500" s="22" t="str">
        <f t="shared" si="3049"/>
        <v>NO CONFORME</v>
      </c>
    </row>
    <row r="501" spans="1:64" ht="15.75" thickBot="1" x14ac:dyDescent="0.3">
      <c r="A501" s="37">
        <v>493</v>
      </c>
      <c r="B501" s="93">
        <f t="shared" ref="B501:E501" si="3369">B500</f>
        <v>45919</v>
      </c>
      <c r="C501" s="93">
        <f t="shared" si="3369"/>
        <v>45919</v>
      </c>
      <c r="D501" s="94">
        <f t="shared" si="3369"/>
        <v>6</v>
      </c>
      <c r="E501" s="95">
        <f t="shared" si="3369"/>
        <v>15</v>
      </c>
      <c r="F501" s="13"/>
      <c r="G501" s="90"/>
      <c r="H501" s="97">
        <f t="shared" ref="H501:L501" si="3370">H500</f>
        <v>25.6</v>
      </c>
      <c r="I501" s="98">
        <f t="shared" si="3370"/>
        <v>0</v>
      </c>
      <c r="J501" s="99">
        <f t="shared" si="3370"/>
        <v>20.9</v>
      </c>
      <c r="K501" s="99">
        <f t="shared" si="3370"/>
        <v>7.883</v>
      </c>
      <c r="L501" s="99">
        <f t="shared" si="3370"/>
        <v>0.55400000000000005</v>
      </c>
      <c r="M501" s="45"/>
      <c r="N501" s="45"/>
      <c r="O501" s="100">
        <f t="shared" ref="O501:P501" si="3371">O500</f>
        <v>100.62</v>
      </c>
      <c r="P501" s="101" t="str">
        <f t="shared" si="3371"/>
        <v>2,29,560</v>
      </c>
      <c r="Q501" s="11" t="str">
        <f t="shared" si="3053"/>
        <v>2</v>
      </c>
      <c r="R501" s="11" t="str">
        <f t="shared" si="3054"/>
        <v>29,560</v>
      </c>
      <c r="S501" s="11">
        <f t="shared" si="3055"/>
        <v>4.1544444444444446E-2</v>
      </c>
      <c r="T501" s="14">
        <f t="shared" si="3056"/>
        <v>2421.9844878309709</v>
      </c>
      <c r="U501" s="39">
        <f t="shared" si="3030"/>
        <v>-100</v>
      </c>
      <c r="V501" s="105">
        <f t="shared" ref="V501:X501" si="3372">V500</f>
        <v>20.399999999999999</v>
      </c>
      <c r="W501" s="105">
        <f t="shared" si="3372"/>
        <v>1.5069999999999999</v>
      </c>
      <c r="X501" s="106">
        <f t="shared" si="3372"/>
        <v>1.504</v>
      </c>
      <c r="Y501" s="45"/>
      <c r="Z501" s="45"/>
      <c r="AA501" s="107">
        <f t="shared" ref="AA501:AB501" si="3373">AA500</f>
        <v>10.015000000000001</v>
      </c>
      <c r="AB501" s="108" t="str">
        <f t="shared" si="3373"/>
        <v>22,10,090</v>
      </c>
      <c r="AC501" s="11" t="str">
        <f t="shared" si="3059"/>
        <v>22</v>
      </c>
      <c r="AD501" s="11" t="str">
        <f t="shared" si="3060"/>
        <v>10,090</v>
      </c>
      <c r="AE501" s="11">
        <f t="shared" si="3061"/>
        <v>0.36946944444444441</v>
      </c>
      <c r="AF501" s="14">
        <f t="shared" si="3033"/>
        <v>27.106436406558959</v>
      </c>
      <c r="AG501" s="41">
        <f t="shared" si="3079"/>
        <v>-100</v>
      </c>
      <c r="AH501" s="105">
        <f t="shared" ref="AH501:AJ501" si="3374">AH500</f>
        <v>20.3</v>
      </c>
      <c r="AI501" s="105">
        <f t="shared" si="3374"/>
        <v>1.5089999999999999</v>
      </c>
      <c r="AJ501" s="105">
        <f t="shared" si="3374"/>
        <v>1.504</v>
      </c>
      <c r="AK501" s="53">
        <f t="shared" ref="AK501:AK564" si="3375">Z501</f>
        <v>0</v>
      </c>
      <c r="AL501" s="45"/>
      <c r="AM501" s="54">
        <f t="shared" ref="AM501:AN501" si="3376">AM500</f>
        <v>5.0129999999999999</v>
      </c>
      <c r="AN501" s="101" t="str">
        <f t="shared" si="3376"/>
        <v>17,59,050</v>
      </c>
      <c r="AO501" s="11" t="str">
        <f t="shared" si="3064"/>
        <v>17</v>
      </c>
      <c r="AP501" s="11" t="str">
        <f t="shared" si="3065"/>
        <v>59,050</v>
      </c>
      <c r="AQ501" s="11">
        <f t="shared" si="3066"/>
        <v>0.29973611111111109</v>
      </c>
      <c r="AR501" s="14">
        <f t="shared" si="3036"/>
        <v>16.724711551827998</v>
      </c>
      <c r="AS501" s="41">
        <f t="shared" si="3037"/>
        <v>-100</v>
      </c>
      <c r="AT501" s="43" t="str">
        <f t="shared" si="3038"/>
        <v>NO CONFORME</v>
      </c>
      <c r="AU501" s="8" t="b">
        <f t="shared" si="3067"/>
        <v>1</v>
      </c>
      <c r="AV501" s="8" t="b">
        <f t="shared" si="3068"/>
        <v>0</v>
      </c>
      <c r="AW501" s="8" t="b">
        <f t="shared" si="3069"/>
        <v>1</v>
      </c>
      <c r="AX501" s="8" t="str">
        <f t="shared" si="3070"/>
        <v>Qcorrecto</v>
      </c>
      <c r="AY501" s="22" t="str">
        <f t="shared" si="3039"/>
        <v>aceptable</v>
      </c>
      <c r="AZ501" s="22" t="str">
        <f t="shared" si="3040"/>
        <v>aceptable</v>
      </c>
      <c r="BA501" s="22" t="str">
        <f t="shared" si="3071"/>
        <v>aceptable</v>
      </c>
      <c r="BB501" s="25" t="str">
        <f t="shared" si="3072"/>
        <v>NO CONFORME</v>
      </c>
      <c r="BC501" s="5" t="str">
        <f t="shared" si="3073"/>
        <v>NO CONFORME</v>
      </c>
      <c r="BD501" s="15">
        <f t="shared" si="3041"/>
        <v>-1</v>
      </c>
      <c r="BE501" s="15">
        <f t="shared" si="3042"/>
        <v>-1</v>
      </c>
      <c r="BF501" s="15">
        <f t="shared" si="3043"/>
        <v>-1</v>
      </c>
      <c r="BG501" s="15" t="str">
        <f t="shared" si="3044"/>
        <v>-1-1-1</v>
      </c>
      <c r="BH501" s="15" t="str">
        <f t="shared" si="3045"/>
        <v>SD</v>
      </c>
      <c r="BI501" s="15" t="str">
        <f t="shared" si="3046"/>
        <v>SI</v>
      </c>
      <c r="BJ501" s="15" t="b">
        <f t="shared" si="3047"/>
        <v>1</v>
      </c>
      <c r="BK501" s="15" t="str">
        <f t="shared" si="3048"/>
        <v>SIGIGUALES</v>
      </c>
      <c r="BL501" s="22" t="str">
        <f t="shared" si="3049"/>
        <v>NO CONFORME</v>
      </c>
    </row>
    <row r="502" spans="1:64" ht="15.75" thickBot="1" x14ac:dyDescent="0.3">
      <c r="A502" s="37">
        <v>494</v>
      </c>
      <c r="B502" s="93">
        <f t="shared" ref="B502:E502" si="3377">B501</f>
        <v>45919</v>
      </c>
      <c r="C502" s="93">
        <f t="shared" si="3377"/>
        <v>45919</v>
      </c>
      <c r="D502" s="94">
        <f t="shared" si="3377"/>
        <v>6</v>
      </c>
      <c r="E502" s="95">
        <f t="shared" si="3377"/>
        <v>15</v>
      </c>
      <c r="F502" s="13"/>
      <c r="G502" s="90"/>
      <c r="H502" s="97">
        <f t="shared" ref="H502:L502" si="3378">H501</f>
        <v>25.6</v>
      </c>
      <c r="I502" s="98">
        <f t="shared" si="3378"/>
        <v>0</v>
      </c>
      <c r="J502" s="99">
        <f t="shared" si="3378"/>
        <v>20.9</v>
      </c>
      <c r="K502" s="99">
        <f t="shared" si="3378"/>
        <v>7.883</v>
      </c>
      <c r="L502" s="99">
        <f t="shared" si="3378"/>
        <v>0.55400000000000005</v>
      </c>
      <c r="M502" s="45"/>
      <c r="N502" s="45"/>
      <c r="O502" s="100">
        <f t="shared" ref="O502:P502" si="3379">O501</f>
        <v>100.62</v>
      </c>
      <c r="P502" s="101" t="str">
        <f t="shared" si="3379"/>
        <v>2,29,560</v>
      </c>
      <c r="Q502" s="11" t="str">
        <f t="shared" si="3053"/>
        <v>2</v>
      </c>
      <c r="R502" s="11" t="str">
        <f t="shared" si="3054"/>
        <v>29,560</v>
      </c>
      <c r="S502" s="11">
        <f t="shared" si="3055"/>
        <v>4.1544444444444446E-2</v>
      </c>
      <c r="T502" s="14">
        <f t="shared" si="3056"/>
        <v>2421.9844878309709</v>
      </c>
      <c r="U502" s="39">
        <f t="shared" si="3030"/>
        <v>-100</v>
      </c>
      <c r="V502" s="105">
        <f t="shared" ref="V502:X502" si="3380">V501</f>
        <v>20.399999999999999</v>
      </c>
      <c r="W502" s="105">
        <f t="shared" si="3380"/>
        <v>1.5069999999999999</v>
      </c>
      <c r="X502" s="106">
        <f t="shared" si="3380"/>
        <v>1.504</v>
      </c>
      <c r="Y502" s="45"/>
      <c r="Z502" s="45"/>
      <c r="AA502" s="107">
        <f t="shared" ref="AA502:AB502" si="3381">AA501</f>
        <v>10.015000000000001</v>
      </c>
      <c r="AB502" s="108" t="str">
        <f t="shared" si="3381"/>
        <v>22,10,090</v>
      </c>
      <c r="AC502" s="11" t="str">
        <f t="shared" si="3059"/>
        <v>22</v>
      </c>
      <c r="AD502" s="11" t="str">
        <f t="shared" si="3060"/>
        <v>10,090</v>
      </c>
      <c r="AE502" s="11">
        <f t="shared" si="3061"/>
        <v>0.36946944444444441</v>
      </c>
      <c r="AF502" s="14">
        <f t="shared" si="3033"/>
        <v>27.106436406558959</v>
      </c>
      <c r="AG502" s="41">
        <f t="shared" si="3079"/>
        <v>-100</v>
      </c>
      <c r="AH502" s="105">
        <f t="shared" ref="AH502:AJ502" si="3382">AH501</f>
        <v>20.3</v>
      </c>
      <c r="AI502" s="105">
        <f t="shared" si="3382"/>
        <v>1.5089999999999999</v>
      </c>
      <c r="AJ502" s="105">
        <f t="shared" si="3382"/>
        <v>1.504</v>
      </c>
      <c r="AK502" s="53">
        <f t="shared" si="3375"/>
        <v>0</v>
      </c>
      <c r="AL502" s="45"/>
      <c r="AM502" s="54">
        <f t="shared" ref="AM502:AN502" si="3383">AM501</f>
        <v>5.0129999999999999</v>
      </c>
      <c r="AN502" s="101" t="str">
        <f t="shared" si="3383"/>
        <v>17,59,050</v>
      </c>
      <c r="AO502" s="11" t="str">
        <f t="shared" si="3064"/>
        <v>17</v>
      </c>
      <c r="AP502" s="11" t="str">
        <f t="shared" si="3065"/>
        <v>59,050</v>
      </c>
      <c r="AQ502" s="11">
        <f t="shared" si="3066"/>
        <v>0.29973611111111109</v>
      </c>
      <c r="AR502" s="14">
        <f t="shared" si="3036"/>
        <v>16.724711551827998</v>
      </c>
      <c r="AS502" s="41">
        <f t="shared" si="3037"/>
        <v>-100</v>
      </c>
      <c r="AT502" s="43" t="str">
        <f t="shared" si="3038"/>
        <v>NO CONFORME</v>
      </c>
      <c r="AU502" s="8" t="b">
        <f t="shared" si="3067"/>
        <v>1</v>
      </c>
      <c r="AV502" s="8" t="b">
        <f t="shared" si="3068"/>
        <v>0</v>
      </c>
      <c r="AW502" s="8" t="b">
        <f t="shared" si="3069"/>
        <v>1</v>
      </c>
      <c r="AX502" s="8" t="str">
        <f t="shared" si="3070"/>
        <v>Qcorrecto</v>
      </c>
      <c r="AY502" s="22" t="str">
        <f t="shared" si="3039"/>
        <v>aceptable</v>
      </c>
      <c r="AZ502" s="22" t="str">
        <f t="shared" si="3040"/>
        <v>aceptable</v>
      </c>
      <c r="BA502" s="22" t="str">
        <f t="shared" si="3071"/>
        <v>aceptable</v>
      </c>
      <c r="BB502" s="25" t="str">
        <f t="shared" si="3072"/>
        <v>NO CONFORME</v>
      </c>
      <c r="BC502" s="5" t="str">
        <f t="shared" si="3073"/>
        <v>NO CONFORME</v>
      </c>
      <c r="BD502" s="15">
        <f t="shared" si="3041"/>
        <v>-1</v>
      </c>
      <c r="BE502" s="15">
        <f t="shared" si="3042"/>
        <v>-1</v>
      </c>
      <c r="BF502" s="15">
        <f t="shared" si="3043"/>
        <v>-1</v>
      </c>
      <c r="BG502" s="15" t="str">
        <f t="shared" si="3044"/>
        <v>-1-1-1</v>
      </c>
      <c r="BH502" s="15" t="str">
        <f t="shared" si="3045"/>
        <v>SD</v>
      </c>
      <c r="BI502" s="15" t="str">
        <f t="shared" si="3046"/>
        <v>SI</v>
      </c>
      <c r="BJ502" s="15" t="b">
        <f t="shared" si="3047"/>
        <v>1</v>
      </c>
      <c r="BK502" s="15" t="str">
        <f t="shared" si="3048"/>
        <v>SIGIGUALES</v>
      </c>
      <c r="BL502" s="22" t="str">
        <f t="shared" si="3049"/>
        <v>NO CONFORME</v>
      </c>
    </row>
    <row r="503" spans="1:64" ht="15.75" thickBot="1" x14ac:dyDescent="0.3">
      <c r="A503" s="37">
        <v>495</v>
      </c>
      <c r="B503" s="93">
        <f t="shared" ref="B503:E503" si="3384">B502</f>
        <v>45919</v>
      </c>
      <c r="C503" s="93">
        <f t="shared" si="3384"/>
        <v>45919</v>
      </c>
      <c r="D503" s="94">
        <f t="shared" si="3384"/>
        <v>6</v>
      </c>
      <c r="E503" s="95">
        <f t="shared" si="3384"/>
        <v>15</v>
      </c>
      <c r="F503" s="13"/>
      <c r="G503" s="109"/>
      <c r="H503" s="97">
        <f t="shared" ref="H503:L503" si="3385">H502</f>
        <v>25.6</v>
      </c>
      <c r="I503" s="98">
        <f t="shared" si="3385"/>
        <v>0</v>
      </c>
      <c r="J503" s="99">
        <f t="shared" si="3385"/>
        <v>20.9</v>
      </c>
      <c r="K503" s="99">
        <f t="shared" si="3385"/>
        <v>7.883</v>
      </c>
      <c r="L503" s="99">
        <f t="shared" si="3385"/>
        <v>0.55400000000000005</v>
      </c>
      <c r="M503" s="45"/>
      <c r="N503" s="45"/>
      <c r="O503" s="100">
        <f t="shared" ref="O503:P503" si="3386">O502</f>
        <v>100.62</v>
      </c>
      <c r="P503" s="101" t="str">
        <f t="shared" si="3386"/>
        <v>2,29,560</v>
      </c>
      <c r="Q503" s="11" t="str">
        <f t="shared" si="3053"/>
        <v>2</v>
      </c>
      <c r="R503" s="11" t="str">
        <f t="shared" si="3054"/>
        <v>29,560</v>
      </c>
      <c r="S503" s="11">
        <f t="shared" si="3055"/>
        <v>4.1544444444444446E-2</v>
      </c>
      <c r="T503" s="14">
        <f t="shared" si="3056"/>
        <v>2421.9844878309709</v>
      </c>
      <c r="U503" s="39">
        <f t="shared" si="3030"/>
        <v>-100</v>
      </c>
      <c r="V503" s="105">
        <f t="shared" ref="V503:X503" si="3387">V502</f>
        <v>20.399999999999999</v>
      </c>
      <c r="W503" s="105">
        <f t="shared" si="3387"/>
        <v>1.5069999999999999</v>
      </c>
      <c r="X503" s="106">
        <f t="shared" si="3387"/>
        <v>1.504</v>
      </c>
      <c r="Y503" s="45"/>
      <c r="Z503" s="45"/>
      <c r="AA503" s="107">
        <f t="shared" ref="AA503:AB503" si="3388">AA502</f>
        <v>10.015000000000001</v>
      </c>
      <c r="AB503" s="108" t="str">
        <f t="shared" si="3388"/>
        <v>22,10,090</v>
      </c>
      <c r="AC503" s="11" t="str">
        <f t="shared" si="3059"/>
        <v>22</v>
      </c>
      <c r="AD503" s="11" t="str">
        <f t="shared" si="3060"/>
        <v>10,090</v>
      </c>
      <c r="AE503" s="11">
        <f t="shared" si="3061"/>
        <v>0.36946944444444441</v>
      </c>
      <c r="AF503" s="14">
        <f t="shared" si="3033"/>
        <v>27.106436406558959</v>
      </c>
      <c r="AG503" s="41">
        <f t="shared" si="3079"/>
        <v>-100</v>
      </c>
      <c r="AH503" s="105">
        <f t="shared" ref="AH503:AJ503" si="3389">AH502</f>
        <v>20.3</v>
      </c>
      <c r="AI503" s="105">
        <f t="shared" si="3389"/>
        <v>1.5089999999999999</v>
      </c>
      <c r="AJ503" s="105">
        <f t="shared" si="3389"/>
        <v>1.504</v>
      </c>
      <c r="AK503" s="53">
        <f t="shared" si="3375"/>
        <v>0</v>
      </c>
      <c r="AL503" s="45"/>
      <c r="AM503" s="54">
        <f t="shared" ref="AM503:AN503" si="3390">AM502</f>
        <v>5.0129999999999999</v>
      </c>
      <c r="AN503" s="101" t="str">
        <f t="shared" si="3390"/>
        <v>17,59,050</v>
      </c>
      <c r="AO503" s="11" t="str">
        <f t="shared" si="3064"/>
        <v>17</v>
      </c>
      <c r="AP503" s="11" t="str">
        <f t="shared" si="3065"/>
        <v>59,050</v>
      </c>
      <c r="AQ503" s="11">
        <f t="shared" si="3066"/>
        <v>0.29973611111111109</v>
      </c>
      <c r="AR503" s="14">
        <f t="shared" si="3036"/>
        <v>16.724711551827998</v>
      </c>
      <c r="AS503" s="41">
        <f t="shared" si="3037"/>
        <v>-100</v>
      </c>
      <c r="AT503" s="43" t="str">
        <f t="shared" si="3038"/>
        <v>NO CONFORME</v>
      </c>
      <c r="AU503" s="8" t="b">
        <f t="shared" si="3067"/>
        <v>1</v>
      </c>
      <c r="AV503" s="8" t="b">
        <f t="shared" si="3068"/>
        <v>0</v>
      </c>
      <c r="AW503" s="8" t="b">
        <f t="shared" si="3069"/>
        <v>1</v>
      </c>
      <c r="AX503" s="8" t="str">
        <f t="shared" si="3070"/>
        <v>Qcorrecto</v>
      </c>
      <c r="AY503" s="22" t="str">
        <f t="shared" si="3039"/>
        <v>aceptable</v>
      </c>
      <c r="AZ503" s="22" t="str">
        <f t="shared" si="3040"/>
        <v>aceptable</v>
      </c>
      <c r="BA503" s="22" t="str">
        <f t="shared" si="3071"/>
        <v>aceptable</v>
      </c>
      <c r="BB503" s="25" t="str">
        <f t="shared" si="3072"/>
        <v>NO CONFORME</v>
      </c>
      <c r="BC503" s="5" t="str">
        <f t="shared" si="3073"/>
        <v>NO CONFORME</v>
      </c>
      <c r="BD503" s="15">
        <f t="shared" si="3041"/>
        <v>-1</v>
      </c>
      <c r="BE503" s="15">
        <f t="shared" si="3042"/>
        <v>-1</v>
      </c>
      <c r="BF503" s="15">
        <f t="shared" si="3043"/>
        <v>-1</v>
      </c>
      <c r="BG503" s="15" t="str">
        <f t="shared" si="3044"/>
        <v>-1-1-1</v>
      </c>
      <c r="BH503" s="15" t="str">
        <f t="shared" si="3045"/>
        <v>SD</v>
      </c>
      <c r="BI503" s="15" t="str">
        <f t="shared" si="3046"/>
        <v>SI</v>
      </c>
      <c r="BJ503" s="15" t="b">
        <f t="shared" si="3047"/>
        <v>1</v>
      </c>
      <c r="BK503" s="15" t="str">
        <f t="shared" si="3048"/>
        <v>SIGIGUALES</v>
      </c>
      <c r="BL503" s="22" t="str">
        <f t="shared" si="3049"/>
        <v>NO CONFORME</v>
      </c>
    </row>
    <row r="504" spans="1:64" ht="15.75" thickBot="1" x14ac:dyDescent="0.3">
      <c r="A504" s="37">
        <v>496</v>
      </c>
      <c r="B504" s="93">
        <f t="shared" ref="B504:E504" si="3391">B503</f>
        <v>45919</v>
      </c>
      <c r="C504" s="93">
        <f t="shared" si="3391"/>
        <v>45919</v>
      </c>
      <c r="D504" s="94">
        <f t="shared" si="3391"/>
        <v>6</v>
      </c>
      <c r="E504" s="95">
        <f t="shared" si="3391"/>
        <v>15</v>
      </c>
      <c r="F504" s="52"/>
      <c r="G504" s="96"/>
      <c r="H504" s="97">
        <f t="shared" ref="H504:L504" si="3392">H503</f>
        <v>25.6</v>
      </c>
      <c r="I504" s="98">
        <f t="shared" si="3392"/>
        <v>0</v>
      </c>
      <c r="J504" s="99">
        <f t="shared" si="3392"/>
        <v>20.9</v>
      </c>
      <c r="K504" s="99">
        <f t="shared" si="3392"/>
        <v>7.883</v>
      </c>
      <c r="L504" s="99">
        <f t="shared" si="3392"/>
        <v>0.55400000000000005</v>
      </c>
      <c r="M504" s="53"/>
      <c r="N504" s="53"/>
      <c r="O504" s="100">
        <f t="shared" ref="O504:P504" si="3393">O503</f>
        <v>100.62</v>
      </c>
      <c r="P504" s="101" t="str">
        <f t="shared" si="3393"/>
        <v>2,29,560</v>
      </c>
      <c r="Q504" s="11" t="str">
        <f t="shared" si="3053"/>
        <v>2</v>
      </c>
      <c r="R504" s="11" t="str">
        <f t="shared" si="3054"/>
        <v>29,560</v>
      </c>
      <c r="S504" s="11">
        <f t="shared" si="3055"/>
        <v>4.1544444444444446E-2</v>
      </c>
      <c r="T504" s="14">
        <f t="shared" si="3056"/>
        <v>2421.9844878309709</v>
      </c>
      <c r="U504" s="39">
        <f t="shared" si="3030"/>
        <v>-100</v>
      </c>
      <c r="V504" s="105">
        <f t="shared" ref="V504:X504" si="3394">V503</f>
        <v>20.399999999999999</v>
      </c>
      <c r="W504" s="105">
        <f t="shared" si="3394"/>
        <v>1.5069999999999999</v>
      </c>
      <c r="X504" s="106">
        <f t="shared" si="3394"/>
        <v>1.504</v>
      </c>
      <c r="Y504" s="53"/>
      <c r="Z504" s="53"/>
      <c r="AA504" s="107">
        <f t="shared" ref="AA504:AB504" si="3395">AA503</f>
        <v>10.015000000000001</v>
      </c>
      <c r="AB504" s="108" t="str">
        <f t="shared" si="3395"/>
        <v>22,10,090</v>
      </c>
      <c r="AC504" s="11" t="str">
        <f t="shared" si="3059"/>
        <v>22</v>
      </c>
      <c r="AD504" s="11" t="str">
        <f t="shared" si="3060"/>
        <v>10,090</v>
      </c>
      <c r="AE504" s="11">
        <f t="shared" si="3061"/>
        <v>0.36946944444444441</v>
      </c>
      <c r="AF504" s="14">
        <f t="shared" si="3033"/>
        <v>27.106436406558959</v>
      </c>
      <c r="AG504" s="41">
        <f t="shared" si="3079"/>
        <v>-100</v>
      </c>
      <c r="AH504" s="105">
        <f t="shared" ref="AH504:AJ504" si="3396">AH503</f>
        <v>20.3</v>
      </c>
      <c r="AI504" s="105">
        <f t="shared" si="3396"/>
        <v>1.5089999999999999</v>
      </c>
      <c r="AJ504" s="105">
        <f t="shared" si="3396"/>
        <v>1.504</v>
      </c>
      <c r="AK504" s="53">
        <f t="shared" si="3375"/>
        <v>0</v>
      </c>
      <c r="AL504" s="53"/>
      <c r="AM504" s="54">
        <f t="shared" ref="AM504:AN504" si="3397">AM503</f>
        <v>5.0129999999999999</v>
      </c>
      <c r="AN504" s="101" t="str">
        <f t="shared" si="3397"/>
        <v>17,59,050</v>
      </c>
      <c r="AO504" s="11" t="str">
        <f t="shared" si="3064"/>
        <v>17</v>
      </c>
      <c r="AP504" s="11" t="str">
        <f t="shared" si="3065"/>
        <v>59,050</v>
      </c>
      <c r="AQ504" s="11">
        <f t="shared" si="3066"/>
        <v>0.29973611111111109</v>
      </c>
      <c r="AR504" s="14">
        <f t="shared" si="3036"/>
        <v>16.724711551827998</v>
      </c>
      <c r="AS504" s="41">
        <f t="shared" si="3037"/>
        <v>-100</v>
      </c>
      <c r="AT504" s="43" t="str">
        <f t="shared" si="3038"/>
        <v>NO CONFORME</v>
      </c>
      <c r="AU504" s="8" t="b">
        <f t="shared" si="3067"/>
        <v>1</v>
      </c>
      <c r="AV504" s="8" t="b">
        <f t="shared" si="3068"/>
        <v>0</v>
      </c>
      <c r="AW504" s="8" t="b">
        <f t="shared" si="3069"/>
        <v>1</v>
      </c>
      <c r="AX504" s="8" t="str">
        <f t="shared" si="3070"/>
        <v>Qcorrecto</v>
      </c>
      <c r="AY504" s="22" t="str">
        <f t="shared" si="3039"/>
        <v>aceptable</v>
      </c>
      <c r="AZ504" s="22" t="str">
        <f t="shared" si="3040"/>
        <v>aceptable</v>
      </c>
      <c r="BA504" s="22" t="str">
        <f t="shared" si="3071"/>
        <v>aceptable</v>
      </c>
      <c r="BB504" s="25" t="str">
        <f t="shared" si="3072"/>
        <v>NO CONFORME</v>
      </c>
      <c r="BC504" s="5" t="str">
        <f t="shared" si="3073"/>
        <v>NO CONFORME</v>
      </c>
      <c r="BD504" s="15">
        <f t="shared" si="3041"/>
        <v>-1</v>
      </c>
      <c r="BE504" s="15">
        <f t="shared" si="3042"/>
        <v>-1</v>
      </c>
      <c r="BF504" s="15">
        <f t="shared" si="3043"/>
        <v>-1</v>
      </c>
      <c r="BG504" s="15" t="str">
        <f t="shared" si="3044"/>
        <v>-1-1-1</v>
      </c>
      <c r="BH504" s="15" t="str">
        <f t="shared" si="3045"/>
        <v>SD</v>
      </c>
      <c r="BI504" s="15" t="str">
        <f t="shared" si="3046"/>
        <v>SI</v>
      </c>
      <c r="BJ504" s="15" t="b">
        <f t="shared" si="3047"/>
        <v>1</v>
      </c>
      <c r="BK504" s="15" t="str">
        <f t="shared" si="3048"/>
        <v>SIGIGUALES</v>
      </c>
      <c r="BL504" s="22" t="str">
        <f t="shared" si="3049"/>
        <v>NO CONFORME</v>
      </c>
    </row>
    <row r="505" spans="1:64" ht="15.75" thickBot="1" x14ac:dyDescent="0.3">
      <c r="A505" s="37">
        <v>497</v>
      </c>
      <c r="B505" s="93">
        <f t="shared" ref="B505:E505" si="3398">B504</f>
        <v>45919</v>
      </c>
      <c r="C505" s="93">
        <f t="shared" si="3398"/>
        <v>45919</v>
      </c>
      <c r="D505" s="94">
        <f t="shared" si="3398"/>
        <v>6</v>
      </c>
      <c r="E505" s="95">
        <f t="shared" si="3398"/>
        <v>15</v>
      </c>
      <c r="F505" s="13"/>
      <c r="G505" s="90"/>
      <c r="H505" s="97">
        <f t="shared" ref="H505:L505" si="3399">H504</f>
        <v>25.6</v>
      </c>
      <c r="I505" s="98">
        <f t="shared" si="3399"/>
        <v>0</v>
      </c>
      <c r="J505" s="99">
        <f t="shared" si="3399"/>
        <v>20.9</v>
      </c>
      <c r="K505" s="99">
        <f t="shared" si="3399"/>
        <v>7.883</v>
      </c>
      <c r="L505" s="99">
        <f t="shared" si="3399"/>
        <v>0.55400000000000005</v>
      </c>
      <c r="M505" s="45"/>
      <c r="N505" s="45"/>
      <c r="O505" s="100">
        <f t="shared" ref="O505:P505" si="3400">O504</f>
        <v>100.62</v>
      </c>
      <c r="P505" s="101" t="str">
        <f t="shared" si="3400"/>
        <v>2,29,560</v>
      </c>
      <c r="Q505" s="11" t="str">
        <f t="shared" si="3053"/>
        <v>2</v>
      </c>
      <c r="R505" s="11" t="str">
        <f t="shared" si="3054"/>
        <v>29,560</v>
      </c>
      <c r="S505" s="11">
        <f t="shared" si="3055"/>
        <v>4.1544444444444446E-2</v>
      </c>
      <c r="T505" s="14">
        <f t="shared" si="3056"/>
        <v>2421.9844878309709</v>
      </c>
      <c r="U505" s="39">
        <f t="shared" si="3030"/>
        <v>-100</v>
      </c>
      <c r="V505" s="105">
        <f t="shared" ref="V505:X505" si="3401">V504</f>
        <v>20.399999999999999</v>
      </c>
      <c r="W505" s="105">
        <f t="shared" si="3401"/>
        <v>1.5069999999999999</v>
      </c>
      <c r="X505" s="106">
        <f t="shared" si="3401"/>
        <v>1.504</v>
      </c>
      <c r="Y505" s="45"/>
      <c r="Z505" s="45"/>
      <c r="AA505" s="107">
        <f t="shared" ref="AA505:AB505" si="3402">AA504</f>
        <v>10.015000000000001</v>
      </c>
      <c r="AB505" s="108" t="str">
        <f t="shared" si="3402"/>
        <v>22,10,090</v>
      </c>
      <c r="AC505" s="11" t="str">
        <f t="shared" si="3059"/>
        <v>22</v>
      </c>
      <c r="AD505" s="11" t="str">
        <f t="shared" si="3060"/>
        <v>10,090</v>
      </c>
      <c r="AE505" s="11">
        <f t="shared" si="3061"/>
        <v>0.36946944444444441</v>
      </c>
      <c r="AF505" s="14">
        <f t="shared" si="3033"/>
        <v>27.106436406558959</v>
      </c>
      <c r="AG505" s="41">
        <f t="shared" si="3079"/>
        <v>-100</v>
      </c>
      <c r="AH505" s="105">
        <f t="shared" ref="AH505:AJ505" si="3403">AH504</f>
        <v>20.3</v>
      </c>
      <c r="AI505" s="105">
        <f t="shared" si="3403"/>
        <v>1.5089999999999999</v>
      </c>
      <c r="AJ505" s="105">
        <f t="shared" si="3403"/>
        <v>1.504</v>
      </c>
      <c r="AK505" s="53">
        <f t="shared" si="3375"/>
        <v>0</v>
      </c>
      <c r="AL505" s="45"/>
      <c r="AM505" s="54">
        <f t="shared" ref="AM505:AN505" si="3404">AM504</f>
        <v>5.0129999999999999</v>
      </c>
      <c r="AN505" s="101" t="str">
        <f t="shared" si="3404"/>
        <v>17,59,050</v>
      </c>
      <c r="AO505" s="11" t="str">
        <f t="shared" si="3064"/>
        <v>17</v>
      </c>
      <c r="AP505" s="11" t="str">
        <f t="shared" si="3065"/>
        <v>59,050</v>
      </c>
      <c r="AQ505" s="11">
        <f t="shared" si="3066"/>
        <v>0.29973611111111109</v>
      </c>
      <c r="AR505" s="14">
        <f t="shared" si="3036"/>
        <v>16.724711551827998</v>
      </c>
      <c r="AS505" s="41">
        <f t="shared" si="3037"/>
        <v>-100</v>
      </c>
      <c r="AT505" s="43" t="str">
        <f t="shared" si="3038"/>
        <v>NO CONFORME</v>
      </c>
      <c r="AU505" s="8" t="b">
        <f t="shared" si="3067"/>
        <v>1</v>
      </c>
      <c r="AV505" s="8" t="b">
        <f t="shared" si="3068"/>
        <v>0</v>
      </c>
      <c r="AW505" s="8" t="b">
        <f t="shared" si="3069"/>
        <v>1</v>
      </c>
      <c r="AX505" s="8" t="str">
        <f t="shared" si="3070"/>
        <v>Qcorrecto</v>
      </c>
      <c r="AY505" s="22" t="str">
        <f t="shared" si="3039"/>
        <v>aceptable</v>
      </c>
      <c r="AZ505" s="22" t="str">
        <f t="shared" si="3040"/>
        <v>aceptable</v>
      </c>
      <c r="BA505" s="22" t="str">
        <f t="shared" si="3071"/>
        <v>aceptable</v>
      </c>
      <c r="BB505" s="25" t="str">
        <f t="shared" si="3072"/>
        <v>NO CONFORME</v>
      </c>
      <c r="BC505" s="5" t="str">
        <f t="shared" si="3073"/>
        <v>NO CONFORME</v>
      </c>
      <c r="BD505" s="15">
        <f t="shared" si="3041"/>
        <v>-1</v>
      </c>
      <c r="BE505" s="15">
        <f t="shared" si="3042"/>
        <v>-1</v>
      </c>
      <c r="BF505" s="15">
        <f t="shared" si="3043"/>
        <v>-1</v>
      </c>
      <c r="BG505" s="15" t="str">
        <f t="shared" si="3044"/>
        <v>-1-1-1</v>
      </c>
      <c r="BH505" s="15" t="str">
        <f t="shared" si="3045"/>
        <v>SD</v>
      </c>
      <c r="BI505" s="15" t="str">
        <f t="shared" si="3046"/>
        <v>SI</v>
      </c>
      <c r="BJ505" s="15" t="b">
        <f t="shared" si="3047"/>
        <v>1</v>
      </c>
      <c r="BK505" s="15" t="str">
        <f t="shared" si="3048"/>
        <v>SIGIGUALES</v>
      </c>
      <c r="BL505" s="22" t="str">
        <f t="shared" si="3049"/>
        <v>NO CONFORME</v>
      </c>
    </row>
    <row r="506" spans="1:64" ht="15.75" thickBot="1" x14ac:dyDescent="0.3">
      <c r="A506" s="37">
        <v>498</v>
      </c>
      <c r="B506" s="93">
        <f t="shared" ref="B506:E506" si="3405">B505</f>
        <v>45919</v>
      </c>
      <c r="C506" s="93">
        <f t="shared" si="3405"/>
        <v>45919</v>
      </c>
      <c r="D506" s="94">
        <f t="shared" si="3405"/>
        <v>6</v>
      </c>
      <c r="E506" s="95">
        <f t="shared" si="3405"/>
        <v>15</v>
      </c>
      <c r="F506" s="13"/>
      <c r="G506" s="90"/>
      <c r="H506" s="97">
        <f t="shared" ref="H506:L506" si="3406">H505</f>
        <v>25.6</v>
      </c>
      <c r="I506" s="98">
        <f t="shared" si="3406"/>
        <v>0</v>
      </c>
      <c r="J506" s="99">
        <f t="shared" si="3406"/>
        <v>20.9</v>
      </c>
      <c r="K506" s="99">
        <f t="shared" si="3406"/>
        <v>7.883</v>
      </c>
      <c r="L506" s="99">
        <f t="shared" si="3406"/>
        <v>0.55400000000000005</v>
      </c>
      <c r="M506" s="45"/>
      <c r="N506" s="45"/>
      <c r="O506" s="100">
        <f t="shared" ref="O506:P506" si="3407">O505</f>
        <v>100.62</v>
      </c>
      <c r="P506" s="101" t="str">
        <f t="shared" si="3407"/>
        <v>2,29,560</v>
      </c>
      <c r="Q506" s="11" t="str">
        <f t="shared" si="3053"/>
        <v>2</v>
      </c>
      <c r="R506" s="11" t="str">
        <f t="shared" si="3054"/>
        <v>29,560</v>
      </c>
      <c r="S506" s="11">
        <f t="shared" si="3055"/>
        <v>4.1544444444444446E-2</v>
      </c>
      <c r="T506" s="14">
        <f t="shared" si="3056"/>
        <v>2421.9844878309709</v>
      </c>
      <c r="U506" s="39">
        <f t="shared" si="3030"/>
        <v>-100</v>
      </c>
      <c r="V506" s="105">
        <f t="shared" ref="V506:X506" si="3408">V505</f>
        <v>20.399999999999999</v>
      </c>
      <c r="W506" s="105">
        <f t="shared" si="3408"/>
        <v>1.5069999999999999</v>
      </c>
      <c r="X506" s="106">
        <f t="shared" si="3408"/>
        <v>1.504</v>
      </c>
      <c r="Y506" s="45"/>
      <c r="Z506" s="45"/>
      <c r="AA506" s="107">
        <f t="shared" ref="AA506:AB506" si="3409">AA505</f>
        <v>10.015000000000001</v>
      </c>
      <c r="AB506" s="108" t="str">
        <f t="shared" si="3409"/>
        <v>22,10,090</v>
      </c>
      <c r="AC506" s="11" t="str">
        <f t="shared" si="3059"/>
        <v>22</v>
      </c>
      <c r="AD506" s="11" t="str">
        <f t="shared" si="3060"/>
        <v>10,090</v>
      </c>
      <c r="AE506" s="11">
        <f t="shared" si="3061"/>
        <v>0.36946944444444441</v>
      </c>
      <c r="AF506" s="14">
        <f t="shared" si="3033"/>
        <v>27.106436406558959</v>
      </c>
      <c r="AG506" s="41">
        <f t="shared" si="3079"/>
        <v>-100</v>
      </c>
      <c r="AH506" s="105">
        <f t="shared" ref="AH506:AJ506" si="3410">AH505</f>
        <v>20.3</v>
      </c>
      <c r="AI506" s="105">
        <f t="shared" si="3410"/>
        <v>1.5089999999999999</v>
      </c>
      <c r="AJ506" s="105">
        <f t="shared" si="3410"/>
        <v>1.504</v>
      </c>
      <c r="AK506" s="53">
        <f t="shared" si="3375"/>
        <v>0</v>
      </c>
      <c r="AL506" s="45"/>
      <c r="AM506" s="54">
        <f t="shared" ref="AM506:AN506" si="3411">AM505</f>
        <v>5.0129999999999999</v>
      </c>
      <c r="AN506" s="101" t="str">
        <f t="shared" si="3411"/>
        <v>17,59,050</v>
      </c>
      <c r="AO506" s="11" t="str">
        <f t="shared" si="3064"/>
        <v>17</v>
      </c>
      <c r="AP506" s="11" t="str">
        <f t="shared" si="3065"/>
        <v>59,050</v>
      </c>
      <c r="AQ506" s="11">
        <f t="shared" si="3066"/>
        <v>0.29973611111111109</v>
      </c>
      <c r="AR506" s="14">
        <f t="shared" si="3036"/>
        <v>16.724711551827998</v>
      </c>
      <c r="AS506" s="41">
        <f t="shared" si="3037"/>
        <v>-100</v>
      </c>
      <c r="AT506" s="43" t="str">
        <f t="shared" si="3038"/>
        <v>NO CONFORME</v>
      </c>
      <c r="AU506" s="8" t="b">
        <f t="shared" si="3067"/>
        <v>1</v>
      </c>
      <c r="AV506" s="8" t="b">
        <f t="shared" si="3068"/>
        <v>0</v>
      </c>
      <c r="AW506" s="8" t="b">
        <f t="shared" si="3069"/>
        <v>1</v>
      </c>
      <c r="AX506" s="8" t="str">
        <f t="shared" si="3070"/>
        <v>Qcorrecto</v>
      </c>
      <c r="AY506" s="22" t="str">
        <f t="shared" si="3039"/>
        <v>aceptable</v>
      </c>
      <c r="AZ506" s="22" t="str">
        <f t="shared" si="3040"/>
        <v>aceptable</v>
      </c>
      <c r="BA506" s="22" t="str">
        <f t="shared" si="3071"/>
        <v>aceptable</v>
      </c>
      <c r="BB506" s="25" t="str">
        <f t="shared" si="3072"/>
        <v>NO CONFORME</v>
      </c>
      <c r="BC506" s="5" t="str">
        <f t="shared" si="3073"/>
        <v>NO CONFORME</v>
      </c>
      <c r="BD506" s="15">
        <f t="shared" si="3041"/>
        <v>-1</v>
      </c>
      <c r="BE506" s="15">
        <f t="shared" si="3042"/>
        <v>-1</v>
      </c>
      <c r="BF506" s="15">
        <f t="shared" si="3043"/>
        <v>-1</v>
      </c>
      <c r="BG506" s="15" t="str">
        <f t="shared" si="3044"/>
        <v>-1-1-1</v>
      </c>
      <c r="BH506" s="15" t="str">
        <f t="shared" si="3045"/>
        <v>SD</v>
      </c>
      <c r="BI506" s="15" t="str">
        <f t="shared" si="3046"/>
        <v>SI</v>
      </c>
      <c r="BJ506" s="15" t="b">
        <f t="shared" si="3047"/>
        <v>1</v>
      </c>
      <c r="BK506" s="15" t="str">
        <f t="shared" si="3048"/>
        <v>SIGIGUALES</v>
      </c>
      <c r="BL506" s="22" t="str">
        <f t="shared" si="3049"/>
        <v>NO CONFORME</v>
      </c>
    </row>
    <row r="507" spans="1:64" ht="15.75" thickBot="1" x14ac:dyDescent="0.3">
      <c r="A507" s="37">
        <v>499</v>
      </c>
      <c r="B507" s="93">
        <f t="shared" ref="B507:E507" si="3412">B506</f>
        <v>45919</v>
      </c>
      <c r="C507" s="93">
        <f t="shared" si="3412"/>
        <v>45919</v>
      </c>
      <c r="D507" s="94">
        <f t="shared" si="3412"/>
        <v>6</v>
      </c>
      <c r="E507" s="95">
        <f t="shared" si="3412"/>
        <v>15</v>
      </c>
      <c r="F507" s="13"/>
      <c r="G507" s="90"/>
      <c r="H507" s="97">
        <f t="shared" ref="H507:L507" si="3413">H506</f>
        <v>25.6</v>
      </c>
      <c r="I507" s="98">
        <f t="shared" si="3413"/>
        <v>0</v>
      </c>
      <c r="J507" s="99">
        <f t="shared" si="3413"/>
        <v>20.9</v>
      </c>
      <c r="K507" s="99">
        <f t="shared" si="3413"/>
        <v>7.883</v>
      </c>
      <c r="L507" s="99">
        <f t="shared" si="3413"/>
        <v>0.55400000000000005</v>
      </c>
      <c r="M507" s="45"/>
      <c r="N507" s="45"/>
      <c r="O507" s="100">
        <f t="shared" ref="O507:P507" si="3414">O506</f>
        <v>100.62</v>
      </c>
      <c r="P507" s="101" t="str">
        <f t="shared" si="3414"/>
        <v>2,29,560</v>
      </c>
      <c r="Q507" s="11" t="str">
        <f t="shared" si="3053"/>
        <v>2</v>
      </c>
      <c r="R507" s="11" t="str">
        <f t="shared" si="3054"/>
        <v>29,560</v>
      </c>
      <c r="S507" s="11">
        <f t="shared" si="3055"/>
        <v>4.1544444444444446E-2</v>
      </c>
      <c r="T507" s="14">
        <f t="shared" si="3056"/>
        <v>2421.9844878309709</v>
      </c>
      <c r="U507" s="39">
        <f t="shared" si="3030"/>
        <v>-100</v>
      </c>
      <c r="V507" s="105">
        <f t="shared" ref="V507:X507" si="3415">V506</f>
        <v>20.399999999999999</v>
      </c>
      <c r="W507" s="105">
        <f t="shared" si="3415"/>
        <v>1.5069999999999999</v>
      </c>
      <c r="X507" s="106">
        <f t="shared" si="3415"/>
        <v>1.504</v>
      </c>
      <c r="Y507" s="45"/>
      <c r="Z507" s="45"/>
      <c r="AA507" s="107">
        <f t="shared" ref="AA507:AB507" si="3416">AA506</f>
        <v>10.015000000000001</v>
      </c>
      <c r="AB507" s="108" t="str">
        <f t="shared" si="3416"/>
        <v>22,10,090</v>
      </c>
      <c r="AC507" s="11" t="str">
        <f t="shared" si="3059"/>
        <v>22</v>
      </c>
      <c r="AD507" s="11" t="str">
        <f t="shared" si="3060"/>
        <v>10,090</v>
      </c>
      <c r="AE507" s="11">
        <f t="shared" si="3061"/>
        <v>0.36946944444444441</v>
      </c>
      <c r="AF507" s="14">
        <f t="shared" si="3033"/>
        <v>27.106436406558959</v>
      </c>
      <c r="AG507" s="41">
        <f t="shared" si="3079"/>
        <v>-100</v>
      </c>
      <c r="AH507" s="105">
        <f t="shared" ref="AH507:AJ507" si="3417">AH506</f>
        <v>20.3</v>
      </c>
      <c r="AI507" s="105">
        <f t="shared" si="3417"/>
        <v>1.5089999999999999</v>
      </c>
      <c r="AJ507" s="105">
        <f t="shared" si="3417"/>
        <v>1.504</v>
      </c>
      <c r="AK507" s="53">
        <f t="shared" si="3375"/>
        <v>0</v>
      </c>
      <c r="AL507" s="45"/>
      <c r="AM507" s="54">
        <f t="shared" ref="AM507:AN507" si="3418">AM506</f>
        <v>5.0129999999999999</v>
      </c>
      <c r="AN507" s="101" t="str">
        <f t="shared" si="3418"/>
        <v>17,59,050</v>
      </c>
      <c r="AO507" s="11" t="str">
        <f t="shared" si="3064"/>
        <v>17</v>
      </c>
      <c r="AP507" s="11" t="str">
        <f t="shared" si="3065"/>
        <v>59,050</v>
      </c>
      <c r="AQ507" s="11">
        <f t="shared" si="3066"/>
        <v>0.29973611111111109</v>
      </c>
      <c r="AR507" s="14">
        <f t="shared" si="3036"/>
        <v>16.724711551827998</v>
      </c>
      <c r="AS507" s="41">
        <f t="shared" si="3037"/>
        <v>-100</v>
      </c>
      <c r="AT507" s="43" t="str">
        <f t="shared" si="3038"/>
        <v>NO CONFORME</v>
      </c>
      <c r="AU507" s="8" t="b">
        <f t="shared" si="3067"/>
        <v>1</v>
      </c>
      <c r="AV507" s="8" t="b">
        <f t="shared" si="3068"/>
        <v>0</v>
      </c>
      <c r="AW507" s="8" t="b">
        <f t="shared" si="3069"/>
        <v>1</v>
      </c>
      <c r="AX507" s="8" t="str">
        <f t="shared" si="3070"/>
        <v>Qcorrecto</v>
      </c>
      <c r="AY507" s="22" t="str">
        <f t="shared" si="3039"/>
        <v>aceptable</v>
      </c>
      <c r="AZ507" s="22" t="str">
        <f t="shared" si="3040"/>
        <v>aceptable</v>
      </c>
      <c r="BA507" s="22" t="str">
        <f t="shared" si="3071"/>
        <v>aceptable</v>
      </c>
      <c r="BB507" s="25" t="str">
        <f t="shared" si="3072"/>
        <v>NO CONFORME</v>
      </c>
      <c r="BC507" s="5" t="str">
        <f t="shared" si="3073"/>
        <v>NO CONFORME</v>
      </c>
      <c r="BD507" s="15">
        <f t="shared" si="3041"/>
        <v>-1</v>
      </c>
      <c r="BE507" s="15">
        <f t="shared" si="3042"/>
        <v>-1</v>
      </c>
      <c r="BF507" s="15">
        <f t="shared" si="3043"/>
        <v>-1</v>
      </c>
      <c r="BG507" s="15" t="str">
        <f t="shared" si="3044"/>
        <v>-1-1-1</v>
      </c>
      <c r="BH507" s="15" t="str">
        <f t="shared" si="3045"/>
        <v>SD</v>
      </c>
      <c r="BI507" s="15" t="str">
        <f t="shared" si="3046"/>
        <v>SI</v>
      </c>
      <c r="BJ507" s="15" t="b">
        <f t="shared" si="3047"/>
        <v>1</v>
      </c>
      <c r="BK507" s="15" t="str">
        <f t="shared" si="3048"/>
        <v>SIGIGUALES</v>
      </c>
      <c r="BL507" s="22" t="str">
        <f t="shared" si="3049"/>
        <v>NO CONFORME</v>
      </c>
    </row>
    <row r="508" spans="1:64" ht="15.75" thickBot="1" x14ac:dyDescent="0.3">
      <c r="A508" s="37">
        <v>500</v>
      </c>
      <c r="B508" s="93">
        <f t="shared" ref="B508:E508" si="3419">B507</f>
        <v>45919</v>
      </c>
      <c r="C508" s="93">
        <f t="shared" si="3419"/>
        <v>45919</v>
      </c>
      <c r="D508" s="94">
        <f t="shared" si="3419"/>
        <v>6</v>
      </c>
      <c r="E508" s="95">
        <f t="shared" si="3419"/>
        <v>15</v>
      </c>
      <c r="F508" s="56"/>
      <c r="G508" s="90"/>
      <c r="H508" s="97">
        <f t="shared" ref="H508:L508" si="3420">H507</f>
        <v>25.6</v>
      </c>
      <c r="I508" s="98">
        <f t="shared" si="3420"/>
        <v>0</v>
      </c>
      <c r="J508" s="99">
        <f t="shared" si="3420"/>
        <v>20.9</v>
      </c>
      <c r="K508" s="99">
        <f t="shared" si="3420"/>
        <v>7.883</v>
      </c>
      <c r="L508" s="99">
        <f t="shared" si="3420"/>
        <v>0.55400000000000005</v>
      </c>
      <c r="M508" s="57"/>
      <c r="N508" s="57"/>
      <c r="O508" s="100">
        <f t="shared" ref="O508:P508" si="3421">O507</f>
        <v>100.62</v>
      </c>
      <c r="P508" s="101" t="str">
        <f t="shared" si="3421"/>
        <v>2,29,560</v>
      </c>
      <c r="Q508" s="11" t="str">
        <f t="shared" si="3053"/>
        <v>2</v>
      </c>
      <c r="R508" s="11" t="str">
        <f t="shared" si="3054"/>
        <v>29,560</v>
      </c>
      <c r="S508" s="11">
        <f t="shared" si="3055"/>
        <v>4.1544444444444446E-2</v>
      </c>
      <c r="T508" s="14">
        <f t="shared" si="3056"/>
        <v>2421.9844878309709</v>
      </c>
      <c r="U508" s="39">
        <f t="shared" si="3030"/>
        <v>-100</v>
      </c>
      <c r="V508" s="105">
        <f t="shared" ref="V508:X508" si="3422">V507</f>
        <v>20.399999999999999</v>
      </c>
      <c r="W508" s="105">
        <f t="shared" si="3422"/>
        <v>1.5069999999999999</v>
      </c>
      <c r="X508" s="106">
        <f t="shared" si="3422"/>
        <v>1.504</v>
      </c>
      <c r="Y508" s="57"/>
      <c r="Z508" s="57"/>
      <c r="AA508" s="107">
        <f t="shared" ref="AA508:AB508" si="3423">AA507</f>
        <v>10.015000000000001</v>
      </c>
      <c r="AB508" s="108" t="str">
        <f t="shared" si="3423"/>
        <v>22,10,090</v>
      </c>
      <c r="AC508" s="11" t="str">
        <f t="shared" si="3059"/>
        <v>22</v>
      </c>
      <c r="AD508" s="11" t="str">
        <f t="shared" si="3060"/>
        <v>10,090</v>
      </c>
      <c r="AE508" s="11">
        <f t="shared" si="3061"/>
        <v>0.36946944444444441</v>
      </c>
      <c r="AF508" s="14">
        <f t="shared" si="3033"/>
        <v>27.106436406558959</v>
      </c>
      <c r="AG508" s="41">
        <f t="shared" si="3079"/>
        <v>-100</v>
      </c>
      <c r="AH508" s="105">
        <f t="shared" ref="AH508:AJ508" si="3424">AH507</f>
        <v>20.3</v>
      </c>
      <c r="AI508" s="105">
        <f t="shared" si="3424"/>
        <v>1.5089999999999999</v>
      </c>
      <c r="AJ508" s="105">
        <f t="shared" si="3424"/>
        <v>1.504</v>
      </c>
      <c r="AK508" s="53">
        <f t="shared" si="3375"/>
        <v>0</v>
      </c>
      <c r="AL508" s="57"/>
      <c r="AM508" s="54">
        <f t="shared" ref="AM508:AN508" si="3425">AM507</f>
        <v>5.0129999999999999</v>
      </c>
      <c r="AN508" s="101" t="str">
        <f t="shared" si="3425"/>
        <v>17,59,050</v>
      </c>
      <c r="AO508" s="11" t="str">
        <f t="shared" si="3064"/>
        <v>17</v>
      </c>
      <c r="AP508" s="11" t="str">
        <f t="shared" si="3065"/>
        <v>59,050</v>
      </c>
      <c r="AQ508" s="11">
        <f t="shared" si="3066"/>
        <v>0.29973611111111109</v>
      </c>
      <c r="AR508" s="14">
        <f t="shared" si="3036"/>
        <v>16.724711551827998</v>
      </c>
      <c r="AS508" s="41">
        <f t="shared" si="3037"/>
        <v>-100</v>
      </c>
      <c r="AT508" s="43" t="str">
        <f t="shared" si="3038"/>
        <v>NO CONFORME</v>
      </c>
      <c r="AU508" s="8" t="b">
        <f t="shared" si="3067"/>
        <v>1</v>
      </c>
      <c r="AV508" s="8" t="b">
        <f t="shared" si="3068"/>
        <v>0</v>
      </c>
      <c r="AW508" s="8" t="b">
        <f t="shared" si="3069"/>
        <v>1</v>
      </c>
      <c r="AX508" s="8" t="str">
        <f t="shared" si="3070"/>
        <v>Qcorrecto</v>
      </c>
      <c r="AY508" s="22" t="str">
        <f t="shared" si="3039"/>
        <v>aceptable</v>
      </c>
      <c r="AZ508" s="22" t="str">
        <f t="shared" si="3040"/>
        <v>aceptable</v>
      </c>
      <c r="BA508" s="22" t="str">
        <f t="shared" si="3071"/>
        <v>aceptable</v>
      </c>
      <c r="BB508" s="25" t="str">
        <f t="shared" si="3072"/>
        <v>NO CONFORME</v>
      </c>
      <c r="BC508" s="5" t="str">
        <f t="shared" si="3073"/>
        <v>NO CONFORME</v>
      </c>
      <c r="BD508" s="15">
        <f t="shared" si="3041"/>
        <v>-1</v>
      </c>
      <c r="BE508" s="15">
        <f t="shared" si="3042"/>
        <v>-1</v>
      </c>
      <c r="BF508" s="15">
        <f t="shared" si="3043"/>
        <v>-1</v>
      </c>
      <c r="BG508" s="15" t="str">
        <f t="shared" si="3044"/>
        <v>-1-1-1</v>
      </c>
      <c r="BH508" s="15" t="str">
        <f t="shared" si="3045"/>
        <v>SD</v>
      </c>
      <c r="BI508" s="15" t="str">
        <f t="shared" si="3046"/>
        <v>SI</v>
      </c>
      <c r="BJ508" s="15" t="b">
        <f t="shared" si="3047"/>
        <v>1</v>
      </c>
      <c r="BK508" s="15" t="str">
        <f t="shared" si="3048"/>
        <v>SIGIGUALES</v>
      </c>
      <c r="BL508" s="22" t="str">
        <f t="shared" si="3049"/>
        <v>NO CONFORME</v>
      </c>
    </row>
    <row r="509" spans="1:64" ht="15.75" thickBot="1" x14ac:dyDescent="0.3">
      <c r="A509" s="37">
        <v>501</v>
      </c>
      <c r="B509" s="93">
        <f t="shared" ref="B509:E509" si="3426">B508</f>
        <v>45919</v>
      </c>
      <c r="C509" s="93">
        <f t="shared" si="3426"/>
        <v>45919</v>
      </c>
      <c r="D509" s="94">
        <f t="shared" si="3426"/>
        <v>6</v>
      </c>
      <c r="E509" s="95">
        <f t="shared" si="3426"/>
        <v>15</v>
      </c>
      <c r="F509" s="13"/>
      <c r="G509" s="90"/>
      <c r="H509" s="97">
        <f t="shared" ref="H509:L509" si="3427">H508</f>
        <v>25.6</v>
      </c>
      <c r="I509" s="98">
        <f t="shared" si="3427"/>
        <v>0</v>
      </c>
      <c r="J509" s="99">
        <f t="shared" si="3427"/>
        <v>20.9</v>
      </c>
      <c r="K509" s="99">
        <f t="shared" si="3427"/>
        <v>7.883</v>
      </c>
      <c r="L509" s="99">
        <f t="shared" si="3427"/>
        <v>0.55400000000000005</v>
      </c>
      <c r="M509" s="45"/>
      <c r="N509" s="45"/>
      <c r="O509" s="100">
        <f t="shared" ref="O509:P509" si="3428">O508</f>
        <v>100.62</v>
      </c>
      <c r="P509" s="101" t="str">
        <f t="shared" si="3428"/>
        <v>2,29,560</v>
      </c>
      <c r="Q509" s="11" t="str">
        <f t="shared" ref="Q509" si="3429">LEFT(P509,1)</f>
        <v>2</v>
      </c>
      <c r="R509" s="11" t="str">
        <f t="shared" ref="R509" si="3430">RIGHT(P509,6)</f>
        <v>29,560</v>
      </c>
      <c r="S509" s="11">
        <f t="shared" ref="S509" si="3431">+(Q509*60+R509)/(60*60)</f>
        <v>4.1544444444444446E-2</v>
      </c>
      <c r="T509" s="14">
        <f t="shared" ref="T509" si="3432">+O509/S509</f>
        <v>2421.9844878309709</v>
      </c>
      <c r="U509" s="39">
        <f t="shared" ref="U509" si="3433">+(((N509-M509-O509)/O509)*100)</f>
        <v>-100</v>
      </c>
      <c r="V509" s="105">
        <f t="shared" ref="V509:X509" si="3434">V508</f>
        <v>20.399999999999999</v>
      </c>
      <c r="W509" s="105">
        <f t="shared" si="3434"/>
        <v>1.5069999999999999</v>
      </c>
      <c r="X509" s="106">
        <f t="shared" si="3434"/>
        <v>1.504</v>
      </c>
      <c r="Y509" s="45"/>
      <c r="Z509" s="45"/>
      <c r="AA509" s="107">
        <f t="shared" ref="AA509:AB509" si="3435">AA508</f>
        <v>10.015000000000001</v>
      </c>
      <c r="AB509" s="108" t="str">
        <f t="shared" si="3435"/>
        <v>22,10,090</v>
      </c>
      <c r="AC509" s="11" t="str">
        <f t="shared" ref="AC509" si="3436">LEFT(AB509,2)</f>
        <v>22</v>
      </c>
      <c r="AD509" s="11" t="str">
        <f t="shared" ref="AD509" si="3437">RIGHT(AB509,6)</f>
        <v>10,090</v>
      </c>
      <c r="AE509" s="11">
        <f t="shared" ref="AE509" si="3438">+(AC509*60+AD509)/(60*60)</f>
        <v>0.36946944444444441</v>
      </c>
      <c r="AF509" s="14">
        <f t="shared" ref="AF509" si="3439">+AA509/AE509</f>
        <v>27.106436406558959</v>
      </c>
      <c r="AG509" s="41">
        <f t="shared" ref="AG509" si="3440">+(((Z509-Y509-AA509)/AA509)*100)</f>
        <v>-100</v>
      </c>
      <c r="AH509" s="105">
        <f t="shared" ref="AH509:AJ509" si="3441">AH508</f>
        <v>20.3</v>
      </c>
      <c r="AI509" s="105">
        <f t="shared" si="3441"/>
        <v>1.5089999999999999</v>
      </c>
      <c r="AJ509" s="105">
        <f t="shared" si="3441"/>
        <v>1.504</v>
      </c>
      <c r="AK509" s="53">
        <f t="shared" si="3375"/>
        <v>0</v>
      </c>
      <c r="AL509" s="45"/>
      <c r="AM509" s="54">
        <f t="shared" ref="AM509:AN509" si="3442">AM508</f>
        <v>5.0129999999999999</v>
      </c>
      <c r="AN509" s="101" t="str">
        <f t="shared" si="3442"/>
        <v>17,59,050</v>
      </c>
      <c r="AO509" s="11" t="str">
        <f t="shared" ref="AO509" si="3443">LEFT(AN509,2)</f>
        <v>17</v>
      </c>
      <c r="AP509" s="11" t="str">
        <f t="shared" ref="AP509" si="3444">RIGHT(AN509,6)</f>
        <v>59,050</v>
      </c>
      <c r="AQ509" s="11">
        <f t="shared" ref="AQ509" si="3445">+(AO509*60+AP509)/(60*60)</f>
        <v>0.29973611111111109</v>
      </c>
      <c r="AR509" s="14">
        <f t="shared" ref="AR509" si="3446">+AM509/AQ509</f>
        <v>16.724711551827998</v>
      </c>
      <c r="AS509" s="41">
        <f t="shared" ref="AS509" si="3447">+(((AL509-AK509-AM509)/AM509)*100)</f>
        <v>-100</v>
      </c>
      <c r="AT509" s="43" t="str">
        <f t="shared" ref="AT509" si="3448">IF(I509&gt;=1,"NO CONFORME",IF(BK509="SIGDIFERENTES",BC509,BL509))</f>
        <v>NO CONFORME</v>
      </c>
      <c r="AU509" s="8" t="b">
        <f t="shared" si="3067"/>
        <v>1</v>
      </c>
      <c r="AV509" s="8" t="b">
        <f>N509&lt;Y509</f>
        <v>0</v>
      </c>
      <c r="AW509" s="8" t="b">
        <f>Z509&lt;=AK509</f>
        <v>1</v>
      </c>
      <c r="AX509" s="8" t="str">
        <f>IF(I509&gt;=1,"Qcorrecto",IF(AND(AY509="aceptable",AZ509="aceptable",BA509="aceptable"),"Qcorrecto","Qincorrecto"))</f>
        <v>Qcorrecto</v>
      </c>
      <c r="AY509" s="22" t="str">
        <f t="shared" si="3039"/>
        <v>aceptable</v>
      </c>
      <c r="AZ509" s="22" t="str">
        <f t="shared" si="3040"/>
        <v>aceptable</v>
      </c>
      <c r="BA509" s="22" t="str">
        <f>IF(T509&lt;$J$6*0.9,"error",IF(T509&gt;$J$6,"error","aceptable"))</f>
        <v>aceptable</v>
      </c>
      <c r="BB509" s="25" t="str">
        <f t="shared" si="3072"/>
        <v>NO CONFORME</v>
      </c>
      <c r="BC509" s="5" t="str">
        <f t="shared" si="3073"/>
        <v>NO CONFORME</v>
      </c>
      <c r="BD509" s="15">
        <f t="shared" si="3041"/>
        <v>-1</v>
      </c>
      <c r="BE509" s="15">
        <f t="shared" si="3042"/>
        <v>-1</v>
      </c>
      <c r="BF509" s="15">
        <f t="shared" si="3043"/>
        <v>-1</v>
      </c>
      <c r="BG509" s="15" t="str">
        <f t="shared" si="3044"/>
        <v>-1-1-1</v>
      </c>
      <c r="BH509" s="15" t="str">
        <f t="shared" si="3045"/>
        <v>SD</v>
      </c>
      <c r="BI509" s="15" t="str">
        <f t="shared" si="3046"/>
        <v>SI</v>
      </c>
      <c r="BJ509" s="15" t="b">
        <f t="shared" si="3047"/>
        <v>1</v>
      </c>
      <c r="BK509" s="15" t="str">
        <f t="shared" si="3048"/>
        <v>SIGIGUALES</v>
      </c>
      <c r="BL509" s="26" t="str">
        <f t="shared" si="3049"/>
        <v>NO CONFORME</v>
      </c>
    </row>
    <row r="510" spans="1:64" ht="15.75" thickBot="1" x14ac:dyDescent="0.3">
      <c r="A510" s="37">
        <v>502</v>
      </c>
      <c r="B510" s="93">
        <f t="shared" ref="B510:E510" si="3449">B509</f>
        <v>45919</v>
      </c>
      <c r="C510" s="93">
        <f t="shared" si="3449"/>
        <v>45919</v>
      </c>
      <c r="D510" s="94">
        <f t="shared" si="3449"/>
        <v>6</v>
      </c>
      <c r="E510" s="95">
        <f t="shared" si="3449"/>
        <v>15</v>
      </c>
      <c r="F510" s="58"/>
      <c r="G510" s="90"/>
      <c r="H510" s="97">
        <f t="shared" ref="H510:L510" si="3450">H509</f>
        <v>25.6</v>
      </c>
      <c r="I510" s="98">
        <f t="shared" si="3450"/>
        <v>0</v>
      </c>
      <c r="J510" s="99">
        <f t="shared" si="3450"/>
        <v>20.9</v>
      </c>
      <c r="K510" s="99">
        <f t="shared" si="3450"/>
        <v>7.883</v>
      </c>
      <c r="L510" s="99">
        <f t="shared" si="3450"/>
        <v>0.55400000000000005</v>
      </c>
      <c r="M510" s="59"/>
      <c r="N510" s="59"/>
      <c r="O510" s="100">
        <f t="shared" ref="O510:P510" si="3451">O509</f>
        <v>100.62</v>
      </c>
      <c r="P510" s="101" t="str">
        <f t="shared" si="3451"/>
        <v>2,29,560</v>
      </c>
      <c r="Q510" s="11" t="str">
        <f t="shared" ref="Q510:Q573" si="3452">LEFT(P510,1)</f>
        <v>2</v>
      </c>
      <c r="R510" s="11" t="str">
        <f t="shared" ref="R510:R573" si="3453">RIGHT(P510,6)</f>
        <v>29,560</v>
      </c>
      <c r="S510" s="11">
        <f t="shared" ref="S510:S573" si="3454">+(Q510*60+R510)/(60*60)</f>
        <v>4.1544444444444446E-2</v>
      </c>
      <c r="T510" s="14">
        <f t="shared" ref="T510:T573" si="3455">+O510/S510</f>
        <v>2421.9844878309709</v>
      </c>
      <c r="U510" s="39">
        <f t="shared" si="3030"/>
        <v>-100</v>
      </c>
      <c r="V510" s="105">
        <f t="shared" ref="V510:X510" si="3456">V509</f>
        <v>20.399999999999999</v>
      </c>
      <c r="W510" s="105">
        <f t="shared" si="3456"/>
        <v>1.5069999999999999</v>
      </c>
      <c r="X510" s="106">
        <f t="shared" si="3456"/>
        <v>1.504</v>
      </c>
      <c r="Y510" s="59"/>
      <c r="Z510" s="59"/>
      <c r="AA510" s="107">
        <f t="shared" ref="AA510:AB510" si="3457">AA509</f>
        <v>10.015000000000001</v>
      </c>
      <c r="AB510" s="108" t="str">
        <f t="shared" si="3457"/>
        <v>22,10,090</v>
      </c>
      <c r="AC510" s="11" t="str">
        <f t="shared" ref="AC510:AC573" si="3458">LEFT(AB510,2)</f>
        <v>22</v>
      </c>
      <c r="AD510" s="11" t="str">
        <f t="shared" ref="AD510:AD573" si="3459">RIGHT(AB510,6)</f>
        <v>10,090</v>
      </c>
      <c r="AE510" s="11">
        <f t="shared" ref="AE510:AE573" si="3460">+(AC510*60+AD510)/(60*60)</f>
        <v>0.36946944444444441</v>
      </c>
      <c r="AF510" s="14">
        <f t="shared" si="3033"/>
        <v>27.106436406558959</v>
      </c>
      <c r="AG510" s="41">
        <f>+(((Z510-Y510-AA510)/AA510)*100)</f>
        <v>-100</v>
      </c>
      <c r="AH510" s="105">
        <f t="shared" ref="AH510:AJ510" si="3461">AH509</f>
        <v>20.3</v>
      </c>
      <c r="AI510" s="105">
        <f t="shared" si="3461"/>
        <v>1.5089999999999999</v>
      </c>
      <c r="AJ510" s="105">
        <f t="shared" si="3461"/>
        <v>1.504</v>
      </c>
      <c r="AK510" s="53">
        <f t="shared" si="3375"/>
        <v>0</v>
      </c>
      <c r="AL510" s="59"/>
      <c r="AM510" s="54">
        <f t="shared" ref="AM510:AN510" si="3462">AM509</f>
        <v>5.0129999999999999</v>
      </c>
      <c r="AN510" s="101" t="str">
        <f t="shared" si="3462"/>
        <v>17,59,050</v>
      </c>
      <c r="AO510" s="11" t="str">
        <f t="shared" ref="AO510:AO573" si="3463">LEFT(AN510,2)</f>
        <v>17</v>
      </c>
      <c r="AP510" s="11" t="str">
        <f t="shared" ref="AP510:AP573" si="3464">RIGHT(AN510,6)</f>
        <v>59,050</v>
      </c>
      <c r="AQ510" s="11">
        <f t="shared" ref="AQ510:AQ573" si="3465">+(AO510*60+AP510)/(60*60)</f>
        <v>0.29973611111111109</v>
      </c>
      <c r="AR510" s="14">
        <f t="shared" si="3036"/>
        <v>16.724711551827998</v>
      </c>
      <c r="AS510" s="41">
        <f t="shared" si="3037"/>
        <v>-100</v>
      </c>
      <c r="AT510" s="43" t="str">
        <f t="shared" si="3038"/>
        <v>NO CONFORME</v>
      </c>
      <c r="AU510" s="8" t="b">
        <f t="shared" si="3067"/>
        <v>1</v>
      </c>
      <c r="AV510" s="8" t="b">
        <f t="shared" ref="AV510:AV573" si="3466">N510&lt;Y510</f>
        <v>0</v>
      </c>
      <c r="AW510" s="8" t="b">
        <f t="shared" ref="AW510:AW573" si="3467">Z510&lt;=AK510</f>
        <v>1</v>
      </c>
      <c r="AX510" s="8" t="str">
        <f t="shared" ref="AX510:AX573" si="3468">IF(I510&gt;=1,"Qcorrecto",IF(AND(AY510="aceptable",AZ510="aceptable",BA510="aceptable"),"Qcorrecto","Qincorrecto"))</f>
        <v>Qcorrecto</v>
      </c>
      <c r="AY510" s="22" t="str">
        <f t="shared" si="3039"/>
        <v>aceptable</v>
      </c>
      <c r="AZ510" s="22" t="str">
        <f t="shared" si="3040"/>
        <v>aceptable</v>
      </c>
      <c r="BA510" s="22" t="str">
        <f t="shared" ref="BA510:BA573" si="3469">IF(T510&lt;$J$6*0.9,"error",IF(T510&gt;$J$6,"error","aceptable"))</f>
        <v>aceptable</v>
      </c>
      <c r="BB510" s="25" t="str">
        <f t="shared" si="3072"/>
        <v>NO CONFORME</v>
      </c>
      <c r="BC510" s="5" t="str">
        <f t="shared" si="3073"/>
        <v>NO CONFORME</v>
      </c>
      <c r="BD510" s="15">
        <f t="shared" si="3041"/>
        <v>-1</v>
      </c>
      <c r="BE510" s="15">
        <f t="shared" si="3042"/>
        <v>-1</v>
      </c>
      <c r="BF510" s="15">
        <f t="shared" si="3043"/>
        <v>-1</v>
      </c>
      <c r="BG510" s="15" t="str">
        <f t="shared" si="3044"/>
        <v>-1-1-1</v>
      </c>
      <c r="BH510" s="15" t="str">
        <f t="shared" si="3045"/>
        <v>SD</v>
      </c>
      <c r="BI510" s="15" t="str">
        <f t="shared" si="3046"/>
        <v>SI</v>
      </c>
      <c r="BJ510" s="15" t="b">
        <f t="shared" si="3047"/>
        <v>1</v>
      </c>
      <c r="BK510" s="15" t="str">
        <f t="shared" si="3048"/>
        <v>SIGIGUALES</v>
      </c>
      <c r="BL510" s="22" t="str">
        <f t="shared" si="3049"/>
        <v>NO CONFORME</v>
      </c>
    </row>
    <row r="511" spans="1:64" ht="15.75" thickBot="1" x14ac:dyDescent="0.3">
      <c r="A511" s="37">
        <v>503</v>
      </c>
      <c r="B511" s="93">
        <f t="shared" ref="B511:E511" si="3470">B510</f>
        <v>45919</v>
      </c>
      <c r="C511" s="93">
        <f t="shared" si="3470"/>
        <v>45919</v>
      </c>
      <c r="D511" s="94">
        <f t="shared" si="3470"/>
        <v>6</v>
      </c>
      <c r="E511" s="95">
        <f t="shared" si="3470"/>
        <v>15</v>
      </c>
      <c r="F511" s="13"/>
      <c r="G511" s="90"/>
      <c r="H511" s="97">
        <f t="shared" ref="H511:L511" si="3471">H510</f>
        <v>25.6</v>
      </c>
      <c r="I511" s="98">
        <f t="shared" si="3471"/>
        <v>0</v>
      </c>
      <c r="J511" s="99">
        <f t="shared" si="3471"/>
        <v>20.9</v>
      </c>
      <c r="K511" s="99">
        <f t="shared" si="3471"/>
        <v>7.883</v>
      </c>
      <c r="L511" s="99">
        <f t="shared" si="3471"/>
        <v>0.55400000000000005</v>
      </c>
      <c r="M511" s="45"/>
      <c r="N511" s="45"/>
      <c r="O511" s="100">
        <f t="shared" ref="O511:P511" si="3472">O510</f>
        <v>100.62</v>
      </c>
      <c r="P511" s="101" t="str">
        <f t="shared" si="3472"/>
        <v>2,29,560</v>
      </c>
      <c r="Q511" s="11" t="str">
        <f t="shared" si="3452"/>
        <v>2</v>
      </c>
      <c r="R511" s="11" t="str">
        <f t="shared" si="3453"/>
        <v>29,560</v>
      </c>
      <c r="S511" s="11">
        <f t="shared" si="3454"/>
        <v>4.1544444444444446E-2</v>
      </c>
      <c r="T511" s="14">
        <f t="shared" si="3455"/>
        <v>2421.9844878309709</v>
      </c>
      <c r="U511" s="39">
        <f t="shared" si="3030"/>
        <v>-100</v>
      </c>
      <c r="V511" s="105">
        <f t="shared" ref="V511:X511" si="3473">V510</f>
        <v>20.399999999999999</v>
      </c>
      <c r="W511" s="105">
        <f t="shared" si="3473"/>
        <v>1.5069999999999999</v>
      </c>
      <c r="X511" s="106">
        <f t="shared" si="3473"/>
        <v>1.504</v>
      </c>
      <c r="Y511" s="45"/>
      <c r="Z511" s="45"/>
      <c r="AA511" s="107">
        <f t="shared" ref="AA511:AB511" si="3474">AA510</f>
        <v>10.015000000000001</v>
      </c>
      <c r="AB511" s="108" t="str">
        <f t="shared" si="3474"/>
        <v>22,10,090</v>
      </c>
      <c r="AC511" s="11" t="str">
        <f t="shared" si="3458"/>
        <v>22</v>
      </c>
      <c r="AD511" s="11" t="str">
        <f t="shared" si="3459"/>
        <v>10,090</v>
      </c>
      <c r="AE511" s="11">
        <f t="shared" si="3460"/>
        <v>0.36946944444444441</v>
      </c>
      <c r="AF511" s="14">
        <f t="shared" si="3033"/>
        <v>27.106436406558959</v>
      </c>
      <c r="AG511" s="41">
        <f t="shared" ref="AG511:AG574" si="3475">+(((Z511-Y511-AA511)/AA511)*100)</f>
        <v>-100</v>
      </c>
      <c r="AH511" s="105">
        <f t="shared" ref="AH511:AJ511" si="3476">AH510</f>
        <v>20.3</v>
      </c>
      <c r="AI511" s="105">
        <f t="shared" si="3476"/>
        <v>1.5089999999999999</v>
      </c>
      <c r="AJ511" s="105">
        <f t="shared" si="3476"/>
        <v>1.504</v>
      </c>
      <c r="AK511" s="53">
        <f t="shared" si="3375"/>
        <v>0</v>
      </c>
      <c r="AL511" s="45"/>
      <c r="AM511" s="54">
        <f t="shared" ref="AM511:AN511" si="3477">AM510</f>
        <v>5.0129999999999999</v>
      </c>
      <c r="AN511" s="101" t="str">
        <f t="shared" si="3477"/>
        <v>17,59,050</v>
      </c>
      <c r="AO511" s="11" t="str">
        <f t="shared" si="3463"/>
        <v>17</v>
      </c>
      <c r="AP511" s="11" t="str">
        <f t="shared" si="3464"/>
        <v>59,050</v>
      </c>
      <c r="AQ511" s="11">
        <f t="shared" si="3465"/>
        <v>0.29973611111111109</v>
      </c>
      <c r="AR511" s="14">
        <f t="shared" si="3036"/>
        <v>16.724711551827998</v>
      </c>
      <c r="AS511" s="41">
        <f t="shared" si="3037"/>
        <v>-100</v>
      </c>
      <c r="AT511" s="43" t="str">
        <f t="shared" si="3038"/>
        <v>NO CONFORME</v>
      </c>
      <c r="AU511" s="8" t="b">
        <f t="shared" si="3067"/>
        <v>1</v>
      </c>
      <c r="AV511" s="8" t="b">
        <f t="shared" si="3466"/>
        <v>0</v>
      </c>
      <c r="AW511" s="8" t="b">
        <f t="shared" si="3467"/>
        <v>1</v>
      </c>
      <c r="AX511" s="8" t="str">
        <f t="shared" si="3468"/>
        <v>Qcorrecto</v>
      </c>
      <c r="AY511" s="22" t="str">
        <f t="shared" si="3039"/>
        <v>aceptable</v>
      </c>
      <c r="AZ511" s="22" t="str">
        <f t="shared" si="3040"/>
        <v>aceptable</v>
      </c>
      <c r="BA511" s="22" t="str">
        <f t="shared" si="3469"/>
        <v>aceptable</v>
      </c>
      <c r="BB511" s="25" t="str">
        <f t="shared" si="3072"/>
        <v>NO CONFORME</v>
      </c>
      <c r="BC511" s="5" t="str">
        <f t="shared" si="3073"/>
        <v>NO CONFORME</v>
      </c>
      <c r="BD511" s="15">
        <f t="shared" si="3041"/>
        <v>-1</v>
      </c>
      <c r="BE511" s="15">
        <f t="shared" si="3042"/>
        <v>-1</v>
      </c>
      <c r="BF511" s="15">
        <f t="shared" si="3043"/>
        <v>-1</v>
      </c>
      <c r="BG511" s="15" t="str">
        <f t="shared" si="3044"/>
        <v>-1-1-1</v>
      </c>
      <c r="BH511" s="15" t="str">
        <f t="shared" si="3045"/>
        <v>SD</v>
      </c>
      <c r="BI511" s="15" t="str">
        <f t="shared" si="3046"/>
        <v>SI</v>
      </c>
      <c r="BJ511" s="15" t="b">
        <f t="shared" si="3047"/>
        <v>1</v>
      </c>
      <c r="BK511" s="15" t="str">
        <f t="shared" si="3048"/>
        <v>SIGIGUALES</v>
      </c>
      <c r="BL511" s="22" t="str">
        <f t="shared" si="3049"/>
        <v>NO CONFORME</v>
      </c>
    </row>
    <row r="512" spans="1:64" ht="15.75" thickBot="1" x14ac:dyDescent="0.3">
      <c r="A512" s="37">
        <v>504</v>
      </c>
      <c r="B512" s="93">
        <f t="shared" ref="B512:E512" si="3478">B511</f>
        <v>45919</v>
      </c>
      <c r="C512" s="93">
        <f t="shared" si="3478"/>
        <v>45919</v>
      </c>
      <c r="D512" s="94">
        <f t="shared" si="3478"/>
        <v>6</v>
      </c>
      <c r="E512" s="95">
        <f t="shared" si="3478"/>
        <v>15</v>
      </c>
      <c r="F512" s="13"/>
      <c r="G512" s="90"/>
      <c r="H512" s="97">
        <f t="shared" ref="H512:L512" si="3479">H511</f>
        <v>25.6</v>
      </c>
      <c r="I512" s="98">
        <f t="shared" si="3479"/>
        <v>0</v>
      </c>
      <c r="J512" s="99">
        <f t="shared" si="3479"/>
        <v>20.9</v>
      </c>
      <c r="K512" s="99">
        <f t="shared" si="3479"/>
        <v>7.883</v>
      </c>
      <c r="L512" s="99">
        <f t="shared" si="3479"/>
        <v>0.55400000000000005</v>
      </c>
      <c r="M512" s="45"/>
      <c r="N512" s="45"/>
      <c r="O512" s="100">
        <f t="shared" ref="O512:P512" si="3480">O511</f>
        <v>100.62</v>
      </c>
      <c r="P512" s="101" t="str">
        <f t="shared" si="3480"/>
        <v>2,29,560</v>
      </c>
      <c r="Q512" s="11" t="str">
        <f t="shared" si="3452"/>
        <v>2</v>
      </c>
      <c r="R512" s="11" t="str">
        <f t="shared" si="3453"/>
        <v>29,560</v>
      </c>
      <c r="S512" s="11">
        <f t="shared" si="3454"/>
        <v>4.1544444444444446E-2</v>
      </c>
      <c r="T512" s="14">
        <f t="shared" si="3455"/>
        <v>2421.9844878309709</v>
      </c>
      <c r="U512" s="39">
        <f t="shared" si="3030"/>
        <v>-100</v>
      </c>
      <c r="V512" s="105">
        <f t="shared" ref="V512:X512" si="3481">V511</f>
        <v>20.399999999999999</v>
      </c>
      <c r="W512" s="105">
        <f t="shared" si="3481"/>
        <v>1.5069999999999999</v>
      </c>
      <c r="X512" s="106">
        <f t="shared" si="3481"/>
        <v>1.504</v>
      </c>
      <c r="Y512" s="45"/>
      <c r="Z512" s="45"/>
      <c r="AA512" s="107">
        <f t="shared" ref="AA512:AB512" si="3482">AA511</f>
        <v>10.015000000000001</v>
      </c>
      <c r="AB512" s="108" t="str">
        <f t="shared" si="3482"/>
        <v>22,10,090</v>
      </c>
      <c r="AC512" s="11" t="str">
        <f t="shared" si="3458"/>
        <v>22</v>
      </c>
      <c r="AD512" s="11" t="str">
        <f t="shared" si="3459"/>
        <v>10,090</v>
      </c>
      <c r="AE512" s="11">
        <f t="shared" si="3460"/>
        <v>0.36946944444444441</v>
      </c>
      <c r="AF512" s="14">
        <f t="shared" si="3033"/>
        <v>27.106436406558959</v>
      </c>
      <c r="AG512" s="41">
        <f t="shared" si="3475"/>
        <v>-100</v>
      </c>
      <c r="AH512" s="105">
        <f t="shared" ref="AH512:AJ512" si="3483">AH511</f>
        <v>20.3</v>
      </c>
      <c r="AI512" s="105">
        <f t="shared" si="3483"/>
        <v>1.5089999999999999</v>
      </c>
      <c r="AJ512" s="105">
        <f t="shared" si="3483"/>
        <v>1.504</v>
      </c>
      <c r="AK512" s="53">
        <f t="shared" si="3375"/>
        <v>0</v>
      </c>
      <c r="AL512" s="45"/>
      <c r="AM512" s="54">
        <f t="shared" ref="AM512:AN512" si="3484">AM511</f>
        <v>5.0129999999999999</v>
      </c>
      <c r="AN512" s="101" t="str">
        <f t="shared" si="3484"/>
        <v>17,59,050</v>
      </c>
      <c r="AO512" s="11" t="str">
        <f t="shared" si="3463"/>
        <v>17</v>
      </c>
      <c r="AP512" s="11" t="str">
        <f t="shared" si="3464"/>
        <v>59,050</v>
      </c>
      <c r="AQ512" s="11">
        <f t="shared" si="3465"/>
        <v>0.29973611111111109</v>
      </c>
      <c r="AR512" s="14">
        <f t="shared" si="3036"/>
        <v>16.724711551827998</v>
      </c>
      <c r="AS512" s="41">
        <f t="shared" si="3037"/>
        <v>-100</v>
      </c>
      <c r="AT512" s="43" t="str">
        <f t="shared" si="3038"/>
        <v>NO CONFORME</v>
      </c>
      <c r="AU512" s="8" t="b">
        <f t="shared" si="3067"/>
        <v>1</v>
      </c>
      <c r="AV512" s="8" t="b">
        <f t="shared" si="3466"/>
        <v>0</v>
      </c>
      <c r="AW512" s="8" t="b">
        <f t="shared" si="3467"/>
        <v>1</v>
      </c>
      <c r="AX512" s="8" t="str">
        <f t="shared" si="3468"/>
        <v>Qcorrecto</v>
      </c>
      <c r="AY512" s="22" t="str">
        <f t="shared" si="3039"/>
        <v>aceptable</v>
      </c>
      <c r="AZ512" s="22" t="str">
        <f t="shared" si="3040"/>
        <v>aceptable</v>
      </c>
      <c r="BA512" s="22" t="str">
        <f t="shared" si="3469"/>
        <v>aceptable</v>
      </c>
      <c r="BB512" s="25" t="str">
        <f t="shared" si="3072"/>
        <v>NO CONFORME</v>
      </c>
      <c r="BC512" s="5" t="str">
        <f t="shared" si="3073"/>
        <v>NO CONFORME</v>
      </c>
      <c r="BD512" s="15">
        <f t="shared" si="3041"/>
        <v>-1</v>
      </c>
      <c r="BE512" s="15">
        <f t="shared" si="3042"/>
        <v>-1</v>
      </c>
      <c r="BF512" s="15">
        <f t="shared" si="3043"/>
        <v>-1</v>
      </c>
      <c r="BG512" s="15" t="str">
        <f t="shared" si="3044"/>
        <v>-1-1-1</v>
      </c>
      <c r="BH512" s="15" t="str">
        <f t="shared" si="3045"/>
        <v>SD</v>
      </c>
      <c r="BI512" s="15" t="str">
        <f t="shared" si="3046"/>
        <v>SI</v>
      </c>
      <c r="BJ512" s="15" t="b">
        <f t="shared" si="3047"/>
        <v>1</v>
      </c>
      <c r="BK512" s="15" t="str">
        <f t="shared" si="3048"/>
        <v>SIGIGUALES</v>
      </c>
      <c r="BL512" s="22" t="str">
        <f t="shared" si="3049"/>
        <v>NO CONFORME</v>
      </c>
    </row>
    <row r="513" spans="1:64" ht="15.75" thickBot="1" x14ac:dyDescent="0.3">
      <c r="A513" s="37">
        <v>505</v>
      </c>
      <c r="B513" s="93">
        <f t="shared" ref="B513:E513" si="3485">B512</f>
        <v>45919</v>
      </c>
      <c r="C513" s="93">
        <f t="shared" si="3485"/>
        <v>45919</v>
      </c>
      <c r="D513" s="94">
        <f t="shared" si="3485"/>
        <v>6</v>
      </c>
      <c r="E513" s="95">
        <f t="shared" si="3485"/>
        <v>15</v>
      </c>
      <c r="F513" s="13"/>
      <c r="G513" s="90"/>
      <c r="H513" s="97">
        <f t="shared" ref="H513:L513" si="3486">H512</f>
        <v>25.6</v>
      </c>
      <c r="I513" s="98">
        <f t="shared" si="3486"/>
        <v>0</v>
      </c>
      <c r="J513" s="99">
        <f t="shared" si="3486"/>
        <v>20.9</v>
      </c>
      <c r="K513" s="99">
        <f t="shared" si="3486"/>
        <v>7.883</v>
      </c>
      <c r="L513" s="99">
        <f t="shared" si="3486"/>
        <v>0.55400000000000005</v>
      </c>
      <c r="M513" s="45"/>
      <c r="N513" s="45"/>
      <c r="O513" s="100">
        <f t="shared" ref="O513:P513" si="3487">O512</f>
        <v>100.62</v>
      </c>
      <c r="P513" s="101" t="str">
        <f t="shared" si="3487"/>
        <v>2,29,560</v>
      </c>
      <c r="Q513" s="11" t="str">
        <f t="shared" si="3452"/>
        <v>2</v>
      </c>
      <c r="R513" s="11" t="str">
        <f t="shared" si="3453"/>
        <v>29,560</v>
      </c>
      <c r="S513" s="11">
        <f t="shared" si="3454"/>
        <v>4.1544444444444446E-2</v>
      </c>
      <c r="T513" s="14">
        <f t="shared" si="3455"/>
        <v>2421.9844878309709</v>
      </c>
      <c r="U513" s="39">
        <f t="shared" si="3030"/>
        <v>-100</v>
      </c>
      <c r="V513" s="105">
        <f t="shared" ref="V513:X513" si="3488">V512</f>
        <v>20.399999999999999</v>
      </c>
      <c r="W513" s="105">
        <f t="shared" si="3488"/>
        <v>1.5069999999999999</v>
      </c>
      <c r="X513" s="106">
        <f t="shared" si="3488"/>
        <v>1.504</v>
      </c>
      <c r="Y513" s="45"/>
      <c r="Z513" s="45"/>
      <c r="AA513" s="107">
        <f t="shared" ref="AA513:AB513" si="3489">AA512</f>
        <v>10.015000000000001</v>
      </c>
      <c r="AB513" s="108" t="str">
        <f t="shared" si="3489"/>
        <v>22,10,090</v>
      </c>
      <c r="AC513" s="11" t="str">
        <f t="shared" si="3458"/>
        <v>22</v>
      </c>
      <c r="AD513" s="11" t="str">
        <f t="shared" si="3459"/>
        <v>10,090</v>
      </c>
      <c r="AE513" s="11">
        <f t="shared" si="3460"/>
        <v>0.36946944444444441</v>
      </c>
      <c r="AF513" s="14">
        <f t="shared" si="3033"/>
        <v>27.106436406558959</v>
      </c>
      <c r="AG513" s="41">
        <f t="shared" si="3475"/>
        <v>-100</v>
      </c>
      <c r="AH513" s="105">
        <f t="shared" ref="AH513:AJ513" si="3490">AH512</f>
        <v>20.3</v>
      </c>
      <c r="AI513" s="105">
        <f t="shared" si="3490"/>
        <v>1.5089999999999999</v>
      </c>
      <c r="AJ513" s="105">
        <f t="shared" si="3490"/>
        <v>1.504</v>
      </c>
      <c r="AK513" s="53">
        <f t="shared" si="3375"/>
        <v>0</v>
      </c>
      <c r="AL513" s="45"/>
      <c r="AM513" s="54">
        <f t="shared" ref="AM513:AN513" si="3491">AM512</f>
        <v>5.0129999999999999</v>
      </c>
      <c r="AN513" s="101" t="str">
        <f t="shared" si="3491"/>
        <v>17,59,050</v>
      </c>
      <c r="AO513" s="11" t="str">
        <f t="shared" si="3463"/>
        <v>17</v>
      </c>
      <c r="AP513" s="11" t="str">
        <f t="shared" si="3464"/>
        <v>59,050</v>
      </c>
      <c r="AQ513" s="11">
        <f t="shared" si="3465"/>
        <v>0.29973611111111109</v>
      </c>
      <c r="AR513" s="14">
        <f t="shared" si="3036"/>
        <v>16.724711551827998</v>
      </c>
      <c r="AS513" s="41">
        <f t="shared" si="3037"/>
        <v>-100</v>
      </c>
      <c r="AT513" s="43" t="str">
        <f t="shared" si="3038"/>
        <v>NO CONFORME</v>
      </c>
      <c r="AU513" s="8" t="b">
        <f t="shared" si="3067"/>
        <v>1</v>
      </c>
      <c r="AV513" s="8" t="b">
        <f t="shared" si="3466"/>
        <v>0</v>
      </c>
      <c r="AW513" s="8" t="b">
        <f t="shared" si="3467"/>
        <v>1</v>
      </c>
      <c r="AX513" s="8" t="str">
        <f t="shared" si="3468"/>
        <v>Qcorrecto</v>
      </c>
      <c r="AY513" s="22" t="str">
        <f t="shared" si="3039"/>
        <v>aceptable</v>
      </c>
      <c r="AZ513" s="22" t="str">
        <f t="shared" si="3040"/>
        <v>aceptable</v>
      </c>
      <c r="BA513" s="22" t="str">
        <f t="shared" si="3469"/>
        <v>aceptable</v>
      </c>
      <c r="BB513" s="25" t="str">
        <f t="shared" si="3072"/>
        <v>NO CONFORME</v>
      </c>
      <c r="BC513" s="5" t="str">
        <f t="shared" si="3073"/>
        <v>NO CONFORME</v>
      </c>
      <c r="BD513" s="15">
        <f t="shared" si="3041"/>
        <v>-1</v>
      </c>
      <c r="BE513" s="15">
        <f t="shared" si="3042"/>
        <v>-1</v>
      </c>
      <c r="BF513" s="15">
        <f t="shared" si="3043"/>
        <v>-1</v>
      </c>
      <c r="BG513" s="15" t="str">
        <f t="shared" si="3044"/>
        <v>-1-1-1</v>
      </c>
      <c r="BH513" s="15" t="str">
        <f t="shared" si="3045"/>
        <v>SD</v>
      </c>
      <c r="BI513" s="15" t="str">
        <f t="shared" si="3046"/>
        <v>SI</v>
      </c>
      <c r="BJ513" s="15" t="b">
        <f t="shared" si="3047"/>
        <v>1</v>
      </c>
      <c r="BK513" s="15" t="str">
        <f t="shared" si="3048"/>
        <v>SIGIGUALES</v>
      </c>
      <c r="BL513" s="22" t="str">
        <f t="shared" si="3049"/>
        <v>NO CONFORME</v>
      </c>
    </row>
    <row r="514" spans="1:64" ht="15.75" thickBot="1" x14ac:dyDescent="0.3">
      <c r="A514" s="37">
        <v>506</v>
      </c>
      <c r="B514" s="93">
        <f t="shared" ref="B514:E514" si="3492">B513</f>
        <v>45919</v>
      </c>
      <c r="C514" s="93">
        <f t="shared" si="3492"/>
        <v>45919</v>
      </c>
      <c r="D514" s="94">
        <f t="shared" si="3492"/>
        <v>6</v>
      </c>
      <c r="E514" s="95">
        <f t="shared" si="3492"/>
        <v>15</v>
      </c>
      <c r="F514" s="13"/>
      <c r="G514" s="90"/>
      <c r="H514" s="97">
        <f t="shared" ref="H514:L514" si="3493">H513</f>
        <v>25.6</v>
      </c>
      <c r="I514" s="98">
        <f t="shared" si="3493"/>
        <v>0</v>
      </c>
      <c r="J514" s="99">
        <f t="shared" si="3493"/>
        <v>20.9</v>
      </c>
      <c r="K514" s="99">
        <f t="shared" si="3493"/>
        <v>7.883</v>
      </c>
      <c r="L514" s="99">
        <f t="shared" si="3493"/>
        <v>0.55400000000000005</v>
      </c>
      <c r="M514" s="45"/>
      <c r="N514" s="45"/>
      <c r="O514" s="100">
        <f t="shared" ref="O514:P514" si="3494">O513</f>
        <v>100.62</v>
      </c>
      <c r="P514" s="101" t="str">
        <f t="shared" si="3494"/>
        <v>2,29,560</v>
      </c>
      <c r="Q514" s="11" t="str">
        <f t="shared" si="3452"/>
        <v>2</v>
      </c>
      <c r="R514" s="11" t="str">
        <f t="shared" si="3453"/>
        <v>29,560</v>
      </c>
      <c r="S514" s="11">
        <f t="shared" si="3454"/>
        <v>4.1544444444444446E-2</v>
      </c>
      <c r="T514" s="14">
        <f t="shared" si="3455"/>
        <v>2421.9844878309709</v>
      </c>
      <c r="U514" s="39">
        <f t="shared" si="3030"/>
        <v>-100</v>
      </c>
      <c r="V514" s="105">
        <f t="shared" ref="V514:X514" si="3495">V513</f>
        <v>20.399999999999999</v>
      </c>
      <c r="W514" s="105">
        <f t="shared" si="3495"/>
        <v>1.5069999999999999</v>
      </c>
      <c r="X514" s="106">
        <f t="shared" si="3495"/>
        <v>1.504</v>
      </c>
      <c r="Y514" s="45"/>
      <c r="Z514" s="45"/>
      <c r="AA514" s="107">
        <f t="shared" ref="AA514:AB514" si="3496">AA513</f>
        <v>10.015000000000001</v>
      </c>
      <c r="AB514" s="108" t="str">
        <f t="shared" si="3496"/>
        <v>22,10,090</v>
      </c>
      <c r="AC514" s="11" t="str">
        <f t="shared" si="3458"/>
        <v>22</v>
      </c>
      <c r="AD514" s="11" t="str">
        <f t="shared" si="3459"/>
        <v>10,090</v>
      </c>
      <c r="AE514" s="11">
        <f t="shared" si="3460"/>
        <v>0.36946944444444441</v>
      </c>
      <c r="AF514" s="14">
        <f t="shared" si="3033"/>
        <v>27.106436406558959</v>
      </c>
      <c r="AG514" s="41">
        <f t="shared" si="3475"/>
        <v>-100</v>
      </c>
      <c r="AH514" s="105">
        <f t="shared" ref="AH514:AJ514" si="3497">AH513</f>
        <v>20.3</v>
      </c>
      <c r="AI514" s="105">
        <f t="shared" si="3497"/>
        <v>1.5089999999999999</v>
      </c>
      <c r="AJ514" s="105">
        <f t="shared" si="3497"/>
        <v>1.504</v>
      </c>
      <c r="AK514" s="53">
        <f t="shared" si="3375"/>
        <v>0</v>
      </c>
      <c r="AL514" s="45"/>
      <c r="AM514" s="54">
        <f t="shared" ref="AM514:AN514" si="3498">AM513</f>
        <v>5.0129999999999999</v>
      </c>
      <c r="AN514" s="101" t="str">
        <f t="shared" si="3498"/>
        <v>17,59,050</v>
      </c>
      <c r="AO514" s="11" t="str">
        <f t="shared" si="3463"/>
        <v>17</v>
      </c>
      <c r="AP514" s="11" t="str">
        <f t="shared" si="3464"/>
        <v>59,050</v>
      </c>
      <c r="AQ514" s="11">
        <f t="shared" si="3465"/>
        <v>0.29973611111111109</v>
      </c>
      <c r="AR514" s="14">
        <f t="shared" si="3036"/>
        <v>16.724711551827998</v>
      </c>
      <c r="AS514" s="41">
        <f t="shared" si="3037"/>
        <v>-100</v>
      </c>
      <c r="AT514" s="43" t="str">
        <f t="shared" si="3038"/>
        <v>NO CONFORME</v>
      </c>
      <c r="AU514" s="8" t="b">
        <f t="shared" si="3067"/>
        <v>1</v>
      </c>
      <c r="AV514" s="8" t="b">
        <f t="shared" si="3466"/>
        <v>0</v>
      </c>
      <c r="AW514" s="8" t="b">
        <f t="shared" si="3467"/>
        <v>1</v>
      </c>
      <c r="AX514" s="8" t="str">
        <f t="shared" si="3468"/>
        <v>Qcorrecto</v>
      </c>
      <c r="AY514" s="22" t="str">
        <f t="shared" si="3039"/>
        <v>aceptable</v>
      </c>
      <c r="AZ514" s="22" t="str">
        <f t="shared" si="3040"/>
        <v>aceptable</v>
      </c>
      <c r="BA514" s="22" t="str">
        <f t="shared" si="3469"/>
        <v>aceptable</v>
      </c>
      <c r="BB514" s="25" t="str">
        <f t="shared" si="3072"/>
        <v>NO CONFORME</v>
      </c>
      <c r="BC514" s="5" t="str">
        <f t="shared" si="3073"/>
        <v>NO CONFORME</v>
      </c>
      <c r="BD514" s="15">
        <f t="shared" si="3041"/>
        <v>-1</v>
      </c>
      <c r="BE514" s="15">
        <f t="shared" si="3042"/>
        <v>-1</v>
      </c>
      <c r="BF514" s="15">
        <f t="shared" si="3043"/>
        <v>-1</v>
      </c>
      <c r="BG514" s="15" t="str">
        <f t="shared" si="3044"/>
        <v>-1-1-1</v>
      </c>
      <c r="BH514" s="15" t="str">
        <f t="shared" si="3045"/>
        <v>SD</v>
      </c>
      <c r="BI514" s="15" t="str">
        <f t="shared" si="3046"/>
        <v>SI</v>
      </c>
      <c r="BJ514" s="15" t="b">
        <f t="shared" si="3047"/>
        <v>1</v>
      </c>
      <c r="BK514" s="15" t="str">
        <f t="shared" si="3048"/>
        <v>SIGIGUALES</v>
      </c>
      <c r="BL514" s="22" t="str">
        <f t="shared" si="3049"/>
        <v>NO CONFORME</v>
      </c>
    </row>
    <row r="515" spans="1:64" ht="15.75" thickBot="1" x14ac:dyDescent="0.3">
      <c r="A515" s="37">
        <v>507</v>
      </c>
      <c r="B515" s="93">
        <f t="shared" ref="B515:E515" si="3499">B514</f>
        <v>45919</v>
      </c>
      <c r="C515" s="93">
        <f t="shared" si="3499"/>
        <v>45919</v>
      </c>
      <c r="D515" s="94">
        <f t="shared" si="3499"/>
        <v>6</v>
      </c>
      <c r="E515" s="95">
        <f t="shared" si="3499"/>
        <v>15</v>
      </c>
      <c r="F515" s="13"/>
      <c r="G515" s="90"/>
      <c r="H515" s="97">
        <f t="shared" ref="H515:L515" si="3500">H514</f>
        <v>25.6</v>
      </c>
      <c r="I515" s="98">
        <f t="shared" si="3500"/>
        <v>0</v>
      </c>
      <c r="J515" s="99">
        <f t="shared" si="3500"/>
        <v>20.9</v>
      </c>
      <c r="K515" s="99">
        <f t="shared" si="3500"/>
        <v>7.883</v>
      </c>
      <c r="L515" s="99">
        <f t="shared" si="3500"/>
        <v>0.55400000000000005</v>
      </c>
      <c r="M515" s="45"/>
      <c r="N515" s="45"/>
      <c r="O515" s="100">
        <f t="shared" ref="O515:P515" si="3501">O514</f>
        <v>100.62</v>
      </c>
      <c r="P515" s="101" t="str">
        <f t="shared" si="3501"/>
        <v>2,29,560</v>
      </c>
      <c r="Q515" s="11" t="str">
        <f t="shared" si="3452"/>
        <v>2</v>
      </c>
      <c r="R515" s="11" t="str">
        <f t="shared" si="3453"/>
        <v>29,560</v>
      </c>
      <c r="S515" s="11">
        <f t="shared" si="3454"/>
        <v>4.1544444444444446E-2</v>
      </c>
      <c r="T515" s="14">
        <f t="shared" si="3455"/>
        <v>2421.9844878309709</v>
      </c>
      <c r="U515" s="39">
        <f t="shared" si="3030"/>
        <v>-100</v>
      </c>
      <c r="V515" s="105">
        <f t="shared" ref="V515:X515" si="3502">V514</f>
        <v>20.399999999999999</v>
      </c>
      <c r="W515" s="105">
        <f t="shared" si="3502"/>
        <v>1.5069999999999999</v>
      </c>
      <c r="X515" s="106">
        <f t="shared" si="3502"/>
        <v>1.504</v>
      </c>
      <c r="Y515" s="45"/>
      <c r="Z515" s="45"/>
      <c r="AA515" s="107">
        <f t="shared" ref="AA515:AB515" si="3503">AA514</f>
        <v>10.015000000000001</v>
      </c>
      <c r="AB515" s="108" t="str">
        <f t="shared" si="3503"/>
        <v>22,10,090</v>
      </c>
      <c r="AC515" s="11" t="str">
        <f t="shared" si="3458"/>
        <v>22</v>
      </c>
      <c r="AD515" s="11" t="str">
        <f t="shared" si="3459"/>
        <v>10,090</v>
      </c>
      <c r="AE515" s="11">
        <f t="shared" si="3460"/>
        <v>0.36946944444444441</v>
      </c>
      <c r="AF515" s="14">
        <f t="shared" si="3033"/>
        <v>27.106436406558959</v>
      </c>
      <c r="AG515" s="41">
        <f t="shared" si="3475"/>
        <v>-100</v>
      </c>
      <c r="AH515" s="105">
        <f t="shared" ref="AH515:AJ515" si="3504">AH514</f>
        <v>20.3</v>
      </c>
      <c r="AI515" s="105">
        <f t="shared" si="3504"/>
        <v>1.5089999999999999</v>
      </c>
      <c r="AJ515" s="105">
        <f t="shared" si="3504"/>
        <v>1.504</v>
      </c>
      <c r="AK515" s="53">
        <f t="shared" si="3375"/>
        <v>0</v>
      </c>
      <c r="AL515" s="45"/>
      <c r="AM515" s="54">
        <f t="shared" ref="AM515:AN515" si="3505">AM514</f>
        <v>5.0129999999999999</v>
      </c>
      <c r="AN515" s="101" t="str">
        <f t="shared" si="3505"/>
        <v>17,59,050</v>
      </c>
      <c r="AO515" s="11" t="str">
        <f t="shared" si="3463"/>
        <v>17</v>
      </c>
      <c r="AP515" s="11" t="str">
        <f t="shared" si="3464"/>
        <v>59,050</v>
      </c>
      <c r="AQ515" s="11">
        <f t="shared" si="3465"/>
        <v>0.29973611111111109</v>
      </c>
      <c r="AR515" s="14">
        <f t="shared" si="3036"/>
        <v>16.724711551827998</v>
      </c>
      <c r="AS515" s="41">
        <f t="shared" si="3037"/>
        <v>-100</v>
      </c>
      <c r="AT515" s="43" t="str">
        <f t="shared" si="3038"/>
        <v>NO CONFORME</v>
      </c>
      <c r="AU515" s="8" t="b">
        <f t="shared" si="3067"/>
        <v>1</v>
      </c>
      <c r="AV515" s="8" t="b">
        <f t="shared" si="3466"/>
        <v>0</v>
      </c>
      <c r="AW515" s="8" t="b">
        <f t="shared" si="3467"/>
        <v>1</v>
      </c>
      <c r="AX515" s="8" t="str">
        <f t="shared" si="3468"/>
        <v>Qcorrecto</v>
      </c>
      <c r="AY515" s="22" t="str">
        <f t="shared" si="3039"/>
        <v>aceptable</v>
      </c>
      <c r="AZ515" s="22" t="str">
        <f t="shared" si="3040"/>
        <v>aceptable</v>
      </c>
      <c r="BA515" s="22" t="str">
        <f t="shared" si="3469"/>
        <v>aceptable</v>
      </c>
      <c r="BB515" s="25" t="str">
        <f t="shared" si="3072"/>
        <v>NO CONFORME</v>
      </c>
      <c r="BC515" s="5" t="str">
        <f t="shared" si="3073"/>
        <v>NO CONFORME</v>
      </c>
      <c r="BD515" s="15">
        <f t="shared" si="3041"/>
        <v>-1</v>
      </c>
      <c r="BE515" s="15">
        <f t="shared" si="3042"/>
        <v>-1</v>
      </c>
      <c r="BF515" s="15">
        <f t="shared" si="3043"/>
        <v>-1</v>
      </c>
      <c r="BG515" s="15" t="str">
        <f t="shared" si="3044"/>
        <v>-1-1-1</v>
      </c>
      <c r="BH515" s="15" t="str">
        <f t="shared" si="3045"/>
        <v>SD</v>
      </c>
      <c r="BI515" s="15" t="str">
        <f t="shared" si="3046"/>
        <v>SI</v>
      </c>
      <c r="BJ515" s="15" t="b">
        <f t="shared" si="3047"/>
        <v>1</v>
      </c>
      <c r="BK515" s="15" t="str">
        <f t="shared" si="3048"/>
        <v>SIGIGUALES</v>
      </c>
      <c r="BL515" s="22" t="str">
        <f t="shared" si="3049"/>
        <v>NO CONFORME</v>
      </c>
    </row>
    <row r="516" spans="1:64" ht="15.75" thickBot="1" x14ac:dyDescent="0.3">
      <c r="A516" s="37">
        <v>508</v>
      </c>
      <c r="B516" s="93">
        <f t="shared" ref="B516:E516" si="3506">B515</f>
        <v>45919</v>
      </c>
      <c r="C516" s="93">
        <f t="shared" si="3506"/>
        <v>45919</v>
      </c>
      <c r="D516" s="94">
        <f t="shared" si="3506"/>
        <v>6</v>
      </c>
      <c r="E516" s="95">
        <f t="shared" si="3506"/>
        <v>15</v>
      </c>
      <c r="F516" s="13"/>
      <c r="G516" s="90"/>
      <c r="H516" s="97">
        <f t="shared" ref="H516:L516" si="3507">H515</f>
        <v>25.6</v>
      </c>
      <c r="I516" s="98">
        <f t="shared" si="3507"/>
        <v>0</v>
      </c>
      <c r="J516" s="99">
        <f t="shared" si="3507"/>
        <v>20.9</v>
      </c>
      <c r="K516" s="99">
        <f t="shared" si="3507"/>
        <v>7.883</v>
      </c>
      <c r="L516" s="99">
        <f t="shared" si="3507"/>
        <v>0.55400000000000005</v>
      </c>
      <c r="M516" s="45"/>
      <c r="N516" s="45"/>
      <c r="O516" s="100">
        <f t="shared" ref="O516:P516" si="3508">O515</f>
        <v>100.62</v>
      </c>
      <c r="P516" s="101" t="str">
        <f t="shared" si="3508"/>
        <v>2,29,560</v>
      </c>
      <c r="Q516" s="11" t="str">
        <f t="shared" si="3452"/>
        <v>2</v>
      </c>
      <c r="R516" s="11" t="str">
        <f t="shared" si="3453"/>
        <v>29,560</v>
      </c>
      <c r="S516" s="11">
        <f t="shared" si="3454"/>
        <v>4.1544444444444446E-2</v>
      </c>
      <c r="T516" s="14">
        <f t="shared" si="3455"/>
        <v>2421.9844878309709</v>
      </c>
      <c r="U516" s="39">
        <f t="shared" si="3030"/>
        <v>-100</v>
      </c>
      <c r="V516" s="105">
        <f t="shared" ref="V516:X516" si="3509">V515</f>
        <v>20.399999999999999</v>
      </c>
      <c r="W516" s="105">
        <f t="shared" si="3509"/>
        <v>1.5069999999999999</v>
      </c>
      <c r="X516" s="106">
        <f t="shared" si="3509"/>
        <v>1.504</v>
      </c>
      <c r="Y516" s="45"/>
      <c r="Z516" s="45"/>
      <c r="AA516" s="107">
        <f t="shared" ref="AA516:AB516" si="3510">AA515</f>
        <v>10.015000000000001</v>
      </c>
      <c r="AB516" s="108" t="str">
        <f t="shared" si="3510"/>
        <v>22,10,090</v>
      </c>
      <c r="AC516" s="11" t="str">
        <f t="shared" si="3458"/>
        <v>22</v>
      </c>
      <c r="AD516" s="11" t="str">
        <f t="shared" si="3459"/>
        <v>10,090</v>
      </c>
      <c r="AE516" s="11">
        <f t="shared" si="3460"/>
        <v>0.36946944444444441</v>
      </c>
      <c r="AF516" s="14">
        <f t="shared" si="3033"/>
        <v>27.106436406558959</v>
      </c>
      <c r="AG516" s="41">
        <f t="shared" si="3475"/>
        <v>-100</v>
      </c>
      <c r="AH516" s="105">
        <f t="shared" ref="AH516:AJ516" si="3511">AH515</f>
        <v>20.3</v>
      </c>
      <c r="AI516" s="105">
        <f t="shared" si="3511"/>
        <v>1.5089999999999999</v>
      </c>
      <c r="AJ516" s="105">
        <f t="shared" si="3511"/>
        <v>1.504</v>
      </c>
      <c r="AK516" s="53">
        <f t="shared" si="3375"/>
        <v>0</v>
      </c>
      <c r="AL516" s="45"/>
      <c r="AM516" s="54">
        <f t="shared" ref="AM516:AN516" si="3512">AM515</f>
        <v>5.0129999999999999</v>
      </c>
      <c r="AN516" s="101" t="str">
        <f t="shared" si="3512"/>
        <v>17,59,050</v>
      </c>
      <c r="AO516" s="11" t="str">
        <f t="shared" si="3463"/>
        <v>17</v>
      </c>
      <c r="AP516" s="11" t="str">
        <f t="shared" si="3464"/>
        <v>59,050</v>
      </c>
      <c r="AQ516" s="11">
        <f t="shared" si="3465"/>
        <v>0.29973611111111109</v>
      </c>
      <c r="AR516" s="14">
        <f t="shared" si="3036"/>
        <v>16.724711551827998</v>
      </c>
      <c r="AS516" s="41">
        <f t="shared" si="3037"/>
        <v>-100</v>
      </c>
      <c r="AT516" s="43" t="str">
        <f t="shared" si="3038"/>
        <v>NO CONFORME</v>
      </c>
      <c r="AU516" s="8" t="b">
        <f t="shared" si="3067"/>
        <v>1</v>
      </c>
      <c r="AV516" s="8" t="b">
        <f t="shared" si="3466"/>
        <v>0</v>
      </c>
      <c r="AW516" s="8" t="b">
        <f t="shared" si="3467"/>
        <v>1</v>
      </c>
      <c r="AX516" s="8" t="str">
        <f t="shared" si="3468"/>
        <v>Qcorrecto</v>
      </c>
      <c r="AY516" s="22" t="str">
        <f t="shared" si="3039"/>
        <v>aceptable</v>
      </c>
      <c r="AZ516" s="22" t="str">
        <f t="shared" si="3040"/>
        <v>aceptable</v>
      </c>
      <c r="BA516" s="22" t="str">
        <f t="shared" si="3469"/>
        <v>aceptable</v>
      </c>
      <c r="BB516" s="25" t="str">
        <f t="shared" si="3072"/>
        <v>NO CONFORME</v>
      </c>
      <c r="BC516" s="5" t="str">
        <f t="shared" si="3073"/>
        <v>NO CONFORME</v>
      </c>
      <c r="BD516" s="15">
        <f t="shared" si="3041"/>
        <v>-1</v>
      </c>
      <c r="BE516" s="15">
        <f t="shared" si="3042"/>
        <v>-1</v>
      </c>
      <c r="BF516" s="15">
        <f t="shared" si="3043"/>
        <v>-1</v>
      </c>
      <c r="BG516" s="15" t="str">
        <f t="shared" si="3044"/>
        <v>-1-1-1</v>
      </c>
      <c r="BH516" s="15" t="str">
        <f t="shared" si="3045"/>
        <v>SD</v>
      </c>
      <c r="BI516" s="15" t="str">
        <f t="shared" si="3046"/>
        <v>SI</v>
      </c>
      <c r="BJ516" s="15" t="b">
        <f t="shared" si="3047"/>
        <v>1</v>
      </c>
      <c r="BK516" s="15" t="str">
        <f t="shared" si="3048"/>
        <v>SIGIGUALES</v>
      </c>
      <c r="BL516" s="22" t="str">
        <f t="shared" si="3049"/>
        <v>NO CONFORME</v>
      </c>
    </row>
    <row r="517" spans="1:64" ht="15.75" thickBot="1" x14ac:dyDescent="0.3">
      <c r="A517" s="37">
        <v>509</v>
      </c>
      <c r="B517" s="93">
        <f t="shared" ref="B517:E517" si="3513">B516</f>
        <v>45919</v>
      </c>
      <c r="C517" s="93">
        <f t="shared" si="3513"/>
        <v>45919</v>
      </c>
      <c r="D517" s="94">
        <f t="shared" si="3513"/>
        <v>6</v>
      </c>
      <c r="E517" s="95">
        <f t="shared" si="3513"/>
        <v>15</v>
      </c>
      <c r="F517" s="13"/>
      <c r="G517" s="90"/>
      <c r="H517" s="97">
        <f t="shared" ref="H517:L517" si="3514">H516</f>
        <v>25.6</v>
      </c>
      <c r="I517" s="98">
        <f t="shared" si="3514"/>
        <v>0</v>
      </c>
      <c r="J517" s="99">
        <f t="shared" si="3514"/>
        <v>20.9</v>
      </c>
      <c r="K517" s="99">
        <f t="shared" si="3514"/>
        <v>7.883</v>
      </c>
      <c r="L517" s="99">
        <f t="shared" si="3514"/>
        <v>0.55400000000000005</v>
      </c>
      <c r="M517" s="45"/>
      <c r="N517" s="45"/>
      <c r="O517" s="100">
        <f t="shared" ref="O517:P517" si="3515">O516</f>
        <v>100.62</v>
      </c>
      <c r="P517" s="101" t="str">
        <f t="shared" si="3515"/>
        <v>2,29,560</v>
      </c>
      <c r="Q517" s="11" t="str">
        <f t="shared" si="3452"/>
        <v>2</v>
      </c>
      <c r="R517" s="11" t="str">
        <f t="shared" si="3453"/>
        <v>29,560</v>
      </c>
      <c r="S517" s="11">
        <f t="shared" si="3454"/>
        <v>4.1544444444444446E-2</v>
      </c>
      <c r="T517" s="14">
        <f t="shared" si="3455"/>
        <v>2421.9844878309709</v>
      </c>
      <c r="U517" s="39">
        <f t="shared" si="3030"/>
        <v>-100</v>
      </c>
      <c r="V517" s="105">
        <f t="shared" ref="V517:X517" si="3516">V516</f>
        <v>20.399999999999999</v>
      </c>
      <c r="W517" s="105">
        <f t="shared" si="3516"/>
        <v>1.5069999999999999</v>
      </c>
      <c r="X517" s="106">
        <f t="shared" si="3516"/>
        <v>1.504</v>
      </c>
      <c r="Y517" s="45"/>
      <c r="Z517" s="45"/>
      <c r="AA517" s="107">
        <f t="shared" ref="AA517:AB517" si="3517">AA516</f>
        <v>10.015000000000001</v>
      </c>
      <c r="AB517" s="108" t="str">
        <f t="shared" si="3517"/>
        <v>22,10,090</v>
      </c>
      <c r="AC517" s="11" t="str">
        <f t="shared" si="3458"/>
        <v>22</v>
      </c>
      <c r="AD517" s="11" t="str">
        <f t="shared" si="3459"/>
        <v>10,090</v>
      </c>
      <c r="AE517" s="11">
        <f t="shared" si="3460"/>
        <v>0.36946944444444441</v>
      </c>
      <c r="AF517" s="14">
        <f t="shared" si="3033"/>
        <v>27.106436406558959</v>
      </c>
      <c r="AG517" s="41">
        <f t="shared" si="3475"/>
        <v>-100</v>
      </c>
      <c r="AH517" s="105">
        <f t="shared" ref="AH517:AJ517" si="3518">AH516</f>
        <v>20.3</v>
      </c>
      <c r="AI517" s="105">
        <f t="shared" si="3518"/>
        <v>1.5089999999999999</v>
      </c>
      <c r="AJ517" s="105">
        <f t="shared" si="3518"/>
        <v>1.504</v>
      </c>
      <c r="AK517" s="53">
        <f t="shared" si="3375"/>
        <v>0</v>
      </c>
      <c r="AL517" s="45"/>
      <c r="AM517" s="54">
        <f t="shared" ref="AM517:AN517" si="3519">AM516</f>
        <v>5.0129999999999999</v>
      </c>
      <c r="AN517" s="101" t="str">
        <f t="shared" si="3519"/>
        <v>17,59,050</v>
      </c>
      <c r="AO517" s="11" t="str">
        <f t="shared" si="3463"/>
        <v>17</v>
      </c>
      <c r="AP517" s="11" t="str">
        <f t="shared" si="3464"/>
        <v>59,050</v>
      </c>
      <c r="AQ517" s="11">
        <f t="shared" si="3465"/>
        <v>0.29973611111111109</v>
      </c>
      <c r="AR517" s="14">
        <f t="shared" si="3036"/>
        <v>16.724711551827998</v>
      </c>
      <c r="AS517" s="41">
        <f t="shared" si="3037"/>
        <v>-100</v>
      </c>
      <c r="AT517" s="43" t="str">
        <f t="shared" si="3038"/>
        <v>NO CONFORME</v>
      </c>
      <c r="AU517" s="8" t="b">
        <f t="shared" si="3067"/>
        <v>1</v>
      </c>
      <c r="AV517" s="8" t="b">
        <f t="shared" si="3466"/>
        <v>0</v>
      </c>
      <c r="AW517" s="8" t="b">
        <f t="shared" si="3467"/>
        <v>1</v>
      </c>
      <c r="AX517" s="8" t="str">
        <f t="shared" si="3468"/>
        <v>Qcorrecto</v>
      </c>
      <c r="AY517" s="22" t="str">
        <f t="shared" si="3039"/>
        <v>aceptable</v>
      </c>
      <c r="AZ517" s="22" t="str">
        <f t="shared" si="3040"/>
        <v>aceptable</v>
      </c>
      <c r="BA517" s="22" t="str">
        <f t="shared" si="3469"/>
        <v>aceptable</v>
      </c>
      <c r="BB517" s="25" t="str">
        <f t="shared" si="3072"/>
        <v>NO CONFORME</v>
      </c>
      <c r="BC517" s="5" t="str">
        <f t="shared" si="3073"/>
        <v>NO CONFORME</v>
      </c>
      <c r="BD517" s="15">
        <f t="shared" si="3041"/>
        <v>-1</v>
      </c>
      <c r="BE517" s="15">
        <f t="shared" si="3042"/>
        <v>-1</v>
      </c>
      <c r="BF517" s="15">
        <f t="shared" si="3043"/>
        <v>-1</v>
      </c>
      <c r="BG517" s="15" t="str">
        <f t="shared" si="3044"/>
        <v>-1-1-1</v>
      </c>
      <c r="BH517" s="15" t="str">
        <f t="shared" si="3045"/>
        <v>SD</v>
      </c>
      <c r="BI517" s="15" t="str">
        <f t="shared" si="3046"/>
        <v>SI</v>
      </c>
      <c r="BJ517" s="15" t="b">
        <f t="shared" si="3047"/>
        <v>1</v>
      </c>
      <c r="BK517" s="15" t="str">
        <f t="shared" si="3048"/>
        <v>SIGIGUALES</v>
      </c>
      <c r="BL517" s="22" t="str">
        <f t="shared" si="3049"/>
        <v>NO CONFORME</v>
      </c>
    </row>
    <row r="518" spans="1:64" ht="15.75" thickBot="1" x14ac:dyDescent="0.3">
      <c r="A518" s="37">
        <v>510</v>
      </c>
      <c r="B518" s="93">
        <f t="shared" ref="B518:E518" si="3520">B517</f>
        <v>45919</v>
      </c>
      <c r="C518" s="93">
        <f t="shared" si="3520"/>
        <v>45919</v>
      </c>
      <c r="D518" s="94">
        <f t="shared" si="3520"/>
        <v>6</v>
      </c>
      <c r="E518" s="95">
        <f t="shared" si="3520"/>
        <v>15</v>
      </c>
      <c r="F518" s="13"/>
      <c r="G518" s="90"/>
      <c r="H518" s="97">
        <f t="shared" ref="H518:L518" si="3521">H517</f>
        <v>25.6</v>
      </c>
      <c r="I518" s="98">
        <f t="shared" si="3521"/>
        <v>0</v>
      </c>
      <c r="J518" s="99">
        <f t="shared" si="3521"/>
        <v>20.9</v>
      </c>
      <c r="K518" s="99">
        <f t="shared" si="3521"/>
        <v>7.883</v>
      </c>
      <c r="L518" s="99">
        <f t="shared" si="3521"/>
        <v>0.55400000000000005</v>
      </c>
      <c r="M518" s="45"/>
      <c r="N518" s="45"/>
      <c r="O518" s="100">
        <f t="shared" ref="O518:P518" si="3522">O517</f>
        <v>100.62</v>
      </c>
      <c r="P518" s="101" t="str">
        <f t="shared" si="3522"/>
        <v>2,29,560</v>
      </c>
      <c r="Q518" s="11" t="str">
        <f t="shared" si="3452"/>
        <v>2</v>
      </c>
      <c r="R518" s="11" t="str">
        <f t="shared" si="3453"/>
        <v>29,560</v>
      </c>
      <c r="S518" s="11">
        <f t="shared" si="3454"/>
        <v>4.1544444444444446E-2</v>
      </c>
      <c r="T518" s="14">
        <f t="shared" si="3455"/>
        <v>2421.9844878309709</v>
      </c>
      <c r="U518" s="39">
        <f t="shared" si="3030"/>
        <v>-100</v>
      </c>
      <c r="V518" s="105">
        <f t="shared" ref="V518:X518" si="3523">V517</f>
        <v>20.399999999999999</v>
      </c>
      <c r="W518" s="105">
        <f t="shared" si="3523"/>
        <v>1.5069999999999999</v>
      </c>
      <c r="X518" s="106">
        <f t="shared" si="3523"/>
        <v>1.504</v>
      </c>
      <c r="Y518" s="45"/>
      <c r="Z518" s="45"/>
      <c r="AA518" s="107">
        <f t="shared" ref="AA518:AB518" si="3524">AA517</f>
        <v>10.015000000000001</v>
      </c>
      <c r="AB518" s="108" t="str">
        <f t="shared" si="3524"/>
        <v>22,10,090</v>
      </c>
      <c r="AC518" s="11" t="str">
        <f t="shared" si="3458"/>
        <v>22</v>
      </c>
      <c r="AD518" s="11" t="str">
        <f t="shared" si="3459"/>
        <v>10,090</v>
      </c>
      <c r="AE518" s="11">
        <f t="shared" si="3460"/>
        <v>0.36946944444444441</v>
      </c>
      <c r="AF518" s="14">
        <f t="shared" si="3033"/>
        <v>27.106436406558959</v>
      </c>
      <c r="AG518" s="41">
        <f t="shared" si="3475"/>
        <v>-100</v>
      </c>
      <c r="AH518" s="105">
        <f t="shared" ref="AH518:AJ518" si="3525">AH517</f>
        <v>20.3</v>
      </c>
      <c r="AI518" s="105">
        <f t="shared" si="3525"/>
        <v>1.5089999999999999</v>
      </c>
      <c r="AJ518" s="105">
        <f t="shared" si="3525"/>
        <v>1.504</v>
      </c>
      <c r="AK518" s="53">
        <f t="shared" si="3375"/>
        <v>0</v>
      </c>
      <c r="AL518" s="45"/>
      <c r="AM518" s="54">
        <f t="shared" ref="AM518:AN518" si="3526">AM517</f>
        <v>5.0129999999999999</v>
      </c>
      <c r="AN518" s="101" t="str">
        <f t="shared" si="3526"/>
        <v>17,59,050</v>
      </c>
      <c r="AO518" s="11" t="str">
        <f t="shared" si="3463"/>
        <v>17</v>
      </c>
      <c r="AP518" s="11" t="str">
        <f t="shared" si="3464"/>
        <v>59,050</v>
      </c>
      <c r="AQ518" s="11">
        <f t="shared" si="3465"/>
        <v>0.29973611111111109</v>
      </c>
      <c r="AR518" s="14">
        <f t="shared" si="3036"/>
        <v>16.724711551827998</v>
      </c>
      <c r="AS518" s="41">
        <f t="shared" si="3037"/>
        <v>-100</v>
      </c>
      <c r="AT518" s="43" t="str">
        <f t="shared" si="3038"/>
        <v>NO CONFORME</v>
      </c>
      <c r="AU518" s="8" t="b">
        <f t="shared" si="3067"/>
        <v>1</v>
      </c>
      <c r="AV518" s="8" t="b">
        <f t="shared" si="3466"/>
        <v>0</v>
      </c>
      <c r="AW518" s="8" t="b">
        <f t="shared" si="3467"/>
        <v>1</v>
      </c>
      <c r="AX518" s="8" t="str">
        <f t="shared" si="3468"/>
        <v>Qcorrecto</v>
      </c>
      <c r="AY518" s="22" t="str">
        <f t="shared" si="3039"/>
        <v>aceptable</v>
      </c>
      <c r="AZ518" s="22" t="str">
        <f t="shared" si="3040"/>
        <v>aceptable</v>
      </c>
      <c r="BA518" s="22" t="str">
        <f t="shared" si="3469"/>
        <v>aceptable</v>
      </c>
      <c r="BB518" s="25" t="str">
        <f t="shared" si="3072"/>
        <v>NO CONFORME</v>
      </c>
      <c r="BC518" s="5" t="str">
        <f t="shared" si="3073"/>
        <v>NO CONFORME</v>
      </c>
      <c r="BD518" s="15">
        <f t="shared" si="3041"/>
        <v>-1</v>
      </c>
      <c r="BE518" s="15">
        <f t="shared" si="3042"/>
        <v>-1</v>
      </c>
      <c r="BF518" s="15">
        <f t="shared" si="3043"/>
        <v>-1</v>
      </c>
      <c r="BG518" s="15" t="str">
        <f t="shared" si="3044"/>
        <v>-1-1-1</v>
      </c>
      <c r="BH518" s="15" t="str">
        <f t="shared" si="3045"/>
        <v>SD</v>
      </c>
      <c r="BI518" s="15" t="str">
        <f t="shared" si="3046"/>
        <v>SI</v>
      </c>
      <c r="BJ518" s="15" t="b">
        <f t="shared" si="3047"/>
        <v>1</v>
      </c>
      <c r="BK518" s="15" t="str">
        <f t="shared" si="3048"/>
        <v>SIGIGUALES</v>
      </c>
      <c r="BL518" s="22" t="str">
        <f t="shared" si="3049"/>
        <v>NO CONFORME</v>
      </c>
    </row>
    <row r="519" spans="1:64" ht="15.75" thickBot="1" x14ac:dyDescent="0.3">
      <c r="A519" s="37">
        <v>511</v>
      </c>
      <c r="B519" s="93">
        <f t="shared" ref="B519:E519" si="3527">B518</f>
        <v>45919</v>
      </c>
      <c r="C519" s="93">
        <f t="shared" si="3527"/>
        <v>45919</v>
      </c>
      <c r="D519" s="94">
        <f t="shared" si="3527"/>
        <v>6</v>
      </c>
      <c r="E519" s="95">
        <f t="shared" si="3527"/>
        <v>15</v>
      </c>
      <c r="F519" s="13"/>
      <c r="G519" s="90"/>
      <c r="H519" s="97">
        <f t="shared" ref="H519:L519" si="3528">H518</f>
        <v>25.6</v>
      </c>
      <c r="I519" s="98">
        <f t="shared" si="3528"/>
        <v>0</v>
      </c>
      <c r="J519" s="99">
        <f t="shared" si="3528"/>
        <v>20.9</v>
      </c>
      <c r="K519" s="99">
        <f t="shared" si="3528"/>
        <v>7.883</v>
      </c>
      <c r="L519" s="99">
        <f t="shared" si="3528"/>
        <v>0.55400000000000005</v>
      </c>
      <c r="M519" s="45"/>
      <c r="N519" s="45"/>
      <c r="O519" s="100">
        <f t="shared" ref="O519:P519" si="3529">O518</f>
        <v>100.62</v>
      </c>
      <c r="P519" s="101" t="str">
        <f t="shared" si="3529"/>
        <v>2,29,560</v>
      </c>
      <c r="Q519" s="11" t="str">
        <f t="shared" si="3452"/>
        <v>2</v>
      </c>
      <c r="R519" s="11" t="str">
        <f t="shared" si="3453"/>
        <v>29,560</v>
      </c>
      <c r="S519" s="11">
        <f t="shared" si="3454"/>
        <v>4.1544444444444446E-2</v>
      </c>
      <c r="T519" s="14">
        <f t="shared" si="3455"/>
        <v>2421.9844878309709</v>
      </c>
      <c r="U519" s="39">
        <f t="shared" si="3030"/>
        <v>-100</v>
      </c>
      <c r="V519" s="105">
        <f t="shared" ref="V519:X519" si="3530">V518</f>
        <v>20.399999999999999</v>
      </c>
      <c r="W519" s="105">
        <f t="shared" si="3530"/>
        <v>1.5069999999999999</v>
      </c>
      <c r="X519" s="106">
        <f t="shared" si="3530"/>
        <v>1.504</v>
      </c>
      <c r="Y519" s="45"/>
      <c r="Z519" s="45"/>
      <c r="AA519" s="107">
        <f t="shared" ref="AA519:AB519" si="3531">AA518</f>
        <v>10.015000000000001</v>
      </c>
      <c r="AB519" s="108" t="str">
        <f t="shared" si="3531"/>
        <v>22,10,090</v>
      </c>
      <c r="AC519" s="11" t="str">
        <f t="shared" si="3458"/>
        <v>22</v>
      </c>
      <c r="AD519" s="11" t="str">
        <f t="shared" si="3459"/>
        <v>10,090</v>
      </c>
      <c r="AE519" s="11">
        <f t="shared" si="3460"/>
        <v>0.36946944444444441</v>
      </c>
      <c r="AF519" s="14">
        <f t="shared" si="3033"/>
        <v>27.106436406558959</v>
      </c>
      <c r="AG519" s="41">
        <f t="shared" si="3475"/>
        <v>-100</v>
      </c>
      <c r="AH519" s="105">
        <f t="shared" ref="AH519:AJ519" si="3532">AH518</f>
        <v>20.3</v>
      </c>
      <c r="AI519" s="105">
        <f t="shared" si="3532"/>
        <v>1.5089999999999999</v>
      </c>
      <c r="AJ519" s="105">
        <f t="shared" si="3532"/>
        <v>1.504</v>
      </c>
      <c r="AK519" s="53">
        <f t="shared" si="3375"/>
        <v>0</v>
      </c>
      <c r="AL519" s="45"/>
      <c r="AM519" s="54">
        <f t="shared" ref="AM519:AN519" si="3533">AM518</f>
        <v>5.0129999999999999</v>
      </c>
      <c r="AN519" s="101" t="str">
        <f t="shared" si="3533"/>
        <v>17,59,050</v>
      </c>
      <c r="AO519" s="11" t="str">
        <f t="shared" si="3463"/>
        <v>17</v>
      </c>
      <c r="AP519" s="11" t="str">
        <f t="shared" si="3464"/>
        <v>59,050</v>
      </c>
      <c r="AQ519" s="11">
        <f t="shared" si="3465"/>
        <v>0.29973611111111109</v>
      </c>
      <c r="AR519" s="14">
        <f t="shared" si="3036"/>
        <v>16.724711551827998</v>
      </c>
      <c r="AS519" s="41">
        <f t="shared" si="3037"/>
        <v>-100</v>
      </c>
      <c r="AT519" s="43" t="str">
        <f t="shared" si="3038"/>
        <v>NO CONFORME</v>
      </c>
      <c r="AU519" s="8" t="b">
        <f t="shared" si="3067"/>
        <v>1</v>
      </c>
      <c r="AV519" s="8" t="b">
        <f t="shared" si="3466"/>
        <v>0</v>
      </c>
      <c r="AW519" s="8" t="b">
        <f t="shared" si="3467"/>
        <v>1</v>
      </c>
      <c r="AX519" s="8" t="str">
        <f t="shared" si="3468"/>
        <v>Qcorrecto</v>
      </c>
      <c r="AY519" s="22" t="str">
        <f t="shared" si="3039"/>
        <v>aceptable</v>
      </c>
      <c r="AZ519" s="22" t="str">
        <f t="shared" si="3040"/>
        <v>aceptable</v>
      </c>
      <c r="BA519" s="22" t="str">
        <f t="shared" si="3469"/>
        <v>aceptable</v>
      </c>
      <c r="BB519" s="25" t="str">
        <f t="shared" si="3072"/>
        <v>NO CONFORME</v>
      </c>
      <c r="BC519" s="5" t="str">
        <f t="shared" si="3073"/>
        <v>NO CONFORME</v>
      </c>
      <c r="BD519" s="15">
        <f t="shared" si="3041"/>
        <v>-1</v>
      </c>
      <c r="BE519" s="15">
        <f t="shared" si="3042"/>
        <v>-1</v>
      </c>
      <c r="BF519" s="15">
        <f t="shared" si="3043"/>
        <v>-1</v>
      </c>
      <c r="BG519" s="15" t="str">
        <f t="shared" si="3044"/>
        <v>-1-1-1</v>
      </c>
      <c r="BH519" s="15" t="str">
        <f t="shared" si="3045"/>
        <v>SD</v>
      </c>
      <c r="BI519" s="15" t="str">
        <f t="shared" si="3046"/>
        <v>SI</v>
      </c>
      <c r="BJ519" s="15" t="b">
        <f t="shared" si="3047"/>
        <v>1</v>
      </c>
      <c r="BK519" s="15" t="str">
        <f t="shared" si="3048"/>
        <v>SIGIGUALES</v>
      </c>
      <c r="BL519" s="22" t="str">
        <f t="shared" si="3049"/>
        <v>NO CONFORME</v>
      </c>
    </row>
    <row r="520" spans="1:64" ht="15.75" thickBot="1" x14ac:dyDescent="0.3">
      <c r="A520" s="37">
        <v>512</v>
      </c>
      <c r="B520" s="93">
        <f t="shared" ref="B520:E520" si="3534">B519</f>
        <v>45919</v>
      </c>
      <c r="C520" s="93">
        <f t="shared" si="3534"/>
        <v>45919</v>
      </c>
      <c r="D520" s="94">
        <f t="shared" si="3534"/>
        <v>6</v>
      </c>
      <c r="E520" s="95">
        <f t="shared" si="3534"/>
        <v>15</v>
      </c>
      <c r="F520" s="52"/>
      <c r="G520" s="96"/>
      <c r="H520" s="97">
        <f t="shared" ref="H520:L520" si="3535">H519</f>
        <v>25.6</v>
      </c>
      <c r="I520" s="98">
        <f t="shared" si="3535"/>
        <v>0</v>
      </c>
      <c r="J520" s="99">
        <f t="shared" si="3535"/>
        <v>20.9</v>
      </c>
      <c r="K520" s="99">
        <f t="shared" si="3535"/>
        <v>7.883</v>
      </c>
      <c r="L520" s="99">
        <f t="shared" si="3535"/>
        <v>0.55400000000000005</v>
      </c>
      <c r="M520" s="53"/>
      <c r="N520" s="53"/>
      <c r="O520" s="100">
        <f t="shared" ref="O520:P520" si="3536">O519</f>
        <v>100.62</v>
      </c>
      <c r="P520" s="101" t="str">
        <f t="shared" si="3536"/>
        <v>2,29,560</v>
      </c>
      <c r="Q520" s="11" t="str">
        <f t="shared" si="3452"/>
        <v>2</v>
      </c>
      <c r="R520" s="11" t="str">
        <f t="shared" si="3453"/>
        <v>29,560</v>
      </c>
      <c r="S520" s="11">
        <f t="shared" si="3454"/>
        <v>4.1544444444444446E-2</v>
      </c>
      <c r="T520" s="14">
        <f t="shared" si="3455"/>
        <v>2421.9844878309709</v>
      </c>
      <c r="U520" s="39">
        <f t="shared" si="3030"/>
        <v>-100</v>
      </c>
      <c r="V520" s="105">
        <f t="shared" ref="V520:X520" si="3537">V519</f>
        <v>20.399999999999999</v>
      </c>
      <c r="W520" s="105">
        <f t="shared" si="3537"/>
        <v>1.5069999999999999</v>
      </c>
      <c r="X520" s="106">
        <f t="shared" si="3537"/>
        <v>1.504</v>
      </c>
      <c r="Y520" s="53"/>
      <c r="Z520" s="53"/>
      <c r="AA520" s="107">
        <f t="shared" ref="AA520:AB520" si="3538">AA519</f>
        <v>10.015000000000001</v>
      </c>
      <c r="AB520" s="108" t="str">
        <f t="shared" si="3538"/>
        <v>22,10,090</v>
      </c>
      <c r="AC520" s="11" t="str">
        <f t="shared" si="3458"/>
        <v>22</v>
      </c>
      <c r="AD520" s="11" t="str">
        <f t="shared" si="3459"/>
        <v>10,090</v>
      </c>
      <c r="AE520" s="11">
        <f t="shared" si="3460"/>
        <v>0.36946944444444441</v>
      </c>
      <c r="AF520" s="14">
        <f t="shared" si="3033"/>
        <v>27.106436406558959</v>
      </c>
      <c r="AG520" s="41">
        <f t="shared" si="3475"/>
        <v>-100</v>
      </c>
      <c r="AH520" s="105">
        <f t="shared" ref="AH520:AJ520" si="3539">AH519</f>
        <v>20.3</v>
      </c>
      <c r="AI520" s="105">
        <f t="shared" si="3539"/>
        <v>1.5089999999999999</v>
      </c>
      <c r="AJ520" s="105">
        <f t="shared" si="3539"/>
        <v>1.504</v>
      </c>
      <c r="AK520" s="53">
        <f t="shared" si="3375"/>
        <v>0</v>
      </c>
      <c r="AL520" s="53"/>
      <c r="AM520" s="54">
        <f t="shared" ref="AM520:AN520" si="3540">AM519</f>
        <v>5.0129999999999999</v>
      </c>
      <c r="AN520" s="101" t="str">
        <f t="shared" si="3540"/>
        <v>17,59,050</v>
      </c>
      <c r="AO520" s="11" t="str">
        <f t="shared" si="3463"/>
        <v>17</v>
      </c>
      <c r="AP520" s="11" t="str">
        <f t="shared" si="3464"/>
        <v>59,050</v>
      </c>
      <c r="AQ520" s="11">
        <f t="shared" si="3465"/>
        <v>0.29973611111111109</v>
      </c>
      <c r="AR520" s="14">
        <f t="shared" si="3036"/>
        <v>16.724711551827998</v>
      </c>
      <c r="AS520" s="41">
        <f t="shared" si="3037"/>
        <v>-100</v>
      </c>
      <c r="AT520" s="43" t="str">
        <f t="shared" si="3038"/>
        <v>NO CONFORME</v>
      </c>
      <c r="AU520" s="8" t="b">
        <f t="shared" si="3067"/>
        <v>1</v>
      </c>
      <c r="AV520" s="8" t="b">
        <f t="shared" si="3466"/>
        <v>0</v>
      </c>
      <c r="AW520" s="8" t="b">
        <f t="shared" si="3467"/>
        <v>1</v>
      </c>
      <c r="AX520" s="8" t="str">
        <f t="shared" si="3468"/>
        <v>Qcorrecto</v>
      </c>
      <c r="AY520" s="22" t="str">
        <f t="shared" si="3039"/>
        <v>aceptable</v>
      </c>
      <c r="AZ520" s="22" t="str">
        <f t="shared" si="3040"/>
        <v>aceptable</v>
      </c>
      <c r="BA520" s="22" t="str">
        <f t="shared" si="3469"/>
        <v>aceptable</v>
      </c>
      <c r="BB520" s="25" t="str">
        <f t="shared" si="3072"/>
        <v>NO CONFORME</v>
      </c>
      <c r="BC520" s="5" t="str">
        <f t="shared" si="3073"/>
        <v>NO CONFORME</v>
      </c>
      <c r="BD520" s="15">
        <f t="shared" si="3041"/>
        <v>-1</v>
      </c>
      <c r="BE520" s="15">
        <f t="shared" si="3042"/>
        <v>-1</v>
      </c>
      <c r="BF520" s="15">
        <f t="shared" si="3043"/>
        <v>-1</v>
      </c>
      <c r="BG520" s="15" t="str">
        <f t="shared" si="3044"/>
        <v>-1-1-1</v>
      </c>
      <c r="BH520" s="15" t="str">
        <f t="shared" si="3045"/>
        <v>SD</v>
      </c>
      <c r="BI520" s="15" t="str">
        <f t="shared" si="3046"/>
        <v>SI</v>
      </c>
      <c r="BJ520" s="15" t="b">
        <f t="shared" si="3047"/>
        <v>1</v>
      </c>
      <c r="BK520" s="15" t="str">
        <f t="shared" si="3048"/>
        <v>SIGIGUALES</v>
      </c>
      <c r="BL520" s="22" t="str">
        <f t="shared" si="3049"/>
        <v>NO CONFORME</v>
      </c>
    </row>
    <row r="521" spans="1:64" ht="15.75" thickBot="1" x14ac:dyDescent="0.3">
      <c r="A521" s="37">
        <v>513</v>
      </c>
      <c r="B521" s="93">
        <f t="shared" ref="B521:E521" si="3541">B520</f>
        <v>45919</v>
      </c>
      <c r="C521" s="93">
        <f t="shared" si="3541"/>
        <v>45919</v>
      </c>
      <c r="D521" s="94">
        <f t="shared" si="3541"/>
        <v>6</v>
      </c>
      <c r="E521" s="95">
        <f t="shared" si="3541"/>
        <v>15</v>
      </c>
      <c r="F521" s="58"/>
      <c r="G521" s="111"/>
      <c r="H521" s="97">
        <f t="shared" ref="H521:L521" si="3542">H520</f>
        <v>25.6</v>
      </c>
      <c r="I521" s="98">
        <f t="shared" si="3542"/>
        <v>0</v>
      </c>
      <c r="J521" s="99">
        <f t="shared" si="3542"/>
        <v>20.9</v>
      </c>
      <c r="K521" s="99">
        <f t="shared" si="3542"/>
        <v>7.883</v>
      </c>
      <c r="L521" s="99">
        <f t="shared" si="3542"/>
        <v>0.55400000000000005</v>
      </c>
      <c r="M521" s="59"/>
      <c r="N521" s="59"/>
      <c r="O521" s="100">
        <f t="shared" ref="O521:P521" si="3543">O520</f>
        <v>100.62</v>
      </c>
      <c r="P521" s="101" t="str">
        <f t="shared" si="3543"/>
        <v>2,29,560</v>
      </c>
      <c r="Q521" s="11" t="str">
        <f t="shared" si="3452"/>
        <v>2</v>
      </c>
      <c r="R521" s="11" t="str">
        <f t="shared" si="3453"/>
        <v>29,560</v>
      </c>
      <c r="S521" s="11">
        <f t="shared" si="3454"/>
        <v>4.1544444444444446E-2</v>
      </c>
      <c r="T521" s="14">
        <f t="shared" si="3455"/>
        <v>2421.9844878309709</v>
      </c>
      <c r="U521" s="39">
        <f t="shared" ref="U521:U584" si="3544">+(((N521-M521-O521)/O521)*100)</f>
        <v>-100</v>
      </c>
      <c r="V521" s="105">
        <f t="shared" ref="V521:X521" si="3545">V520</f>
        <v>20.399999999999999</v>
      </c>
      <c r="W521" s="105">
        <f t="shared" si="3545"/>
        <v>1.5069999999999999</v>
      </c>
      <c r="X521" s="106">
        <f t="shared" si="3545"/>
        <v>1.504</v>
      </c>
      <c r="Y521" s="59"/>
      <c r="Z521" s="59"/>
      <c r="AA521" s="107">
        <f t="shared" ref="AA521:AB521" si="3546">AA520</f>
        <v>10.015000000000001</v>
      </c>
      <c r="AB521" s="108" t="str">
        <f t="shared" si="3546"/>
        <v>22,10,090</v>
      </c>
      <c r="AC521" s="11" t="str">
        <f t="shared" si="3458"/>
        <v>22</v>
      </c>
      <c r="AD521" s="11" t="str">
        <f t="shared" si="3459"/>
        <v>10,090</v>
      </c>
      <c r="AE521" s="11">
        <f t="shared" si="3460"/>
        <v>0.36946944444444441</v>
      </c>
      <c r="AF521" s="14">
        <f t="shared" ref="AF521:AF584" si="3547">+AA521/AE521</f>
        <v>27.106436406558959</v>
      </c>
      <c r="AG521" s="41">
        <f t="shared" si="3475"/>
        <v>-100</v>
      </c>
      <c r="AH521" s="105">
        <f t="shared" ref="AH521:AJ521" si="3548">AH520</f>
        <v>20.3</v>
      </c>
      <c r="AI521" s="105">
        <f t="shared" si="3548"/>
        <v>1.5089999999999999</v>
      </c>
      <c r="AJ521" s="105">
        <f t="shared" si="3548"/>
        <v>1.504</v>
      </c>
      <c r="AK521" s="53">
        <f t="shared" si="3375"/>
        <v>0</v>
      </c>
      <c r="AL521" s="59"/>
      <c r="AM521" s="54">
        <f t="shared" ref="AM521:AN521" si="3549">AM520</f>
        <v>5.0129999999999999</v>
      </c>
      <c r="AN521" s="101" t="str">
        <f t="shared" si="3549"/>
        <v>17,59,050</v>
      </c>
      <c r="AO521" s="11" t="str">
        <f t="shared" si="3463"/>
        <v>17</v>
      </c>
      <c r="AP521" s="11" t="str">
        <f t="shared" si="3464"/>
        <v>59,050</v>
      </c>
      <c r="AQ521" s="11">
        <f t="shared" si="3465"/>
        <v>0.29973611111111109</v>
      </c>
      <c r="AR521" s="14">
        <f t="shared" ref="AR521:AR584" si="3550">+AM521/AQ521</f>
        <v>16.724711551827998</v>
      </c>
      <c r="AS521" s="41">
        <f t="shared" ref="AS521:AS584" si="3551">+(((AL521-AK521-AM521)/AM521)*100)</f>
        <v>-100</v>
      </c>
      <c r="AT521" s="43" t="str">
        <f t="shared" ref="AT521:AT584" si="3552">IF(I521&gt;=1,"NO CONFORME",IF(BK521="SIGDIFERENTES",BC521,BL521))</f>
        <v>NO CONFORME</v>
      </c>
      <c r="AU521" s="8" t="b">
        <f t="shared" si="3067"/>
        <v>1</v>
      </c>
      <c r="AV521" s="8" t="b">
        <f t="shared" si="3466"/>
        <v>0</v>
      </c>
      <c r="AW521" s="8" t="b">
        <f t="shared" si="3467"/>
        <v>1</v>
      </c>
      <c r="AX521" s="8" t="str">
        <f t="shared" si="3468"/>
        <v>Qcorrecto</v>
      </c>
      <c r="AY521" s="22" t="str">
        <f t="shared" ref="AY521:AY584" si="3553">IF(AR521&lt;$AH$6,"error",IF(AR521&gt;$AH$6*1.1,"error","aceptable"))</f>
        <v>aceptable</v>
      </c>
      <c r="AZ521" s="22" t="str">
        <f t="shared" ref="AZ521:AZ584" si="3554">IF(AF521&lt;$V$6,"error",IF(AF521&gt;$V$6*1.1,"error","aceptable"))</f>
        <v>aceptable</v>
      </c>
      <c r="BA521" s="22" t="str">
        <f t="shared" si="3469"/>
        <v>aceptable</v>
      </c>
      <c r="BB521" s="25" t="str">
        <f t="shared" si="3072"/>
        <v>NO CONFORME</v>
      </c>
      <c r="BC521" s="5" t="str">
        <f t="shared" si="3073"/>
        <v>NO CONFORME</v>
      </c>
      <c r="BD521" s="15">
        <f t="shared" ref="BD521:BD584" si="3555">SIGN(U521)</f>
        <v>-1</v>
      </c>
      <c r="BE521" s="15">
        <f t="shared" ref="BE521:BE584" si="3556">SIGN(AG521)</f>
        <v>-1</v>
      </c>
      <c r="BF521" s="15">
        <f t="shared" ref="BF521:BF584" si="3557">SIGN(AS521)</f>
        <v>-1</v>
      </c>
      <c r="BG521" s="15" t="str">
        <f t="shared" ref="BG521:BG584" si="3558">CONCATENATE(BD521,BE521,BF521)</f>
        <v>-1-1-1</v>
      </c>
      <c r="BH521" s="15" t="str">
        <f t="shared" ref="BH521:BH584" si="3559">IF(BG521="111","SI","SD")</f>
        <v>SD</v>
      </c>
      <c r="BI521" s="15" t="str">
        <f t="shared" ref="BI521:BI584" si="3560">IF(BG521="-1-1-1","SI","SD")</f>
        <v>SI</v>
      </c>
      <c r="BJ521" s="15" t="b">
        <f t="shared" ref="BJ521:BJ584" si="3561">OR(BH521="SI",BI521="SI")</f>
        <v>1</v>
      </c>
      <c r="BK521" s="15" t="str">
        <f t="shared" ref="BK521:BK584" si="3562">IF(BJ521=FALSE,"SIGDIFERENTES","SIGIGUALES")</f>
        <v>SIGIGUALES</v>
      </c>
      <c r="BL521" s="22" t="str">
        <f t="shared" ref="BL521:BL584" si="3563">IF(BC521="NO CONFORME","NO CONFORME",IF(BB521="CONFORME","CONFORME","NO CONFORME"))</f>
        <v>NO CONFORME</v>
      </c>
    </row>
    <row r="522" spans="1:64" ht="15.75" thickBot="1" x14ac:dyDescent="0.3">
      <c r="A522" s="37">
        <v>514</v>
      </c>
      <c r="B522" s="93">
        <f t="shared" ref="B522:E522" si="3564">B521</f>
        <v>45919</v>
      </c>
      <c r="C522" s="93">
        <f t="shared" si="3564"/>
        <v>45919</v>
      </c>
      <c r="D522" s="94">
        <f t="shared" si="3564"/>
        <v>6</v>
      </c>
      <c r="E522" s="95">
        <f t="shared" si="3564"/>
        <v>15</v>
      </c>
      <c r="F522" s="13"/>
      <c r="G522" s="90"/>
      <c r="H522" s="97">
        <f t="shared" ref="H522:L522" si="3565">H521</f>
        <v>25.6</v>
      </c>
      <c r="I522" s="98">
        <f t="shared" si="3565"/>
        <v>0</v>
      </c>
      <c r="J522" s="99">
        <f t="shared" si="3565"/>
        <v>20.9</v>
      </c>
      <c r="K522" s="99">
        <f t="shared" si="3565"/>
        <v>7.883</v>
      </c>
      <c r="L522" s="99">
        <f t="shared" si="3565"/>
        <v>0.55400000000000005</v>
      </c>
      <c r="M522" s="45"/>
      <c r="N522" s="45"/>
      <c r="O522" s="100">
        <f t="shared" ref="O522:P522" si="3566">O521</f>
        <v>100.62</v>
      </c>
      <c r="P522" s="101" t="str">
        <f t="shared" si="3566"/>
        <v>2,29,560</v>
      </c>
      <c r="Q522" s="11" t="str">
        <f t="shared" si="3452"/>
        <v>2</v>
      </c>
      <c r="R522" s="11" t="str">
        <f t="shared" si="3453"/>
        <v>29,560</v>
      </c>
      <c r="S522" s="11">
        <f t="shared" si="3454"/>
        <v>4.1544444444444446E-2</v>
      </c>
      <c r="T522" s="14">
        <f t="shared" si="3455"/>
        <v>2421.9844878309709</v>
      </c>
      <c r="U522" s="39">
        <f t="shared" si="3544"/>
        <v>-100</v>
      </c>
      <c r="V522" s="105">
        <f t="shared" ref="V522:X522" si="3567">V521</f>
        <v>20.399999999999999</v>
      </c>
      <c r="W522" s="105">
        <f t="shared" si="3567"/>
        <v>1.5069999999999999</v>
      </c>
      <c r="X522" s="106">
        <f t="shared" si="3567"/>
        <v>1.504</v>
      </c>
      <c r="Y522" s="45"/>
      <c r="Z522" s="45"/>
      <c r="AA522" s="107">
        <f t="shared" ref="AA522:AB522" si="3568">AA521</f>
        <v>10.015000000000001</v>
      </c>
      <c r="AB522" s="108" t="str">
        <f t="shared" si="3568"/>
        <v>22,10,090</v>
      </c>
      <c r="AC522" s="11" t="str">
        <f t="shared" si="3458"/>
        <v>22</v>
      </c>
      <c r="AD522" s="11" t="str">
        <f t="shared" si="3459"/>
        <v>10,090</v>
      </c>
      <c r="AE522" s="11">
        <f t="shared" si="3460"/>
        <v>0.36946944444444441</v>
      </c>
      <c r="AF522" s="14">
        <f t="shared" si="3547"/>
        <v>27.106436406558959</v>
      </c>
      <c r="AG522" s="41">
        <f t="shared" si="3475"/>
        <v>-100</v>
      </c>
      <c r="AH522" s="105">
        <f t="shared" ref="AH522:AJ522" si="3569">AH521</f>
        <v>20.3</v>
      </c>
      <c r="AI522" s="105">
        <f t="shared" si="3569"/>
        <v>1.5089999999999999</v>
      </c>
      <c r="AJ522" s="105">
        <f t="shared" si="3569"/>
        <v>1.504</v>
      </c>
      <c r="AK522" s="53">
        <f t="shared" si="3375"/>
        <v>0</v>
      </c>
      <c r="AL522" s="45"/>
      <c r="AM522" s="54">
        <f t="shared" ref="AM522:AN522" si="3570">AM521</f>
        <v>5.0129999999999999</v>
      </c>
      <c r="AN522" s="101" t="str">
        <f t="shared" si="3570"/>
        <v>17,59,050</v>
      </c>
      <c r="AO522" s="11" t="str">
        <f t="shared" si="3463"/>
        <v>17</v>
      </c>
      <c r="AP522" s="11" t="str">
        <f t="shared" si="3464"/>
        <v>59,050</v>
      </c>
      <c r="AQ522" s="11">
        <f t="shared" si="3465"/>
        <v>0.29973611111111109</v>
      </c>
      <c r="AR522" s="14">
        <f t="shared" si="3550"/>
        <v>16.724711551827998</v>
      </c>
      <c r="AS522" s="41">
        <f t="shared" si="3551"/>
        <v>-100</v>
      </c>
      <c r="AT522" s="43" t="str">
        <f t="shared" si="3552"/>
        <v>NO CONFORME</v>
      </c>
      <c r="AU522" s="8" t="b">
        <f t="shared" ref="AU522:AU585" si="3571">B522=C522</f>
        <v>1</v>
      </c>
      <c r="AV522" s="8" t="b">
        <f t="shared" si="3466"/>
        <v>0</v>
      </c>
      <c r="AW522" s="8" t="b">
        <f t="shared" si="3467"/>
        <v>1</v>
      </c>
      <c r="AX522" s="8" t="str">
        <f t="shared" si="3468"/>
        <v>Qcorrecto</v>
      </c>
      <c r="AY522" s="22" t="str">
        <f t="shared" si="3553"/>
        <v>aceptable</v>
      </c>
      <c r="AZ522" s="22" t="str">
        <f t="shared" si="3554"/>
        <v>aceptable</v>
      </c>
      <c r="BA522" s="22" t="str">
        <f t="shared" si="3469"/>
        <v>aceptable</v>
      </c>
      <c r="BB522" s="25" t="str">
        <f t="shared" ref="BB522:BB585" si="3572">(IF(ABS(U522)&lt;1.05,"CONFORME",IF(ABS(AG522)&lt;1.05,"CONFORME",IF(ABS(AS522)&lt;2.55,"CONFORME","NO CONFORME"))))</f>
        <v>NO CONFORME</v>
      </c>
      <c r="BC522" s="5" t="str">
        <f t="shared" ref="BC522:BC585" si="3573">(IF(ABS(U522)&gt;2.05,"NO CONFORME",IF(ABS(AG522)&gt;2.05,"NO CONFORME",IF(ABS(AS522)&gt;5.05,"NO CONFORME","CONFORME"))))</f>
        <v>NO CONFORME</v>
      </c>
      <c r="BD522" s="15">
        <f t="shared" si="3555"/>
        <v>-1</v>
      </c>
      <c r="BE522" s="15">
        <f t="shared" si="3556"/>
        <v>-1</v>
      </c>
      <c r="BF522" s="15">
        <f t="shared" si="3557"/>
        <v>-1</v>
      </c>
      <c r="BG522" s="15" t="str">
        <f t="shared" si="3558"/>
        <v>-1-1-1</v>
      </c>
      <c r="BH522" s="15" t="str">
        <f t="shared" si="3559"/>
        <v>SD</v>
      </c>
      <c r="BI522" s="15" t="str">
        <f t="shared" si="3560"/>
        <v>SI</v>
      </c>
      <c r="BJ522" s="15" t="b">
        <f t="shared" si="3561"/>
        <v>1</v>
      </c>
      <c r="BK522" s="15" t="str">
        <f t="shared" si="3562"/>
        <v>SIGIGUALES</v>
      </c>
      <c r="BL522" s="22" t="str">
        <f t="shared" si="3563"/>
        <v>NO CONFORME</v>
      </c>
    </row>
    <row r="523" spans="1:64" ht="15.75" thickBot="1" x14ac:dyDescent="0.3">
      <c r="A523" s="37">
        <v>515</v>
      </c>
      <c r="B523" s="93">
        <f t="shared" ref="B523:E523" si="3574">B522</f>
        <v>45919</v>
      </c>
      <c r="C523" s="93">
        <f t="shared" si="3574"/>
        <v>45919</v>
      </c>
      <c r="D523" s="94">
        <f t="shared" si="3574"/>
        <v>6</v>
      </c>
      <c r="E523" s="95">
        <f t="shared" si="3574"/>
        <v>15</v>
      </c>
      <c r="F523" s="13"/>
      <c r="G523" s="90"/>
      <c r="H523" s="97">
        <f t="shared" ref="H523:L523" si="3575">H522</f>
        <v>25.6</v>
      </c>
      <c r="I523" s="98">
        <f t="shared" si="3575"/>
        <v>0</v>
      </c>
      <c r="J523" s="99">
        <f t="shared" si="3575"/>
        <v>20.9</v>
      </c>
      <c r="K523" s="99">
        <f t="shared" si="3575"/>
        <v>7.883</v>
      </c>
      <c r="L523" s="99">
        <f t="shared" si="3575"/>
        <v>0.55400000000000005</v>
      </c>
      <c r="M523" s="45"/>
      <c r="N523" s="45"/>
      <c r="O523" s="100">
        <f t="shared" ref="O523:P523" si="3576">O522</f>
        <v>100.62</v>
      </c>
      <c r="P523" s="101" t="str">
        <f t="shared" si="3576"/>
        <v>2,29,560</v>
      </c>
      <c r="Q523" s="11" t="str">
        <f t="shared" si="3452"/>
        <v>2</v>
      </c>
      <c r="R523" s="11" t="str">
        <f t="shared" si="3453"/>
        <v>29,560</v>
      </c>
      <c r="S523" s="11">
        <f t="shared" si="3454"/>
        <v>4.1544444444444446E-2</v>
      </c>
      <c r="T523" s="14">
        <f t="shared" si="3455"/>
        <v>2421.9844878309709</v>
      </c>
      <c r="U523" s="39">
        <f t="shared" si="3544"/>
        <v>-100</v>
      </c>
      <c r="V523" s="105">
        <f t="shared" ref="V523:X523" si="3577">V522</f>
        <v>20.399999999999999</v>
      </c>
      <c r="W523" s="105">
        <f t="shared" si="3577"/>
        <v>1.5069999999999999</v>
      </c>
      <c r="X523" s="106">
        <f t="shared" si="3577"/>
        <v>1.504</v>
      </c>
      <c r="Y523" s="45"/>
      <c r="Z523" s="45"/>
      <c r="AA523" s="107">
        <f t="shared" ref="AA523:AB523" si="3578">AA522</f>
        <v>10.015000000000001</v>
      </c>
      <c r="AB523" s="108" t="str">
        <f t="shared" si="3578"/>
        <v>22,10,090</v>
      </c>
      <c r="AC523" s="11" t="str">
        <f t="shared" si="3458"/>
        <v>22</v>
      </c>
      <c r="AD523" s="11" t="str">
        <f t="shared" si="3459"/>
        <v>10,090</v>
      </c>
      <c r="AE523" s="11">
        <f t="shared" si="3460"/>
        <v>0.36946944444444441</v>
      </c>
      <c r="AF523" s="14">
        <f t="shared" si="3547"/>
        <v>27.106436406558959</v>
      </c>
      <c r="AG523" s="41">
        <f t="shared" si="3475"/>
        <v>-100</v>
      </c>
      <c r="AH523" s="105">
        <f t="shared" ref="AH523:AJ523" si="3579">AH522</f>
        <v>20.3</v>
      </c>
      <c r="AI523" s="105">
        <f t="shared" si="3579"/>
        <v>1.5089999999999999</v>
      </c>
      <c r="AJ523" s="105">
        <f t="shared" si="3579"/>
        <v>1.504</v>
      </c>
      <c r="AK523" s="53">
        <f t="shared" si="3375"/>
        <v>0</v>
      </c>
      <c r="AL523" s="45"/>
      <c r="AM523" s="54">
        <f t="shared" ref="AM523:AN523" si="3580">AM522</f>
        <v>5.0129999999999999</v>
      </c>
      <c r="AN523" s="101" t="str">
        <f t="shared" si="3580"/>
        <v>17,59,050</v>
      </c>
      <c r="AO523" s="11" t="str">
        <f t="shared" si="3463"/>
        <v>17</v>
      </c>
      <c r="AP523" s="11" t="str">
        <f t="shared" si="3464"/>
        <v>59,050</v>
      </c>
      <c r="AQ523" s="11">
        <f t="shared" si="3465"/>
        <v>0.29973611111111109</v>
      </c>
      <c r="AR523" s="14">
        <f t="shared" si="3550"/>
        <v>16.724711551827998</v>
      </c>
      <c r="AS523" s="41">
        <f t="shared" si="3551"/>
        <v>-100</v>
      </c>
      <c r="AT523" s="43" t="str">
        <f t="shared" si="3552"/>
        <v>NO CONFORME</v>
      </c>
      <c r="AU523" s="8" t="b">
        <f t="shared" si="3571"/>
        <v>1</v>
      </c>
      <c r="AV523" s="8" t="b">
        <f t="shared" si="3466"/>
        <v>0</v>
      </c>
      <c r="AW523" s="8" t="b">
        <f t="shared" si="3467"/>
        <v>1</v>
      </c>
      <c r="AX523" s="8" t="str">
        <f t="shared" si="3468"/>
        <v>Qcorrecto</v>
      </c>
      <c r="AY523" s="22" t="str">
        <f t="shared" si="3553"/>
        <v>aceptable</v>
      </c>
      <c r="AZ523" s="22" t="str">
        <f t="shared" si="3554"/>
        <v>aceptable</v>
      </c>
      <c r="BA523" s="22" t="str">
        <f t="shared" si="3469"/>
        <v>aceptable</v>
      </c>
      <c r="BB523" s="25" t="str">
        <f t="shared" si="3572"/>
        <v>NO CONFORME</v>
      </c>
      <c r="BC523" s="5" t="str">
        <f t="shared" si="3573"/>
        <v>NO CONFORME</v>
      </c>
      <c r="BD523" s="15">
        <f t="shared" si="3555"/>
        <v>-1</v>
      </c>
      <c r="BE523" s="15">
        <f t="shared" si="3556"/>
        <v>-1</v>
      </c>
      <c r="BF523" s="15">
        <f t="shared" si="3557"/>
        <v>-1</v>
      </c>
      <c r="BG523" s="15" t="str">
        <f t="shared" si="3558"/>
        <v>-1-1-1</v>
      </c>
      <c r="BH523" s="15" t="str">
        <f t="shared" si="3559"/>
        <v>SD</v>
      </c>
      <c r="BI523" s="15" t="str">
        <f t="shared" si="3560"/>
        <v>SI</v>
      </c>
      <c r="BJ523" s="15" t="b">
        <f t="shared" si="3561"/>
        <v>1</v>
      </c>
      <c r="BK523" s="15" t="str">
        <f t="shared" si="3562"/>
        <v>SIGIGUALES</v>
      </c>
      <c r="BL523" s="22" t="str">
        <f t="shared" si="3563"/>
        <v>NO CONFORME</v>
      </c>
    </row>
    <row r="524" spans="1:64" ht="15.75" thickBot="1" x14ac:dyDescent="0.3">
      <c r="A524" s="37">
        <v>516</v>
      </c>
      <c r="B524" s="93">
        <f t="shared" ref="B524:E524" si="3581">B523</f>
        <v>45919</v>
      </c>
      <c r="C524" s="93">
        <f t="shared" si="3581"/>
        <v>45919</v>
      </c>
      <c r="D524" s="94">
        <f t="shared" si="3581"/>
        <v>6</v>
      </c>
      <c r="E524" s="95">
        <f t="shared" si="3581"/>
        <v>15</v>
      </c>
      <c r="F524" s="13"/>
      <c r="G524" s="90"/>
      <c r="H524" s="97">
        <f t="shared" ref="H524:L524" si="3582">H523</f>
        <v>25.6</v>
      </c>
      <c r="I524" s="98">
        <f t="shared" si="3582"/>
        <v>0</v>
      </c>
      <c r="J524" s="99">
        <f t="shared" si="3582"/>
        <v>20.9</v>
      </c>
      <c r="K524" s="99">
        <f t="shared" si="3582"/>
        <v>7.883</v>
      </c>
      <c r="L524" s="99">
        <f t="shared" si="3582"/>
        <v>0.55400000000000005</v>
      </c>
      <c r="M524" s="45"/>
      <c r="N524" s="45"/>
      <c r="O524" s="100">
        <f t="shared" ref="O524:P524" si="3583">O523</f>
        <v>100.62</v>
      </c>
      <c r="P524" s="101" t="str">
        <f t="shared" si="3583"/>
        <v>2,29,560</v>
      </c>
      <c r="Q524" s="11" t="str">
        <f t="shared" si="3452"/>
        <v>2</v>
      </c>
      <c r="R524" s="11" t="str">
        <f t="shared" si="3453"/>
        <v>29,560</v>
      </c>
      <c r="S524" s="11">
        <f t="shared" si="3454"/>
        <v>4.1544444444444446E-2</v>
      </c>
      <c r="T524" s="14">
        <f t="shared" si="3455"/>
        <v>2421.9844878309709</v>
      </c>
      <c r="U524" s="39">
        <f t="shared" si="3544"/>
        <v>-100</v>
      </c>
      <c r="V524" s="105">
        <f t="shared" ref="V524:X524" si="3584">V523</f>
        <v>20.399999999999999</v>
      </c>
      <c r="W524" s="105">
        <f t="shared" si="3584"/>
        <v>1.5069999999999999</v>
      </c>
      <c r="X524" s="106">
        <f t="shared" si="3584"/>
        <v>1.504</v>
      </c>
      <c r="Y524" s="45"/>
      <c r="Z524" s="45"/>
      <c r="AA524" s="107">
        <f t="shared" ref="AA524:AB524" si="3585">AA523</f>
        <v>10.015000000000001</v>
      </c>
      <c r="AB524" s="108" t="str">
        <f t="shared" si="3585"/>
        <v>22,10,090</v>
      </c>
      <c r="AC524" s="11" t="str">
        <f t="shared" si="3458"/>
        <v>22</v>
      </c>
      <c r="AD524" s="11" t="str">
        <f t="shared" si="3459"/>
        <v>10,090</v>
      </c>
      <c r="AE524" s="11">
        <f t="shared" si="3460"/>
        <v>0.36946944444444441</v>
      </c>
      <c r="AF524" s="14">
        <f t="shared" si="3547"/>
        <v>27.106436406558959</v>
      </c>
      <c r="AG524" s="41">
        <f t="shared" si="3475"/>
        <v>-100</v>
      </c>
      <c r="AH524" s="105">
        <f t="shared" ref="AH524:AJ524" si="3586">AH523</f>
        <v>20.3</v>
      </c>
      <c r="AI524" s="105">
        <f t="shared" si="3586"/>
        <v>1.5089999999999999</v>
      </c>
      <c r="AJ524" s="105">
        <f t="shared" si="3586"/>
        <v>1.504</v>
      </c>
      <c r="AK524" s="53">
        <f t="shared" si="3375"/>
        <v>0</v>
      </c>
      <c r="AL524" s="45"/>
      <c r="AM524" s="54">
        <f t="shared" ref="AM524:AN524" si="3587">AM523</f>
        <v>5.0129999999999999</v>
      </c>
      <c r="AN524" s="101" t="str">
        <f t="shared" si="3587"/>
        <v>17,59,050</v>
      </c>
      <c r="AO524" s="11" t="str">
        <f t="shared" si="3463"/>
        <v>17</v>
      </c>
      <c r="AP524" s="11" t="str">
        <f t="shared" si="3464"/>
        <v>59,050</v>
      </c>
      <c r="AQ524" s="11">
        <f t="shared" si="3465"/>
        <v>0.29973611111111109</v>
      </c>
      <c r="AR524" s="14">
        <f t="shared" si="3550"/>
        <v>16.724711551827998</v>
      </c>
      <c r="AS524" s="41">
        <f t="shared" si="3551"/>
        <v>-100</v>
      </c>
      <c r="AT524" s="43" t="str">
        <f t="shared" si="3552"/>
        <v>NO CONFORME</v>
      </c>
      <c r="AU524" s="8" t="b">
        <f t="shared" si="3571"/>
        <v>1</v>
      </c>
      <c r="AV524" s="8" t="b">
        <f t="shared" si="3466"/>
        <v>0</v>
      </c>
      <c r="AW524" s="8" t="b">
        <f t="shared" si="3467"/>
        <v>1</v>
      </c>
      <c r="AX524" s="8" t="str">
        <f t="shared" si="3468"/>
        <v>Qcorrecto</v>
      </c>
      <c r="AY524" s="22" t="str">
        <f t="shared" si="3553"/>
        <v>aceptable</v>
      </c>
      <c r="AZ524" s="22" t="str">
        <f t="shared" si="3554"/>
        <v>aceptable</v>
      </c>
      <c r="BA524" s="22" t="str">
        <f t="shared" si="3469"/>
        <v>aceptable</v>
      </c>
      <c r="BB524" s="25" t="str">
        <f t="shared" si="3572"/>
        <v>NO CONFORME</v>
      </c>
      <c r="BC524" s="5" t="str">
        <f t="shared" si="3573"/>
        <v>NO CONFORME</v>
      </c>
      <c r="BD524" s="15">
        <f t="shared" si="3555"/>
        <v>-1</v>
      </c>
      <c r="BE524" s="15">
        <f t="shared" si="3556"/>
        <v>-1</v>
      </c>
      <c r="BF524" s="15">
        <f t="shared" si="3557"/>
        <v>-1</v>
      </c>
      <c r="BG524" s="15" t="str">
        <f t="shared" si="3558"/>
        <v>-1-1-1</v>
      </c>
      <c r="BH524" s="15" t="str">
        <f t="shared" si="3559"/>
        <v>SD</v>
      </c>
      <c r="BI524" s="15" t="str">
        <f t="shared" si="3560"/>
        <v>SI</v>
      </c>
      <c r="BJ524" s="15" t="b">
        <f t="shared" si="3561"/>
        <v>1</v>
      </c>
      <c r="BK524" s="15" t="str">
        <f t="shared" si="3562"/>
        <v>SIGIGUALES</v>
      </c>
      <c r="BL524" s="22" t="str">
        <f t="shared" si="3563"/>
        <v>NO CONFORME</v>
      </c>
    </row>
    <row r="525" spans="1:64" ht="15.75" thickBot="1" x14ac:dyDescent="0.3">
      <c r="A525" s="37">
        <v>517</v>
      </c>
      <c r="B525" s="93">
        <f t="shared" ref="B525:E525" si="3588">B524</f>
        <v>45919</v>
      </c>
      <c r="C525" s="93">
        <f t="shared" si="3588"/>
        <v>45919</v>
      </c>
      <c r="D525" s="94">
        <f t="shared" si="3588"/>
        <v>6</v>
      </c>
      <c r="E525" s="95">
        <f t="shared" si="3588"/>
        <v>15</v>
      </c>
      <c r="F525" s="13"/>
      <c r="G525" s="90"/>
      <c r="H525" s="97">
        <f t="shared" ref="H525:L525" si="3589">H524</f>
        <v>25.6</v>
      </c>
      <c r="I525" s="98">
        <f t="shared" si="3589"/>
        <v>0</v>
      </c>
      <c r="J525" s="99">
        <f t="shared" si="3589"/>
        <v>20.9</v>
      </c>
      <c r="K525" s="99">
        <f t="shared" si="3589"/>
        <v>7.883</v>
      </c>
      <c r="L525" s="99">
        <f t="shared" si="3589"/>
        <v>0.55400000000000005</v>
      </c>
      <c r="M525" s="45"/>
      <c r="N525" s="45"/>
      <c r="O525" s="100">
        <f t="shared" ref="O525:P525" si="3590">O524</f>
        <v>100.62</v>
      </c>
      <c r="P525" s="101" t="str">
        <f t="shared" si="3590"/>
        <v>2,29,560</v>
      </c>
      <c r="Q525" s="11" t="str">
        <f t="shared" si="3452"/>
        <v>2</v>
      </c>
      <c r="R525" s="11" t="str">
        <f t="shared" si="3453"/>
        <v>29,560</v>
      </c>
      <c r="S525" s="11">
        <f t="shared" si="3454"/>
        <v>4.1544444444444446E-2</v>
      </c>
      <c r="T525" s="14">
        <f t="shared" si="3455"/>
        <v>2421.9844878309709</v>
      </c>
      <c r="U525" s="39">
        <f t="shared" si="3544"/>
        <v>-100</v>
      </c>
      <c r="V525" s="105">
        <f t="shared" ref="V525:X525" si="3591">V524</f>
        <v>20.399999999999999</v>
      </c>
      <c r="W525" s="105">
        <f t="shared" si="3591"/>
        <v>1.5069999999999999</v>
      </c>
      <c r="X525" s="106">
        <f t="shared" si="3591"/>
        <v>1.504</v>
      </c>
      <c r="Y525" s="45"/>
      <c r="Z525" s="45"/>
      <c r="AA525" s="107">
        <f t="shared" ref="AA525:AB525" si="3592">AA524</f>
        <v>10.015000000000001</v>
      </c>
      <c r="AB525" s="108" t="str">
        <f t="shared" si="3592"/>
        <v>22,10,090</v>
      </c>
      <c r="AC525" s="11" t="str">
        <f t="shared" si="3458"/>
        <v>22</v>
      </c>
      <c r="AD525" s="11" t="str">
        <f t="shared" si="3459"/>
        <v>10,090</v>
      </c>
      <c r="AE525" s="11">
        <f t="shared" si="3460"/>
        <v>0.36946944444444441</v>
      </c>
      <c r="AF525" s="14">
        <f t="shared" si="3547"/>
        <v>27.106436406558959</v>
      </c>
      <c r="AG525" s="41">
        <f t="shared" si="3475"/>
        <v>-100</v>
      </c>
      <c r="AH525" s="105">
        <f t="shared" ref="AH525:AJ525" si="3593">AH524</f>
        <v>20.3</v>
      </c>
      <c r="AI525" s="105">
        <f t="shared" si="3593"/>
        <v>1.5089999999999999</v>
      </c>
      <c r="AJ525" s="105">
        <f t="shared" si="3593"/>
        <v>1.504</v>
      </c>
      <c r="AK525" s="53">
        <f t="shared" si="3375"/>
        <v>0</v>
      </c>
      <c r="AL525" s="45"/>
      <c r="AM525" s="54">
        <f t="shared" ref="AM525:AN525" si="3594">AM524</f>
        <v>5.0129999999999999</v>
      </c>
      <c r="AN525" s="101" t="str">
        <f t="shared" si="3594"/>
        <v>17,59,050</v>
      </c>
      <c r="AO525" s="11" t="str">
        <f t="shared" si="3463"/>
        <v>17</v>
      </c>
      <c r="AP525" s="11" t="str">
        <f t="shared" si="3464"/>
        <v>59,050</v>
      </c>
      <c r="AQ525" s="11">
        <f t="shared" si="3465"/>
        <v>0.29973611111111109</v>
      </c>
      <c r="AR525" s="14">
        <f t="shared" si="3550"/>
        <v>16.724711551827998</v>
      </c>
      <c r="AS525" s="41">
        <f t="shared" si="3551"/>
        <v>-100</v>
      </c>
      <c r="AT525" s="43" t="str">
        <f t="shared" si="3552"/>
        <v>NO CONFORME</v>
      </c>
      <c r="AU525" s="8" t="b">
        <f t="shared" si="3571"/>
        <v>1</v>
      </c>
      <c r="AV525" s="8" t="b">
        <f t="shared" si="3466"/>
        <v>0</v>
      </c>
      <c r="AW525" s="8" t="b">
        <f t="shared" si="3467"/>
        <v>1</v>
      </c>
      <c r="AX525" s="8" t="str">
        <f t="shared" si="3468"/>
        <v>Qcorrecto</v>
      </c>
      <c r="AY525" s="22" t="str">
        <f t="shared" si="3553"/>
        <v>aceptable</v>
      </c>
      <c r="AZ525" s="22" t="str">
        <f t="shared" si="3554"/>
        <v>aceptable</v>
      </c>
      <c r="BA525" s="22" t="str">
        <f t="shared" si="3469"/>
        <v>aceptable</v>
      </c>
      <c r="BB525" s="25" t="str">
        <f t="shared" si="3572"/>
        <v>NO CONFORME</v>
      </c>
      <c r="BC525" s="5" t="str">
        <f t="shared" si="3573"/>
        <v>NO CONFORME</v>
      </c>
      <c r="BD525" s="15">
        <f t="shared" si="3555"/>
        <v>-1</v>
      </c>
      <c r="BE525" s="15">
        <f t="shared" si="3556"/>
        <v>-1</v>
      </c>
      <c r="BF525" s="15">
        <f t="shared" si="3557"/>
        <v>-1</v>
      </c>
      <c r="BG525" s="15" t="str">
        <f t="shared" si="3558"/>
        <v>-1-1-1</v>
      </c>
      <c r="BH525" s="15" t="str">
        <f t="shared" si="3559"/>
        <v>SD</v>
      </c>
      <c r="BI525" s="15" t="str">
        <f t="shared" si="3560"/>
        <v>SI</v>
      </c>
      <c r="BJ525" s="15" t="b">
        <f t="shared" si="3561"/>
        <v>1</v>
      </c>
      <c r="BK525" s="15" t="str">
        <f t="shared" si="3562"/>
        <v>SIGIGUALES</v>
      </c>
      <c r="BL525" s="22" t="str">
        <f t="shared" si="3563"/>
        <v>NO CONFORME</v>
      </c>
    </row>
    <row r="526" spans="1:64" ht="15.75" thickBot="1" x14ac:dyDescent="0.3">
      <c r="A526" s="37">
        <v>518</v>
      </c>
      <c r="B526" s="93">
        <f t="shared" ref="B526:E526" si="3595">B525</f>
        <v>45919</v>
      </c>
      <c r="C526" s="93">
        <f t="shared" si="3595"/>
        <v>45919</v>
      </c>
      <c r="D526" s="94">
        <f t="shared" si="3595"/>
        <v>6</v>
      </c>
      <c r="E526" s="95">
        <f t="shared" si="3595"/>
        <v>15</v>
      </c>
      <c r="F526" s="13"/>
      <c r="G526" s="90"/>
      <c r="H526" s="97">
        <f t="shared" ref="H526:L526" si="3596">H525</f>
        <v>25.6</v>
      </c>
      <c r="I526" s="98">
        <f t="shared" si="3596"/>
        <v>0</v>
      </c>
      <c r="J526" s="99">
        <f t="shared" si="3596"/>
        <v>20.9</v>
      </c>
      <c r="K526" s="99">
        <f t="shared" si="3596"/>
        <v>7.883</v>
      </c>
      <c r="L526" s="99">
        <f t="shared" si="3596"/>
        <v>0.55400000000000005</v>
      </c>
      <c r="M526" s="45"/>
      <c r="N526" s="45"/>
      <c r="O526" s="100">
        <f t="shared" ref="O526:P526" si="3597">O525</f>
        <v>100.62</v>
      </c>
      <c r="P526" s="101" t="str">
        <f t="shared" si="3597"/>
        <v>2,29,560</v>
      </c>
      <c r="Q526" s="11" t="str">
        <f t="shared" si="3452"/>
        <v>2</v>
      </c>
      <c r="R526" s="11" t="str">
        <f t="shared" si="3453"/>
        <v>29,560</v>
      </c>
      <c r="S526" s="11">
        <f t="shared" si="3454"/>
        <v>4.1544444444444446E-2</v>
      </c>
      <c r="T526" s="14">
        <f t="shared" si="3455"/>
        <v>2421.9844878309709</v>
      </c>
      <c r="U526" s="39">
        <f t="shared" si="3544"/>
        <v>-100</v>
      </c>
      <c r="V526" s="105">
        <f t="shared" ref="V526:X526" si="3598">V525</f>
        <v>20.399999999999999</v>
      </c>
      <c r="W526" s="105">
        <f t="shared" si="3598"/>
        <v>1.5069999999999999</v>
      </c>
      <c r="X526" s="106">
        <f t="shared" si="3598"/>
        <v>1.504</v>
      </c>
      <c r="Y526" s="45"/>
      <c r="Z526" s="45"/>
      <c r="AA526" s="107">
        <f t="shared" ref="AA526:AB526" si="3599">AA525</f>
        <v>10.015000000000001</v>
      </c>
      <c r="AB526" s="108" t="str">
        <f t="shared" si="3599"/>
        <v>22,10,090</v>
      </c>
      <c r="AC526" s="11" t="str">
        <f t="shared" si="3458"/>
        <v>22</v>
      </c>
      <c r="AD526" s="11" t="str">
        <f t="shared" si="3459"/>
        <v>10,090</v>
      </c>
      <c r="AE526" s="11">
        <f t="shared" si="3460"/>
        <v>0.36946944444444441</v>
      </c>
      <c r="AF526" s="14">
        <f t="shared" si="3547"/>
        <v>27.106436406558959</v>
      </c>
      <c r="AG526" s="41">
        <f t="shared" si="3475"/>
        <v>-100</v>
      </c>
      <c r="AH526" s="105">
        <f t="shared" ref="AH526:AJ526" si="3600">AH525</f>
        <v>20.3</v>
      </c>
      <c r="AI526" s="105">
        <f t="shared" si="3600"/>
        <v>1.5089999999999999</v>
      </c>
      <c r="AJ526" s="105">
        <f t="shared" si="3600"/>
        <v>1.504</v>
      </c>
      <c r="AK526" s="53">
        <f t="shared" si="3375"/>
        <v>0</v>
      </c>
      <c r="AL526" s="45"/>
      <c r="AM526" s="54">
        <f t="shared" ref="AM526:AN526" si="3601">AM525</f>
        <v>5.0129999999999999</v>
      </c>
      <c r="AN526" s="101" t="str">
        <f t="shared" si="3601"/>
        <v>17,59,050</v>
      </c>
      <c r="AO526" s="11" t="str">
        <f t="shared" si="3463"/>
        <v>17</v>
      </c>
      <c r="AP526" s="11" t="str">
        <f t="shared" si="3464"/>
        <v>59,050</v>
      </c>
      <c r="AQ526" s="11">
        <f t="shared" si="3465"/>
        <v>0.29973611111111109</v>
      </c>
      <c r="AR526" s="14">
        <f t="shared" si="3550"/>
        <v>16.724711551827998</v>
      </c>
      <c r="AS526" s="41">
        <f t="shared" si="3551"/>
        <v>-100</v>
      </c>
      <c r="AT526" s="43" t="str">
        <f t="shared" si="3552"/>
        <v>NO CONFORME</v>
      </c>
      <c r="AU526" s="8" t="b">
        <f t="shared" si="3571"/>
        <v>1</v>
      </c>
      <c r="AV526" s="8" t="b">
        <f t="shared" si="3466"/>
        <v>0</v>
      </c>
      <c r="AW526" s="8" t="b">
        <f t="shared" si="3467"/>
        <v>1</v>
      </c>
      <c r="AX526" s="8" t="str">
        <f t="shared" si="3468"/>
        <v>Qcorrecto</v>
      </c>
      <c r="AY526" s="22" t="str">
        <f t="shared" si="3553"/>
        <v>aceptable</v>
      </c>
      <c r="AZ526" s="22" t="str">
        <f t="shared" si="3554"/>
        <v>aceptable</v>
      </c>
      <c r="BA526" s="22" t="str">
        <f t="shared" si="3469"/>
        <v>aceptable</v>
      </c>
      <c r="BB526" s="25" t="str">
        <f t="shared" si="3572"/>
        <v>NO CONFORME</v>
      </c>
      <c r="BC526" s="5" t="str">
        <f t="shared" si="3573"/>
        <v>NO CONFORME</v>
      </c>
      <c r="BD526" s="15">
        <f t="shared" si="3555"/>
        <v>-1</v>
      </c>
      <c r="BE526" s="15">
        <f t="shared" si="3556"/>
        <v>-1</v>
      </c>
      <c r="BF526" s="15">
        <f t="shared" si="3557"/>
        <v>-1</v>
      </c>
      <c r="BG526" s="15" t="str">
        <f t="shared" si="3558"/>
        <v>-1-1-1</v>
      </c>
      <c r="BH526" s="15" t="str">
        <f t="shared" si="3559"/>
        <v>SD</v>
      </c>
      <c r="BI526" s="15" t="str">
        <f t="shared" si="3560"/>
        <v>SI</v>
      </c>
      <c r="BJ526" s="15" t="b">
        <f t="shared" si="3561"/>
        <v>1</v>
      </c>
      <c r="BK526" s="15" t="str">
        <f t="shared" si="3562"/>
        <v>SIGIGUALES</v>
      </c>
      <c r="BL526" s="22" t="str">
        <f t="shared" si="3563"/>
        <v>NO CONFORME</v>
      </c>
    </row>
    <row r="527" spans="1:64" ht="15.75" thickBot="1" x14ac:dyDescent="0.3">
      <c r="A527" s="37">
        <v>519</v>
      </c>
      <c r="B527" s="93">
        <f t="shared" ref="B527:E527" si="3602">B526</f>
        <v>45919</v>
      </c>
      <c r="C527" s="93">
        <f t="shared" si="3602"/>
        <v>45919</v>
      </c>
      <c r="D527" s="94">
        <f t="shared" si="3602"/>
        <v>6</v>
      </c>
      <c r="E527" s="95">
        <f t="shared" si="3602"/>
        <v>15</v>
      </c>
      <c r="F527" s="13"/>
      <c r="G527" s="90"/>
      <c r="H527" s="97">
        <f t="shared" ref="H527:L527" si="3603">H526</f>
        <v>25.6</v>
      </c>
      <c r="I527" s="98">
        <f t="shared" si="3603"/>
        <v>0</v>
      </c>
      <c r="J527" s="99">
        <f t="shared" si="3603"/>
        <v>20.9</v>
      </c>
      <c r="K527" s="99">
        <f t="shared" si="3603"/>
        <v>7.883</v>
      </c>
      <c r="L527" s="99">
        <f t="shared" si="3603"/>
        <v>0.55400000000000005</v>
      </c>
      <c r="M527" s="45"/>
      <c r="N527" s="45"/>
      <c r="O527" s="100">
        <f t="shared" ref="O527:P527" si="3604">O526</f>
        <v>100.62</v>
      </c>
      <c r="P527" s="101" t="str">
        <f t="shared" si="3604"/>
        <v>2,29,560</v>
      </c>
      <c r="Q527" s="11" t="str">
        <f t="shared" si="3452"/>
        <v>2</v>
      </c>
      <c r="R527" s="11" t="str">
        <f t="shared" si="3453"/>
        <v>29,560</v>
      </c>
      <c r="S527" s="11">
        <f t="shared" si="3454"/>
        <v>4.1544444444444446E-2</v>
      </c>
      <c r="T527" s="14">
        <f t="shared" si="3455"/>
        <v>2421.9844878309709</v>
      </c>
      <c r="U527" s="39">
        <f t="shared" si="3544"/>
        <v>-100</v>
      </c>
      <c r="V527" s="105">
        <f t="shared" ref="V527:X527" si="3605">V526</f>
        <v>20.399999999999999</v>
      </c>
      <c r="W527" s="105">
        <f t="shared" si="3605"/>
        <v>1.5069999999999999</v>
      </c>
      <c r="X527" s="106">
        <f t="shared" si="3605"/>
        <v>1.504</v>
      </c>
      <c r="Y527" s="45"/>
      <c r="Z527" s="45"/>
      <c r="AA527" s="107">
        <f t="shared" ref="AA527:AB527" si="3606">AA526</f>
        <v>10.015000000000001</v>
      </c>
      <c r="AB527" s="108" t="str">
        <f t="shared" si="3606"/>
        <v>22,10,090</v>
      </c>
      <c r="AC527" s="11" t="str">
        <f t="shared" si="3458"/>
        <v>22</v>
      </c>
      <c r="AD527" s="11" t="str">
        <f t="shared" si="3459"/>
        <v>10,090</v>
      </c>
      <c r="AE527" s="11">
        <f t="shared" si="3460"/>
        <v>0.36946944444444441</v>
      </c>
      <c r="AF527" s="14">
        <f t="shared" si="3547"/>
        <v>27.106436406558959</v>
      </c>
      <c r="AG527" s="41">
        <f t="shared" si="3475"/>
        <v>-100</v>
      </c>
      <c r="AH527" s="105">
        <f t="shared" ref="AH527:AJ527" si="3607">AH526</f>
        <v>20.3</v>
      </c>
      <c r="AI527" s="105">
        <f t="shared" si="3607"/>
        <v>1.5089999999999999</v>
      </c>
      <c r="AJ527" s="105">
        <f t="shared" si="3607"/>
        <v>1.504</v>
      </c>
      <c r="AK527" s="53">
        <f t="shared" si="3375"/>
        <v>0</v>
      </c>
      <c r="AL527" s="45"/>
      <c r="AM527" s="54">
        <f t="shared" ref="AM527:AN527" si="3608">AM526</f>
        <v>5.0129999999999999</v>
      </c>
      <c r="AN527" s="101" t="str">
        <f t="shared" si="3608"/>
        <v>17,59,050</v>
      </c>
      <c r="AO527" s="11" t="str">
        <f t="shared" si="3463"/>
        <v>17</v>
      </c>
      <c r="AP527" s="11" t="str">
        <f t="shared" si="3464"/>
        <v>59,050</v>
      </c>
      <c r="AQ527" s="11">
        <f t="shared" si="3465"/>
        <v>0.29973611111111109</v>
      </c>
      <c r="AR527" s="14">
        <f t="shared" si="3550"/>
        <v>16.724711551827998</v>
      </c>
      <c r="AS527" s="41">
        <f t="shared" si="3551"/>
        <v>-100</v>
      </c>
      <c r="AT527" s="43" t="str">
        <f t="shared" si="3552"/>
        <v>NO CONFORME</v>
      </c>
      <c r="AU527" s="8" t="b">
        <f t="shared" si="3571"/>
        <v>1</v>
      </c>
      <c r="AV527" s="8" t="b">
        <f t="shared" si="3466"/>
        <v>0</v>
      </c>
      <c r="AW527" s="8" t="b">
        <f t="shared" si="3467"/>
        <v>1</v>
      </c>
      <c r="AX527" s="8" t="str">
        <f t="shared" si="3468"/>
        <v>Qcorrecto</v>
      </c>
      <c r="AY527" s="22" t="str">
        <f t="shared" si="3553"/>
        <v>aceptable</v>
      </c>
      <c r="AZ527" s="22" t="str">
        <f t="shared" si="3554"/>
        <v>aceptable</v>
      </c>
      <c r="BA527" s="22" t="str">
        <f t="shared" si="3469"/>
        <v>aceptable</v>
      </c>
      <c r="BB527" s="25" t="str">
        <f t="shared" si="3572"/>
        <v>NO CONFORME</v>
      </c>
      <c r="BC527" s="5" t="str">
        <f t="shared" si="3573"/>
        <v>NO CONFORME</v>
      </c>
      <c r="BD527" s="15">
        <f t="shared" si="3555"/>
        <v>-1</v>
      </c>
      <c r="BE527" s="15">
        <f t="shared" si="3556"/>
        <v>-1</v>
      </c>
      <c r="BF527" s="15">
        <f t="shared" si="3557"/>
        <v>-1</v>
      </c>
      <c r="BG527" s="15" t="str">
        <f t="shared" si="3558"/>
        <v>-1-1-1</v>
      </c>
      <c r="BH527" s="15" t="str">
        <f t="shared" si="3559"/>
        <v>SD</v>
      </c>
      <c r="BI527" s="15" t="str">
        <f t="shared" si="3560"/>
        <v>SI</v>
      </c>
      <c r="BJ527" s="15" t="b">
        <f t="shared" si="3561"/>
        <v>1</v>
      </c>
      <c r="BK527" s="15" t="str">
        <f t="shared" si="3562"/>
        <v>SIGIGUALES</v>
      </c>
      <c r="BL527" s="22" t="str">
        <f t="shared" si="3563"/>
        <v>NO CONFORME</v>
      </c>
    </row>
    <row r="528" spans="1:64" ht="15.75" thickBot="1" x14ac:dyDescent="0.3">
      <c r="A528" s="37">
        <v>520</v>
      </c>
      <c r="B528" s="93">
        <f t="shared" ref="B528:E528" si="3609">B527</f>
        <v>45919</v>
      </c>
      <c r="C528" s="93">
        <f t="shared" si="3609"/>
        <v>45919</v>
      </c>
      <c r="D528" s="94">
        <f t="shared" si="3609"/>
        <v>6</v>
      </c>
      <c r="E528" s="95">
        <f t="shared" si="3609"/>
        <v>15</v>
      </c>
      <c r="F528" s="13"/>
      <c r="G528" s="90"/>
      <c r="H528" s="97">
        <f t="shared" ref="H528:L528" si="3610">H527</f>
        <v>25.6</v>
      </c>
      <c r="I528" s="98">
        <f t="shared" si="3610"/>
        <v>0</v>
      </c>
      <c r="J528" s="99">
        <f t="shared" si="3610"/>
        <v>20.9</v>
      </c>
      <c r="K528" s="99">
        <f t="shared" si="3610"/>
        <v>7.883</v>
      </c>
      <c r="L528" s="99">
        <f t="shared" si="3610"/>
        <v>0.55400000000000005</v>
      </c>
      <c r="M528" s="45"/>
      <c r="N528" s="45"/>
      <c r="O528" s="100">
        <f t="shared" ref="O528:P528" si="3611">O527</f>
        <v>100.62</v>
      </c>
      <c r="P528" s="101" t="str">
        <f t="shared" si="3611"/>
        <v>2,29,560</v>
      </c>
      <c r="Q528" s="11" t="str">
        <f t="shared" si="3452"/>
        <v>2</v>
      </c>
      <c r="R528" s="11" t="str">
        <f t="shared" si="3453"/>
        <v>29,560</v>
      </c>
      <c r="S528" s="11">
        <f t="shared" si="3454"/>
        <v>4.1544444444444446E-2</v>
      </c>
      <c r="T528" s="14">
        <f t="shared" si="3455"/>
        <v>2421.9844878309709</v>
      </c>
      <c r="U528" s="39">
        <f t="shared" si="3544"/>
        <v>-100</v>
      </c>
      <c r="V528" s="105">
        <f t="shared" ref="V528:X528" si="3612">V527</f>
        <v>20.399999999999999</v>
      </c>
      <c r="W528" s="105">
        <f t="shared" si="3612"/>
        <v>1.5069999999999999</v>
      </c>
      <c r="X528" s="106">
        <f t="shared" si="3612"/>
        <v>1.504</v>
      </c>
      <c r="Y528" s="45"/>
      <c r="Z528" s="45"/>
      <c r="AA528" s="107">
        <f t="shared" ref="AA528:AB528" si="3613">AA527</f>
        <v>10.015000000000001</v>
      </c>
      <c r="AB528" s="108" t="str">
        <f t="shared" si="3613"/>
        <v>22,10,090</v>
      </c>
      <c r="AC528" s="11" t="str">
        <f t="shared" si="3458"/>
        <v>22</v>
      </c>
      <c r="AD528" s="11" t="str">
        <f t="shared" si="3459"/>
        <v>10,090</v>
      </c>
      <c r="AE528" s="11">
        <f t="shared" si="3460"/>
        <v>0.36946944444444441</v>
      </c>
      <c r="AF528" s="14">
        <f t="shared" si="3547"/>
        <v>27.106436406558959</v>
      </c>
      <c r="AG528" s="41">
        <f t="shared" si="3475"/>
        <v>-100</v>
      </c>
      <c r="AH528" s="105">
        <f t="shared" ref="AH528:AJ528" si="3614">AH527</f>
        <v>20.3</v>
      </c>
      <c r="AI528" s="105">
        <f t="shared" si="3614"/>
        <v>1.5089999999999999</v>
      </c>
      <c r="AJ528" s="105">
        <f t="shared" si="3614"/>
        <v>1.504</v>
      </c>
      <c r="AK528" s="53">
        <f t="shared" si="3375"/>
        <v>0</v>
      </c>
      <c r="AL528" s="45"/>
      <c r="AM528" s="54">
        <f t="shared" ref="AM528:AN528" si="3615">AM527</f>
        <v>5.0129999999999999</v>
      </c>
      <c r="AN528" s="101" t="str">
        <f t="shared" si="3615"/>
        <v>17,59,050</v>
      </c>
      <c r="AO528" s="11" t="str">
        <f t="shared" si="3463"/>
        <v>17</v>
      </c>
      <c r="AP528" s="11" t="str">
        <f t="shared" si="3464"/>
        <v>59,050</v>
      </c>
      <c r="AQ528" s="11">
        <f t="shared" si="3465"/>
        <v>0.29973611111111109</v>
      </c>
      <c r="AR528" s="14">
        <f t="shared" si="3550"/>
        <v>16.724711551827998</v>
      </c>
      <c r="AS528" s="41">
        <f t="shared" si="3551"/>
        <v>-100</v>
      </c>
      <c r="AT528" s="43" t="str">
        <f t="shared" si="3552"/>
        <v>NO CONFORME</v>
      </c>
      <c r="AU528" s="8" t="b">
        <f t="shared" si="3571"/>
        <v>1</v>
      </c>
      <c r="AV528" s="8" t="b">
        <f t="shared" si="3466"/>
        <v>0</v>
      </c>
      <c r="AW528" s="8" t="b">
        <f t="shared" si="3467"/>
        <v>1</v>
      </c>
      <c r="AX528" s="8" t="str">
        <f t="shared" si="3468"/>
        <v>Qcorrecto</v>
      </c>
      <c r="AY528" s="22" t="str">
        <f t="shared" si="3553"/>
        <v>aceptable</v>
      </c>
      <c r="AZ528" s="22" t="str">
        <f t="shared" si="3554"/>
        <v>aceptable</v>
      </c>
      <c r="BA528" s="22" t="str">
        <f t="shared" si="3469"/>
        <v>aceptable</v>
      </c>
      <c r="BB528" s="25" t="str">
        <f t="shared" si="3572"/>
        <v>NO CONFORME</v>
      </c>
      <c r="BC528" s="5" t="str">
        <f t="shared" si="3573"/>
        <v>NO CONFORME</v>
      </c>
      <c r="BD528" s="15">
        <f t="shared" si="3555"/>
        <v>-1</v>
      </c>
      <c r="BE528" s="15">
        <f t="shared" si="3556"/>
        <v>-1</v>
      </c>
      <c r="BF528" s="15">
        <f t="shared" si="3557"/>
        <v>-1</v>
      </c>
      <c r="BG528" s="15" t="str">
        <f t="shared" si="3558"/>
        <v>-1-1-1</v>
      </c>
      <c r="BH528" s="15" t="str">
        <f t="shared" si="3559"/>
        <v>SD</v>
      </c>
      <c r="BI528" s="15" t="str">
        <f t="shared" si="3560"/>
        <v>SI</v>
      </c>
      <c r="BJ528" s="15" t="b">
        <f t="shared" si="3561"/>
        <v>1</v>
      </c>
      <c r="BK528" s="15" t="str">
        <f t="shared" si="3562"/>
        <v>SIGIGUALES</v>
      </c>
      <c r="BL528" s="22" t="str">
        <f t="shared" si="3563"/>
        <v>NO CONFORME</v>
      </c>
    </row>
    <row r="529" spans="1:64" ht="15.75" thickBot="1" x14ac:dyDescent="0.3">
      <c r="A529" s="37">
        <v>521</v>
      </c>
      <c r="B529" s="93">
        <f t="shared" ref="B529:E529" si="3616">B528</f>
        <v>45919</v>
      </c>
      <c r="C529" s="93">
        <f t="shared" si="3616"/>
        <v>45919</v>
      </c>
      <c r="D529" s="94">
        <f t="shared" si="3616"/>
        <v>6</v>
      </c>
      <c r="E529" s="95">
        <f t="shared" si="3616"/>
        <v>15</v>
      </c>
      <c r="F529" s="13"/>
      <c r="G529" s="90"/>
      <c r="H529" s="97">
        <f t="shared" ref="H529:L529" si="3617">H528</f>
        <v>25.6</v>
      </c>
      <c r="I529" s="98">
        <f t="shared" si="3617"/>
        <v>0</v>
      </c>
      <c r="J529" s="99">
        <f t="shared" si="3617"/>
        <v>20.9</v>
      </c>
      <c r="K529" s="99">
        <f t="shared" si="3617"/>
        <v>7.883</v>
      </c>
      <c r="L529" s="99">
        <f t="shared" si="3617"/>
        <v>0.55400000000000005</v>
      </c>
      <c r="M529" s="45"/>
      <c r="N529" s="45"/>
      <c r="O529" s="100">
        <f t="shared" ref="O529:P529" si="3618">O528</f>
        <v>100.62</v>
      </c>
      <c r="P529" s="101" t="str">
        <f t="shared" si="3618"/>
        <v>2,29,560</v>
      </c>
      <c r="Q529" s="11" t="str">
        <f t="shared" si="3452"/>
        <v>2</v>
      </c>
      <c r="R529" s="11" t="str">
        <f t="shared" si="3453"/>
        <v>29,560</v>
      </c>
      <c r="S529" s="11">
        <f t="shared" si="3454"/>
        <v>4.1544444444444446E-2</v>
      </c>
      <c r="T529" s="14">
        <f t="shared" si="3455"/>
        <v>2421.9844878309709</v>
      </c>
      <c r="U529" s="39">
        <f t="shared" si="3544"/>
        <v>-100</v>
      </c>
      <c r="V529" s="105">
        <f t="shared" ref="V529:X529" si="3619">V528</f>
        <v>20.399999999999999</v>
      </c>
      <c r="W529" s="105">
        <f t="shared" si="3619"/>
        <v>1.5069999999999999</v>
      </c>
      <c r="X529" s="106">
        <f t="shared" si="3619"/>
        <v>1.504</v>
      </c>
      <c r="Y529" s="45"/>
      <c r="Z529" s="45"/>
      <c r="AA529" s="107">
        <f t="shared" ref="AA529:AB529" si="3620">AA528</f>
        <v>10.015000000000001</v>
      </c>
      <c r="AB529" s="108" t="str">
        <f t="shared" si="3620"/>
        <v>22,10,090</v>
      </c>
      <c r="AC529" s="11" t="str">
        <f t="shared" si="3458"/>
        <v>22</v>
      </c>
      <c r="AD529" s="11" t="str">
        <f t="shared" si="3459"/>
        <v>10,090</v>
      </c>
      <c r="AE529" s="11">
        <f t="shared" si="3460"/>
        <v>0.36946944444444441</v>
      </c>
      <c r="AF529" s="14">
        <f t="shared" si="3547"/>
        <v>27.106436406558959</v>
      </c>
      <c r="AG529" s="41">
        <f t="shared" si="3475"/>
        <v>-100</v>
      </c>
      <c r="AH529" s="105">
        <f t="shared" ref="AH529:AJ529" si="3621">AH528</f>
        <v>20.3</v>
      </c>
      <c r="AI529" s="105">
        <f t="shared" si="3621"/>
        <v>1.5089999999999999</v>
      </c>
      <c r="AJ529" s="105">
        <f t="shared" si="3621"/>
        <v>1.504</v>
      </c>
      <c r="AK529" s="53">
        <f t="shared" si="3375"/>
        <v>0</v>
      </c>
      <c r="AL529" s="45"/>
      <c r="AM529" s="54">
        <f t="shared" ref="AM529:AN529" si="3622">AM528</f>
        <v>5.0129999999999999</v>
      </c>
      <c r="AN529" s="101" t="str">
        <f t="shared" si="3622"/>
        <v>17,59,050</v>
      </c>
      <c r="AO529" s="11" t="str">
        <f t="shared" si="3463"/>
        <v>17</v>
      </c>
      <c r="AP529" s="11" t="str">
        <f t="shared" si="3464"/>
        <v>59,050</v>
      </c>
      <c r="AQ529" s="11">
        <f t="shared" si="3465"/>
        <v>0.29973611111111109</v>
      </c>
      <c r="AR529" s="14">
        <f t="shared" si="3550"/>
        <v>16.724711551827998</v>
      </c>
      <c r="AS529" s="41">
        <f t="shared" si="3551"/>
        <v>-100</v>
      </c>
      <c r="AT529" s="43" t="str">
        <f t="shared" si="3552"/>
        <v>NO CONFORME</v>
      </c>
      <c r="AU529" s="8" t="b">
        <f t="shared" si="3571"/>
        <v>1</v>
      </c>
      <c r="AV529" s="8" t="b">
        <f t="shared" si="3466"/>
        <v>0</v>
      </c>
      <c r="AW529" s="8" t="b">
        <f t="shared" si="3467"/>
        <v>1</v>
      </c>
      <c r="AX529" s="8" t="str">
        <f t="shared" si="3468"/>
        <v>Qcorrecto</v>
      </c>
      <c r="AY529" s="22" t="str">
        <f t="shared" si="3553"/>
        <v>aceptable</v>
      </c>
      <c r="AZ529" s="22" t="str">
        <f t="shared" si="3554"/>
        <v>aceptable</v>
      </c>
      <c r="BA529" s="22" t="str">
        <f t="shared" si="3469"/>
        <v>aceptable</v>
      </c>
      <c r="BB529" s="25" t="str">
        <f t="shared" si="3572"/>
        <v>NO CONFORME</v>
      </c>
      <c r="BC529" s="5" t="str">
        <f t="shared" si="3573"/>
        <v>NO CONFORME</v>
      </c>
      <c r="BD529" s="15">
        <f t="shared" si="3555"/>
        <v>-1</v>
      </c>
      <c r="BE529" s="15">
        <f t="shared" si="3556"/>
        <v>-1</v>
      </c>
      <c r="BF529" s="15">
        <f t="shared" si="3557"/>
        <v>-1</v>
      </c>
      <c r="BG529" s="15" t="str">
        <f t="shared" si="3558"/>
        <v>-1-1-1</v>
      </c>
      <c r="BH529" s="15" t="str">
        <f t="shared" si="3559"/>
        <v>SD</v>
      </c>
      <c r="BI529" s="15" t="str">
        <f t="shared" si="3560"/>
        <v>SI</v>
      </c>
      <c r="BJ529" s="15" t="b">
        <f t="shared" si="3561"/>
        <v>1</v>
      </c>
      <c r="BK529" s="15" t="str">
        <f t="shared" si="3562"/>
        <v>SIGIGUALES</v>
      </c>
      <c r="BL529" s="22" t="str">
        <f t="shared" si="3563"/>
        <v>NO CONFORME</v>
      </c>
    </row>
    <row r="530" spans="1:64" ht="15.75" thickBot="1" x14ac:dyDescent="0.3">
      <c r="A530" s="37">
        <v>522</v>
      </c>
      <c r="B530" s="93">
        <f t="shared" ref="B530:E530" si="3623">B529</f>
        <v>45919</v>
      </c>
      <c r="C530" s="93">
        <f t="shared" si="3623"/>
        <v>45919</v>
      </c>
      <c r="D530" s="94">
        <f t="shared" si="3623"/>
        <v>6</v>
      </c>
      <c r="E530" s="95">
        <f t="shared" si="3623"/>
        <v>15</v>
      </c>
      <c r="F530" s="13"/>
      <c r="G530" s="90"/>
      <c r="H530" s="97">
        <f t="shared" ref="H530:L530" si="3624">H529</f>
        <v>25.6</v>
      </c>
      <c r="I530" s="98">
        <f t="shared" si="3624"/>
        <v>0</v>
      </c>
      <c r="J530" s="99">
        <f t="shared" si="3624"/>
        <v>20.9</v>
      </c>
      <c r="K530" s="99">
        <f t="shared" si="3624"/>
        <v>7.883</v>
      </c>
      <c r="L530" s="99">
        <f t="shared" si="3624"/>
        <v>0.55400000000000005</v>
      </c>
      <c r="M530" s="45"/>
      <c r="N530" s="45"/>
      <c r="O530" s="100">
        <f t="shared" ref="O530:P530" si="3625">O529</f>
        <v>100.62</v>
      </c>
      <c r="P530" s="101" t="str">
        <f t="shared" si="3625"/>
        <v>2,29,560</v>
      </c>
      <c r="Q530" s="11" t="str">
        <f t="shared" si="3452"/>
        <v>2</v>
      </c>
      <c r="R530" s="11" t="str">
        <f t="shared" si="3453"/>
        <v>29,560</v>
      </c>
      <c r="S530" s="11">
        <f t="shared" si="3454"/>
        <v>4.1544444444444446E-2</v>
      </c>
      <c r="T530" s="14">
        <f t="shared" si="3455"/>
        <v>2421.9844878309709</v>
      </c>
      <c r="U530" s="39">
        <f t="shared" si="3544"/>
        <v>-100</v>
      </c>
      <c r="V530" s="105">
        <f t="shared" ref="V530:X530" si="3626">V529</f>
        <v>20.399999999999999</v>
      </c>
      <c r="W530" s="105">
        <f t="shared" si="3626"/>
        <v>1.5069999999999999</v>
      </c>
      <c r="X530" s="106">
        <f t="shared" si="3626"/>
        <v>1.504</v>
      </c>
      <c r="Y530" s="45"/>
      <c r="Z530" s="45"/>
      <c r="AA530" s="107">
        <f t="shared" ref="AA530:AB530" si="3627">AA529</f>
        <v>10.015000000000001</v>
      </c>
      <c r="AB530" s="108" t="str">
        <f t="shared" si="3627"/>
        <v>22,10,090</v>
      </c>
      <c r="AC530" s="11" t="str">
        <f t="shared" si="3458"/>
        <v>22</v>
      </c>
      <c r="AD530" s="11" t="str">
        <f t="shared" si="3459"/>
        <v>10,090</v>
      </c>
      <c r="AE530" s="11">
        <f t="shared" si="3460"/>
        <v>0.36946944444444441</v>
      </c>
      <c r="AF530" s="14">
        <f t="shared" si="3547"/>
        <v>27.106436406558959</v>
      </c>
      <c r="AG530" s="41">
        <f t="shared" si="3475"/>
        <v>-100</v>
      </c>
      <c r="AH530" s="105">
        <f t="shared" ref="AH530:AJ530" si="3628">AH529</f>
        <v>20.3</v>
      </c>
      <c r="AI530" s="105">
        <f t="shared" si="3628"/>
        <v>1.5089999999999999</v>
      </c>
      <c r="AJ530" s="105">
        <f t="shared" si="3628"/>
        <v>1.504</v>
      </c>
      <c r="AK530" s="53">
        <f t="shared" si="3375"/>
        <v>0</v>
      </c>
      <c r="AL530" s="45"/>
      <c r="AM530" s="54">
        <f t="shared" ref="AM530:AN530" si="3629">AM529</f>
        <v>5.0129999999999999</v>
      </c>
      <c r="AN530" s="101" t="str">
        <f t="shared" si="3629"/>
        <v>17,59,050</v>
      </c>
      <c r="AO530" s="11" t="str">
        <f t="shared" si="3463"/>
        <v>17</v>
      </c>
      <c r="AP530" s="11" t="str">
        <f t="shared" si="3464"/>
        <v>59,050</v>
      </c>
      <c r="AQ530" s="11">
        <f t="shared" si="3465"/>
        <v>0.29973611111111109</v>
      </c>
      <c r="AR530" s="14">
        <f t="shared" si="3550"/>
        <v>16.724711551827998</v>
      </c>
      <c r="AS530" s="41">
        <f t="shared" si="3551"/>
        <v>-100</v>
      </c>
      <c r="AT530" s="43" t="str">
        <f t="shared" si="3552"/>
        <v>NO CONFORME</v>
      </c>
      <c r="AU530" s="8" t="b">
        <f t="shared" si="3571"/>
        <v>1</v>
      </c>
      <c r="AV530" s="8" t="b">
        <f t="shared" si="3466"/>
        <v>0</v>
      </c>
      <c r="AW530" s="8" t="b">
        <f t="shared" si="3467"/>
        <v>1</v>
      </c>
      <c r="AX530" s="8" t="str">
        <f t="shared" si="3468"/>
        <v>Qcorrecto</v>
      </c>
      <c r="AY530" s="22" t="str">
        <f t="shared" si="3553"/>
        <v>aceptable</v>
      </c>
      <c r="AZ530" s="22" t="str">
        <f t="shared" si="3554"/>
        <v>aceptable</v>
      </c>
      <c r="BA530" s="22" t="str">
        <f t="shared" si="3469"/>
        <v>aceptable</v>
      </c>
      <c r="BB530" s="25" t="str">
        <f t="shared" si="3572"/>
        <v>NO CONFORME</v>
      </c>
      <c r="BC530" s="5" t="str">
        <f t="shared" si="3573"/>
        <v>NO CONFORME</v>
      </c>
      <c r="BD530" s="15">
        <f t="shared" si="3555"/>
        <v>-1</v>
      </c>
      <c r="BE530" s="15">
        <f t="shared" si="3556"/>
        <v>-1</v>
      </c>
      <c r="BF530" s="15">
        <f t="shared" si="3557"/>
        <v>-1</v>
      </c>
      <c r="BG530" s="15" t="str">
        <f t="shared" si="3558"/>
        <v>-1-1-1</v>
      </c>
      <c r="BH530" s="15" t="str">
        <f t="shared" si="3559"/>
        <v>SD</v>
      </c>
      <c r="BI530" s="15" t="str">
        <f t="shared" si="3560"/>
        <v>SI</v>
      </c>
      <c r="BJ530" s="15" t="b">
        <f t="shared" si="3561"/>
        <v>1</v>
      </c>
      <c r="BK530" s="15" t="str">
        <f t="shared" si="3562"/>
        <v>SIGIGUALES</v>
      </c>
      <c r="BL530" s="22" t="str">
        <f t="shared" si="3563"/>
        <v>NO CONFORME</v>
      </c>
    </row>
    <row r="531" spans="1:64" ht="15.75" thickBot="1" x14ac:dyDescent="0.3">
      <c r="A531" s="37">
        <v>523</v>
      </c>
      <c r="B531" s="93">
        <f t="shared" ref="B531:E531" si="3630">B530</f>
        <v>45919</v>
      </c>
      <c r="C531" s="93">
        <f t="shared" si="3630"/>
        <v>45919</v>
      </c>
      <c r="D531" s="94">
        <f t="shared" si="3630"/>
        <v>6</v>
      </c>
      <c r="E531" s="95">
        <f t="shared" si="3630"/>
        <v>15</v>
      </c>
      <c r="F531" s="13"/>
      <c r="G531" s="109"/>
      <c r="H531" s="97">
        <f t="shared" ref="H531:L531" si="3631">H530</f>
        <v>25.6</v>
      </c>
      <c r="I531" s="98">
        <f t="shared" si="3631"/>
        <v>0</v>
      </c>
      <c r="J531" s="99">
        <f t="shared" si="3631"/>
        <v>20.9</v>
      </c>
      <c r="K531" s="99">
        <f t="shared" si="3631"/>
        <v>7.883</v>
      </c>
      <c r="L531" s="99">
        <f t="shared" si="3631"/>
        <v>0.55400000000000005</v>
      </c>
      <c r="M531" s="45"/>
      <c r="N531" s="45"/>
      <c r="O531" s="100">
        <f t="shared" ref="O531:P531" si="3632">O530</f>
        <v>100.62</v>
      </c>
      <c r="P531" s="101" t="str">
        <f t="shared" si="3632"/>
        <v>2,29,560</v>
      </c>
      <c r="Q531" s="11" t="str">
        <f t="shared" si="3452"/>
        <v>2</v>
      </c>
      <c r="R531" s="11" t="str">
        <f t="shared" si="3453"/>
        <v>29,560</v>
      </c>
      <c r="S531" s="11">
        <f t="shared" si="3454"/>
        <v>4.1544444444444446E-2</v>
      </c>
      <c r="T531" s="14">
        <f t="shared" si="3455"/>
        <v>2421.9844878309709</v>
      </c>
      <c r="U531" s="39">
        <f t="shared" si="3544"/>
        <v>-100</v>
      </c>
      <c r="V531" s="105">
        <f t="shared" ref="V531:X531" si="3633">V530</f>
        <v>20.399999999999999</v>
      </c>
      <c r="W531" s="105">
        <f t="shared" si="3633"/>
        <v>1.5069999999999999</v>
      </c>
      <c r="X531" s="106">
        <f t="shared" si="3633"/>
        <v>1.504</v>
      </c>
      <c r="Y531" s="45"/>
      <c r="Z531" s="45"/>
      <c r="AA531" s="107">
        <f t="shared" ref="AA531:AB531" si="3634">AA530</f>
        <v>10.015000000000001</v>
      </c>
      <c r="AB531" s="108" t="str">
        <f t="shared" si="3634"/>
        <v>22,10,090</v>
      </c>
      <c r="AC531" s="11" t="str">
        <f t="shared" si="3458"/>
        <v>22</v>
      </c>
      <c r="AD531" s="11" t="str">
        <f t="shared" si="3459"/>
        <v>10,090</v>
      </c>
      <c r="AE531" s="11">
        <f t="shared" si="3460"/>
        <v>0.36946944444444441</v>
      </c>
      <c r="AF531" s="14">
        <f t="shared" si="3547"/>
        <v>27.106436406558959</v>
      </c>
      <c r="AG531" s="41">
        <f t="shared" si="3475"/>
        <v>-100</v>
      </c>
      <c r="AH531" s="105">
        <f t="shared" ref="AH531:AJ531" si="3635">AH530</f>
        <v>20.3</v>
      </c>
      <c r="AI531" s="105">
        <f t="shared" si="3635"/>
        <v>1.5089999999999999</v>
      </c>
      <c r="AJ531" s="105">
        <f t="shared" si="3635"/>
        <v>1.504</v>
      </c>
      <c r="AK531" s="53">
        <f t="shared" si="3375"/>
        <v>0</v>
      </c>
      <c r="AL531" s="45"/>
      <c r="AM531" s="54">
        <f t="shared" ref="AM531:AN531" si="3636">AM530</f>
        <v>5.0129999999999999</v>
      </c>
      <c r="AN531" s="101" t="str">
        <f t="shared" si="3636"/>
        <v>17,59,050</v>
      </c>
      <c r="AO531" s="11" t="str">
        <f t="shared" si="3463"/>
        <v>17</v>
      </c>
      <c r="AP531" s="11" t="str">
        <f t="shared" si="3464"/>
        <v>59,050</v>
      </c>
      <c r="AQ531" s="11">
        <f t="shared" si="3465"/>
        <v>0.29973611111111109</v>
      </c>
      <c r="AR531" s="14">
        <f t="shared" si="3550"/>
        <v>16.724711551827998</v>
      </c>
      <c r="AS531" s="41">
        <f t="shared" si="3551"/>
        <v>-100</v>
      </c>
      <c r="AT531" s="43" t="str">
        <f t="shared" si="3552"/>
        <v>NO CONFORME</v>
      </c>
      <c r="AU531" s="8" t="b">
        <f t="shared" si="3571"/>
        <v>1</v>
      </c>
      <c r="AV531" s="8" t="b">
        <f t="shared" si="3466"/>
        <v>0</v>
      </c>
      <c r="AW531" s="8" t="b">
        <f t="shared" si="3467"/>
        <v>1</v>
      </c>
      <c r="AX531" s="8" t="str">
        <f t="shared" si="3468"/>
        <v>Qcorrecto</v>
      </c>
      <c r="AY531" s="22" t="str">
        <f t="shared" si="3553"/>
        <v>aceptable</v>
      </c>
      <c r="AZ531" s="22" t="str">
        <f t="shared" si="3554"/>
        <v>aceptable</v>
      </c>
      <c r="BA531" s="22" t="str">
        <f t="shared" si="3469"/>
        <v>aceptable</v>
      </c>
      <c r="BB531" s="25" t="str">
        <f t="shared" si="3572"/>
        <v>NO CONFORME</v>
      </c>
      <c r="BC531" s="5" t="str">
        <f t="shared" si="3573"/>
        <v>NO CONFORME</v>
      </c>
      <c r="BD531" s="15">
        <f t="shared" si="3555"/>
        <v>-1</v>
      </c>
      <c r="BE531" s="15">
        <f t="shared" si="3556"/>
        <v>-1</v>
      </c>
      <c r="BF531" s="15">
        <f t="shared" si="3557"/>
        <v>-1</v>
      </c>
      <c r="BG531" s="15" t="str">
        <f t="shared" si="3558"/>
        <v>-1-1-1</v>
      </c>
      <c r="BH531" s="15" t="str">
        <f t="shared" si="3559"/>
        <v>SD</v>
      </c>
      <c r="BI531" s="15" t="str">
        <f t="shared" si="3560"/>
        <v>SI</v>
      </c>
      <c r="BJ531" s="15" t="b">
        <f t="shared" si="3561"/>
        <v>1</v>
      </c>
      <c r="BK531" s="15" t="str">
        <f t="shared" si="3562"/>
        <v>SIGIGUALES</v>
      </c>
      <c r="BL531" s="22" t="str">
        <f t="shared" si="3563"/>
        <v>NO CONFORME</v>
      </c>
    </row>
    <row r="532" spans="1:64" ht="15.75" thickBot="1" x14ac:dyDescent="0.3">
      <c r="A532" s="37">
        <v>524</v>
      </c>
      <c r="B532" s="93">
        <f t="shared" ref="B532:E532" si="3637">B531</f>
        <v>45919</v>
      </c>
      <c r="C532" s="93">
        <f t="shared" si="3637"/>
        <v>45919</v>
      </c>
      <c r="D532" s="94">
        <f t="shared" si="3637"/>
        <v>6</v>
      </c>
      <c r="E532" s="95">
        <f t="shared" si="3637"/>
        <v>15</v>
      </c>
      <c r="F532" s="13"/>
      <c r="G532" s="90"/>
      <c r="H532" s="97">
        <f t="shared" ref="H532:L532" si="3638">H531</f>
        <v>25.6</v>
      </c>
      <c r="I532" s="98">
        <f t="shared" si="3638"/>
        <v>0</v>
      </c>
      <c r="J532" s="99">
        <f t="shared" si="3638"/>
        <v>20.9</v>
      </c>
      <c r="K532" s="99">
        <f t="shared" si="3638"/>
        <v>7.883</v>
      </c>
      <c r="L532" s="99">
        <f t="shared" si="3638"/>
        <v>0.55400000000000005</v>
      </c>
      <c r="M532" s="45"/>
      <c r="N532" s="45"/>
      <c r="O532" s="100">
        <f t="shared" ref="O532:P532" si="3639">O531</f>
        <v>100.62</v>
      </c>
      <c r="P532" s="101" t="str">
        <f t="shared" si="3639"/>
        <v>2,29,560</v>
      </c>
      <c r="Q532" s="11" t="str">
        <f t="shared" si="3452"/>
        <v>2</v>
      </c>
      <c r="R532" s="11" t="str">
        <f t="shared" si="3453"/>
        <v>29,560</v>
      </c>
      <c r="S532" s="11">
        <f t="shared" si="3454"/>
        <v>4.1544444444444446E-2</v>
      </c>
      <c r="T532" s="14">
        <f t="shared" si="3455"/>
        <v>2421.9844878309709</v>
      </c>
      <c r="U532" s="39">
        <f t="shared" si="3544"/>
        <v>-100</v>
      </c>
      <c r="V532" s="105">
        <f t="shared" ref="V532:X532" si="3640">V531</f>
        <v>20.399999999999999</v>
      </c>
      <c r="W532" s="105">
        <f t="shared" si="3640"/>
        <v>1.5069999999999999</v>
      </c>
      <c r="X532" s="106">
        <f t="shared" si="3640"/>
        <v>1.504</v>
      </c>
      <c r="Y532" s="45"/>
      <c r="Z532" s="45"/>
      <c r="AA532" s="107">
        <f t="shared" ref="AA532:AB532" si="3641">AA531</f>
        <v>10.015000000000001</v>
      </c>
      <c r="AB532" s="108" t="str">
        <f t="shared" si="3641"/>
        <v>22,10,090</v>
      </c>
      <c r="AC532" s="11" t="str">
        <f t="shared" si="3458"/>
        <v>22</v>
      </c>
      <c r="AD532" s="11" t="str">
        <f t="shared" si="3459"/>
        <v>10,090</v>
      </c>
      <c r="AE532" s="11">
        <f t="shared" si="3460"/>
        <v>0.36946944444444441</v>
      </c>
      <c r="AF532" s="14">
        <f t="shared" si="3547"/>
        <v>27.106436406558959</v>
      </c>
      <c r="AG532" s="41">
        <f t="shared" si="3475"/>
        <v>-100</v>
      </c>
      <c r="AH532" s="105">
        <f t="shared" ref="AH532:AJ532" si="3642">AH531</f>
        <v>20.3</v>
      </c>
      <c r="AI532" s="105">
        <f t="shared" si="3642"/>
        <v>1.5089999999999999</v>
      </c>
      <c r="AJ532" s="105">
        <f t="shared" si="3642"/>
        <v>1.504</v>
      </c>
      <c r="AK532" s="53">
        <f t="shared" si="3375"/>
        <v>0</v>
      </c>
      <c r="AL532" s="45"/>
      <c r="AM532" s="54">
        <f t="shared" ref="AM532:AN532" si="3643">AM531</f>
        <v>5.0129999999999999</v>
      </c>
      <c r="AN532" s="101" t="str">
        <f t="shared" si="3643"/>
        <v>17,59,050</v>
      </c>
      <c r="AO532" s="11" t="str">
        <f t="shared" si="3463"/>
        <v>17</v>
      </c>
      <c r="AP532" s="11" t="str">
        <f t="shared" si="3464"/>
        <v>59,050</v>
      </c>
      <c r="AQ532" s="11">
        <f t="shared" si="3465"/>
        <v>0.29973611111111109</v>
      </c>
      <c r="AR532" s="14">
        <f t="shared" si="3550"/>
        <v>16.724711551827998</v>
      </c>
      <c r="AS532" s="41">
        <f t="shared" si="3551"/>
        <v>-100</v>
      </c>
      <c r="AT532" s="43" t="str">
        <f t="shared" si="3552"/>
        <v>NO CONFORME</v>
      </c>
      <c r="AU532" s="8" t="b">
        <f t="shared" si="3571"/>
        <v>1</v>
      </c>
      <c r="AV532" s="8" t="b">
        <f t="shared" si="3466"/>
        <v>0</v>
      </c>
      <c r="AW532" s="8" t="b">
        <f t="shared" si="3467"/>
        <v>1</v>
      </c>
      <c r="AX532" s="8" t="str">
        <f t="shared" si="3468"/>
        <v>Qcorrecto</v>
      </c>
      <c r="AY532" s="22" t="str">
        <f t="shared" si="3553"/>
        <v>aceptable</v>
      </c>
      <c r="AZ532" s="22" t="str">
        <f t="shared" si="3554"/>
        <v>aceptable</v>
      </c>
      <c r="BA532" s="22" t="str">
        <f t="shared" si="3469"/>
        <v>aceptable</v>
      </c>
      <c r="BB532" s="25" t="str">
        <f t="shared" si="3572"/>
        <v>NO CONFORME</v>
      </c>
      <c r="BC532" s="5" t="str">
        <f t="shared" si="3573"/>
        <v>NO CONFORME</v>
      </c>
      <c r="BD532" s="15">
        <f t="shared" si="3555"/>
        <v>-1</v>
      </c>
      <c r="BE532" s="15">
        <f t="shared" si="3556"/>
        <v>-1</v>
      </c>
      <c r="BF532" s="15">
        <f t="shared" si="3557"/>
        <v>-1</v>
      </c>
      <c r="BG532" s="15" t="str">
        <f t="shared" si="3558"/>
        <v>-1-1-1</v>
      </c>
      <c r="BH532" s="15" t="str">
        <f t="shared" si="3559"/>
        <v>SD</v>
      </c>
      <c r="BI532" s="15" t="str">
        <f t="shared" si="3560"/>
        <v>SI</v>
      </c>
      <c r="BJ532" s="15" t="b">
        <f t="shared" si="3561"/>
        <v>1</v>
      </c>
      <c r="BK532" s="15" t="str">
        <f t="shared" si="3562"/>
        <v>SIGIGUALES</v>
      </c>
      <c r="BL532" s="22" t="str">
        <f t="shared" si="3563"/>
        <v>NO CONFORME</v>
      </c>
    </row>
    <row r="533" spans="1:64" ht="15.75" thickBot="1" x14ac:dyDescent="0.3">
      <c r="A533" s="37">
        <v>525</v>
      </c>
      <c r="B533" s="93">
        <f t="shared" ref="B533:E533" si="3644">B532</f>
        <v>45919</v>
      </c>
      <c r="C533" s="93">
        <f t="shared" si="3644"/>
        <v>45919</v>
      </c>
      <c r="D533" s="94">
        <f t="shared" si="3644"/>
        <v>6</v>
      </c>
      <c r="E533" s="95">
        <f t="shared" si="3644"/>
        <v>15</v>
      </c>
      <c r="F533" s="13"/>
      <c r="G533" s="90"/>
      <c r="H533" s="97">
        <f t="shared" ref="H533:L533" si="3645">H532</f>
        <v>25.6</v>
      </c>
      <c r="I533" s="98">
        <f t="shared" si="3645"/>
        <v>0</v>
      </c>
      <c r="J533" s="99">
        <f t="shared" si="3645"/>
        <v>20.9</v>
      </c>
      <c r="K533" s="99">
        <f t="shared" si="3645"/>
        <v>7.883</v>
      </c>
      <c r="L533" s="99">
        <f t="shared" si="3645"/>
        <v>0.55400000000000005</v>
      </c>
      <c r="M533" s="45"/>
      <c r="N533" s="45"/>
      <c r="O533" s="100">
        <f t="shared" ref="O533:P533" si="3646">O532</f>
        <v>100.62</v>
      </c>
      <c r="P533" s="101" t="str">
        <f t="shared" si="3646"/>
        <v>2,29,560</v>
      </c>
      <c r="Q533" s="11" t="str">
        <f t="shared" si="3452"/>
        <v>2</v>
      </c>
      <c r="R533" s="11" t="str">
        <f t="shared" si="3453"/>
        <v>29,560</v>
      </c>
      <c r="S533" s="11">
        <f t="shared" si="3454"/>
        <v>4.1544444444444446E-2</v>
      </c>
      <c r="T533" s="14">
        <f t="shared" si="3455"/>
        <v>2421.9844878309709</v>
      </c>
      <c r="U533" s="39">
        <f t="shared" si="3544"/>
        <v>-100</v>
      </c>
      <c r="V533" s="105">
        <f t="shared" ref="V533:X533" si="3647">V532</f>
        <v>20.399999999999999</v>
      </c>
      <c r="W533" s="105">
        <f t="shared" si="3647"/>
        <v>1.5069999999999999</v>
      </c>
      <c r="X533" s="106">
        <f t="shared" si="3647"/>
        <v>1.504</v>
      </c>
      <c r="Y533" s="45"/>
      <c r="Z533" s="45"/>
      <c r="AA533" s="107">
        <f t="shared" ref="AA533:AB533" si="3648">AA532</f>
        <v>10.015000000000001</v>
      </c>
      <c r="AB533" s="108" t="str">
        <f t="shared" si="3648"/>
        <v>22,10,090</v>
      </c>
      <c r="AC533" s="11" t="str">
        <f t="shared" si="3458"/>
        <v>22</v>
      </c>
      <c r="AD533" s="11" t="str">
        <f t="shared" si="3459"/>
        <v>10,090</v>
      </c>
      <c r="AE533" s="11">
        <f t="shared" si="3460"/>
        <v>0.36946944444444441</v>
      </c>
      <c r="AF533" s="14">
        <f t="shared" si="3547"/>
        <v>27.106436406558959</v>
      </c>
      <c r="AG533" s="41">
        <f t="shared" si="3475"/>
        <v>-100</v>
      </c>
      <c r="AH533" s="105">
        <f t="shared" ref="AH533:AJ533" si="3649">AH532</f>
        <v>20.3</v>
      </c>
      <c r="AI533" s="105">
        <f t="shared" si="3649"/>
        <v>1.5089999999999999</v>
      </c>
      <c r="AJ533" s="105">
        <f t="shared" si="3649"/>
        <v>1.504</v>
      </c>
      <c r="AK533" s="53">
        <f t="shared" si="3375"/>
        <v>0</v>
      </c>
      <c r="AL533" s="45"/>
      <c r="AM533" s="54">
        <f t="shared" ref="AM533:AN533" si="3650">AM532</f>
        <v>5.0129999999999999</v>
      </c>
      <c r="AN533" s="101" t="str">
        <f t="shared" si="3650"/>
        <v>17,59,050</v>
      </c>
      <c r="AO533" s="11" t="str">
        <f t="shared" si="3463"/>
        <v>17</v>
      </c>
      <c r="AP533" s="11" t="str">
        <f t="shared" si="3464"/>
        <v>59,050</v>
      </c>
      <c r="AQ533" s="11">
        <f t="shared" si="3465"/>
        <v>0.29973611111111109</v>
      </c>
      <c r="AR533" s="14">
        <f t="shared" si="3550"/>
        <v>16.724711551827998</v>
      </c>
      <c r="AS533" s="41">
        <f t="shared" si="3551"/>
        <v>-100</v>
      </c>
      <c r="AT533" s="43" t="str">
        <f t="shared" si="3552"/>
        <v>NO CONFORME</v>
      </c>
      <c r="AU533" s="8" t="b">
        <f t="shared" si="3571"/>
        <v>1</v>
      </c>
      <c r="AV533" s="8" t="b">
        <f t="shared" si="3466"/>
        <v>0</v>
      </c>
      <c r="AW533" s="8" t="b">
        <f t="shared" si="3467"/>
        <v>1</v>
      </c>
      <c r="AX533" s="8" t="str">
        <f t="shared" si="3468"/>
        <v>Qcorrecto</v>
      </c>
      <c r="AY533" s="22" t="str">
        <f t="shared" si="3553"/>
        <v>aceptable</v>
      </c>
      <c r="AZ533" s="22" t="str">
        <f t="shared" si="3554"/>
        <v>aceptable</v>
      </c>
      <c r="BA533" s="22" t="str">
        <f t="shared" si="3469"/>
        <v>aceptable</v>
      </c>
      <c r="BB533" s="25" t="str">
        <f t="shared" si="3572"/>
        <v>NO CONFORME</v>
      </c>
      <c r="BC533" s="5" t="str">
        <f t="shared" si="3573"/>
        <v>NO CONFORME</v>
      </c>
      <c r="BD533" s="15">
        <f t="shared" si="3555"/>
        <v>-1</v>
      </c>
      <c r="BE533" s="15">
        <f t="shared" si="3556"/>
        <v>-1</v>
      </c>
      <c r="BF533" s="15">
        <f t="shared" si="3557"/>
        <v>-1</v>
      </c>
      <c r="BG533" s="15" t="str">
        <f t="shared" si="3558"/>
        <v>-1-1-1</v>
      </c>
      <c r="BH533" s="15" t="str">
        <f t="shared" si="3559"/>
        <v>SD</v>
      </c>
      <c r="BI533" s="15" t="str">
        <f t="shared" si="3560"/>
        <v>SI</v>
      </c>
      <c r="BJ533" s="15" t="b">
        <f t="shared" si="3561"/>
        <v>1</v>
      </c>
      <c r="BK533" s="15" t="str">
        <f t="shared" si="3562"/>
        <v>SIGIGUALES</v>
      </c>
      <c r="BL533" s="22" t="str">
        <f t="shared" si="3563"/>
        <v>NO CONFORME</v>
      </c>
    </row>
    <row r="534" spans="1:64" ht="15.75" thickBot="1" x14ac:dyDescent="0.3">
      <c r="A534" s="37">
        <v>526</v>
      </c>
      <c r="B534" s="93">
        <f t="shared" ref="B534:E534" si="3651">B533</f>
        <v>45919</v>
      </c>
      <c r="C534" s="93">
        <f t="shared" si="3651"/>
        <v>45919</v>
      </c>
      <c r="D534" s="94">
        <f t="shared" si="3651"/>
        <v>6</v>
      </c>
      <c r="E534" s="95">
        <f t="shared" si="3651"/>
        <v>15</v>
      </c>
      <c r="F534" s="13"/>
      <c r="G534" s="90"/>
      <c r="H534" s="97">
        <f t="shared" ref="H534:L534" si="3652">H533</f>
        <v>25.6</v>
      </c>
      <c r="I534" s="98">
        <f t="shared" si="3652"/>
        <v>0</v>
      </c>
      <c r="J534" s="99">
        <f t="shared" si="3652"/>
        <v>20.9</v>
      </c>
      <c r="K534" s="99">
        <f t="shared" si="3652"/>
        <v>7.883</v>
      </c>
      <c r="L534" s="99">
        <f t="shared" si="3652"/>
        <v>0.55400000000000005</v>
      </c>
      <c r="M534" s="45"/>
      <c r="N534" s="45"/>
      <c r="O534" s="100">
        <f t="shared" ref="O534:P534" si="3653">O533</f>
        <v>100.62</v>
      </c>
      <c r="P534" s="101" t="str">
        <f t="shared" si="3653"/>
        <v>2,29,560</v>
      </c>
      <c r="Q534" s="11" t="str">
        <f t="shared" si="3452"/>
        <v>2</v>
      </c>
      <c r="R534" s="11" t="str">
        <f t="shared" si="3453"/>
        <v>29,560</v>
      </c>
      <c r="S534" s="11">
        <f t="shared" si="3454"/>
        <v>4.1544444444444446E-2</v>
      </c>
      <c r="T534" s="14">
        <f t="shared" si="3455"/>
        <v>2421.9844878309709</v>
      </c>
      <c r="U534" s="39">
        <f t="shared" si="3544"/>
        <v>-100</v>
      </c>
      <c r="V534" s="105">
        <f t="shared" ref="V534:X534" si="3654">V533</f>
        <v>20.399999999999999</v>
      </c>
      <c r="W534" s="105">
        <f t="shared" si="3654"/>
        <v>1.5069999999999999</v>
      </c>
      <c r="X534" s="106">
        <f t="shared" si="3654"/>
        <v>1.504</v>
      </c>
      <c r="Y534" s="45"/>
      <c r="Z534" s="45"/>
      <c r="AA534" s="107">
        <f t="shared" ref="AA534:AB534" si="3655">AA533</f>
        <v>10.015000000000001</v>
      </c>
      <c r="AB534" s="108" t="str">
        <f t="shared" si="3655"/>
        <v>22,10,090</v>
      </c>
      <c r="AC534" s="11" t="str">
        <f t="shared" si="3458"/>
        <v>22</v>
      </c>
      <c r="AD534" s="11" t="str">
        <f t="shared" si="3459"/>
        <v>10,090</v>
      </c>
      <c r="AE534" s="11">
        <f t="shared" si="3460"/>
        <v>0.36946944444444441</v>
      </c>
      <c r="AF534" s="14">
        <f t="shared" si="3547"/>
        <v>27.106436406558959</v>
      </c>
      <c r="AG534" s="41">
        <f t="shared" si="3475"/>
        <v>-100</v>
      </c>
      <c r="AH534" s="105">
        <f t="shared" ref="AH534:AJ534" si="3656">AH533</f>
        <v>20.3</v>
      </c>
      <c r="AI534" s="105">
        <f t="shared" si="3656"/>
        <v>1.5089999999999999</v>
      </c>
      <c r="AJ534" s="105">
        <f t="shared" si="3656"/>
        <v>1.504</v>
      </c>
      <c r="AK534" s="53">
        <f t="shared" si="3375"/>
        <v>0</v>
      </c>
      <c r="AL534" s="45"/>
      <c r="AM534" s="54">
        <f t="shared" ref="AM534:AN534" si="3657">AM533</f>
        <v>5.0129999999999999</v>
      </c>
      <c r="AN534" s="101" t="str">
        <f t="shared" si="3657"/>
        <v>17,59,050</v>
      </c>
      <c r="AO534" s="11" t="str">
        <f t="shared" si="3463"/>
        <v>17</v>
      </c>
      <c r="AP534" s="11" t="str">
        <f t="shared" si="3464"/>
        <v>59,050</v>
      </c>
      <c r="AQ534" s="11">
        <f t="shared" si="3465"/>
        <v>0.29973611111111109</v>
      </c>
      <c r="AR534" s="14">
        <f t="shared" si="3550"/>
        <v>16.724711551827998</v>
      </c>
      <c r="AS534" s="41">
        <f t="shared" si="3551"/>
        <v>-100</v>
      </c>
      <c r="AT534" s="43" t="str">
        <f t="shared" si="3552"/>
        <v>NO CONFORME</v>
      </c>
      <c r="AU534" s="8" t="b">
        <f t="shared" si="3571"/>
        <v>1</v>
      </c>
      <c r="AV534" s="8" t="b">
        <f t="shared" si="3466"/>
        <v>0</v>
      </c>
      <c r="AW534" s="8" t="b">
        <f t="shared" si="3467"/>
        <v>1</v>
      </c>
      <c r="AX534" s="8" t="str">
        <f t="shared" si="3468"/>
        <v>Qcorrecto</v>
      </c>
      <c r="AY534" s="22" t="str">
        <f t="shared" si="3553"/>
        <v>aceptable</v>
      </c>
      <c r="AZ534" s="22" t="str">
        <f t="shared" si="3554"/>
        <v>aceptable</v>
      </c>
      <c r="BA534" s="22" t="str">
        <f t="shared" si="3469"/>
        <v>aceptable</v>
      </c>
      <c r="BB534" s="25" t="str">
        <f t="shared" si="3572"/>
        <v>NO CONFORME</v>
      </c>
      <c r="BC534" s="5" t="str">
        <f t="shared" si="3573"/>
        <v>NO CONFORME</v>
      </c>
      <c r="BD534" s="15">
        <f t="shared" si="3555"/>
        <v>-1</v>
      </c>
      <c r="BE534" s="15">
        <f t="shared" si="3556"/>
        <v>-1</v>
      </c>
      <c r="BF534" s="15">
        <f t="shared" si="3557"/>
        <v>-1</v>
      </c>
      <c r="BG534" s="15" t="str">
        <f t="shared" si="3558"/>
        <v>-1-1-1</v>
      </c>
      <c r="BH534" s="15" t="str">
        <f t="shared" si="3559"/>
        <v>SD</v>
      </c>
      <c r="BI534" s="15" t="str">
        <f t="shared" si="3560"/>
        <v>SI</v>
      </c>
      <c r="BJ534" s="15" t="b">
        <f t="shared" si="3561"/>
        <v>1</v>
      </c>
      <c r="BK534" s="15" t="str">
        <f t="shared" si="3562"/>
        <v>SIGIGUALES</v>
      </c>
      <c r="BL534" s="22" t="str">
        <f t="shared" si="3563"/>
        <v>NO CONFORME</v>
      </c>
    </row>
    <row r="535" spans="1:64" ht="15.75" thickBot="1" x14ac:dyDescent="0.3">
      <c r="A535" s="37">
        <v>527</v>
      </c>
      <c r="B535" s="93">
        <f t="shared" ref="B535:E535" si="3658">B534</f>
        <v>45919</v>
      </c>
      <c r="C535" s="93">
        <f t="shared" si="3658"/>
        <v>45919</v>
      </c>
      <c r="D535" s="94">
        <f t="shared" si="3658"/>
        <v>6</v>
      </c>
      <c r="E535" s="95">
        <f t="shared" si="3658"/>
        <v>15</v>
      </c>
      <c r="F535" s="13"/>
      <c r="G535" s="90"/>
      <c r="H535" s="97">
        <f t="shared" ref="H535:L535" si="3659">H534</f>
        <v>25.6</v>
      </c>
      <c r="I535" s="98">
        <f t="shared" si="3659"/>
        <v>0</v>
      </c>
      <c r="J535" s="99">
        <f t="shared" si="3659"/>
        <v>20.9</v>
      </c>
      <c r="K535" s="99">
        <f t="shared" si="3659"/>
        <v>7.883</v>
      </c>
      <c r="L535" s="99">
        <f t="shared" si="3659"/>
        <v>0.55400000000000005</v>
      </c>
      <c r="M535" s="45"/>
      <c r="N535" s="45"/>
      <c r="O535" s="100">
        <f t="shared" ref="O535:P535" si="3660">O534</f>
        <v>100.62</v>
      </c>
      <c r="P535" s="101" t="str">
        <f t="shared" si="3660"/>
        <v>2,29,560</v>
      </c>
      <c r="Q535" s="11" t="str">
        <f t="shared" si="3452"/>
        <v>2</v>
      </c>
      <c r="R535" s="11" t="str">
        <f t="shared" si="3453"/>
        <v>29,560</v>
      </c>
      <c r="S535" s="11">
        <f t="shared" si="3454"/>
        <v>4.1544444444444446E-2</v>
      </c>
      <c r="T535" s="14">
        <f t="shared" si="3455"/>
        <v>2421.9844878309709</v>
      </c>
      <c r="U535" s="39">
        <f t="shared" si="3544"/>
        <v>-100</v>
      </c>
      <c r="V535" s="105">
        <f t="shared" ref="V535:X535" si="3661">V534</f>
        <v>20.399999999999999</v>
      </c>
      <c r="W535" s="105">
        <f t="shared" si="3661"/>
        <v>1.5069999999999999</v>
      </c>
      <c r="X535" s="106">
        <f t="shared" si="3661"/>
        <v>1.504</v>
      </c>
      <c r="Y535" s="45"/>
      <c r="Z535" s="45"/>
      <c r="AA535" s="107">
        <f t="shared" ref="AA535:AB535" si="3662">AA534</f>
        <v>10.015000000000001</v>
      </c>
      <c r="AB535" s="108" t="str">
        <f t="shared" si="3662"/>
        <v>22,10,090</v>
      </c>
      <c r="AC535" s="11" t="str">
        <f t="shared" si="3458"/>
        <v>22</v>
      </c>
      <c r="AD535" s="11" t="str">
        <f t="shared" si="3459"/>
        <v>10,090</v>
      </c>
      <c r="AE535" s="11">
        <f t="shared" si="3460"/>
        <v>0.36946944444444441</v>
      </c>
      <c r="AF535" s="14">
        <f t="shared" si="3547"/>
        <v>27.106436406558959</v>
      </c>
      <c r="AG535" s="41">
        <f t="shared" si="3475"/>
        <v>-100</v>
      </c>
      <c r="AH535" s="105">
        <f t="shared" ref="AH535:AJ535" si="3663">AH534</f>
        <v>20.3</v>
      </c>
      <c r="AI535" s="105">
        <f t="shared" si="3663"/>
        <v>1.5089999999999999</v>
      </c>
      <c r="AJ535" s="105">
        <f t="shared" si="3663"/>
        <v>1.504</v>
      </c>
      <c r="AK535" s="53">
        <f t="shared" si="3375"/>
        <v>0</v>
      </c>
      <c r="AL535" s="45"/>
      <c r="AM535" s="54">
        <f t="shared" ref="AM535:AN535" si="3664">AM534</f>
        <v>5.0129999999999999</v>
      </c>
      <c r="AN535" s="101" t="str">
        <f t="shared" si="3664"/>
        <v>17,59,050</v>
      </c>
      <c r="AO535" s="11" t="str">
        <f t="shared" si="3463"/>
        <v>17</v>
      </c>
      <c r="AP535" s="11" t="str">
        <f t="shared" si="3464"/>
        <v>59,050</v>
      </c>
      <c r="AQ535" s="11">
        <f t="shared" si="3465"/>
        <v>0.29973611111111109</v>
      </c>
      <c r="AR535" s="14">
        <f t="shared" si="3550"/>
        <v>16.724711551827998</v>
      </c>
      <c r="AS535" s="41">
        <f t="shared" si="3551"/>
        <v>-100</v>
      </c>
      <c r="AT535" s="43" t="str">
        <f t="shared" si="3552"/>
        <v>NO CONFORME</v>
      </c>
      <c r="AU535" s="8" t="b">
        <f t="shared" si="3571"/>
        <v>1</v>
      </c>
      <c r="AV535" s="8" t="b">
        <f t="shared" si="3466"/>
        <v>0</v>
      </c>
      <c r="AW535" s="8" t="b">
        <f t="shared" si="3467"/>
        <v>1</v>
      </c>
      <c r="AX535" s="8" t="str">
        <f t="shared" si="3468"/>
        <v>Qcorrecto</v>
      </c>
      <c r="AY535" s="22" t="str">
        <f t="shared" si="3553"/>
        <v>aceptable</v>
      </c>
      <c r="AZ535" s="22" t="str">
        <f t="shared" si="3554"/>
        <v>aceptable</v>
      </c>
      <c r="BA535" s="22" t="str">
        <f t="shared" si="3469"/>
        <v>aceptable</v>
      </c>
      <c r="BB535" s="25" t="str">
        <f t="shared" si="3572"/>
        <v>NO CONFORME</v>
      </c>
      <c r="BC535" s="5" t="str">
        <f t="shared" si="3573"/>
        <v>NO CONFORME</v>
      </c>
      <c r="BD535" s="15">
        <f t="shared" si="3555"/>
        <v>-1</v>
      </c>
      <c r="BE535" s="15">
        <f t="shared" si="3556"/>
        <v>-1</v>
      </c>
      <c r="BF535" s="15">
        <f t="shared" si="3557"/>
        <v>-1</v>
      </c>
      <c r="BG535" s="15" t="str">
        <f t="shared" si="3558"/>
        <v>-1-1-1</v>
      </c>
      <c r="BH535" s="15" t="str">
        <f t="shared" si="3559"/>
        <v>SD</v>
      </c>
      <c r="BI535" s="15" t="str">
        <f t="shared" si="3560"/>
        <v>SI</v>
      </c>
      <c r="BJ535" s="15" t="b">
        <f t="shared" si="3561"/>
        <v>1</v>
      </c>
      <c r="BK535" s="15" t="str">
        <f t="shared" si="3562"/>
        <v>SIGIGUALES</v>
      </c>
      <c r="BL535" s="22" t="str">
        <f t="shared" si="3563"/>
        <v>NO CONFORME</v>
      </c>
    </row>
    <row r="536" spans="1:64" ht="15.75" thickBot="1" x14ac:dyDescent="0.3">
      <c r="A536" s="37">
        <v>528</v>
      </c>
      <c r="B536" s="93">
        <f t="shared" ref="B536:E536" si="3665">B535</f>
        <v>45919</v>
      </c>
      <c r="C536" s="93">
        <f t="shared" si="3665"/>
        <v>45919</v>
      </c>
      <c r="D536" s="94">
        <f t="shared" si="3665"/>
        <v>6</v>
      </c>
      <c r="E536" s="95">
        <f t="shared" si="3665"/>
        <v>15</v>
      </c>
      <c r="F536" s="52"/>
      <c r="G536" s="96"/>
      <c r="H536" s="97">
        <f t="shared" ref="H536:L536" si="3666">H535</f>
        <v>25.6</v>
      </c>
      <c r="I536" s="98">
        <f t="shared" si="3666"/>
        <v>0</v>
      </c>
      <c r="J536" s="99">
        <f t="shared" si="3666"/>
        <v>20.9</v>
      </c>
      <c r="K536" s="99">
        <f t="shared" si="3666"/>
        <v>7.883</v>
      </c>
      <c r="L536" s="99">
        <f t="shared" si="3666"/>
        <v>0.55400000000000005</v>
      </c>
      <c r="M536" s="53"/>
      <c r="N536" s="53"/>
      <c r="O536" s="100">
        <f t="shared" ref="O536:P536" si="3667">O535</f>
        <v>100.62</v>
      </c>
      <c r="P536" s="101" t="str">
        <f t="shared" si="3667"/>
        <v>2,29,560</v>
      </c>
      <c r="Q536" s="11" t="str">
        <f t="shared" si="3452"/>
        <v>2</v>
      </c>
      <c r="R536" s="11" t="str">
        <f t="shared" si="3453"/>
        <v>29,560</v>
      </c>
      <c r="S536" s="11">
        <f t="shared" si="3454"/>
        <v>4.1544444444444446E-2</v>
      </c>
      <c r="T536" s="14">
        <f t="shared" si="3455"/>
        <v>2421.9844878309709</v>
      </c>
      <c r="U536" s="39">
        <f t="shared" si="3544"/>
        <v>-100</v>
      </c>
      <c r="V536" s="105">
        <f t="shared" ref="V536:X536" si="3668">V535</f>
        <v>20.399999999999999</v>
      </c>
      <c r="W536" s="105">
        <f t="shared" si="3668"/>
        <v>1.5069999999999999</v>
      </c>
      <c r="X536" s="106">
        <f t="shared" si="3668"/>
        <v>1.504</v>
      </c>
      <c r="Y536" s="53"/>
      <c r="Z536" s="53"/>
      <c r="AA536" s="107">
        <f t="shared" ref="AA536:AB536" si="3669">AA535</f>
        <v>10.015000000000001</v>
      </c>
      <c r="AB536" s="108" t="str">
        <f t="shared" si="3669"/>
        <v>22,10,090</v>
      </c>
      <c r="AC536" s="11" t="str">
        <f t="shared" si="3458"/>
        <v>22</v>
      </c>
      <c r="AD536" s="11" t="str">
        <f t="shared" si="3459"/>
        <v>10,090</v>
      </c>
      <c r="AE536" s="11">
        <f t="shared" si="3460"/>
        <v>0.36946944444444441</v>
      </c>
      <c r="AF536" s="14">
        <f t="shared" si="3547"/>
        <v>27.106436406558959</v>
      </c>
      <c r="AG536" s="41">
        <f t="shared" si="3475"/>
        <v>-100</v>
      </c>
      <c r="AH536" s="105">
        <f t="shared" ref="AH536:AJ536" si="3670">AH535</f>
        <v>20.3</v>
      </c>
      <c r="AI536" s="105">
        <f t="shared" si="3670"/>
        <v>1.5089999999999999</v>
      </c>
      <c r="AJ536" s="105">
        <f t="shared" si="3670"/>
        <v>1.504</v>
      </c>
      <c r="AK536" s="53">
        <f t="shared" si="3375"/>
        <v>0</v>
      </c>
      <c r="AL536" s="53"/>
      <c r="AM536" s="54">
        <f t="shared" ref="AM536:AN536" si="3671">AM535</f>
        <v>5.0129999999999999</v>
      </c>
      <c r="AN536" s="101" t="str">
        <f t="shared" si="3671"/>
        <v>17,59,050</v>
      </c>
      <c r="AO536" s="11" t="str">
        <f t="shared" si="3463"/>
        <v>17</v>
      </c>
      <c r="AP536" s="11" t="str">
        <f t="shared" si="3464"/>
        <v>59,050</v>
      </c>
      <c r="AQ536" s="11">
        <f t="shared" si="3465"/>
        <v>0.29973611111111109</v>
      </c>
      <c r="AR536" s="14">
        <f t="shared" si="3550"/>
        <v>16.724711551827998</v>
      </c>
      <c r="AS536" s="41">
        <f t="shared" si="3551"/>
        <v>-100</v>
      </c>
      <c r="AT536" s="43" t="str">
        <f t="shared" si="3552"/>
        <v>NO CONFORME</v>
      </c>
      <c r="AU536" s="8" t="b">
        <f t="shared" si="3571"/>
        <v>1</v>
      </c>
      <c r="AV536" s="8" t="b">
        <f t="shared" si="3466"/>
        <v>0</v>
      </c>
      <c r="AW536" s="8" t="b">
        <f t="shared" si="3467"/>
        <v>1</v>
      </c>
      <c r="AX536" s="8" t="str">
        <f t="shared" si="3468"/>
        <v>Qcorrecto</v>
      </c>
      <c r="AY536" s="22" t="str">
        <f t="shared" si="3553"/>
        <v>aceptable</v>
      </c>
      <c r="AZ536" s="22" t="str">
        <f t="shared" si="3554"/>
        <v>aceptable</v>
      </c>
      <c r="BA536" s="22" t="str">
        <f t="shared" si="3469"/>
        <v>aceptable</v>
      </c>
      <c r="BB536" s="25" t="str">
        <f t="shared" si="3572"/>
        <v>NO CONFORME</v>
      </c>
      <c r="BC536" s="5" t="str">
        <f t="shared" si="3573"/>
        <v>NO CONFORME</v>
      </c>
      <c r="BD536" s="15">
        <f t="shared" si="3555"/>
        <v>-1</v>
      </c>
      <c r="BE536" s="15">
        <f t="shared" si="3556"/>
        <v>-1</v>
      </c>
      <c r="BF536" s="15">
        <f t="shared" si="3557"/>
        <v>-1</v>
      </c>
      <c r="BG536" s="15" t="str">
        <f t="shared" si="3558"/>
        <v>-1-1-1</v>
      </c>
      <c r="BH536" s="15" t="str">
        <f t="shared" si="3559"/>
        <v>SD</v>
      </c>
      <c r="BI536" s="15" t="str">
        <f t="shared" si="3560"/>
        <v>SI</v>
      </c>
      <c r="BJ536" s="15" t="b">
        <f t="shared" si="3561"/>
        <v>1</v>
      </c>
      <c r="BK536" s="15" t="str">
        <f t="shared" si="3562"/>
        <v>SIGIGUALES</v>
      </c>
      <c r="BL536" s="22" t="str">
        <f t="shared" si="3563"/>
        <v>NO CONFORME</v>
      </c>
    </row>
    <row r="537" spans="1:64" ht="15.75" thickBot="1" x14ac:dyDescent="0.3">
      <c r="A537" s="37">
        <v>529</v>
      </c>
      <c r="B537" s="93">
        <f t="shared" ref="B537:E537" si="3672">B536</f>
        <v>45919</v>
      </c>
      <c r="C537" s="93">
        <f t="shared" si="3672"/>
        <v>45919</v>
      </c>
      <c r="D537" s="94">
        <f t="shared" si="3672"/>
        <v>6</v>
      </c>
      <c r="E537" s="95">
        <f t="shared" si="3672"/>
        <v>15</v>
      </c>
      <c r="F537" s="58"/>
      <c r="G537" s="111"/>
      <c r="H537" s="97">
        <f t="shared" ref="H537:L537" si="3673">H536</f>
        <v>25.6</v>
      </c>
      <c r="I537" s="98">
        <f t="shared" si="3673"/>
        <v>0</v>
      </c>
      <c r="J537" s="99">
        <f t="shared" si="3673"/>
        <v>20.9</v>
      </c>
      <c r="K537" s="99">
        <f t="shared" si="3673"/>
        <v>7.883</v>
      </c>
      <c r="L537" s="99">
        <f t="shared" si="3673"/>
        <v>0.55400000000000005</v>
      </c>
      <c r="M537" s="59"/>
      <c r="N537" s="59"/>
      <c r="O537" s="100">
        <f t="shared" ref="O537:P537" si="3674">O536</f>
        <v>100.62</v>
      </c>
      <c r="P537" s="101" t="str">
        <f t="shared" si="3674"/>
        <v>2,29,560</v>
      </c>
      <c r="Q537" s="11" t="str">
        <f t="shared" si="3452"/>
        <v>2</v>
      </c>
      <c r="R537" s="11" t="str">
        <f t="shared" si="3453"/>
        <v>29,560</v>
      </c>
      <c r="S537" s="11">
        <f t="shared" si="3454"/>
        <v>4.1544444444444446E-2</v>
      </c>
      <c r="T537" s="14">
        <f t="shared" si="3455"/>
        <v>2421.9844878309709</v>
      </c>
      <c r="U537" s="39">
        <f t="shared" si="3544"/>
        <v>-100</v>
      </c>
      <c r="V537" s="105">
        <f t="shared" ref="V537:X537" si="3675">V536</f>
        <v>20.399999999999999</v>
      </c>
      <c r="W537" s="105">
        <f t="shared" si="3675"/>
        <v>1.5069999999999999</v>
      </c>
      <c r="X537" s="106">
        <f t="shared" si="3675"/>
        <v>1.504</v>
      </c>
      <c r="Y537" s="59"/>
      <c r="Z537" s="59"/>
      <c r="AA537" s="107">
        <f t="shared" ref="AA537:AB537" si="3676">AA536</f>
        <v>10.015000000000001</v>
      </c>
      <c r="AB537" s="108" t="str">
        <f t="shared" si="3676"/>
        <v>22,10,090</v>
      </c>
      <c r="AC537" s="11" t="str">
        <f t="shared" si="3458"/>
        <v>22</v>
      </c>
      <c r="AD537" s="11" t="str">
        <f t="shared" si="3459"/>
        <v>10,090</v>
      </c>
      <c r="AE537" s="11">
        <f t="shared" si="3460"/>
        <v>0.36946944444444441</v>
      </c>
      <c r="AF537" s="14">
        <f t="shared" si="3547"/>
        <v>27.106436406558959</v>
      </c>
      <c r="AG537" s="41">
        <f t="shared" si="3475"/>
        <v>-100</v>
      </c>
      <c r="AH537" s="105">
        <f t="shared" ref="AH537:AJ537" si="3677">AH536</f>
        <v>20.3</v>
      </c>
      <c r="AI537" s="105">
        <f t="shared" si="3677"/>
        <v>1.5089999999999999</v>
      </c>
      <c r="AJ537" s="105">
        <f t="shared" si="3677"/>
        <v>1.504</v>
      </c>
      <c r="AK537" s="53">
        <f t="shared" si="3375"/>
        <v>0</v>
      </c>
      <c r="AL537" s="59"/>
      <c r="AM537" s="54">
        <f t="shared" ref="AM537:AN537" si="3678">AM536</f>
        <v>5.0129999999999999</v>
      </c>
      <c r="AN537" s="101" t="str">
        <f t="shared" si="3678"/>
        <v>17,59,050</v>
      </c>
      <c r="AO537" s="11" t="str">
        <f t="shared" si="3463"/>
        <v>17</v>
      </c>
      <c r="AP537" s="11" t="str">
        <f t="shared" si="3464"/>
        <v>59,050</v>
      </c>
      <c r="AQ537" s="11">
        <f t="shared" si="3465"/>
        <v>0.29973611111111109</v>
      </c>
      <c r="AR537" s="14">
        <f t="shared" si="3550"/>
        <v>16.724711551827998</v>
      </c>
      <c r="AS537" s="41">
        <f t="shared" si="3551"/>
        <v>-100</v>
      </c>
      <c r="AT537" s="43" t="str">
        <f t="shared" si="3552"/>
        <v>NO CONFORME</v>
      </c>
      <c r="AU537" s="8" t="b">
        <f t="shared" si="3571"/>
        <v>1</v>
      </c>
      <c r="AV537" s="8" t="b">
        <f t="shared" si="3466"/>
        <v>0</v>
      </c>
      <c r="AW537" s="8" t="b">
        <f t="shared" si="3467"/>
        <v>1</v>
      </c>
      <c r="AX537" s="8" t="str">
        <f t="shared" si="3468"/>
        <v>Qcorrecto</v>
      </c>
      <c r="AY537" s="22" t="str">
        <f t="shared" si="3553"/>
        <v>aceptable</v>
      </c>
      <c r="AZ537" s="22" t="str">
        <f t="shared" si="3554"/>
        <v>aceptable</v>
      </c>
      <c r="BA537" s="22" t="str">
        <f t="shared" si="3469"/>
        <v>aceptable</v>
      </c>
      <c r="BB537" s="25" t="str">
        <f t="shared" si="3572"/>
        <v>NO CONFORME</v>
      </c>
      <c r="BC537" s="5" t="str">
        <f t="shared" si="3573"/>
        <v>NO CONFORME</v>
      </c>
      <c r="BD537" s="15">
        <f t="shared" si="3555"/>
        <v>-1</v>
      </c>
      <c r="BE537" s="15">
        <f t="shared" si="3556"/>
        <v>-1</v>
      </c>
      <c r="BF537" s="15">
        <f t="shared" si="3557"/>
        <v>-1</v>
      </c>
      <c r="BG537" s="15" t="str">
        <f t="shared" si="3558"/>
        <v>-1-1-1</v>
      </c>
      <c r="BH537" s="15" t="str">
        <f t="shared" si="3559"/>
        <v>SD</v>
      </c>
      <c r="BI537" s="15" t="str">
        <f t="shared" si="3560"/>
        <v>SI</v>
      </c>
      <c r="BJ537" s="15" t="b">
        <f t="shared" si="3561"/>
        <v>1</v>
      </c>
      <c r="BK537" s="15" t="str">
        <f t="shared" si="3562"/>
        <v>SIGIGUALES</v>
      </c>
      <c r="BL537" s="22" t="str">
        <f t="shared" si="3563"/>
        <v>NO CONFORME</v>
      </c>
    </row>
    <row r="538" spans="1:64" ht="15.75" thickBot="1" x14ac:dyDescent="0.3">
      <c r="A538" s="37">
        <v>530</v>
      </c>
      <c r="B538" s="93">
        <f t="shared" ref="B538:E538" si="3679">B537</f>
        <v>45919</v>
      </c>
      <c r="C538" s="93">
        <f t="shared" si="3679"/>
        <v>45919</v>
      </c>
      <c r="D538" s="94">
        <f t="shared" si="3679"/>
        <v>6</v>
      </c>
      <c r="E538" s="95">
        <f t="shared" si="3679"/>
        <v>15</v>
      </c>
      <c r="F538" s="13"/>
      <c r="G538" s="90"/>
      <c r="H538" s="97">
        <f t="shared" ref="H538:L538" si="3680">H537</f>
        <v>25.6</v>
      </c>
      <c r="I538" s="98">
        <f t="shared" si="3680"/>
        <v>0</v>
      </c>
      <c r="J538" s="99">
        <f t="shared" si="3680"/>
        <v>20.9</v>
      </c>
      <c r="K538" s="99">
        <f t="shared" si="3680"/>
        <v>7.883</v>
      </c>
      <c r="L538" s="99">
        <f t="shared" si="3680"/>
        <v>0.55400000000000005</v>
      </c>
      <c r="M538" s="45"/>
      <c r="N538" s="45"/>
      <c r="O538" s="100">
        <f t="shared" ref="O538:P538" si="3681">O537</f>
        <v>100.62</v>
      </c>
      <c r="P538" s="101" t="str">
        <f t="shared" si="3681"/>
        <v>2,29,560</v>
      </c>
      <c r="Q538" s="11" t="str">
        <f t="shared" si="3452"/>
        <v>2</v>
      </c>
      <c r="R538" s="11" t="str">
        <f t="shared" si="3453"/>
        <v>29,560</v>
      </c>
      <c r="S538" s="11">
        <f t="shared" si="3454"/>
        <v>4.1544444444444446E-2</v>
      </c>
      <c r="T538" s="14">
        <f t="shared" si="3455"/>
        <v>2421.9844878309709</v>
      </c>
      <c r="U538" s="39">
        <f t="shared" si="3544"/>
        <v>-100</v>
      </c>
      <c r="V538" s="105">
        <f t="shared" ref="V538:X538" si="3682">V537</f>
        <v>20.399999999999999</v>
      </c>
      <c r="W538" s="105">
        <f t="shared" si="3682"/>
        <v>1.5069999999999999</v>
      </c>
      <c r="X538" s="106">
        <f t="shared" si="3682"/>
        <v>1.504</v>
      </c>
      <c r="Y538" s="45"/>
      <c r="Z538" s="45"/>
      <c r="AA538" s="107">
        <f t="shared" ref="AA538:AB538" si="3683">AA537</f>
        <v>10.015000000000001</v>
      </c>
      <c r="AB538" s="108" t="str">
        <f t="shared" si="3683"/>
        <v>22,10,090</v>
      </c>
      <c r="AC538" s="11" t="str">
        <f t="shared" si="3458"/>
        <v>22</v>
      </c>
      <c r="AD538" s="11" t="str">
        <f t="shared" si="3459"/>
        <v>10,090</v>
      </c>
      <c r="AE538" s="11">
        <f t="shared" si="3460"/>
        <v>0.36946944444444441</v>
      </c>
      <c r="AF538" s="14">
        <f t="shared" si="3547"/>
        <v>27.106436406558959</v>
      </c>
      <c r="AG538" s="41">
        <f t="shared" si="3475"/>
        <v>-100</v>
      </c>
      <c r="AH538" s="105">
        <f t="shared" ref="AH538:AJ538" si="3684">AH537</f>
        <v>20.3</v>
      </c>
      <c r="AI538" s="105">
        <f t="shared" si="3684"/>
        <v>1.5089999999999999</v>
      </c>
      <c r="AJ538" s="105">
        <f t="shared" si="3684"/>
        <v>1.504</v>
      </c>
      <c r="AK538" s="53">
        <f t="shared" si="3375"/>
        <v>0</v>
      </c>
      <c r="AL538" s="45"/>
      <c r="AM538" s="54">
        <f t="shared" ref="AM538:AN538" si="3685">AM537</f>
        <v>5.0129999999999999</v>
      </c>
      <c r="AN538" s="101" t="str">
        <f t="shared" si="3685"/>
        <v>17,59,050</v>
      </c>
      <c r="AO538" s="11" t="str">
        <f t="shared" si="3463"/>
        <v>17</v>
      </c>
      <c r="AP538" s="11" t="str">
        <f t="shared" si="3464"/>
        <v>59,050</v>
      </c>
      <c r="AQ538" s="11">
        <f t="shared" si="3465"/>
        <v>0.29973611111111109</v>
      </c>
      <c r="AR538" s="14">
        <f t="shared" si="3550"/>
        <v>16.724711551827998</v>
      </c>
      <c r="AS538" s="41">
        <f t="shared" si="3551"/>
        <v>-100</v>
      </c>
      <c r="AT538" s="43" t="str">
        <f t="shared" si="3552"/>
        <v>NO CONFORME</v>
      </c>
      <c r="AU538" s="8" t="b">
        <f t="shared" si="3571"/>
        <v>1</v>
      </c>
      <c r="AV538" s="8" t="b">
        <f t="shared" si="3466"/>
        <v>0</v>
      </c>
      <c r="AW538" s="8" t="b">
        <f t="shared" si="3467"/>
        <v>1</v>
      </c>
      <c r="AX538" s="8" t="str">
        <f t="shared" si="3468"/>
        <v>Qcorrecto</v>
      </c>
      <c r="AY538" s="22" t="str">
        <f t="shared" si="3553"/>
        <v>aceptable</v>
      </c>
      <c r="AZ538" s="22" t="str">
        <f t="shared" si="3554"/>
        <v>aceptable</v>
      </c>
      <c r="BA538" s="22" t="str">
        <f t="shared" si="3469"/>
        <v>aceptable</v>
      </c>
      <c r="BB538" s="25" t="str">
        <f t="shared" si="3572"/>
        <v>NO CONFORME</v>
      </c>
      <c r="BC538" s="5" t="str">
        <f t="shared" si="3573"/>
        <v>NO CONFORME</v>
      </c>
      <c r="BD538" s="15">
        <f t="shared" si="3555"/>
        <v>-1</v>
      </c>
      <c r="BE538" s="15">
        <f t="shared" si="3556"/>
        <v>-1</v>
      </c>
      <c r="BF538" s="15">
        <f t="shared" si="3557"/>
        <v>-1</v>
      </c>
      <c r="BG538" s="15" t="str">
        <f t="shared" si="3558"/>
        <v>-1-1-1</v>
      </c>
      <c r="BH538" s="15" t="str">
        <f t="shared" si="3559"/>
        <v>SD</v>
      </c>
      <c r="BI538" s="15" t="str">
        <f t="shared" si="3560"/>
        <v>SI</v>
      </c>
      <c r="BJ538" s="15" t="b">
        <f t="shared" si="3561"/>
        <v>1</v>
      </c>
      <c r="BK538" s="15" t="str">
        <f t="shared" si="3562"/>
        <v>SIGIGUALES</v>
      </c>
      <c r="BL538" s="22" t="str">
        <f t="shared" si="3563"/>
        <v>NO CONFORME</v>
      </c>
    </row>
    <row r="539" spans="1:64" ht="15.75" thickBot="1" x14ac:dyDescent="0.3">
      <c r="A539" s="37">
        <v>531</v>
      </c>
      <c r="B539" s="93">
        <f t="shared" ref="B539:E539" si="3686">B538</f>
        <v>45919</v>
      </c>
      <c r="C539" s="93">
        <f t="shared" si="3686"/>
        <v>45919</v>
      </c>
      <c r="D539" s="94">
        <f t="shared" si="3686"/>
        <v>6</v>
      </c>
      <c r="E539" s="95">
        <f t="shared" si="3686"/>
        <v>15</v>
      </c>
      <c r="F539" s="13"/>
      <c r="G539" s="90"/>
      <c r="H539" s="97">
        <f t="shared" ref="H539:L539" si="3687">H538</f>
        <v>25.6</v>
      </c>
      <c r="I539" s="98">
        <f t="shared" si="3687"/>
        <v>0</v>
      </c>
      <c r="J539" s="99">
        <f t="shared" si="3687"/>
        <v>20.9</v>
      </c>
      <c r="K539" s="99">
        <f t="shared" si="3687"/>
        <v>7.883</v>
      </c>
      <c r="L539" s="99">
        <f t="shared" si="3687"/>
        <v>0.55400000000000005</v>
      </c>
      <c r="M539" s="45"/>
      <c r="N539" s="45"/>
      <c r="O539" s="100">
        <f t="shared" ref="O539:P539" si="3688">O538</f>
        <v>100.62</v>
      </c>
      <c r="P539" s="101" t="str">
        <f t="shared" si="3688"/>
        <v>2,29,560</v>
      </c>
      <c r="Q539" s="11" t="str">
        <f t="shared" si="3452"/>
        <v>2</v>
      </c>
      <c r="R539" s="11" t="str">
        <f t="shared" si="3453"/>
        <v>29,560</v>
      </c>
      <c r="S539" s="11">
        <f t="shared" si="3454"/>
        <v>4.1544444444444446E-2</v>
      </c>
      <c r="T539" s="14">
        <f t="shared" si="3455"/>
        <v>2421.9844878309709</v>
      </c>
      <c r="U539" s="39">
        <f t="shared" si="3544"/>
        <v>-100</v>
      </c>
      <c r="V539" s="105">
        <f t="shared" ref="V539:X539" si="3689">V538</f>
        <v>20.399999999999999</v>
      </c>
      <c r="W539" s="105">
        <f t="shared" si="3689"/>
        <v>1.5069999999999999</v>
      </c>
      <c r="X539" s="106">
        <f t="shared" si="3689"/>
        <v>1.504</v>
      </c>
      <c r="Y539" s="45"/>
      <c r="Z539" s="45"/>
      <c r="AA539" s="107">
        <f t="shared" ref="AA539:AB539" si="3690">AA538</f>
        <v>10.015000000000001</v>
      </c>
      <c r="AB539" s="108" t="str">
        <f t="shared" si="3690"/>
        <v>22,10,090</v>
      </c>
      <c r="AC539" s="11" t="str">
        <f t="shared" si="3458"/>
        <v>22</v>
      </c>
      <c r="AD539" s="11" t="str">
        <f t="shared" si="3459"/>
        <v>10,090</v>
      </c>
      <c r="AE539" s="11">
        <f t="shared" si="3460"/>
        <v>0.36946944444444441</v>
      </c>
      <c r="AF539" s="14">
        <f t="shared" si="3547"/>
        <v>27.106436406558959</v>
      </c>
      <c r="AG539" s="41">
        <f t="shared" si="3475"/>
        <v>-100</v>
      </c>
      <c r="AH539" s="105">
        <f t="shared" ref="AH539:AJ539" si="3691">AH538</f>
        <v>20.3</v>
      </c>
      <c r="AI539" s="105">
        <f t="shared" si="3691"/>
        <v>1.5089999999999999</v>
      </c>
      <c r="AJ539" s="105">
        <f t="shared" si="3691"/>
        <v>1.504</v>
      </c>
      <c r="AK539" s="53">
        <f t="shared" si="3375"/>
        <v>0</v>
      </c>
      <c r="AL539" s="45"/>
      <c r="AM539" s="54">
        <f t="shared" ref="AM539:AN539" si="3692">AM538</f>
        <v>5.0129999999999999</v>
      </c>
      <c r="AN539" s="101" t="str">
        <f t="shared" si="3692"/>
        <v>17,59,050</v>
      </c>
      <c r="AO539" s="11" t="str">
        <f t="shared" si="3463"/>
        <v>17</v>
      </c>
      <c r="AP539" s="11" t="str">
        <f t="shared" si="3464"/>
        <v>59,050</v>
      </c>
      <c r="AQ539" s="11">
        <f t="shared" si="3465"/>
        <v>0.29973611111111109</v>
      </c>
      <c r="AR539" s="14">
        <f t="shared" si="3550"/>
        <v>16.724711551827998</v>
      </c>
      <c r="AS539" s="41">
        <f t="shared" si="3551"/>
        <v>-100</v>
      </c>
      <c r="AT539" s="43" t="str">
        <f t="shared" si="3552"/>
        <v>NO CONFORME</v>
      </c>
      <c r="AU539" s="8" t="b">
        <f t="shared" si="3571"/>
        <v>1</v>
      </c>
      <c r="AV539" s="8" t="b">
        <f t="shared" si="3466"/>
        <v>0</v>
      </c>
      <c r="AW539" s="8" t="b">
        <f t="shared" si="3467"/>
        <v>1</v>
      </c>
      <c r="AX539" s="8" t="str">
        <f t="shared" si="3468"/>
        <v>Qcorrecto</v>
      </c>
      <c r="AY539" s="22" t="str">
        <f t="shared" si="3553"/>
        <v>aceptable</v>
      </c>
      <c r="AZ539" s="22" t="str">
        <f t="shared" si="3554"/>
        <v>aceptable</v>
      </c>
      <c r="BA539" s="22" t="str">
        <f t="shared" si="3469"/>
        <v>aceptable</v>
      </c>
      <c r="BB539" s="25" t="str">
        <f t="shared" si="3572"/>
        <v>NO CONFORME</v>
      </c>
      <c r="BC539" s="5" t="str">
        <f t="shared" si="3573"/>
        <v>NO CONFORME</v>
      </c>
      <c r="BD539" s="15">
        <f t="shared" si="3555"/>
        <v>-1</v>
      </c>
      <c r="BE539" s="15">
        <f t="shared" si="3556"/>
        <v>-1</v>
      </c>
      <c r="BF539" s="15">
        <f t="shared" si="3557"/>
        <v>-1</v>
      </c>
      <c r="BG539" s="15" t="str">
        <f t="shared" si="3558"/>
        <v>-1-1-1</v>
      </c>
      <c r="BH539" s="15" t="str">
        <f t="shared" si="3559"/>
        <v>SD</v>
      </c>
      <c r="BI539" s="15" t="str">
        <f t="shared" si="3560"/>
        <v>SI</v>
      </c>
      <c r="BJ539" s="15" t="b">
        <f t="shared" si="3561"/>
        <v>1</v>
      </c>
      <c r="BK539" s="15" t="str">
        <f t="shared" si="3562"/>
        <v>SIGIGUALES</v>
      </c>
      <c r="BL539" s="22" t="str">
        <f t="shared" si="3563"/>
        <v>NO CONFORME</v>
      </c>
    </row>
    <row r="540" spans="1:64" ht="15.75" thickBot="1" x14ac:dyDescent="0.3">
      <c r="A540" s="37">
        <v>532</v>
      </c>
      <c r="B540" s="93">
        <f t="shared" ref="B540:E540" si="3693">B539</f>
        <v>45919</v>
      </c>
      <c r="C540" s="93">
        <f t="shared" si="3693"/>
        <v>45919</v>
      </c>
      <c r="D540" s="94">
        <f t="shared" si="3693"/>
        <v>6</v>
      </c>
      <c r="E540" s="95">
        <f t="shared" si="3693"/>
        <v>15</v>
      </c>
      <c r="F540" s="13"/>
      <c r="G540" s="90"/>
      <c r="H540" s="97">
        <f t="shared" ref="H540:L540" si="3694">H539</f>
        <v>25.6</v>
      </c>
      <c r="I540" s="98">
        <f t="shared" si="3694"/>
        <v>0</v>
      </c>
      <c r="J540" s="99">
        <f t="shared" si="3694"/>
        <v>20.9</v>
      </c>
      <c r="K540" s="99">
        <f t="shared" si="3694"/>
        <v>7.883</v>
      </c>
      <c r="L540" s="99">
        <f t="shared" si="3694"/>
        <v>0.55400000000000005</v>
      </c>
      <c r="M540" s="45"/>
      <c r="N540" s="45"/>
      <c r="O540" s="100">
        <f t="shared" ref="O540:P540" si="3695">O539</f>
        <v>100.62</v>
      </c>
      <c r="P540" s="101" t="str">
        <f t="shared" si="3695"/>
        <v>2,29,560</v>
      </c>
      <c r="Q540" s="11" t="str">
        <f t="shared" si="3452"/>
        <v>2</v>
      </c>
      <c r="R540" s="11" t="str">
        <f t="shared" si="3453"/>
        <v>29,560</v>
      </c>
      <c r="S540" s="11">
        <f t="shared" si="3454"/>
        <v>4.1544444444444446E-2</v>
      </c>
      <c r="T540" s="14">
        <f t="shared" si="3455"/>
        <v>2421.9844878309709</v>
      </c>
      <c r="U540" s="39">
        <f t="shared" si="3544"/>
        <v>-100</v>
      </c>
      <c r="V540" s="105">
        <f t="shared" ref="V540:X540" si="3696">V539</f>
        <v>20.399999999999999</v>
      </c>
      <c r="W540" s="105">
        <f t="shared" si="3696"/>
        <v>1.5069999999999999</v>
      </c>
      <c r="X540" s="106">
        <f t="shared" si="3696"/>
        <v>1.504</v>
      </c>
      <c r="Y540" s="45"/>
      <c r="Z540" s="45"/>
      <c r="AA540" s="107">
        <f t="shared" ref="AA540:AB540" si="3697">AA539</f>
        <v>10.015000000000001</v>
      </c>
      <c r="AB540" s="108" t="str">
        <f t="shared" si="3697"/>
        <v>22,10,090</v>
      </c>
      <c r="AC540" s="11" t="str">
        <f t="shared" si="3458"/>
        <v>22</v>
      </c>
      <c r="AD540" s="11" t="str">
        <f t="shared" si="3459"/>
        <v>10,090</v>
      </c>
      <c r="AE540" s="11">
        <f t="shared" si="3460"/>
        <v>0.36946944444444441</v>
      </c>
      <c r="AF540" s="14">
        <f t="shared" si="3547"/>
        <v>27.106436406558959</v>
      </c>
      <c r="AG540" s="41">
        <f t="shared" si="3475"/>
        <v>-100</v>
      </c>
      <c r="AH540" s="105">
        <f t="shared" ref="AH540:AJ540" si="3698">AH539</f>
        <v>20.3</v>
      </c>
      <c r="AI540" s="105">
        <f t="shared" si="3698"/>
        <v>1.5089999999999999</v>
      </c>
      <c r="AJ540" s="105">
        <f t="shared" si="3698"/>
        <v>1.504</v>
      </c>
      <c r="AK540" s="53">
        <f t="shared" si="3375"/>
        <v>0</v>
      </c>
      <c r="AL540" s="45"/>
      <c r="AM540" s="54">
        <f t="shared" ref="AM540:AN540" si="3699">AM539</f>
        <v>5.0129999999999999</v>
      </c>
      <c r="AN540" s="101" t="str">
        <f t="shared" si="3699"/>
        <v>17,59,050</v>
      </c>
      <c r="AO540" s="11" t="str">
        <f t="shared" si="3463"/>
        <v>17</v>
      </c>
      <c r="AP540" s="11" t="str">
        <f t="shared" si="3464"/>
        <v>59,050</v>
      </c>
      <c r="AQ540" s="11">
        <f t="shared" si="3465"/>
        <v>0.29973611111111109</v>
      </c>
      <c r="AR540" s="14">
        <f t="shared" si="3550"/>
        <v>16.724711551827998</v>
      </c>
      <c r="AS540" s="41">
        <f t="shared" si="3551"/>
        <v>-100</v>
      </c>
      <c r="AT540" s="43" t="str">
        <f t="shared" si="3552"/>
        <v>NO CONFORME</v>
      </c>
      <c r="AU540" s="8" t="b">
        <f t="shared" si="3571"/>
        <v>1</v>
      </c>
      <c r="AV540" s="8" t="b">
        <f t="shared" si="3466"/>
        <v>0</v>
      </c>
      <c r="AW540" s="8" t="b">
        <f t="shared" si="3467"/>
        <v>1</v>
      </c>
      <c r="AX540" s="8" t="str">
        <f t="shared" si="3468"/>
        <v>Qcorrecto</v>
      </c>
      <c r="AY540" s="22" t="str">
        <f t="shared" si="3553"/>
        <v>aceptable</v>
      </c>
      <c r="AZ540" s="22" t="str">
        <f t="shared" si="3554"/>
        <v>aceptable</v>
      </c>
      <c r="BA540" s="22" t="str">
        <f t="shared" si="3469"/>
        <v>aceptable</v>
      </c>
      <c r="BB540" s="25" t="str">
        <f t="shared" si="3572"/>
        <v>NO CONFORME</v>
      </c>
      <c r="BC540" s="5" t="str">
        <f t="shared" si="3573"/>
        <v>NO CONFORME</v>
      </c>
      <c r="BD540" s="15">
        <f t="shared" si="3555"/>
        <v>-1</v>
      </c>
      <c r="BE540" s="15">
        <f t="shared" si="3556"/>
        <v>-1</v>
      </c>
      <c r="BF540" s="15">
        <f t="shared" si="3557"/>
        <v>-1</v>
      </c>
      <c r="BG540" s="15" t="str">
        <f t="shared" si="3558"/>
        <v>-1-1-1</v>
      </c>
      <c r="BH540" s="15" t="str">
        <f t="shared" si="3559"/>
        <v>SD</v>
      </c>
      <c r="BI540" s="15" t="str">
        <f t="shared" si="3560"/>
        <v>SI</v>
      </c>
      <c r="BJ540" s="15" t="b">
        <f t="shared" si="3561"/>
        <v>1</v>
      </c>
      <c r="BK540" s="15" t="str">
        <f t="shared" si="3562"/>
        <v>SIGIGUALES</v>
      </c>
      <c r="BL540" s="22" t="str">
        <f t="shared" si="3563"/>
        <v>NO CONFORME</v>
      </c>
    </row>
    <row r="541" spans="1:64" ht="15.75" thickBot="1" x14ac:dyDescent="0.3">
      <c r="A541" s="37">
        <v>533</v>
      </c>
      <c r="B541" s="93">
        <f t="shared" ref="B541:E541" si="3700">B540</f>
        <v>45919</v>
      </c>
      <c r="C541" s="93">
        <f t="shared" si="3700"/>
        <v>45919</v>
      </c>
      <c r="D541" s="94">
        <f t="shared" si="3700"/>
        <v>6</v>
      </c>
      <c r="E541" s="95">
        <f t="shared" si="3700"/>
        <v>15</v>
      </c>
      <c r="F541" s="13"/>
      <c r="G541" s="109"/>
      <c r="H541" s="97">
        <f t="shared" ref="H541:L541" si="3701">H540</f>
        <v>25.6</v>
      </c>
      <c r="I541" s="98">
        <f t="shared" si="3701"/>
        <v>0</v>
      </c>
      <c r="J541" s="99">
        <f t="shared" si="3701"/>
        <v>20.9</v>
      </c>
      <c r="K541" s="99">
        <f t="shared" si="3701"/>
        <v>7.883</v>
      </c>
      <c r="L541" s="99">
        <f t="shared" si="3701"/>
        <v>0.55400000000000005</v>
      </c>
      <c r="M541" s="45"/>
      <c r="N541" s="45"/>
      <c r="O541" s="100">
        <f t="shared" ref="O541:P541" si="3702">O540</f>
        <v>100.62</v>
      </c>
      <c r="P541" s="101" t="str">
        <f t="shared" si="3702"/>
        <v>2,29,560</v>
      </c>
      <c r="Q541" s="11" t="str">
        <f t="shared" si="3452"/>
        <v>2</v>
      </c>
      <c r="R541" s="11" t="str">
        <f t="shared" si="3453"/>
        <v>29,560</v>
      </c>
      <c r="S541" s="11">
        <f t="shared" si="3454"/>
        <v>4.1544444444444446E-2</v>
      </c>
      <c r="T541" s="14">
        <f t="shared" si="3455"/>
        <v>2421.9844878309709</v>
      </c>
      <c r="U541" s="39">
        <f t="shared" si="3544"/>
        <v>-100</v>
      </c>
      <c r="V541" s="105">
        <f t="shared" ref="V541:X541" si="3703">V540</f>
        <v>20.399999999999999</v>
      </c>
      <c r="W541" s="105">
        <f t="shared" si="3703"/>
        <v>1.5069999999999999</v>
      </c>
      <c r="X541" s="106">
        <f t="shared" si="3703"/>
        <v>1.504</v>
      </c>
      <c r="Y541" s="45"/>
      <c r="Z541" s="45"/>
      <c r="AA541" s="107">
        <f t="shared" ref="AA541:AB541" si="3704">AA540</f>
        <v>10.015000000000001</v>
      </c>
      <c r="AB541" s="108" t="str">
        <f t="shared" si="3704"/>
        <v>22,10,090</v>
      </c>
      <c r="AC541" s="11" t="str">
        <f t="shared" si="3458"/>
        <v>22</v>
      </c>
      <c r="AD541" s="11" t="str">
        <f t="shared" si="3459"/>
        <v>10,090</v>
      </c>
      <c r="AE541" s="11">
        <f t="shared" si="3460"/>
        <v>0.36946944444444441</v>
      </c>
      <c r="AF541" s="14">
        <f t="shared" si="3547"/>
        <v>27.106436406558959</v>
      </c>
      <c r="AG541" s="41">
        <f t="shared" si="3475"/>
        <v>-100</v>
      </c>
      <c r="AH541" s="105">
        <f t="shared" ref="AH541:AJ541" si="3705">AH540</f>
        <v>20.3</v>
      </c>
      <c r="AI541" s="105">
        <f t="shared" si="3705"/>
        <v>1.5089999999999999</v>
      </c>
      <c r="AJ541" s="105">
        <f t="shared" si="3705"/>
        <v>1.504</v>
      </c>
      <c r="AK541" s="53">
        <f t="shared" si="3375"/>
        <v>0</v>
      </c>
      <c r="AL541" s="45"/>
      <c r="AM541" s="54">
        <f t="shared" ref="AM541:AN541" si="3706">AM540</f>
        <v>5.0129999999999999</v>
      </c>
      <c r="AN541" s="101" t="str">
        <f t="shared" si="3706"/>
        <v>17,59,050</v>
      </c>
      <c r="AO541" s="11" t="str">
        <f t="shared" si="3463"/>
        <v>17</v>
      </c>
      <c r="AP541" s="11" t="str">
        <f t="shared" si="3464"/>
        <v>59,050</v>
      </c>
      <c r="AQ541" s="11">
        <f t="shared" si="3465"/>
        <v>0.29973611111111109</v>
      </c>
      <c r="AR541" s="14">
        <f t="shared" si="3550"/>
        <v>16.724711551827998</v>
      </c>
      <c r="AS541" s="41">
        <f t="shared" si="3551"/>
        <v>-100</v>
      </c>
      <c r="AT541" s="43" t="str">
        <f t="shared" si="3552"/>
        <v>NO CONFORME</v>
      </c>
      <c r="AU541" s="8" t="b">
        <f t="shared" si="3571"/>
        <v>1</v>
      </c>
      <c r="AV541" s="8" t="b">
        <f t="shared" si="3466"/>
        <v>0</v>
      </c>
      <c r="AW541" s="8" t="b">
        <f t="shared" si="3467"/>
        <v>1</v>
      </c>
      <c r="AX541" s="8" t="str">
        <f t="shared" si="3468"/>
        <v>Qcorrecto</v>
      </c>
      <c r="AY541" s="22" t="str">
        <f t="shared" si="3553"/>
        <v>aceptable</v>
      </c>
      <c r="AZ541" s="22" t="str">
        <f t="shared" si="3554"/>
        <v>aceptable</v>
      </c>
      <c r="BA541" s="22" t="str">
        <f t="shared" si="3469"/>
        <v>aceptable</v>
      </c>
      <c r="BB541" s="25" t="str">
        <f t="shared" si="3572"/>
        <v>NO CONFORME</v>
      </c>
      <c r="BC541" s="5" t="str">
        <f t="shared" si="3573"/>
        <v>NO CONFORME</v>
      </c>
      <c r="BD541" s="15">
        <f t="shared" si="3555"/>
        <v>-1</v>
      </c>
      <c r="BE541" s="15">
        <f t="shared" si="3556"/>
        <v>-1</v>
      </c>
      <c r="BF541" s="15">
        <f t="shared" si="3557"/>
        <v>-1</v>
      </c>
      <c r="BG541" s="15" t="str">
        <f t="shared" si="3558"/>
        <v>-1-1-1</v>
      </c>
      <c r="BH541" s="15" t="str">
        <f t="shared" si="3559"/>
        <v>SD</v>
      </c>
      <c r="BI541" s="15" t="str">
        <f t="shared" si="3560"/>
        <v>SI</v>
      </c>
      <c r="BJ541" s="15" t="b">
        <f t="shared" si="3561"/>
        <v>1</v>
      </c>
      <c r="BK541" s="15" t="str">
        <f t="shared" si="3562"/>
        <v>SIGIGUALES</v>
      </c>
      <c r="BL541" s="22" t="str">
        <f t="shared" si="3563"/>
        <v>NO CONFORME</v>
      </c>
    </row>
    <row r="542" spans="1:64" ht="15.75" thickBot="1" x14ac:dyDescent="0.3">
      <c r="A542" s="37">
        <v>534</v>
      </c>
      <c r="B542" s="93">
        <f t="shared" ref="B542:E542" si="3707">B541</f>
        <v>45919</v>
      </c>
      <c r="C542" s="93">
        <f t="shared" si="3707"/>
        <v>45919</v>
      </c>
      <c r="D542" s="94">
        <f t="shared" si="3707"/>
        <v>6</v>
      </c>
      <c r="E542" s="95">
        <f t="shared" si="3707"/>
        <v>15</v>
      </c>
      <c r="F542" s="13"/>
      <c r="G542" s="109"/>
      <c r="H542" s="97">
        <f t="shared" ref="H542:L542" si="3708">H541</f>
        <v>25.6</v>
      </c>
      <c r="I542" s="98">
        <f t="shared" si="3708"/>
        <v>0</v>
      </c>
      <c r="J542" s="99">
        <f t="shared" si="3708"/>
        <v>20.9</v>
      </c>
      <c r="K542" s="99">
        <f t="shared" si="3708"/>
        <v>7.883</v>
      </c>
      <c r="L542" s="99">
        <f t="shared" si="3708"/>
        <v>0.55400000000000005</v>
      </c>
      <c r="M542" s="45"/>
      <c r="N542" s="45"/>
      <c r="O542" s="100">
        <f t="shared" ref="O542:P542" si="3709">O541</f>
        <v>100.62</v>
      </c>
      <c r="P542" s="101" t="str">
        <f t="shared" si="3709"/>
        <v>2,29,560</v>
      </c>
      <c r="Q542" s="11" t="str">
        <f t="shared" si="3452"/>
        <v>2</v>
      </c>
      <c r="R542" s="11" t="str">
        <f t="shared" si="3453"/>
        <v>29,560</v>
      </c>
      <c r="S542" s="11">
        <f t="shared" si="3454"/>
        <v>4.1544444444444446E-2</v>
      </c>
      <c r="T542" s="14">
        <f t="shared" si="3455"/>
        <v>2421.9844878309709</v>
      </c>
      <c r="U542" s="39">
        <f t="shared" si="3544"/>
        <v>-100</v>
      </c>
      <c r="V542" s="105">
        <f t="shared" ref="V542:X542" si="3710">V541</f>
        <v>20.399999999999999</v>
      </c>
      <c r="W542" s="105">
        <f t="shared" si="3710"/>
        <v>1.5069999999999999</v>
      </c>
      <c r="X542" s="106">
        <f t="shared" si="3710"/>
        <v>1.504</v>
      </c>
      <c r="Y542" s="45"/>
      <c r="Z542" s="45"/>
      <c r="AA542" s="107">
        <f t="shared" ref="AA542:AB542" si="3711">AA541</f>
        <v>10.015000000000001</v>
      </c>
      <c r="AB542" s="108" t="str">
        <f t="shared" si="3711"/>
        <v>22,10,090</v>
      </c>
      <c r="AC542" s="11" t="str">
        <f t="shared" si="3458"/>
        <v>22</v>
      </c>
      <c r="AD542" s="11" t="str">
        <f t="shared" si="3459"/>
        <v>10,090</v>
      </c>
      <c r="AE542" s="11">
        <f t="shared" si="3460"/>
        <v>0.36946944444444441</v>
      </c>
      <c r="AF542" s="14">
        <f t="shared" si="3547"/>
        <v>27.106436406558959</v>
      </c>
      <c r="AG542" s="41">
        <f t="shared" si="3475"/>
        <v>-100</v>
      </c>
      <c r="AH542" s="105">
        <f t="shared" ref="AH542:AJ542" si="3712">AH541</f>
        <v>20.3</v>
      </c>
      <c r="AI542" s="105">
        <f t="shared" si="3712"/>
        <v>1.5089999999999999</v>
      </c>
      <c r="AJ542" s="105">
        <f t="shared" si="3712"/>
        <v>1.504</v>
      </c>
      <c r="AK542" s="53">
        <f t="shared" si="3375"/>
        <v>0</v>
      </c>
      <c r="AL542" s="45"/>
      <c r="AM542" s="54">
        <f t="shared" ref="AM542:AN542" si="3713">AM541</f>
        <v>5.0129999999999999</v>
      </c>
      <c r="AN542" s="101" t="str">
        <f t="shared" si="3713"/>
        <v>17,59,050</v>
      </c>
      <c r="AO542" s="11" t="str">
        <f t="shared" si="3463"/>
        <v>17</v>
      </c>
      <c r="AP542" s="11" t="str">
        <f t="shared" si="3464"/>
        <v>59,050</v>
      </c>
      <c r="AQ542" s="11">
        <f t="shared" si="3465"/>
        <v>0.29973611111111109</v>
      </c>
      <c r="AR542" s="14">
        <f t="shared" si="3550"/>
        <v>16.724711551827998</v>
      </c>
      <c r="AS542" s="41">
        <f t="shared" si="3551"/>
        <v>-100</v>
      </c>
      <c r="AT542" s="43" t="str">
        <f t="shared" si="3552"/>
        <v>NO CONFORME</v>
      </c>
      <c r="AU542" s="8" t="b">
        <f t="shared" si="3571"/>
        <v>1</v>
      </c>
      <c r="AV542" s="8" t="b">
        <f t="shared" si="3466"/>
        <v>0</v>
      </c>
      <c r="AW542" s="8" t="b">
        <f t="shared" si="3467"/>
        <v>1</v>
      </c>
      <c r="AX542" s="8" t="str">
        <f t="shared" si="3468"/>
        <v>Qcorrecto</v>
      </c>
      <c r="AY542" s="22" t="str">
        <f t="shared" si="3553"/>
        <v>aceptable</v>
      </c>
      <c r="AZ542" s="22" t="str">
        <f t="shared" si="3554"/>
        <v>aceptable</v>
      </c>
      <c r="BA542" s="22" t="str">
        <f t="shared" si="3469"/>
        <v>aceptable</v>
      </c>
      <c r="BB542" s="25" t="str">
        <f t="shared" si="3572"/>
        <v>NO CONFORME</v>
      </c>
      <c r="BC542" s="5" t="str">
        <f t="shared" si="3573"/>
        <v>NO CONFORME</v>
      </c>
      <c r="BD542" s="15">
        <f t="shared" si="3555"/>
        <v>-1</v>
      </c>
      <c r="BE542" s="15">
        <f t="shared" si="3556"/>
        <v>-1</v>
      </c>
      <c r="BF542" s="15">
        <f t="shared" si="3557"/>
        <v>-1</v>
      </c>
      <c r="BG542" s="15" t="str">
        <f t="shared" si="3558"/>
        <v>-1-1-1</v>
      </c>
      <c r="BH542" s="15" t="str">
        <f t="shared" si="3559"/>
        <v>SD</v>
      </c>
      <c r="BI542" s="15" t="str">
        <f t="shared" si="3560"/>
        <v>SI</v>
      </c>
      <c r="BJ542" s="15" t="b">
        <f t="shared" si="3561"/>
        <v>1</v>
      </c>
      <c r="BK542" s="15" t="str">
        <f t="shared" si="3562"/>
        <v>SIGIGUALES</v>
      </c>
      <c r="BL542" s="22" t="str">
        <f t="shared" si="3563"/>
        <v>NO CONFORME</v>
      </c>
    </row>
    <row r="543" spans="1:64" ht="15.75" thickBot="1" x14ac:dyDescent="0.3">
      <c r="A543" s="37">
        <v>535</v>
      </c>
      <c r="B543" s="93">
        <f t="shared" ref="B543:E543" si="3714">B542</f>
        <v>45919</v>
      </c>
      <c r="C543" s="93">
        <f t="shared" si="3714"/>
        <v>45919</v>
      </c>
      <c r="D543" s="94">
        <f t="shared" si="3714"/>
        <v>6</v>
      </c>
      <c r="E543" s="95">
        <f t="shared" si="3714"/>
        <v>15</v>
      </c>
      <c r="F543" s="13"/>
      <c r="G543" s="109"/>
      <c r="H543" s="97">
        <f t="shared" ref="H543:L543" si="3715">H542</f>
        <v>25.6</v>
      </c>
      <c r="I543" s="98">
        <f t="shared" si="3715"/>
        <v>0</v>
      </c>
      <c r="J543" s="99">
        <f t="shared" si="3715"/>
        <v>20.9</v>
      </c>
      <c r="K543" s="99">
        <f t="shared" si="3715"/>
        <v>7.883</v>
      </c>
      <c r="L543" s="99">
        <f t="shared" si="3715"/>
        <v>0.55400000000000005</v>
      </c>
      <c r="M543" s="45"/>
      <c r="N543" s="45"/>
      <c r="O543" s="100">
        <f t="shared" ref="O543:P543" si="3716">O542</f>
        <v>100.62</v>
      </c>
      <c r="P543" s="101" t="str">
        <f t="shared" si="3716"/>
        <v>2,29,560</v>
      </c>
      <c r="Q543" s="11" t="str">
        <f t="shared" si="3452"/>
        <v>2</v>
      </c>
      <c r="R543" s="11" t="str">
        <f t="shared" si="3453"/>
        <v>29,560</v>
      </c>
      <c r="S543" s="11">
        <f t="shared" si="3454"/>
        <v>4.1544444444444446E-2</v>
      </c>
      <c r="T543" s="14">
        <f t="shared" si="3455"/>
        <v>2421.9844878309709</v>
      </c>
      <c r="U543" s="39">
        <f t="shared" si="3544"/>
        <v>-100</v>
      </c>
      <c r="V543" s="105">
        <f t="shared" ref="V543:X543" si="3717">V542</f>
        <v>20.399999999999999</v>
      </c>
      <c r="W543" s="105">
        <f t="shared" si="3717"/>
        <v>1.5069999999999999</v>
      </c>
      <c r="X543" s="106">
        <f t="shared" si="3717"/>
        <v>1.504</v>
      </c>
      <c r="Y543" s="45"/>
      <c r="Z543" s="45"/>
      <c r="AA543" s="107">
        <f t="shared" ref="AA543:AB543" si="3718">AA542</f>
        <v>10.015000000000001</v>
      </c>
      <c r="AB543" s="108" t="str">
        <f t="shared" si="3718"/>
        <v>22,10,090</v>
      </c>
      <c r="AC543" s="11" t="str">
        <f t="shared" si="3458"/>
        <v>22</v>
      </c>
      <c r="AD543" s="11" t="str">
        <f t="shared" si="3459"/>
        <v>10,090</v>
      </c>
      <c r="AE543" s="11">
        <f t="shared" si="3460"/>
        <v>0.36946944444444441</v>
      </c>
      <c r="AF543" s="14">
        <f t="shared" si="3547"/>
        <v>27.106436406558959</v>
      </c>
      <c r="AG543" s="41">
        <f t="shared" si="3475"/>
        <v>-100</v>
      </c>
      <c r="AH543" s="105">
        <f t="shared" ref="AH543:AJ543" si="3719">AH542</f>
        <v>20.3</v>
      </c>
      <c r="AI543" s="105">
        <f t="shared" si="3719"/>
        <v>1.5089999999999999</v>
      </c>
      <c r="AJ543" s="105">
        <f t="shared" si="3719"/>
        <v>1.504</v>
      </c>
      <c r="AK543" s="53">
        <f t="shared" si="3375"/>
        <v>0</v>
      </c>
      <c r="AL543" s="45"/>
      <c r="AM543" s="54">
        <f t="shared" ref="AM543:AN543" si="3720">AM542</f>
        <v>5.0129999999999999</v>
      </c>
      <c r="AN543" s="101" t="str">
        <f t="shared" si="3720"/>
        <v>17,59,050</v>
      </c>
      <c r="AO543" s="11" t="str">
        <f t="shared" si="3463"/>
        <v>17</v>
      </c>
      <c r="AP543" s="11" t="str">
        <f t="shared" si="3464"/>
        <v>59,050</v>
      </c>
      <c r="AQ543" s="11">
        <f t="shared" si="3465"/>
        <v>0.29973611111111109</v>
      </c>
      <c r="AR543" s="14">
        <f t="shared" si="3550"/>
        <v>16.724711551827998</v>
      </c>
      <c r="AS543" s="41">
        <f t="shared" si="3551"/>
        <v>-100</v>
      </c>
      <c r="AT543" s="43" t="str">
        <f t="shared" si="3552"/>
        <v>NO CONFORME</v>
      </c>
      <c r="AU543" s="8" t="b">
        <f t="shared" si="3571"/>
        <v>1</v>
      </c>
      <c r="AV543" s="8" t="b">
        <f t="shared" si="3466"/>
        <v>0</v>
      </c>
      <c r="AW543" s="8" t="b">
        <f t="shared" si="3467"/>
        <v>1</v>
      </c>
      <c r="AX543" s="8" t="str">
        <f t="shared" si="3468"/>
        <v>Qcorrecto</v>
      </c>
      <c r="AY543" s="22" t="str">
        <f t="shared" si="3553"/>
        <v>aceptable</v>
      </c>
      <c r="AZ543" s="22" t="str">
        <f t="shared" si="3554"/>
        <v>aceptable</v>
      </c>
      <c r="BA543" s="22" t="str">
        <f t="shared" si="3469"/>
        <v>aceptable</v>
      </c>
      <c r="BB543" s="25" t="str">
        <f t="shared" si="3572"/>
        <v>NO CONFORME</v>
      </c>
      <c r="BC543" s="5" t="str">
        <f t="shared" si="3573"/>
        <v>NO CONFORME</v>
      </c>
      <c r="BD543" s="15">
        <f t="shared" si="3555"/>
        <v>-1</v>
      </c>
      <c r="BE543" s="15">
        <f t="shared" si="3556"/>
        <v>-1</v>
      </c>
      <c r="BF543" s="15">
        <f t="shared" si="3557"/>
        <v>-1</v>
      </c>
      <c r="BG543" s="15" t="str">
        <f t="shared" si="3558"/>
        <v>-1-1-1</v>
      </c>
      <c r="BH543" s="15" t="str">
        <f t="shared" si="3559"/>
        <v>SD</v>
      </c>
      <c r="BI543" s="15" t="str">
        <f t="shared" si="3560"/>
        <v>SI</v>
      </c>
      <c r="BJ543" s="15" t="b">
        <f t="shared" si="3561"/>
        <v>1</v>
      </c>
      <c r="BK543" s="15" t="str">
        <f t="shared" si="3562"/>
        <v>SIGIGUALES</v>
      </c>
      <c r="BL543" s="22" t="str">
        <f t="shared" si="3563"/>
        <v>NO CONFORME</v>
      </c>
    </row>
    <row r="544" spans="1:64" ht="15.75" thickBot="1" x14ac:dyDescent="0.3">
      <c r="A544" s="37">
        <v>536</v>
      </c>
      <c r="B544" s="93">
        <f t="shared" ref="B544:E544" si="3721">B543</f>
        <v>45919</v>
      </c>
      <c r="C544" s="93">
        <f t="shared" si="3721"/>
        <v>45919</v>
      </c>
      <c r="D544" s="94">
        <f t="shared" si="3721"/>
        <v>6</v>
      </c>
      <c r="E544" s="95">
        <f t="shared" si="3721"/>
        <v>15</v>
      </c>
      <c r="F544" s="13"/>
      <c r="G544" s="90"/>
      <c r="H544" s="97">
        <f t="shared" ref="H544:L544" si="3722">H543</f>
        <v>25.6</v>
      </c>
      <c r="I544" s="98">
        <f t="shared" si="3722"/>
        <v>0</v>
      </c>
      <c r="J544" s="99">
        <f t="shared" si="3722"/>
        <v>20.9</v>
      </c>
      <c r="K544" s="99">
        <f t="shared" si="3722"/>
        <v>7.883</v>
      </c>
      <c r="L544" s="99">
        <f t="shared" si="3722"/>
        <v>0.55400000000000005</v>
      </c>
      <c r="M544" s="45"/>
      <c r="N544" s="45"/>
      <c r="O544" s="100">
        <f t="shared" ref="O544:P544" si="3723">O543</f>
        <v>100.62</v>
      </c>
      <c r="P544" s="101" t="str">
        <f t="shared" si="3723"/>
        <v>2,29,560</v>
      </c>
      <c r="Q544" s="11" t="str">
        <f t="shared" si="3452"/>
        <v>2</v>
      </c>
      <c r="R544" s="11" t="str">
        <f t="shared" si="3453"/>
        <v>29,560</v>
      </c>
      <c r="S544" s="11">
        <f t="shared" si="3454"/>
        <v>4.1544444444444446E-2</v>
      </c>
      <c r="T544" s="14">
        <f t="shared" si="3455"/>
        <v>2421.9844878309709</v>
      </c>
      <c r="U544" s="39">
        <f t="shared" si="3544"/>
        <v>-100</v>
      </c>
      <c r="V544" s="105">
        <f t="shared" ref="V544:X544" si="3724">V543</f>
        <v>20.399999999999999</v>
      </c>
      <c r="W544" s="105">
        <f t="shared" si="3724"/>
        <v>1.5069999999999999</v>
      </c>
      <c r="X544" s="106">
        <f t="shared" si="3724"/>
        <v>1.504</v>
      </c>
      <c r="Y544" s="45"/>
      <c r="Z544" s="45"/>
      <c r="AA544" s="107">
        <f t="shared" ref="AA544:AB544" si="3725">AA543</f>
        <v>10.015000000000001</v>
      </c>
      <c r="AB544" s="108" t="str">
        <f t="shared" si="3725"/>
        <v>22,10,090</v>
      </c>
      <c r="AC544" s="11" t="str">
        <f t="shared" si="3458"/>
        <v>22</v>
      </c>
      <c r="AD544" s="11" t="str">
        <f t="shared" si="3459"/>
        <v>10,090</v>
      </c>
      <c r="AE544" s="11">
        <f t="shared" si="3460"/>
        <v>0.36946944444444441</v>
      </c>
      <c r="AF544" s="14">
        <f t="shared" si="3547"/>
        <v>27.106436406558959</v>
      </c>
      <c r="AG544" s="41">
        <f t="shared" si="3475"/>
        <v>-100</v>
      </c>
      <c r="AH544" s="105">
        <f t="shared" ref="AH544:AJ544" si="3726">AH543</f>
        <v>20.3</v>
      </c>
      <c r="AI544" s="105">
        <f t="shared" si="3726"/>
        <v>1.5089999999999999</v>
      </c>
      <c r="AJ544" s="105">
        <f t="shared" si="3726"/>
        <v>1.504</v>
      </c>
      <c r="AK544" s="53">
        <f t="shared" si="3375"/>
        <v>0</v>
      </c>
      <c r="AL544" s="45"/>
      <c r="AM544" s="54">
        <f t="shared" ref="AM544:AN544" si="3727">AM543</f>
        <v>5.0129999999999999</v>
      </c>
      <c r="AN544" s="101" t="str">
        <f t="shared" si="3727"/>
        <v>17,59,050</v>
      </c>
      <c r="AO544" s="11" t="str">
        <f t="shared" si="3463"/>
        <v>17</v>
      </c>
      <c r="AP544" s="11" t="str">
        <f t="shared" si="3464"/>
        <v>59,050</v>
      </c>
      <c r="AQ544" s="11">
        <f t="shared" si="3465"/>
        <v>0.29973611111111109</v>
      </c>
      <c r="AR544" s="14">
        <f t="shared" si="3550"/>
        <v>16.724711551827998</v>
      </c>
      <c r="AS544" s="41">
        <f t="shared" si="3551"/>
        <v>-100</v>
      </c>
      <c r="AT544" s="43" t="str">
        <f t="shared" si="3552"/>
        <v>NO CONFORME</v>
      </c>
      <c r="AU544" s="8" t="b">
        <f t="shared" si="3571"/>
        <v>1</v>
      </c>
      <c r="AV544" s="8" t="b">
        <f t="shared" si="3466"/>
        <v>0</v>
      </c>
      <c r="AW544" s="8" t="b">
        <f t="shared" si="3467"/>
        <v>1</v>
      </c>
      <c r="AX544" s="8" t="str">
        <f t="shared" si="3468"/>
        <v>Qcorrecto</v>
      </c>
      <c r="AY544" s="22" t="str">
        <f t="shared" si="3553"/>
        <v>aceptable</v>
      </c>
      <c r="AZ544" s="22" t="str">
        <f t="shared" si="3554"/>
        <v>aceptable</v>
      </c>
      <c r="BA544" s="22" t="str">
        <f t="shared" si="3469"/>
        <v>aceptable</v>
      </c>
      <c r="BB544" s="25" t="str">
        <f t="shared" si="3572"/>
        <v>NO CONFORME</v>
      </c>
      <c r="BC544" s="5" t="str">
        <f t="shared" si="3573"/>
        <v>NO CONFORME</v>
      </c>
      <c r="BD544" s="15">
        <f t="shared" si="3555"/>
        <v>-1</v>
      </c>
      <c r="BE544" s="15">
        <f t="shared" si="3556"/>
        <v>-1</v>
      </c>
      <c r="BF544" s="15">
        <f t="shared" si="3557"/>
        <v>-1</v>
      </c>
      <c r="BG544" s="15" t="str">
        <f t="shared" si="3558"/>
        <v>-1-1-1</v>
      </c>
      <c r="BH544" s="15" t="str">
        <f t="shared" si="3559"/>
        <v>SD</v>
      </c>
      <c r="BI544" s="15" t="str">
        <f t="shared" si="3560"/>
        <v>SI</v>
      </c>
      <c r="BJ544" s="15" t="b">
        <f t="shared" si="3561"/>
        <v>1</v>
      </c>
      <c r="BK544" s="15" t="str">
        <f t="shared" si="3562"/>
        <v>SIGIGUALES</v>
      </c>
      <c r="BL544" s="22" t="str">
        <f t="shared" si="3563"/>
        <v>NO CONFORME</v>
      </c>
    </row>
    <row r="545" spans="1:64" ht="15.75" thickBot="1" x14ac:dyDescent="0.3">
      <c r="A545" s="37">
        <v>537</v>
      </c>
      <c r="B545" s="93">
        <f t="shared" ref="B545:E545" si="3728">B544</f>
        <v>45919</v>
      </c>
      <c r="C545" s="93">
        <f t="shared" si="3728"/>
        <v>45919</v>
      </c>
      <c r="D545" s="94">
        <f t="shared" si="3728"/>
        <v>6</v>
      </c>
      <c r="E545" s="95">
        <f t="shared" si="3728"/>
        <v>15</v>
      </c>
      <c r="F545" s="13"/>
      <c r="G545" s="90"/>
      <c r="H545" s="97">
        <f t="shared" ref="H545:L545" si="3729">H544</f>
        <v>25.6</v>
      </c>
      <c r="I545" s="98">
        <f t="shared" si="3729"/>
        <v>0</v>
      </c>
      <c r="J545" s="99">
        <f t="shared" si="3729"/>
        <v>20.9</v>
      </c>
      <c r="K545" s="99">
        <f t="shared" si="3729"/>
        <v>7.883</v>
      </c>
      <c r="L545" s="99">
        <f t="shared" si="3729"/>
        <v>0.55400000000000005</v>
      </c>
      <c r="M545" s="45"/>
      <c r="N545" s="45"/>
      <c r="O545" s="100">
        <f t="shared" ref="O545:P545" si="3730">O544</f>
        <v>100.62</v>
      </c>
      <c r="P545" s="101" t="str">
        <f t="shared" si="3730"/>
        <v>2,29,560</v>
      </c>
      <c r="Q545" s="11" t="str">
        <f t="shared" si="3452"/>
        <v>2</v>
      </c>
      <c r="R545" s="11" t="str">
        <f t="shared" si="3453"/>
        <v>29,560</v>
      </c>
      <c r="S545" s="11">
        <f t="shared" si="3454"/>
        <v>4.1544444444444446E-2</v>
      </c>
      <c r="T545" s="14">
        <f t="shared" si="3455"/>
        <v>2421.9844878309709</v>
      </c>
      <c r="U545" s="39">
        <f t="shared" si="3544"/>
        <v>-100</v>
      </c>
      <c r="V545" s="105">
        <f t="shared" ref="V545:X545" si="3731">V544</f>
        <v>20.399999999999999</v>
      </c>
      <c r="W545" s="105">
        <f t="shared" si="3731"/>
        <v>1.5069999999999999</v>
      </c>
      <c r="X545" s="106">
        <f t="shared" si="3731"/>
        <v>1.504</v>
      </c>
      <c r="Y545" s="45"/>
      <c r="Z545" s="45"/>
      <c r="AA545" s="107">
        <f t="shared" ref="AA545:AB545" si="3732">AA544</f>
        <v>10.015000000000001</v>
      </c>
      <c r="AB545" s="108" t="str">
        <f t="shared" si="3732"/>
        <v>22,10,090</v>
      </c>
      <c r="AC545" s="11" t="str">
        <f t="shared" si="3458"/>
        <v>22</v>
      </c>
      <c r="AD545" s="11" t="str">
        <f t="shared" si="3459"/>
        <v>10,090</v>
      </c>
      <c r="AE545" s="11">
        <f t="shared" si="3460"/>
        <v>0.36946944444444441</v>
      </c>
      <c r="AF545" s="14">
        <f t="shared" si="3547"/>
        <v>27.106436406558959</v>
      </c>
      <c r="AG545" s="41">
        <f t="shared" si="3475"/>
        <v>-100</v>
      </c>
      <c r="AH545" s="105">
        <f t="shared" ref="AH545:AJ545" si="3733">AH544</f>
        <v>20.3</v>
      </c>
      <c r="AI545" s="105">
        <f t="shared" si="3733"/>
        <v>1.5089999999999999</v>
      </c>
      <c r="AJ545" s="105">
        <f t="shared" si="3733"/>
        <v>1.504</v>
      </c>
      <c r="AK545" s="53">
        <f t="shared" si="3375"/>
        <v>0</v>
      </c>
      <c r="AL545" s="45"/>
      <c r="AM545" s="54">
        <f t="shared" ref="AM545:AN545" si="3734">AM544</f>
        <v>5.0129999999999999</v>
      </c>
      <c r="AN545" s="101" t="str">
        <f t="shared" si="3734"/>
        <v>17,59,050</v>
      </c>
      <c r="AO545" s="11" t="str">
        <f t="shared" si="3463"/>
        <v>17</v>
      </c>
      <c r="AP545" s="11" t="str">
        <f t="shared" si="3464"/>
        <v>59,050</v>
      </c>
      <c r="AQ545" s="11">
        <f t="shared" si="3465"/>
        <v>0.29973611111111109</v>
      </c>
      <c r="AR545" s="14">
        <f t="shared" si="3550"/>
        <v>16.724711551827998</v>
      </c>
      <c r="AS545" s="41">
        <f t="shared" si="3551"/>
        <v>-100</v>
      </c>
      <c r="AT545" s="43" t="str">
        <f t="shared" si="3552"/>
        <v>NO CONFORME</v>
      </c>
      <c r="AU545" s="8" t="b">
        <f t="shared" si="3571"/>
        <v>1</v>
      </c>
      <c r="AV545" s="8" t="b">
        <f t="shared" si="3466"/>
        <v>0</v>
      </c>
      <c r="AW545" s="8" t="b">
        <f t="shared" si="3467"/>
        <v>1</v>
      </c>
      <c r="AX545" s="8" t="str">
        <f t="shared" si="3468"/>
        <v>Qcorrecto</v>
      </c>
      <c r="AY545" s="22" t="str">
        <f t="shared" si="3553"/>
        <v>aceptable</v>
      </c>
      <c r="AZ545" s="22" t="str">
        <f t="shared" si="3554"/>
        <v>aceptable</v>
      </c>
      <c r="BA545" s="22" t="str">
        <f t="shared" si="3469"/>
        <v>aceptable</v>
      </c>
      <c r="BB545" s="25" t="str">
        <f t="shared" si="3572"/>
        <v>NO CONFORME</v>
      </c>
      <c r="BC545" s="5" t="str">
        <f t="shared" si="3573"/>
        <v>NO CONFORME</v>
      </c>
      <c r="BD545" s="15">
        <f t="shared" si="3555"/>
        <v>-1</v>
      </c>
      <c r="BE545" s="15">
        <f t="shared" si="3556"/>
        <v>-1</v>
      </c>
      <c r="BF545" s="15">
        <f t="shared" si="3557"/>
        <v>-1</v>
      </c>
      <c r="BG545" s="15" t="str">
        <f t="shared" si="3558"/>
        <v>-1-1-1</v>
      </c>
      <c r="BH545" s="15" t="str">
        <f t="shared" si="3559"/>
        <v>SD</v>
      </c>
      <c r="BI545" s="15" t="str">
        <f t="shared" si="3560"/>
        <v>SI</v>
      </c>
      <c r="BJ545" s="15" t="b">
        <f t="shared" si="3561"/>
        <v>1</v>
      </c>
      <c r="BK545" s="15" t="str">
        <f t="shared" si="3562"/>
        <v>SIGIGUALES</v>
      </c>
      <c r="BL545" s="22" t="str">
        <f t="shared" si="3563"/>
        <v>NO CONFORME</v>
      </c>
    </row>
    <row r="546" spans="1:64" ht="15.75" thickBot="1" x14ac:dyDescent="0.3">
      <c r="A546" s="37">
        <v>538</v>
      </c>
      <c r="B546" s="93">
        <f t="shared" ref="B546:E546" si="3735">B545</f>
        <v>45919</v>
      </c>
      <c r="C546" s="93">
        <f t="shared" si="3735"/>
        <v>45919</v>
      </c>
      <c r="D546" s="94">
        <f t="shared" si="3735"/>
        <v>6</v>
      </c>
      <c r="E546" s="95">
        <f t="shared" si="3735"/>
        <v>15</v>
      </c>
      <c r="F546" s="13"/>
      <c r="G546" s="90"/>
      <c r="H546" s="97">
        <f t="shared" ref="H546:L546" si="3736">H545</f>
        <v>25.6</v>
      </c>
      <c r="I546" s="98">
        <f t="shared" si="3736"/>
        <v>0</v>
      </c>
      <c r="J546" s="99">
        <f t="shared" si="3736"/>
        <v>20.9</v>
      </c>
      <c r="K546" s="99">
        <f t="shared" si="3736"/>
        <v>7.883</v>
      </c>
      <c r="L546" s="99">
        <f t="shared" si="3736"/>
        <v>0.55400000000000005</v>
      </c>
      <c r="M546" s="45"/>
      <c r="N546" s="45"/>
      <c r="O546" s="100">
        <f t="shared" ref="O546:P546" si="3737">O545</f>
        <v>100.62</v>
      </c>
      <c r="P546" s="101" t="str">
        <f t="shared" si="3737"/>
        <v>2,29,560</v>
      </c>
      <c r="Q546" s="11" t="str">
        <f t="shared" si="3452"/>
        <v>2</v>
      </c>
      <c r="R546" s="11" t="str">
        <f t="shared" si="3453"/>
        <v>29,560</v>
      </c>
      <c r="S546" s="11">
        <f t="shared" si="3454"/>
        <v>4.1544444444444446E-2</v>
      </c>
      <c r="T546" s="14">
        <f t="shared" si="3455"/>
        <v>2421.9844878309709</v>
      </c>
      <c r="U546" s="39">
        <f t="shared" si="3544"/>
        <v>-100</v>
      </c>
      <c r="V546" s="105">
        <f t="shared" ref="V546:X546" si="3738">V545</f>
        <v>20.399999999999999</v>
      </c>
      <c r="W546" s="105">
        <f t="shared" si="3738"/>
        <v>1.5069999999999999</v>
      </c>
      <c r="X546" s="106">
        <f t="shared" si="3738"/>
        <v>1.504</v>
      </c>
      <c r="Y546" s="45"/>
      <c r="Z546" s="45"/>
      <c r="AA546" s="107">
        <f t="shared" ref="AA546:AB546" si="3739">AA545</f>
        <v>10.015000000000001</v>
      </c>
      <c r="AB546" s="108" t="str">
        <f t="shared" si="3739"/>
        <v>22,10,090</v>
      </c>
      <c r="AC546" s="11" t="str">
        <f t="shared" si="3458"/>
        <v>22</v>
      </c>
      <c r="AD546" s="11" t="str">
        <f t="shared" si="3459"/>
        <v>10,090</v>
      </c>
      <c r="AE546" s="11">
        <f t="shared" si="3460"/>
        <v>0.36946944444444441</v>
      </c>
      <c r="AF546" s="14">
        <f t="shared" si="3547"/>
        <v>27.106436406558959</v>
      </c>
      <c r="AG546" s="41">
        <f t="shared" si="3475"/>
        <v>-100</v>
      </c>
      <c r="AH546" s="105">
        <f t="shared" ref="AH546:AJ546" si="3740">AH545</f>
        <v>20.3</v>
      </c>
      <c r="AI546" s="105">
        <f t="shared" si="3740"/>
        <v>1.5089999999999999</v>
      </c>
      <c r="AJ546" s="105">
        <f t="shared" si="3740"/>
        <v>1.504</v>
      </c>
      <c r="AK546" s="53">
        <f t="shared" si="3375"/>
        <v>0</v>
      </c>
      <c r="AL546" s="45"/>
      <c r="AM546" s="54">
        <f t="shared" ref="AM546:AN546" si="3741">AM545</f>
        <v>5.0129999999999999</v>
      </c>
      <c r="AN546" s="101" t="str">
        <f t="shared" si="3741"/>
        <v>17,59,050</v>
      </c>
      <c r="AO546" s="11" t="str">
        <f t="shared" si="3463"/>
        <v>17</v>
      </c>
      <c r="AP546" s="11" t="str">
        <f t="shared" si="3464"/>
        <v>59,050</v>
      </c>
      <c r="AQ546" s="11">
        <f t="shared" si="3465"/>
        <v>0.29973611111111109</v>
      </c>
      <c r="AR546" s="14">
        <f t="shared" si="3550"/>
        <v>16.724711551827998</v>
      </c>
      <c r="AS546" s="41">
        <f t="shared" si="3551"/>
        <v>-100</v>
      </c>
      <c r="AT546" s="43" t="str">
        <f t="shared" si="3552"/>
        <v>NO CONFORME</v>
      </c>
      <c r="AU546" s="8" t="b">
        <f t="shared" si="3571"/>
        <v>1</v>
      </c>
      <c r="AV546" s="8" t="b">
        <f t="shared" si="3466"/>
        <v>0</v>
      </c>
      <c r="AW546" s="8" t="b">
        <f t="shared" si="3467"/>
        <v>1</v>
      </c>
      <c r="AX546" s="8" t="str">
        <f t="shared" si="3468"/>
        <v>Qcorrecto</v>
      </c>
      <c r="AY546" s="22" t="str">
        <f t="shared" si="3553"/>
        <v>aceptable</v>
      </c>
      <c r="AZ546" s="22" t="str">
        <f t="shared" si="3554"/>
        <v>aceptable</v>
      </c>
      <c r="BA546" s="22" t="str">
        <f t="shared" si="3469"/>
        <v>aceptable</v>
      </c>
      <c r="BB546" s="25" t="str">
        <f t="shared" si="3572"/>
        <v>NO CONFORME</v>
      </c>
      <c r="BC546" s="5" t="str">
        <f t="shared" si="3573"/>
        <v>NO CONFORME</v>
      </c>
      <c r="BD546" s="15">
        <f t="shared" si="3555"/>
        <v>-1</v>
      </c>
      <c r="BE546" s="15">
        <f t="shared" si="3556"/>
        <v>-1</v>
      </c>
      <c r="BF546" s="15">
        <f t="shared" si="3557"/>
        <v>-1</v>
      </c>
      <c r="BG546" s="15" t="str">
        <f t="shared" si="3558"/>
        <v>-1-1-1</v>
      </c>
      <c r="BH546" s="15" t="str">
        <f t="shared" si="3559"/>
        <v>SD</v>
      </c>
      <c r="BI546" s="15" t="str">
        <f t="shared" si="3560"/>
        <v>SI</v>
      </c>
      <c r="BJ546" s="15" t="b">
        <f t="shared" si="3561"/>
        <v>1</v>
      </c>
      <c r="BK546" s="15" t="str">
        <f t="shared" si="3562"/>
        <v>SIGIGUALES</v>
      </c>
      <c r="BL546" s="22" t="str">
        <f t="shared" si="3563"/>
        <v>NO CONFORME</v>
      </c>
    </row>
    <row r="547" spans="1:64" ht="15.75" thickBot="1" x14ac:dyDescent="0.3">
      <c r="A547" s="37">
        <v>539</v>
      </c>
      <c r="B547" s="93">
        <f t="shared" ref="B547:E547" si="3742">B546</f>
        <v>45919</v>
      </c>
      <c r="C547" s="93">
        <f t="shared" si="3742"/>
        <v>45919</v>
      </c>
      <c r="D547" s="94">
        <f t="shared" si="3742"/>
        <v>6</v>
      </c>
      <c r="E547" s="95">
        <f t="shared" si="3742"/>
        <v>15</v>
      </c>
      <c r="F547" s="13"/>
      <c r="G547" s="90"/>
      <c r="H547" s="97">
        <f t="shared" ref="H547:L547" si="3743">H546</f>
        <v>25.6</v>
      </c>
      <c r="I547" s="98">
        <f t="shared" si="3743"/>
        <v>0</v>
      </c>
      <c r="J547" s="99">
        <f t="shared" si="3743"/>
        <v>20.9</v>
      </c>
      <c r="K547" s="99">
        <f t="shared" si="3743"/>
        <v>7.883</v>
      </c>
      <c r="L547" s="99">
        <f t="shared" si="3743"/>
        <v>0.55400000000000005</v>
      </c>
      <c r="M547" s="45"/>
      <c r="N547" s="45"/>
      <c r="O547" s="100">
        <f t="shared" ref="O547:P547" si="3744">O546</f>
        <v>100.62</v>
      </c>
      <c r="P547" s="101" t="str">
        <f t="shared" si="3744"/>
        <v>2,29,560</v>
      </c>
      <c r="Q547" s="11" t="str">
        <f t="shared" si="3452"/>
        <v>2</v>
      </c>
      <c r="R547" s="11" t="str">
        <f t="shared" si="3453"/>
        <v>29,560</v>
      </c>
      <c r="S547" s="11">
        <f t="shared" si="3454"/>
        <v>4.1544444444444446E-2</v>
      </c>
      <c r="T547" s="14">
        <f t="shared" si="3455"/>
        <v>2421.9844878309709</v>
      </c>
      <c r="U547" s="39">
        <f t="shared" si="3544"/>
        <v>-100</v>
      </c>
      <c r="V547" s="105">
        <f t="shared" ref="V547:X547" si="3745">V546</f>
        <v>20.399999999999999</v>
      </c>
      <c r="W547" s="105">
        <f t="shared" si="3745"/>
        <v>1.5069999999999999</v>
      </c>
      <c r="X547" s="106">
        <f t="shared" si="3745"/>
        <v>1.504</v>
      </c>
      <c r="Y547" s="45"/>
      <c r="Z547" s="45"/>
      <c r="AA547" s="107">
        <f t="shared" ref="AA547:AB547" si="3746">AA546</f>
        <v>10.015000000000001</v>
      </c>
      <c r="AB547" s="108" t="str">
        <f t="shared" si="3746"/>
        <v>22,10,090</v>
      </c>
      <c r="AC547" s="11" t="str">
        <f t="shared" si="3458"/>
        <v>22</v>
      </c>
      <c r="AD547" s="11" t="str">
        <f t="shared" si="3459"/>
        <v>10,090</v>
      </c>
      <c r="AE547" s="11">
        <f t="shared" si="3460"/>
        <v>0.36946944444444441</v>
      </c>
      <c r="AF547" s="14">
        <f t="shared" si="3547"/>
        <v>27.106436406558959</v>
      </c>
      <c r="AG547" s="41">
        <f t="shared" si="3475"/>
        <v>-100</v>
      </c>
      <c r="AH547" s="105">
        <f t="shared" ref="AH547:AJ547" si="3747">AH546</f>
        <v>20.3</v>
      </c>
      <c r="AI547" s="105">
        <f t="shared" si="3747"/>
        <v>1.5089999999999999</v>
      </c>
      <c r="AJ547" s="105">
        <f t="shared" si="3747"/>
        <v>1.504</v>
      </c>
      <c r="AK547" s="53">
        <f t="shared" si="3375"/>
        <v>0</v>
      </c>
      <c r="AL547" s="45"/>
      <c r="AM547" s="54">
        <f t="shared" ref="AM547:AN547" si="3748">AM546</f>
        <v>5.0129999999999999</v>
      </c>
      <c r="AN547" s="101" t="str">
        <f t="shared" si="3748"/>
        <v>17,59,050</v>
      </c>
      <c r="AO547" s="11" t="str">
        <f t="shared" si="3463"/>
        <v>17</v>
      </c>
      <c r="AP547" s="11" t="str">
        <f t="shared" si="3464"/>
        <v>59,050</v>
      </c>
      <c r="AQ547" s="11">
        <f t="shared" si="3465"/>
        <v>0.29973611111111109</v>
      </c>
      <c r="AR547" s="14">
        <f t="shared" si="3550"/>
        <v>16.724711551827998</v>
      </c>
      <c r="AS547" s="41">
        <f t="shared" si="3551"/>
        <v>-100</v>
      </c>
      <c r="AT547" s="43" t="str">
        <f t="shared" si="3552"/>
        <v>NO CONFORME</v>
      </c>
      <c r="AU547" s="8" t="b">
        <f t="shared" si="3571"/>
        <v>1</v>
      </c>
      <c r="AV547" s="8" t="b">
        <f t="shared" si="3466"/>
        <v>0</v>
      </c>
      <c r="AW547" s="8" t="b">
        <f t="shared" si="3467"/>
        <v>1</v>
      </c>
      <c r="AX547" s="8" t="str">
        <f t="shared" si="3468"/>
        <v>Qcorrecto</v>
      </c>
      <c r="AY547" s="22" t="str">
        <f t="shared" si="3553"/>
        <v>aceptable</v>
      </c>
      <c r="AZ547" s="22" t="str">
        <f t="shared" si="3554"/>
        <v>aceptable</v>
      </c>
      <c r="BA547" s="22" t="str">
        <f t="shared" si="3469"/>
        <v>aceptable</v>
      </c>
      <c r="BB547" s="25" t="str">
        <f t="shared" si="3572"/>
        <v>NO CONFORME</v>
      </c>
      <c r="BC547" s="5" t="str">
        <f t="shared" si="3573"/>
        <v>NO CONFORME</v>
      </c>
      <c r="BD547" s="15">
        <f t="shared" si="3555"/>
        <v>-1</v>
      </c>
      <c r="BE547" s="15">
        <f t="shared" si="3556"/>
        <v>-1</v>
      </c>
      <c r="BF547" s="15">
        <f t="shared" si="3557"/>
        <v>-1</v>
      </c>
      <c r="BG547" s="15" t="str">
        <f t="shared" si="3558"/>
        <v>-1-1-1</v>
      </c>
      <c r="BH547" s="15" t="str">
        <f t="shared" si="3559"/>
        <v>SD</v>
      </c>
      <c r="BI547" s="15" t="str">
        <f t="shared" si="3560"/>
        <v>SI</v>
      </c>
      <c r="BJ547" s="15" t="b">
        <f t="shared" si="3561"/>
        <v>1</v>
      </c>
      <c r="BK547" s="15" t="str">
        <f t="shared" si="3562"/>
        <v>SIGIGUALES</v>
      </c>
      <c r="BL547" s="22" t="str">
        <f t="shared" si="3563"/>
        <v>NO CONFORME</v>
      </c>
    </row>
    <row r="548" spans="1:64" ht="15.75" thickBot="1" x14ac:dyDescent="0.3">
      <c r="A548" s="37">
        <v>540</v>
      </c>
      <c r="B548" s="93">
        <f t="shared" ref="B548:E548" si="3749">B547</f>
        <v>45919</v>
      </c>
      <c r="C548" s="93">
        <f t="shared" si="3749"/>
        <v>45919</v>
      </c>
      <c r="D548" s="94">
        <f t="shared" si="3749"/>
        <v>6</v>
      </c>
      <c r="E548" s="95">
        <f t="shared" si="3749"/>
        <v>15</v>
      </c>
      <c r="F548" s="52"/>
      <c r="G548" s="60"/>
      <c r="H548" s="97">
        <f t="shared" ref="H548:L548" si="3750">H547</f>
        <v>25.6</v>
      </c>
      <c r="I548" s="98">
        <f t="shared" si="3750"/>
        <v>0</v>
      </c>
      <c r="J548" s="99">
        <f t="shared" si="3750"/>
        <v>20.9</v>
      </c>
      <c r="K548" s="99">
        <f t="shared" si="3750"/>
        <v>7.883</v>
      </c>
      <c r="L548" s="99">
        <f t="shared" si="3750"/>
        <v>0.55400000000000005</v>
      </c>
      <c r="M548" s="53"/>
      <c r="N548" s="53"/>
      <c r="O548" s="100">
        <f t="shared" ref="O548:P548" si="3751">O547</f>
        <v>100.62</v>
      </c>
      <c r="P548" s="101" t="str">
        <f t="shared" si="3751"/>
        <v>2,29,560</v>
      </c>
      <c r="Q548" s="11" t="str">
        <f t="shared" si="3452"/>
        <v>2</v>
      </c>
      <c r="R548" s="11" t="str">
        <f t="shared" si="3453"/>
        <v>29,560</v>
      </c>
      <c r="S548" s="11">
        <f t="shared" si="3454"/>
        <v>4.1544444444444446E-2</v>
      </c>
      <c r="T548" s="14">
        <f t="shared" si="3455"/>
        <v>2421.9844878309709</v>
      </c>
      <c r="U548" s="39">
        <f t="shared" si="3544"/>
        <v>-100</v>
      </c>
      <c r="V548" s="105">
        <f t="shared" ref="V548:X548" si="3752">V547</f>
        <v>20.399999999999999</v>
      </c>
      <c r="W548" s="105">
        <f t="shared" si="3752"/>
        <v>1.5069999999999999</v>
      </c>
      <c r="X548" s="106">
        <f t="shared" si="3752"/>
        <v>1.504</v>
      </c>
      <c r="Y548" s="53"/>
      <c r="Z548" s="53"/>
      <c r="AA548" s="107">
        <f t="shared" ref="AA548:AB548" si="3753">AA547</f>
        <v>10.015000000000001</v>
      </c>
      <c r="AB548" s="108" t="str">
        <f t="shared" si="3753"/>
        <v>22,10,090</v>
      </c>
      <c r="AC548" s="11" t="str">
        <f t="shared" si="3458"/>
        <v>22</v>
      </c>
      <c r="AD548" s="11" t="str">
        <f t="shared" si="3459"/>
        <v>10,090</v>
      </c>
      <c r="AE548" s="11">
        <f t="shared" si="3460"/>
        <v>0.36946944444444441</v>
      </c>
      <c r="AF548" s="14">
        <f t="shared" si="3547"/>
        <v>27.106436406558959</v>
      </c>
      <c r="AG548" s="41">
        <f t="shared" si="3475"/>
        <v>-100</v>
      </c>
      <c r="AH548" s="105">
        <f t="shared" ref="AH548:AJ548" si="3754">AH547</f>
        <v>20.3</v>
      </c>
      <c r="AI548" s="105">
        <f t="shared" si="3754"/>
        <v>1.5089999999999999</v>
      </c>
      <c r="AJ548" s="105">
        <f t="shared" si="3754"/>
        <v>1.504</v>
      </c>
      <c r="AK548" s="53">
        <f t="shared" si="3375"/>
        <v>0</v>
      </c>
      <c r="AL548" s="53"/>
      <c r="AM548" s="54">
        <f t="shared" ref="AM548:AN548" si="3755">AM547</f>
        <v>5.0129999999999999</v>
      </c>
      <c r="AN548" s="101" t="str">
        <f t="shared" si="3755"/>
        <v>17,59,050</v>
      </c>
      <c r="AO548" s="11" t="str">
        <f t="shared" si="3463"/>
        <v>17</v>
      </c>
      <c r="AP548" s="11" t="str">
        <f t="shared" si="3464"/>
        <v>59,050</v>
      </c>
      <c r="AQ548" s="11">
        <f t="shared" si="3465"/>
        <v>0.29973611111111109</v>
      </c>
      <c r="AR548" s="14">
        <f t="shared" si="3550"/>
        <v>16.724711551827998</v>
      </c>
      <c r="AS548" s="41">
        <f t="shared" si="3551"/>
        <v>-100</v>
      </c>
      <c r="AT548" s="43" t="str">
        <f t="shared" si="3552"/>
        <v>NO CONFORME</v>
      </c>
      <c r="AU548" s="8" t="b">
        <f t="shared" si="3571"/>
        <v>1</v>
      </c>
      <c r="AV548" s="8" t="b">
        <f t="shared" si="3466"/>
        <v>0</v>
      </c>
      <c r="AW548" s="8" t="b">
        <f t="shared" si="3467"/>
        <v>1</v>
      </c>
      <c r="AX548" s="8" t="str">
        <f t="shared" si="3468"/>
        <v>Qcorrecto</v>
      </c>
      <c r="AY548" s="22" t="str">
        <f t="shared" si="3553"/>
        <v>aceptable</v>
      </c>
      <c r="AZ548" s="22" t="str">
        <f t="shared" si="3554"/>
        <v>aceptable</v>
      </c>
      <c r="BA548" s="22" t="str">
        <f t="shared" si="3469"/>
        <v>aceptable</v>
      </c>
      <c r="BB548" s="25" t="str">
        <f t="shared" si="3572"/>
        <v>NO CONFORME</v>
      </c>
      <c r="BC548" s="5" t="str">
        <f t="shared" si="3573"/>
        <v>NO CONFORME</v>
      </c>
      <c r="BD548" s="15">
        <f t="shared" si="3555"/>
        <v>-1</v>
      </c>
      <c r="BE548" s="15">
        <f t="shared" si="3556"/>
        <v>-1</v>
      </c>
      <c r="BF548" s="15">
        <f t="shared" si="3557"/>
        <v>-1</v>
      </c>
      <c r="BG548" s="15" t="str">
        <f t="shared" si="3558"/>
        <v>-1-1-1</v>
      </c>
      <c r="BH548" s="15" t="str">
        <f t="shared" si="3559"/>
        <v>SD</v>
      </c>
      <c r="BI548" s="15" t="str">
        <f t="shared" si="3560"/>
        <v>SI</v>
      </c>
      <c r="BJ548" s="15" t="b">
        <f t="shared" si="3561"/>
        <v>1</v>
      </c>
      <c r="BK548" s="15" t="str">
        <f t="shared" si="3562"/>
        <v>SIGIGUALES</v>
      </c>
      <c r="BL548" s="22" t="str">
        <f t="shared" si="3563"/>
        <v>NO CONFORME</v>
      </c>
    </row>
    <row r="549" spans="1:64" ht="15.75" thickBot="1" x14ac:dyDescent="0.3">
      <c r="A549" s="37">
        <v>541</v>
      </c>
      <c r="B549" s="93">
        <f t="shared" ref="B549:E549" si="3756">B548</f>
        <v>45919</v>
      </c>
      <c r="C549" s="93">
        <f t="shared" si="3756"/>
        <v>45919</v>
      </c>
      <c r="D549" s="94">
        <f t="shared" si="3756"/>
        <v>6</v>
      </c>
      <c r="E549" s="95">
        <f t="shared" si="3756"/>
        <v>15</v>
      </c>
      <c r="F549" s="46"/>
      <c r="G549" s="110"/>
      <c r="H549" s="97">
        <f t="shared" ref="H549:L549" si="3757">H548</f>
        <v>25.6</v>
      </c>
      <c r="I549" s="98">
        <f t="shared" si="3757"/>
        <v>0</v>
      </c>
      <c r="J549" s="99">
        <f t="shared" si="3757"/>
        <v>20.9</v>
      </c>
      <c r="K549" s="99">
        <f t="shared" si="3757"/>
        <v>7.883</v>
      </c>
      <c r="L549" s="99">
        <f t="shared" si="3757"/>
        <v>0.55400000000000005</v>
      </c>
      <c r="M549" s="47"/>
      <c r="N549" s="47"/>
      <c r="O549" s="100">
        <f t="shared" ref="O549:P549" si="3758">O548</f>
        <v>100.62</v>
      </c>
      <c r="P549" s="101" t="str">
        <f t="shared" si="3758"/>
        <v>2,29,560</v>
      </c>
      <c r="Q549" s="11" t="str">
        <f t="shared" si="3452"/>
        <v>2</v>
      </c>
      <c r="R549" s="11" t="str">
        <f t="shared" si="3453"/>
        <v>29,560</v>
      </c>
      <c r="S549" s="11">
        <f t="shared" si="3454"/>
        <v>4.1544444444444446E-2</v>
      </c>
      <c r="T549" s="14">
        <f t="shared" si="3455"/>
        <v>2421.9844878309709</v>
      </c>
      <c r="U549" s="39">
        <f t="shared" si="3544"/>
        <v>-100</v>
      </c>
      <c r="V549" s="105">
        <f t="shared" ref="V549:X549" si="3759">V548</f>
        <v>20.399999999999999</v>
      </c>
      <c r="W549" s="105">
        <f t="shared" si="3759"/>
        <v>1.5069999999999999</v>
      </c>
      <c r="X549" s="106">
        <f t="shared" si="3759"/>
        <v>1.504</v>
      </c>
      <c r="Y549" s="47"/>
      <c r="Z549" s="47"/>
      <c r="AA549" s="107">
        <f t="shared" ref="AA549:AB549" si="3760">AA548</f>
        <v>10.015000000000001</v>
      </c>
      <c r="AB549" s="108" t="str">
        <f t="shared" si="3760"/>
        <v>22,10,090</v>
      </c>
      <c r="AC549" s="11" t="str">
        <f t="shared" si="3458"/>
        <v>22</v>
      </c>
      <c r="AD549" s="11" t="str">
        <f t="shared" si="3459"/>
        <v>10,090</v>
      </c>
      <c r="AE549" s="11">
        <f t="shared" si="3460"/>
        <v>0.36946944444444441</v>
      </c>
      <c r="AF549" s="14">
        <f t="shared" si="3547"/>
        <v>27.106436406558959</v>
      </c>
      <c r="AG549" s="41">
        <f t="shared" si="3475"/>
        <v>-100</v>
      </c>
      <c r="AH549" s="105">
        <f t="shared" ref="AH549:AJ549" si="3761">AH548</f>
        <v>20.3</v>
      </c>
      <c r="AI549" s="105">
        <f t="shared" si="3761"/>
        <v>1.5089999999999999</v>
      </c>
      <c r="AJ549" s="105">
        <f t="shared" si="3761"/>
        <v>1.504</v>
      </c>
      <c r="AK549" s="53">
        <f t="shared" si="3375"/>
        <v>0</v>
      </c>
      <c r="AL549" s="47"/>
      <c r="AM549" s="54">
        <f t="shared" ref="AM549:AN549" si="3762">AM548</f>
        <v>5.0129999999999999</v>
      </c>
      <c r="AN549" s="101" t="str">
        <f t="shared" si="3762"/>
        <v>17,59,050</v>
      </c>
      <c r="AO549" s="11" t="str">
        <f t="shared" si="3463"/>
        <v>17</v>
      </c>
      <c r="AP549" s="11" t="str">
        <f t="shared" si="3464"/>
        <v>59,050</v>
      </c>
      <c r="AQ549" s="11">
        <f t="shared" si="3465"/>
        <v>0.29973611111111109</v>
      </c>
      <c r="AR549" s="14">
        <f t="shared" si="3550"/>
        <v>16.724711551827998</v>
      </c>
      <c r="AS549" s="41">
        <f t="shared" si="3551"/>
        <v>-100</v>
      </c>
      <c r="AT549" s="43" t="str">
        <f t="shared" si="3552"/>
        <v>NO CONFORME</v>
      </c>
      <c r="AU549" s="8" t="b">
        <f t="shared" si="3571"/>
        <v>1</v>
      </c>
      <c r="AV549" s="8" t="b">
        <f t="shared" si="3466"/>
        <v>0</v>
      </c>
      <c r="AW549" s="8" t="b">
        <f t="shared" si="3467"/>
        <v>1</v>
      </c>
      <c r="AX549" s="8" t="str">
        <f t="shared" si="3468"/>
        <v>Qcorrecto</v>
      </c>
      <c r="AY549" s="22" t="str">
        <f t="shared" si="3553"/>
        <v>aceptable</v>
      </c>
      <c r="AZ549" s="22" t="str">
        <f t="shared" si="3554"/>
        <v>aceptable</v>
      </c>
      <c r="BA549" s="22" t="str">
        <f t="shared" si="3469"/>
        <v>aceptable</v>
      </c>
      <c r="BB549" s="25" t="str">
        <f t="shared" si="3572"/>
        <v>NO CONFORME</v>
      </c>
      <c r="BC549" s="5" t="str">
        <f t="shared" si="3573"/>
        <v>NO CONFORME</v>
      </c>
      <c r="BD549" s="15">
        <f t="shared" si="3555"/>
        <v>-1</v>
      </c>
      <c r="BE549" s="15">
        <f t="shared" si="3556"/>
        <v>-1</v>
      </c>
      <c r="BF549" s="15">
        <f t="shared" si="3557"/>
        <v>-1</v>
      </c>
      <c r="BG549" s="15" t="str">
        <f t="shared" si="3558"/>
        <v>-1-1-1</v>
      </c>
      <c r="BH549" s="15" t="str">
        <f t="shared" si="3559"/>
        <v>SD</v>
      </c>
      <c r="BI549" s="15" t="str">
        <f t="shared" si="3560"/>
        <v>SI</v>
      </c>
      <c r="BJ549" s="15" t="b">
        <f t="shared" si="3561"/>
        <v>1</v>
      </c>
      <c r="BK549" s="15" t="str">
        <f t="shared" si="3562"/>
        <v>SIGIGUALES</v>
      </c>
      <c r="BL549" s="22" t="str">
        <f t="shared" si="3563"/>
        <v>NO CONFORME</v>
      </c>
    </row>
    <row r="550" spans="1:64" ht="15.75" thickBot="1" x14ac:dyDescent="0.3">
      <c r="A550" s="37">
        <v>542</v>
      </c>
      <c r="B550" s="93">
        <f t="shared" ref="B550:E550" si="3763">B549</f>
        <v>45919</v>
      </c>
      <c r="C550" s="93">
        <f t="shared" si="3763"/>
        <v>45919</v>
      </c>
      <c r="D550" s="94">
        <f t="shared" si="3763"/>
        <v>6</v>
      </c>
      <c r="E550" s="95">
        <f t="shared" si="3763"/>
        <v>15</v>
      </c>
      <c r="F550" s="13"/>
      <c r="G550" s="111"/>
      <c r="H550" s="97">
        <f t="shared" ref="H550:L550" si="3764">H549</f>
        <v>25.6</v>
      </c>
      <c r="I550" s="98">
        <f t="shared" si="3764"/>
        <v>0</v>
      </c>
      <c r="J550" s="99">
        <f t="shared" si="3764"/>
        <v>20.9</v>
      </c>
      <c r="K550" s="99">
        <f t="shared" si="3764"/>
        <v>7.883</v>
      </c>
      <c r="L550" s="99">
        <f t="shared" si="3764"/>
        <v>0.55400000000000005</v>
      </c>
      <c r="M550" s="45"/>
      <c r="N550" s="45"/>
      <c r="O550" s="100">
        <f t="shared" ref="O550:P550" si="3765">O549</f>
        <v>100.62</v>
      </c>
      <c r="P550" s="101" t="str">
        <f t="shared" si="3765"/>
        <v>2,29,560</v>
      </c>
      <c r="Q550" s="11" t="str">
        <f t="shared" si="3452"/>
        <v>2</v>
      </c>
      <c r="R550" s="11" t="str">
        <f t="shared" si="3453"/>
        <v>29,560</v>
      </c>
      <c r="S550" s="11">
        <f t="shared" si="3454"/>
        <v>4.1544444444444446E-2</v>
      </c>
      <c r="T550" s="14">
        <f t="shared" si="3455"/>
        <v>2421.9844878309709</v>
      </c>
      <c r="U550" s="39">
        <f t="shared" si="3544"/>
        <v>-100</v>
      </c>
      <c r="V550" s="105">
        <f t="shared" ref="V550:X550" si="3766">V549</f>
        <v>20.399999999999999</v>
      </c>
      <c r="W550" s="105">
        <f t="shared" si="3766"/>
        <v>1.5069999999999999</v>
      </c>
      <c r="X550" s="106">
        <f t="shared" si="3766"/>
        <v>1.504</v>
      </c>
      <c r="Y550" s="45"/>
      <c r="Z550" s="45"/>
      <c r="AA550" s="107">
        <f t="shared" ref="AA550:AB550" si="3767">AA549</f>
        <v>10.015000000000001</v>
      </c>
      <c r="AB550" s="108" t="str">
        <f t="shared" si="3767"/>
        <v>22,10,090</v>
      </c>
      <c r="AC550" s="11" t="str">
        <f t="shared" si="3458"/>
        <v>22</v>
      </c>
      <c r="AD550" s="11" t="str">
        <f t="shared" si="3459"/>
        <v>10,090</v>
      </c>
      <c r="AE550" s="11">
        <f t="shared" si="3460"/>
        <v>0.36946944444444441</v>
      </c>
      <c r="AF550" s="14">
        <f t="shared" si="3547"/>
        <v>27.106436406558959</v>
      </c>
      <c r="AG550" s="41">
        <f t="shared" si="3475"/>
        <v>-100</v>
      </c>
      <c r="AH550" s="105">
        <f t="shared" ref="AH550:AJ550" si="3768">AH549</f>
        <v>20.3</v>
      </c>
      <c r="AI550" s="105">
        <f t="shared" si="3768"/>
        <v>1.5089999999999999</v>
      </c>
      <c r="AJ550" s="105">
        <f t="shared" si="3768"/>
        <v>1.504</v>
      </c>
      <c r="AK550" s="53">
        <f t="shared" si="3375"/>
        <v>0</v>
      </c>
      <c r="AL550" s="45"/>
      <c r="AM550" s="54">
        <f t="shared" ref="AM550:AN550" si="3769">AM549</f>
        <v>5.0129999999999999</v>
      </c>
      <c r="AN550" s="101" t="str">
        <f t="shared" si="3769"/>
        <v>17,59,050</v>
      </c>
      <c r="AO550" s="11" t="str">
        <f t="shared" si="3463"/>
        <v>17</v>
      </c>
      <c r="AP550" s="11" t="str">
        <f t="shared" si="3464"/>
        <v>59,050</v>
      </c>
      <c r="AQ550" s="11">
        <f t="shared" si="3465"/>
        <v>0.29973611111111109</v>
      </c>
      <c r="AR550" s="14">
        <f t="shared" si="3550"/>
        <v>16.724711551827998</v>
      </c>
      <c r="AS550" s="41">
        <f t="shared" si="3551"/>
        <v>-100</v>
      </c>
      <c r="AT550" s="43" t="str">
        <f t="shared" si="3552"/>
        <v>NO CONFORME</v>
      </c>
      <c r="AU550" s="8" t="b">
        <f t="shared" si="3571"/>
        <v>1</v>
      </c>
      <c r="AV550" s="8" t="b">
        <f t="shared" si="3466"/>
        <v>0</v>
      </c>
      <c r="AW550" s="8" t="b">
        <f t="shared" si="3467"/>
        <v>1</v>
      </c>
      <c r="AX550" s="8" t="str">
        <f t="shared" si="3468"/>
        <v>Qcorrecto</v>
      </c>
      <c r="AY550" s="22" t="str">
        <f t="shared" si="3553"/>
        <v>aceptable</v>
      </c>
      <c r="AZ550" s="22" t="str">
        <f t="shared" si="3554"/>
        <v>aceptable</v>
      </c>
      <c r="BA550" s="22" t="str">
        <f t="shared" si="3469"/>
        <v>aceptable</v>
      </c>
      <c r="BB550" s="25" t="str">
        <f t="shared" si="3572"/>
        <v>NO CONFORME</v>
      </c>
      <c r="BC550" s="5" t="str">
        <f t="shared" si="3573"/>
        <v>NO CONFORME</v>
      </c>
      <c r="BD550" s="15">
        <f t="shared" si="3555"/>
        <v>-1</v>
      </c>
      <c r="BE550" s="15">
        <f t="shared" si="3556"/>
        <v>-1</v>
      </c>
      <c r="BF550" s="15">
        <f t="shared" si="3557"/>
        <v>-1</v>
      </c>
      <c r="BG550" s="15" t="str">
        <f t="shared" si="3558"/>
        <v>-1-1-1</v>
      </c>
      <c r="BH550" s="15" t="str">
        <f t="shared" si="3559"/>
        <v>SD</v>
      </c>
      <c r="BI550" s="15" t="str">
        <f t="shared" si="3560"/>
        <v>SI</v>
      </c>
      <c r="BJ550" s="15" t="b">
        <f t="shared" si="3561"/>
        <v>1</v>
      </c>
      <c r="BK550" s="15" t="str">
        <f t="shared" si="3562"/>
        <v>SIGIGUALES</v>
      </c>
      <c r="BL550" s="22" t="str">
        <f t="shared" si="3563"/>
        <v>NO CONFORME</v>
      </c>
    </row>
    <row r="551" spans="1:64" ht="15.75" thickBot="1" x14ac:dyDescent="0.3">
      <c r="A551" s="37">
        <v>543</v>
      </c>
      <c r="B551" s="93">
        <f t="shared" ref="B551:E551" si="3770">B550</f>
        <v>45919</v>
      </c>
      <c r="C551" s="93">
        <f t="shared" si="3770"/>
        <v>45919</v>
      </c>
      <c r="D551" s="94">
        <f t="shared" si="3770"/>
        <v>6</v>
      </c>
      <c r="E551" s="95">
        <f t="shared" si="3770"/>
        <v>15</v>
      </c>
      <c r="F551" s="13"/>
      <c r="G551" s="111"/>
      <c r="H551" s="97">
        <f t="shared" ref="H551:L551" si="3771">H550</f>
        <v>25.6</v>
      </c>
      <c r="I551" s="98">
        <f t="shared" si="3771"/>
        <v>0</v>
      </c>
      <c r="J551" s="99">
        <f t="shared" si="3771"/>
        <v>20.9</v>
      </c>
      <c r="K551" s="99">
        <f t="shared" si="3771"/>
        <v>7.883</v>
      </c>
      <c r="L551" s="99">
        <f t="shared" si="3771"/>
        <v>0.55400000000000005</v>
      </c>
      <c r="M551" s="45"/>
      <c r="N551" s="45"/>
      <c r="O551" s="100">
        <f t="shared" ref="O551:P551" si="3772">O550</f>
        <v>100.62</v>
      </c>
      <c r="P551" s="101" t="str">
        <f t="shared" si="3772"/>
        <v>2,29,560</v>
      </c>
      <c r="Q551" s="11" t="str">
        <f t="shared" si="3452"/>
        <v>2</v>
      </c>
      <c r="R551" s="11" t="str">
        <f t="shared" si="3453"/>
        <v>29,560</v>
      </c>
      <c r="S551" s="11">
        <f t="shared" si="3454"/>
        <v>4.1544444444444446E-2</v>
      </c>
      <c r="T551" s="14">
        <f t="shared" si="3455"/>
        <v>2421.9844878309709</v>
      </c>
      <c r="U551" s="39">
        <f t="shared" si="3544"/>
        <v>-100</v>
      </c>
      <c r="V551" s="105">
        <f t="shared" ref="V551:X551" si="3773">V550</f>
        <v>20.399999999999999</v>
      </c>
      <c r="W551" s="105">
        <f t="shared" si="3773"/>
        <v>1.5069999999999999</v>
      </c>
      <c r="X551" s="106">
        <f t="shared" si="3773"/>
        <v>1.504</v>
      </c>
      <c r="Y551" s="45"/>
      <c r="Z551" s="45"/>
      <c r="AA551" s="107">
        <f t="shared" ref="AA551:AB551" si="3774">AA550</f>
        <v>10.015000000000001</v>
      </c>
      <c r="AB551" s="108" t="str">
        <f t="shared" si="3774"/>
        <v>22,10,090</v>
      </c>
      <c r="AC551" s="11" t="str">
        <f t="shared" si="3458"/>
        <v>22</v>
      </c>
      <c r="AD551" s="11" t="str">
        <f t="shared" si="3459"/>
        <v>10,090</v>
      </c>
      <c r="AE551" s="11">
        <f t="shared" si="3460"/>
        <v>0.36946944444444441</v>
      </c>
      <c r="AF551" s="14">
        <f t="shared" si="3547"/>
        <v>27.106436406558959</v>
      </c>
      <c r="AG551" s="41">
        <f t="shared" si="3475"/>
        <v>-100</v>
      </c>
      <c r="AH551" s="105">
        <f t="shared" ref="AH551:AJ551" si="3775">AH550</f>
        <v>20.3</v>
      </c>
      <c r="AI551" s="105">
        <f t="shared" si="3775"/>
        <v>1.5089999999999999</v>
      </c>
      <c r="AJ551" s="105">
        <f t="shared" si="3775"/>
        <v>1.504</v>
      </c>
      <c r="AK551" s="53">
        <f t="shared" si="3375"/>
        <v>0</v>
      </c>
      <c r="AL551" s="45"/>
      <c r="AM551" s="54">
        <f t="shared" ref="AM551:AN551" si="3776">AM550</f>
        <v>5.0129999999999999</v>
      </c>
      <c r="AN551" s="101" t="str">
        <f t="shared" si="3776"/>
        <v>17,59,050</v>
      </c>
      <c r="AO551" s="11" t="str">
        <f t="shared" si="3463"/>
        <v>17</v>
      </c>
      <c r="AP551" s="11" t="str">
        <f t="shared" si="3464"/>
        <v>59,050</v>
      </c>
      <c r="AQ551" s="11">
        <f t="shared" si="3465"/>
        <v>0.29973611111111109</v>
      </c>
      <c r="AR551" s="14">
        <f t="shared" si="3550"/>
        <v>16.724711551827998</v>
      </c>
      <c r="AS551" s="41">
        <f t="shared" si="3551"/>
        <v>-100</v>
      </c>
      <c r="AT551" s="43" t="str">
        <f t="shared" si="3552"/>
        <v>NO CONFORME</v>
      </c>
      <c r="AU551" s="8" t="b">
        <f t="shared" si="3571"/>
        <v>1</v>
      </c>
      <c r="AV551" s="8" t="b">
        <f t="shared" si="3466"/>
        <v>0</v>
      </c>
      <c r="AW551" s="8" t="b">
        <f t="shared" si="3467"/>
        <v>1</v>
      </c>
      <c r="AX551" s="8" t="str">
        <f t="shared" si="3468"/>
        <v>Qcorrecto</v>
      </c>
      <c r="AY551" s="22" t="str">
        <f t="shared" si="3553"/>
        <v>aceptable</v>
      </c>
      <c r="AZ551" s="22" t="str">
        <f t="shared" si="3554"/>
        <v>aceptable</v>
      </c>
      <c r="BA551" s="22" t="str">
        <f t="shared" si="3469"/>
        <v>aceptable</v>
      </c>
      <c r="BB551" s="25" t="str">
        <f t="shared" si="3572"/>
        <v>NO CONFORME</v>
      </c>
      <c r="BC551" s="5" t="str">
        <f t="shared" si="3573"/>
        <v>NO CONFORME</v>
      </c>
      <c r="BD551" s="15">
        <f t="shared" si="3555"/>
        <v>-1</v>
      </c>
      <c r="BE551" s="15">
        <f t="shared" si="3556"/>
        <v>-1</v>
      </c>
      <c r="BF551" s="15">
        <f t="shared" si="3557"/>
        <v>-1</v>
      </c>
      <c r="BG551" s="15" t="str">
        <f t="shared" si="3558"/>
        <v>-1-1-1</v>
      </c>
      <c r="BH551" s="15" t="str">
        <f t="shared" si="3559"/>
        <v>SD</v>
      </c>
      <c r="BI551" s="15" t="str">
        <f t="shared" si="3560"/>
        <v>SI</v>
      </c>
      <c r="BJ551" s="15" t="b">
        <f t="shared" si="3561"/>
        <v>1</v>
      </c>
      <c r="BK551" s="15" t="str">
        <f t="shared" si="3562"/>
        <v>SIGIGUALES</v>
      </c>
      <c r="BL551" s="22" t="str">
        <f t="shared" si="3563"/>
        <v>NO CONFORME</v>
      </c>
    </row>
    <row r="552" spans="1:64" ht="15.75" thickBot="1" x14ac:dyDescent="0.3">
      <c r="A552" s="37">
        <v>544</v>
      </c>
      <c r="B552" s="93">
        <f t="shared" ref="B552:E552" si="3777">B551</f>
        <v>45919</v>
      </c>
      <c r="C552" s="93">
        <f t="shared" si="3777"/>
        <v>45919</v>
      </c>
      <c r="D552" s="94">
        <f t="shared" si="3777"/>
        <v>6</v>
      </c>
      <c r="E552" s="95">
        <f t="shared" si="3777"/>
        <v>15</v>
      </c>
      <c r="F552" s="13"/>
      <c r="G552" s="111"/>
      <c r="H552" s="97">
        <f t="shared" ref="H552:L552" si="3778">H551</f>
        <v>25.6</v>
      </c>
      <c r="I552" s="98">
        <f t="shared" si="3778"/>
        <v>0</v>
      </c>
      <c r="J552" s="99">
        <f t="shared" si="3778"/>
        <v>20.9</v>
      </c>
      <c r="K552" s="99">
        <f t="shared" si="3778"/>
        <v>7.883</v>
      </c>
      <c r="L552" s="99">
        <f t="shared" si="3778"/>
        <v>0.55400000000000005</v>
      </c>
      <c r="M552" s="45"/>
      <c r="N552" s="45"/>
      <c r="O552" s="100">
        <f t="shared" ref="O552:P552" si="3779">O551</f>
        <v>100.62</v>
      </c>
      <c r="P552" s="101" t="str">
        <f t="shared" si="3779"/>
        <v>2,29,560</v>
      </c>
      <c r="Q552" s="11" t="str">
        <f t="shared" si="3452"/>
        <v>2</v>
      </c>
      <c r="R552" s="11" t="str">
        <f t="shared" si="3453"/>
        <v>29,560</v>
      </c>
      <c r="S552" s="11">
        <f t="shared" si="3454"/>
        <v>4.1544444444444446E-2</v>
      </c>
      <c r="T552" s="14">
        <f t="shared" si="3455"/>
        <v>2421.9844878309709</v>
      </c>
      <c r="U552" s="39">
        <f t="shared" si="3544"/>
        <v>-100</v>
      </c>
      <c r="V552" s="105">
        <f t="shared" ref="V552:X552" si="3780">V551</f>
        <v>20.399999999999999</v>
      </c>
      <c r="W552" s="105">
        <f t="shared" si="3780"/>
        <v>1.5069999999999999</v>
      </c>
      <c r="X552" s="106">
        <f t="shared" si="3780"/>
        <v>1.504</v>
      </c>
      <c r="Y552" s="45"/>
      <c r="Z552" s="45"/>
      <c r="AA552" s="107">
        <f t="shared" ref="AA552:AB552" si="3781">AA551</f>
        <v>10.015000000000001</v>
      </c>
      <c r="AB552" s="108" t="str">
        <f t="shared" si="3781"/>
        <v>22,10,090</v>
      </c>
      <c r="AC552" s="11" t="str">
        <f t="shared" si="3458"/>
        <v>22</v>
      </c>
      <c r="AD552" s="11" t="str">
        <f t="shared" si="3459"/>
        <v>10,090</v>
      </c>
      <c r="AE552" s="11">
        <f t="shared" si="3460"/>
        <v>0.36946944444444441</v>
      </c>
      <c r="AF552" s="14">
        <f t="shared" si="3547"/>
        <v>27.106436406558959</v>
      </c>
      <c r="AG552" s="41">
        <f t="shared" si="3475"/>
        <v>-100</v>
      </c>
      <c r="AH552" s="105">
        <f t="shared" ref="AH552:AJ552" si="3782">AH551</f>
        <v>20.3</v>
      </c>
      <c r="AI552" s="105">
        <f t="shared" si="3782"/>
        <v>1.5089999999999999</v>
      </c>
      <c r="AJ552" s="105">
        <f t="shared" si="3782"/>
        <v>1.504</v>
      </c>
      <c r="AK552" s="53">
        <f t="shared" si="3375"/>
        <v>0</v>
      </c>
      <c r="AL552" s="45"/>
      <c r="AM552" s="54">
        <f t="shared" ref="AM552:AN552" si="3783">AM551</f>
        <v>5.0129999999999999</v>
      </c>
      <c r="AN552" s="101" t="str">
        <f t="shared" si="3783"/>
        <v>17,59,050</v>
      </c>
      <c r="AO552" s="11" t="str">
        <f t="shared" si="3463"/>
        <v>17</v>
      </c>
      <c r="AP552" s="11" t="str">
        <f t="shared" si="3464"/>
        <v>59,050</v>
      </c>
      <c r="AQ552" s="11">
        <f t="shared" si="3465"/>
        <v>0.29973611111111109</v>
      </c>
      <c r="AR552" s="14">
        <f t="shared" si="3550"/>
        <v>16.724711551827998</v>
      </c>
      <c r="AS552" s="41">
        <f t="shared" si="3551"/>
        <v>-100</v>
      </c>
      <c r="AT552" s="43" t="str">
        <f t="shared" si="3552"/>
        <v>NO CONFORME</v>
      </c>
      <c r="AU552" s="8" t="b">
        <f t="shared" si="3571"/>
        <v>1</v>
      </c>
      <c r="AV552" s="8" t="b">
        <f t="shared" si="3466"/>
        <v>0</v>
      </c>
      <c r="AW552" s="8" t="b">
        <f t="shared" si="3467"/>
        <v>1</v>
      </c>
      <c r="AX552" s="8" t="str">
        <f t="shared" si="3468"/>
        <v>Qcorrecto</v>
      </c>
      <c r="AY552" s="22" t="str">
        <f t="shared" si="3553"/>
        <v>aceptable</v>
      </c>
      <c r="AZ552" s="22" t="str">
        <f t="shared" si="3554"/>
        <v>aceptable</v>
      </c>
      <c r="BA552" s="22" t="str">
        <f t="shared" si="3469"/>
        <v>aceptable</v>
      </c>
      <c r="BB552" s="25" t="str">
        <f t="shared" si="3572"/>
        <v>NO CONFORME</v>
      </c>
      <c r="BC552" s="5" t="str">
        <f t="shared" si="3573"/>
        <v>NO CONFORME</v>
      </c>
      <c r="BD552" s="15">
        <f t="shared" si="3555"/>
        <v>-1</v>
      </c>
      <c r="BE552" s="15">
        <f t="shared" si="3556"/>
        <v>-1</v>
      </c>
      <c r="BF552" s="15">
        <f t="shared" si="3557"/>
        <v>-1</v>
      </c>
      <c r="BG552" s="15" t="str">
        <f t="shared" si="3558"/>
        <v>-1-1-1</v>
      </c>
      <c r="BH552" s="15" t="str">
        <f t="shared" si="3559"/>
        <v>SD</v>
      </c>
      <c r="BI552" s="15" t="str">
        <f t="shared" si="3560"/>
        <v>SI</v>
      </c>
      <c r="BJ552" s="15" t="b">
        <f t="shared" si="3561"/>
        <v>1</v>
      </c>
      <c r="BK552" s="15" t="str">
        <f t="shared" si="3562"/>
        <v>SIGIGUALES</v>
      </c>
      <c r="BL552" s="22" t="str">
        <f t="shared" si="3563"/>
        <v>NO CONFORME</v>
      </c>
    </row>
    <row r="553" spans="1:64" ht="15.75" thickBot="1" x14ac:dyDescent="0.3">
      <c r="A553" s="37">
        <v>545</v>
      </c>
      <c r="B553" s="93">
        <f t="shared" ref="B553:E553" si="3784">B552</f>
        <v>45919</v>
      </c>
      <c r="C553" s="93">
        <f t="shared" si="3784"/>
        <v>45919</v>
      </c>
      <c r="D553" s="94">
        <f t="shared" si="3784"/>
        <v>6</v>
      </c>
      <c r="E553" s="95">
        <f t="shared" si="3784"/>
        <v>15</v>
      </c>
      <c r="F553" s="13"/>
      <c r="G553" s="111"/>
      <c r="H553" s="97">
        <f t="shared" ref="H553:L553" si="3785">H552</f>
        <v>25.6</v>
      </c>
      <c r="I553" s="98">
        <f t="shared" si="3785"/>
        <v>0</v>
      </c>
      <c r="J553" s="99">
        <f t="shared" si="3785"/>
        <v>20.9</v>
      </c>
      <c r="K553" s="99">
        <f t="shared" si="3785"/>
        <v>7.883</v>
      </c>
      <c r="L553" s="99">
        <f t="shared" si="3785"/>
        <v>0.55400000000000005</v>
      </c>
      <c r="M553" s="45"/>
      <c r="N553" s="45"/>
      <c r="O553" s="100">
        <f t="shared" ref="O553:P553" si="3786">O552</f>
        <v>100.62</v>
      </c>
      <c r="P553" s="101" t="str">
        <f t="shared" si="3786"/>
        <v>2,29,560</v>
      </c>
      <c r="Q553" s="11" t="str">
        <f t="shared" si="3452"/>
        <v>2</v>
      </c>
      <c r="R553" s="11" t="str">
        <f t="shared" si="3453"/>
        <v>29,560</v>
      </c>
      <c r="S553" s="11">
        <f t="shared" si="3454"/>
        <v>4.1544444444444446E-2</v>
      </c>
      <c r="T553" s="14">
        <f t="shared" si="3455"/>
        <v>2421.9844878309709</v>
      </c>
      <c r="U553" s="39">
        <f t="shared" si="3544"/>
        <v>-100</v>
      </c>
      <c r="V553" s="105">
        <f t="shared" ref="V553:X553" si="3787">V552</f>
        <v>20.399999999999999</v>
      </c>
      <c r="W553" s="105">
        <f t="shared" si="3787"/>
        <v>1.5069999999999999</v>
      </c>
      <c r="X553" s="106">
        <f t="shared" si="3787"/>
        <v>1.504</v>
      </c>
      <c r="Y553" s="45"/>
      <c r="Z553" s="45"/>
      <c r="AA553" s="107">
        <f t="shared" ref="AA553:AB553" si="3788">AA552</f>
        <v>10.015000000000001</v>
      </c>
      <c r="AB553" s="108" t="str">
        <f t="shared" si="3788"/>
        <v>22,10,090</v>
      </c>
      <c r="AC553" s="11" t="str">
        <f t="shared" si="3458"/>
        <v>22</v>
      </c>
      <c r="AD553" s="11" t="str">
        <f t="shared" si="3459"/>
        <v>10,090</v>
      </c>
      <c r="AE553" s="11">
        <f t="shared" si="3460"/>
        <v>0.36946944444444441</v>
      </c>
      <c r="AF553" s="14">
        <f t="shared" si="3547"/>
        <v>27.106436406558959</v>
      </c>
      <c r="AG553" s="41">
        <f t="shared" si="3475"/>
        <v>-100</v>
      </c>
      <c r="AH553" s="105">
        <f t="shared" ref="AH553:AJ553" si="3789">AH552</f>
        <v>20.3</v>
      </c>
      <c r="AI553" s="105">
        <f t="shared" si="3789"/>
        <v>1.5089999999999999</v>
      </c>
      <c r="AJ553" s="105">
        <f t="shared" si="3789"/>
        <v>1.504</v>
      </c>
      <c r="AK553" s="53">
        <f t="shared" si="3375"/>
        <v>0</v>
      </c>
      <c r="AL553" s="45"/>
      <c r="AM553" s="54">
        <f t="shared" ref="AM553:AN553" si="3790">AM552</f>
        <v>5.0129999999999999</v>
      </c>
      <c r="AN553" s="101" t="str">
        <f t="shared" si="3790"/>
        <v>17,59,050</v>
      </c>
      <c r="AO553" s="11" t="str">
        <f t="shared" si="3463"/>
        <v>17</v>
      </c>
      <c r="AP553" s="11" t="str">
        <f t="shared" si="3464"/>
        <v>59,050</v>
      </c>
      <c r="AQ553" s="11">
        <f t="shared" si="3465"/>
        <v>0.29973611111111109</v>
      </c>
      <c r="AR553" s="14">
        <f t="shared" si="3550"/>
        <v>16.724711551827998</v>
      </c>
      <c r="AS553" s="41">
        <f t="shared" si="3551"/>
        <v>-100</v>
      </c>
      <c r="AT553" s="43" t="str">
        <f t="shared" si="3552"/>
        <v>NO CONFORME</v>
      </c>
      <c r="AU553" s="8" t="b">
        <f t="shared" si="3571"/>
        <v>1</v>
      </c>
      <c r="AV553" s="8" t="b">
        <f t="shared" si="3466"/>
        <v>0</v>
      </c>
      <c r="AW553" s="8" t="b">
        <f t="shared" si="3467"/>
        <v>1</v>
      </c>
      <c r="AX553" s="8" t="str">
        <f t="shared" si="3468"/>
        <v>Qcorrecto</v>
      </c>
      <c r="AY553" s="22" t="str">
        <f t="shared" si="3553"/>
        <v>aceptable</v>
      </c>
      <c r="AZ553" s="22" t="str">
        <f t="shared" si="3554"/>
        <v>aceptable</v>
      </c>
      <c r="BA553" s="22" t="str">
        <f t="shared" si="3469"/>
        <v>aceptable</v>
      </c>
      <c r="BB553" s="25" t="str">
        <f t="shared" si="3572"/>
        <v>NO CONFORME</v>
      </c>
      <c r="BC553" s="5" t="str">
        <f t="shared" si="3573"/>
        <v>NO CONFORME</v>
      </c>
      <c r="BD553" s="15">
        <f t="shared" si="3555"/>
        <v>-1</v>
      </c>
      <c r="BE553" s="15">
        <f t="shared" si="3556"/>
        <v>-1</v>
      </c>
      <c r="BF553" s="15">
        <f t="shared" si="3557"/>
        <v>-1</v>
      </c>
      <c r="BG553" s="15" t="str">
        <f t="shared" si="3558"/>
        <v>-1-1-1</v>
      </c>
      <c r="BH553" s="15" t="str">
        <f t="shared" si="3559"/>
        <v>SD</v>
      </c>
      <c r="BI553" s="15" t="str">
        <f t="shared" si="3560"/>
        <v>SI</v>
      </c>
      <c r="BJ553" s="15" t="b">
        <f t="shared" si="3561"/>
        <v>1</v>
      </c>
      <c r="BK553" s="15" t="str">
        <f t="shared" si="3562"/>
        <v>SIGIGUALES</v>
      </c>
      <c r="BL553" s="22" t="str">
        <f t="shared" si="3563"/>
        <v>NO CONFORME</v>
      </c>
    </row>
    <row r="554" spans="1:64" ht="15.75" thickBot="1" x14ac:dyDescent="0.3">
      <c r="A554" s="37">
        <v>546</v>
      </c>
      <c r="B554" s="93">
        <f t="shared" ref="B554:E554" si="3791">B553</f>
        <v>45919</v>
      </c>
      <c r="C554" s="93">
        <f t="shared" si="3791"/>
        <v>45919</v>
      </c>
      <c r="D554" s="94">
        <f t="shared" si="3791"/>
        <v>6</v>
      </c>
      <c r="E554" s="95">
        <f t="shared" si="3791"/>
        <v>15</v>
      </c>
      <c r="F554" s="13"/>
      <c r="G554" s="111"/>
      <c r="H554" s="97">
        <f t="shared" ref="H554:L554" si="3792">H553</f>
        <v>25.6</v>
      </c>
      <c r="I554" s="98">
        <f t="shared" si="3792"/>
        <v>0</v>
      </c>
      <c r="J554" s="99">
        <f t="shared" si="3792"/>
        <v>20.9</v>
      </c>
      <c r="K554" s="99">
        <f t="shared" si="3792"/>
        <v>7.883</v>
      </c>
      <c r="L554" s="99">
        <f t="shared" si="3792"/>
        <v>0.55400000000000005</v>
      </c>
      <c r="M554" s="45"/>
      <c r="N554" s="45"/>
      <c r="O554" s="100">
        <f t="shared" ref="O554:P554" si="3793">O553</f>
        <v>100.62</v>
      </c>
      <c r="P554" s="101" t="str">
        <f t="shared" si="3793"/>
        <v>2,29,560</v>
      </c>
      <c r="Q554" s="11" t="str">
        <f t="shared" si="3452"/>
        <v>2</v>
      </c>
      <c r="R554" s="11" t="str">
        <f t="shared" si="3453"/>
        <v>29,560</v>
      </c>
      <c r="S554" s="11">
        <f t="shared" si="3454"/>
        <v>4.1544444444444446E-2</v>
      </c>
      <c r="T554" s="14">
        <f t="shared" si="3455"/>
        <v>2421.9844878309709</v>
      </c>
      <c r="U554" s="39">
        <f t="shared" si="3544"/>
        <v>-100</v>
      </c>
      <c r="V554" s="105">
        <f t="shared" ref="V554:X554" si="3794">V553</f>
        <v>20.399999999999999</v>
      </c>
      <c r="W554" s="105">
        <f t="shared" si="3794"/>
        <v>1.5069999999999999</v>
      </c>
      <c r="X554" s="106">
        <f t="shared" si="3794"/>
        <v>1.504</v>
      </c>
      <c r="Y554" s="45"/>
      <c r="Z554" s="45"/>
      <c r="AA554" s="107">
        <f t="shared" ref="AA554:AB554" si="3795">AA553</f>
        <v>10.015000000000001</v>
      </c>
      <c r="AB554" s="108" t="str">
        <f t="shared" si="3795"/>
        <v>22,10,090</v>
      </c>
      <c r="AC554" s="11" t="str">
        <f t="shared" si="3458"/>
        <v>22</v>
      </c>
      <c r="AD554" s="11" t="str">
        <f t="shared" si="3459"/>
        <v>10,090</v>
      </c>
      <c r="AE554" s="11">
        <f t="shared" si="3460"/>
        <v>0.36946944444444441</v>
      </c>
      <c r="AF554" s="14">
        <f t="shared" si="3547"/>
        <v>27.106436406558959</v>
      </c>
      <c r="AG554" s="41">
        <f t="shared" si="3475"/>
        <v>-100</v>
      </c>
      <c r="AH554" s="105">
        <f t="shared" ref="AH554:AJ554" si="3796">AH553</f>
        <v>20.3</v>
      </c>
      <c r="AI554" s="105">
        <f t="shared" si="3796"/>
        <v>1.5089999999999999</v>
      </c>
      <c r="AJ554" s="105">
        <f t="shared" si="3796"/>
        <v>1.504</v>
      </c>
      <c r="AK554" s="53">
        <f t="shared" si="3375"/>
        <v>0</v>
      </c>
      <c r="AL554" s="45"/>
      <c r="AM554" s="54">
        <f t="shared" ref="AM554:AN554" si="3797">AM553</f>
        <v>5.0129999999999999</v>
      </c>
      <c r="AN554" s="101" t="str">
        <f t="shared" si="3797"/>
        <v>17,59,050</v>
      </c>
      <c r="AO554" s="11" t="str">
        <f t="shared" si="3463"/>
        <v>17</v>
      </c>
      <c r="AP554" s="11" t="str">
        <f t="shared" si="3464"/>
        <v>59,050</v>
      </c>
      <c r="AQ554" s="11">
        <f t="shared" si="3465"/>
        <v>0.29973611111111109</v>
      </c>
      <c r="AR554" s="14">
        <f t="shared" si="3550"/>
        <v>16.724711551827998</v>
      </c>
      <c r="AS554" s="41">
        <f t="shared" si="3551"/>
        <v>-100</v>
      </c>
      <c r="AT554" s="43" t="str">
        <f t="shared" si="3552"/>
        <v>NO CONFORME</v>
      </c>
      <c r="AU554" s="8" t="b">
        <f t="shared" si="3571"/>
        <v>1</v>
      </c>
      <c r="AV554" s="8" t="b">
        <f t="shared" si="3466"/>
        <v>0</v>
      </c>
      <c r="AW554" s="8" t="b">
        <f t="shared" si="3467"/>
        <v>1</v>
      </c>
      <c r="AX554" s="8" t="str">
        <f t="shared" si="3468"/>
        <v>Qcorrecto</v>
      </c>
      <c r="AY554" s="22" t="str">
        <f t="shared" si="3553"/>
        <v>aceptable</v>
      </c>
      <c r="AZ554" s="22" t="str">
        <f t="shared" si="3554"/>
        <v>aceptable</v>
      </c>
      <c r="BA554" s="22" t="str">
        <f t="shared" si="3469"/>
        <v>aceptable</v>
      </c>
      <c r="BB554" s="25" t="str">
        <f t="shared" si="3572"/>
        <v>NO CONFORME</v>
      </c>
      <c r="BC554" s="5" t="str">
        <f t="shared" si="3573"/>
        <v>NO CONFORME</v>
      </c>
      <c r="BD554" s="15">
        <f t="shared" si="3555"/>
        <v>-1</v>
      </c>
      <c r="BE554" s="15">
        <f t="shared" si="3556"/>
        <v>-1</v>
      </c>
      <c r="BF554" s="15">
        <f t="shared" si="3557"/>
        <v>-1</v>
      </c>
      <c r="BG554" s="15" t="str">
        <f t="shared" si="3558"/>
        <v>-1-1-1</v>
      </c>
      <c r="BH554" s="15" t="str">
        <f t="shared" si="3559"/>
        <v>SD</v>
      </c>
      <c r="BI554" s="15" t="str">
        <f t="shared" si="3560"/>
        <v>SI</v>
      </c>
      <c r="BJ554" s="15" t="b">
        <f t="shared" si="3561"/>
        <v>1</v>
      </c>
      <c r="BK554" s="15" t="str">
        <f t="shared" si="3562"/>
        <v>SIGIGUALES</v>
      </c>
      <c r="BL554" s="22" t="str">
        <f t="shared" si="3563"/>
        <v>NO CONFORME</v>
      </c>
    </row>
    <row r="555" spans="1:64" ht="15.75" thickBot="1" x14ac:dyDescent="0.3">
      <c r="A555" s="37">
        <v>547</v>
      </c>
      <c r="B555" s="93">
        <f t="shared" ref="B555:E555" si="3798">B554</f>
        <v>45919</v>
      </c>
      <c r="C555" s="93">
        <f t="shared" si="3798"/>
        <v>45919</v>
      </c>
      <c r="D555" s="94">
        <f t="shared" si="3798"/>
        <v>6</v>
      </c>
      <c r="E555" s="95">
        <f t="shared" si="3798"/>
        <v>15</v>
      </c>
      <c r="F555" s="13"/>
      <c r="G555" s="111"/>
      <c r="H555" s="97">
        <f t="shared" ref="H555:L555" si="3799">H554</f>
        <v>25.6</v>
      </c>
      <c r="I555" s="98">
        <f t="shared" si="3799"/>
        <v>0</v>
      </c>
      <c r="J555" s="99">
        <f t="shared" si="3799"/>
        <v>20.9</v>
      </c>
      <c r="K555" s="99">
        <f t="shared" si="3799"/>
        <v>7.883</v>
      </c>
      <c r="L555" s="99">
        <f t="shared" si="3799"/>
        <v>0.55400000000000005</v>
      </c>
      <c r="M555" s="45"/>
      <c r="N555" s="45"/>
      <c r="O555" s="100">
        <f t="shared" ref="O555:P555" si="3800">O554</f>
        <v>100.62</v>
      </c>
      <c r="P555" s="101" t="str">
        <f t="shared" si="3800"/>
        <v>2,29,560</v>
      </c>
      <c r="Q555" s="11" t="str">
        <f t="shared" si="3452"/>
        <v>2</v>
      </c>
      <c r="R555" s="11" t="str">
        <f t="shared" si="3453"/>
        <v>29,560</v>
      </c>
      <c r="S555" s="11">
        <f t="shared" si="3454"/>
        <v>4.1544444444444446E-2</v>
      </c>
      <c r="T555" s="14">
        <f t="shared" si="3455"/>
        <v>2421.9844878309709</v>
      </c>
      <c r="U555" s="39">
        <f t="shared" si="3544"/>
        <v>-100</v>
      </c>
      <c r="V555" s="105">
        <f t="shared" ref="V555:X555" si="3801">V554</f>
        <v>20.399999999999999</v>
      </c>
      <c r="W555" s="105">
        <f t="shared" si="3801"/>
        <v>1.5069999999999999</v>
      </c>
      <c r="X555" s="106">
        <f t="shared" si="3801"/>
        <v>1.504</v>
      </c>
      <c r="Y555" s="45"/>
      <c r="Z555" s="45"/>
      <c r="AA555" s="107">
        <f t="shared" ref="AA555:AB555" si="3802">AA554</f>
        <v>10.015000000000001</v>
      </c>
      <c r="AB555" s="108" t="str">
        <f t="shared" si="3802"/>
        <v>22,10,090</v>
      </c>
      <c r="AC555" s="11" t="str">
        <f t="shared" si="3458"/>
        <v>22</v>
      </c>
      <c r="AD555" s="11" t="str">
        <f t="shared" si="3459"/>
        <v>10,090</v>
      </c>
      <c r="AE555" s="11">
        <f t="shared" si="3460"/>
        <v>0.36946944444444441</v>
      </c>
      <c r="AF555" s="14">
        <f t="shared" si="3547"/>
        <v>27.106436406558959</v>
      </c>
      <c r="AG555" s="41">
        <f t="shared" si="3475"/>
        <v>-100</v>
      </c>
      <c r="AH555" s="105">
        <f t="shared" ref="AH555:AJ555" si="3803">AH554</f>
        <v>20.3</v>
      </c>
      <c r="AI555" s="105">
        <f t="shared" si="3803"/>
        <v>1.5089999999999999</v>
      </c>
      <c r="AJ555" s="105">
        <f t="shared" si="3803"/>
        <v>1.504</v>
      </c>
      <c r="AK555" s="53">
        <f t="shared" si="3375"/>
        <v>0</v>
      </c>
      <c r="AL555" s="45"/>
      <c r="AM555" s="54">
        <f t="shared" ref="AM555:AN555" si="3804">AM554</f>
        <v>5.0129999999999999</v>
      </c>
      <c r="AN555" s="101" t="str">
        <f t="shared" si="3804"/>
        <v>17,59,050</v>
      </c>
      <c r="AO555" s="11" t="str">
        <f t="shared" si="3463"/>
        <v>17</v>
      </c>
      <c r="AP555" s="11" t="str">
        <f t="shared" si="3464"/>
        <v>59,050</v>
      </c>
      <c r="AQ555" s="11">
        <f t="shared" si="3465"/>
        <v>0.29973611111111109</v>
      </c>
      <c r="AR555" s="14">
        <f t="shared" si="3550"/>
        <v>16.724711551827998</v>
      </c>
      <c r="AS555" s="41">
        <f t="shared" si="3551"/>
        <v>-100</v>
      </c>
      <c r="AT555" s="43" t="str">
        <f t="shared" si="3552"/>
        <v>NO CONFORME</v>
      </c>
      <c r="AU555" s="8" t="b">
        <f t="shared" si="3571"/>
        <v>1</v>
      </c>
      <c r="AV555" s="8" t="b">
        <f t="shared" si="3466"/>
        <v>0</v>
      </c>
      <c r="AW555" s="8" t="b">
        <f t="shared" si="3467"/>
        <v>1</v>
      </c>
      <c r="AX555" s="8" t="str">
        <f t="shared" si="3468"/>
        <v>Qcorrecto</v>
      </c>
      <c r="AY555" s="22" t="str">
        <f t="shared" si="3553"/>
        <v>aceptable</v>
      </c>
      <c r="AZ555" s="22" t="str">
        <f t="shared" si="3554"/>
        <v>aceptable</v>
      </c>
      <c r="BA555" s="22" t="str">
        <f t="shared" si="3469"/>
        <v>aceptable</v>
      </c>
      <c r="BB555" s="25" t="str">
        <f t="shared" si="3572"/>
        <v>NO CONFORME</v>
      </c>
      <c r="BC555" s="5" t="str">
        <f t="shared" si="3573"/>
        <v>NO CONFORME</v>
      </c>
      <c r="BD555" s="15">
        <f t="shared" si="3555"/>
        <v>-1</v>
      </c>
      <c r="BE555" s="15">
        <f t="shared" si="3556"/>
        <v>-1</v>
      </c>
      <c r="BF555" s="15">
        <f t="shared" si="3557"/>
        <v>-1</v>
      </c>
      <c r="BG555" s="15" t="str">
        <f t="shared" si="3558"/>
        <v>-1-1-1</v>
      </c>
      <c r="BH555" s="15" t="str">
        <f t="shared" si="3559"/>
        <v>SD</v>
      </c>
      <c r="BI555" s="15" t="str">
        <f t="shared" si="3560"/>
        <v>SI</v>
      </c>
      <c r="BJ555" s="15" t="b">
        <f t="shared" si="3561"/>
        <v>1</v>
      </c>
      <c r="BK555" s="15" t="str">
        <f t="shared" si="3562"/>
        <v>SIGIGUALES</v>
      </c>
      <c r="BL555" s="22" t="str">
        <f t="shared" si="3563"/>
        <v>NO CONFORME</v>
      </c>
    </row>
    <row r="556" spans="1:64" ht="15.75" thickBot="1" x14ac:dyDescent="0.3">
      <c r="A556" s="37">
        <v>548</v>
      </c>
      <c r="B556" s="93">
        <f t="shared" ref="B556:E556" si="3805">B555</f>
        <v>45919</v>
      </c>
      <c r="C556" s="93">
        <f t="shared" si="3805"/>
        <v>45919</v>
      </c>
      <c r="D556" s="94">
        <f t="shared" si="3805"/>
        <v>6</v>
      </c>
      <c r="E556" s="95">
        <f t="shared" si="3805"/>
        <v>15</v>
      </c>
      <c r="F556" s="13"/>
      <c r="G556" s="111"/>
      <c r="H556" s="97">
        <f t="shared" ref="H556:L556" si="3806">H555</f>
        <v>25.6</v>
      </c>
      <c r="I556" s="98">
        <f t="shared" si="3806"/>
        <v>0</v>
      </c>
      <c r="J556" s="99">
        <f t="shared" si="3806"/>
        <v>20.9</v>
      </c>
      <c r="K556" s="99">
        <f t="shared" si="3806"/>
        <v>7.883</v>
      </c>
      <c r="L556" s="99">
        <f t="shared" si="3806"/>
        <v>0.55400000000000005</v>
      </c>
      <c r="M556" s="45"/>
      <c r="N556" s="45"/>
      <c r="O556" s="100">
        <f t="shared" ref="O556:P556" si="3807">O555</f>
        <v>100.62</v>
      </c>
      <c r="P556" s="101" t="str">
        <f t="shared" si="3807"/>
        <v>2,29,560</v>
      </c>
      <c r="Q556" s="11" t="str">
        <f t="shared" si="3452"/>
        <v>2</v>
      </c>
      <c r="R556" s="11" t="str">
        <f t="shared" si="3453"/>
        <v>29,560</v>
      </c>
      <c r="S556" s="11">
        <f t="shared" si="3454"/>
        <v>4.1544444444444446E-2</v>
      </c>
      <c r="T556" s="14">
        <f t="shared" si="3455"/>
        <v>2421.9844878309709</v>
      </c>
      <c r="U556" s="39">
        <f t="shared" si="3544"/>
        <v>-100</v>
      </c>
      <c r="V556" s="105">
        <f t="shared" ref="V556:X556" si="3808">V555</f>
        <v>20.399999999999999</v>
      </c>
      <c r="W556" s="105">
        <f t="shared" si="3808"/>
        <v>1.5069999999999999</v>
      </c>
      <c r="X556" s="106">
        <f t="shared" si="3808"/>
        <v>1.504</v>
      </c>
      <c r="Y556" s="45"/>
      <c r="Z556" s="45"/>
      <c r="AA556" s="107">
        <f t="shared" ref="AA556:AB556" si="3809">AA555</f>
        <v>10.015000000000001</v>
      </c>
      <c r="AB556" s="108" t="str">
        <f t="shared" si="3809"/>
        <v>22,10,090</v>
      </c>
      <c r="AC556" s="11" t="str">
        <f t="shared" si="3458"/>
        <v>22</v>
      </c>
      <c r="AD556" s="11" t="str">
        <f t="shared" si="3459"/>
        <v>10,090</v>
      </c>
      <c r="AE556" s="11">
        <f t="shared" si="3460"/>
        <v>0.36946944444444441</v>
      </c>
      <c r="AF556" s="14">
        <f t="shared" si="3547"/>
        <v>27.106436406558959</v>
      </c>
      <c r="AG556" s="41">
        <f t="shared" si="3475"/>
        <v>-100</v>
      </c>
      <c r="AH556" s="105">
        <f t="shared" ref="AH556:AJ556" si="3810">AH555</f>
        <v>20.3</v>
      </c>
      <c r="AI556" s="105">
        <f t="shared" si="3810"/>
        <v>1.5089999999999999</v>
      </c>
      <c r="AJ556" s="105">
        <f t="shared" si="3810"/>
        <v>1.504</v>
      </c>
      <c r="AK556" s="53">
        <f t="shared" si="3375"/>
        <v>0</v>
      </c>
      <c r="AL556" s="45"/>
      <c r="AM556" s="54">
        <f t="shared" ref="AM556:AN556" si="3811">AM555</f>
        <v>5.0129999999999999</v>
      </c>
      <c r="AN556" s="101" t="str">
        <f t="shared" si="3811"/>
        <v>17,59,050</v>
      </c>
      <c r="AO556" s="11" t="str">
        <f t="shared" si="3463"/>
        <v>17</v>
      </c>
      <c r="AP556" s="11" t="str">
        <f t="shared" si="3464"/>
        <v>59,050</v>
      </c>
      <c r="AQ556" s="11">
        <f t="shared" si="3465"/>
        <v>0.29973611111111109</v>
      </c>
      <c r="AR556" s="14">
        <f t="shared" si="3550"/>
        <v>16.724711551827998</v>
      </c>
      <c r="AS556" s="41">
        <f t="shared" si="3551"/>
        <v>-100</v>
      </c>
      <c r="AT556" s="43" t="str">
        <f t="shared" si="3552"/>
        <v>NO CONFORME</v>
      </c>
      <c r="AU556" s="8" t="b">
        <f t="shared" si="3571"/>
        <v>1</v>
      </c>
      <c r="AV556" s="8" t="b">
        <f t="shared" si="3466"/>
        <v>0</v>
      </c>
      <c r="AW556" s="8" t="b">
        <f t="shared" si="3467"/>
        <v>1</v>
      </c>
      <c r="AX556" s="8" t="str">
        <f t="shared" si="3468"/>
        <v>Qcorrecto</v>
      </c>
      <c r="AY556" s="22" t="str">
        <f t="shared" si="3553"/>
        <v>aceptable</v>
      </c>
      <c r="AZ556" s="22" t="str">
        <f t="shared" si="3554"/>
        <v>aceptable</v>
      </c>
      <c r="BA556" s="22" t="str">
        <f t="shared" si="3469"/>
        <v>aceptable</v>
      </c>
      <c r="BB556" s="25" t="str">
        <f t="shared" si="3572"/>
        <v>NO CONFORME</v>
      </c>
      <c r="BC556" s="5" t="str">
        <f t="shared" si="3573"/>
        <v>NO CONFORME</v>
      </c>
      <c r="BD556" s="15">
        <f t="shared" si="3555"/>
        <v>-1</v>
      </c>
      <c r="BE556" s="15">
        <f t="shared" si="3556"/>
        <v>-1</v>
      </c>
      <c r="BF556" s="15">
        <f t="shared" si="3557"/>
        <v>-1</v>
      </c>
      <c r="BG556" s="15" t="str">
        <f t="shared" si="3558"/>
        <v>-1-1-1</v>
      </c>
      <c r="BH556" s="15" t="str">
        <f t="shared" si="3559"/>
        <v>SD</v>
      </c>
      <c r="BI556" s="15" t="str">
        <f t="shared" si="3560"/>
        <v>SI</v>
      </c>
      <c r="BJ556" s="15" t="b">
        <f t="shared" si="3561"/>
        <v>1</v>
      </c>
      <c r="BK556" s="15" t="str">
        <f t="shared" si="3562"/>
        <v>SIGIGUALES</v>
      </c>
      <c r="BL556" s="22" t="str">
        <f t="shared" si="3563"/>
        <v>NO CONFORME</v>
      </c>
    </row>
    <row r="557" spans="1:64" ht="15.75" thickBot="1" x14ac:dyDescent="0.3">
      <c r="A557" s="37">
        <v>549</v>
      </c>
      <c r="B557" s="93">
        <f t="shared" ref="B557:E557" si="3812">B556</f>
        <v>45919</v>
      </c>
      <c r="C557" s="93">
        <f t="shared" si="3812"/>
        <v>45919</v>
      </c>
      <c r="D557" s="94">
        <f t="shared" si="3812"/>
        <v>6</v>
      </c>
      <c r="E557" s="95">
        <f t="shared" si="3812"/>
        <v>15</v>
      </c>
      <c r="F557" s="13"/>
      <c r="G557" s="111"/>
      <c r="H557" s="97">
        <f t="shared" ref="H557:L557" si="3813">H556</f>
        <v>25.6</v>
      </c>
      <c r="I557" s="98">
        <f t="shared" si="3813"/>
        <v>0</v>
      </c>
      <c r="J557" s="99">
        <f t="shared" si="3813"/>
        <v>20.9</v>
      </c>
      <c r="K557" s="99">
        <f t="shared" si="3813"/>
        <v>7.883</v>
      </c>
      <c r="L557" s="99">
        <f t="shared" si="3813"/>
        <v>0.55400000000000005</v>
      </c>
      <c r="M557" s="45"/>
      <c r="N557" s="45"/>
      <c r="O557" s="100">
        <f t="shared" ref="O557:P557" si="3814">O556</f>
        <v>100.62</v>
      </c>
      <c r="P557" s="101" t="str">
        <f t="shared" si="3814"/>
        <v>2,29,560</v>
      </c>
      <c r="Q557" s="11" t="str">
        <f t="shared" si="3452"/>
        <v>2</v>
      </c>
      <c r="R557" s="11" t="str">
        <f t="shared" si="3453"/>
        <v>29,560</v>
      </c>
      <c r="S557" s="11">
        <f t="shared" si="3454"/>
        <v>4.1544444444444446E-2</v>
      </c>
      <c r="T557" s="14">
        <f t="shared" si="3455"/>
        <v>2421.9844878309709</v>
      </c>
      <c r="U557" s="39">
        <f t="shared" si="3544"/>
        <v>-100</v>
      </c>
      <c r="V557" s="105">
        <f t="shared" ref="V557:X557" si="3815">V556</f>
        <v>20.399999999999999</v>
      </c>
      <c r="W557" s="105">
        <f t="shared" si="3815"/>
        <v>1.5069999999999999</v>
      </c>
      <c r="X557" s="106">
        <f t="shared" si="3815"/>
        <v>1.504</v>
      </c>
      <c r="Y557" s="45"/>
      <c r="Z557" s="45"/>
      <c r="AA557" s="107">
        <f t="shared" ref="AA557:AB557" si="3816">AA556</f>
        <v>10.015000000000001</v>
      </c>
      <c r="AB557" s="108" t="str">
        <f t="shared" si="3816"/>
        <v>22,10,090</v>
      </c>
      <c r="AC557" s="11" t="str">
        <f t="shared" si="3458"/>
        <v>22</v>
      </c>
      <c r="AD557" s="11" t="str">
        <f t="shared" si="3459"/>
        <v>10,090</v>
      </c>
      <c r="AE557" s="11">
        <f t="shared" si="3460"/>
        <v>0.36946944444444441</v>
      </c>
      <c r="AF557" s="14">
        <f t="shared" si="3547"/>
        <v>27.106436406558959</v>
      </c>
      <c r="AG557" s="41">
        <f t="shared" si="3475"/>
        <v>-100</v>
      </c>
      <c r="AH557" s="105">
        <f t="shared" ref="AH557:AJ557" si="3817">AH556</f>
        <v>20.3</v>
      </c>
      <c r="AI557" s="105">
        <f t="shared" si="3817"/>
        <v>1.5089999999999999</v>
      </c>
      <c r="AJ557" s="105">
        <f t="shared" si="3817"/>
        <v>1.504</v>
      </c>
      <c r="AK557" s="53">
        <f t="shared" si="3375"/>
        <v>0</v>
      </c>
      <c r="AL557" s="45"/>
      <c r="AM557" s="54">
        <f t="shared" ref="AM557:AN557" si="3818">AM556</f>
        <v>5.0129999999999999</v>
      </c>
      <c r="AN557" s="101" t="str">
        <f t="shared" si="3818"/>
        <v>17,59,050</v>
      </c>
      <c r="AO557" s="11" t="str">
        <f t="shared" si="3463"/>
        <v>17</v>
      </c>
      <c r="AP557" s="11" t="str">
        <f t="shared" si="3464"/>
        <v>59,050</v>
      </c>
      <c r="AQ557" s="11">
        <f t="shared" si="3465"/>
        <v>0.29973611111111109</v>
      </c>
      <c r="AR557" s="14">
        <f t="shared" si="3550"/>
        <v>16.724711551827998</v>
      </c>
      <c r="AS557" s="41">
        <f t="shared" si="3551"/>
        <v>-100</v>
      </c>
      <c r="AT557" s="43" t="str">
        <f t="shared" si="3552"/>
        <v>NO CONFORME</v>
      </c>
      <c r="AU557" s="8" t="b">
        <f t="shared" si="3571"/>
        <v>1</v>
      </c>
      <c r="AV557" s="8" t="b">
        <f t="shared" si="3466"/>
        <v>0</v>
      </c>
      <c r="AW557" s="8" t="b">
        <f t="shared" si="3467"/>
        <v>1</v>
      </c>
      <c r="AX557" s="8" t="str">
        <f t="shared" si="3468"/>
        <v>Qcorrecto</v>
      </c>
      <c r="AY557" s="22" t="str">
        <f t="shared" si="3553"/>
        <v>aceptable</v>
      </c>
      <c r="AZ557" s="22" t="str">
        <f t="shared" si="3554"/>
        <v>aceptable</v>
      </c>
      <c r="BA557" s="22" t="str">
        <f t="shared" si="3469"/>
        <v>aceptable</v>
      </c>
      <c r="BB557" s="25" t="str">
        <f t="shared" si="3572"/>
        <v>NO CONFORME</v>
      </c>
      <c r="BC557" s="5" t="str">
        <f t="shared" si="3573"/>
        <v>NO CONFORME</v>
      </c>
      <c r="BD557" s="15">
        <f t="shared" si="3555"/>
        <v>-1</v>
      </c>
      <c r="BE557" s="15">
        <f t="shared" si="3556"/>
        <v>-1</v>
      </c>
      <c r="BF557" s="15">
        <f t="shared" si="3557"/>
        <v>-1</v>
      </c>
      <c r="BG557" s="15" t="str">
        <f t="shared" si="3558"/>
        <v>-1-1-1</v>
      </c>
      <c r="BH557" s="15" t="str">
        <f t="shared" si="3559"/>
        <v>SD</v>
      </c>
      <c r="BI557" s="15" t="str">
        <f t="shared" si="3560"/>
        <v>SI</v>
      </c>
      <c r="BJ557" s="15" t="b">
        <f t="shared" si="3561"/>
        <v>1</v>
      </c>
      <c r="BK557" s="15" t="str">
        <f t="shared" si="3562"/>
        <v>SIGIGUALES</v>
      </c>
      <c r="BL557" s="22" t="str">
        <f t="shared" si="3563"/>
        <v>NO CONFORME</v>
      </c>
    </row>
    <row r="558" spans="1:64" ht="15.75" thickBot="1" x14ac:dyDescent="0.3">
      <c r="A558" s="37">
        <v>550</v>
      </c>
      <c r="B558" s="93">
        <f t="shared" ref="B558:E558" si="3819">B557</f>
        <v>45919</v>
      </c>
      <c r="C558" s="93">
        <f t="shared" si="3819"/>
        <v>45919</v>
      </c>
      <c r="D558" s="94">
        <f t="shared" si="3819"/>
        <v>6</v>
      </c>
      <c r="E558" s="95">
        <f t="shared" si="3819"/>
        <v>15</v>
      </c>
      <c r="F558" s="13"/>
      <c r="G558" s="111"/>
      <c r="H558" s="97">
        <f t="shared" ref="H558:L558" si="3820">H557</f>
        <v>25.6</v>
      </c>
      <c r="I558" s="98">
        <f t="shared" si="3820"/>
        <v>0</v>
      </c>
      <c r="J558" s="99">
        <f t="shared" si="3820"/>
        <v>20.9</v>
      </c>
      <c r="K558" s="99">
        <f t="shared" si="3820"/>
        <v>7.883</v>
      </c>
      <c r="L558" s="99">
        <f t="shared" si="3820"/>
        <v>0.55400000000000005</v>
      </c>
      <c r="M558" s="45"/>
      <c r="N558" s="45"/>
      <c r="O558" s="100">
        <f t="shared" ref="O558:P558" si="3821">O557</f>
        <v>100.62</v>
      </c>
      <c r="P558" s="101" t="str">
        <f t="shared" si="3821"/>
        <v>2,29,560</v>
      </c>
      <c r="Q558" s="11" t="str">
        <f t="shared" si="3452"/>
        <v>2</v>
      </c>
      <c r="R558" s="11" t="str">
        <f t="shared" si="3453"/>
        <v>29,560</v>
      </c>
      <c r="S558" s="11">
        <f t="shared" si="3454"/>
        <v>4.1544444444444446E-2</v>
      </c>
      <c r="T558" s="14">
        <f t="shared" si="3455"/>
        <v>2421.9844878309709</v>
      </c>
      <c r="U558" s="39">
        <f t="shared" si="3544"/>
        <v>-100</v>
      </c>
      <c r="V558" s="105">
        <f t="shared" ref="V558:X558" si="3822">V557</f>
        <v>20.399999999999999</v>
      </c>
      <c r="W558" s="105">
        <f t="shared" si="3822"/>
        <v>1.5069999999999999</v>
      </c>
      <c r="X558" s="106">
        <f t="shared" si="3822"/>
        <v>1.504</v>
      </c>
      <c r="Y558" s="45"/>
      <c r="Z558" s="45"/>
      <c r="AA558" s="107">
        <f t="shared" ref="AA558:AB558" si="3823">AA557</f>
        <v>10.015000000000001</v>
      </c>
      <c r="AB558" s="108" t="str">
        <f t="shared" si="3823"/>
        <v>22,10,090</v>
      </c>
      <c r="AC558" s="11" t="str">
        <f t="shared" si="3458"/>
        <v>22</v>
      </c>
      <c r="AD558" s="11" t="str">
        <f t="shared" si="3459"/>
        <v>10,090</v>
      </c>
      <c r="AE558" s="11">
        <f t="shared" si="3460"/>
        <v>0.36946944444444441</v>
      </c>
      <c r="AF558" s="14">
        <f t="shared" si="3547"/>
        <v>27.106436406558959</v>
      </c>
      <c r="AG558" s="41">
        <f t="shared" si="3475"/>
        <v>-100</v>
      </c>
      <c r="AH558" s="105">
        <f t="shared" ref="AH558:AJ558" si="3824">AH557</f>
        <v>20.3</v>
      </c>
      <c r="AI558" s="105">
        <f t="shared" si="3824"/>
        <v>1.5089999999999999</v>
      </c>
      <c r="AJ558" s="105">
        <f t="shared" si="3824"/>
        <v>1.504</v>
      </c>
      <c r="AK558" s="53">
        <f t="shared" si="3375"/>
        <v>0</v>
      </c>
      <c r="AL558" s="45"/>
      <c r="AM558" s="54">
        <f t="shared" ref="AM558:AN558" si="3825">AM557</f>
        <v>5.0129999999999999</v>
      </c>
      <c r="AN558" s="101" t="str">
        <f t="shared" si="3825"/>
        <v>17,59,050</v>
      </c>
      <c r="AO558" s="11" t="str">
        <f t="shared" si="3463"/>
        <v>17</v>
      </c>
      <c r="AP558" s="11" t="str">
        <f t="shared" si="3464"/>
        <v>59,050</v>
      </c>
      <c r="AQ558" s="11">
        <f t="shared" si="3465"/>
        <v>0.29973611111111109</v>
      </c>
      <c r="AR558" s="14">
        <f t="shared" si="3550"/>
        <v>16.724711551827998</v>
      </c>
      <c r="AS558" s="41">
        <f t="shared" si="3551"/>
        <v>-100</v>
      </c>
      <c r="AT558" s="43" t="str">
        <f t="shared" si="3552"/>
        <v>NO CONFORME</v>
      </c>
      <c r="AU558" s="8" t="b">
        <f t="shared" si="3571"/>
        <v>1</v>
      </c>
      <c r="AV558" s="8" t="b">
        <f t="shared" si="3466"/>
        <v>0</v>
      </c>
      <c r="AW558" s="8" t="b">
        <f t="shared" si="3467"/>
        <v>1</v>
      </c>
      <c r="AX558" s="8" t="str">
        <f t="shared" si="3468"/>
        <v>Qcorrecto</v>
      </c>
      <c r="AY558" s="22" t="str">
        <f t="shared" si="3553"/>
        <v>aceptable</v>
      </c>
      <c r="AZ558" s="22" t="str">
        <f t="shared" si="3554"/>
        <v>aceptable</v>
      </c>
      <c r="BA558" s="22" t="str">
        <f t="shared" si="3469"/>
        <v>aceptable</v>
      </c>
      <c r="BB558" s="25" t="str">
        <f t="shared" si="3572"/>
        <v>NO CONFORME</v>
      </c>
      <c r="BC558" s="5" t="str">
        <f t="shared" si="3573"/>
        <v>NO CONFORME</v>
      </c>
      <c r="BD558" s="15">
        <f t="shared" si="3555"/>
        <v>-1</v>
      </c>
      <c r="BE558" s="15">
        <f t="shared" si="3556"/>
        <v>-1</v>
      </c>
      <c r="BF558" s="15">
        <f t="shared" si="3557"/>
        <v>-1</v>
      </c>
      <c r="BG558" s="15" t="str">
        <f t="shared" si="3558"/>
        <v>-1-1-1</v>
      </c>
      <c r="BH558" s="15" t="str">
        <f t="shared" si="3559"/>
        <v>SD</v>
      </c>
      <c r="BI558" s="15" t="str">
        <f t="shared" si="3560"/>
        <v>SI</v>
      </c>
      <c r="BJ558" s="15" t="b">
        <f t="shared" si="3561"/>
        <v>1</v>
      </c>
      <c r="BK558" s="15" t="str">
        <f t="shared" si="3562"/>
        <v>SIGIGUALES</v>
      </c>
      <c r="BL558" s="22" t="str">
        <f t="shared" si="3563"/>
        <v>NO CONFORME</v>
      </c>
    </row>
    <row r="559" spans="1:64" ht="15.75" thickBot="1" x14ac:dyDescent="0.3">
      <c r="A559" s="37">
        <v>551</v>
      </c>
      <c r="B559" s="93">
        <f t="shared" ref="B559:E559" si="3826">B558</f>
        <v>45919</v>
      </c>
      <c r="C559" s="93">
        <f t="shared" si="3826"/>
        <v>45919</v>
      </c>
      <c r="D559" s="94">
        <f t="shared" si="3826"/>
        <v>6</v>
      </c>
      <c r="E559" s="95">
        <f t="shared" si="3826"/>
        <v>15</v>
      </c>
      <c r="F559" s="13"/>
      <c r="G559" s="111"/>
      <c r="H559" s="97">
        <f t="shared" ref="H559:L559" si="3827">H558</f>
        <v>25.6</v>
      </c>
      <c r="I559" s="98">
        <f t="shared" si="3827"/>
        <v>0</v>
      </c>
      <c r="J559" s="99">
        <f t="shared" si="3827"/>
        <v>20.9</v>
      </c>
      <c r="K559" s="99">
        <f t="shared" si="3827"/>
        <v>7.883</v>
      </c>
      <c r="L559" s="99">
        <f t="shared" si="3827"/>
        <v>0.55400000000000005</v>
      </c>
      <c r="M559" s="45"/>
      <c r="N559" s="45"/>
      <c r="O559" s="100">
        <f t="shared" ref="O559:P559" si="3828">O558</f>
        <v>100.62</v>
      </c>
      <c r="P559" s="101" t="str">
        <f t="shared" si="3828"/>
        <v>2,29,560</v>
      </c>
      <c r="Q559" s="11" t="str">
        <f t="shared" si="3452"/>
        <v>2</v>
      </c>
      <c r="R559" s="11" t="str">
        <f t="shared" si="3453"/>
        <v>29,560</v>
      </c>
      <c r="S559" s="11">
        <f t="shared" si="3454"/>
        <v>4.1544444444444446E-2</v>
      </c>
      <c r="T559" s="14">
        <f t="shared" si="3455"/>
        <v>2421.9844878309709</v>
      </c>
      <c r="U559" s="39">
        <f t="shared" si="3544"/>
        <v>-100</v>
      </c>
      <c r="V559" s="105">
        <f t="shared" ref="V559:X559" si="3829">V558</f>
        <v>20.399999999999999</v>
      </c>
      <c r="W559" s="105">
        <f t="shared" si="3829"/>
        <v>1.5069999999999999</v>
      </c>
      <c r="X559" s="106">
        <f t="shared" si="3829"/>
        <v>1.504</v>
      </c>
      <c r="Y559" s="45"/>
      <c r="Z559" s="45"/>
      <c r="AA559" s="107">
        <f t="shared" ref="AA559:AB559" si="3830">AA558</f>
        <v>10.015000000000001</v>
      </c>
      <c r="AB559" s="108" t="str">
        <f t="shared" si="3830"/>
        <v>22,10,090</v>
      </c>
      <c r="AC559" s="11" t="str">
        <f t="shared" si="3458"/>
        <v>22</v>
      </c>
      <c r="AD559" s="11" t="str">
        <f t="shared" si="3459"/>
        <v>10,090</v>
      </c>
      <c r="AE559" s="11">
        <f t="shared" si="3460"/>
        <v>0.36946944444444441</v>
      </c>
      <c r="AF559" s="14">
        <f t="shared" si="3547"/>
        <v>27.106436406558959</v>
      </c>
      <c r="AG559" s="41">
        <f t="shared" si="3475"/>
        <v>-100</v>
      </c>
      <c r="AH559" s="105">
        <f t="shared" ref="AH559:AJ559" si="3831">AH558</f>
        <v>20.3</v>
      </c>
      <c r="AI559" s="105">
        <f t="shared" si="3831"/>
        <v>1.5089999999999999</v>
      </c>
      <c r="AJ559" s="105">
        <f t="shared" si="3831"/>
        <v>1.504</v>
      </c>
      <c r="AK559" s="53">
        <f t="shared" si="3375"/>
        <v>0</v>
      </c>
      <c r="AL559" s="45"/>
      <c r="AM559" s="54">
        <f t="shared" ref="AM559:AN559" si="3832">AM558</f>
        <v>5.0129999999999999</v>
      </c>
      <c r="AN559" s="101" t="str">
        <f t="shared" si="3832"/>
        <v>17,59,050</v>
      </c>
      <c r="AO559" s="11" t="str">
        <f t="shared" si="3463"/>
        <v>17</v>
      </c>
      <c r="AP559" s="11" t="str">
        <f t="shared" si="3464"/>
        <v>59,050</v>
      </c>
      <c r="AQ559" s="11">
        <f t="shared" si="3465"/>
        <v>0.29973611111111109</v>
      </c>
      <c r="AR559" s="14">
        <f t="shared" si="3550"/>
        <v>16.724711551827998</v>
      </c>
      <c r="AS559" s="41">
        <f t="shared" si="3551"/>
        <v>-100</v>
      </c>
      <c r="AT559" s="43" t="str">
        <f t="shared" si="3552"/>
        <v>NO CONFORME</v>
      </c>
      <c r="AU559" s="8" t="b">
        <f t="shared" si="3571"/>
        <v>1</v>
      </c>
      <c r="AV559" s="8" t="b">
        <f t="shared" si="3466"/>
        <v>0</v>
      </c>
      <c r="AW559" s="8" t="b">
        <f t="shared" si="3467"/>
        <v>1</v>
      </c>
      <c r="AX559" s="8" t="str">
        <f t="shared" si="3468"/>
        <v>Qcorrecto</v>
      </c>
      <c r="AY559" s="22" t="str">
        <f t="shared" si="3553"/>
        <v>aceptable</v>
      </c>
      <c r="AZ559" s="22" t="str">
        <f t="shared" si="3554"/>
        <v>aceptable</v>
      </c>
      <c r="BA559" s="22" t="str">
        <f t="shared" si="3469"/>
        <v>aceptable</v>
      </c>
      <c r="BB559" s="25" t="str">
        <f t="shared" si="3572"/>
        <v>NO CONFORME</v>
      </c>
      <c r="BC559" s="5" t="str">
        <f t="shared" si="3573"/>
        <v>NO CONFORME</v>
      </c>
      <c r="BD559" s="15">
        <f t="shared" si="3555"/>
        <v>-1</v>
      </c>
      <c r="BE559" s="15">
        <f t="shared" si="3556"/>
        <v>-1</v>
      </c>
      <c r="BF559" s="15">
        <f t="shared" si="3557"/>
        <v>-1</v>
      </c>
      <c r="BG559" s="15" t="str">
        <f t="shared" si="3558"/>
        <v>-1-1-1</v>
      </c>
      <c r="BH559" s="15" t="str">
        <f t="shared" si="3559"/>
        <v>SD</v>
      </c>
      <c r="BI559" s="15" t="str">
        <f t="shared" si="3560"/>
        <v>SI</v>
      </c>
      <c r="BJ559" s="15" t="b">
        <f t="shared" si="3561"/>
        <v>1</v>
      </c>
      <c r="BK559" s="15" t="str">
        <f t="shared" si="3562"/>
        <v>SIGIGUALES</v>
      </c>
      <c r="BL559" s="22" t="str">
        <f t="shared" si="3563"/>
        <v>NO CONFORME</v>
      </c>
    </row>
    <row r="560" spans="1:64" ht="15.75" thickBot="1" x14ac:dyDescent="0.3">
      <c r="A560" s="37">
        <v>552</v>
      </c>
      <c r="B560" s="93">
        <f t="shared" ref="B560:E560" si="3833">B559</f>
        <v>45919</v>
      </c>
      <c r="C560" s="93">
        <f t="shared" si="3833"/>
        <v>45919</v>
      </c>
      <c r="D560" s="94">
        <f t="shared" si="3833"/>
        <v>6</v>
      </c>
      <c r="E560" s="95">
        <f t="shared" si="3833"/>
        <v>15</v>
      </c>
      <c r="F560" s="13"/>
      <c r="G560" s="111"/>
      <c r="H560" s="97">
        <f t="shared" ref="H560:L560" si="3834">H559</f>
        <v>25.6</v>
      </c>
      <c r="I560" s="98">
        <f t="shared" si="3834"/>
        <v>0</v>
      </c>
      <c r="J560" s="99">
        <f t="shared" si="3834"/>
        <v>20.9</v>
      </c>
      <c r="K560" s="99">
        <f t="shared" si="3834"/>
        <v>7.883</v>
      </c>
      <c r="L560" s="99">
        <f t="shared" si="3834"/>
        <v>0.55400000000000005</v>
      </c>
      <c r="M560" s="45"/>
      <c r="N560" s="45"/>
      <c r="O560" s="100">
        <f t="shared" ref="O560:P560" si="3835">O559</f>
        <v>100.62</v>
      </c>
      <c r="P560" s="101" t="str">
        <f t="shared" si="3835"/>
        <v>2,29,560</v>
      </c>
      <c r="Q560" s="11" t="str">
        <f t="shared" si="3452"/>
        <v>2</v>
      </c>
      <c r="R560" s="11" t="str">
        <f t="shared" si="3453"/>
        <v>29,560</v>
      </c>
      <c r="S560" s="11">
        <f t="shared" si="3454"/>
        <v>4.1544444444444446E-2</v>
      </c>
      <c r="T560" s="14">
        <f t="shared" si="3455"/>
        <v>2421.9844878309709</v>
      </c>
      <c r="U560" s="39">
        <f t="shared" si="3544"/>
        <v>-100</v>
      </c>
      <c r="V560" s="105">
        <f t="shared" ref="V560:X560" si="3836">V559</f>
        <v>20.399999999999999</v>
      </c>
      <c r="W560" s="105">
        <f t="shared" si="3836"/>
        <v>1.5069999999999999</v>
      </c>
      <c r="X560" s="106">
        <f t="shared" si="3836"/>
        <v>1.504</v>
      </c>
      <c r="Y560" s="45"/>
      <c r="Z560" s="45"/>
      <c r="AA560" s="107">
        <f t="shared" ref="AA560:AB560" si="3837">AA559</f>
        <v>10.015000000000001</v>
      </c>
      <c r="AB560" s="108" t="str">
        <f t="shared" si="3837"/>
        <v>22,10,090</v>
      </c>
      <c r="AC560" s="11" t="str">
        <f t="shared" si="3458"/>
        <v>22</v>
      </c>
      <c r="AD560" s="11" t="str">
        <f t="shared" si="3459"/>
        <v>10,090</v>
      </c>
      <c r="AE560" s="11">
        <f t="shared" si="3460"/>
        <v>0.36946944444444441</v>
      </c>
      <c r="AF560" s="14">
        <f t="shared" si="3547"/>
        <v>27.106436406558959</v>
      </c>
      <c r="AG560" s="41">
        <f t="shared" si="3475"/>
        <v>-100</v>
      </c>
      <c r="AH560" s="105">
        <f t="shared" ref="AH560:AJ560" si="3838">AH559</f>
        <v>20.3</v>
      </c>
      <c r="AI560" s="105">
        <f t="shared" si="3838"/>
        <v>1.5089999999999999</v>
      </c>
      <c r="AJ560" s="105">
        <f t="shared" si="3838"/>
        <v>1.504</v>
      </c>
      <c r="AK560" s="53">
        <f t="shared" si="3375"/>
        <v>0</v>
      </c>
      <c r="AL560" s="45"/>
      <c r="AM560" s="54">
        <f t="shared" ref="AM560:AN560" si="3839">AM559</f>
        <v>5.0129999999999999</v>
      </c>
      <c r="AN560" s="101" t="str">
        <f t="shared" si="3839"/>
        <v>17,59,050</v>
      </c>
      <c r="AO560" s="11" t="str">
        <f t="shared" si="3463"/>
        <v>17</v>
      </c>
      <c r="AP560" s="11" t="str">
        <f t="shared" si="3464"/>
        <v>59,050</v>
      </c>
      <c r="AQ560" s="11">
        <f t="shared" si="3465"/>
        <v>0.29973611111111109</v>
      </c>
      <c r="AR560" s="14">
        <f t="shared" si="3550"/>
        <v>16.724711551827998</v>
      </c>
      <c r="AS560" s="41">
        <f t="shared" si="3551"/>
        <v>-100</v>
      </c>
      <c r="AT560" s="43" t="str">
        <f t="shared" si="3552"/>
        <v>NO CONFORME</v>
      </c>
      <c r="AU560" s="8" t="b">
        <f t="shared" si="3571"/>
        <v>1</v>
      </c>
      <c r="AV560" s="8" t="b">
        <f t="shared" si="3466"/>
        <v>0</v>
      </c>
      <c r="AW560" s="8" t="b">
        <f t="shared" si="3467"/>
        <v>1</v>
      </c>
      <c r="AX560" s="8" t="str">
        <f t="shared" si="3468"/>
        <v>Qcorrecto</v>
      </c>
      <c r="AY560" s="22" t="str">
        <f t="shared" si="3553"/>
        <v>aceptable</v>
      </c>
      <c r="AZ560" s="22" t="str">
        <f t="shared" si="3554"/>
        <v>aceptable</v>
      </c>
      <c r="BA560" s="22" t="str">
        <f t="shared" si="3469"/>
        <v>aceptable</v>
      </c>
      <c r="BB560" s="25" t="str">
        <f t="shared" si="3572"/>
        <v>NO CONFORME</v>
      </c>
      <c r="BC560" s="5" t="str">
        <f t="shared" si="3573"/>
        <v>NO CONFORME</v>
      </c>
      <c r="BD560" s="15">
        <f t="shared" si="3555"/>
        <v>-1</v>
      </c>
      <c r="BE560" s="15">
        <f t="shared" si="3556"/>
        <v>-1</v>
      </c>
      <c r="BF560" s="15">
        <f t="shared" si="3557"/>
        <v>-1</v>
      </c>
      <c r="BG560" s="15" t="str">
        <f t="shared" si="3558"/>
        <v>-1-1-1</v>
      </c>
      <c r="BH560" s="15" t="str">
        <f t="shared" si="3559"/>
        <v>SD</v>
      </c>
      <c r="BI560" s="15" t="str">
        <f t="shared" si="3560"/>
        <v>SI</v>
      </c>
      <c r="BJ560" s="15" t="b">
        <f t="shared" si="3561"/>
        <v>1</v>
      </c>
      <c r="BK560" s="15" t="str">
        <f t="shared" si="3562"/>
        <v>SIGIGUALES</v>
      </c>
      <c r="BL560" s="22" t="str">
        <f t="shared" si="3563"/>
        <v>NO CONFORME</v>
      </c>
    </row>
    <row r="561" spans="1:64" ht="15.75" thickBot="1" x14ac:dyDescent="0.3">
      <c r="A561" s="37">
        <v>553</v>
      </c>
      <c r="B561" s="93">
        <f t="shared" ref="B561:E561" si="3840">B560</f>
        <v>45919</v>
      </c>
      <c r="C561" s="93">
        <f t="shared" si="3840"/>
        <v>45919</v>
      </c>
      <c r="D561" s="94">
        <f t="shared" si="3840"/>
        <v>6</v>
      </c>
      <c r="E561" s="95">
        <f t="shared" si="3840"/>
        <v>15</v>
      </c>
      <c r="F561" s="13"/>
      <c r="G561" s="111"/>
      <c r="H561" s="97">
        <f t="shared" ref="H561:L561" si="3841">H560</f>
        <v>25.6</v>
      </c>
      <c r="I561" s="98">
        <f t="shared" si="3841"/>
        <v>0</v>
      </c>
      <c r="J561" s="99">
        <f t="shared" si="3841"/>
        <v>20.9</v>
      </c>
      <c r="K561" s="99">
        <f t="shared" si="3841"/>
        <v>7.883</v>
      </c>
      <c r="L561" s="99">
        <f t="shared" si="3841"/>
        <v>0.55400000000000005</v>
      </c>
      <c r="M561" s="45"/>
      <c r="N561" s="45"/>
      <c r="O561" s="100">
        <f t="shared" ref="O561:P561" si="3842">O560</f>
        <v>100.62</v>
      </c>
      <c r="P561" s="101" t="str">
        <f t="shared" si="3842"/>
        <v>2,29,560</v>
      </c>
      <c r="Q561" s="11" t="str">
        <f t="shared" si="3452"/>
        <v>2</v>
      </c>
      <c r="R561" s="11" t="str">
        <f t="shared" si="3453"/>
        <v>29,560</v>
      </c>
      <c r="S561" s="11">
        <f t="shared" si="3454"/>
        <v>4.1544444444444446E-2</v>
      </c>
      <c r="T561" s="14">
        <f t="shared" si="3455"/>
        <v>2421.9844878309709</v>
      </c>
      <c r="U561" s="39">
        <f t="shared" si="3544"/>
        <v>-100</v>
      </c>
      <c r="V561" s="105">
        <f t="shared" ref="V561:X561" si="3843">V560</f>
        <v>20.399999999999999</v>
      </c>
      <c r="W561" s="105">
        <f t="shared" si="3843"/>
        <v>1.5069999999999999</v>
      </c>
      <c r="X561" s="106">
        <f t="shared" si="3843"/>
        <v>1.504</v>
      </c>
      <c r="Y561" s="45"/>
      <c r="Z561" s="45"/>
      <c r="AA561" s="107">
        <f t="shared" ref="AA561:AB561" si="3844">AA560</f>
        <v>10.015000000000001</v>
      </c>
      <c r="AB561" s="108" t="str">
        <f t="shared" si="3844"/>
        <v>22,10,090</v>
      </c>
      <c r="AC561" s="11" t="str">
        <f t="shared" si="3458"/>
        <v>22</v>
      </c>
      <c r="AD561" s="11" t="str">
        <f t="shared" si="3459"/>
        <v>10,090</v>
      </c>
      <c r="AE561" s="11">
        <f t="shared" si="3460"/>
        <v>0.36946944444444441</v>
      </c>
      <c r="AF561" s="14">
        <f t="shared" si="3547"/>
        <v>27.106436406558959</v>
      </c>
      <c r="AG561" s="41">
        <f t="shared" si="3475"/>
        <v>-100</v>
      </c>
      <c r="AH561" s="105">
        <f t="shared" ref="AH561:AJ561" si="3845">AH560</f>
        <v>20.3</v>
      </c>
      <c r="AI561" s="105">
        <f t="shared" si="3845"/>
        <v>1.5089999999999999</v>
      </c>
      <c r="AJ561" s="105">
        <f t="shared" si="3845"/>
        <v>1.504</v>
      </c>
      <c r="AK561" s="53">
        <f t="shared" si="3375"/>
        <v>0</v>
      </c>
      <c r="AL561" s="45"/>
      <c r="AM561" s="54">
        <f t="shared" ref="AM561:AN561" si="3846">AM560</f>
        <v>5.0129999999999999</v>
      </c>
      <c r="AN561" s="101" t="str">
        <f t="shared" si="3846"/>
        <v>17,59,050</v>
      </c>
      <c r="AO561" s="11" t="str">
        <f t="shared" si="3463"/>
        <v>17</v>
      </c>
      <c r="AP561" s="11" t="str">
        <f t="shared" si="3464"/>
        <v>59,050</v>
      </c>
      <c r="AQ561" s="11">
        <f t="shared" si="3465"/>
        <v>0.29973611111111109</v>
      </c>
      <c r="AR561" s="14">
        <f t="shared" si="3550"/>
        <v>16.724711551827998</v>
      </c>
      <c r="AS561" s="41">
        <f t="shared" si="3551"/>
        <v>-100</v>
      </c>
      <c r="AT561" s="43" t="str">
        <f t="shared" si="3552"/>
        <v>NO CONFORME</v>
      </c>
      <c r="AU561" s="8" t="b">
        <f t="shared" si="3571"/>
        <v>1</v>
      </c>
      <c r="AV561" s="8" t="b">
        <f t="shared" si="3466"/>
        <v>0</v>
      </c>
      <c r="AW561" s="8" t="b">
        <f t="shared" si="3467"/>
        <v>1</v>
      </c>
      <c r="AX561" s="8" t="str">
        <f t="shared" si="3468"/>
        <v>Qcorrecto</v>
      </c>
      <c r="AY561" s="22" t="str">
        <f t="shared" si="3553"/>
        <v>aceptable</v>
      </c>
      <c r="AZ561" s="22" t="str">
        <f t="shared" si="3554"/>
        <v>aceptable</v>
      </c>
      <c r="BA561" s="22" t="str">
        <f t="shared" si="3469"/>
        <v>aceptable</v>
      </c>
      <c r="BB561" s="25" t="str">
        <f t="shared" si="3572"/>
        <v>NO CONFORME</v>
      </c>
      <c r="BC561" s="5" t="str">
        <f t="shared" si="3573"/>
        <v>NO CONFORME</v>
      </c>
      <c r="BD561" s="15">
        <f t="shared" si="3555"/>
        <v>-1</v>
      </c>
      <c r="BE561" s="15">
        <f t="shared" si="3556"/>
        <v>-1</v>
      </c>
      <c r="BF561" s="15">
        <f t="shared" si="3557"/>
        <v>-1</v>
      </c>
      <c r="BG561" s="15" t="str">
        <f t="shared" si="3558"/>
        <v>-1-1-1</v>
      </c>
      <c r="BH561" s="15" t="str">
        <f t="shared" si="3559"/>
        <v>SD</v>
      </c>
      <c r="BI561" s="15" t="str">
        <f t="shared" si="3560"/>
        <v>SI</v>
      </c>
      <c r="BJ561" s="15" t="b">
        <f t="shared" si="3561"/>
        <v>1</v>
      </c>
      <c r="BK561" s="15" t="str">
        <f t="shared" si="3562"/>
        <v>SIGIGUALES</v>
      </c>
      <c r="BL561" s="22" t="str">
        <f t="shared" si="3563"/>
        <v>NO CONFORME</v>
      </c>
    </row>
    <row r="562" spans="1:64" ht="15.75" thickBot="1" x14ac:dyDescent="0.3">
      <c r="A562" s="37">
        <v>554</v>
      </c>
      <c r="B562" s="93">
        <f t="shared" ref="B562:E562" si="3847">B561</f>
        <v>45919</v>
      </c>
      <c r="C562" s="93">
        <f t="shared" si="3847"/>
        <v>45919</v>
      </c>
      <c r="D562" s="94">
        <f t="shared" si="3847"/>
        <v>6</v>
      </c>
      <c r="E562" s="95">
        <f t="shared" si="3847"/>
        <v>15</v>
      </c>
      <c r="F562" s="13"/>
      <c r="G562" s="111"/>
      <c r="H562" s="97">
        <f t="shared" ref="H562:L562" si="3848">H561</f>
        <v>25.6</v>
      </c>
      <c r="I562" s="98">
        <f t="shared" si="3848"/>
        <v>0</v>
      </c>
      <c r="J562" s="99">
        <f t="shared" si="3848"/>
        <v>20.9</v>
      </c>
      <c r="K562" s="99">
        <f t="shared" si="3848"/>
        <v>7.883</v>
      </c>
      <c r="L562" s="99">
        <f t="shared" si="3848"/>
        <v>0.55400000000000005</v>
      </c>
      <c r="M562" s="45"/>
      <c r="N562" s="45"/>
      <c r="O562" s="100">
        <f t="shared" ref="O562:P562" si="3849">O561</f>
        <v>100.62</v>
      </c>
      <c r="P562" s="101" t="str">
        <f t="shared" si="3849"/>
        <v>2,29,560</v>
      </c>
      <c r="Q562" s="11" t="str">
        <f t="shared" si="3452"/>
        <v>2</v>
      </c>
      <c r="R562" s="11" t="str">
        <f t="shared" si="3453"/>
        <v>29,560</v>
      </c>
      <c r="S562" s="11">
        <f t="shared" si="3454"/>
        <v>4.1544444444444446E-2</v>
      </c>
      <c r="T562" s="14">
        <f t="shared" si="3455"/>
        <v>2421.9844878309709</v>
      </c>
      <c r="U562" s="39">
        <f t="shared" si="3544"/>
        <v>-100</v>
      </c>
      <c r="V562" s="105">
        <f t="shared" ref="V562:X562" si="3850">V561</f>
        <v>20.399999999999999</v>
      </c>
      <c r="W562" s="105">
        <f t="shared" si="3850"/>
        <v>1.5069999999999999</v>
      </c>
      <c r="X562" s="106">
        <f t="shared" si="3850"/>
        <v>1.504</v>
      </c>
      <c r="Y562" s="45"/>
      <c r="Z562" s="45"/>
      <c r="AA562" s="107">
        <f t="shared" ref="AA562:AB562" si="3851">AA561</f>
        <v>10.015000000000001</v>
      </c>
      <c r="AB562" s="108" t="str">
        <f t="shared" si="3851"/>
        <v>22,10,090</v>
      </c>
      <c r="AC562" s="11" t="str">
        <f t="shared" si="3458"/>
        <v>22</v>
      </c>
      <c r="AD562" s="11" t="str">
        <f t="shared" si="3459"/>
        <v>10,090</v>
      </c>
      <c r="AE562" s="11">
        <f t="shared" si="3460"/>
        <v>0.36946944444444441</v>
      </c>
      <c r="AF562" s="14">
        <f t="shared" si="3547"/>
        <v>27.106436406558959</v>
      </c>
      <c r="AG562" s="41">
        <f t="shared" si="3475"/>
        <v>-100</v>
      </c>
      <c r="AH562" s="105">
        <f t="shared" ref="AH562:AJ562" si="3852">AH561</f>
        <v>20.3</v>
      </c>
      <c r="AI562" s="105">
        <f t="shared" si="3852"/>
        <v>1.5089999999999999</v>
      </c>
      <c r="AJ562" s="105">
        <f t="shared" si="3852"/>
        <v>1.504</v>
      </c>
      <c r="AK562" s="53">
        <f t="shared" si="3375"/>
        <v>0</v>
      </c>
      <c r="AL562" s="45"/>
      <c r="AM562" s="54">
        <f t="shared" ref="AM562:AN562" si="3853">AM561</f>
        <v>5.0129999999999999</v>
      </c>
      <c r="AN562" s="101" t="str">
        <f t="shared" si="3853"/>
        <v>17,59,050</v>
      </c>
      <c r="AO562" s="11" t="str">
        <f t="shared" si="3463"/>
        <v>17</v>
      </c>
      <c r="AP562" s="11" t="str">
        <f t="shared" si="3464"/>
        <v>59,050</v>
      </c>
      <c r="AQ562" s="11">
        <f t="shared" si="3465"/>
        <v>0.29973611111111109</v>
      </c>
      <c r="AR562" s="14">
        <f t="shared" si="3550"/>
        <v>16.724711551827998</v>
      </c>
      <c r="AS562" s="41">
        <f t="shared" si="3551"/>
        <v>-100</v>
      </c>
      <c r="AT562" s="43" t="str">
        <f t="shared" si="3552"/>
        <v>NO CONFORME</v>
      </c>
      <c r="AU562" s="8" t="b">
        <f t="shared" si="3571"/>
        <v>1</v>
      </c>
      <c r="AV562" s="8" t="b">
        <f t="shared" si="3466"/>
        <v>0</v>
      </c>
      <c r="AW562" s="8" t="b">
        <f t="shared" si="3467"/>
        <v>1</v>
      </c>
      <c r="AX562" s="8" t="str">
        <f t="shared" si="3468"/>
        <v>Qcorrecto</v>
      </c>
      <c r="AY562" s="22" t="str">
        <f t="shared" si="3553"/>
        <v>aceptable</v>
      </c>
      <c r="AZ562" s="22" t="str">
        <f t="shared" si="3554"/>
        <v>aceptable</v>
      </c>
      <c r="BA562" s="22" t="str">
        <f t="shared" si="3469"/>
        <v>aceptable</v>
      </c>
      <c r="BB562" s="25" t="str">
        <f t="shared" si="3572"/>
        <v>NO CONFORME</v>
      </c>
      <c r="BC562" s="5" t="str">
        <f t="shared" si="3573"/>
        <v>NO CONFORME</v>
      </c>
      <c r="BD562" s="15">
        <f t="shared" si="3555"/>
        <v>-1</v>
      </c>
      <c r="BE562" s="15">
        <f t="shared" si="3556"/>
        <v>-1</v>
      </c>
      <c r="BF562" s="15">
        <f t="shared" si="3557"/>
        <v>-1</v>
      </c>
      <c r="BG562" s="15" t="str">
        <f t="shared" si="3558"/>
        <v>-1-1-1</v>
      </c>
      <c r="BH562" s="15" t="str">
        <f t="shared" si="3559"/>
        <v>SD</v>
      </c>
      <c r="BI562" s="15" t="str">
        <f t="shared" si="3560"/>
        <v>SI</v>
      </c>
      <c r="BJ562" s="15" t="b">
        <f t="shared" si="3561"/>
        <v>1</v>
      </c>
      <c r="BK562" s="15" t="str">
        <f t="shared" si="3562"/>
        <v>SIGIGUALES</v>
      </c>
      <c r="BL562" s="22" t="str">
        <f t="shared" si="3563"/>
        <v>NO CONFORME</v>
      </c>
    </row>
    <row r="563" spans="1:64" ht="15.75" thickBot="1" x14ac:dyDescent="0.3">
      <c r="A563" s="37">
        <v>555</v>
      </c>
      <c r="B563" s="93">
        <f t="shared" ref="B563:E563" si="3854">B562</f>
        <v>45919</v>
      </c>
      <c r="C563" s="93">
        <f t="shared" si="3854"/>
        <v>45919</v>
      </c>
      <c r="D563" s="94">
        <f t="shared" si="3854"/>
        <v>6</v>
      </c>
      <c r="E563" s="95">
        <f t="shared" si="3854"/>
        <v>15</v>
      </c>
      <c r="F563" s="52"/>
      <c r="G563" s="113"/>
      <c r="H563" s="97">
        <f t="shared" ref="H563:L563" si="3855">H562</f>
        <v>25.6</v>
      </c>
      <c r="I563" s="98">
        <f t="shared" si="3855"/>
        <v>0</v>
      </c>
      <c r="J563" s="99">
        <f t="shared" si="3855"/>
        <v>20.9</v>
      </c>
      <c r="K563" s="99">
        <f t="shared" si="3855"/>
        <v>7.883</v>
      </c>
      <c r="L563" s="99">
        <f t="shared" si="3855"/>
        <v>0.55400000000000005</v>
      </c>
      <c r="M563" s="53"/>
      <c r="N563" s="53"/>
      <c r="O563" s="100">
        <f t="shared" ref="O563:P563" si="3856">O562</f>
        <v>100.62</v>
      </c>
      <c r="P563" s="101" t="str">
        <f t="shared" si="3856"/>
        <v>2,29,560</v>
      </c>
      <c r="Q563" s="11" t="str">
        <f t="shared" si="3452"/>
        <v>2</v>
      </c>
      <c r="R563" s="11" t="str">
        <f t="shared" si="3453"/>
        <v>29,560</v>
      </c>
      <c r="S563" s="11">
        <f t="shared" si="3454"/>
        <v>4.1544444444444446E-2</v>
      </c>
      <c r="T563" s="14">
        <f t="shared" si="3455"/>
        <v>2421.9844878309709</v>
      </c>
      <c r="U563" s="39">
        <f t="shared" si="3544"/>
        <v>-100</v>
      </c>
      <c r="V563" s="105">
        <f t="shared" ref="V563:X563" si="3857">V562</f>
        <v>20.399999999999999</v>
      </c>
      <c r="W563" s="105">
        <f t="shared" si="3857"/>
        <v>1.5069999999999999</v>
      </c>
      <c r="X563" s="106">
        <f t="shared" si="3857"/>
        <v>1.504</v>
      </c>
      <c r="Y563" s="53"/>
      <c r="Z563" s="53"/>
      <c r="AA563" s="107">
        <f t="shared" ref="AA563:AB563" si="3858">AA562</f>
        <v>10.015000000000001</v>
      </c>
      <c r="AB563" s="108" t="str">
        <f t="shared" si="3858"/>
        <v>22,10,090</v>
      </c>
      <c r="AC563" s="11" t="str">
        <f t="shared" si="3458"/>
        <v>22</v>
      </c>
      <c r="AD563" s="11" t="str">
        <f t="shared" si="3459"/>
        <v>10,090</v>
      </c>
      <c r="AE563" s="11">
        <f t="shared" si="3460"/>
        <v>0.36946944444444441</v>
      </c>
      <c r="AF563" s="14">
        <f t="shared" si="3547"/>
        <v>27.106436406558959</v>
      </c>
      <c r="AG563" s="41">
        <f t="shared" si="3475"/>
        <v>-100</v>
      </c>
      <c r="AH563" s="105">
        <f t="shared" ref="AH563:AJ563" si="3859">AH562</f>
        <v>20.3</v>
      </c>
      <c r="AI563" s="105">
        <f t="shared" si="3859"/>
        <v>1.5089999999999999</v>
      </c>
      <c r="AJ563" s="105">
        <f t="shared" si="3859"/>
        <v>1.504</v>
      </c>
      <c r="AK563" s="53">
        <f t="shared" si="3375"/>
        <v>0</v>
      </c>
      <c r="AL563" s="53"/>
      <c r="AM563" s="54">
        <f t="shared" ref="AM563:AN563" si="3860">AM562</f>
        <v>5.0129999999999999</v>
      </c>
      <c r="AN563" s="101" t="str">
        <f t="shared" si="3860"/>
        <v>17,59,050</v>
      </c>
      <c r="AO563" s="11" t="str">
        <f t="shared" si="3463"/>
        <v>17</v>
      </c>
      <c r="AP563" s="11" t="str">
        <f t="shared" si="3464"/>
        <v>59,050</v>
      </c>
      <c r="AQ563" s="11">
        <f t="shared" si="3465"/>
        <v>0.29973611111111109</v>
      </c>
      <c r="AR563" s="14">
        <f t="shared" si="3550"/>
        <v>16.724711551827998</v>
      </c>
      <c r="AS563" s="41">
        <f t="shared" si="3551"/>
        <v>-100</v>
      </c>
      <c r="AT563" s="43" t="str">
        <f t="shared" si="3552"/>
        <v>NO CONFORME</v>
      </c>
      <c r="AU563" s="8" t="b">
        <f t="shared" si="3571"/>
        <v>1</v>
      </c>
      <c r="AV563" s="8" t="b">
        <f t="shared" si="3466"/>
        <v>0</v>
      </c>
      <c r="AW563" s="8" t="b">
        <f t="shared" si="3467"/>
        <v>1</v>
      </c>
      <c r="AX563" s="8" t="str">
        <f t="shared" si="3468"/>
        <v>Qcorrecto</v>
      </c>
      <c r="AY563" s="22" t="str">
        <f t="shared" si="3553"/>
        <v>aceptable</v>
      </c>
      <c r="AZ563" s="22" t="str">
        <f t="shared" si="3554"/>
        <v>aceptable</v>
      </c>
      <c r="BA563" s="22" t="str">
        <f t="shared" si="3469"/>
        <v>aceptable</v>
      </c>
      <c r="BB563" s="25" t="str">
        <f t="shared" si="3572"/>
        <v>NO CONFORME</v>
      </c>
      <c r="BC563" s="5" t="str">
        <f t="shared" si="3573"/>
        <v>NO CONFORME</v>
      </c>
      <c r="BD563" s="15">
        <f t="shared" si="3555"/>
        <v>-1</v>
      </c>
      <c r="BE563" s="15">
        <f t="shared" si="3556"/>
        <v>-1</v>
      </c>
      <c r="BF563" s="15">
        <f t="shared" si="3557"/>
        <v>-1</v>
      </c>
      <c r="BG563" s="15" t="str">
        <f t="shared" si="3558"/>
        <v>-1-1-1</v>
      </c>
      <c r="BH563" s="15" t="str">
        <f t="shared" si="3559"/>
        <v>SD</v>
      </c>
      <c r="BI563" s="15" t="str">
        <f t="shared" si="3560"/>
        <v>SI</v>
      </c>
      <c r="BJ563" s="15" t="b">
        <f t="shared" si="3561"/>
        <v>1</v>
      </c>
      <c r="BK563" s="15" t="str">
        <f t="shared" si="3562"/>
        <v>SIGIGUALES</v>
      </c>
      <c r="BL563" s="22" t="str">
        <f t="shared" si="3563"/>
        <v>NO CONFORME</v>
      </c>
    </row>
    <row r="564" spans="1:64" ht="15.75" thickBot="1" x14ac:dyDescent="0.3">
      <c r="A564" s="37">
        <v>556</v>
      </c>
      <c r="B564" s="93">
        <f t="shared" ref="B564:E564" si="3861">B563</f>
        <v>45919</v>
      </c>
      <c r="C564" s="93">
        <f t="shared" si="3861"/>
        <v>45919</v>
      </c>
      <c r="D564" s="94">
        <f t="shared" si="3861"/>
        <v>6</v>
      </c>
      <c r="E564" s="95">
        <f t="shared" si="3861"/>
        <v>15</v>
      </c>
      <c r="F564" s="46"/>
      <c r="G564" s="110"/>
      <c r="H564" s="97">
        <f t="shared" ref="H564:L564" si="3862">H563</f>
        <v>25.6</v>
      </c>
      <c r="I564" s="98">
        <f t="shared" si="3862"/>
        <v>0</v>
      </c>
      <c r="J564" s="99">
        <f t="shared" si="3862"/>
        <v>20.9</v>
      </c>
      <c r="K564" s="99">
        <f t="shared" si="3862"/>
        <v>7.883</v>
      </c>
      <c r="L564" s="99">
        <f t="shared" si="3862"/>
        <v>0.55400000000000005</v>
      </c>
      <c r="M564" s="47"/>
      <c r="N564" s="47"/>
      <c r="O564" s="100">
        <f t="shared" ref="O564:P564" si="3863">O563</f>
        <v>100.62</v>
      </c>
      <c r="P564" s="101" t="str">
        <f t="shared" si="3863"/>
        <v>2,29,560</v>
      </c>
      <c r="Q564" s="11" t="str">
        <f t="shared" si="3452"/>
        <v>2</v>
      </c>
      <c r="R564" s="11" t="str">
        <f t="shared" si="3453"/>
        <v>29,560</v>
      </c>
      <c r="S564" s="11">
        <f t="shared" si="3454"/>
        <v>4.1544444444444446E-2</v>
      </c>
      <c r="T564" s="14">
        <f t="shared" si="3455"/>
        <v>2421.9844878309709</v>
      </c>
      <c r="U564" s="39">
        <f t="shared" si="3544"/>
        <v>-100</v>
      </c>
      <c r="V564" s="105">
        <f t="shared" ref="V564:X564" si="3864">V563</f>
        <v>20.399999999999999</v>
      </c>
      <c r="W564" s="105">
        <f t="shared" si="3864"/>
        <v>1.5069999999999999</v>
      </c>
      <c r="X564" s="106">
        <f t="shared" si="3864"/>
        <v>1.504</v>
      </c>
      <c r="Y564" s="47"/>
      <c r="Z564" s="47"/>
      <c r="AA564" s="107">
        <f t="shared" ref="AA564:AB564" si="3865">AA563</f>
        <v>10.015000000000001</v>
      </c>
      <c r="AB564" s="108" t="str">
        <f t="shared" si="3865"/>
        <v>22,10,090</v>
      </c>
      <c r="AC564" s="11" t="str">
        <f t="shared" si="3458"/>
        <v>22</v>
      </c>
      <c r="AD564" s="11" t="str">
        <f t="shared" si="3459"/>
        <v>10,090</v>
      </c>
      <c r="AE564" s="11">
        <f t="shared" si="3460"/>
        <v>0.36946944444444441</v>
      </c>
      <c r="AF564" s="14">
        <f t="shared" si="3547"/>
        <v>27.106436406558959</v>
      </c>
      <c r="AG564" s="41">
        <f t="shared" si="3475"/>
        <v>-100</v>
      </c>
      <c r="AH564" s="105">
        <f t="shared" ref="AH564:AJ564" si="3866">AH563</f>
        <v>20.3</v>
      </c>
      <c r="AI564" s="105">
        <f t="shared" si="3866"/>
        <v>1.5089999999999999</v>
      </c>
      <c r="AJ564" s="105">
        <f t="shared" si="3866"/>
        <v>1.504</v>
      </c>
      <c r="AK564" s="53">
        <f t="shared" si="3375"/>
        <v>0</v>
      </c>
      <c r="AL564" s="47"/>
      <c r="AM564" s="54">
        <f t="shared" ref="AM564:AN564" si="3867">AM563</f>
        <v>5.0129999999999999</v>
      </c>
      <c r="AN564" s="101" t="str">
        <f t="shared" si="3867"/>
        <v>17,59,050</v>
      </c>
      <c r="AO564" s="11" t="str">
        <f t="shared" si="3463"/>
        <v>17</v>
      </c>
      <c r="AP564" s="11" t="str">
        <f t="shared" si="3464"/>
        <v>59,050</v>
      </c>
      <c r="AQ564" s="11">
        <f t="shared" si="3465"/>
        <v>0.29973611111111109</v>
      </c>
      <c r="AR564" s="14">
        <f t="shared" si="3550"/>
        <v>16.724711551827998</v>
      </c>
      <c r="AS564" s="41">
        <f t="shared" si="3551"/>
        <v>-100</v>
      </c>
      <c r="AT564" s="43" t="str">
        <f t="shared" si="3552"/>
        <v>NO CONFORME</v>
      </c>
      <c r="AU564" s="8" t="b">
        <f t="shared" si="3571"/>
        <v>1</v>
      </c>
      <c r="AV564" s="8" t="b">
        <f t="shared" si="3466"/>
        <v>0</v>
      </c>
      <c r="AW564" s="8" t="b">
        <f t="shared" si="3467"/>
        <v>1</v>
      </c>
      <c r="AX564" s="8" t="str">
        <f t="shared" si="3468"/>
        <v>Qcorrecto</v>
      </c>
      <c r="AY564" s="22" t="str">
        <f t="shared" si="3553"/>
        <v>aceptable</v>
      </c>
      <c r="AZ564" s="22" t="str">
        <f t="shared" si="3554"/>
        <v>aceptable</v>
      </c>
      <c r="BA564" s="22" t="str">
        <f t="shared" si="3469"/>
        <v>aceptable</v>
      </c>
      <c r="BB564" s="25" t="str">
        <f t="shared" si="3572"/>
        <v>NO CONFORME</v>
      </c>
      <c r="BC564" s="5" t="str">
        <f t="shared" si="3573"/>
        <v>NO CONFORME</v>
      </c>
      <c r="BD564" s="15">
        <f t="shared" si="3555"/>
        <v>-1</v>
      </c>
      <c r="BE564" s="15">
        <f t="shared" si="3556"/>
        <v>-1</v>
      </c>
      <c r="BF564" s="15">
        <f t="shared" si="3557"/>
        <v>-1</v>
      </c>
      <c r="BG564" s="15" t="str">
        <f t="shared" si="3558"/>
        <v>-1-1-1</v>
      </c>
      <c r="BH564" s="15" t="str">
        <f t="shared" si="3559"/>
        <v>SD</v>
      </c>
      <c r="BI564" s="15" t="str">
        <f t="shared" si="3560"/>
        <v>SI</v>
      </c>
      <c r="BJ564" s="15" t="b">
        <f t="shared" si="3561"/>
        <v>1</v>
      </c>
      <c r="BK564" s="15" t="str">
        <f t="shared" si="3562"/>
        <v>SIGIGUALES</v>
      </c>
      <c r="BL564" s="22" t="str">
        <f t="shared" si="3563"/>
        <v>NO CONFORME</v>
      </c>
    </row>
    <row r="565" spans="1:64" ht="15.75" thickBot="1" x14ac:dyDescent="0.3">
      <c r="A565" s="37">
        <v>557</v>
      </c>
      <c r="B565" s="93">
        <f t="shared" ref="B565:E565" si="3868">B564</f>
        <v>45919</v>
      </c>
      <c r="C565" s="93">
        <f t="shared" si="3868"/>
        <v>45919</v>
      </c>
      <c r="D565" s="94">
        <f t="shared" si="3868"/>
        <v>6</v>
      </c>
      <c r="E565" s="95">
        <f t="shared" si="3868"/>
        <v>15</v>
      </c>
      <c r="F565" s="13"/>
      <c r="G565" s="111"/>
      <c r="H565" s="97">
        <f t="shared" ref="H565:L565" si="3869">H564</f>
        <v>25.6</v>
      </c>
      <c r="I565" s="98">
        <f t="shared" si="3869"/>
        <v>0</v>
      </c>
      <c r="J565" s="99">
        <f t="shared" si="3869"/>
        <v>20.9</v>
      </c>
      <c r="K565" s="99">
        <f t="shared" si="3869"/>
        <v>7.883</v>
      </c>
      <c r="L565" s="99">
        <f t="shared" si="3869"/>
        <v>0.55400000000000005</v>
      </c>
      <c r="M565" s="45"/>
      <c r="N565" s="45"/>
      <c r="O565" s="100">
        <f t="shared" ref="O565:P565" si="3870">O564</f>
        <v>100.62</v>
      </c>
      <c r="P565" s="101" t="str">
        <f t="shared" si="3870"/>
        <v>2,29,560</v>
      </c>
      <c r="Q565" s="11" t="str">
        <f t="shared" si="3452"/>
        <v>2</v>
      </c>
      <c r="R565" s="11" t="str">
        <f t="shared" si="3453"/>
        <v>29,560</v>
      </c>
      <c r="S565" s="11">
        <f t="shared" si="3454"/>
        <v>4.1544444444444446E-2</v>
      </c>
      <c r="T565" s="14">
        <f t="shared" si="3455"/>
        <v>2421.9844878309709</v>
      </c>
      <c r="U565" s="39">
        <f t="shared" si="3544"/>
        <v>-100</v>
      </c>
      <c r="V565" s="105">
        <f t="shared" ref="V565:X565" si="3871">V564</f>
        <v>20.399999999999999</v>
      </c>
      <c r="W565" s="105">
        <f t="shared" si="3871"/>
        <v>1.5069999999999999</v>
      </c>
      <c r="X565" s="106">
        <f t="shared" si="3871"/>
        <v>1.504</v>
      </c>
      <c r="Y565" s="45"/>
      <c r="Z565" s="45"/>
      <c r="AA565" s="107">
        <f t="shared" ref="AA565:AB565" si="3872">AA564</f>
        <v>10.015000000000001</v>
      </c>
      <c r="AB565" s="108" t="str">
        <f t="shared" si="3872"/>
        <v>22,10,090</v>
      </c>
      <c r="AC565" s="11" t="str">
        <f t="shared" si="3458"/>
        <v>22</v>
      </c>
      <c r="AD565" s="11" t="str">
        <f t="shared" si="3459"/>
        <v>10,090</v>
      </c>
      <c r="AE565" s="11">
        <f t="shared" si="3460"/>
        <v>0.36946944444444441</v>
      </c>
      <c r="AF565" s="14">
        <f t="shared" si="3547"/>
        <v>27.106436406558959</v>
      </c>
      <c r="AG565" s="41">
        <f t="shared" si="3475"/>
        <v>-100</v>
      </c>
      <c r="AH565" s="105">
        <f t="shared" ref="AH565:AJ565" si="3873">AH564</f>
        <v>20.3</v>
      </c>
      <c r="AI565" s="105">
        <f t="shared" si="3873"/>
        <v>1.5089999999999999</v>
      </c>
      <c r="AJ565" s="105">
        <f t="shared" si="3873"/>
        <v>1.504</v>
      </c>
      <c r="AK565" s="53">
        <f t="shared" ref="AK565:AK628" si="3874">Z565</f>
        <v>0</v>
      </c>
      <c r="AL565" s="45"/>
      <c r="AM565" s="54">
        <f t="shared" ref="AM565:AN565" si="3875">AM564</f>
        <v>5.0129999999999999</v>
      </c>
      <c r="AN565" s="101" t="str">
        <f t="shared" si="3875"/>
        <v>17,59,050</v>
      </c>
      <c r="AO565" s="11" t="str">
        <f t="shared" si="3463"/>
        <v>17</v>
      </c>
      <c r="AP565" s="11" t="str">
        <f t="shared" si="3464"/>
        <v>59,050</v>
      </c>
      <c r="AQ565" s="11">
        <f t="shared" si="3465"/>
        <v>0.29973611111111109</v>
      </c>
      <c r="AR565" s="14">
        <f t="shared" si="3550"/>
        <v>16.724711551827998</v>
      </c>
      <c r="AS565" s="41">
        <f t="shared" si="3551"/>
        <v>-100</v>
      </c>
      <c r="AT565" s="43" t="str">
        <f t="shared" si="3552"/>
        <v>NO CONFORME</v>
      </c>
      <c r="AU565" s="8" t="b">
        <f t="shared" si="3571"/>
        <v>1</v>
      </c>
      <c r="AV565" s="8" t="b">
        <f t="shared" si="3466"/>
        <v>0</v>
      </c>
      <c r="AW565" s="8" t="b">
        <f t="shared" si="3467"/>
        <v>1</v>
      </c>
      <c r="AX565" s="8" t="str">
        <f t="shared" si="3468"/>
        <v>Qcorrecto</v>
      </c>
      <c r="AY565" s="22" t="str">
        <f t="shared" si="3553"/>
        <v>aceptable</v>
      </c>
      <c r="AZ565" s="22" t="str">
        <f t="shared" si="3554"/>
        <v>aceptable</v>
      </c>
      <c r="BA565" s="22" t="str">
        <f t="shared" si="3469"/>
        <v>aceptable</v>
      </c>
      <c r="BB565" s="25" t="str">
        <f t="shared" si="3572"/>
        <v>NO CONFORME</v>
      </c>
      <c r="BC565" s="5" t="str">
        <f t="shared" si="3573"/>
        <v>NO CONFORME</v>
      </c>
      <c r="BD565" s="15">
        <f t="shared" si="3555"/>
        <v>-1</v>
      </c>
      <c r="BE565" s="15">
        <f t="shared" si="3556"/>
        <v>-1</v>
      </c>
      <c r="BF565" s="15">
        <f t="shared" si="3557"/>
        <v>-1</v>
      </c>
      <c r="BG565" s="15" t="str">
        <f t="shared" si="3558"/>
        <v>-1-1-1</v>
      </c>
      <c r="BH565" s="15" t="str">
        <f t="shared" si="3559"/>
        <v>SD</v>
      </c>
      <c r="BI565" s="15" t="str">
        <f t="shared" si="3560"/>
        <v>SI</v>
      </c>
      <c r="BJ565" s="15" t="b">
        <f t="shared" si="3561"/>
        <v>1</v>
      </c>
      <c r="BK565" s="15" t="str">
        <f t="shared" si="3562"/>
        <v>SIGIGUALES</v>
      </c>
      <c r="BL565" s="22" t="str">
        <f t="shared" si="3563"/>
        <v>NO CONFORME</v>
      </c>
    </row>
    <row r="566" spans="1:64" ht="15.75" thickBot="1" x14ac:dyDescent="0.3">
      <c r="A566" s="37">
        <v>558</v>
      </c>
      <c r="B566" s="93">
        <f t="shared" ref="B566:E566" si="3876">B565</f>
        <v>45919</v>
      </c>
      <c r="C566" s="93">
        <f t="shared" si="3876"/>
        <v>45919</v>
      </c>
      <c r="D566" s="94">
        <f t="shared" si="3876"/>
        <v>6</v>
      </c>
      <c r="E566" s="95">
        <f t="shared" si="3876"/>
        <v>15</v>
      </c>
      <c r="F566" s="13"/>
      <c r="G566" s="111"/>
      <c r="H566" s="97">
        <f t="shared" ref="H566:L566" si="3877">H565</f>
        <v>25.6</v>
      </c>
      <c r="I566" s="98">
        <f t="shared" si="3877"/>
        <v>0</v>
      </c>
      <c r="J566" s="99">
        <f t="shared" si="3877"/>
        <v>20.9</v>
      </c>
      <c r="K566" s="99">
        <f t="shared" si="3877"/>
        <v>7.883</v>
      </c>
      <c r="L566" s="99">
        <f t="shared" si="3877"/>
        <v>0.55400000000000005</v>
      </c>
      <c r="M566" s="45"/>
      <c r="N566" s="45"/>
      <c r="O566" s="100">
        <f t="shared" ref="O566:P566" si="3878">O565</f>
        <v>100.62</v>
      </c>
      <c r="P566" s="101" t="str">
        <f t="shared" si="3878"/>
        <v>2,29,560</v>
      </c>
      <c r="Q566" s="11" t="str">
        <f t="shared" si="3452"/>
        <v>2</v>
      </c>
      <c r="R566" s="11" t="str">
        <f t="shared" si="3453"/>
        <v>29,560</v>
      </c>
      <c r="S566" s="11">
        <f t="shared" si="3454"/>
        <v>4.1544444444444446E-2</v>
      </c>
      <c r="T566" s="14">
        <f t="shared" si="3455"/>
        <v>2421.9844878309709</v>
      </c>
      <c r="U566" s="39">
        <f t="shared" si="3544"/>
        <v>-100</v>
      </c>
      <c r="V566" s="105">
        <f t="shared" ref="V566:X566" si="3879">V565</f>
        <v>20.399999999999999</v>
      </c>
      <c r="W566" s="105">
        <f t="shared" si="3879"/>
        <v>1.5069999999999999</v>
      </c>
      <c r="X566" s="106">
        <f t="shared" si="3879"/>
        <v>1.504</v>
      </c>
      <c r="Y566" s="45"/>
      <c r="Z566" s="45"/>
      <c r="AA566" s="107">
        <f t="shared" ref="AA566:AB566" si="3880">AA565</f>
        <v>10.015000000000001</v>
      </c>
      <c r="AB566" s="108" t="str">
        <f t="shared" si="3880"/>
        <v>22,10,090</v>
      </c>
      <c r="AC566" s="11" t="str">
        <f t="shared" si="3458"/>
        <v>22</v>
      </c>
      <c r="AD566" s="11" t="str">
        <f t="shared" si="3459"/>
        <v>10,090</v>
      </c>
      <c r="AE566" s="11">
        <f t="shared" si="3460"/>
        <v>0.36946944444444441</v>
      </c>
      <c r="AF566" s="14">
        <f t="shared" si="3547"/>
        <v>27.106436406558959</v>
      </c>
      <c r="AG566" s="41">
        <f t="shared" si="3475"/>
        <v>-100</v>
      </c>
      <c r="AH566" s="105">
        <f t="shared" ref="AH566:AJ566" si="3881">AH565</f>
        <v>20.3</v>
      </c>
      <c r="AI566" s="105">
        <f t="shared" si="3881"/>
        <v>1.5089999999999999</v>
      </c>
      <c r="AJ566" s="105">
        <f t="shared" si="3881"/>
        <v>1.504</v>
      </c>
      <c r="AK566" s="53">
        <f t="shared" si="3874"/>
        <v>0</v>
      </c>
      <c r="AL566" s="45"/>
      <c r="AM566" s="54">
        <f t="shared" ref="AM566:AN566" si="3882">AM565</f>
        <v>5.0129999999999999</v>
      </c>
      <c r="AN566" s="101" t="str">
        <f t="shared" si="3882"/>
        <v>17,59,050</v>
      </c>
      <c r="AO566" s="11" t="str">
        <f t="shared" si="3463"/>
        <v>17</v>
      </c>
      <c r="AP566" s="11" t="str">
        <f t="shared" si="3464"/>
        <v>59,050</v>
      </c>
      <c r="AQ566" s="11">
        <f t="shared" si="3465"/>
        <v>0.29973611111111109</v>
      </c>
      <c r="AR566" s="14">
        <f t="shared" si="3550"/>
        <v>16.724711551827998</v>
      </c>
      <c r="AS566" s="41">
        <f t="shared" si="3551"/>
        <v>-100</v>
      </c>
      <c r="AT566" s="43" t="str">
        <f t="shared" si="3552"/>
        <v>NO CONFORME</v>
      </c>
      <c r="AU566" s="8" t="b">
        <f t="shared" si="3571"/>
        <v>1</v>
      </c>
      <c r="AV566" s="8" t="b">
        <f t="shared" si="3466"/>
        <v>0</v>
      </c>
      <c r="AW566" s="8" t="b">
        <f t="shared" si="3467"/>
        <v>1</v>
      </c>
      <c r="AX566" s="8" t="str">
        <f t="shared" si="3468"/>
        <v>Qcorrecto</v>
      </c>
      <c r="AY566" s="22" t="str">
        <f t="shared" si="3553"/>
        <v>aceptable</v>
      </c>
      <c r="AZ566" s="22" t="str">
        <f t="shared" si="3554"/>
        <v>aceptable</v>
      </c>
      <c r="BA566" s="22" t="str">
        <f t="shared" si="3469"/>
        <v>aceptable</v>
      </c>
      <c r="BB566" s="25" t="str">
        <f t="shared" si="3572"/>
        <v>NO CONFORME</v>
      </c>
      <c r="BC566" s="5" t="str">
        <f t="shared" si="3573"/>
        <v>NO CONFORME</v>
      </c>
      <c r="BD566" s="15">
        <f t="shared" si="3555"/>
        <v>-1</v>
      </c>
      <c r="BE566" s="15">
        <f t="shared" si="3556"/>
        <v>-1</v>
      </c>
      <c r="BF566" s="15">
        <f t="shared" si="3557"/>
        <v>-1</v>
      </c>
      <c r="BG566" s="15" t="str">
        <f t="shared" si="3558"/>
        <v>-1-1-1</v>
      </c>
      <c r="BH566" s="15" t="str">
        <f t="shared" si="3559"/>
        <v>SD</v>
      </c>
      <c r="BI566" s="15" t="str">
        <f t="shared" si="3560"/>
        <v>SI</v>
      </c>
      <c r="BJ566" s="15" t="b">
        <f t="shared" si="3561"/>
        <v>1</v>
      </c>
      <c r="BK566" s="15" t="str">
        <f t="shared" si="3562"/>
        <v>SIGIGUALES</v>
      </c>
      <c r="BL566" s="22" t="str">
        <f t="shared" si="3563"/>
        <v>NO CONFORME</v>
      </c>
    </row>
    <row r="567" spans="1:64" ht="15.75" thickBot="1" x14ac:dyDescent="0.3">
      <c r="A567" s="37">
        <v>559</v>
      </c>
      <c r="B567" s="93">
        <f t="shared" ref="B567:E567" si="3883">B566</f>
        <v>45919</v>
      </c>
      <c r="C567" s="93">
        <f t="shared" si="3883"/>
        <v>45919</v>
      </c>
      <c r="D567" s="94">
        <f t="shared" si="3883"/>
        <v>6</v>
      </c>
      <c r="E567" s="95">
        <f t="shared" si="3883"/>
        <v>15</v>
      </c>
      <c r="F567" s="13"/>
      <c r="G567" s="111"/>
      <c r="H567" s="97">
        <f t="shared" ref="H567:L567" si="3884">H566</f>
        <v>25.6</v>
      </c>
      <c r="I567" s="98">
        <f t="shared" si="3884"/>
        <v>0</v>
      </c>
      <c r="J567" s="99">
        <f t="shared" si="3884"/>
        <v>20.9</v>
      </c>
      <c r="K567" s="99">
        <f t="shared" si="3884"/>
        <v>7.883</v>
      </c>
      <c r="L567" s="99">
        <f t="shared" si="3884"/>
        <v>0.55400000000000005</v>
      </c>
      <c r="M567" s="45"/>
      <c r="N567" s="45"/>
      <c r="O567" s="100">
        <f t="shared" ref="O567:P567" si="3885">O566</f>
        <v>100.62</v>
      </c>
      <c r="P567" s="101" t="str">
        <f t="shared" si="3885"/>
        <v>2,29,560</v>
      </c>
      <c r="Q567" s="11" t="str">
        <f t="shared" si="3452"/>
        <v>2</v>
      </c>
      <c r="R567" s="11" t="str">
        <f t="shared" si="3453"/>
        <v>29,560</v>
      </c>
      <c r="S567" s="11">
        <f t="shared" si="3454"/>
        <v>4.1544444444444446E-2</v>
      </c>
      <c r="T567" s="14">
        <f t="shared" si="3455"/>
        <v>2421.9844878309709</v>
      </c>
      <c r="U567" s="39">
        <f t="shared" si="3544"/>
        <v>-100</v>
      </c>
      <c r="V567" s="105">
        <f t="shared" ref="V567:X567" si="3886">V566</f>
        <v>20.399999999999999</v>
      </c>
      <c r="W567" s="105">
        <f t="shared" si="3886"/>
        <v>1.5069999999999999</v>
      </c>
      <c r="X567" s="106">
        <f t="shared" si="3886"/>
        <v>1.504</v>
      </c>
      <c r="Y567" s="45"/>
      <c r="Z567" s="45"/>
      <c r="AA567" s="107">
        <f t="shared" ref="AA567:AB567" si="3887">AA566</f>
        <v>10.015000000000001</v>
      </c>
      <c r="AB567" s="108" t="str">
        <f t="shared" si="3887"/>
        <v>22,10,090</v>
      </c>
      <c r="AC567" s="11" t="str">
        <f t="shared" si="3458"/>
        <v>22</v>
      </c>
      <c r="AD567" s="11" t="str">
        <f t="shared" si="3459"/>
        <v>10,090</v>
      </c>
      <c r="AE567" s="11">
        <f t="shared" si="3460"/>
        <v>0.36946944444444441</v>
      </c>
      <c r="AF567" s="14">
        <f t="shared" si="3547"/>
        <v>27.106436406558959</v>
      </c>
      <c r="AG567" s="41">
        <f t="shared" si="3475"/>
        <v>-100</v>
      </c>
      <c r="AH567" s="105">
        <f t="shared" ref="AH567:AJ567" si="3888">AH566</f>
        <v>20.3</v>
      </c>
      <c r="AI567" s="105">
        <f t="shared" si="3888"/>
        <v>1.5089999999999999</v>
      </c>
      <c r="AJ567" s="105">
        <f t="shared" si="3888"/>
        <v>1.504</v>
      </c>
      <c r="AK567" s="53">
        <f t="shared" si="3874"/>
        <v>0</v>
      </c>
      <c r="AL567" s="45"/>
      <c r="AM567" s="54">
        <f t="shared" ref="AM567:AN567" si="3889">AM566</f>
        <v>5.0129999999999999</v>
      </c>
      <c r="AN567" s="101" t="str">
        <f t="shared" si="3889"/>
        <v>17,59,050</v>
      </c>
      <c r="AO567" s="11" t="str">
        <f t="shared" si="3463"/>
        <v>17</v>
      </c>
      <c r="AP567" s="11" t="str">
        <f t="shared" si="3464"/>
        <v>59,050</v>
      </c>
      <c r="AQ567" s="11">
        <f t="shared" si="3465"/>
        <v>0.29973611111111109</v>
      </c>
      <c r="AR567" s="14">
        <f t="shared" si="3550"/>
        <v>16.724711551827998</v>
      </c>
      <c r="AS567" s="41">
        <f t="shared" si="3551"/>
        <v>-100</v>
      </c>
      <c r="AT567" s="43" t="str">
        <f t="shared" si="3552"/>
        <v>NO CONFORME</v>
      </c>
      <c r="AU567" s="8" t="b">
        <f t="shared" si="3571"/>
        <v>1</v>
      </c>
      <c r="AV567" s="8" t="b">
        <f t="shared" si="3466"/>
        <v>0</v>
      </c>
      <c r="AW567" s="8" t="b">
        <f t="shared" si="3467"/>
        <v>1</v>
      </c>
      <c r="AX567" s="8" t="str">
        <f t="shared" si="3468"/>
        <v>Qcorrecto</v>
      </c>
      <c r="AY567" s="22" t="str">
        <f t="shared" si="3553"/>
        <v>aceptable</v>
      </c>
      <c r="AZ567" s="22" t="str">
        <f t="shared" si="3554"/>
        <v>aceptable</v>
      </c>
      <c r="BA567" s="22" t="str">
        <f t="shared" si="3469"/>
        <v>aceptable</v>
      </c>
      <c r="BB567" s="25" t="str">
        <f t="shared" si="3572"/>
        <v>NO CONFORME</v>
      </c>
      <c r="BC567" s="5" t="str">
        <f t="shared" si="3573"/>
        <v>NO CONFORME</v>
      </c>
      <c r="BD567" s="15">
        <f t="shared" si="3555"/>
        <v>-1</v>
      </c>
      <c r="BE567" s="15">
        <f t="shared" si="3556"/>
        <v>-1</v>
      </c>
      <c r="BF567" s="15">
        <f t="shared" si="3557"/>
        <v>-1</v>
      </c>
      <c r="BG567" s="15" t="str">
        <f t="shared" si="3558"/>
        <v>-1-1-1</v>
      </c>
      <c r="BH567" s="15" t="str">
        <f t="shared" si="3559"/>
        <v>SD</v>
      </c>
      <c r="BI567" s="15" t="str">
        <f t="shared" si="3560"/>
        <v>SI</v>
      </c>
      <c r="BJ567" s="15" t="b">
        <f t="shared" si="3561"/>
        <v>1</v>
      </c>
      <c r="BK567" s="15" t="str">
        <f t="shared" si="3562"/>
        <v>SIGIGUALES</v>
      </c>
      <c r="BL567" s="22" t="str">
        <f t="shared" si="3563"/>
        <v>NO CONFORME</v>
      </c>
    </row>
    <row r="568" spans="1:64" ht="15.75" thickBot="1" x14ac:dyDescent="0.3">
      <c r="A568" s="37">
        <v>560</v>
      </c>
      <c r="B568" s="93">
        <f t="shared" ref="B568:E568" si="3890">B567</f>
        <v>45919</v>
      </c>
      <c r="C568" s="93">
        <f t="shared" si="3890"/>
        <v>45919</v>
      </c>
      <c r="D568" s="94">
        <f t="shared" si="3890"/>
        <v>6</v>
      </c>
      <c r="E568" s="95">
        <f t="shared" si="3890"/>
        <v>15</v>
      </c>
      <c r="F568" s="13"/>
      <c r="G568" s="111"/>
      <c r="H568" s="97">
        <f t="shared" ref="H568:L568" si="3891">H567</f>
        <v>25.6</v>
      </c>
      <c r="I568" s="98">
        <f t="shared" si="3891"/>
        <v>0</v>
      </c>
      <c r="J568" s="99">
        <f t="shared" si="3891"/>
        <v>20.9</v>
      </c>
      <c r="K568" s="99">
        <f t="shared" si="3891"/>
        <v>7.883</v>
      </c>
      <c r="L568" s="99">
        <f t="shared" si="3891"/>
        <v>0.55400000000000005</v>
      </c>
      <c r="M568" s="45"/>
      <c r="N568" s="45"/>
      <c r="O568" s="100">
        <f t="shared" ref="O568:P568" si="3892">O567</f>
        <v>100.62</v>
      </c>
      <c r="P568" s="101" t="str">
        <f t="shared" si="3892"/>
        <v>2,29,560</v>
      </c>
      <c r="Q568" s="11" t="str">
        <f t="shared" si="3452"/>
        <v>2</v>
      </c>
      <c r="R568" s="11" t="str">
        <f t="shared" si="3453"/>
        <v>29,560</v>
      </c>
      <c r="S568" s="11">
        <f t="shared" si="3454"/>
        <v>4.1544444444444446E-2</v>
      </c>
      <c r="T568" s="14">
        <f t="shared" si="3455"/>
        <v>2421.9844878309709</v>
      </c>
      <c r="U568" s="39">
        <f t="shared" si="3544"/>
        <v>-100</v>
      </c>
      <c r="V568" s="105">
        <f t="shared" ref="V568:X568" si="3893">V567</f>
        <v>20.399999999999999</v>
      </c>
      <c r="W568" s="105">
        <f t="shared" si="3893"/>
        <v>1.5069999999999999</v>
      </c>
      <c r="X568" s="106">
        <f t="shared" si="3893"/>
        <v>1.504</v>
      </c>
      <c r="Y568" s="45"/>
      <c r="Z568" s="45"/>
      <c r="AA568" s="107">
        <f t="shared" ref="AA568:AB568" si="3894">AA567</f>
        <v>10.015000000000001</v>
      </c>
      <c r="AB568" s="108" t="str">
        <f t="shared" si="3894"/>
        <v>22,10,090</v>
      </c>
      <c r="AC568" s="11" t="str">
        <f t="shared" si="3458"/>
        <v>22</v>
      </c>
      <c r="AD568" s="11" t="str">
        <f t="shared" si="3459"/>
        <v>10,090</v>
      </c>
      <c r="AE568" s="11">
        <f t="shared" si="3460"/>
        <v>0.36946944444444441</v>
      </c>
      <c r="AF568" s="14">
        <f t="shared" si="3547"/>
        <v>27.106436406558959</v>
      </c>
      <c r="AG568" s="41">
        <f t="shared" si="3475"/>
        <v>-100</v>
      </c>
      <c r="AH568" s="105">
        <f t="shared" ref="AH568:AJ568" si="3895">AH567</f>
        <v>20.3</v>
      </c>
      <c r="AI568" s="105">
        <f t="shared" si="3895"/>
        <v>1.5089999999999999</v>
      </c>
      <c r="AJ568" s="105">
        <f t="shared" si="3895"/>
        <v>1.504</v>
      </c>
      <c r="AK568" s="53">
        <f t="shared" si="3874"/>
        <v>0</v>
      </c>
      <c r="AL568" s="45"/>
      <c r="AM568" s="54">
        <f t="shared" ref="AM568:AN568" si="3896">AM567</f>
        <v>5.0129999999999999</v>
      </c>
      <c r="AN568" s="101" t="str">
        <f t="shared" si="3896"/>
        <v>17,59,050</v>
      </c>
      <c r="AO568" s="11" t="str">
        <f t="shared" si="3463"/>
        <v>17</v>
      </c>
      <c r="AP568" s="11" t="str">
        <f t="shared" si="3464"/>
        <v>59,050</v>
      </c>
      <c r="AQ568" s="11">
        <f t="shared" si="3465"/>
        <v>0.29973611111111109</v>
      </c>
      <c r="AR568" s="14">
        <f t="shared" si="3550"/>
        <v>16.724711551827998</v>
      </c>
      <c r="AS568" s="41">
        <f t="shared" si="3551"/>
        <v>-100</v>
      </c>
      <c r="AT568" s="43" t="str">
        <f t="shared" si="3552"/>
        <v>NO CONFORME</v>
      </c>
      <c r="AU568" s="8" t="b">
        <f t="shared" si="3571"/>
        <v>1</v>
      </c>
      <c r="AV568" s="8" t="b">
        <f t="shared" si="3466"/>
        <v>0</v>
      </c>
      <c r="AW568" s="8" t="b">
        <f t="shared" si="3467"/>
        <v>1</v>
      </c>
      <c r="AX568" s="8" t="str">
        <f t="shared" si="3468"/>
        <v>Qcorrecto</v>
      </c>
      <c r="AY568" s="22" t="str">
        <f t="shared" si="3553"/>
        <v>aceptable</v>
      </c>
      <c r="AZ568" s="22" t="str">
        <f t="shared" si="3554"/>
        <v>aceptable</v>
      </c>
      <c r="BA568" s="22" t="str">
        <f t="shared" si="3469"/>
        <v>aceptable</v>
      </c>
      <c r="BB568" s="25" t="str">
        <f t="shared" si="3572"/>
        <v>NO CONFORME</v>
      </c>
      <c r="BC568" s="5" t="str">
        <f t="shared" si="3573"/>
        <v>NO CONFORME</v>
      </c>
      <c r="BD568" s="15">
        <f t="shared" si="3555"/>
        <v>-1</v>
      </c>
      <c r="BE568" s="15">
        <f t="shared" si="3556"/>
        <v>-1</v>
      </c>
      <c r="BF568" s="15">
        <f t="shared" si="3557"/>
        <v>-1</v>
      </c>
      <c r="BG568" s="15" t="str">
        <f t="shared" si="3558"/>
        <v>-1-1-1</v>
      </c>
      <c r="BH568" s="15" t="str">
        <f t="shared" si="3559"/>
        <v>SD</v>
      </c>
      <c r="BI568" s="15" t="str">
        <f t="shared" si="3560"/>
        <v>SI</v>
      </c>
      <c r="BJ568" s="15" t="b">
        <f t="shared" si="3561"/>
        <v>1</v>
      </c>
      <c r="BK568" s="15" t="str">
        <f t="shared" si="3562"/>
        <v>SIGIGUALES</v>
      </c>
      <c r="BL568" s="22" t="str">
        <f t="shared" si="3563"/>
        <v>NO CONFORME</v>
      </c>
    </row>
    <row r="569" spans="1:64" ht="15.75" thickBot="1" x14ac:dyDescent="0.3">
      <c r="A569" s="37">
        <v>561</v>
      </c>
      <c r="B569" s="93">
        <f t="shared" ref="B569:E569" si="3897">B568</f>
        <v>45919</v>
      </c>
      <c r="C569" s="93">
        <f t="shared" si="3897"/>
        <v>45919</v>
      </c>
      <c r="D569" s="94">
        <f t="shared" si="3897"/>
        <v>6</v>
      </c>
      <c r="E569" s="95">
        <f t="shared" si="3897"/>
        <v>15</v>
      </c>
      <c r="F569" s="13"/>
      <c r="G569" s="111"/>
      <c r="H569" s="97">
        <f t="shared" ref="H569:L569" si="3898">H568</f>
        <v>25.6</v>
      </c>
      <c r="I569" s="98">
        <f t="shared" si="3898"/>
        <v>0</v>
      </c>
      <c r="J569" s="99">
        <f t="shared" si="3898"/>
        <v>20.9</v>
      </c>
      <c r="K569" s="99">
        <f t="shared" si="3898"/>
        <v>7.883</v>
      </c>
      <c r="L569" s="99">
        <f t="shared" si="3898"/>
        <v>0.55400000000000005</v>
      </c>
      <c r="M569" s="45"/>
      <c r="N569" s="45"/>
      <c r="O569" s="100">
        <f t="shared" ref="O569:P569" si="3899">O568</f>
        <v>100.62</v>
      </c>
      <c r="P569" s="101" t="str">
        <f t="shared" si="3899"/>
        <v>2,29,560</v>
      </c>
      <c r="Q569" s="11" t="str">
        <f t="shared" si="3452"/>
        <v>2</v>
      </c>
      <c r="R569" s="11" t="str">
        <f t="shared" si="3453"/>
        <v>29,560</v>
      </c>
      <c r="S569" s="11">
        <f t="shared" si="3454"/>
        <v>4.1544444444444446E-2</v>
      </c>
      <c r="T569" s="14">
        <f t="shared" si="3455"/>
        <v>2421.9844878309709</v>
      </c>
      <c r="U569" s="39">
        <f t="shared" si="3544"/>
        <v>-100</v>
      </c>
      <c r="V569" s="105">
        <f t="shared" ref="V569:X569" si="3900">V568</f>
        <v>20.399999999999999</v>
      </c>
      <c r="W569" s="105">
        <f t="shared" si="3900"/>
        <v>1.5069999999999999</v>
      </c>
      <c r="X569" s="106">
        <f t="shared" si="3900"/>
        <v>1.504</v>
      </c>
      <c r="Y569" s="45"/>
      <c r="Z569" s="45"/>
      <c r="AA569" s="107">
        <f t="shared" ref="AA569:AB569" si="3901">AA568</f>
        <v>10.015000000000001</v>
      </c>
      <c r="AB569" s="108" t="str">
        <f t="shared" si="3901"/>
        <v>22,10,090</v>
      </c>
      <c r="AC569" s="11" t="str">
        <f t="shared" si="3458"/>
        <v>22</v>
      </c>
      <c r="AD569" s="11" t="str">
        <f t="shared" si="3459"/>
        <v>10,090</v>
      </c>
      <c r="AE569" s="11">
        <f t="shared" si="3460"/>
        <v>0.36946944444444441</v>
      </c>
      <c r="AF569" s="14">
        <f t="shared" si="3547"/>
        <v>27.106436406558959</v>
      </c>
      <c r="AG569" s="41">
        <f t="shared" si="3475"/>
        <v>-100</v>
      </c>
      <c r="AH569" s="105">
        <f t="shared" ref="AH569:AJ569" si="3902">AH568</f>
        <v>20.3</v>
      </c>
      <c r="AI569" s="105">
        <f t="shared" si="3902"/>
        <v>1.5089999999999999</v>
      </c>
      <c r="AJ569" s="105">
        <f t="shared" si="3902"/>
        <v>1.504</v>
      </c>
      <c r="AK569" s="53">
        <f t="shared" si="3874"/>
        <v>0</v>
      </c>
      <c r="AL569" s="45"/>
      <c r="AM569" s="54">
        <f t="shared" ref="AM569:AN569" si="3903">AM568</f>
        <v>5.0129999999999999</v>
      </c>
      <c r="AN569" s="101" t="str">
        <f t="shared" si="3903"/>
        <v>17,59,050</v>
      </c>
      <c r="AO569" s="11" t="str">
        <f t="shared" si="3463"/>
        <v>17</v>
      </c>
      <c r="AP569" s="11" t="str">
        <f t="shared" si="3464"/>
        <v>59,050</v>
      </c>
      <c r="AQ569" s="11">
        <f t="shared" si="3465"/>
        <v>0.29973611111111109</v>
      </c>
      <c r="AR569" s="14">
        <f t="shared" si="3550"/>
        <v>16.724711551827998</v>
      </c>
      <c r="AS569" s="41">
        <f t="shared" si="3551"/>
        <v>-100</v>
      </c>
      <c r="AT569" s="43" t="str">
        <f t="shared" si="3552"/>
        <v>NO CONFORME</v>
      </c>
      <c r="AU569" s="8" t="b">
        <f t="shared" si="3571"/>
        <v>1</v>
      </c>
      <c r="AV569" s="8" t="b">
        <f t="shared" si="3466"/>
        <v>0</v>
      </c>
      <c r="AW569" s="8" t="b">
        <f t="shared" si="3467"/>
        <v>1</v>
      </c>
      <c r="AX569" s="8" t="str">
        <f t="shared" si="3468"/>
        <v>Qcorrecto</v>
      </c>
      <c r="AY569" s="22" t="str">
        <f t="shared" si="3553"/>
        <v>aceptable</v>
      </c>
      <c r="AZ569" s="22" t="str">
        <f t="shared" si="3554"/>
        <v>aceptable</v>
      </c>
      <c r="BA569" s="22" t="str">
        <f t="shared" si="3469"/>
        <v>aceptable</v>
      </c>
      <c r="BB569" s="25" t="str">
        <f t="shared" si="3572"/>
        <v>NO CONFORME</v>
      </c>
      <c r="BC569" s="5" t="str">
        <f t="shared" si="3573"/>
        <v>NO CONFORME</v>
      </c>
      <c r="BD569" s="15">
        <f t="shared" si="3555"/>
        <v>-1</v>
      </c>
      <c r="BE569" s="15">
        <f t="shared" si="3556"/>
        <v>-1</v>
      </c>
      <c r="BF569" s="15">
        <f t="shared" si="3557"/>
        <v>-1</v>
      </c>
      <c r="BG569" s="15" t="str">
        <f t="shared" si="3558"/>
        <v>-1-1-1</v>
      </c>
      <c r="BH569" s="15" t="str">
        <f t="shared" si="3559"/>
        <v>SD</v>
      </c>
      <c r="BI569" s="15" t="str">
        <f t="shared" si="3560"/>
        <v>SI</v>
      </c>
      <c r="BJ569" s="15" t="b">
        <f t="shared" si="3561"/>
        <v>1</v>
      </c>
      <c r="BK569" s="15" t="str">
        <f t="shared" si="3562"/>
        <v>SIGIGUALES</v>
      </c>
      <c r="BL569" s="22" t="str">
        <f t="shared" si="3563"/>
        <v>NO CONFORME</v>
      </c>
    </row>
    <row r="570" spans="1:64" ht="15.75" thickBot="1" x14ac:dyDescent="0.3">
      <c r="A570" s="37">
        <v>562</v>
      </c>
      <c r="B570" s="93">
        <f t="shared" ref="B570:E570" si="3904">B569</f>
        <v>45919</v>
      </c>
      <c r="C570" s="93">
        <f t="shared" si="3904"/>
        <v>45919</v>
      </c>
      <c r="D570" s="94">
        <f t="shared" si="3904"/>
        <v>6</v>
      </c>
      <c r="E570" s="95">
        <f t="shared" si="3904"/>
        <v>15</v>
      </c>
      <c r="F570" s="13"/>
      <c r="G570" s="111"/>
      <c r="H570" s="97">
        <f t="shared" ref="H570:L570" si="3905">H569</f>
        <v>25.6</v>
      </c>
      <c r="I570" s="98">
        <f t="shared" si="3905"/>
        <v>0</v>
      </c>
      <c r="J570" s="99">
        <f t="shared" si="3905"/>
        <v>20.9</v>
      </c>
      <c r="K570" s="99">
        <f t="shared" si="3905"/>
        <v>7.883</v>
      </c>
      <c r="L570" s="99">
        <f t="shared" si="3905"/>
        <v>0.55400000000000005</v>
      </c>
      <c r="M570" s="45"/>
      <c r="N570" s="45"/>
      <c r="O570" s="100">
        <f t="shared" ref="O570:P570" si="3906">O569</f>
        <v>100.62</v>
      </c>
      <c r="P570" s="101" t="str">
        <f t="shared" si="3906"/>
        <v>2,29,560</v>
      </c>
      <c r="Q570" s="11" t="str">
        <f t="shared" si="3452"/>
        <v>2</v>
      </c>
      <c r="R570" s="11" t="str">
        <f t="shared" si="3453"/>
        <v>29,560</v>
      </c>
      <c r="S570" s="11">
        <f t="shared" si="3454"/>
        <v>4.1544444444444446E-2</v>
      </c>
      <c r="T570" s="14">
        <f t="shared" si="3455"/>
        <v>2421.9844878309709</v>
      </c>
      <c r="U570" s="39">
        <f t="shared" si="3544"/>
        <v>-100</v>
      </c>
      <c r="V570" s="105">
        <f t="shared" ref="V570:X570" si="3907">V569</f>
        <v>20.399999999999999</v>
      </c>
      <c r="W570" s="105">
        <f t="shared" si="3907"/>
        <v>1.5069999999999999</v>
      </c>
      <c r="X570" s="106">
        <f t="shared" si="3907"/>
        <v>1.504</v>
      </c>
      <c r="Y570" s="45"/>
      <c r="Z570" s="45"/>
      <c r="AA570" s="107">
        <f t="shared" ref="AA570:AB570" si="3908">AA569</f>
        <v>10.015000000000001</v>
      </c>
      <c r="AB570" s="108" t="str">
        <f t="shared" si="3908"/>
        <v>22,10,090</v>
      </c>
      <c r="AC570" s="11" t="str">
        <f t="shared" si="3458"/>
        <v>22</v>
      </c>
      <c r="AD570" s="11" t="str">
        <f t="shared" si="3459"/>
        <v>10,090</v>
      </c>
      <c r="AE570" s="11">
        <f t="shared" si="3460"/>
        <v>0.36946944444444441</v>
      </c>
      <c r="AF570" s="14">
        <f t="shared" si="3547"/>
        <v>27.106436406558959</v>
      </c>
      <c r="AG570" s="41">
        <f t="shared" si="3475"/>
        <v>-100</v>
      </c>
      <c r="AH570" s="105">
        <f t="shared" ref="AH570:AJ570" si="3909">AH569</f>
        <v>20.3</v>
      </c>
      <c r="AI570" s="105">
        <f t="shared" si="3909"/>
        <v>1.5089999999999999</v>
      </c>
      <c r="AJ570" s="105">
        <f t="shared" si="3909"/>
        <v>1.504</v>
      </c>
      <c r="AK570" s="53">
        <f t="shared" si="3874"/>
        <v>0</v>
      </c>
      <c r="AL570" s="45"/>
      <c r="AM570" s="54">
        <f t="shared" ref="AM570:AN570" si="3910">AM569</f>
        <v>5.0129999999999999</v>
      </c>
      <c r="AN570" s="101" t="str">
        <f t="shared" si="3910"/>
        <v>17,59,050</v>
      </c>
      <c r="AO570" s="11" t="str">
        <f t="shared" si="3463"/>
        <v>17</v>
      </c>
      <c r="AP570" s="11" t="str">
        <f t="shared" si="3464"/>
        <v>59,050</v>
      </c>
      <c r="AQ570" s="11">
        <f t="shared" si="3465"/>
        <v>0.29973611111111109</v>
      </c>
      <c r="AR570" s="14">
        <f t="shared" si="3550"/>
        <v>16.724711551827998</v>
      </c>
      <c r="AS570" s="41">
        <f t="shared" si="3551"/>
        <v>-100</v>
      </c>
      <c r="AT570" s="43" t="str">
        <f t="shared" si="3552"/>
        <v>NO CONFORME</v>
      </c>
      <c r="AU570" s="8" t="b">
        <f t="shared" si="3571"/>
        <v>1</v>
      </c>
      <c r="AV570" s="8" t="b">
        <f t="shared" si="3466"/>
        <v>0</v>
      </c>
      <c r="AW570" s="8" t="b">
        <f t="shared" si="3467"/>
        <v>1</v>
      </c>
      <c r="AX570" s="8" t="str">
        <f t="shared" si="3468"/>
        <v>Qcorrecto</v>
      </c>
      <c r="AY570" s="22" t="str">
        <f t="shared" si="3553"/>
        <v>aceptable</v>
      </c>
      <c r="AZ570" s="22" t="str">
        <f t="shared" si="3554"/>
        <v>aceptable</v>
      </c>
      <c r="BA570" s="22" t="str">
        <f t="shared" si="3469"/>
        <v>aceptable</v>
      </c>
      <c r="BB570" s="25" t="str">
        <f t="shared" si="3572"/>
        <v>NO CONFORME</v>
      </c>
      <c r="BC570" s="5" t="str">
        <f t="shared" si="3573"/>
        <v>NO CONFORME</v>
      </c>
      <c r="BD570" s="15">
        <f t="shared" si="3555"/>
        <v>-1</v>
      </c>
      <c r="BE570" s="15">
        <f t="shared" si="3556"/>
        <v>-1</v>
      </c>
      <c r="BF570" s="15">
        <f t="shared" si="3557"/>
        <v>-1</v>
      </c>
      <c r="BG570" s="15" t="str">
        <f t="shared" si="3558"/>
        <v>-1-1-1</v>
      </c>
      <c r="BH570" s="15" t="str">
        <f t="shared" si="3559"/>
        <v>SD</v>
      </c>
      <c r="BI570" s="15" t="str">
        <f t="shared" si="3560"/>
        <v>SI</v>
      </c>
      <c r="BJ570" s="15" t="b">
        <f t="shared" si="3561"/>
        <v>1</v>
      </c>
      <c r="BK570" s="15" t="str">
        <f t="shared" si="3562"/>
        <v>SIGIGUALES</v>
      </c>
      <c r="BL570" s="22" t="str">
        <f t="shared" si="3563"/>
        <v>NO CONFORME</v>
      </c>
    </row>
    <row r="571" spans="1:64" ht="15.75" thickBot="1" x14ac:dyDescent="0.3">
      <c r="A571" s="37">
        <v>563</v>
      </c>
      <c r="B571" s="93">
        <f t="shared" ref="B571:E571" si="3911">B570</f>
        <v>45919</v>
      </c>
      <c r="C571" s="93">
        <f t="shared" si="3911"/>
        <v>45919</v>
      </c>
      <c r="D571" s="94">
        <f t="shared" si="3911"/>
        <v>6</v>
      </c>
      <c r="E571" s="95">
        <f t="shared" si="3911"/>
        <v>15</v>
      </c>
      <c r="F571" s="13"/>
      <c r="G571" s="111"/>
      <c r="H571" s="97">
        <f t="shared" ref="H571:L571" si="3912">H570</f>
        <v>25.6</v>
      </c>
      <c r="I571" s="98">
        <f t="shared" si="3912"/>
        <v>0</v>
      </c>
      <c r="J571" s="99">
        <f t="shared" si="3912"/>
        <v>20.9</v>
      </c>
      <c r="K571" s="99">
        <f t="shared" si="3912"/>
        <v>7.883</v>
      </c>
      <c r="L571" s="99">
        <f t="shared" si="3912"/>
        <v>0.55400000000000005</v>
      </c>
      <c r="M571" s="45"/>
      <c r="N571" s="45"/>
      <c r="O571" s="100">
        <f t="shared" ref="O571:P571" si="3913">O570</f>
        <v>100.62</v>
      </c>
      <c r="P571" s="101" t="str">
        <f t="shared" si="3913"/>
        <v>2,29,560</v>
      </c>
      <c r="Q571" s="11" t="str">
        <f t="shared" si="3452"/>
        <v>2</v>
      </c>
      <c r="R571" s="11" t="str">
        <f t="shared" si="3453"/>
        <v>29,560</v>
      </c>
      <c r="S571" s="11">
        <f t="shared" si="3454"/>
        <v>4.1544444444444446E-2</v>
      </c>
      <c r="T571" s="14">
        <f t="shared" si="3455"/>
        <v>2421.9844878309709</v>
      </c>
      <c r="U571" s="39">
        <f t="shared" si="3544"/>
        <v>-100</v>
      </c>
      <c r="V571" s="105">
        <f t="shared" ref="V571:X571" si="3914">V570</f>
        <v>20.399999999999999</v>
      </c>
      <c r="W571" s="105">
        <f t="shared" si="3914"/>
        <v>1.5069999999999999</v>
      </c>
      <c r="X571" s="106">
        <f t="shared" si="3914"/>
        <v>1.504</v>
      </c>
      <c r="Y571" s="45"/>
      <c r="Z571" s="45"/>
      <c r="AA571" s="107">
        <f t="shared" ref="AA571:AB571" si="3915">AA570</f>
        <v>10.015000000000001</v>
      </c>
      <c r="AB571" s="108" t="str">
        <f t="shared" si="3915"/>
        <v>22,10,090</v>
      </c>
      <c r="AC571" s="11" t="str">
        <f t="shared" si="3458"/>
        <v>22</v>
      </c>
      <c r="AD571" s="11" t="str">
        <f t="shared" si="3459"/>
        <v>10,090</v>
      </c>
      <c r="AE571" s="11">
        <f t="shared" si="3460"/>
        <v>0.36946944444444441</v>
      </c>
      <c r="AF571" s="14">
        <f t="shared" si="3547"/>
        <v>27.106436406558959</v>
      </c>
      <c r="AG571" s="41">
        <f t="shared" si="3475"/>
        <v>-100</v>
      </c>
      <c r="AH571" s="105">
        <f t="shared" ref="AH571:AJ571" si="3916">AH570</f>
        <v>20.3</v>
      </c>
      <c r="AI571" s="105">
        <f t="shared" si="3916"/>
        <v>1.5089999999999999</v>
      </c>
      <c r="AJ571" s="105">
        <f t="shared" si="3916"/>
        <v>1.504</v>
      </c>
      <c r="AK571" s="53">
        <f t="shared" si="3874"/>
        <v>0</v>
      </c>
      <c r="AL571" s="45"/>
      <c r="AM571" s="54">
        <f t="shared" ref="AM571:AN571" si="3917">AM570</f>
        <v>5.0129999999999999</v>
      </c>
      <c r="AN571" s="101" t="str">
        <f t="shared" si="3917"/>
        <v>17,59,050</v>
      </c>
      <c r="AO571" s="11" t="str">
        <f t="shared" si="3463"/>
        <v>17</v>
      </c>
      <c r="AP571" s="11" t="str">
        <f t="shared" si="3464"/>
        <v>59,050</v>
      </c>
      <c r="AQ571" s="11">
        <f t="shared" si="3465"/>
        <v>0.29973611111111109</v>
      </c>
      <c r="AR571" s="14">
        <f t="shared" si="3550"/>
        <v>16.724711551827998</v>
      </c>
      <c r="AS571" s="41">
        <f t="shared" si="3551"/>
        <v>-100</v>
      </c>
      <c r="AT571" s="43" t="str">
        <f t="shared" si="3552"/>
        <v>NO CONFORME</v>
      </c>
      <c r="AU571" s="8" t="b">
        <f t="shared" si="3571"/>
        <v>1</v>
      </c>
      <c r="AV571" s="8" t="b">
        <f t="shared" si="3466"/>
        <v>0</v>
      </c>
      <c r="AW571" s="8" t="b">
        <f t="shared" si="3467"/>
        <v>1</v>
      </c>
      <c r="AX571" s="8" t="str">
        <f t="shared" si="3468"/>
        <v>Qcorrecto</v>
      </c>
      <c r="AY571" s="22" t="str">
        <f t="shared" si="3553"/>
        <v>aceptable</v>
      </c>
      <c r="AZ571" s="22" t="str">
        <f t="shared" si="3554"/>
        <v>aceptable</v>
      </c>
      <c r="BA571" s="22" t="str">
        <f t="shared" si="3469"/>
        <v>aceptable</v>
      </c>
      <c r="BB571" s="25" t="str">
        <f t="shared" si="3572"/>
        <v>NO CONFORME</v>
      </c>
      <c r="BC571" s="5" t="str">
        <f t="shared" si="3573"/>
        <v>NO CONFORME</v>
      </c>
      <c r="BD571" s="15">
        <f t="shared" si="3555"/>
        <v>-1</v>
      </c>
      <c r="BE571" s="15">
        <f t="shared" si="3556"/>
        <v>-1</v>
      </c>
      <c r="BF571" s="15">
        <f t="shared" si="3557"/>
        <v>-1</v>
      </c>
      <c r="BG571" s="15" t="str">
        <f t="shared" si="3558"/>
        <v>-1-1-1</v>
      </c>
      <c r="BH571" s="15" t="str">
        <f t="shared" si="3559"/>
        <v>SD</v>
      </c>
      <c r="BI571" s="15" t="str">
        <f t="shared" si="3560"/>
        <v>SI</v>
      </c>
      <c r="BJ571" s="15" t="b">
        <f t="shared" si="3561"/>
        <v>1</v>
      </c>
      <c r="BK571" s="15" t="str">
        <f t="shared" si="3562"/>
        <v>SIGIGUALES</v>
      </c>
      <c r="BL571" s="22" t="str">
        <f t="shared" si="3563"/>
        <v>NO CONFORME</v>
      </c>
    </row>
    <row r="572" spans="1:64" ht="15.75" thickBot="1" x14ac:dyDescent="0.3">
      <c r="A572" s="37">
        <v>564</v>
      </c>
      <c r="B572" s="93">
        <f t="shared" ref="B572:E572" si="3918">B571</f>
        <v>45919</v>
      </c>
      <c r="C572" s="93">
        <f t="shared" si="3918"/>
        <v>45919</v>
      </c>
      <c r="D572" s="94">
        <f t="shared" si="3918"/>
        <v>6</v>
      </c>
      <c r="E572" s="95">
        <f t="shared" si="3918"/>
        <v>15</v>
      </c>
      <c r="F572" s="13"/>
      <c r="G572" s="111"/>
      <c r="H572" s="97">
        <f t="shared" ref="H572:L572" si="3919">H571</f>
        <v>25.6</v>
      </c>
      <c r="I572" s="98">
        <f t="shared" si="3919"/>
        <v>0</v>
      </c>
      <c r="J572" s="99">
        <f t="shared" si="3919"/>
        <v>20.9</v>
      </c>
      <c r="K572" s="99">
        <f t="shared" si="3919"/>
        <v>7.883</v>
      </c>
      <c r="L572" s="99">
        <f t="shared" si="3919"/>
        <v>0.55400000000000005</v>
      </c>
      <c r="M572" s="45"/>
      <c r="N572" s="45"/>
      <c r="O572" s="100">
        <f t="shared" ref="O572:P572" si="3920">O571</f>
        <v>100.62</v>
      </c>
      <c r="P572" s="101" t="str">
        <f t="shared" si="3920"/>
        <v>2,29,560</v>
      </c>
      <c r="Q572" s="11" t="str">
        <f t="shared" si="3452"/>
        <v>2</v>
      </c>
      <c r="R572" s="11" t="str">
        <f t="shared" si="3453"/>
        <v>29,560</v>
      </c>
      <c r="S572" s="11">
        <f t="shared" si="3454"/>
        <v>4.1544444444444446E-2</v>
      </c>
      <c r="T572" s="14">
        <f t="shared" si="3455"/>
        <v>2421.9844878309709</v>
      </c>
      <c r="U572" s="39">
        <f t="shared" si="3544"/>
        <v>-100</v>
      </c>
      <c r="V572" s="105">
        <f t="shared" ref="V572:X572" si="3921">V571</f>
        <v>20.399999999999999</v>
      </c>
      <c r="W572" s="105">
        <f t="shared" si="3921"/>
        <v>1.5069999999999999</v>
      </c>
      <c r="X572" s="106">
        <f t="shared" si="3921"/>
        <v>1.504</v>
      </c>
      <c r="Y572" s="45"/>
      <c r="Z572" s="45"/>
      <c r="AA572" s="107">
        <f t="shared" ref="AA572:AB572" si="3922">AA571</f>
        <v>10.015000000000001</v>
      </c>
      <c r="AB572" s="108" t="str">
        <f t="shared" si="3922"/>
        <v>22,10,090</v>
      </c>
      <c r="AC572" s="11" t="str">
        <f t="shared" si="3458"/>
        <v>22</v>
      </c>
      <c r="AD572" s="11" t="str">
        <f t="shared" si="3459"/>
        <v>10,090</v>
      </c>
      <c r="AE572" s="11">
        <f t="shared" si="3460"/>
        <v>0.36946944444444441</v>
      </c>
      <c r="AF572" s="14">
        <f t="shared" si="3547"/>
        <v>27.106436406558959</v>
      </c>
      <c r="AG572" s="41">
        <f t="shared" si="3475"/>
        <v>-100</v>
      </c>
      <c r="AH572" s="105">
        <f t="shared" ref="AH572:AJ572" si="3923">AH571</f>
        <v>20.3</v>
      </c>
      <c r="AI572" s="105">
        <f t="shared" si="3923"/>
        <v>1.5089999999999999</v>
      </c>
      <c r="AJ572" s="105">
        <f t="shared" si="3923"/>
        <v>1.504</v>
      </c>
      <c r="AK572" s="53">
        <f t="shared" si="3874"/>
        <v>0</v>
      </c>
      <c r="AL572" s="45"/>
      <c r="AM572" s="54">
        <f t="shared" ref="AM572:AN572" si="3924">AM571</f>
        <v>5.0129999999999999</v>
      </c>
      <c r="AN572" s="101" t="str">
        <f t="shared" si="3924"/>
        <v>17,59,050</v>
      </c>
      <c r="AO572" s="11" t="str">
        <f t="shared" si="3463"/>
        <v>17</v>
      </c>
      <c r="AP572" s="11" t="str">
        <f t="shared" si="3464"/>
        <v>59,050</v>
      </c>
      <c r="AQ572" s="11">
        <f t="shared" si="3465"/>
        <v>0.29973611111111109</v>
      </c>
      <c r="AR572" s="14">
        <f t="shared" si="3550"/>
        <v>16.724711551827998</v>
      </c>
      <c r="AS572" s="41">
        <f t="shared" si="3551"/>
        <v>-100</v>
      </c>
      <c r="AT572" s="43" t="str">
        <f t="shared" si="3552"/>
        <v>NO CONFORME</v>
      </c>
      <c r="AU572" s="8" t="b">
        <f t="shared" si="3571"/>
        <v>1</v>
      </c>
      <c r="AV572" s="8" t="b">
        <f t="shared" si="3466"/>
        <v>0</v>
      </c>
      <c r="AW572" s="8" t="b">
        <f t="shared" si="3467"/>
        <v>1</v>
      </c>
      <c r="AX572" s="8" t="str">
        <f t="shared" si="3468"/>
        <v>Qcorrecto</v>
      </c>
      <c r="AY572" s="22" t="str">
        <f t="shared" si="3553"/>
        <v>aceptable</v>
      </c>
      <c r="AZ572" s="22" t="str">
        <f t="shared" si="3554"/>
        <v>aceptable</v>
      </c>
      <c r="BA572" s="22" t="str">
        <f t="shared" si="3469"/>
        <v>aceptable</v>
      </c>
      <c r="BB572" s="25" t="str">
        <f t="shared" si="3572"/>
        <v>NO CONFORME</v>
      </c>
      <c r="BC572" s="5" t="str">
        <f t="shared" si="3573"/>
        <v>NO CONFORME</v>
      </c>
      <c r="BD572" s="15">
        <f t="shared" si="3555"/>
        <v>-1</v>
      </c>
      <c r="BE572" s="15">
        <f t="shared" si="3556"/>
        <v>-1</v>
      </c>
      <c r="BF572" s="15">
        <f t="shared" si="3557"/>
        <v>-1</v>
      </c>
      <c r="BG572" s="15" t="str">
        <f t="shared" si="3558"/>
        <v>-1-1-1</v>
      </c>
      <c r="BH572" s="15" t="str">
        <f t="shared" si="3559"/>
        <v>SD</v>
      </c>
      <c r="BI572" s="15" t="str">
        <f t="shared" si="3560"/>
        <v>SI</v>
      </c>
      <c r="BJ572" s="15" t="b">
        <f t="shared" si="3561"/>
        <v>1</v>
      </c>
      <c r="BK572" s="15" t="str">
        <f t="shared" si="3562"/>
        <v>SIGIGUALES</v>
      </c>
      <c r="BL572" s="22" t="str">
        <f t="shared" si="3563"/>
        <v>NO CONFORME</v>
      </c>
    </row>
    <row r="573" spans="1:64" ht="15.75" thickBot="1" x14ac:dyDescent="0.3">
      <c r="A573" s="37">
        <v>565</v>
      </c>
      <c r="B573" s="93">
        <f t="shared" ref="B573:E573" si="3925">B572</f>
        <v>45919</v>
      </c>
      <c r="C573" s="93">
        <f t="shared" si="3925"/>
        <v>45919</v>
      </c>
      <c r="D573" s="94">
        <f t="shared" si="3925"/>
        <v>6</v>
      </c>
      <c r="E573" s="95">
        <f t="shared" si="3925"/>
        <v>15</v>
      </c>
      <c r="F573" s="13"/>
      <c r="G573" s="111"/>
      <c r="H573" s="97">
        <f t="shared" ref="H573:L573" si="3926">H572</f>
        <v>25.6</v>
      </c>
      <c r="I573" s="98">
        <f t="shared" si="3926"/>
        <v>0</v>
      </c>
      <c r="J573" s="99">
        <f t="shared" si="3926"/>
        <v>20.9</v>
      </c>
      <c r="K573" s="99">
        <f t="shared" si="3926"/>
        <v>7.883</v>
      </c>
      <c r="L573" s="99">
        <f t="shared" si="3926"/>
        <v>0.55400000000000005</v>
      </c>
      <c r="M573" s="45"/>
      <c r="N573" s="45"/>
      <c r="O573" s="100">
        <f t="shared" ref="O573:P573" si="3927">O572</f>
        <v>100.62</v>
      </c>
      <c r="P573" s="101" t="str">
        <f t="shared" si="3927"/>
        <v>2,29,560</v>
      </c>
      <c r="Q573" s="11" t="str">
        <f t="shared" si="3452"/>
        <v>2</v>
      </c>
      <c r="R573" s="11" t="str">
        <f t="shared" si="3453"/>
        <v>29,560</v>
      </c>
      <c r="S573" s="11">
        <f t="shared" si="3454"/>
        <v>4.1544444444444446E-2</v>
      </c>
      <c r="T573" s="14">
        <f t="shared" si="3455"/>
        <v>2421.9844878309709</v>
      </c>
      <c r="U573" s="39">
        <f t="shared" si="3544"/>
        <v>-100</v>
      </c>
      <c r="V573" s="105">
        <f t="shared" ref="V573:X573" si="3928">V572</f>
        <v>20.399999999999999</v>
      </c>
      <c r="W573" s="105">
        <f t="shared" si="3928"/>
        <v>1.5069999999999999</v>
      </c>
      <c r="X573" s="106">
        <f t="shared" si="3928"/>
        <v>1.504</v>
      </c>
      <c r="Y573" s="45"/>
      <c r="Z573" s="45"/>
      <c r="AA573" s="107">
        <f t="shared" ref="AA573:AB573" si="3929">AA572</f>
        <v>10.015000000000001</v>
      </c>
      <c r="AB573" s="108" t="str">
        <f t="shared" si="3929"/>
        <v>22,10,090</v>
      </c>
      <c r="AC573" s="11" t="str">
        <f t="shared" si="3458"/>
        <v>22</v>
      </c>
      <c r="AD573" s="11" t="str">
        <f t="shared" si="3459"/>
        <v>10,090</v>
      </c>
      <c r="AE573" s="11">
        <f t="shared" si="3460"/>
        <v>0.36946944444444441</v>
      </c>
      <c r="AF573" s="14">
        <f t="shared" si="3547"/>
        <v>27.106436406558959</v>
      </c>
      <c r="AG573" s="41">
        <f t="shared" si="3475"/>
        <v>-100</v>
      </c>
      <c r="AH573" s="105">
        <f t="shared" ref="AH573:AJ573" si="3930">AH572</f>
        <v>20.3</v>
      </c>
      <c r="AI573" s="105">
        <f t="shared" si="3930"/>
        <v>1.5089999999999999</v>
      </c>
      <c r="AJ573" s="105">
        <f t="shared" si="3930"/>
        <v>1.504</v>
      </c>
      <c r="AK573" s="53">
        <f t="shared" si="3874"/>
        <v>0</v>
      </c>
      <c r="AL573" s="45"/>
      <c r="AM573" s="54">
        <f t="shared" ref="AM573:AN573" si="3931">AM572</f>
        <v>5.0129999999999999</v>
      </c>
      <c r="AN573" s="101" t="str">
        <f t="shared" si="3931"/>
        <v>17,59,050</v>
      </c>
      <c r="AO573" s="11" t="str">
        <f t="shared" si="3463"/>
        <v>17</v>
      </c>
      <c r="AP573" s="11" t="str">
        <f t="shared" si="3464"/>
        <v>59,050</v>
      </c>
      <c r="AQ573" s="11">
        <f t="shared" si="3465"/>
        <v>0.29973611111111109</v>
      </c>
      <c r="AR573" s="14">
        <f t="shared" si="3550"/>
        <v>16.724711551827998</v>
      </c>
      <c r="AS573" s="41">
        <f t="shared" si="3551"/>
        <v>-100</v>
      </c>
      <c r="AT573" s="43" t="str">
        <f t="shared" si="3552"/>
        <v>NO CONFORME</v>
      </c>
      <c r="AU573" s="8" t="b">
        <f t="shared" si="3571"/>
        <v>1</v>
      </c>
      <c r="AV573" s="8" t="b">
        <f t="shared" si="3466"/>
        <v>0</v>
      </c>
      <c r="AW573" s="8" t="b">
        <f t="shared" si="3467"/>
        <v>1</v>
      </c>
      <c r="AX573" s="8" t="str">
        <f t="shared" si="3468"/>
        <v>Qcorrecto</v>
      </c>
      <c r="AY573" s="22" t="str">
        <f t="shared" si="3553"/>
        <v>aceptable</v>
      </c>
      <c r="AZ573" s="22" t="str">
        <f t="shared" si="3554"/>
        <v>aceptable</v>
      </c>
      <c r="BA573" s="22" t="str">
        <f t="shared" si="3469"/>
        <v>aceptable</v>
      </c>
      <c r="BB573" s="25" t="str">
        <f t="shared" si="3572"/>
        <v>NO CONFORME</v>
      </c>
      <c r="BC573" s="5" t="str">
        <f t="shared" si="3573"/>
        <v>NO CONFORME</v>
      </c>
      <c r="BD573" s="15">
        <f t="shared" si="3555"/>
        <v>-1</v>
      </c>
      <c r="BE573" s="15">
        <f t="shared" si="3556"/>
        <v>-1</v>
      </c>
      <c r="BF573" s="15">
        <f t="shared" si="3557"/>
        <v>-1</v>
      </c>
      <c r="BG573" s="15" t="str">
        <f t="shared" si="3558"/>
        <v>-1-1-1</v>
      </c>
      <c r="BH573" s="15" t="str">
        <f t="shared" si="3559"/>
        <v>SD</v>
      </c>
      <c r="BI573" s="15" t="str">
        <f t="shared" si="3560"/>
        <v>SI</v>
      </c>
      <c r="BJ573" s="15" t="b">
        <f t="shared" si="3561"/>
        <v>1</v>
      </c>
      <c r="BK573" s="15" t="str">
        <f t="shared" si="3562"/>
        <v>SIGIGUALES</v>
      </c>
      <c r="BL573" s="22" t="str">
        <f t="shared" si="3563"/>
        <v>NO CONFORME</v>
      </c>
    </row>
    <row r="574" spans="1:64" ht="15.75" thickBot="1" x14ac:dyDescent="0.3">
      <c r="A574" s="37">
        <v>566</v>
      </c>
      <c r="B574" s="93">
        <f t="shared" ref="B574:E574" si="3932">B573</f>
        <v>45919</v>
      </c>
      <c r="C574" s="93">
        <f t="shared" si="3932"/>
        <v>45919</v>
      </c>
      <c r="D574" s="94">
        <f t="shared" si="3932"/>
        <v>6</v>
      </c>
      <c r="E574" s="95">
        <f t="shared" si="3932"/>
        <v>15</v>
      </c>
      <c r="F574" s="13"/>
      <c r="G574" s="111"/>
      <c r="H574" s="97">
        <f t="shared" ref="H574:L574" si="3933">H573</f>
        <v>25.6</v>
      </c>
      <c r="I574" s="98">
        <f t="shared" si="3933"/>
        <v>0</v>
      </c>
      <c r="J574" s="99">
        <f t="shared" si="3933"/>
        <v>20.9</v>
      </c>
      <c r="K574" s="99">
        <f t="shared" si="3933"/>
        <v>7.883</v>
      </c>
      <c r="L574" s="99">
        <f t="shared" si="3933"/>
        <v>0.55400000000000005</v>
      </c>
      <c r="M574" s="45"/>
      <c r="N574" s="45"/>
      <c r="O574" s="100">
        <f t="shared" ref="O574:P574" si="3934">O573</f>
        <v>100.62</v>
      </c>
      <c r="P574" s="101" t="str">
        <f t="shared" si="3934"/>
        <v>2,29,560</v>
      </c>
      <c r="Q574" s="11" t="str">
        <f t="shared" ref="Q574:Q637" si="3935">LEFT(P574,1)</f>
        <v>2</v>
      </c>
      <c r="R574" s="11" t="str">
        <f t="shared" ref="R574:R637" si="3936">RIGHT(P574,6)</f>
        <v>29,560</v>
      </c>
      <c r="S574" s="11">
        <f t="shared" ref="S574:S637" si="3937">+(Q574*60+R574)/(60*60)</f>
        <v>4.1544444444444446E-2</v>
      </c>
      <c r="T574" s="14">
        <f t="shared" ref="T574:T637" si="3938">+O574/S574</f>
        <v>2421.9844878309709</v>
      </c>
      <c r="U574" s="39">
        <f t="shared" si="3544"/>
        <v>-100</v>
      </c>
      <c r="V574" s="105">
        <f t="shared" ref="V574:X574" si="3939">V573</f>
        <v>20.399999999999999</v>
      </c>
      <c r="W574" s="105">
        <f t="shared" si="3939"/>
        <v>1.5069999999999999</v>
      </c>
      <c r="X574" s="106">
        <f t="shared" si="3939"/>
        <v>1.504</v>
      </c>
      <c r="Y574" s="45"/>
      <c r="Z574" s="45"/>
      <c r="AA574" s="107">
        <f t="shared" ref="AA574:AB574" si="3940">AA573</f>
        <v>10.015000000000001</v>
      </c>
      <c r="AB574" s="108" t="str">
        <f t="shared" si="3940"/>
        <v>22,10,090</v>
      </c>
      <c r="AC574" s="11" t="str">
        <f t="shared" ref="AC574:AC637" si="3941">LEFT(AB574,2)</f>
        <v>22</v>
      </c>
      <c r="AD574" s="11" t="str">
        <f t="shared" ref="AD574:AD637" si="3942">RIGHT(AB574,6)</f>
        <v>10,090</v>
      </c>
      <c r="AE574" s="11">
        <f t="shared" ref="AE574:AE637" si="3943">+(AC574*60+AD574)/(60*60)</f>
        <v>0.36946944444444441</v>
      </c>
      <c r="AF574" s="14">
        <f t="shared" si="3547"/>
        <v>27.106436406558959</v>
      </c>
      <c r="AG574" s="41">
        <f t="shared" si="3475"/>
        <v>-100</v>
      </c>
      <c r="AH574" s="105">
        <f t="shared" ref="AH574:AJ574" si="3944">AH573</f>
        <v>20.3</v>
      </c>
      <c r="AI574" s="105">
        <f t="shared" si="3944"/>
        <v>1.5089999999999999</v>
      </c>
      <c r="AJ574" s="105">
        <f t="shared" si="3944"/>
        <v>1.504</v>
      </c>
      <c r="AK574" s="53">
        <f t="shared" si="3874"/>
        <v>0</v>
      </c>
      <c r="AL574" s="45"/>
      <c r="AM574" s="54">
        <f t="shared" ref="AM574:AN574" si="3945">AM573</f>
        <v>5.0129999999999999</v>
      </c>
      <c r="AN574" s="101" t="str">
        <f t="shared" si="3945"/>
        <v>17,59,050</v>
      </c>
      <c r="AO574" s="11" t="str">
        <f t="shared" ref="AO574:AO637" si="3946">LEFT(AN574,2)</f>
        <v>17</v>
      </c>
      <c r="AP574" s="11" t="str">
        <f t="shared" ref="AP574:AP637" si="3947">RIGHT(AN574,6)</f>
        <v>59,050</v>
      </c>
      <c r="AQ574" s="11">
        <f t="shared" ref="AQ574:AQ637" si="3948">+(AO574*60+AP574)/(60*60)</f>
        <v>0.29973611111111109</v>
      </c>
      <c r="AR574" s="14">
        <f t="shared" si="3550"/>
        <v>16.724711551827998</v>
      </c>
      <c r="AS574" s="41">
        <f t="shared" si="3551"/>
        <v>-100</v>
      </c>
      <c r="AT574" s="43" t="str">
        <f t="shared" si="3552"/>
        <v>NO CONFORME</v>
      </c>
      <c r="AU574" s="8" t="b">
        <f t="shared" si="3571"/>
        <v>1</v>
      </c>
      <c r="AV574" s="8" t="b">
        <f t="shared" ref="AV574:AV637" si="3949">N574&lt;Y574</f>
        <v>0</v>
      </c>
      <c r="AW574" s="8" t="b">
        <f t="shared" ref="AW574:AW637" si="3950">Z574&lt;=AK574</f>
        <v>1</v>
      </c>
      <c r="AX574" s="8" t="str">
        <f t="shared" ref="AX574:AX637" si="3951">IF(I574&gt;=1,"Qcorrecto",IF(AND(AY574="aceptable",AZ574="aceptable",BA574="aceptable"),"Qcorrecto","Qincorrecto"))</f>
        <v>Qcorrecto</v>
      </c>
      <c r="AY574" s="22" t="str">
        <f t="shared" si="3553"/>
        <v>aceptable</v>
      </c>
      <c r="AZ574" s="22" t="str">
        <f t="shared" si="3554"/>
        <v>aceptable</v>
      </c>
      <c r="BA574" s="22" t="str">
        <f t="shared" ref="BA574:BA637" si="3952">IF(T574&lt;$J$6*0.9,"error",IF(T574&gt;$J$6,"error","aceptable"))</f>
        <v>aceptable</v>
      </c>
      <c r="BB574" s="25" t="str">
        <f t="shared" si="3572"/>
        <v>NO CONFORME</v>
      </c>
      <c r="BC574" s="5" t="str">
        <f t="shared" si="3573"/>
        <v>NO CONFORME</v>
      </c>
      <c r="BD574" s="15">
        <f t="shared" si="3555"/>
        <v>-1</v>
      </c>
      <c r="BE574" s="15">
        <f t="shared" si="3556"/>
        <v>-1</v>
      </c>
      <c r="BF574" s="15">
        <f t="shared" si="3557"/>
        <v>-1</v>
      </c>
      <c r="BG574" s="15" t="str">
        <f t="shared" si="3558"/>
        <v>-1-1-1</v>
      </c>
      <c r="BH574" s="15" t="str">
        <f t="shared" si="3559"/>
        <v>SD</v>
      </c>
      <c r="BI574" s="15" t="str">
        <f t="shared" si="3560"/>
        <v>SI</v>
      </c>
      <c r="BJ574" s="15" t="b">
        <f t="shared" si="3561"/>
        <v>1</v>
      </c>
      <c r="BK574" s="15" t="str">
        <f t="shared" si="3562"/>
        <v>SIGIGUALES</v>
      </c>
      <c r="BL574" s="22" t="str">
        <f t="shared" si="3563"/>
        <v>NO CONFORME</v>
      </c>
    </row>
    <row r="575" spans="1:64" ht="15.75" thickBot="1" x14ac:dyDescent="0.3">
      <c r="A575" s="37">
        <v>567</v>
      </c>
      <c r="B575" s="93">
        <f t="shared" ref="B575:E575" si="3953">B574</f>
        <v>45919</v>
      </c>
      <c r="C575" s="93">
        <f t="shared" si="3953"/>
        <v>45919</v>
      </c>
      <c r="D575" s="94">
        <f t="shared" si="3953"/>
        <v>6</v>
      </c>
      <c r="E575" s="95">
        <f t="shared" si="3953"/>
        <v>15</v>
      </c>
      <c r="F575" s="13"/>
      <c r="G575" s="111"/>
      <c r="H575" s="97">
        <f t="shared" ref="H575:L575" si="3954">H574</f>
        <v>25.6</v>
      </c>
      <c r="I575" s="98">
        <f t="shared" si="3954"/>
        <v>0</v>
      </c>
      <c r="J575" s="99">
        <f t="shared" si="3954"/>
        <v>20.9</v>
      </c>
      <c r="K575" s="99">
        <f t="shared" si="3954"/>
        <v>7.883</v>
      </c>
      <c r="L575" s="99">
        <f t="shared" si="3954"/>
        <v>0.55400000000000005</v>
      </c>
      <c r="M575" s="45"/>
      <c r="N575" s="45"/>
      <c r="O575" s="100">
        <f t="shared" ref="O575:P575" si="3955">O574</f>
        <v>100.62</v>
      </c>
      <c r="P575" s="101" t="str">
        <f t="shared" si="3955"/>
        <v>2,29,560</v>
      </c>
      <c r="Q575" s="11" t="str">
        <f t="shared" si="3935"/>
        <v>2</v>
      </c>
      <c r="R575" s="11" t="str">
        <f t="shared" si="3936"/>
        <v>29,560</v>
      </c>
      <c r="S575" s="11">
        <f t="shared" si="3937"/>
        <v>4.1544444444444446E-2</v>
      </c>
      <c r="T575" s="14">
        <f t="shared" si="3938"/>
        <v>2421.9844878309709</v>
      </c>
      <c r="U575" s="39">
        <f t="shared" si="3544"/>
        <v>-100</v>
      </c>
      <c r="V575" s="105">
        <f t="shared" ref="V575:X575" si="3956">V574</f>
        <v>20.399999999999999</v>
      </c>
      <c r="W575" s="105">
        <f t="shared" si="3956"/>
        <v>1.5069999999999999</v>
      </c>
      <c r="X575" s="106">
        <f t="shared" si="3956"/>
        <v>1.504</v>
      </c>
      <c r="Y575" s="45"/>
      <c r="Z575" s="45"/>
      <c r="AA575" s="107">
        <f t="shared" ref="AA575:AB575" si="3957">AA574</f>
        <v>10.015000000000001</v>
      </c>
      <c r="AB575" s="108" t="str">
        <f t="shared" si="3957"/>
        <v>22,10,090</v>
      </c>
      <c r="AC575" s="11" t="str">
        <f t="shared" si="3941"/>
        <v>22</v>
      </c>
      <c r="AD575" s="11" t="str">
        <f t="shared" si="3942"/>
        <v>10,090</v>
      </c>
      <c r="AE575" s="11">
        <f t="shared" si="3943"/>
        <v>0.36946944444444441</v>
      </c>
      <c r="AF575" s="14">
        <f t="shared" si="3547"/>
        <v>27.106436406558959</v>
      </c>
      <c r="AG575" s="41">
        <f t="shared" ref="AG575:AG638" si="3958">+(((Z575-Y575-AA575)/AA575)*100)</f>
        <v>-100</v>
      </c>
      <c r="AH575" s="105">
        <f t="shared" ref="AH575:AJ575" si="3959">AH574</f>
        <v>20.3</v>
      </c>
      <c r="AI575" s="105">
        <f t="shared" si="3959"/>
        <v>1.5089999999999999</v>
      </c>
      <c r="AJ575" s="105">
        <f t="shared" si="3959"/>
        <v>1.504</v>
      </c>
      <c r="AK575" s="53">
        <f t="shared" si="3874"/>
        <v>0</v>
      </c>
      <c r="AL575" s="45"/>
      <c r="AM575" s="54">
        <f t="shared" ref="AM575:AN575" si="3960">AM574</f>
        <v>5.0129999999999999</v>
      </c>
      <c r="AN575" s="101" t="str">
        <f t="shared" si="3960"/>
        <v>17,59,050</v>
      </c>
      <c r="AO575" s="11" t="str">
        <f t="shared" si="3946"/>
        <v>17</v>
      </c>
      <c r="AP575" s="11" t="str">
        <f t="shared" si="3947"/>
        <v>59,050</v>
      </c>
      <c r="AQ575" s="11">
        <f t="shared" si="3948"/>
        <v>0.29973611111111109</v>
      </c>
      <c r="AR575" s="14">
        <f t="shared" si="3550"/>
        <v>16.724711551827998</v>
      </c>
      <c r="AS575" s="41">
        <f t="shared" si="3551"/>
        <v>-100</v>
      </c>
      <c r="AT575" s="43" t="str">
        <f t="shared" si="3552"/>
        <v>NO CONFORME</v>
      </c>
      <c r="AU575" s="8" t="b">
        <f t="shared" si="3571"/>
        <v>1</v>
      </c>
      <c r="AV575" s="8" t="b">
        <f t="shared" si="3949"/>
        <v>0</v>
      </c>
      <c r="AW575" s="8" t="b">
        <f t="shared" si="3950"/>
        <v>1</v>
      </c>
      <c r="AX575" s="8" t="str">
        <f t="shared" si="3951"/>
        <v>Qcorrecto</v>
      </c>
      <c r="AY575" s="22" t="str">
        <f t="shared" si="3553"/>
        <v>aceptable</v>
      </c>
      <c r="AZ575" s="22" t="str">
        <f t="shared" si="3554"/>
        <v>aceptable</v>
      </c>
      <c r="BA575" s="22" t="str">
        <f t="shared" si="3952"/>
        <v>aceptable</v>
      </c>
      <c r="BB575" s="25" t="str">
        <f t="shared" si="3572"/>
        <v>NO CONFORME</v>
      </c>
      <c r="BC575" s="5" t="str">
        <f t="shared" si="3573"/>
        <v>NO CONFORME</v>
      </c>
      <c r="BD575" s="15">
        <f t="shared" si="3555"/>
        <v>-1</v>
      </c>
      <c r="BE575" s="15">
        <f t="shared" si="3556"/>
        <v>-1</v>
      </c>
      <c r="BF575" s="15">
        <f t="shared" si="3557"/>
        <v>-1</v>
      </c>
      <c r="BG575" s="15" t="str">
        <f t="shared" si="3558"/>
        <v>-1-1-1</v>
      </c>
      <c r="BH575" s="15" t="str">
        <f t="shared" si="3559"/>
        <v>SD</v>
      </c>
      <c r="BI575" s="15" t="str">
        <f t="shared" si="3560"/>
        <v>SI</v>
      </c>
      <c r="BJ575" s="15" t="b">
        <f t="shared" si="3561"/>
        <v>1</v>
      </c>
      <c r="BK575" s="15" t="str">
        <f t="shared" si="3562"/>
        <v>SIGIGUALES</v>
      </c>
      <c r="BL575" s="22" t="str">
        <f t="shared" si="3563"/>
        <v>NO CONFORME</v>
      </c>
    </row>
    <row r="576" spans="1:64" ht="15.75" thickBot="1" x14ac:dyDescent="0.3">
      <c r="A576" s="37">
        <v>568</v>
      </c>
      <c r="B576" s="93">
        <f t="shared" ref="B576:E576" si="3961">B575</f>
        <v>45919</v>
      </c>
      <c r="C576" s="93">
        <f t="shared" si="3961"/>
        <v>45919</v>
      </c>
      <c r="D576" s="94">
        <f t="shared" si="3961"/>
        <v>6</v>
      </c>
      <c r="E576" s="95">
        <f t="shared" si="3961"/>
        <v>15</v>
      </c>
      <c r="F576" s="13"/>
      <c r="G576" s="111"/>
      <c r="H576" s="97">
        <f t="shared" ref="H576:L576" si="3962">H575</f>
        <v>25.6</v>
      </c>
      <c r="I576" s="98">
        <f t="shared" si="3962"/>
        <v>0</v>
      </c>
      <c r="J576" s="99">
        <f t="shared" si="3962"/>
        <v>20.9</v>
      </c>
      <c r="K576" s="99">
        <f t="shared" si="3962"/>
        <v>7.883</v>
      </c>
      <c r="L576" s="99">
        <f t="shared" si="3962"/>
        <v>0.55400000000000005</v>
      </c>
      <c r="M576" s="45"/>
      <c r="N576" s="45"/>
      <c r="O576" s="100">
        <f t="shared" ref="O576:P576" si="3963">O575</f>
        <v>100.62</v>
      </c>
      <c r="P576" s="101" t="str">
        <f t="shared" si="3963"/>
        <v>2,29,560</v>
      </c>
      <c r="Q576" s="11" t="str">
        <f t="shared" si="3935"/>
        <v>2</v>
      </c>
      <c r="R576" s="11" t="str">
        <f t="shared" si="3936"/>
        <v>29,560</v>
      </c>
      <c r="S576" s="11">
        <f t="shared" si="3937"/>
        <v>4.1544444444444446E-2</v>
      </c>
      <c r="T576" s="14">
        <f t="shared" si="3938"/>
        <v>2421.9844878309709</v>
      </c>
      <c r="U576" s="39">
        <f t="shared" si="3544"/>
        <v>-100</v>
      </c>
      <c r="V576" s="105">
        <f t="shared" ref="V576:X576" si="3964">V575</f>
        <v>20.399999999999999</v>
      </c>
      <c r="W576" s="105">
        <f t="shared" si="3964"/>
        <v>1.5069999999999999</v>
      </c>
      <c r="X576" s="106">
        <f t="shared" si="3964"/>
        <v>1.504</v>
      </c>
      <c r="Y576" s="45"/>
      <c r="Z576" s="45"/>
      <c r="AA576" s="107">
        <f t="shared" ref="AA576:AB576" si="3965">AA575</f>
        <v>10.015000000000001</v>
      </c>
      <c r="AB576" s="108" t="str">
        <f t="shared" si="3965"/>
        <v>22,10,090</v>
      </c>
      <c r="AC576" s="11" t="str">
        <f t="shared" si="3941"/>
        <v>22</v>
      </c>
      <c r="AD576" s="11" t="str">
        <f t="shared" si="3942"/>
        <v>10,090</v>
      </c>
      <c r="AE576" s="11">
        <f t="shared" si="3943"/>
        <v>0.36946944444444441</v>
      </c>
      <c r="AF576" s="14">
        <f t="shared" si="3547"/>
        <v>27.106436406558959</v>
      </c>
      <c r="AG576" s="41">
        <f t="shared" si="3958"/>
        <v>-100</v>
      </c>
      <c r="AH576" s="105">
        <f t="shared" ref="AH576:AJ576" si="3966">AH575</f>
        <v>20.3</v>
      </c>
      <c r="AI576" s="105">
        <f t="shared" si="3966"/>
        <v>1.5089999999999999</v>
      </c>
      <c r="AJ576" s="105">
        <f t="shared" si="3966"/>
        <v>1.504</v>
      </c>
      <c r="AK576" s="53">
        <f t="shared" si="3874"/>
        <v>0</v>
      </c>
      <c r="AL576" s="45"/>
      <c r="AM576" s="54">
        <f t="shared" ref="AM576:AN576" si="3967">AM575</f>
        <v>5.0129999999999999</v>
      </c>
      <c r="AN576" s="101" t="str">
        <f t="shared" si="3967"/>
        <v>17,59,050</v>
      </c>
      <c r="AO576" s="11" t="str">
        <f t="shared" si="3946"/>
        <v>17</v>
      </c>
      <c r="AP576" s="11" t="str">
        <f t="shared" si="3947"/>
        <v>59,050</v>
      </c>
      <c r="AQ576" s="11">
        <f t="shared" si="3948"/>
        <v>0.29973611111111109</v>
      </c>
      <c r="AR576" s="14">
        <f t="shared" si="3550"/>
        <v>16.724711551827998</v>
      </c>
      <c r="AS576" s="41">
        <f t="shared" si="3551"/>
        <v>-100</v>
      </c>
      <c r="AT576" s="43" t="str">
        <f t="shared" si="3552"/>
        <v>NO CONFORME</v>
      </c>
      <c r="AU576" s="8" t="b">
        <f t="shared" si="3571"/>
        <v>1</v>
      </c>
      <c r="AV576" s="8" t="b">
        <f t="shared" si="3949"/>
        <v>0</v>
      </c>
      <c r="AW576" s="8" t="b">
        <f t="shared" si="3950"/>
        <v>1</v>
      </c>
      <c r="AX576" s="8" t="str">
        <f t="shared" si="3951"/>
        <v>Qcorrecto</v>
      </c>
      <c r="AY576" s="22" t="str">
        <f t="shared" si="3553"/>
        <v>aceptable</v>
      </c>
      <c r="AZ576" s="22" t="str">
        <f t="shared" si="3554"/>
        <v>aceptable</v>
      </c>
      <c r="BA576" s="22" t="str">
        <f t="shared" si="3952"/>
        <v>aceptable</v>
      </c>
      <c r="BB576" s="25" t="str">
        <f t="shared" si="3572"/>
        <v>NO CONFORME</v>
      </c>
      <c r="BC576" s="5" t="str">
        <f t="shared" si="3573"/>
        <v>NO CONFORME</v>
      </c>
      <c r="BD576" s="15">
        <f t="shared" si="3555"/>
        <v>-1</v>
      </c>
      <c r="BE576" s="15">
        <f t="shared" si="3556"/>
        <v>-1</v>
      </c>
      <c r="BF576" s="15">
        <f t="shared" si="3557"/>
        <v>-1</v>
      </c>
      <c r="BG576" s="15" t="str">
        <f t="shared" si="3558"/>
        <v>-1-1-1</v>
      </c>
      <c r="BH576" s="15" t="str">
        <f t="shared" si="3559"/>
        <v>SD</v>
      </c>
      <c r="BI576" s="15" t="str">
        <f t="shared" si="3560"/>
        <v>SI</v>
      </c>
      <c r="BJ576" s="15" t="b">
        <f t="shared" si="3561"/>
        <v>1</v>
      </c>
      <c r="BK576" s="15" t="str">
        <f t="shared" si="3562"/>
        <v>SIGIGUALES</v>
      </c>
      <c r="BL576" s="22" t="str">
        <f t="shared" si="3563"/>
        <v>NO CONFORME</v>
      </c>
    </row>
    <row r="577" spans="1:64" ht="15.75" thickBot="1" x14ac:dyDescent="0.3">
      <c r="A577" s="37">
        <v>569</v>
      </c>
      <c r="B577" s="93">
        <f t="shared" ref="B577:E577" si="3968">B576</f>
        <v>45919</v>
      </c>
      <c r="C577" s="93">
        <f t="shared" si="3968"/>
        <v>45919</v>
      </c>
      <c r="D577" s="94">
        <f t="shared" si="3968"/>
        <v>6</v>
      </c>
      <c r="E577" s="95">
        <f t="shared" si="3968"/>
        <v>15</v>
      </c>
      <c r="F577" s="13"/>
      <c r="G577" s="111"/>
      <c r="H577" s="97">
        <f t="shared" ref="H577:L577" si="3969">H576</f>
        <v>25.6</v>
      </c>
      <c r="I577" s="98">
        <f t="shared" si="3969"/>
        <v>0</v>
      </c>
      <c r="J577" s="99">
        <f t="shared" si="3969"/>
        <v>20.9</v>
      </c>
      <c r="K577" s="99">
        <f t="shared" si="3969"/>
        <v>7.883</v>
      </c>
      <c r="L577" s="99">
        <f t="shared" si="3969"/>
        <v>0.55400000000000005</v>
      </c>
      <c r="M577" s="45"/>
      <c r="N577" s="45"/>
      <c r="O577" s="100">
        <f t="shared" ref="O577:P577" si="3970">O576</f>
        <v>100.62</v>
      </c>
      <c r="P577" s="101" t="str">
        <f t="shared" si="3970"/>
        <v>2,29,560</v>
      </c>
      <c r="Q577" s="11" t="str">
        <f t="shared" si="3935"/>
        <v>2</v>
      </c>
      <c r="R577" s="11" t="str">
        <f t="shared" si="3936"/>
        <v>29,560</v>
      </c>
      <c r="S577" s="11">
        <f t="shared" si="3937"/>
        <v>4.1544444444444446E-2</v>
      </c>
      <c r="T577" s="14">
        <f t="shared" si="3938"/>
        <v>2421.9844878309709</v>
      </c>
      <c r="U577" s="39">
        <f t="shared" si="3544"/>
        <v>-100</v>
      </c>
      <c r="V577" s="105">
        <f t="shared" ref="V577:X577" si="3971">V576</f>
        <v>20.399999999999999</v>
      </c>
      <c r="W577" s="105">
        <f t="shared" si="3971"/>
        <v>1.5069999999999999</v>
      </c>
      <c r="X577" s="106">
        <f t="shared" si="3971"/>
        <v>1.504</v>
      </c>
      <c r="Y577" s="45"/>
      <c r="Z577" s="45"/>
      <c r="AA577" s="107">
        <f t="shared" ref="AA577:AB577" si="3972">AA576</f>
        <v>10.015000000000001</v>
      </c>
      <c r="AB577" s="108" t="str">
        <f t="shared" si="3972"/>
        <v>22,10,090</v>
      </c>
      <c r="AC577" s="11" t="str">
        <f t="shared" si="3941"/>
        <v>22</v>
      </c>
      <c r="AD577" s="11" t="str">
        <f t="shared" si="3942"/>
        <v>10,090</v>
      </c>
      <c r="AE577" s="11">
        <f t="shared" si="3943"/>
        <v>0.36946944444444441</v>
      </c>
      <c r="AF577" s="14">
        <f t="shared" si="3547"/>
        <v>27.106436406558959</v>
      </c>
      <c r="AG577" s="41">
        <f t="shared" si="3958"/>
        <v>-100</v>
      </c>
      <c r="AH577" s="105">
        <f t="shared" ref="AH577:AJ577" si="3973">AH576</f>
        <v>20.3</v>
      </c>
      <c r="AI577" s="105">
        <f t="shared" si="3973"/>
        <v>1.5089999999999999</v>
      </c>
      <c r="AJ577" s="105">
        <f t="shared" si="3973"/>
        <v>1.504</v>
      </c>
      <c r="AK577" s="53">
        <f t="shared" si="3874"/>
        <v>0</v>
      </c>
      <c r="AL577" s="45"/>
      <c r="AM577" s="54">
        <f t="shared" ref="AM577:AN577" si="3974">AM576</f>
        <v>5.0129999999999999</v>
      </c>
      <c r="AN577" s="101" t="str">
        <f t="shared" si="3974"/>
        <v>17,59,050</v>
      </c>
      <c r="AO577" s="11" t="str">
        <f t="shared" si="3946"/>
        <v>17</v>
      </c>
      <c r="AP577" s="11" t="str">
        <f t="shared" si="3947"/>
        <v>59,050</v>
      </c>
      <c r="AQ577" s="11">
        <f t="shared" si="3948"/>
        <v>0.29973611111111109</v>
      </c>
      <c r="AR577" s="14">
        <f t="shared" si="3550"/>
        <v>16.724711551827998</v>
      </c>
      <c r="AS577" s="41">
        <f t="shared" si="3551"/>
        <v>-100</v>
      </c>
      <c r="AT577" s="43" t="str">
        <f t="shared" si="3552"/>
        <v>NO CONFORME</v>
      </c>
      <c r="AU577" s="8" t="b">
        <f t="shared" si="3571"/>
        <v>1</v>
      </c>
      <c r="AV577" s="8" t="b">
        <f t="shared" si="3949"/>
        <v>0</v>
      </c>
      <c r="AW577" s="8" t="b">
        <f t="shared" si="3950"/>
        <v>1</v>
      </c>
      <c r="AX577" s="8" t="str">
        <f t="shared" si="3951"/>
        <v>Qcorrecto</v>
      </c>
      <c r="AY577" s="22" t="str">
        <f t="shared" si="3553"/>
        <v>aceptable</v>
      </c>
      <c r="AZ577" s="22" t="str">
        <f t="shared" si="3554"/>
        <v>aceptable</v>
      </c>
      <c r="BA577" s="22" t="str">
        <f t="shared" si="3952"/>
        <v>aceptable</v>
      </c>
      <c r="BB577" s="25" t="str">
        <f t="shared" si="3572"/>
        <v>NO CONFORME</v>
      </c>
      <c r="BC577" s="5" t="str">
        <f t="shared" si="3573"/>
        <v>NO CONFORME</v>
      </c>
      <c r="BD577" s="15">
        <f t="shared" si="3555"/>
        <v>-1</v>
      </c>
      <c r="BE577" s="15">
        <f t="shared" si="3556"/>
        <v>-1</v>
      </c>
      <c r="BF577" s="15">
        <f t="shared" si="3557"/>
        <v>-1</v>
      </c>
      <c r="BG577" s="15" t="str">
        <f t="shared" si="3558"/>
        <v>-1-1-1</v>
      </c>
      <c r="BH577" s="15" t="str">
        <f t="shared" si="3559"/>
        <v>SD</v>
      </c>
      <c r="BI577" s="15" t="str">
        <f t="shared" si="3560"/>
        <v>SI</v>
      </c>
      <c r="BJ577" s="15" t="b">
        <f t="shared" si="3561"/>
        <v>1</v>
      </c>
      <c r="BK577" s="15" t="str">
        <f t="shared" si="3562"/>
        <v>SIGIGUALES</v>
      </c>
      <c r="BL577" s="22" t="str">
        <f t="shared" si="3563"/>
        <v>NO CONFORME</v>
      </c>
    </row>
    <row r="578" spans="1:64" ht="15.75" thickBot="1" x14ac:dyDescent="0.3">
      <c r="A578" s="37">
        <v>570</v>
      </c>
      <c r="B578" s="93">
        <f t="shared" ref="B578:E578" si="3975">B577</f>
        <v>45919</v>
      </c>
      <c r="C578" s="93">
        <f t="shared" si="3975"/>
        <v>45919</v>
      </c>
      <c r="D578" s="94">
        <f t="shared" si="3975"/>
        <v>6</v>
      </c>
      <c r="E578" s="95">
        <f t="shared" si="3975"/>
        <v>15</v>
      </c>
      <c r="F578" s="52"/>
      <c r="G578" s="113"/>
      <c r="H578" s="97">
        <f t="shared" ref="H578:L578" si="3976">H577</f>
        <v>25.6</v>
      </c>
      <c r="I578" s="98">
        <f t="shared" si="3976"/>
        <v>0</v>
      </c>
      <c r="J578" s="99">
        <f t="shared" si="3976"/>
        <v>20.9</v>
      </c>
      <c r="K578" s="99">
        <f t="shared" si="3976"/>
        <v>7.883</v>
      </c>
      <c r="L578" s="99">
        <f t="shared" si="3976"/>
        <v>0.55400000000000005</v>
      </c>
      <c r="M578" s="53"/>
      <c r="N578" s="53"/>
      <c r="O578" s="100">
        <f t="shared" ref="O578:P578" si="3977">O577</f>
        <v>100.62</v>
      </c>
      <c r="P578" s="101" t="str">
        <f t="shared" si="3977"/>
        <v>2,29,560</v>
      </c>
      <c r="Q578" s="11" t="str">
        <f t="shared" si="3935"/>
        <v>2</v>
      </c>
      <c r="R578" s="11" t="str">
        <f t="shared" si="3936"/>
        <v>29,560</v>
      </c>
      <c r="S578" s="11">
        <f t="shared" si="3937"/>
        <v>4.1544444444444446E-2</v>
      </c>
      <c r="T578" s="14">
        <f t="shared" si="3938"/>
        <v>2421.9844878309709</v>
      </c>
      <c r="U578" s="39">
        <f t="shared" si="3544"/>
        <v>-100</v>
      </c>
      <c r="V578" s="105">
        <f t="shared" ref="V578:X578" si="3978">V577</f>
        <v>20.399999999999999</v>
      </c>
      <c r="W578" s="105">
        <f t="shared" si="3978"/>
        <v>1.5069999999999999</v>
      </c>
      <c r="X578" s="106">
        <f t="shared" si="3978"/>
        <v>1.504</v>
      </c>
      <c r="Y578" s="53"/>
      <c r="Z578" s="53"/>
      <c r="AA578" s="107">
        <f t="shared" ref="AA578:AB578" si="3979">AA577</f>
        <v>10.015000000000001</v>
      </c>
      <c r="AB578" s="108" t="str">
        <f t="shared" si="3979"/>
        <v>22,10,090</v>
      </c>
      <c r="AC578" s="11" t="str">
        <f t="shared" si="3941"/>
        <v>22</v>
      </c>
      <c r="AD578" s="11" t="str">
        <f t="shared" si="3942"/>
        <v>10,090</v>
      </c>
      <c r="AE578" s="11">
        <f t="shared" si="3943"/>
        <v>0.36946944444444441</v>
      </c>
      <c r="AF578" s="14">
        <f t="shared" si="3547"/>
        <v>27.106436406558959</v>
      </c>
      <c r="AG578" s="41">
        <f t="shared" si="3958"/>
        <v>-100</v>
      </c>
      <c r="AH578" s="105">
        <f t="shared" ref="AH578:AJ578" si="3980">AH577</f>
        <v>20.3</v>
      </c>
      <c r="AI578" s="105">
        <f t="shared" si="3980"/>
        <v>1.5089999999999999</v>
      </c>
      <c r="AJ578" s="105">
        <f t="shared" si="3980"/>
        <v>1.504</v>
      </c>
      <c r="AK578" s="53">
        <f t="shared" si="3874"/>
        <v>0</v>
      </c>
      <c r="AL578" s="53"/>
      <c r="AM578" s="54">
        <f t="shared" ref="AM578:AN578" si="3981">AM577</f>
        <v>5.0129999999999999</v>
      </c>
      <c r="AN578" s="101" t="str">
        <f t="shared" si="3981"/>
        <v>17,59,050</v>
      </c>
      <c r="AO578" s="11" t="str">
        <f t="shared" si="3946"/>
        <v>17</v>
      </c>
      <c r="AP578" s="11" t="str">
        <f t="shared" si="3947"/>
        <v>59,050</v>
      </c>
      <c r="AQ578" s="11">
        <f t="shared" si="3948"/>
        <v>0.29973611111111109</v>
      </c>
      <c r="AR578" s="14">
        <f t="shared" si="3550"/>
        <v>16.724711551827998</v>
      </c>
      <c r="AS578" s="41">
        <f t="shared" si="3551"/>
        <v>-100</v>
      </c>
      <c r="AT578" s="43" t="str">
        <f t="shared" si="3552"/>
        <v>NO CONFORME</v>
      </c>
      <c r="AU578" s="8" t="b">
        <f t="shared" si="3571"/>
        <v>1</v>
      </c>
      <c r="AV578" s="8" t="b">
        <f t="shared" si="3949"/>
        <v>0</v>
      </c>
      <c r="AW578" s="8" t="b">
        <f t="shared" si="3950"/>
        <v>1</v>
      </c>
      <c r="AX578" s="8" t="str">
        <f t="shared" si="3951"/>
        <v>Qcorrecto</v>
      </c>
      <c r="AY578" s="22" t="str">
        <f t="shared" si="3553"/>
        <v>aceptable</v>
      </c>
      <c r="AZ578" s="22" t="str">
        <f t="shared" si="3554"/>
        <v>aceptable</v>
      </c>
      <c r="BA578" s="22" t="str">
        <f t="shared" si="3952"/>
        <v>aceptable</v>
      </c>
      <c r="BB578" s="25" t="str">
        <f t="shared" si="3572"/>
        <v>NO CONFORME</v>
      </c>
      <c r="BC578" s="5" t="str">
        <f t="shared" si="3573"/>
        <v>NO CONFORME</v>
      </c>
      <c r="BD578" s="15">
        <f t="shared" si="3555"/>
        <v>-1</v>
      </c>
      <c r="BE578" s="15">
        <f t="shared" si="3556"/>
        <v>-1</v>
      </c>
      <c r="BF578" s="15">
        <f t="shared" si="3557"/>
        <v>-1</v>
      </c>
      <c r="BG578" s="15" t="str">
        <f t="shared" si="3558"/>
        <v>-1-1-1</v>
      </c>
      <c r="BH578" s="15" t="str">
        <f t="shared" si="3559"/>
        <v>SD</v>
      </c>
      <c r="BI578" s="15" t="str">
        <f t="shared" si="3560"/>
        <v>SI</v>
      </c>
      <c r="BJ578" s="15" t="b">
        <f t="shared" si="3561"/>
        <v>1</v>
      </c>
      <c r="BK578" s="15" t="str">
        <f t="shared" si="3562"/>
        <v>SIGIGUALES</v>
      </c>
      <c r="BL578" s="22" t="str">
        <f t="shared" si="3563"/>
        <v>NO CONFORME</v>
      </c>
    </row>
    <row r="579" spans="1:64" ht="15.75" thickBot="1" x14ac:dyDescent="0.3">
      <c r="A579" s="37">
        <v>571</v>
      </c>
      <c r="B579" s="93">
        <f t="shared" ref="B579:E579" si="3982">B578</f>
        <v>45919</v>
      </c>
      <c r="C579" s="93">
        <f t="shared" si="3982"/>
        <v>45919</v>
      </c>
      <c r="D579" s="94">
        <f t="shared" si="3982"/>
        <v>6</v>
      </c>
      <c r="E579" s="95">
        <f t="shared" si="3982"/>
        <v>15</v>
      </c>
      <c r="F579" s="46"/>
      <c r="G579" s="110"/>
      <c r="H579" s="97">
        <f t="shared" ref="H579:L579" si="3983">H578</f>
        <v>25.6</v>
      </c>
      <c r="I579" s="98">
        <f t="shared" si="3983"/>
        <v>0</v>
      </c>
      <c r="J579" s="99">
        <f t="shared" si="3983"/>
        <v>20.9</v>
      </c>
      <c r="K579" s="99">
        <f t="shared" si="3983"/>
        <v>7.883</v>
      </c>
      <c r="L579" s="99">
        <f t="shared" si="3983"/>
        <v>0.55400000000000005</v>
      </c>
      <c r="M579" s="47"/>
      <c r="N579" s="47"/>
      <c r="O579" s="100">
        <f t="shared" ref="O579:P579" si="3984">O578</f>
        <v>100.62</v>
      </c>
      <c r="P579" s="101" t="str">
        <f t="shared" si="3984"/>
        <v>2,29,560</v>
      </c>
      <c r="Q579" s="11" t="str">
        <f t="shared" si="3935"/>
        <v>2</v>
      </c>
      <c r="R579" s="11" t="str">
        <f t="shared" si="3936"/>
        <v>29,560</v>
      </c>
      <c r="S579" s="11">
        <f t="shared" si="3937"/>
        <v>4.1544444444444446E-2</v>
      </c>
      <c r="T579" s="14">
        <f t="shared" si="3938"/>
        <v>2421.9844878309709</v>
      </c>
      <c r="U579" s="39">
        <f t="shared" si="3544"/>
        <v>-100</v>
      </c>
      <c r="V579" s="105">
        <f t="shared" ref="V579:X579" si="3985">V578</f>
        <v>20.399999999999999</v>
      </c>
      <c r="W579" s="105">
        <f t="shared" si="3985"/>
        <v>1.5069999999999999</v>
      </c>
      <c r="X579" s="106">
        <f t="shared" si="3985"/>
        <v>1.504</v>
      </c>
      <c r="Y579" s="47"/>
      <c r="Z579" s="47"/>
      <c r="AA579" s="107">
        <f t="shared" ref="AA579:AB579" si="3986">AA578</f>
        <v>10.015000000000001</v>
      </c>
      <c r="AB579" s="108" t="str">
        <f t="shared" si="3986"/>
        <v>22,10,090</v>
      </c>
      <c r="AC579" s="11" t="str">
        <f t="shared" si="3941"/>
        <v>22</v>
      </c>
      <c r="AD579" s="11" t="str">
        <f t="shared" si="3942"/>
        <v>10,090</v>
      </c>
      <c r="AE579" s="11">
        <f t="shared" si="3943"/>
        <v>0.36946944444444441</v>
      </c>
      <c r="AF579" s="14">
        <f t="shared" si="3547"/>
        <v>27.106436406558959</v>
      </c>
      <c r="AG579" s="41">
        <f t="shared" si="3958"/>
        <v>-100</v>
      </c>
      <c r="AH579" s="105">
        <f t="shared" ref="AH579:AJ579" si="3987">AH578</f>
        <v>20.3</v>
      </c>
      <c r="AI579" s="105">
        <f t="shared" si="3987"/>
        <v>1.5089999999999999</v>
      </c>
      <c r="AJ579" s="105">
        <f t="shared" si="3987"/>
        <v>1.504</v>
      </c>
      <c r="AK579" s="53">
        <f t="shared" si="3874"/>
        <v>0</v>
      </c>
      <c r="AL579" s="47"/>
      <c r="AM579" s="54">
        <f t="shared" ref="AM579:AN579" si="3988">AM578</f>
        <v>5.0129999999999999</v>
      </c>
      <c r="AN579" s="101" t="str">
        <f t="shared" si="3988"/>
        <v>17,59,050</v>
      </c>
      <c r="AO579" s="11" t="str">
        <f t="shared" si="3946"/>
        <v>17</v>
      </c>
      <c r="AP579" s="11" t="str">
        <f t="shared" si="3947"/>
        <v>59,050</v>
      </c>
      <c r="AQ579" s="11">
        <f t="shared" si="3948"/>
        <v>0.29973611111111109</v>
      </c>
      <c r="AR579" s="14">
        <f t="shared" si="3550"/>
        <v>16.724711551827998</v>
      </c>
      <c r="AS579" s="41">
        <f t="shared" si="3551"/>
        <v>-100</v>
      </c>
      <c r="AT579" s="43" t="str">
        <f t="shared" si="3552"/>
        <v>NO CONFORME</v>
      </c>
      <c r="AU579" s="8" t="b">
        <f t="shared" si="3571"/>
        <v>1</v>
      </c>
      <c r="AV579" s="8" t="b">
        <f t="shared" si="3949"/>
        <v>0</v>
      </c>
      <c r="AW579" s="8" t="b">
        <f t="shared" si="3950"/>
        <v>1</v>
      </c>
      <c r="AX579" s="8" t="str">
        <f t="shared" si="3951"/>
        <v>Qcorrecto</v>
      </c>
      <c r="AY579" s="22" t="str">
        <f t="shared" si="3553"/>
        <v>aceptable</v>
      </c>
      <c r="AZ579" s="22" t="str">
        <f t="shared" si="3554"/>
        <v>aceptable</v>
      </c>
      <c r="BA579" s="22" t="str">
        <f t="shared" si="3952"/>
        <v>aceptable</v>
      </c>
      <c r="BB579" s="25" t="str">
        <f t="shared" si="3572"/>
        <v>NO CONFORME</v>
      </c>
      <c r="BC579" s="5" t="str">
        <f t="shared" si="3573"/>
        <v>NO CONFORME</v>
      </c>
      <c r="BD579" s="15">
        <f t="shared" si="3555"/>
        <v>-1</v>
      </c>
      <c r="BE579" s="15">
        <f t="shared" si="3556"/>
        <v>-1</v>
      </c>
      <c r="BF579" s="15">
        <f t="shared" si="3557"/>
        <v>-1</v>
      </c>
      <c r="BG579" s="15" t="str">
        <f t="shared" si="3558"/>
        <v>-1-1-1</v>
      </c>
      <c r="BH579" s="15" t="str">
        <f t="shared" si="3559"/>
        <v>SD</v>
      </c>
      <c r="BI579" s="15" t="str">
        <f t="shared" si="3560"/>
        <v>SI</v>
      </c>
      <c r="BJ579" s="15" t="b">
        <f t="shared" si="3561"/>
        <v>1</v>
      </c>
      <c r="BK579" s="15" t="str">
        <f t="shared" si="3562"/>
        <v>SIGIGUALES</v>
      </c>
      <c r="BL579" s="22" t="str">
        <f t="shared" si="3563"/>
        <v>NO CONFORME</v>
      </c>
    </row>
    <row r="580" spans="1:64" ht="15.75" thickBot="1" x14ac:dyDescent="0.3">
      <c r="A580" s="37">
        <v>572</v>
      </c>
      <c r="B580" s="93">
        <f t="shared" ref="B580:E580" si="3989">B579</f>
        <v>45919</v>
      </c>
      <c r="C580" s="93">
        <f t="shared" si="3989"/>
        <v>45919</v>
      </c>
      <c r="D580" s="94">
        <f t="shared" si="3989"/>
        <v>6</v>
      </c>
      <c r="E580" s="95">
        <f t="shared" si="3989"/>
        <v>15</v>
      </c>
      <c r="F580" s="13"/>
      <c r="G580" s="111"/>
      <c r="H580" s="97">
        <f t="shared" ref="H580:L580" si="3990">H579</f>
        <v>25.6</v>
      </c>
      <c r="I580" s="98">
        <f t="shared" si="3990"/>
        <v>0</v>
      </c>
      <c r="J580" s="99">
        <f t="shared" si="3990"/>
        <v>20.9</v>
      </c>
      <c r="K580" s="99">
        <f t="shared" si="3990"/>
        <v>7.883</v>
      </c>
      <c r="L580" s="99">
        <f t="shared" si="3990"/>
        <v>0.55400000000000005</v>
      </c>
      <c r="M580" s="45"/>
      <c r="N580" s="45"/>
      <c r="O580" s="100">
        <f t="shared" ref="O580:P580" si="3991">O579</f>
        <v>100.62</v>
      </c>
      <c r="P580" s="101" t="str">
        <f t="shared" si="3991"/>
        <v>2,29,560</v>
      </c>
      <c r="Q580" s="11" t="str">
        <f t="shared" si="3935"/>
        <v>2</v>
      </c>
      <c r="R580" s="11" t="str">
        <f t="shared" si="3936"/>
        <v>29,560</v>
      </c>
      <c r="S580" s="11">
        <f t="shared" si="3937"/>
        <v>4.1544444444444446E-2</v>
      </c>
      <c r="T580" s="14">
        <f t="shared" si="3938"/>
        <v>2421.9844878309709</v>
      </c>
      <c r="U580" s="39">
        <f t="shared" si="3544"/>
        <v>-100</v>
      </c>
      <c r="V580" s="105">
        <f t="shared" ref="V580:X580" si="3992">V579</f>
        <v>20.399999999999999</v>
      </c>
      <c r="W580" s="105">
        <f t="shared" si="3992"/>
        <v>1.5069999999999999</v>
      </c>
      <c r="X580" s="106">
        <f t="shared" si="3992"/>
        <v>1.504</v>
      </c>
      <c r="Y580" s="45"/>
      <c r="Z580" s="45"/>
      <c r="AA580" s="107">
        <f t="shared" ref="AA580:AB580" si="3993">AA579</f>
        <v>10.015000000000001</v>
      </c>
      <c r="AB580" s="108" t="str">
        <f t="shared" si="3993"/>
        <v>22,10,090</v>
      </c>
      <c r="AC580" s="11" t="str">
        <f t="shared" si="3941"/>
        <v>22</v>
      </c>
      <c r="AD580" s="11" t="str">
        <f t="shared" si="3942"/>
        <v>10,090</v>
      </c>
      <c r="AE580" s="11">
        <f t="shared" si="3943"/>
        <v>0.36946944444444441</v>
      </c>
      <c r="AF580" s="14">
        <f t="shared" si="3547"/>
        <v>27.106436406558959</v>
      </c>
      <c r="AG580" s="41">
        <f t="shared" si="3958"/>
        <v>-100</v>
      </c>
      <c r="AH580" s="105">
        <f t="shared" ref="AH580:AJ580" si="3994">AH579</f>
        <v>20.3</v>
      </c>
      <c r="AI580" s="105">
        <f t="shared" si="3994"/>
        <v>1.5089999999999999</v>
      </c>
      <c r="AJ580" s="105">
        <f t="shared" si="3994"/>
        <v>1.504</v>
      </c>
      <c r="AK580" s="53">
        <f t="shared" si="3874"/>
        <v>0</v>
      </c>
      <c r="AL580" s="45"/>
      <c r="AM580" s="54">
        <f t="shared" ref="AM580:AN580" si="3995">AM579</f>
        <v>5.0129999999999999</v>
      </c>
      <c r="AN580" s="101" t="str">
        <f t="shared" si="3995"/>
        <v>17,59,050</v>
      </c>
      <c r="AO580" s="11" t="str">
        <f t="shared" si="3946"/>
        <v>17</v>
      </c>
      <c r="AP580" s="11" t="str">
        <f t="shared" si="3947"/>
        <v>59,050</v>
      </c>
      <c r="AQ580" s="11">
        <f t="shared" si="3948"/>
        <v>0.29973611111111109</v>
      </c>
      <c r="AR580" s="14">
        <f t="shared" si="3550"/>
        <v>16.724711551827998</v>
      </c>
      <c r="AS580" s="41">
        <f t="shared" si="3551"/>
        <v>-100</v>
      </c>
      <c r="AT580" s="43" t="str">
        <f t="shared" si="3552"/>
        <v>NO CONFORME</v>
      </c>
      <c r="AU580" s="8" t="b">
        <f t="shared" si="3571"/>
        <v>1</v>
      </c>
      <c r="AV580" s="8" t="b">
        <f t="shared" si="3949"/>
        <v>0</v>
      </c>
      <c r="AW580" s="8" t="b">
        <f t="shared" si="3950"/>
        <v>1</v>
      </c>
      <c r="AX580" s="8" t="str">
        <f t="shared" si="3951"/>
        <v>Qcorrecto</v>
      </c>
      <c r="AY580" s="22" t="str">
        <f t="shared" si="3553"/>
        <v>aceptable</v>
      </c>
      <c r="AZ580" s="22" t="str">
        <f t="shared" si="3554"/>
        <v>aceptable</v>
      </c>
      <c r="BA580" s="22" t="str">
        <f t="shared" si="3952"/>
        <v>aceptable</v>
      </c>
      <c r="BB580" s="25" t="str">
        <f t="shared" si="3572"/>
        <v>NO CONFORME</v>
      </c>
      <c r="BC580" s="5" t="str">
        <f t="shared" si="3573"/>
        <v>NO CONFORME</v>
      </c>
      <c r="BD580" s="15">
        <f t="shared" si="3555"/>
        <v>-1</v>
      </c>
      <c r="BE580" s="15">
        <f t="shared" si="3556"/>
        <v>-1</v>
      </c>
      <c r="BF580" s="15">
        <f t="shared" si="3557"/>
        <v>-1</v>
      </c>
      <c r="BG580" s="15" t="str">
        <f t="shared" si="3558"/>
        <v>-1-1-1</v>
      </c>
      <c r="BH580" s="15" t="str">
        <f t="shared" si="3559"/>
        <v>SD</v>
      </c>
      <c r="BI580" s="15" t="str">
        <f t="shared" si="3560"/>
        <v>SI</v>
      </c>
      <c r="BJ580" s="15" t="b">
        <f t="shared" si="3561"/>
        <v>1</v>
      </c>
      <c r="BK580" s="15" t="str">
        <f t="shared" si="3562"/>
        <v>SIGIGUALES</v>
      </c>
      <c r="BL580" s="22" t="str">
        <f t="shared" si="3563"/>
        <v>NO CONFORME</v>
      </c>
    </row>
    <row r="581" spans="1:64" ht="15.75" thickBot="1" x14ac:dyDescent="0.3">
      <c r="A581" s="37">
        <v>573</v>
      </c>
      <c r="B581" s="93">
        <f t="shared" ref="B581:E581" si="3996">B580</f>
        <v>45919</v>
      </c>
      <c r="C581" s="93">
        <f t="shared" si="3996"/>
        <v>45919</v>
      </c>
      <c r="D581" s="94">
        <f t="shared" si="3996"/>
        <v>6</v>
      </c>
      <c r="E581" s="95">
        <f t="shared" si="3996"/>
        <v>15</v>
      </c>
      <c r="F581" s="13"/>
      <c r="G581" s="111"/>
      <c r="H581" s="97">
        <f t="shared" ref="H581:L581" si="3997">H580</f>
        <v>25.6</v>
      </c>
      <c r="I581" s="98">
        <f t="shared" si="3997"/>
        <v>0</v>
      </c>
      <c r="J581" s="99">
        <f t="shared" si="3997"/>
        <v>20.9</v>
      </c>
      <c r="K581" s="99">
        <f t="shared" si="3997"/>
        <v>7.883</v>
      </c>
      <c r="L581" s="99">
        <f t="shared" si="3997"/>
        <v>0.55400000000000005</v>
      </c>
      <c r="M581" s="45"/>
      <c r="N581" s="45"/>
      <c r="O581" s="100">
        <f t="shared" ref="O581:P581" si="3998">O580</f>
        <v>100.62</v>
      </c>
      <c r="P581" s="101" t="str">
        <f t="shared" si="3998"/>
        <v>2,29,560</v>
      </c>
      <c r="Q581" s="11" t="str">
        <f t="shared" si="3935"/>
        <v>2</v>
      </c>
      <c r="R581" s="11" t="str">
        <f t="shared" si="3936"/>
        <v>29,560</v>
      </c>
      <c r="S581" s="11">
        <f t="shared" si="3937"/>
        <v>4.1544444444444446E-2</v>
      </c>
      <c r="T581" s="14">
        <f t="shared" si="3938"/>
        <v>2421.9844878309709</v>
      </c>
      <c r="U581" s="39">
        <f t="shared" si="3544"/>
        <v>-100</v>
      </c>
      <c r="V581" s="105">
        <f t="shared" ref="V581:X581" si="3999">V580</f>
        <v>20.399999999999999</v>
      </c>
      <c r="W581" s="105">
        <f t="shared" si="3999"/>
        <v>1.5069999999999999</v>
      </c>
      <c r="X581" s="106">
        <f t="shared" si="3999"/>
        <v>1.504</v>
      </c>
      <c r="Y581" s="45"/>
      <c r="Z581" s="45"/>
      <c r="AA581" s="107">
        <f t="shared" ref="AA581:AB581" si="4000">AA580</f>
        <v>10.015000000000001</v>
      </c>
      <c r="AB581" s="108" t="str">
        <f t="shared" si="4000"/>
        <v>22,10,090</v>
      </c>
      <c r="AC581" s="11" t="str">
        <f t="shared" si="3941"/>
        <v>22</v>
      </c>
      <c r="AD581" s="11" t="str">
        <f t="shared" si="3942"/>
        <v>10,090</v>
      </c>
      <c r="AE581" s="11">
        <f t="shared" si="3943"/>
        <v>0.36946944444444441</v>
      </c>
      <c r="AF581" s="14">
        <f t="shared" si="3547"/>
        <v>27.106436406558959</v>
      </c>
      <c r="AG581" s="41">
        <f t="shared" si="3958"/>
        <v>-100</v>
      </c>
      <c r="AH581" s="105">
        <f t="shared" ref="AH581:AJ581" si="4001">AH580</f>
        <v>20.3</v>
      </c>
      <c r="AI581" s="105">
        <f t="shared" si="4001"/>
        <v>1.5089999999999999</v>
      </c>
      <c r="AJ581" s="105">
        <f t="shared" si="4001"/>
        <v>1.504</v>
      </c>
      <c r="AK581" s="53">
        <f t="shared" si="3874"/>
        <v>0</v>
      </c>
      <c r="AL581" s="45"/>
      <c r="AM581" s="54">
        <f t="shared" ref="AM581:AN581" si="4002">AM580</f>
        <v>5.0129999999999999</v>
      </c>
      <c r="AN581" s="101" t="str">
        <f t="shared" si="4002"/>
        <v>17,59,050</v>
      </c>
      <c r="AO581" s="11" t="str">
        <f t="shared" si="3946"/>
        <v>17</v>
      </c>
      <c r="AP581" s="11" t="str">
        <f t="shared" si="3947"/>
        <v>59,050</v>
      </c>
      <c r="AQ581" s="11">
        <f t="shared" si="3948"/>
        <v>0.29973611111111109</v>
      </c>
      <c r="AR581" s="14">
        <f t="shared" si="3550"/>
        <v>16.724711551827998</v>
      </c>
      <c r="AS581" s="41">
        <f t="shared" si="3551"/>
        <v>-100</v>
      </c>
      <c r="AT581" s="43" t="str">
        <f t="shared" si="3552"/>
        <v>NO CONFORME</v>
      </c>
      <c r="AU581" s="8" t="b">
        <f t="shared" si="3571"/>
        <v>1</v>
      </c>
      <c r="AV581" s="8" t="b">
        <f t="shared" si="3949"/>
        <v>0</v>
      </c>
      <c r="AW581" s="8" t="b">
        <f t="shared" si="3950"/>
        <v>1</v>
      </c>
      <c r="AX581" s="8" t="str">
        <f t="shared" si="3951"/>
        <v>Qcorrecto</v>
      </c>
      <c r="AY581" s="22" t="str">
        <f t="shared" si="3553"/>
        <v>aceptable</v>
      </c>
      <c r="AZ581" s="22" t="str">
        <f t="shared" si="3554"/>
        <v>aceptable</v>
      </c>
      <c r="BA581" s="22" t="str">
        <f t="shared" si="3952"/>
        <v>aceptable</v>
      </c>
      <c r="BB581" s="25" t="str">
        <f t="shared" si="3572"/>
        <v>NO CONFORME</v>
      </c>
      <c r="BC581" s="5" t="str">
        <f t="shared" si="3573"/>
        <v>NO CONFORME</v>
      </c>
      <c r="BD581" s="15">
        <f t="shared" si="3555"/>
        <v>-1</v>
      </c>
      <c r="BE581" s="15">
        <f t="shared" si="3556"/>
        <v>-1</v>
      </c>
      <c r="BF581" s="15">
        <f t="shared" si="3557"/>
        <v>-1</v>
      </c>
      <c r="BG581" s="15" t="str">
        <f t="shared" si="3558"/>
        <v>-1-1-1</v>
      </c>
      <c r="BH581" s="15" t="str">
        <f t="shared" si="3559"/>
        <v>SD</v>
      </c>
      <c r="BI581" s="15" t="str">
        <f t="shared" si="3560"/>
        <v>SI</v>
      </c>
      <c r="BJ581" s="15" t="b">
        <f t="shared" si="3561"/>
        <v>1</v>
      </c>
      <c r="BK581" s="15" t="str">
        <f t="shared" si="3562"/>
        <v>SIGIGUALES</v>
      </c>
      <c r="BL581" s="22" t="str">
        <f t="shared" si="3563"/>
        <v>NO CONFORME</v>
      </c>
    </row>
    <row r="582" spans="1:64" ht="15.75" thickBot="1" x14ac:dyDescent="0.3">
      <c r="A582" s="37">
        <v>574</v>
      </c>
      <c r="B582" s="93">
        <f t="shared" ref="B582:E582" si="4003">B581</f>
        <v>45919</v>
      </c>
      <c r="C582" s="93">
        <f t="shared" si="4003"/>
        <v>45919</v>
      </c>
      <c r="D582" s="94">
        <f t="shared" si="4003"/>
        <v>6</v>
      </c>
      <c r="E582" s="95">
        <f t="shared" si="4003"/>
        <v>15</v>
      </c>
      <c r="F582" s="13"/>
      <c r="G582" s="111"/>
      <c r="H582" s="97">
        <f t="shared" ref="H582:L582" si="4004">H581</f>
        <v>25.6</v>
      </c>
      <c r="I582" s="98">
        <f t="shared" si="4004"/>
        <v>0</v>
      </c>
      <c r="J582" s="99">
        <f t="shared" si="4004"/>
        <v>20.9</v>
      </c>
      <c r="K582" s="99">
        <f t="shared" si="4004"/>
        <v>7.883</v>
      </c>
      <c r="L582" s="99">
        <f t="shared" si="4004"/>
        <v>0.55400000000000005</v>
      </c>
      <c r="M582" s="45"/>
      <c r="N582" s="45"/>
      <c r="O582" s="100">
        <f t="shared" ref="O582:P582" si="4005">O581</f>
        <v>100.62</v>
      </c>
      <c r="P582" s="101" t="str">
        <f t="shared" si="4005"/>
        <v>2,29,560</v>
      </c>
      <c r="Q582" s="11" t="str">
        <f t="shared" si="3935"/>
        <v>2</v>
      </c>
      <c r="R582" s="11" t="str">
        <f t="shared" si="3936"/>
        <v>29,560</v>
      </c>
      <c r="S582" s="11">
        <f t="shared" si="3937"/>
        <v>4.1544444444444446E-2</v>
      </c>
      <c r="T582" s="14">
        <f t="shared" si="3938"/>
        <v>2421.9844878309709</v>
      </c>
      <c r="U582" s="39">
        <f t="shared" si="3544"/>
        <v>-100</v>
      </c>
      <c r="V582" s="105">
        <f t="shared" ref="V582:X582" si="4006">V581</f>
        <v>20.399999999999999</v>
      </c>
      <c r="W582" s="105">
        <f t="shared" si="4006"/>
        <v>1.5069999999999999</v>
      </c>
      <c r="X582" s="106">
        <f t="shared" si="4006"/>
        <v>1.504</v>
      </c>
      <c r="Y582" s="45"/>
      <c r="Z582" s="45"/>
      <c r="AA582" s="107">
        <f t="shared" ref="AA582:AB582" si="4007">AA581</f>
        <v>10.015000000000001</v>
      </c>
      <c r="AB582" s="108" t="str">
        <f t="shared" si="4007"/>
        <v>22,10,090</v>
      </c>
      <c r="AC582" s="11" t="str">
        <f t="shared" si="3941"/>
        <v>22</v>
      </c>
      <c r="AD582" s="11" t="str">
        <f t="shared" si="3942"/>
        <v>10,090</v>
      </c>
      <c r="AE582" s="11">
        <f t="shared" si="3943"/>
        <v>0.36946944444444441</v>
      </c>
      <c r="AF582" s="14">
        <f t="shared" si="3547"/>
        <v>27.106436406558959</v>
      </c>
      <c r="AG582" s="41">
        <f t="shared" si="3958"/>
        <v>-100</v>
      </c>
      <c r="AH582" s="105">
        <f t="shared" ref="AH582:AJ582" si="4008">AH581</f>
        <v>20.3</v>
      </c>
      <c r="AI582" s="105">
        <f t="shared" si="4008"/>
        <v>1.5089999999999999</v>
      </c>
      <c r="AJ582" s="105">
        <f t="shared" si="4008"/>
        <v>1.504</v>
      </c>
      <c r="AK582" s="53">
        <f t="shared" si="3874"/>
        <v>0</v>
      </c>
      <c r="AL582" s="45"/>
      <c r="AM582" s="54">
        <f t="shared" ref="AM582:AN582" si="4009">AM581</f>
        <v>5.0129999999999999</v>
      </c>
      <c r="AN582" s="101" t="str">
        <f t="shared" si="4009"/>
        <v>17,59,050</v>
      </c>
      <c r="AO582" s="11" t="str">
        <f t="shared" si="3946"/>
        <v>17</v>
      </c>
      <c r="AP582" s="11" t="str">
        <f t="shared" si="3947"/>
        <v>59,050</v>
      </c>
      <c r="AQ582" s="11">
        <f t="shared" si="3948"/>
        <v>0.29973611111111109</v>
      </c>
      <c r="AR582" s="14">
        <f t="shared" si="3550"/>
        <v>16.724711551827998</v>
      </c>
      <c r="AS582" s="41">
        <f t="shared" si="3551"/>
        <v>-100</v>
      </c>
      <c r="AT582" s="43" t="str">
        <f t="shared" si="3552"/>
        <v>NO CONFORME</v>
      </c>
      <c r="AU582" s="8" t="b">
        <f t="shared" si="3571"/>
        <v>1</v>
      </c>
      <c r="AV582" s="8" t="b">
        <f t="shared" si="3949"/>
        <v>0</v>
      </c>
      <c r="AW582" s="8" t="b">
        <f t="shared" si="3950"/>
        <v>1</v>
      </c>
      <c r="AX582" s="8" t="str">
        <f t="shared" si="3951"/>
        <v>Qcorrecto</v>
      </c>
      <c r="AY582" s="22" t="str">
        <f t="shared" si="3553"/>
        <v>aceptable</v>
      </c>
      <c r="AZ582" s="22" t="str">
        <f t="shared" si="3554"/>
        <v>aceptable</v>
      </c>
      <c r="BA582" s="22" t="str">
        <f t="shared" si="3952"/>
        <v>aceptable</v>
      </c>
      <c r="BB582" s="25" t="str">
        <f t="shared" si="3572"/>
        <v>NO CONFORME</v>
      </c>
      <c r="BC582" s="5" t="str">
        <f t="shared" si="3573"/>
        <v>NO CONFORME</v>
      </c>
      <c r="BD582" s="15">
        <f t="shared" si="3555"/>
        <v>-1</v>
      </c>
      <c r="BE582" s="15">
        <f t="shared" si="3556"/>
        <v>-1</v>
      </c>
      <c r="BF582" s="15">
        <f t="shared" si="3557"/>
        <v>-1</v>
      </c>
      <c r="BG582" s="15" t="str">
        <f t="shared" si="3558"/>
        <v>-1-1-1</v>
      </c>
      <c r="BH582" s="15" t="str">
        <f t="shared" si="3559"/>
        <v>SD</v>
      </c>
      <c r="BI582" s="15" t="str">
        <f t="shared" si="3560"/>
        <v>SI</v>
      </c>
      <c r="BJ582" s="15" t="b">
        <f t="shared" si="3561"/>
        <v>1</v>
      </c>
      <c r="BK582" s="15" t="str">
        <f t="shared" si="3562"/>
        <v>SIGIGUALES</v>
      </c>
      <c r="BL582" s="22" t="str">
        <f t="shared" si="3563"/>
        <v>NO CONFORME</v>
      </c>
    </row>
    <row r="583" spans="1:64" ht="15.75" thickBot="1" x14ac:dyDescent="0.3">
      <c r="A583" s="37">
        <v>575</v>
      </c>
      <c r="B583" s="93">
        <f t="shared" ref="B583:E583" si="4010">B582</f>
        <v>45919</v>
      </c>
      <c r="C583" s="93">
        <f t="shared" si="4010"/>
        <v>45919</v>
      </c>
      <c r="D583" s="94">
        <f t="shared" si="4010"/>
        <v>6</v>
      </c>
      <c r="E583" s="95">
        <f t="shared" si="4010"/>
        <v>15</v>
      </c>
      <c r="F583" s="13"/>
      <c r="G583" s="111"/>
      <c r="H583" s="97">
        <f t="shared" ref="H583:L583" si="4011">H582</f>
        <v>25.6</v>
      </c>
      <c r="I583" s="98">
        <f t="shared" si="4011"/>
        <v>0</v>
      </c>
      <c r="J583" s="99">
        <f t="shared" si="4011"/>
        <v>20.9</v>
      </c>
      <c r="K583" s="99">
        <f t="shared" si="4011"/>
        <v>7.883</v>
      </c>
      <c r="L583" s="99">
        <f t="shared" si="4011"/>
        <v>0.55400000000000005</v>
      </c>
      <c r="M583" s="45"/>
      <c r="N583" s="45"/>
      <c r="O583" s="100">
        <f t="shared" ref="O583:P583" si="4012">O582</f>
        <v>100.62</v>
      </c>
      <c r="P583" s="101" t="str">
        <f t="shared" si="4012"/>
        <v>2,29,560</v>
      </c>
      <c r="Q583" s="11" t="str">
        <f t="shared" si="3935"/>
        <v>2</v>
      </c>
      <c r="R583" s="11" t="str">
        <f t="shared" si="3936"/>
        <v>29,560</v>
      </c>
      <c r="S583" s="11">
        <f t="shared" si="3937"/>
        <v>4.1544444444444446E-2</v>
      </c>
      <c r="T583" s="14">
        <f t="shared" si="3938"/>
        <v>2421.9844878309709</v>
      </c>
      <c r="U583" s="39">
        <f t="shared" si="3544"/>
        <v>-100</v>
      </c>
      <c r="V583" s="105">
        <f t="shared" ref="V583:X583" si="4013">V582</f>
        <v>20.399999999999999</v>
      </c>
      <c r="W583" s="105">
        <f t="shared" si="4013"/>
        <v>1.5069999999999999</v>
      </c>
      <c r="X583" s="106">
        <f t="shared" si="4013"/>
        <v>1.504</v>
      </c>
      <c r="Y583" s="45"/>
      <c r="Z583" s="45"/>
      <c r="AA583" s="107">
        <f t="shared" ref="AA583:AB583" si="4014">AA582</f>
        <v>10.015000000000001</v>
      </c>
      <c r="AB583" s="108" t="str">
        <f t="shared" si="4014"/>
        <v>22,10,090</v>
      </c>
      <c r="AC583" s="11" t="str">
        <f t="shared" si="3941"/>
        <v>22</v>
      </c>
      <c r="AD583" s="11" t="str">
        <f t="shared" si="3942"/>
        <v>10,090</v>
      </c>
      <c r="AE583" s="11">
        <f t="shared" si="3943"/>
        <v>0.36946944444444441</v>
      </c>
      <c r="AF583" s="14">
        <f t="shared" si="3547"/>
        <v>27.106436406558959</v>
      </c>
      <c r="AG583" s="41">
        <f t="shared" si="3958"/>
        <v>-100</v>
      </c>
      <c r="AH583" s="105">
        <f t="shared" ref="AH583:AJ583" si="4015">AH582</f>
        <v>20.3</v>
      </c>
      <c r="AI583" s="105">
        <f t="shared" si="4015"/>
        <v>1.5089999999999999</v>
      </c>
      <c r="AJ583" s="105">
        <f t="shared" si="4015"/>
        <v>1.504</v>
      </c>
      <c r="AK583" s="53">
        <f t="shared" si="3874"/>
        <v>0</v>
      </c>
      <c r="AL583" s="45"/>
      <c r="AM583" s="54">
        <f t="shared" ref="AM583:AN583" si="4016">AM582</f>
        <v>5.0129999999999999</v>
      </c>
      <c r="AN583" s="101" t="str">
        <f t="shared" si="4016"/>
        <v>17,59,050</v>
      </c>
      <c r="AO583" s="11" t="str">
        <f t="shared" si="3946"/>
        <v>17</v>
      </c>
      <c r="AP583" s="11" t="str">
        <f t="shared" si="3947"/>
        <v>59,050</v>
      </c>
      <c r="AQ583" s="11">
        <f t="shared" si="3948"/>
        <v>0.29973611111111109</v>
      </c>
      <c r="AR583" s="14">
        <f t="shared" si="3550"/>
        <v>16.724711551827998</v>
      </c>
      <c r="AS583" s="41">
        <f t="shared" si="3551"/>
        <v>-100</v>
      </c>
      <c r="AT583" s="43" t="str">
        <f t="shared" si="3552"/>
        <v>NO CONFORME</v>
      </c>
      <c r="AU583" s="8" t="b">
        <f t="shared" si="3571"/>
        <v>1</v>
      </c>
      <c r="AV583" s="8" t="b">
        <f t="shared" si="3949"/>
        <v>0</v>
      </c>
      <c r="AW583" s="8" t="b">
        <f t="shared" si="3950"/>
        <v>1</v>
      </c>
      <c r="AX583" s="8" t="str">
        <f t="shared" si="3951"/>
        <v>Qcorrecto</v>
      </c>
      <c r="AY583" s="22" t="str">
        <f t="shared" si="3553"/>
        <v>aceptable</v>
      </c>
      <c r="AZ583" s="22" t="str">
        <f t="shared" si="3554"/>
        <v>aceptable</v>
      </c>
      <c r="BA583" s="22" t="str">
        <f t="shared" si="3952"/>
        <v>aceptable</v>
      </c>
      <c r="BB583" s="25" t="str">
        <f t="shared" si="3572"/>
        <v>NO CONFORME</v>
      </c>
      <c r="BC583" s="5" t="str">
        <f t="shared" si="3573"/>
        <v>NO CONFORME</v>
      </c>
      <c r="BD583" s="15">
        <f t="shared" si="3555"/>
        <v>-1</v>
      </c>
      <c r="BE583" s="15">
        <f t="shared" si="3556"/>
        <v>-1</v>
      </c>
      <c r="BF583" s="15">
        <f t="shared" si="3557"/>
        <v>-1</v>
      </c>
      <c r="BG583" s="15" t="str">
        <f t="shared" si="3558"/>
        <v>-1-1-1</v>
      </c>
      <c r="BH583" s="15" t="str">
        <f t="shared" si="3559"/>
        <v>SD</v>
      </c>
      <c r="BI583" s="15" t="str">
        <f t="shared" si="3560"/>
        <v>SI</v>
      </c>
      <c r="BJ583" s="15" t="b">
        <f t="shared" si="3561"/>
        <v>1</v>
      </c>
      <c r="BK583" s="15" t="str">
        <f t="shared" si="3562"/>
        <v>SIGIGUALES</v>
      </c>
      <c r="BL583" s="22" t="str">
        <f t="shared" si="3563"/>
        <v>NO CONFORME</v>
      </c>
    </row>
    <row r="584" spans="1:64" ht="15.75" thickBot="1" x14ac:dyDescent="0.3">
      <c r="A584" s="37">
        <v>576</v>
      </c>
      <c r="B584" s="93">
        <f t="shared" ref="B584:E584" si="4017">B583</f>
        <v>45919</v>
      </c>
      <c r="C584" s="93">
        <f t="shared" si="4017"/>
        <v>45919</v>
      </c>
      <c r="D584" s="94">
        <f t="shared" si="4017"/>
        <v>6</v>
      </c>
      <c r="E584" s="95">
        <f t="shared" si="4017"/>
        <v>15</v>
      </c>
      <c r="F584" s="13"/>
      <c r="G584" s="111"/>
      <c r="H584" s="97">
        <f t="shared" ref="H584:L584" si="4018">H583</f>
        <v>25.6</v>
      </c>
      <c r="I584" s="98">
        <f t="shared" si="4018"/>
        <v>0</v>
      </c>
      <c r="J584" s="99">
        <f t="shared" si="4018"/>
        <v>20.9</v>
      </c>
      <c r="K584" s="99">
        <f t="shared" si="4018"/>
        <v>7.883</v>
      </c>
      <c r="L584" s="99">
        <f t="shared" si="4018"/>
        <v>0.55400000000000005</v>
      </c>
      <c r="M584" s="45"/>
      <c r="N584" s="45"/>
      <c r="O584" s="100">
        <f t="shared" ref="O584:P584" si="4019">O583</f>
        <v>100.62</v>
      </c>
      <c r="P584" s="101" t="str">
        <f t="shared" si="4019"/>
        <v>2,29,560</v>
      </c>
      <c r="Q584" s="11" t="str">
        <f t="shared" si="3935"/>
        <v>2</v>
      </c>
      <c r="R584" s="11" t="str">
        <f t="shared" si="3936"/>
        <v>29,560</v>
      </c>
      <c r="S584" s="11">
        <f t="shared" si="3937"/>
        <v>4.1544444444444446E-2</v>
      </c>
      <c r="T584" s="14">
        <f t="shared" si="3938"/>
        <v>2421.9844878309709</v>
      </c>
      <c r="U584" s="39">
        <f t="shared" si="3544"/>
        <v>-100</v>
      </c>
      <c r="V584" s="105">
        <f t="shared" ref="V584:X584" si="4020">V583</f>
        <v>20.399999999999999</v>
      </c>
      <c r="W584" s="105">
        <f t="shared" si="4020"/>
        <v>1.5069999999999999</v>
      </c>
      <c r="X584" s="106">
        <f t="shared" si="4020"/>
        <v>1.504</v>
      </c>
      <c r="Y584" s="45"/>
      <c r="Z584" s="45"/>
      <c r="AA584" s="107">
        <f t="shared" ref="AA584:AB584" si="4021">AA583</f>
        <v>10.015000000000001</v>
      </c>
      <c r="AB584" s="108" t="str">
        <f t="shared" si="4021"/>
        <v>22,10,090</v>
      </c>
      <c r="AC584" s="11" t="str">
        <f t="shared" si="3941"/>
        <v>22</v>
      </c>
      <c r="AD584" s="11" t="str">
        <f t="shared" si="3942"/>
        <v>10,090</v>
      </c>
      <c r="AE584" s="11">
        <f t="shared" si="3943"/>
        <v>0.36946944444444441</v>
      </c>
      <c r="AF584" s="14">
        <f t="shared" si="3547"/>
        <v>27.106436406558959</v>
      </c>
      <c r="AG584" s="41">
        <f t="shared" si="3958"/>
        <v>-100</v>
      </c>
      <c r="AH584" s="105">
        <f t="shared" ref="AH584:AJ584" si="4022">AH583</f>
        <v>20.3</v>
      </c>
      <c r="AI584" s="105">
        <f t="shared" si="4022"/>
        <v>1.5089999999999999</v>
      </c>
      <c r="AJ584" s="105">
        <f t="shared" si="4022"/>
        <v>1.504</v>
      </c>
      <c r="AK584" s="53">
        <f t="shared" si="3874"/>
        <v>0</v>
      </c>
      <c r="AL584" s="45"/>
      <c r="AM584" s="54">
        <f t="shared" ref="AM584:AN584" si="4023">AM583</f>
        <v>5.0129999999999999</v>
      </c>
      <c r="AN584" s="101" t="str">
        <f t="shared" si="4023"/>
        <v>17,59,050</v>
      </c>
      <c r="AO584" s="11" t="str">
        <f t="shared" si="3946"/>
        <v>17</v>
      </c>
      <c r="AP584" s="11" t="str">
        <f t="shared" si="3947"/>
        <v>59,050</v>
      </c>
      <c r="AQ584" s="11">
        <f t="shared" si="3948"/>
        <v>0.29973611111111109</v>
      </c>
      <c r="AR584" s="14">
        <f t="shared" si="3550"/>
        <v>16.724711551827998</v>
      </c>
      <c r="AS584" s="41">
        <f t="shared" si="3551"/>
        <v>-100</v>
      </c>
      <c r="AT584" s="43" t="str">
        <f t="shared" si="3552"/>
        <v>NO CONFORME</v>
      </c>
      <c r="AU584" s="8" t="b">
        <f t="shared" si="3571"/>
        <v>1</v>
      </c>
      <c r="AV584" s="8" t="b">
        <f t="shared" si="3949"/>
        <v>0</v>
      </c>
      <c r="AW584" s="8" t="b">
        <f t="shared" si="3950"/>
        <v>1</v>
      </c>
      <c r="AX584" s="8" t="str">
        <f t="shared" si="3951"/>
        <v>Qcorrecto</v>
      </c>
      <c r="AY584" s="22" t="str">
        <f t="shared" si="3553"/>
        <v>aceptable</v>
      </c>
      <c r="AZ584" s="22" t="str">
        <f t="shared" si="3554"/>
        <v>aceptable</v>
      </c>
      <c r="BA584" s="22" t="str">
        <f t="shared" si="3952"/>
        <v>aceptable</v>
      </c>
      <c r="BB584" s="25" t="str">
        <f t="shared" si="3572"/>
        <v>NO CONFORME</v>
      </c>
      <c r="BC584" s="5" t="str">
        <f t="shared" si="3573"/>
        <v>NO CONFORME</v>
      </c>
      <c r="BD584" s="15">
        <f t="shared" si="3555"/>
        <v>-1</v>
      </c>
      <c r="BE584" s="15">
        <f t="shared" si="3556"/>
        <v>-1</v>
      </c>
      <c r="BF584" s="15">
        <f t="shared" si="3557"/>
        <v>-1</v>
      </c>
      <c r="BG584" s="15" t="str">
        <f t="shared" si="3558"/>
        <v>-1-1-1</v>
      </c>
      <c r="BH584" s="15" t="str">
        <f t="shared" si="3559"/>
        <v>SD</v>
      </c>
      <c r="BI584" s="15" t="str">
        <f t="shared" si="3560"/>
        <v>SI</v>
      </c>
      <c r="BJ584" s="15" t="b">
        <f t="shared" si="3561"/>
        <v>1</v>
      </c>
      <c r="BK584" s="15" t="str">
        <f t="shared" si="3562"/>
        <v>SIGIGUALES</v>
      </c>
      <c r="BL584" s="22" t="str">
        <f t="shared" si="3563"/>
        <v>NO CONFORME</v>
      </c>
    </row>
    <row r="585" spans="1:64" ht="15.75" thickBot="1" x14ac:dyDescent="0.3">
      <c r="A585" s="37">
        <v>577</v>
      </c>
      <c r="B585" s="93">
        <f t="shared" ref="B585:E585" si="4024">B584</f>
        <v>45919</v>
      </c>
      <c r="C585" s="93">
        <f t="shared" si="4024"/>
        <v>45919</v>
      </c>
      <c r="D585" s="94">
        <f t="shared" si="4024"/>
        <v>6</v>
      </c>
      <c r="E585" s="95">
        <f t="shared" si="4024"/>
        <v>15</v>
      </c>
      <c r="F585" s="13"/>
      <c r="G585" s="111"/>
      <c r="H585" s="97">
        <f t="shared" ref="H585:L585" si="4025">H584</f>
        <v>25.6</v>
      </c>
      <c r="I585" s="98">
        <f t="shared" si="4025"/>
        <v>0</v>
      </c>
      <c r="J585" s="99">
        <f t="shared" si="4025"/>
        <v>20.9</v>
      </c>
      <c r="K585" s="99">
        <f t="shared" si="4025"/>
        <v>7.883</v>
      </c>
      <c r="L585" s="99">
        <f t="shared" si="4025"/>
        <v>0.55400000000000005</v>
      </c>
      <c r="M585" s="45"/>
      <c r="N585" s="45"/>
      <c r="O585" s="100">
        <f t="shared" ref="O585:P585" si="4026">O584</f>
        <v>100.62</v>
      </c>
      <c r="P585" s="101" t="str">
        <f t="shared" si="4026"/>
        <v>2,29,560</v>
      </c>
      <c r="Q585" s="11" t="str">
        <f t="shared" si="3935"/>
        <v>2</v>
      </c>
      <c r="R585" s="11" t="str">
        <f t="shared" si="3936"/>
        <v>29,560</v>
      </c>
      <c r="S585" s="11">
        <f t="shared" si="3937"/>
        <v>4.1544444444444446E-2</v>
      </c>
      <c r="T585" s="14">
        <f t="shared" si="3938"/>
        <v>2421.9844878309709</v>
      </c>
      <c r="U585" s="39">
        <f t="shared" ref="U585:U638" si="4027">+(((N585-M585-O585)/O585)*100)</f>
        <v>-100</v>
      </c>
      <c r="V585" s="105">
        <f t="shared" ref="V585:X585" si="4028">V584</f>
        <v>20.399999999999999</v>
      </c>
      <c r="W585" s="105">
        <f t="shared" si="4028"/>
        <v>1.5069999999999999</v>
      </c>
      <c r="X585" s="106">
        <f t="shared" si="4028"/>
        <v>1.504</v>
      </c>
      <c r="Y585" s="45"/>
      <c r="Z585" s="45"/>
      <c r="AA585" s="107">
        <f t="shared" ref="AA585:AB585" si="4029">AA584</f>
        <v>10.015000000000001</v>
      </c>
      <c r="AB585" s="108" t="str">
        <f t="shared" si="4029"/>
        <v>22,10,090</v>
      </c>
      <c r="AC585" s="11" t="str">
        <f t="shared" si="3941"/>
        <v>22</v>
      </c>
      <c r="AD585" s="11" t="str">
        <f t="shared" si="3942"/>
        <v>10,090</v>
      </c>
      <c r="AE585" s="11">
        <f t="shared" si="3943"/>
        <v>0.36946944444444441</v>
      </c>
      <c r="AF585" s="14">
        <f t="shared" ref="AF585:AF638" si="4030">+AA585/AE585</f>
        <v>27.106436406558959</v>
      </c>
      <c r="AG585" s="41">
        <f t="shared" si="3958"/>
        <v>-100</v>
      </c>
      <c r="AH585" s="105">
        <f t="shared" ref="AH585:AJ585" si="4031">AH584</f>
        <v>20.3</v>
      </c>
      <c r="AI585" s="105">
        <f t="shared" si="4031"/>
        <v>1.5089999999999999</v>
      </c>
      <c r="AJ585" s="105">
        <f t="shared" si="4031"/>
        <v>1.504</v>
      </c>
      <c r="AK585" s="53">
        <f t="shared" si="3874"/>
        <v>0</v>
      </c>
      <c r="AL585" s="45"/>
      <c r="AM585" s="54">
        <f t="shared" ref="AM585:AN585" si="4032">AM584</f>
        <v>5.0129999999999999</v>
      </c>
      <c r="AN585" s="101" t="str">
        <f t="shared" si="4032"/>
        <v>17,59,050</v>
      </c>
      <c r="AO585" s="11" t="str">
        <f t="shared" si="3946"/>
        <v>17</v>
      </c>
      <c r="AP585" s="11" t="str">
        <f t="shared" si="3947"/>
        <v>59,050</v>
      </c>
      <c r="AQ585" s="11">
        <f t="shared" si="3948"/>
        <v>0.29973611111111109</v>
      </c>
      <c r="AR585" s="14">
        <f t="shared" ref="AR585:AR638" si="4033">+AM585/AQ585</f>
        <v>16.724711551827998</v>
      </c>
      <c r="AS585" s="41">
        <f t="shared" ref="AS585:AS638" si="4034">+(((AL585-AK585-AM585)/AM585)*100)</f>
        <v>-100</v>
      </c>
      <c r="AT585" s="43" t="str">
        <f t="shared" ref="AT585:AT638" si="4035">IF(I585&gt;=1,"NO CONFORME",IF(BK585="SIGDIFERENTES",BC585,BL585))</f>
        <v>NO CONFORME</v>
      </c>
      <c r="AU585" s="8" t="b">
        <f t="shared" si="3571"/>
        <v>1</v>
      </c>
      <c r="AV585" s="8" t="b">
        <f t="shared" si="3949"/>
        <v>0</v>
      </c>
      <c r="AW585" s="8" t="b">
        <f t="shared" si="3950"/>
        <v>1</v>
      </c>
      <c r="AX585" s="8" t="str">
        <f t="shared" si="3951"/>
        <v>Qcorrecto</v>
      </c>
      <c r="AY585" s="22" t="str">
        <f t="shared" ref="AY585:AY638" si="4036">IF(AR585&lt;$AH$6,"error",IF(AR585&gt;$AH$6*1.1,"error","aceptable"))</f>
        <v>aceptable</v>
      </c>
      <c r="AZ585" s="22" t="str">
        <f t="shared" ref="AZ585:AZ638" si="4037">IF(AF585&lt;$V$6,"error",IF(AF585&gt;$V$6*1.1,"error","aceptable"))</f>
        <v>aceptable</v>
      </c>
      <c r="BA585" s="22" t="str">
        <f t="shared" si="3952"/>
        <v>aceptable</v>
      </c>
      <c r="BB585" s="25" t="str">
        <f t="shared" si="3572"/>
        <v>NO CONFORME</v>
      </c>
      <c r="BC585" s="5" t="str">
        <f t="shared" si="3573"/>
        <v>NO CONFORME</v>
      </c>
      <c r="BD585" s="15">
        <f t="shared" ref="BD585:BD638" si="4038">SIGN(U585)</f>
        <v>-1</v>
      </c>
      <c r="BE585" s="15">
        <f t="shared" ref="BE585:BE638" si="4039">SIGN(AG585)</f>
        <v>-1</v>
      </c>
      <c r="BF585" s="15">
        <f t="shared" ref="BF585:BF638" si="4040">SIGN(AS585)</f>
        <v>-1</v>
      </c>
      <c r="BG585" s="15" t="str">
        <f t="shared" ref="BG585:BG638" si="4041">CONCATENATE(BD585,BE585,BF585)</f>
        <v>-1-1-1</v>
      </c>
      <c r="BH585" s="15" t="str">
        <f t="shared" ref="BH585:BH638" si="4042">IF(BG585="111","SI","SD")</f>
        <v>SD</v>
      </c>
      <c r="BI585" s="15" t="str">
        <f t="shared" ref="BI585:BI638" si="4043">IF(BG585="-1-1-1","SI","SD")</f>
        <v>SI</v>
      </c>
      <c r="BJ585" s="15" t="b">
        <f t="shared" ref="BJ585:BJ638" si="4044">OR(BH585="SI",BI585="SI")</f>
        <v>1</v>
      </c>
      <c r="BK585" s="15" t="str">
        <f t="shared" ref="BK585:BK638" si="4045">IF(BJ585=FALSE,"SIGDIFERENTES","SIGIGUALES")</f>
        <v>SIGIGUALES</v>
      </c>
      <c r="BL585" s="22" t="str">
        <f t="shared" ref="BL585:BL638" si="4046">IF(BC585="NO CONFORME","NO CONFORME",IF(BB585="CONFORME","CONFORME","NO CONFORME"))</f>
        <v>NO CONFORME</v>
      </c>
    </row>
    <row r="586" spans="1:64" ht="15.75" thickBot="1" x14ac:dyDescent="0.3">
      <c r="A586" s="37">
        <v>578</v>
      </c>
      <c r="B586" s="93">
        <f t="shared" ref="B586:E586" si="4047">B585</f>
        <v>45919</v>
      </c>
      <c r="C586" s="93">
        <f t="shared" si="4047"/>
        <v>45919</v>
      </c>
      <c r="D586" s="94">
        <f t="shared" si="4047"/>
        <v>6</v>
      </c>
      <c r="E586" s="95">
        <f t="shared" si="4047"/>
        <v>15</v>
      </c>
      <c r="F586" s="13"/>
      <c r="G586" s="111"/>
      <c r="H586" s="97">
        <f t="shared" ref="H586:L586" si="4048">H585</f>
        <v>25.6</v>
      </c>
      <c r="I586" s="98">
        <f t="shared" si="4048"/>
        <v>0</v>
      </c>
      <c r="J586" s="99">
        <f t="shared" si="4048"/>
        <v>20.9</v>
      </c>
      <c r="K586" s="99">
        <f t="shared" si="4048"/>
        <v>7.883</v>
      </c>
      <c r="L586" s="99">
        <f t="shared" si="4048"/>
        <v>0.55400000000000005</v>
      </c>
      <c r="M586" s="45"/>
      <c r="N586" s="45"/>
      <c r="O586" s="100">
        <f t="shared" ref="O586:P586" si="4049">O585</f>
        <v>100.62</v>
      </c>
      <c r="P586" s="101" t="str">
        <f t="shared" si="4049"/>
        <v>2,29,560</v>
      </c>
      <c r="Q586" s="11" t="str">
        <f t="shared" si="3935"/>
        <v>2</v>
      </c>
      <c r="R586" s="11" t="str">
        <f t="shared" si="3936"/>
        <v>29,560</v>
      </c>
      <c r="S586" s="11">
        <f t="shared" si="3937"/>
        <v>4.1544444444444446E-2</v>
      </c>
      <c r="T586" s="14">
        <f t="shared" si="3938"/>
        <v>2421.9844878309709</v>
      </c>
      <c r="U586" s="39">
        <f t="shared" si="4027"/>
        <v>-100</v>
      </c>
      <c r="V586" s="105">
        <f t="shared" ref="V586:X586" si="4050">V585</f>
        <v>20.399999999999999</v>
      </c>
      <c r="W586" s="105">
        <f t="shared" si="4050"/>
        <v>1.5069999999999999</v>
      </c>
      <c r="X586" s="106">
        <f t="shared" si="4050"/>
        <v>1.504</v>
      </c>
      <c r="Y586" s="45"/>
      <c r="Z586" s="45"/>
      <c r="AA586" s="107">
        <f t="shared" ref="AA586:AB586" si="4051">AA585</f>
        <v>10.015000000000001</v>
      </c>
      <c r="AB586" s="108" t="str">
        <f t="shared" si="4051"/>
        <v>22,10,090</v>
      </c>
      <c r="AC586" s="11" t="str">
        <f t="shared" si="3941"/>
        <v>22</v>
      </c>
      <c r="AD586" s="11" t="str">
        <f t="shared" si="3942"/>
        <v>10,090</v>
      </c>
      <c r="AE586" s="11">
        <f t="shared" si="3943"/>
        <v>0.36946944444444441</v>
      </c>
      <c r="AF586" s="14">
        <f t="shared" si="4030"/>
        <v>27.106436406558959</v>
      </c>
      <c r="AG586" s="41">
        <f t="shared" si="3958"/>
        <v>-100</v>
      </c>
      <c r="AH586" s="105">
        <f t="shared" ref="AH586:AJ586" si="4052">AH585</f>
        <v>20.3</v>
      </c>
      <c r="AI586" s="105">
        <f t="shared" si="4052"/>
        <v>1.5089999999999999</v>
      </c>
      <c r="AJ586" s="105">
        <f t="shared" si="4052"/>
        <v>1.504</v>
      </c>
      <c r="AK586" s="53">
        <f t="shared" si="3874"/>
        <v>0</v>
      </c>
      <c r="AL586" s="45"/>
      <c r="AM586" s="54">
        <f t="shared" ref="AM586:AN586" si="4053">AM585</f>
        <v>5.0129999999999999</v>
      </c>
      <c r="AN586" s="101" t="str">
        <f t="shared" si="4053"/>
        <v>17,59,050</v>
      </c>
      <c r="AO586" s="11" t="str">
        <f t="shared" si="3946"/>
        <v>17</v>
      </c>
      <c r="AP586" s="11" t="str">
        <f t="shared" si="3947"/>
        <v>59,050</v>
      </c>
      <c r="AQ586" s="11">
        <f t="shared" si="3948"/>
        <v>0.29973611111111109</v>
      </c>
      <c r="AR586" s="14">
        <f t="shared" si="4033"/>
        <v>16.724711551827998</v>
      </c>
      <c r="AS586" s="41">
        <f t="shared" si="4034"/>
        <v>-100</v>
      </c>
      <c r="AT586" s="43" t="str">
        <f t="shared" si="4035"/>
        <v>NO CONFORME</v>
      </c>
      <c r="AU586" s="8" t="b">
        <f t="shared" ref="AU586:AU649" si="4054">B586=C586</f>
        <v>1</v>
      </c>
      <c r="AV586" s="8" t="b">
        <f t="shared" si="3949"/>
        <v>0</v>
      </c>
      <c r="AW586" s="8" t="b">
        <f t="shared" si="3950"/>
        <v>1</v>
      </c>
      <c r="AX586" s="8" t="str">
        <f t="shared" si="3951"/>
        <v>Qcorrecto</v>
      </c>
      <c r="AY586" s="22" t="str">
        <f t="shared" si="4036"/>
        <v>aceptable</v>
      </c>
      <c r="AZ586" s="22" t="str">
        <f t="shared" si="4037"/>
        <v>aceptable</v>
      </c>
      <c r="BA586" s="22" t="str">
        <f t="shared" si="3952"/>
        <v>aceptable</v>
      </c>
      <c r="BB586" s="25" t="str">
        <f t="shared" ref="BB586:BB638" si="4055">(IF(ABS(U586)&lt;1.05,"CONFORME",IF(ABS(AG586)&lt;1.05,"CONFORME",IF(ABS(AS586)&lt;2.55,"CONFORME","NO CONFORME"))))</f>
        <v>NO CONFORME</v>
      </c>
      <c r="BC586" s="5" t="str">
        <f t="shared" ref="BC586:BC638" si="4056">(IF(ABS(U586)&gt;2.05,"NO CONFORME",IF(ABS(AG586)&gt;2.05,"NO CONFORME",IF(ABS(AS586)&gt;5.05,"NO CONFORME","CONFORME"))))</f>
        <v>NO CONFORME</v>
      </c>
      <c r="BD586" s="15">
        <f t="shared" si="4038"/>
        <v>-1</v>
      </c>
      <c r="BE586" s="15">
        <f t="shared" si="4039"/>
        <v>-1</v>
      </c>
      <c r="BF586" s="15">
        <f t="shared" si="4040"/>
        <v>-1</v>
      </c>
      <c r="BG586" s="15" t="str">
        <f t="shared" si="4041"/>
        <v>-1-1-1</v>
      </c>
      <c r="BH586" s="15" t="str">
        <f t="shared" si="4042"/>
        <v>SD</v>
      </c>
      <c r="BI586" s="15" t="str">
        <f t="shared" si="4043"/>
        <v>SI</v>
      </c>
      <c r="BJ586" s="15" t="b">
        <f t="shared" si="4044"/>
        <v>1</v>
      </c>
      <c r="BK586" s="15" t="str">
        <f t="shared" si="4045"/>
        <v>SIGIGUALES</v>
      </c>
      <c r="BL586" s="22" t="str">
        <f t="shared" si="4046"/>
        <v>NO CONFORME</v>
      </c>
    </row>
    <row r="587" spans="1:64" ht="15.75" thickBot="1" x14ac:dyDescent="0.3">
      <c r="A587" s="37">
        <v>579</v>
      </c>
      <c r="B587" s="93">
        <f t="shared" ref="B587:E587" si="4057">B586</f>
        <v>45919</v>
      </c>
      <c r="C587" s="93">
        <f t="shared" si="4057"/>
        <v>45919</v>
      </c>
      <c r="D587" s="94">
        <f t="shared" si="4057"/>
        <v>6</v>
      </c>
      <c r="E587" s="95">
        <f t="shared" si="4057"/>
        <v>15</v>
      </c>
      <c r="F587" s="13"/>
      <c r="G587" s="111"/>
      <c r="H587" s="97">
        <f t="shared" ref="H587:L587" si="4058">H586</f>
        <v>25.6</v>
      </c>
      <c r="I587" s="98">
        <f t="shared" si="4058"/>
        <v>0</v>
      </c>
      <c r="J587" s="99">
        <f t="shared" si="4058"/>
        <v>20.9</v>
      </c>
      <c r="K587" s="99">
        <f t="shared" si="4058"/>
        <v>7.883</v>
      </c>
      <c r="L587" s="99">
        <f t="shared" si="4058"/>
        <v>0.55400000000000005</v>
      </c>
      <c r="M587" s="45"/>
      <c r="N587" s="45"/>
      <c r="O587" s="100">
        <f t="shared" ref="O587:P587" si="4059">O586</f>
        <v>100.62</v>
      </c>
      <c r="P587" s="101" t="str">
        <f t="shared" si="4059"/>
        <v>2,29,560</v>
      </c>
      <c r="Q587" s="11" t="str">
        <f t="shared" si="3935"/>
        <v>2</v>
      </c>
      <c r="R587" s="11" t="str">
        <f t="shared" si="3936"/>
        <v>29,560</v>
      </c>
      <c r="S587" s="11">
        <f t="shared" si="3937"/>
        <v>4.1544444444444446E-2</v>
      </c>
      <c r="T587" s="14">
        <f t="shared" si="3938"/>
        <v>2421.9844878309709</v>
      </c>
      <c r="U587" s="39">
        <f t="shared" si="4027"/>
        <v>-100</v>
      </c>
      <c r="V587" s="105">
        <f t="shared" ref="V587:X587" si="4060">V586</f>
        <v>20.399999999999999</v>
      </c>
      <c r="W587" s="105">
        <f t="shared" si="4060"/>
        <v>1.5069999999999999</v>
      </c>
      <c r="X587" s="106">
        <f t="shared" si="4060"/>
        <v>1.504</v>
      </c>
      <c r="Y587" s="45"/>
      <c r="Z587" s="45"/>
      <c r="AA587" s="107">
        <f t="shared" ref="AA587:AB587" si="4061">AA586</f>
        <v>10.015000000000001</v>
      </c>
      <c r="AB587" s="108" t="str">
        <f t="shared" si="4061"/>
        <v>22,10,090</v>
      </c>
      <c r="AC587" s="11" t="str">
        <f t="shared" si="3941"/>
        <v>22</v>
      </c>
      <c r="AD587" s="11" t="str">
        <f t="shared" si="3942"/>
        <v>10,090</v>
      </c>
      <c r="AE587" s="11">
        <f t="shared" si="3943"/>
        <v>0.36946944444444441</v>
      </c>
      <c r="AF587" s="14">
        <f t="shared" si="4030"/>
        <v>27.106436406558959</v>
      </c>
      <c r="AG587" s="41">
        <f t="shared" si="3958"/>
        <v>-100</v>
      </c>
      <c r="AH587" s="105">
        <f t="shared" ref="AH587:AJ587" si="4062">AH586</f>
        <v>20.3</v>
      </c>
      <c r="AI587" s="105">
        <f t="shared" si="4062"/>
        <v>1.5089999999999999</v>
      </c>
      <c r="AJ587" s="105">
        <f t="shared" si="4062"/>
        <v>1.504</v>
      </c>
      <c r="AK587" s="53">
        <f t="shared" si="3874"/>
        <v>0</v>
      </c>
      <c r="AL587" s="45"/>
      <c r="AM587" s="54">
        <f t="shared" ref="AM587:AN587" si="4063">AM586</f>
        <v>5.0129999999999999</v>
      </c>
      <c r="AN587" s="101" t="str">
        <f t="shared" si="4063"/>
        <v>17,59,050</v>
      </c>
      <c r="AO587" s="11" t="str">
        <f t="shared" si="3946"/>
        <v>17</v>
      </c>
      <c r="AP587" s="11" t="str">
        <f t="shared" si="3947"/>
        <v>59,050</v>
      </c>
      <c r="AQ587" s="11">
        <f t="shared" si="3948"/>
        <v>0.29973611111111109</v>
      </c>
      <c r="AR587" s="14">
        <f t="shared" si="4033"/>
        <v>16.724711551827998</v>
      </c>
      <c r="AS587" s="41">
        <f t="shared" si="4034"/>
        <v>-100</v>
      </c>
      <c r="AT587" s="43" t="str">
        <f t="shared" si="4035"/>
        <v>NO CONFORME</v>
      </c>
      <c r="AU587" s="8" t="b">
        <f t="shared" si="4054"/>
        <v>1</v>
      </c>
      <c r="AV587" s="8" t="b">
        <f t="shared" si="3949"/>
        <v>0</v>
      </c>
      <c r="AW587" s="8" t="b">
        <f t="shared" si="3950"/>
        <v>1</v>
      </c>
      <c r="AX587" s="8" t="str">
        <f t="shared" si="3951"/>
        <v>Qcorrecto</v>
      </c>
      <c r="AY587" s="22" t="str">
        <f t="shared" si="4036"/>
        <v>aceptable</v>
      </c>
      <c r="AZ587" s="22" t="str">
        <f t="shared" si="4037"/>
        <v>aceptable</v>
      </c>
      <c r="BA587" s="22" t="str">
        <f t="shared" si="3952"/>
        <v>aceptable</v>
      </c>
      <c r="BB587" s="25" t="str">
        <f t="shared" si="4055"/>
        <v>NO CONFORME</v>
      </c>
      <c r="BC587" s="5" t="str">
        <f t="shared" si="4056"/>
        <v>NO CONFORME</v>
      </c>
      <c r="BD587" s="15">
        <f t="shared" si="4038"/>
        <v>-1</v>
      </c>
      <c r="BE587" s="15">
        <f t="shared" si="4039"/>
        <v>-1</v>
      </c>
      <c r="BF587" s="15">
        <f t="shared" si="4040"/>
        <v>-1</v>
      </c>
      <c r="BG587" s="15" t="str">
        <f t="shared" si="4041"/>
        <v>-1-1-1</v>
      </c>
      <c r="BH587" s="15" t="str">
        <f t="shared" si="4042"/>
        <v>SD</v>
      </c>
      <c r="BI587" s="15" t="str">
        <f t="shared" si="4043"/>
        <v>SI</v>
      </c>
      <c r="BJ587" s="15" t="b">
        <f t="shared" si="4044"/>
        <v>1</v>
      </c>
      <c r="BK587" s="15" t="str">
        <f t="shared" si="4045"/>
        <v>SIGIGUALES</v>
      </c>
      <c r="BL587" s="22" t="str">
        <f t="shared" si="4046"/>
        <v>NO CONFORME</v>
      </c>
    </row>
    <row r="588" spans="1:64" ht="15.75" thickBot="1" x14ac:dyDescent="0.3">
      <c r="A588" s="37">
        <v>580</v>
      </c>
      <c r="B588" s="93">
        <f t="shared" ref="B588:E588" si="4064">B587</f>
        <v>45919</v>
      </c>
      <c r="C588" s="93">
        <f t="shared" si="4064"/>
        <v>45919</v>
      </c>
      <c r="D588" s="94">
        <f t="shared" si="4064"/>
        <v>6</v>
      </c>
      <c r="E588" s="95">
        <f t="shared" si="4064"/>
        <v>15</v>
      </c>
      <c r="F588" s="13"/>
      <c r="G588" s="111"/>
      <c r="H588" s="97">
        <f t="shared" ref="H588:L588" si="4065">H587</f>
        <v>25.6</v>
      </c>
      <c r="I588" s="98">
        <f t="shared" si="4065"/>
        <v>0</v>
      </c>
      <c r="J588" s="99">
        <f t="shared" si="4065"/>
        <v>20.9</v>
      </c>
      <c r="K588" s="99">
        <f t="shared" si="4065"/>
        <v>7.883</v>
      </c>
      <c r="L588" s="99">
        <f t="shared" si="4065"/>
        <v>0.55400000000000005</v>
      </c>
      <c r="M588" s="45"/>
      <c r="N588" s="45"/>
      <c r="O588" s="100">
        <f t="shared" ref="O588:P588" si="4066">O587</f>
        <v>100.62</v>
      </c>
      <c r="P588" s="101" t="str">
        <f t="shared" si="4066"/>
        <v>2,29,560</v>
      </c>
      <c r="Q588" s="11" t="str">
        <f t="shared" si="3935"/>
        <v>2</v>
      </c>
      <c r="R588" s="11" t="str">
        <f t="shared" si="3936"/>
        <v>29,560</v>
      </c>
      <c r="S588" s="11">
        <f t="shared" si="3937"/>
        <v>4.1544444444444446E-2</v>
      </c>
      <c r="T588" s="14">
        <f t="shared" si="3938"/>
        <v>2421.9844878309709</v>
      </c>
      <c r="U588" s="39">
        <f t="shared" si="4027"/>
        <v>-100</v>
      </c>
      <c r="V588" s="105">
        <f t="shared" ref="V588:X588" si="4067">V587</f>
        <v>20.399999999999999</v>
      </c>
      <c r="W588" s="105">
        <f t="shared" si="4067"/>
        <v>1.5069999999999999</v>
      </c>
      <c r="X588" s="106">
        <f t="shared" si="4067"/>
        <v>1.504</v>
      </c>
      <c r="Y588" s="45"/>
      <c r="Z588" s="45"/>
      <c r="AA588" s="107">
        <f t="shared" ref="AA588:AB588" si="4068">AA587</f>
        <v>10.015000000000001</v>
      </c>
      <c r="AB588" s="108" t="str">
        <f t="shared" si="4068"/>
        <v>22,10,090</v>
      </c>
      <c r="AC588" s="11" t="str">
        <f t="shared" si="3941"/>
        <v>22</v>
      </c>
      <c r="AD588" s="11" t="str">
        <f t="shared" si="3942"/>
        <v>10,090</v>
      </c>
      <c r="AE588" s="11">
        <f t="shared" si="3943"/>
        <v>0.36946944444444441</v>
      </c>
      <c r="AF588" s="14">
        <f t="shared" si="4030"/>
        <v>27.106436406558959</v>
      </c>
      <c r="AG588" s="41">
        <f t="shared" si="3958"/>
        <v>-100</v>
      </c>
      <c r="AH588" s="105">
        <f t="shared" ref="AH588:AJ588" si="4069">AH587</f>
        <v>20.3</v>
      </c>
      <c r="AI588" s="105">
        <f t="shared" si="4069"/>
        <v>1.5089999999999999</v>
      </c>
      <c r="AJ588" s="105">
        <f t="shared" si="4069"/>
        <v>1.504</v>
      </c>
      <c r="AK588" s="53">
        <f t="shared" si="3874"/>
        <v>0</v>
      </c>
      <c r="AL588" s="45"/>
      <c r="AM588" s="54">
        <f t="shared" ref="AM588:AN588" si="4070">AM587</f>
        <v>5.0129999999999999</v>
      </c>
      <c r="AN588" s="101" t="str">
        <f t="shared" si="4070"/>
        <v>17,59,050</v>
      </c>
      <c r="AO588" s="11" t="str">
        <f t="shared" si="3946"/>
        <v>17</v>
      </c>
      <c r="AP588" s="11" t="str">
        <f t="shared" si="3947"/>
        <v>59,050</v>
      </c>
      <c r="AQ588" s="11">
        <f t="shared" si="3948"/>
        <v>0.29973611111111109</v>
      </c>
      <c r="AR588" s="14">
        <f t="shared" si="4033"/>
        <v>16.724711551827998</v>
      </c>
      <c r="AS588" s="41">
        <f t="shared" si="4034"/>
        <v>-100</v>
      </c>
      <c r="AT588" s="43" t="str">
        <f t="shared" si="4035"/>
        <v>NO CONFORME</v>
      </c>
      <c r="AU588" s="8" t="b">
        <f t="shared" si="4054"/>
        <v>1</v>
      </c>
      <c r="AV588" s="8" t="b">
        <f t="shared" si="3949"/>
        <v>0</v>
      </c>
      <c r="AW588" s="8" t="b">
        <f t="shared" si="3950"/>
        <v>1</v>
      </c>
      <c r="AX588" s="8" t="str">
        <f t="shared" si="3951"/>
        <v>Qcorrecto</v>
      </c>
      <c r="AY588" s="22" t="str">
        <f t="shared" si="4036"/>
        <v>aceptable</v>
      </c>
      <c r="AZ588" s="22" t="str">
        <f t="shared" si="4037"/>
        <v>aceptable</v>
      </c>
      <c r="BA588" s="22" t="str">
        <f t="shared" si="3952"/>
        <v>aceptable</v>
      </c>
      <c r="BB588" s="25" t="str">
        <f t="shared" si="4055"/>
        <v>NO CONFORME</v>
      </c>
      <c r="BC588" s="5" t="str">
        <f t="shared" si="4056"/>
        <v>NO CONFORME</v>
      </c>
      <c r="BD588" s="15">
        <f t="shared" si="4038"/>
        <v>-1</v>
      </c>
      <c r="BE588" s="15">
        <f t="shared" si="4039"/>
        <v>-1</v>
      </c>
      <c r="BF588" s="15">
        <f t="shared" si="4040"/>
        <v>-1</v>
      </c>
      <c r="BG588" s="15" t="str">
        <f t="shared" si="4041"/>
        <v>-1-1-1</v>
      </c>
      <c r="BH588" s="15" t="str">
        <f t="shared" si="4042"/>
        <v>SD</v>
      </c>
      <c r="BI588" s="15" t="str">
        <f t="shared" si="4043"/>
        <v>SI</v>
      </c>
      <c r="BJ588" s="15" t="b">
        <f t="shared" si="4044"/>
        <v>1</v>
      </c>
      <c r="BK588" s="15" t="str">
        <f t="shared" si="4045"/>
        <v>SIGIGUALES</v>
      </c>
      <c r="BL588" s="22" t="str">
        <f t="shared" si="4046"/>
        <v>NO CONFORME</v>
      </c>
    </row>
    <row r="589" spans="1:64" ht="15.75" thickBot="1" x14ac:dyDescent="0.3">
      <c r="A589" s="37">
        <v>581</v>
      </c>
      <c r="B589" s="93">
        <f t="shared" ref="B589:E589" si="4071">B588</f>
        <v>45919</v>
      </c>
      <c r="C589" s="93">
        <f t="shared" si="4071"/>
        <v>45919</v>
      </c>
      <c r="D589" s="94">
        <f t="shared" si="4071"/>
        <v>6</v>
      </c>
      <c r="E589" s="95">
        <f t="shared" si="4071"/>
        <v>15</v>
      </c>
      <c r="F589" s="13"/>
      <c r="G589" s="111"/>
      <c r="H589" s="97">
        <f t="shared" ref="H589:L589" si="4072">H588</f>
        <v>25.6</v>
      </c>
      <c r="I589" s="98">
        <f t="shared" si="4072"/>
        <v>0</v>
      </c>
      <c r="J589" s="99">
        <f t="shared" si="4072"/>
        <v>20.9</v>
      </c>
      <c r="K589" s="99">
        <f t="shared" si="4072"/>
        <v>7.883</v>
      </c>
      <c r="L589" s="99">
        <f t="shared" si="4072"/>
        <v>0.55400000000000005</v>
      </c>
      <c r="M589" s="45"/>
      <c r="N589" s="45"/>
      <c r="O589" s="100">
        <f t="shared" ref="O589:P589" si="4073">O588</f>
        <v>100.62</v>
      </c>
      <c r="P589" s="101" t="str">
        <f t="shared" si="4073"/>
        <v>2,29,560</v>
      </c>
      <c r="Q589" s="11" t="str">
        <f t="shared" si="3935"/>
        <v>2</v>
      </c>
      <c r="R589" s="11" t="str">
        <f t="shared" si="3936"/>
        <v>29,560</v>
      </c>
      <c r="S589" s="11">
        <f t="shared" si="3937"/>
        <v>4.1544444444444446E-2</v>
      </c>
      <c r="T589" s="14">
        <f t="shared" si="3938"/>
        <v>2421.9844878309709</v>
      </c>
      <c r="U589" s="39">
        <f t="shared" si="4027"/>
        <v>-100</v>
      </c>
      <c r="V589" s="105">
        <f t="shared" ref="V589:X589" si="4074">V588</f>
        <v>20.399999999999999</v>
      </c>
      <c r="W589" s="105">
        <f t="shared" si="4074"/>
        <v>1.5069999999999999</v>
      </c>
      <c r="X589" s="106">
        <f t="shared" si="4074"/>
        <v>1.504</v>
      </c>
      <c r="Y589" s="45"/>
      <c r="Z589" s="45"/>
      <c r="AA589" s="107">
        <f t="shared" ref="AA589:AB589" si="4075">AA588</f>
        <v>10.015000000000001</v>
      </c>
      <c r="AB589" s="108" t="str">
        <f t="shared" si="4075"/>
        <v>22,10,090</v>
      </c>
      <c r="AC589" s="11" t="str">
        <f t="shared" si="3941"/>
        <v>22</v>
      </c>
      <c r="AD589" s="11" t="str">
        <f t="shared" si="3942"/>
        <v>10,090</v>
      </c>
      <c r="AE589" s="11">
        <f t="shared" si="3943"/>
        <v>0.36946944444444441</v>
      </c>
      <c r="AF589" s="14">
        <f t="shared" si="4030"/>
        <v>27.106436406558959</v>
      </c>
      <c r="AG589" s="41">
        <f t="shared" si="3958"/>
        <v>-100</v>
      </c>
      <c r="AH589" s="105">
        <f t="shared" ref="AH589:AJ589" si="4076">AH588</f>
        <v>20.3</v>
      </c>
      <c r="AI589" s="105">
        <f t="shared" si="4076"/>
        <v>1.5089999999999999</v>
      </c>
      <c r="AJ589" s="105">
        <f t="shared" si="4076"/>
        <v>1.504</v>
      </c>
      <c r="AK589" s="53">
        <f t="shared" si="3874"/>
        <v>0</v>
      </c>
      <c r="AL589" s="45"/>
      <c r="AM589" s="54">
        <f t="shared" ref="AM589:AN589" si="4077">AM588</f>
        <v>5.0129999999999999</v>
      </c>
      <c r="AN589" s="101" t="str">
        <f t="shared" si="4077"/>
        <v>17,59,050</v>
      </c>
      <c r="AO589" s="11" t="str">
        <f t="shared" si="3946"/>
        <v>17</v>
      </c>
      <c r="AP589" s="11" t="str">
        <f t="shared" si="3947"/>
        <v>59,050</v>
      </c>
      <c r="AQ589" s="11">
        <f t="shared" si="3948"/>
        <v>0.29973611111111109</v>
      </c>
      <c r="AR589" s="14">
        <f t="shared" si="4033"/>
        <v>16.724711551827998</v>
      </c>
      <c r="AS589" s="41">
        <f t="shared" si="4034"/>
        <v>-100</v>
      </c>
      <c r="AT589" s="43" t="str">
        <f t="shared" si="4035"/>
        <v>NO CONFORME</v>
      </c>
      <c r="AU589" s="8" t="b">
        <f t="shared" si="4054"/>
        <v>1</v>
      </c>
      <c r="AV589" s="8" t="b">
        <f t="shared" si="3949"/>
        <v>0</v>
      </c>
      <c r="AW589" s="8" t="b">
        <f t="shared" si="3950"/>
        <v>1</v>
      </c>
      <c r="AX589" s="8" t="str">
        <f t="shared" si="3951"/>
        <v>Qcorrecto</v>
      </c>
      <c r="AY589" s="22" t="str">
        <f t="shared" si="4036"/>
        <v>aceptable</v>
      </c>
      <c r="AZ589" s="22" t="str">
        <f t="shared" si="4037"/>
        <v>aceptable</v>
      </c>
      <c r="BA589" s="22" t="str">
        <f t="shared" si="3952"/>
        <v>aceptable</v>
      </c>
      <c r="BB589" s="25" t="str">
        <f t="shared" si="4055"/>
        <v>NO CONFORME</v>
      </c>
      <c r="BC589" s="5" t="str">
        <f t="shared" si="4056"/>
        <v>NO CONFORME</v>
      </c>
      <c r="BD589" s="15">
        <f t="shared" si="4038"/>
        <v>-1</v>
      </c>
      <c r="BE589" s="15">
        <f t="shared" si="4039"/>
        <v>-1</v>
      </c>
      <c r="BF589" s="15">
        <f t="shared" si="4040"/>
        <v>-1</v>
      </c>
      <c r="BG589" s="15" t="str">
        <f t="shared" si="4041"/>
        <v>-1-1-1</v>
      </c>
      <c r="BH589" s="15" t="str">
        <f t="shared" si="4042"/>
        <v>SD</v>
      </c>
      <c r="BI589" s="15" t="str">
        <f t="shared" si="4043"/>
        <v>SI</v>
      </c>
      <c r="BJ589" s="15" t="b">
        <f t="shared" si="4044"/>
        <v>1</v>
      </c>
      <c r="BK589" s="15" t="str">
        <f t="shared" si="4045"/>
        <v>SIGIGUALES</v>
      </c>
      <c r="BL589" s="22" t="str">
        <f t="shared" si="4046"/>
        <v>NO CONFORME</v>
      </c>
    </row>
    <row r="590" spans="1:64" ht="15.75" thickBot="1" x14ac:dyDescent="0.3">
      <c r="A590" s="37">
        <v>582</v>
      </c>
      <c r="B590" s="93">
        <f t="shared" ref="B590:E590" si="4078">B589</f>
        <v>45919</v>
      </c>
      <c r="C590" s="93">
        <f t="shared" si="4078"/>
        <v>45919</v>
      </c>
      <c r="D590" s="94">
        <f t="shared" si="4078"/>
        <v>6</v>
      </c>
      <c r="E590" s="95">
        <f t="shared" si="4078"/>
        <v>15</v>
      </c>
      <c r="F590" s="13"/>
      <c r="G590" s="111"/>
      <c r="H590" s="97">
        <f t="shared" ref="H590:L590" si="4079">H589</f>
        <v>25.6</v>
      </c>
      <c r="I590" s="98">
        <f t="shared" si="4079"/>
        <v>0</v>
      </c>
      <c r="J590" s="99">
        <f t="shared" si="4079"/>
        <v>20.9</v>
      </c>
      <c r="K590" s="99">
        <f t="shared" si="4079"/>
        <v>7.883</v>
      </c>
      <c r="L590" s="99">
        <f t="shared" si="4079"/>
        <v>0.55400000000000005</v>
      </c>
      <c r="M590" s="45"/>
      <c r="N590" s="45"/>
      <c r="O590" s="100">
        <f t="shared" ref="O590:P590" si="4080">O589</f>
        <v>100.62</v>
      </c>
      <c r="P590" s="101" t="str">
        <f t="shared" si="4080"/>
        <v>2,29,560</v>
      </c>
      <c r="Q590" s="11" t="str">
        <f t="shared" si="3935"/>
        <v>2</v>
      </c>
      <c r="R590" s="11" t="str">
        <f t="shared" si="3936"/>
        <v>29,560</v>
      </c>
      <c r="S590" s="11">
        <f t="shared" si="3937"/>
        <v>4.1544444444444446E-2</v>
      </c>
      <c r="T590" s="14">
        <f t="shared" si="3938"/>
        <v>2421.9844878309709</v>
      </c>
      <c r="U590" s="39">
        <f t="shared" si="4027"/>
        <v>-100</v>
      </c>
      <c r="V590" s="105">
        <f t="shared" ref="V590:X590" si="4081">V589</f>
        <v>20.399999999999999</v>
      </c>
      <c r="W590" s="105">
        <f t="shared" si="4081"/>
        <v>1.5069999999999999</v>
      </c>
      <c r="X590" s="106">
        <f t="shared" si="4081"/>
        <v>1.504</v>
      </c>
      <c r="Y590" s="45"/>
      <c r="Z590" s="45"/>
      <c r="AA590" s="107">
        <f t="shared" ref="AA590:AB590" si="4082">AA589</f>
        <v>10.015000000000001</v>
      </c>
      <c r="AB590" s="108" t="str">
        <f t="shared" si="4082"/>
        <v>22,10,090</v>
      </c>
      <c r="AC590" s="11" t="str">
        <f t="shared" si="3941"/>
        <v>22</v>
      </c>
      <c r="AD590" s="11" t="str">
        <f t="shared" si="3942"/>
        <v>10,090</v>
      </c>
      <c r="AE590" s="11">
        <f t="shared" si="3943"/>
        <v>0.36946944444444441</v>
      </c>
      <c r="AF590" s="14">
        <f t="shared" si="4030"/>
        <v>27.106436406558959</v>
      </c>
      <c r="AG590" s="41">
        <f t="shared" si="3958"/>
        <v>-100</v>
      </c>
      <c r="AH590" s="105">
        <f t="shared" ref="AH590:AJ590" si="4083">AH589</f>
        <v>20.3</v>
      </c>
      <c r="AI590" s="105">
        <f t="shared" si="4083"/>
        <v>1.5089999999999999</v>
      </c>
      <c r="AJ590" s="105">
        <f t="shared" si="4083"/>
        <v>1.504</v>
      </c>
      <c r="AK590" s="53">
        <f t="shared" si="3874"/>
        <v>0</v>
      </c>
      <c r="AL590" s="45"/>
      <c r="AM590" s="54">
        <f t="shared" ref="AM590:AN590" si="4084">AM589</f>
        <v>5.0129999999999999</v>
      </c>
      <c r="AN590" s="101" t="str">
        <f t="shared" si="4084"/>
        <v>17,59,050</v>
      </c>
      <c r="AO590" s="11" t="str">
        <f t="shared" si="3946"/>
        <v>17</v>
      </c>
      <c r="AP590" s="11" t="str">
        <f t="shared" si="3947"/>
        <v>59,050</v>
      </c>
      <c r="AQ590" s="11">
        <f t="shared" si="3948"/>
        <v>0.29973611111111109</v>
      </c>
      <c r="AR590" s="14">
        <f t="shared" si="4033"/>
        <v>16.724711551827998</v>
      </c>
      <c r="AS590" s="41">
        <f t="shared" si="4034"/>
        <v>-100</v>
      </c>
      <c r="AT590" s="43" t="str">
        <f t="shared" si="4035"/>
        <v>NO CONFORME</v>
      </c>
      <c r="AU590" s="8" t="b">
        <f t="shared" si="4054"/>
        <v>1</v>
      </c>
      <c r="AV590" s="8" t="b">
        <f t="shared" si="3949"/>
        <v>0</v>
      </c>
      <c r="AW590" s="8" t="b">
        <f t="shared" si="3950"/>
        <v>1</v>
      </c>
      <c r="AX590" s="8" t="str">
        <f t="shared" si="3951"/>
        <v>Qcorrecto</v>
      </c>
      <c r="AY590" s="22" t="str">
        <f t="shared" si="4036"/>
        <v>aceptable</v>
      </c>
      <c r="AZ590" s="22" t="str">
        <f t="shared" si="4037"/>
        <v>aceptable</v>
      </c>
      <c r="BA590" s="22" t="str">
        <f t="shared" si="3952"/>
        <v>aceptable</v>
      </c>
      <c r="BB590" s="25" t="str">
        <f t="shared" si="4055"/>
        <v>NO CONFORME</v>
      </c>
      <c r="BC590" s="5" t="str">
        <f t="shared" si="4056"/>
        <v>NO CONFORME</v>
      </c>
      <c r="BD590" s="15">
        <f t="shared" si="4038"/>
        <v>-1</v>
      </c>
      <c r="BE590" s="15">
        <f t="shared" si="4039"/>
        <v>-1</v>
      </c>
      <c r="BF590" s="15">
        <f t="shared" si="4040"/>
        <v>-1</v>
      </c>
      <c r="BG590" s="15" t="str">
        <f t="shared" si="4041"/>
        <v>-1-1-1</v>
      </c>
      <c r="BH590" s="15" t="str">
        <f t="shared" si="4042"/>
        <v>SD</v>
      </c>
      <c r="BI590" s="15" t="str">
        <f t="shared" si="4043"/>
        <v>SI</v>
      </c>
      <c r="BJ590" s="15" t="b">
        <f t="shared" si="4044"/>
        <v>1</v>
      </c>
      <c r="BK590" s="15" t="str">
        <f t="shared" si="4045"/>
        <v>SIGIGUALES</v>
      </c>
      <c r="BL590" s="22" t="str">
        <f t="shared" si="4046"/>
        <v>NO CONFORME</v>
      </c>
    </row>
    <row r="591" spans="1:64" ht="15.75" thickBot="1" x14ac:dyDescent="0.3">
      <c r="A591" s="37">
        <v>583</v>
      </c>
      <c r="B591" s="93">
        <f t="shared" ref="B591:E591" si="4085">B590</f>
        <v>45919</v>
      </c>
      <c r="C591" s="93">
        <f t="shared" si="4085"/>
        <v>45919</v>
      </c>
      <c r="D591" s="94">
        <f t="shared" si="4085"/>
        <v>6</v>
      </c>
      <c r="E591" s="95">
        <f t="shared" si="4085"/>
        <v>15</v>
      </c>
      <c r="F591" s="13"/>
      <c r="G591" s="111"/>
      <c r="H591" s="97">
        <f t="shared" ref="H591:L591" si="4086">H590</f>
        <v>25.6</v>
      </c>
      <c r="I591" s="98">
        <f t="shared" si="4086"/>
        <v>0</v>
      </c>
      <c r="J591" s="99">
        <f t="shared" si="4086"/>
        <v>20.9</v>
      </c>
      <c r="K591" s="99">
        <f t="shared" si="4086"/>
        <v>7.883</v>
      </c>
      <c r="L591" s="99">
        <f t="shared" si="4086"/>
        <v>0.55400000000000005</v>
      </c>
      <c r="M591" s="45"/>
      <c r="N591" s="45"/>
      <c r="O591" s="100">
        <f t="shared" ref="O591:P591" si="4087">O590</f>
        <v>100.62</v>
      </c>
      <c r="P591" s="101" t="str">
        <f t="shared" si="4087"/>
        <v>2,29,560</v>
      </c>
      <c r="Q591" s="11" t="str">
        <f t="shared" si="3935"/>
        <v>2</v>
      </c>
      <c r="R591" s="11" t="str">
        <f t="shared" si="3936"/>
        <v>29,560</v>
      </c>
      <c r="S591" s="11">
        <f t="shared" si="3937"/>
        <v>4.1544444444444446E-2</v>
      </c>
      <c r="T591" s="14">
        <f t="shared" si="3938"/>
        <v>2421.9844878309709</v>
      </c>
      <c r="U591" s="39">
        <f t="shared" si="4027"/>
        <v>-100</v>
      </c>
      <c r="V591" s="105">
        <f t="shared" ref="V591:X591" si="4088">V590</f>
        <v>20.399999999999999</v>
      </c>
      <c r="W591" s="105">
        <f t="shared" si="4088"/>
        <v>1.5069999999999999</v>
      </c>
      <c r="X591" s="106">
        <f t="shared" si="4088"/>
        <v>1.504</v>
      </c>
      <c r="Y591" s="45"/>
      <c r="Z591" s="45"/>
      <c r="AA591" s="107">
        <f t="shared" ref="AA591:AB591" si="4089">AA590</f>
        <v>10.015000000000001</v>
      </c>
      <c r="AB591" s="108" t="str">
        <f t="shared" si="4089"/>
        <v>22,10,090</v>
      </c>
      <c r="AC591" s="11" t="str">
        <f t="shared" si="3941"/>
        <v>22</v>
      </c>
      <c r="AD591" s="11" t="str">
        <f t="shared" si="3942"/>
        <v>10,090</v>
      </c>
      <c r="AE591" s="11">
        <f t="shared" si="3943"/>
        <v>0.36946944444444441</v>
      </c>
      <c r="AF591" s="14">
        <f t="shared" si="4030"/>
        <v>27.106436406558959</v>
      </c>
      <c r="AG591" s="41">
        <f t="shared" si="3958"/>
        <v>-100</v>
      </c>
      <c r="AH591" s="105">
        <f t="shared" ref="AH591:AJ591" si="4090">AH590</f>
        <v>20.3</v>
      </c>
      <c r="AI591" s="105">
        <f t="shared" si="4090"/>
        <v>1.5089999999999999</v>
      </c>
      <c r="AJ591" s="105">
        <f t="shared" si="4090"/>
        <v>1.504</v>
      </c>
      <c r="AK591" s="53">
        <f t="shared" si="3874"/>
        <v>0</v>
      </c>
      <c r="AL591" s="45"/>
      <c r="AM591" s="54">
        <f t="shared" ref="AM591:AN591" si="4091">AM590</f>
        <v>5.0129999999999999</v>
      </c>
      <c r="AN591" s="101" t="str">
        <f t="shared" si="4091"/>
        <v>17,59,050</v>
      </c>
      <c r="AO591" s="11" t="str">
        <f t="shared" si="3946"/>
        <v>17</v>
      </c>
      <c r="AP591" s="11" t="str">
        <f t="shared" si="3947"/>
        <v>59,050</v>
      </c>
      <c r="AQ591" s="11">
        <f t="shared" si="3948"/>
        <v>0.29973611111111109</v>
      </c>
      <c r="AR591" s="14">
        <f t="shared" si="4033"/>
        <v>16.724711551827998</v>
      </c>
      <c r="AS591" s="41">
        <f t="shared" si="4034"/>
        <v>-100</v>
      </c>
      <c r="AT591" s="43" t="str">
        <f t="shared" si="4035"/>
        <v>NO CONFORME</v>
      </c>
      <c r="AU591" s="8" t="b">
        <f t="shared" si="4054"/>
        <v>1</v>
      </c>
      <c r="AV591" s="8" t="b">
        <f t="shared" si="3949"/>
        <v>0</v>
      </c>
      <c r="AW591" s="8" t="b">
        <f t="shared" si="3950"/>
        <v>1</v>
      </c>
      <c r="AX591" s="8" t="str">
        <f t="shared" si="3951"/>
        <v>Qcorrecto</v>
      </c>
      <c r="AY591" s="22" t="str">
        <f t="shared" si="4036"/>
        <v>aceptable</v>
      </c>
      <c r="AZ591" s="22" t="str">
        <f t="shared" si="4037"/>
        <v>aceptable</v>
      </c>
      <c r="BA591" s="22" t="str">
        <f t="shared" si="3952"/>
        <v>aceptable</v>
      </c>
      <c r="BB591" s="25" t="str">
        <f t="shared" si="4055"/>
        <v>NO CONFORME</v>
      </c>
      <c r="BC591" s="5" t="str">
        <f t="shared" si="4056"/>
        <v>NO CONFORME</v>
      </c>
      <c r="BD591" s="15">
        <f t="shared" si="4038"/>
        <v>-1</v>
      </c>
      <c r="BE591" s="15">
        <f t="shared" si="4039"/>
        <v>-1</v>
      </c>
      <c r="BF591" s="15">
        <f t="shared" si="4040"/>
        <v>-1</v>
      </c>
      <c r="BG591" s="15" t="str">
        <f t="shared" si="4041"/>
        <v>-1-1-1</v>
      </c>
      <c r="BH591" s="15" t="str">
        <f t="shared" si="4042"/>
        <v>SD</v>
      </c>
      <c r="BI591" s="15" t="str">
        <f t="shared" si="4043"/>
        <v>SI</v>
      </c>
      <c r="BJ591" s="15" t="b">
        <f t="shared" si="4044"/>
        <v>1</v>
      </c>
      <c r="BK591" s="15" t="str">
        <f t="shared" si="4045"/>
        <v>SIGIGUALES</v>
      </c>
      <c r="BL591" s="22" t="str">
        <f t="shared" si="4046"/>
        <v>NO CONFORME</v>
      </c>
    </row>
    <row r="592" spans="1:64" ht="15.75" thickBot="1" x14ac:dyDescent="0.3">
      <c r="A592" s="37">
        <v>584</v>
      </c>
      <c r="B592" s="93">
        <f t="shared" ref="B592:E592" si="4092">B591</f>
        <v>45919</v>
      </c>
      <c r="C592" s="93">
        <f t="shared" si="4092"/>
        <v>45919</v>
      </c>
      <c r="D592" s="94">
        <f t="shared" si="4092"/>
        <v>6</v>
      </c>
      <c r="E592" s="95">
        <f t="shared" si="4092"/>
        <v>15</v>
      </c>
      <c r="F592" s="13"/>
      <c r="G592" s="111"/>
      <c r="H592" s="97">
        <f t="shared" ref="H592:L592" si="4093">H591</f>
        <v>25.6</v>
      </c>
      <c r="I592" s="98">
        <f t="shared" si="4093"/>
        <v>0</v>
      </c>
      <c r="J592" s="99">
        <f t="shared" si="4093"/>
        <v>20.9</v>
      </c>
      <c r="K592" s="99">
        <f t="shared" si="4093"/>
        <v>7.883</v>
      </c>
      <c r="L592" s="99">
        <f t="shared" si="4093"/>
        <v>0.55400000000000005</v>
      </c>
      <c r="M592" s="45"/>
      <c r="N592" s="45"/>
      <c r="O592" s="100">
        <f t="shared" ref="O592:P592" si="4094">O591</f>
        <v>100.62</v>
      </c>
      <c r="P592" s="101" t="str">
        <f t="shared" si="4094"/>
        <v>2,29,560</v>
      </c>
      <c r="Q592" s="11" t="str">
        <f t="shared" si="3935"/>
        <v>2</v>
      </c>
      <c r="R592" s="11" t="str">
        <f t="shared" si="3936"/>
        <v>29,560</v>
      </c>
      <c r="S592" s="11">
        <f t="shared" si="3937"/>
        <v>4.1544444444444446E-2</v>
      </c>
      <c r="T592" s="14">
        <f t="shared" si="3938"/>
        <v>2421.9844878309709</v>
      </c>
      <c r="U592" s="39">
        <f t="shared" si="4027"/>
        <v>-100</v>
      </c>
      <c r="V592" s="105">
        <f t="shared" ref="V592:X592" si="4095">V591</f>
        <v>20.399999999999999</v>
      </c>
      <c r="W592" s="105">
        <f t="shared" si="4095"/>
        <v>1.5069999999999999</v>
      </c>
      <c r="X592" s="106">
        <f t="shared" si="4095"/>
        <v>1.504</v>
      </c>
      <c r="Y592" s="45"/>
      <c r="Z592" s="45"/>
      <c r="AA592" s="107">
        <f t="shared" ref="AA592:AB592" si="4096">AA591</f>
        <v>10.015000000000001</v>
      </c>
      <c r="AB592" s="108" t="str">
        <f t="shared" si="4096"/>
        <v>22,10,090</v>
      </c>
      <c r="AC592" s="11" t="str">
        <f t="shared" si="3941"/>
        <v>22</v>
      </c>
      <c r="AD592" s="11" t="str">
        <f t="shared" si="3942"/>
        <v>10,090</v>
      </c>
      <c r="AE592" s="11">
        <f t="shared" si="3943"/>
        <v>0.36946944444444441</v>
      </c>
      <c r="AF592" s="14">
        <f t="shared" si="4030"/>
        <v>27.106436406558959</v>
      </c>
      <c r="AG592" s="41">
        <f t="shared" si="3958"/>
        <v>-100</v>
      </c>
      <c r="AH592" s="105">
        <f t="shared" ref="AH592:AJ592" si="4097">AH591</f>
        <v>20.3</v>
      </c>
      <c r="AI592" s="105">
        <f t="shared" si="4097"/>
        <v>1.5089999999999999</v>
      </c>
      <c r="AJ592" s="105">
        <f t="shared" si="4097"/>
        <v>1.504</v>
      </c>
      <c r="AK592" s="53">
        <f t="shared" si="3874"/>
        <v>0</v>
      </c>
      <c r="AL592" s="45"/>
      <c r="AM592" s="54">
        <f t="shared" ref="AM592:AN592" si="4098">AM591</f>
        <v>5.0129999999999999</v>
      </c>
      <c r="AN592" s="101" t="str">
        <f t="shared" si="4098"/>
        <v>17,59,050</v>
      </c>
      <c r="AO592" s="11" t="str">
        <f t="shared" si="3946"/>
        <v>17</v>
      </c>
      <c r="AP592" s="11" t="str">
        <f t="shared" si="3947"/>
        <v>59,050</v>
      </c>
      <c r="AQ592" s="11">
        <f t="shared" si="3948"/>
        <v>0.29973611111111109</v>
      </c>
      <c r="AR592" s="14">
        <f t="shared" si="4033"/>
        <v>16.724711551827998</v>
      </c>
      <c r="AS592" s="41">
        <f t="shared" si="4034"/>
        <v>-100</v>
      </c>
      <c r="AT592" s="43" t="str">
        <f t="shared" si="4035"/>
        <v>NO CONFORME</v>
      </c>
      <c r="AU592" s="8" t="b">
        <f t="shared" si="4054"/>
        <v>1</v>
      </c>
      <c r="AV592" s="8" t="b">
        <f t="shared" si="3949"/>
        <v>0</v>
      </c>
      <c r="AW592" s="8" t="b">
        <f t="shared" si="3950"/>
        <v>1</v>
      </c>
      <c r="AX592" s="8" t="str">
        <f t="shared" si="3951"/>
        <v>Qcorrecto</v>
      </c>
      <c r="AY592" s="22" t="str">
        <f t="shared" si="4036"/>
        <v>aceptable</v>
      </c>
      <c r="AZ592" s="22" t="str">
        <f t="shared" si="4037"/>
        <v>aceptable</v>
      </c>
      <c r="BA592" s="22" t="str">
        <f t="shared" si="3952"/>
        <v>aceptable</v>
      </c>
      <c r="BB592" s="25" t="str">
        <f t="shared" si="4055"/>
        <v>NO CONFORME</v>
      </c>
      <c r="BC592" s="5" t="str">
        <f t="shared" si="4056"/>
        <v>NO CONFORME</v>
      </c>
      <c r="BD592" s="15">
        <f t="shared" si="4038"/>
        <v>-1</v>
      </c>
      <c r="BE592" s="15">
        <f t="shared" si="4039"/>
        <v>-1</v>
      </c>
      <c r="BF592" s="15">
        <f t="shared" si="4040"/>
        <v>-1</v>
      </c>
      <c r="BG592" s="15" t="str">
        <f t="shared" si="4041"/>
        <v>-1-1-1</v>
      </c>
      <c r="BH592" s="15" t="str">
        <f t="shared" si="4042"/>
        <v>SD</v>
      </c>
      <c r="BI592" s="15" t="str">
        <f t="shared" si="4043"/>
        <v>SI</v>
      </c>
      <c r="BJ592" s="15" t="b">
        <f t="shared" si="4044"/>
        <v>1</v>
      </c>
      <c r="BK592" s="15" t="str">
        <f t="shared" si="4045"/>
        <v>SIGIGUALES</v>
      </c>
      <c r="BL592" s="22" t="str">
        <f t="shared" si="4046"/>
        <v>NO CONFORME</v>
      </c>
    </row>
    <row r="593" spans="1:64" ht="15.75" thickBot="1" x14ac:dyDescent="0.3">
      <c r="A593" s="37">
        <v>585</v>
      </c>
      <c r="B593" s="93">
        <f t="shared" ref="B593:E593" si="4099">B592</f>
        <v>45919</v>
      </c>
      <c r="C593" s="93">
        <f t="shared" si="4099"/>
        <v>45919</v>
      </c>
      <c r="D593" s="94">
        <f t="shared" si="4099"/>
        <v>6</v>
      </c>
      <c r="E593" s="95">
        <f t="shared" si="4099"/>
        <v>15</v>
      </c>
      <c r="F593" s="52"/>
      <c r="G593" s="113"/>
      <c r="H593" s="97">
        <f t="shared" ref="H593:L593" si="4100">H592</f>
        <v>25.6</v>
      </c>
      <c r="I593" s="98">
        <f t="shared" si="4100"/>
        <v>0</v>
      </c>
      <c r="J593" s="99">
        <f t="shared" si="4100"/>
        <v>20.9</v>
      </c>
      <c r="K593" s="99">
        <f t="shared" si="4100"/>
        <v>7.883</v>
      </c>
      <c r="L593" s="99">
        <f t="shared" si="4100"/>
        <v>0.55400000000000005</v>
      </c>
      <c r="M593" s="53"/>
      <c r="N593" s="53"/>
      <c r="O593" s="100">
        <f t="shared" ref="O593:P593" si="4101">O592</f>
        <v>100.62</v>
      </c>
      <c r="P593" s="101" t="str">
        <f t="shared" si="4101"/>
        <v>2,29,560</v>
      </c>
      <c r="Q593" s="11" t="str">
        <f t="shared" si="3935"/>
        <v>2</v>
      </c>
      <c r="R593" s="11" t="str">
        <f t="shared" si="3936"/>
        <v>29,560</v>
      </c>
      <c r="S593" s="11">
        <f t="shared" si="3937"/>
        <v>4.1544444444444446E-2</v>
      </c>
      <c r="T593" s="14">
        <f t="shared" si="3938"/>
        <v>2421.9844878309709</v>
      </c>
      <c r="U593" s="39">
        <f t="shared" si="4027"/>
        <v>-100</v>
      </c>
      <c r="V593" s="105">
        <f t="shared" ref="V593:X593" si="4102">V592</f>
        <v>20.399999999999999</v>
      </c>
      <c r="W593" s="105">
        <f t="shared" si="4102"/>
        <v>1.5069999999999999</v>
      </c>
      <c r="X593" s="106">
        <f t="shared" si="4102"/>
        <v>1.504</v>
      </c>
      <c r="Y593" s="53"/>
      <c r="Z593" s="53"/>
      <c r="AA593" s="107">
        <f t="shared" ref="AA593:AB593" si="4103">AA592</f>
        <v>10.015000000000001</v>
      </c>
      <c r="AB593" s="108" t="str">
        <f t="shared" si="4103"/>
        <v>22,10,090</v>
      </c>
      <c r="AC593" s="11" t="str">
        <f t="shared" si="3941"/>
        <v>22</v>
      </c>
      <c r="AD593" s="11" t="str">
        <f t="shared" si="3942"/>
        <v>10,090</v>
      </c>
      <c r="AE593" s="11">
        <f t="shared" si="3943"/>
        <v>0.36946944444444441</v>
      </c>
      <c r="AF593" s="14">
        <f t="shared" si="4030"/>
        <v>27.106436406558959</v>
      </c>
      <c r="AG593" s="41">
        <f t="shared" si="3958"/>
        <v>-100</v>
      </c>
      <c r="AH593" s="105">
        <f t="shared" ref="AH593:AJ593" si="4104">AH592</f>
        <v>20.3</v>
      </c>
      <c r="AI593" s="105">
        <f t="shared" si="4104"/>
        <v>1.5089999999999999</v>
      </c>
      <c r="AJ593" s="105">
        <f t="shared" si="4104"/>
        <v>1.504</v>
      </c>
      <c r="AK593" s="53">
        <f t="shared" si="3874"/>
        <v>0</v>
      </c>
      <c r="AL593" s="53"/>
      <c r="AM593" s="54">
        <f t="shared" ref="AM593:AN593" si="4105">AM592</f>
        <v>5.0129999999999999</v>
      </c>
      <c r="AN593" s="101" t="str">
        <f t="shared" si="4105"/>
        <v>17,59,050</v>
      </c>
      <c r="AO593" s="11" t="str">
        <f t="shared" si="3946"/>
        <v>17</v>
      </c>
      <c r="AP593" s="11" t="str">
        <f t="shared" si="3947"/>
        <v>59,050</v>
      </c>
      <c r="AQ593" s="11">
        <f t="shared" si="3948"/>
        <v>0.29973611111111109</v>
      </c>
      <c r="AR593" s="14">
        <f t="shared" si="4033"/>
        <v>16.724711551827998</v>
      </c>
      <c r="AS593" s="41">
        <f t="shared" si="4034"/>
        <v>-100</v>
      </c>
      <c r="AT593" s="43" t="str">
        <f t="shared" si="4035"/>
        <v>NO CONFORME</v>
      </c>
      <c r="AU593" s="8" t="b">
        <f t="shared" si="4054"/>
        <v>1</v>
      </c>
      <c r="AV593" s="8" t="b">
        <f t="shared" si="3949"/>
        <v>0</v>
      </c>
      <c r="AW593" s="8" t="b">
        <f t="shared" si="3950"/>
        <v>1</v>
      </c>
      <c r="AX593" s="8" t="str">
        <f t="shared" si="3951"/>
        <v>Qcorrecto</v>
      </c>
      <c r="AY593" s="22" t="str">
        <f t="shared" si="4036"/>
        <v>aceptable</v>
      </c>
      <c r="AZ593" s="22" t="str">
        <f t="shared" si="4037"/>
        <v>aceptable</v>
      </c>
      <c r="BA593" s="22" t="str">
        <f t="shared" si="3952"/>
        <v>aceptable</v>
      </c>
      <c r="BB593" s="25" t="str">
        <f t="shared" si="4055"/>
        <v>NO CONFORME</v>
      </c>
      <c r="BC593" s="5" t="str">
        <f t="shared" si="4056"/>
        <v>NO CONFORME</v>
      </c>
      <c r="BD593" s="15">
        <f t="shared" si="4038"/>
        <v>-1</v>
      </c>
      <c r="BE593" s="15">
        <f t="shared" si="4039"/>
        <v>-1</v>
      </c>
      <c r="BF593" s="15">
        <f t="shared" si="4040"/>
        <v>-1</v>
      </c>
      <c r="BG593" s="15" t="str">
        <f t="shared" si="4041"/>
        <v>-1-1-1</v>
      </c>
      <c r="BH593" s="15" t="str">
        <f t="shared" si="4042"/>
        <v>SD</v>
      </c>
      <c r="BI593" s="15" t="str">
        <f t="shared" si="4043"/>
        <v>SI</v>
      </c>
      <c r="BJ593" s="15" t="b">
        <f t="shared" si="4044"/>
        <v>1</v>
      </c>
      <c r="BK593" s="15" t="str">
        <f t="shared" si="4045"/>
        <v>SIGIGUALES</v>
      </c>
      <c r="BL593" s="22" t="str">
        <f t="shared" si="4046"/>
        <v>NO CONFORME</v>
      </c>
    </row>
    <row r="594" spans="1:64" ht="15.75" thickBot="1" x14ac:dyDescent="0.3">
      <c r="A594" s="37">
        <v>586</v>
      </c>
      <c r="B594" s="93">
        <f t="shared" ref="B594:E594" si="4106">B593</f>
        <v>45919</v>
      </c>
      <c r="C594" s="93">
        <f t="shared" si="4106"/>
        <v>45919</v>
      </c>
      <c r="D594" s="94">
        <f t="shared" si="4106"/>
        <v>6</v>
      </c>
      <c r="E594" s="95">
        <f t="shared" si="4106"/>
        <v>15</v>
      </c>
      <c r="F594" s="46"/>
      <c r="G594" s="110"/>
      <c r="H594" s="97">
        <f t="shared" ref="H594:L594" si="4107">H593</f>
        <v>25.6</v>
      </c>
      <c r="I594" s="98">
        <f t="shared" si="4107"/>
        <v>0</v>
      </c>
      <c r="J594" s="99">
        <f t="shared" si="4107"/>
        <v>20.9</v>
      </c>
      <c r="K594" s="99">
        <f t="shared" si="4107"/>
        <v>7.883</v>
      </c>
      <c r="L594" s="99">
        <f t="shared" si="4107"/>
        <v>0.55400000000000005</v>
      </c>
      <c r="M594" s="47"/>
      <c r="N594" s="47"/>
      <c r="O594" s="100">
        <f t="shared" ref="O594:P594" si="4108">O593</f>
        <v>100.62</v>
      </c>
      <c r="P594" s="101" t="str">
        <f t="shared" si="4108"/>
        <v>2,29,560</v>
      </c>
      <c r="Q594" s="11" t="str">
        <f t="shared" si="3935"/>
        <v>2</v>
      </c>
      <c r="R594" s="11" t="str">
        <f t="shared" si="3936"/>
        <v>29,560</v>
      </c>
      <c r="S594" s="11">
        <f t="shared" si="3937"/>
        <v>4.1544444444444446E-2</v>
      </c>
      <c r="T594" s="14">
        <f t="shared" si="3938"/>
        <v>2421.9844878309709</v>
      </c>
      <c r="U594" s="39">
        <f t="shared" si="4027"/>
        <v>-100</v>
      </c>
      <c r="V594" s="105">
        <f t="shared" ref="V594:X594" si="4109">V593</f>
        <v>20.399999999999999</v>
      </c>
      <c r="W594" s="105">
        <f t="shared" si="4109"/>
        <v>1.5069999999999999</v>
      </c>
      <c r="X594" s="106">
        <f t="shared" si="4109"/>
        <v>1.504</v>
      </c>
      <c r="Y594" s="47"/>
      <c r="Z594" s="47"/>
      <c r="AA594" s="107">
        <f t="shared" ref="AA594:AB594" si="4110">AA593</f>
        <v>10.015000000000001</v>
      </c>
      <c r="AB594" s="108" t="str">
        <f t="shared" si="4110"/>
        <v>22,10,090</v>
      </c>
      <c r="AC594" s="11" t="str">
        <f t="shared" si="3941"/>
        <v>22</v>
      </c>
      <c r="AD594" s="11" t="str">
        <f t="shared" si="3942"/>
        <v>10,090</v>
      </c>
      <c r="AE594" s="11">
        <f t="shared" si="3943"/>
        <v>0.36946944444444441</v>
      </c>
      <c r="AF594" s="14">
        <f t="shared" si="4030"/>
        <v>27.106436406558959</v>
      </c>
      <c r="AG594" s="41">
        <f t="shared" si="3958"/>
        <v>-100</v>
      </c>
      <c r="AH594" s="105">
        <f t="shared" ref="AH594:AJ594" si="4111">AH593</f>
        <v>20.3</v>
      </c>
      <c r="AI594" s="105">
        <f t="shared" si="4111"/>
        <v>1.5089999999999999</v>
      </c>
      <c r="AJ594" s="105">
        <f t="shared" si="4111"/>
        <v>1.504</v>
      </c>
      <c r="AK594" s="53">
        <f t="shared" si="3874"/>
        <v>0</v>
      </c>
      <c r="AL594" s="47"/>
      <c r="AM594" s="54">
        <f t="shared" ref="AM594:AN594" si="4112">AM593</f>
        <v>5.0129999999999999</v>
      </c>
      <c r="AN594" s="101" t="str">
        <f t="shared" si="4112"/>
        <v>17,59,050</v>
      </c>
      <c r="AO594" s="11" t="str">
        <f t="shared" si="3946"/>
        <v>17</v>
      </c>
      <c r="AP594" s="11" t="str">
        <f t="shared" si="3947"/>
        <v>59,050</v>
      </c>
      <c r="AQ594" s="11">
        <f t="shared" si="3948"/>
        <v>0.29973611111111109</v>
      </c>
      <c r="AR594" s="14">
        <f t="shared" si="4033"/>
        <v>16.724711551827998</v>
      </c>
      <c r="AS594" s="41">
        <f t="shared" si="4034"/>
        <v>-100</v>
      </c>
      <c r="AT594" s="43" t="str">
        <f t="shared" si="4035"/>
        <v>NO CONFORME</v>
      </c>
      <c r="AU594" s="8" t="b">
        <f t="shared" si="4054"/>
        <v>1</v>
      </c>
      <c r="AV594" s="8" t="b">
        <f t="shared" si="3949"/>
        <v>0</v>
      </c>
      <c r="AW594" s="8" t="b">
        <f t="shared" si="3950"/>
        <v>1</v>
      </c>
      <c r="AX594" s="8" t="str">
        <f t="shared" si="3951"/>
        <v>Qcorrecto</v>
      </c>
      <c r="AY594" s="22" t="str">
        <f t="shared" si="4036"/>
        <v>aceptable</v>
      </c>
      <c r="AZ594" s="22" t="str">
        <f t="shared" si="4037"/>
        <v>aceptable</v>
      </c>
      <c r="BA594" s="22" t="str">
        <f t="shared" si="3952"/>
        <v>aceptable</v>
      </c>
      <c r="BB594" s="25" t="str">
        <f t="shared" si="4055"/>
        <v>NO CONFORME</v>
      </c>
      <c r="BC594" s="5" t="str">
        <f t="shared" si="4056"/>
        <v>NO CONFORME</v>
      </c>
      <c r="BD594" s="15">
        <f t="shared" si="4038"/>
        <v>-1</v>
      </c>
      <c r="BE594" s="15">
        <f t="shared" si="4039"/>
        <v>-1</v>
      </c>
      <c r="BF594" s="15">
        <f t="shared" si="4040"/>
        <v>-1</v>
      </c>
      <c r="BG594" s="15" t="str">
        <f t="shared" si="4041"/>
        <v>-1-1-1</v>
      </c>
      <c r="BH594" s="15" t="str">
        <f t="shared" si="4042"/>
        <v>SD</v>
      </c>
      <c r="BI594" s="15" t="str">
        <f t="shared" si="4043"/>
        <v>SI</v>
      </c>
      <c r="BJ594" s="15" t="b">
        <f t="shared" si="4044"/>
        <v>1</v>
      </c>
      <c r="BK594" s="15" t="str">
        <f t="shared" si="4045"/>
        <v>SIGIGUALES</v>
      </c>
      <c r="BL594" s="22" t="str">
        <f t="shared" si="4046"/>
        <v>NO CONFORME</v>
      </c>
    </row>
    <row r="595" spans="1:64" ht="15.75" thickBot="1" x14ac:dyDescent="0.3">
      <c r="A595" s="37">
        <v>587</v>
      </c>
      <c r="B595" s="93">
        <f t="shared" ref="B595:E595" si="4113">B594</f>
        <v>45919</v>
      </c>
      <c r="C595" s="93">
        <f t="shared" si="4113"/>
        <v>45919</v>
      </c>
      <c r="D595" s="94">
        <f t="shared" si="4113"/>
        <v>6</v>
      </c>
      <c r="E595" s="95">
        <f t="shared" si="4113"/>
        <v>15</v>
      </c>
      <c r="F595" s="13"/>
      <c r="G595" s="111"/>
      <c r="H595" s="97">
        <f t="shared" ref="H595:L595" si="4114">H594</f>
        <v>25.6</v>
      </c>
      <c r="I595" s="98">
        <f t="shared" si="4114"/>
        <v>0</v>
      </c>
      <c r="J595" s="99">
        <f t="shared" si="4114"/>
        <v>20.9</v>
      </c>
      <c r="K595" s="99">
        <f t="shared" si="4114"/>
        <v>7.883</v>
      </c>
      <c r="L595" s="99">
        <f t="shared" si="4114"/>
        <v>0.55400000000000005</v>
      </c>
      <c r="M595" s="45"/>
      <c r="N595" s="45"/>
      <c r="O595" s="100">
        <f t="shared" ref="O595:P595" si="4115">O594</f>
        <v>100.62</v>
      </c>
      <c r="P595" s="101" t="str">
        <f t="shared" si="4115"/>
        <v>2,29,560</v>
      </c>
      <c r="Q595" s="11" t="str">
        <f t="shared" si="3935"/>
        <v>2</v>
      </c>
      <c r="R595" s="11" t="str">
        <f t="shared" si="3936"/>
        <v>29,560</v>
      </c>
      <c r="S595" s="11">
        <f t="shared" si="3937"/>
        <v>4.1544444444444446E-2</v>
      </c>
      <c r="T595" s="14">
        <f t="shared" si="3938"/>
        <v>2421.9844878309709</v>
      </c>
      <c r="U595" s="39">
        <f t="shared" si="4027"/>
        <v>-100</v>
      </c>
      <c r="V595" s="105">
        <f t="shared" ref="V595:X595" si="4116">V594</f>
        <v>20.399999999999999</v>
      </c>
      <c r="W595" s="105">
        <f t="shared" si="4116"/>
        <v>1.5069999999999999</v>
      </c>
      <c r="X595" s="106">
        <f t="shared" si="4116"/>
        <v>1.504</v>
      </c>
      <c r="Y595" s="45"/>
      <c r="Z595" s="45"/>
      <c r="AA595" s="107">
        <f t="shared" ref="AA595:AB595" si="4117">AA594</f>
        <v>10.015000000000001</v>
      </c>
      <c r="AB595" s="108" t="str">
        <f t="shared" si="4117"/>
        <v>22,10,090</v>
      </c>
      <c r="AC595" s="11" t="str">
        <f t="shared" si="3941"/>
        <v>22</v>
      </c>
      <c r="AD595" s="11" t="str">
        <f t="shared" si="3942"/>
        <v>10,090</v>
      </c>
      <c r="AE595" s="11">
        <f t="shared" si="3943"/>
        <v>0.36946944444444441</v>
      </c>
      <c r="AF595" s="14">
        <f t="shared" si="4030"/>
        <v>27.106436406558959</v>
      </c>
      <c r="AG595" s="41">
        <f t="shared" si="3958"/>
        <v>-100</v>
      </c>
      <c r="AH595" s="105">
        <f t="shared" ref="AH595:AJ595" si="4118">AH594</f>
        <v>20.3</v>
      </c>
      <c r="AI595" s="105">
        <f t="shared" si="4118"/>
        <v>1.5089999999999999</v>
      </c>
      <c r="AJ595" s="105">
        <f t="shared" si="4118"/>
        <v>1.504</v>
      </c>
      <c r="AK595" s="53">
        <f t="shared" si="3874"/>
        <v>0</v>
      </c>
      <c r="AL595" s="45"/>
      <c r="AM595" s="54">
        <f t="shared" ref="AM595:AN595" si="4119">AM594</f>
        <v>5.0129999999999999</v>
      </c>
      <c r="AN595" s="101" t="str">
        <f t="shared" si="4119"/>
        <v>17,59,050</v>
      </c>
      <c r="AO595" s="11" t="str">
        <f t="shared" si="3946"/>
        <v>17</v>
      </c>
      <c r="AP595" s="11" t="str">
        <f t="shared" si="3947"/>
        <v>59,050</v>
      </c>
      <c r="AQ595" s="11">
        <f t="shared" si="3948"/>
        <v>0.29973611111111109</v>
      </c>
      <c r="AR595" s="14">
        <f t="shared" si="4033"/>
        <v>16.724711551827998</v>
      </c>
      <c r="AS595" s="41">
        <f t="shared" si="4034"/>
        <v>-100</v>
      </c>
      <c r="AT595" s="43" t="str">
        <f t="shared" si="4035"/>
        <v>NO CONFORME</v>
      </c>
      <c r="AU595" s="8" t="b">
        <f t="shared" si="4054"/>
        <v>1</v>
      </c>
      <c r="AV595" s="8" t="b">
        <f t="shared" si="3949"/>
        <v>0</v>
      </c>
      <c r="AW595" s="8" t="b">
        <f t="shared" si="3950"/>
        <v>1</v>
      </c>
      <c r="AX595" s="8" t="str">
        <f t="shared" si="3951"/>
        <v>Qcorrecto</v>
      </c>
      <c r="AY595" s="22" t="str">
        <f t="shared" si="4036"/>
        <v>aceptable</v>
      </c>
      <c r="AZ595" s="22" t="str">
        <f t="shared" si="4037"/>
        <v>aceptable</v>
      </c>
      <c r="BA595" s="22" t="str">
        <f t="shared" si="3952"/>
        <v>aceptable</v>
      </c>
      <c r="BB595" s="25" t="str">
        <f t="shared" si="4055"/>
        <v>NO CONFORME</v>
      </c>
      <c r="BC595" s="5" t="str">
        <f t="shared" si="4056"/>
        <v>NO CONFORME</v>
      </c>
      <c r="BD595" s="15">
        <f t="shared" si="4038"/>
        <v>-1</v>
      </c>
      <c r="BE595" s="15">
        <f t="shared" si="4039"/>
        <v>-1</v>
      </c>
      <c r="BF595" s="15">
        <f t="shared" si="4040"/>
        <v>-1</v>
      </c>
      <c r="BG595" s="15" t="str">
        <f t="shared" si="4041"/>
        <v>-1-1-1</v>
      </c>
      <c r="BH595" s="15" t="str">
        <f t="shared" si="4042"/>
        <v>SD</v>
      </c>
      <c r="BI595" s="15" t="str">
        <f t="shared" si="4043"/>
        <v>SI</v>
      </c>
      <c r="BJ595" s="15" t="b">
        <f t="shared" si="4044"/>
        <v>1</v>
      </c>
      <c r="BK595" s="15" t="str">
        <f t="shared" si="4045"/>
        <v>SIGIGUALES</v>
      </c>
      <c r="BL595" s="22" t="str">
        <f t="shared" si="4046"/>
        <v>NO CONFORME</v>
      </c>
    </row>
    <row r="596" spans="1:64" ht="15.75" thickBot="1" x14ac:dyDescent="0.3">
      <c r="A596" s="37">
        <v>588</v>
      </c>
      <c r="B596" s="93">
        <f t="shared" ref="B596:E596" si="4120">B595</f>
        <v>45919</v>
      </c>
      <c r="C596" s="93">
        <f t="shared" si="4120"/>
        <v>45919</v>
      </c>
      <c r="D596" s="94">
        <f t="shared" si="4120"/>
        <v>6</v>
      </c>
      <c r="E596" s="95">
        <f t="shared" si="4120"/>
        <v>15</v>
      </c>
      <c r="F596" s="13"/>
      <c r="G596" s="111"/>
      <c r="H596" s="97">
        <f t="shared" ref="H596:L596" si="4121">H595</f>
        <v>25.6</v>
      </c>
      <c r="I596" s="98">
        <f t="shared" si="4121"/>
        <v>0</v>
      </c>
      <c r="J596" s="99">
        <f t="shared" si="4121"/>
        <v>20.9</v>
      </c>
      <c r="K596" s="99">
        <f t="shared" si="4121"/>
        <v>7.883</v>
      </c>
      <c r="L596" s="99">
        <f t="shared" si="4121"/>
        <v>0.55400000000000005</v>
      </c>
      <c r="M596" s="45"/>
      <c r="N596" s="45"/>
      <c r="O596" s="100">
        <f t="shared" ref="O596:P596" si="4122">O595</f>
        <v>100.62</v>
      </c>
      <c r="P596" s="101" t="str">
        <f t="shared" si="4122"/>
        <v>2,29,560</v>
      </c>
      <c r="Q596" s="11" t="str">
        <f t="shared" si="3935"/>
        <v>2</v>
      </c>
      <c r="R596" s="11" t="str">
        <f t="shared" si="3936"/>
        <v>29,560</v>
      </c>
      <c r="S596" s="11">
        <f t="shared" si="3937"/>
        <v>4.1544444444444446E-2</v>
      </c>
      <c r="T596" s="14">
        <f t="shared" si="3938"/>
        <v>2421.9844878309709</v>
      </c>
      <c r="U596" s="39">
        <f t="shared" si="4027"/>
        <v>-100</v>
      </c>
      <c r="V596" s="105">
        <f t="shared" ref="V596:X596" si="4123">V595</f>
        <v>20.399999999999999</v>
      </c>
      <c r="W596" s="105">
        <f t="shared" si="4123"/>
        <v>1.5069999999999999</v>
      </c>
      <c r="X596" s="106">
        <f t="shared" si="4123"/>
        <v>1.504</v>
      </c>
      <c r="Y596" s="45"/>
      <c r="Z596" s="45"/>
      <c r="AA596" s="107">
        <f t="shared" ref="AA596:AB596" si="4124">AA595</f>
        <v>10.015000000000001</v>
      </c>
      <c r="AB596" s="108" t="str">
        <f t="shared" si="4124"/>
        <v>22,10,090</v>
      </c>
      <c r="AC596" s="11" t="str">
        <f t="shared" si="3941"/>
        <v>22</v>
      </c>
      <c r="AD596" s="11" t="str">
        <f t="shared" si="3942"/>
        <v>10,090</v>
      </c>
      <c r="AE596" s="11">
        <f t="shared" si="3943"/>
        <v>0.36946944444444441</v>
      </c>
      <c r="AF596" s="14">
        <f t="shared" si="4030"/>
        <v>27.106436406558959</v>
      </c>
      <c r="AG596" s="41">
        <f t="shared" si="3958"/>
        <v>-100</v>
      </c>
      <c r="AH596" s="105">
        <f t="shared" ref="AH596:AJ596" si="4125">AH595</f>
        <v>20.3</v>
      </c>
      <c r="AI596" s="105">
        <f t="shared" si="4125"/>
        <v>1.5089999999999999</v>
      </c>
      <c r="AJ596" s="105">
        <f t="shared" si="4125"/>
        <v>1.504</v>
      </c>
      <c r="AK596" s="53">
        <f t="shared" si="3874"/>
        <v>0</v>
      </c>
      <c r="AL596" s="45"/>
      <c r="AM596" s="54">
        <f t="shared" ref="AM596:AN596" si="4126">AM595</f>
        <v>5.0129999999999999</v>
      </c>
      <c r="AN596" s="101" t="str">
        <f t="shared" si="4126"/>
        <v>17,59,050</v>
      </c>
      <c r="AO596" s="11" t="str">
        <f t="shared" si="3946"/>
        <v>17</v>
      </c>
      <c r="AP596" s="11" t="str">
        <f t="shared" si="3947"/>
        <v>59,050</v>
      </c>
      <c r="AQ596" s="11">
        <f t="shared" si="3948"/>
        <v>0.29973611111111109</v>
      </c>
      <c r="AR596" s="14">
        <f t="shared" si="4033"/>
        <v>16.724711551827998</v>
      </c>
      <c r="AS596" s="41">
        <f t="shared" si="4034"/>
        <v>-100</v>
      </c>
      <c r="AT596" s="43" t="str">
        <f t="shared" si="4035"/>
        <v>NO CONFORME</v>
      </c>
      <c r="AU596" s="8" t="b">
        <f t="shared" si="4054"/>
        <v>1</v>
      </c>
      <c r="AV596" s="8" t="b">
        <f t="shared" si="3949"/>
        <v>0</v>
      </c>
      <c r="AW596" s="8" t="b">
        <f t="shared" si="3950"/>
        <v>1</v>
      </c>
      <c r="AX596" s="8" t="str">
        <f t="shared" si="3951"/>
        <v>Qcorrecto</v>
      </c>
      <c r="AY596" s="22" t="str">
        <f t="shared" si="4036"/>
        <v>aceptable</v>
      </c>
      <c r="AZ596" s="22" t="str">
        <f t="shared" si="4037"/>
        <v>aceptable</v>
      </c>
      <c r="BA596" s="22" t="str">
        <f t="shared" si="3952"/>
        <v>aceptable</v>
      </c>
      <c r="BB596" s="25" t="str">
        <f t="shared" si="4055"/>
        <v>NO CONFORME</v>
      </c>
      <c r="BC596" s="5" t="str">
        <f t="shared" si="4056"/>
        <v>NO CONFORME</v>
      </c>
      <c r="BD596" s="15">
        <f t="shared" si="4038"/>
        <v>-1</v>
      </c>
      <c r="BE596" s="15">
        <f t="shared" si="4039"/>
        <v>-1</v>
      </c>
      <c r="BF596" s="15">
        <f t="shared" si="4040"/>
        <v>-1</v>
      </c>
      <c r="BG596" s="15" t="str">
        <f t="shared" si="4041"/>
        <v>-1-1-1</v>
      </c>
      <c r="BH596" s="15" t="str">
        <f t="shared" si="4042"/>
        <v>SD</v>
      </c>
      <c r="BI596" s="15" t="str">
        <f t="shared" si="4043"/>
        <v>SI</v>
      </c>
      <c r="BJ596" s="15" t="b">
        <f t="shared" si="4044"/>
        <v>1</v>
      </c>
      <c r="BK596" s="15" t="str">
        <f t="shared" si="4045"/>
        <v>SIGIGUALES</v>
      </c>
      <c r="BL596" s="22" t="str">
        <f t="shared" si="4046"/>
        <v>NO CONFORME</v>
      </c>
    </row>
    <row r="597" spans="1:64" ht="15.75" thickBot="1" x14ac:dyDescent="0.3">
      <c r="A597" s="37">
        <v>589</v>
      </c>
      <c r="B597" s="93">
        <f t="shared" ref="B597:E597" si="4127">B596</f>
        <v>45919</v>
      </c>
      <c r="C597" s="93">
        <f t="shared" si="4127"/>
        <v>45919</v>
      </c>
      <c r="D597" s="94">
        <f t="shared" si="4127"/>
        <v>6</v>
      </c>
      <c r="E597" s="95">
        <f t="shared" si="4127"/>
        <v>15</v>
      </c>
      <c r="F597" s="13"/>
      <c r="G597" s="111"/>
      <c r="H597" s="97">
        <f t="shared" ref="H597:L597" si="4128">H596</f>
        <v>25.6</v>
      </c>
      <c r="I597" s="98">
        <f t="shared" si="4128"/>
        <v>0</v>
      </c>
      <c r="J597" s="99">
        <f t="shared" si="4128"/>
        <v>20.9</v>
      </c>
      <c r="K597" s="99">
        <f t="shared" si="4128"/>
        <v>7.883</v>
      </c>
      <c r="L597" s="99">
        <f t="shared" si="4128"/>
        <v>0.55400000000000005</v>
      </c>
      <c r="M597" s="45"/>
      <c r="N597" s="45"/>
      <c r="O597" s="100">
        <f t="shared" ref="O597:P597" si="4129">O596</f>
        <v>100.62</v>
      </c>
      <c r="P597" s="101" t="str">
        <f t="shared" si="4129"/>
        <v>2,29,560</v>
      </c>
      <c r="Q597" s="11" t="str">
        <f t="shared" si="3935"/>
        <v>2</v>
      </c>
      <c r="R597" s="11" t="str">
        <f t="shared" si="3936"/>
        <v>29,560</v>
      </c>
      <c r="S597" s="11">
        <f t="shared" si="3937"/>
        <v>4.1544444444444446E-2</v>
      </c>
      <c r="T597" s="14">
        <f t="shared" si="3938"/>
        <v>2421.9844878309709</v>
      </c>
      <c r="U597" s="39">
        <f t="shared" si="4027"/>
        <v>-100</v>
      </c>
      <c r="V597" s="105">
        <f t="shared" ref="V597:X597" si="4130">V596</f>
        <v>20.399999999999999</v>
      </c>
      <c r="W597" s="105">
        <f t="shared" si="4130"/>
        <v>1.5069999999999999</v>
      </c>
      <c r="X597" s="106">
        <f t="shared" si="4130"/>
        <v>1.504</v>
      </c>
      <c r="Y597" s="45"/>
      <c r="Z597" s="45"/>
      <c r="AA597" s="107">
        <f t="shared" ref="AA597:AB597" si="4131">AA596</f>
        <v>10.015000000000001</v>
      </c>
      <c r="AB597" s="108" t="str">
        <f t="shared" si="4131"/>
        <v>22,10,090</v>
      </c>
      <c r="AC597" s="11" t="str">
        <f t="shared" si="3941"/>
        <v>22</v>
      </c>
      <c r="AD597" s="11" t="str">
        <f t="shared" si="3942"/>
        <v>10,090</v>
      </c>
      <c r="AE597" s="11">
        <f t="shared" si="3943"/>
        <v>0.36946944444444441</v>
      </c>
      <c r="AF597" s="14">
        <f t="shared" si="4030"/>
        <v>27.106436406558959</v>
      </c>
      <c r="AG597" s="41">
        <f t="shared" si="3958"/>
        <v>-100</v>
      </c>
      <c r="AH597" s="105">
        <f t="shared" ref="AH597:AJ597" si="4132">AH596</f>
        <v>20.3</v>
      </c>
      <c r="AI597" s="105">
        <f t="shared" si="4132"/>
        <v>1.5089999999999999</v>
      </c>
      <c r="AJ597" s="105">
        <f t="shared" si="4132"/>
        <v>1.504</v>
      </c>
      <c r="AK597" s="53">
        <f t="shared" si="3874"/>
        <v>0</v>
      </c>
      <c r="AL597" s="45"/>
      <c r="AM597" s="54">
        <f t="shared" ref="AM597:AN597" si="4133">AM596</f>
        <v>5.0129999999999999</v>
      </c>
      <c r="AN597" s="101" t="str">
        <f t="shared" si="4133"/>
        <v>17,59,050</v>
      </c>
      <c r="AO597" s="11" t="str">
        <f t="shared" si="3946"/>
        <v>17</v>
      </c>
      <c r="AP597" s="11" t="str">
        <f t="shared" si="3947"/>
        <v>59,050</v>
      </c>
      <c r="AQ597" s="11">
        <f t="shared" si="3948"/>
        <v>0.29973611111111109</v>
      </c>
      <c r="AR597" s="14">
        <f t="shared" si="4033"/>
        <v>16.724711551827998</v>
      </c>
      <c r="AS597" s="41">
        <f t="shared" si="4034"/>
        <v>-100</v>
      </c>
      <c r="AT597" s="43" t="str">
        <f t="shared" si="4035"/>
        <v>NO CONFORME</v>
      </c>
      <c r="AU597" s="8" t="b">
        <f t="shared" si="4054"/>
        <v>1</v>
      </c>
      <c r="AV597" s="8" t="b">
        <f t="shared" si="3949"/>
        <v>0</v>
      </c>
      <c r="AW597" s="8" t="b">
        <f t="shared" si="3950"/>
        <v>1</v>
      </c>
      <c r="AX597" s="8" t="str">
        <f t="shared" si="3951"/>
        <v>Qcorrecto</v>
      </c>
      <c r="AY597" s="22" t="str">
        <f t="shared" si="4036"/>
        <v>aceptable</v>
      </c>
      <c r="AZ597" s="22" t="str">
        <f t="shared" si="4037"/>
        <v>aceptable</v>
      </c>
      <c r="BA597" s="22" t="str">
        <f t="shared" si="3952"/>
        <v>aceptable</v>
      </c>
      <c r="BB597" s="25" t="str">
        <f t="shared" si="4055"/>
        <v>NO CONFORME</v>
      </c>
      <c r="BC597" s="5" t="str">
        <f t="shared" si="4056"/>
        <v>NO CONFORME</v>
      </c>
      <c r="BD597" s="15">
        <f t="shared" si="4038"/>
        <v>-1</v>
      </c>
      <c r="BE597" s="15">
        <f t="shared" si="4039"/>
        <v>-1</v>
      </c>
      <c r="BF597" s="15">
        <f t="shared" si="4040"/>
        <v>-1</v>
      </c>
      <c r="BG597" s="15" t="str">
        <f t="shared" si="4041"/>
        <v>-1-1-1</v>
      </c>
      <c r="BH597" s="15" t="str">
        <f t="shared" si="4042"/>
        <v>SD</v>
      </c>
      <c r="BI597" s="15" t="str">
        <f t="shared" si="4043"/>
        <v>SI</v>
      </c>
      <c r="BJ597" s="15" t="b">
        <f t="shared" si="4044"/>
        <v>1</v>
      </c>
      <c r="BK597" s="15" t="str">
        <f t="shared" si="4045"/>
        <v>SIGIGUALES</v>
      </c>
      <c r="BL597" s="22" t="str">
        <f t="shared" si="4046"/>
        <v>NO CONFORME</v>
      </c>
    </row>
    <row r="598" spans="1:64" ht="15.75" thickBot="1" x14ac:dyDescent="0.3">
      <c r="A598" s="37">
        <v>590</v>
      </c>
      <c r="B598" s="93">
        <f t="shared" ref="B598:E598" si="4134">B597</f>
        <v>45919</v>
      </c>
      <c r="C598" s="93">
        <f t="shared" si="4134"/>
        <v>45919</v>
      </c>
      <c r="D598" s="94">
        <f t="shared" si="4134"/>
        <v>6</v>
      </c>
      <c r="E598" s="95">
        <f t="shared" si="4134"/>
        <v>15</v>
      </c>
      <c r="F598" s="13"/>
      <c r="G598" s="111"/>
      <c r="H598" s="97">
        <f t="shared" ref="H598:L598" si="4135">H597</f>
        <v>25.6</v>
      </c>
      <c r="I598" s="98">
        <f t="shared" si="4135"/>
        <v>0</v>
      </c>
      <c r="J598" s="99">
        <f t="shared" si="4135"/>
        <v>20.9</v>
      </c>
      <c r="K598" s="99">
        <f t="shared" si="4135"/>
        <v>7.883</v>
      </c>
      <c r="L598" s="99">
        <f t="shared" si="4135"/>
        <v>0.55400000000000005</v>
      </c>
      <c r="M598" s="45"/>
      <c r="N598" s="45"/>
      <c r="O598" s="100">
        <f t="shared" ref="O598:P598" si="4136">O597</f>
        <v>100.62</v>
      </c>
      <c r="P598" s="101" t="str">
        <f t="shared" si="4136"/>
        <v>2,29,560</v>
      </c>
      <c r="Q598" s="11" t="str">
        <f t="shared" si="3935"/>
        <v>2</v>
      </c>
      <c r="R598" s="11" t="str">
        <f t="shared" si="3936"/>
        <v>29,560</v>
      </c>
      <c r="S598" s="11">
        <f t="shared" si="3937"/>
        <v>4.1544444444444446E-2</v>
      </c>
      <c r="T598" s="14">
        <f t="shared" si="3938"/>
        <v>2421.9844878309709</v>
      </c>
      <c r="U598" s="39">
        <f t="shared" si="4027"/>
        <v>-100</v>
      </c>
      <c r="V598" s="105">
        <f t="shared" ref="V598:X598" si="4137">V597</f>
        <v>20.399999999999999</v>
      </c>
      <c r="W598" s="105">
        <f t="shared" si="4137"/>
        <v>1.5069999999999999</v>
      </c>
      <c r="X598" s="106">
        <f t="shared" si="4137"/>
        <v>1.504</v>
      </c>
      <c r="Y598" s="45"/>
      <c r="Z598" s="45"/>
      <c r="AA598" s="107">
        <f t="shared" ref="AA598:AB598" si="4138">AA597</f>
        <v>10.015000000000001</v>
      </c>
      <c r="AB598" s="108" t="str">
        <f t="shared" si="4138"/>
        <v>22,10,090</v>
      </c>
      <c r="AC598" s="11" t="str">
        <f t="shared" si="3941"/>
        <v>22</v>
      </c>
      <c r="AD598" s="11" t="str">
        <f t="shared" si="3942"/>
        <v>10,090</v>
      </c>
      <c r="AE598" s="11">
        <f t="shared" si="3943"/>
        <v>0.36946944444444441</v>
      </c>
      <c r="AF598" s="14">
        <f t="shared" si="4030"/>
        <v>27.106436406558959</v>
      </c>
      <c r="AG598" s="41">
        <f t="shared" si="3958"/>
        <v>-100</v>
      </c>
      <c r="AH598" s="105">
        <f t="shared" ref="AH598:AJ598" si="4139">AH597</f>
        <v>20.3</v>
      </c>
      <c r="AI598" s="105">
        <f t="shared" si="4139"/>
        <v>1.5089999999999999</v>
      </c>
      <c r="AJ598" s="105">
        <f t="shared" si="4139"/>
        <v>1.504</v>
      </c>
      <c r="AK598" s="53">
        <f t="shared" si="3874"/>
        <v>0</v>
      </c>
      <c r="AL598" s="45"/>
      <c r="AM598" s="54">
        <f t="shared" ref="AM598:AN598" si="4140">AM597</f>
        <v>5.0129999999999999</v>
      </c>
      <c r="AN598" s="101" t="str">
        <f t="shared" si="4140"/>
        <v>17,59,050</v>
      </c>
      <c r="AO598" s="11" t="str">
        <f t="shared" si="3946"/>
        <v>17</v>
      </c>
      <c r="AP598" s="11" t="str">
        <f t="shared" si="3947"/>
        <v>59,050</v>
      </c>
      <c r="AQ598" s="11">
        <f t="shared" si="3948"/>
        <v>0.29973611111111109</v>
      </c>
      <c r="AR598" s="14">
        <f t="shared" si="4033"/>
        <v>16.724711551827998</v>
      </c>
      <c r="AS598" s="41">
        <f t="shared" si="4034"/>
        <v>-100</v>
      </c>
      <c r="AT598" s="43" t="str">
        <f t="shared" si="4035"/>
        <v>NO CONFORME</v>
      </c>
      <c r="AU598" s="8" t="b">
        <f t="shared" si="4054"/>
        <v>1</v>
      </c>
      <c r="AV598" s="8" t="b">
        <f t="shared" si="3949"/>
        <v>0</v>
      </c>
      <c r="AW598" s="8" t="b">
        <f t="shared" si="3950"/>
        <v>1</v>
      </c>
      <c r="AX598" s="8" t="str">
        <f t="shared" si="3951"/>
        <v>Qcorrecto</v>
      </c>
      <c r="AY598" s="22" t="str">
        <f t="shared" si="4036"/>
        <v>aceptable</v>
      </c>
      <c r="AZ598" s="22" t="str">
        <f t="shared" si="4037"/>
        <v>aceptable</v>
      </c>
      <c r="BA598" s="22" t="str">
        <f t="shared" si="3952"/>
        <v>aceptable</v>
      </c>
      <c r="BB598" s="25" t="str">
        <f t="shared" si="4055"/>
        <v>NO CONFORME</v>
      </c>
      <c r="BC598" s="5" t="str">
        <f t="shared" si="4056"/>
        <v>NO CONFORME</v>
      </c>
      <c r="BD598" s="15">
        <f t="shared" si="4038"/>
        <v>-1</v>
      </c>
      <c r="BE598" s="15">
        <f t="shared" si="4039"/>
        <v>-1</v>
      </c>
      <c r="BF598" s="15">
        <f t="shared" si="4040"/>
        <v>-1</v>
      </c>
      <c r="BG598" s="15" t="str">
        <f t="shared" si="4041"/>
        <v>-1-1-1</v>
      </c>
      <c r="BH598" s="15" t="str">
        <f t="shared" si="4042"/>
        <v>SD</v>
      </c>
      <c r="BI598" s="15" t="str">
        <f t="shared" si="4043"/>
        <v>SI</v>
      </c>
      <c r="BJ598" s="15" t="b">
        <f t="shared" si="4044"/>
        <v>1</v>
      </c>
      <c r="BK598" s="15" t="str">
        <f t="shared" si="4045"/>
        <v>SIGIGUALES</v>
      </c>
      <c r="BL598" s="22" t="str">
        <f t="shared" si="4046"/>
        <v>NO CONFORME</v>
      </c>
    </row>
    <row r="599" spans="1:64" ht="15.75" thickBot="1" x14ac:dyDescent="0.3">
      <c r="A599" s="37">
        <v>591</v>
      </c>
      <c r="B599" s="93">
        <f t="shared" ref="B599:E599" si="4141">B598</f>
        <v>45919</v>
      </c>
      <c r="C599" s="93">
        <f t="shared" si="4141"/>
        <v>45919</v>
      </c>
      <c r="D599" s="94">
        <f t="shared" si="4141"/>
        <v>6</v>
      </c>
      <c r="E599" s="95">
        <f t="shared" si="4141"/>
        <v>15</v>
      </c>
      <c r="F599" s="13"/>
      <c r="G599" s="111"/>
      <c r="H599" s="97">
        <f t="shared" ref="H599:L599" si="4142">H598</f>
        <v>25.6</v>
      </c>
      <c r="I599" s="98">
        <f t="shared" si="4142"/>
        <v>0</v>
      </c>
      <c r="J599" s="99">
        <f t="shared" si="4142"/>
        <v>20.9</v>
      </c>
      <c r="K599" s="99">
        <f t="shared" si="4142"/>
        <v>7.883</v>
      </c>
      <c r="L599" s="99">
        <f t="shared" si="4142"/>
        <v>0.55400000000000005</v>
      </c>
      <c r="M599" s="45"/>
      <c r="N599" s="45"/>
      <c r="O599" s="100">
        <f t="shared" ref="O599:P599" si="4143">O598</f>
        <v>100.62</v>
      </c>
      <c r="P599" s="101" t="str">
        <f t="shared" si="4143"/>
        <v>2,29,560</v>
      </c>
      <c r="Q599" s="11" t="str">
        <f t="shared" si="3935"/>
        <v>2</v>
      </c>
      <c r="R599" s="11" t="str">
        <f t="shared" si="3936"/>
        <v>29,560</v>
      </c>
      <c r="S599" s="11">
        <f t="shared" si="3937"/>
        <v>4.1544444444444446E-2</v>
      </c>
      <c r="T599" s="14">
        <f t="shared" si="3938"/>
        <v>2421.9844878309709</v>
      </c>
      <c r="U599" s="39">
        <f t="shared" si="4027"/>
        <v>-100</v>
      </c>
      <c r="V599" s="105">
        <f t="shared" ref="V599:X599" si="4144">V598</f>
        <v>20.399999999999999</v>
      </c>
      <c r="W599" s="105">
        <f t="shared" si="4144"/>
        <v>1.5069999999999999</v>
      </c>
      <c r="X599" s="106">
        <f t="shared" si="4144"/>
        <v>1.504</v>
      </c>
      <c r="Y599" s="45"/>
      <c r="Z599" s="45"/>
      <c r="AA599" s="107">
        <f t="shared" ref="AA599:AB599" si="4145">AA598</f>
        <v>10.015000000000001</v>
      </c>
      <c r="AB599" s="108" t="str">
        <f t="shared" si="4145"/>
        <v>22,10,090</v>
      </c>
      <c r="AC599" s="11" t="str">
        <f t="shared" si="3941"/>
        <v>22</v>
      </c>
      <c r="AD599" s="11" t="str">
        <f t="shared" si="3942"/>
        <v>10,090</v>
      </c>
      <c r="AE599" s="11">
        <f t="shared" si="3943"/>
        <v>0.36946944444444441</v>
      </c>
      <c r="AF599" s="14">
        <f t="shared" si="4030"/>
        <v>27.106436406558959</v>
      </c>
      <c r="AG599" s="41">
        <f t="shared" si="3958"/>
        <v>-100</v>
      </c>
      <c r="AH599" s="105">
        <f t="shared" ref="AH599:AJ599" si="4146">AH598</f>
        <v>20.3</v>
      </c>
      <c r="AI599" s="105">
        <f t="shared" si="4146"/>
        <v>1.5089999999999999</v>
      </c>
      <c r="AJ599" s="105">
        <f t="shared" si="4146"/>
        <v>1.504</v>
      </c>
      <c r="AK599" s="53">
        <f t="shared" si="3874"/>
        <v>0</v>
      </c>
      <c r="AL599" s="45"/>
      <c r="AM599" s="54">
        <f t="shared" ref="AM599:AN599" si="4147">AM598</f>
        <v>5.0129999999999999</v>
      </c>
      <c r="AN599" s="101" t="str">
        <f t="shared" si="4147"/>
        <v>17,59,050</v>
      </c>
      <c r="AO599" s="11" t="str">
        <f t="shared" si="3946"/>
        <v>17</v>
      </c>
      <c r="AP599" s="11" t="str">
        <f t="shared" si="3947"/>
        <v>59,050</v>
      </c>
      <c r="AQ599" s="11">
        <f t="shared" si="3948"/>
        <v>0.29973611111111109</v>
      </c>
      <c r="AR599" s="14">
        <f t="shared" si="4033"/>
        <v>16.724711551827998</v>
      </c>
      <c r="AS599" s="41">
        <f t="shared" si="4034"/>
        <v>-100</v>
      </c>
      <c r="AT599" s="43" t="str">
        <f t="shared" si="4035"/>
        <v>NO CONFORME</v>
      </c>
      <c r="AU599" s="8" t="b">
        <f t="shared" si="4054"/>
        <v>1</v>
      </c>
      <c r="AV599" s="8" t="b">
        <f t="shared" si="3949"/>
        <v>0</v>
      </c>
      <c r="AW599" s="8" t="b">
        <f t="shared" si="3950"/>
        <v>1</v>
      </c>
      <c r="AX599" s="8" t="str">
        <f t="shared" si="3951"/>
        <v>Qcorrecto</v>
      </c>
      <c r="AY599" s="22" t="str">
        <f t="shared" si="4036"/>
        <v>aceptable</v>
      </c>
      <c r="AZ599" s="22" t="str">
        <f t="shared" si="4037"/>
        <v>aceptable</v>
      </c>
      <c r="BA599" s="22" t="str">
        <f t="shared" si="3952"/>
        <v>aceptable</v>
      </c>
      <c r="BB599" s="25" t="str">
        <f t="shared" si="4055"/>
        <v>NO CONFORME</v>
      </c>
      <c r="BC599" s="5" t="str">
        <f t="shared" si="4056"/>
        <v>NO CONFORME</v>
      </c>
      <c r="BD599" s="15">
        <f t="shared" si="4038"/>
        <v>-1</v>
      </c>
      <c r="BE599" s="15">
        <f t="shared" si="4039"/>
        <v>-1</v>
      </c>
      <c r="BF599" s="15">
        <f t="shared" si="4040"/>
        <v>-1</v>
      </c>
      <c r="BG599" s="15" t="str">
        <f t="shared" si="4041"/>
        <v>-1-1-1</v>
      </c>
      <c r="BH599" s="15" t="str">
        <f t="shared" si="4042"/>
        <v>SD</v>
      </c>
      <c r="BI599" s="15" t="str">
        <f t="shared" si="4043"/>
        <v>SI</v>
      </c>
      <c r="BJ599" s="15" t="b">
        <f t="shared" si="4044"/>
        <v>1</v>
      </c>
      <c r="BK599" s="15" t="str">
        <f t="shared" si="4045"/>
        <v>SIGIGUALES</v>
      </c>
      <c r="BL599" s="22" t="str">
        <f t="shared" si="4046"/>
        <v>NO CONFORME</v>
      </c>
    </row>
    <row r="600" spans="1:64" ht="15.75" thickBot="1" x14ac:dyDescent="0.3">
      <c r="A600" s="37">
        <v>592</v>
      </c>
      <c r="B600" s="93">
        <f t="shared" ref="B600:E600" si="4148">B599</f>
        <v>45919</v>
      </c>
      <c r="C600" s="93">
        <f t="shared" si="4148"/>
        <v>45919</v>
      </c>
      <c r="D600" s="94">
        <f t="shared" si="4148"/>
        <v>6</v>
      </c>
      <c r="E600" s="95">
        <f t="shared" si="4148"/>
        <v>15</v>
      </c>
      <c r="F600" s="13"/>
      <c r="G600" s="111"/>
      <c r="H600" s="97">
        <f t="shared" ref="H600:L600" si="4149">H599</f>
        <v>25.6</v>
      </c>
      <c r="I600" s="98">
        <f t="shared" si="4149"/>
        <v>0</v>
      </c>
      <c r="J600" s="99">
        <f t="shared" si="4149"/>
        <v>20.9</v>
      </c>
      <c r="K600" s="99">
        <f t="shared" si="4149"/>
        <v>7.883</v>
      </c>
      <c r="L600" s="99">
        <f t="shared" si="4149"/>
        <v>0.55400000000000005</v>
      </c>
      <c r="M600" s="45"/>
      <c r="N600" s="45"/>
      <c r="O600" s="100">
        <f t="shared" ref="O600:P600" si="4150">O599</f>
        <v>100.62</v>
      </c>
      <c r="P600" s="101" t="str">
        <f t="shared" si="4150"/>
        <v>2,29,560</v>
      </c>
      <c r="Q600" s="11" t="str">
        <f t="shared" si="3935"/>
        <v>2</v>
      </c>
      <c r="R600" s="11" t="str">
        <f t="shared" si="3936"/>
        <v>29,560</v>
      </c>
      <c r="S600" s="11">
        <f t="shared" si="3937"/>
        <v>4.1544444444444446E-2</v>
      </c>
      <c r="T600" s="14">
        <f t="shared" si="3938"/>
        <v>2421.9844878309709</v>
      </c>
      <c r="U600" s="39">
        <f t="shared" si="4027"/>
        <v>-100</v>
      </c>
      <c r="V600" s="105">
        <f t="shared" ref="V600:X600" si="4151">V599</f>
        <v>20.399999999999999</v>
      </c>
      <c r="W600" s="105">
        <f t="shared" si="4151"/>
        <v>1.5069999999999999</v>
      </c>
      <c r="X600" s="106">
        <f t="shared" si="4151"/>
        <v>1.504</v>
      </c>
      <c r="Y600" s="45"/>
      <c r="Z600" s="45"/>
      <c r="AA600" s="107">
        <f t="shared" ref="AA600:AB600" si="4152">AA599</f>
        <v>10.015000000000001</v>
      </c>
      <c r="AB600" s="108" t="str">
        <f t="shared" si="4152"/>
        <v>22,10,090</v>
      </c>
      <c r="AC600" s="11" t="str">
        <f t="shared" si="3941"/>
        <v>22</v>
      </c>
      <c r="AD600" s="11" t="str">
        <f t="shared" si="3942"/>
        <v>10,090</v>
      </c>
      <c r="AE600" s="11">
        <f t="shared" si="3943"/>
        <v>0.36946944444444441</v>
      </c>
      <c r="AF600" s="14">
        <f t="shared" si="4030"/>
        <v>27.106436406558959</v>
      </c>
      <c r="AG600" s="41">
        <f t="shared" si="3958"/>
        <v>-100</v>
      </c>
      <c r="AH600" s="105">
        <f t="shared" ref="AH600:AJ600" si="4153">AH599</f>
        <v>20.3</v>
      </c>
      <c r="AI600" s="105">
        <f t="shared" si="4153"/>
        <v>1.5089999999999999</v>
      </c>
      <c r="AJ600" s="105">
        <f t="shared" si="4153"/>
        <v>1.504</v>
      </c>
      <c r="AK600" s="53">
        <f t="shared" si="3874"/>
        <v>0</v>
      </c>
      <c r="AL600" s="45"/>
      <c r="AM600" s="54">
        <f t="shared" ref="AM600:AN600" si="4154">AM599</f>
        <v>5.0129999999999999</v>
      </c>
      <c r="AN600" s="101" t="str">
        <f t="shared" si="4154"/>
        <v>17,59,050</v>
      </c>
      <c r="AO600" s="11" t="str">
        <f t="shared" si="3946"/>
        <v>17</v>
      </c>
      <c r="AP600" s="11" t="str">
        <f t="shared" si="3947"/>
        <v>59,050</v>
      </c>
      <c r="AQ600" s="11">
        <f t="shared" si="3948"/>
        <v>0.29973611111111109</v>
      </c>
      <c r="AR600" s="14">
        <f t="shared" si="4033"/>
        <v>16.724711551827998</v>
      </c>
      <c r="AS600" s="41">
        <f t="shared" si="4034"/>
        <v>-100</v>
      </c>
      <c r="AT600" s="43" t="str">
        <f t="shared" si="4035"/>
        <v>NO CONFORME</v>
      </c>
      <c r="AU600" s="8" t="b">
        <f t="shared" si="4054"/>
        <v>1</v>
      </c>
      <c r="AV600" s="8" t="b">
        <f t="shared" si="3949"/>
        <v>0</v>
      </c>
      <c r="AW600" s="8" t="b">
        <f t="shared" si="3950"/>
        <v>1</v>
      </c>
      <c r="AX600" s="8" t="str">
        <f t="shared" si="3951"/>
        <v>Qcorrecto</v>
      </c>
      <c r="AY600" s="22" t="str">
        <f t="shared" si="4036"/>
        <v>aceptable</v>
      </c>
      <c r="AZ600" s="22" t="str">
        <f t="shared" si="4037"/>
        <v>aceptable</v>
      </c>
      <c r="BA600" s="22" t="str">
        <f t="shared" si="3952"/>
        <v>aceptable</v>
      </c>
      <c r="BB600" s="25" t="str">
        <f t="shared" si="4055"/>
        <v>NO CONFORME</v>
      </c>
      <c r="BC600" s="5" t="str">
        <f t="shared" si="4056"/>
        <v>NO CONFORME</v>
      </c>
      <c r="BD600" s="15">
        <f t="shared" si="4038"/>
        <v>-1</v>
      </c>
      <c r="BE600" s="15">
        <f t="shared" si="4039"/>
        <v>-1</v>
      </c>
      <c r="BF600" s="15">
        <f t="shared" si="4040"/>
        <v>-1</v>
      </c>
      <c r="BG600" s="15" t="str">
        <f t="shared" si="4041"/>
        <v>-1-1-1</v>
      </c>
      <c r="BH600" s="15" t="str">
        <f t="shared" si="4042"/>
        <v>SD</v>
      </c>
      <c r="BI600" s="15" t="str">
        <f t="shared" si="4043"/>
        <v>SI</v>
      </c>
      <c r="BJ600" s="15" t="b">
        <f t="shared" si="4044"/>
        <v>1</v>
      </c>
      <c r="BK600" s="15" t="str">
        <f t="shared" si="4045"/>
        <v>SIGIGUALES</v>
      </c>
      <c r="BL600" s="22" t="str">
        <f t="shared" si="4046"/>
        <v>NO CONFORME</v>
      </c>
    </row>
    <row r="601" spans="1:64" ht="15.75" thickBot="1" x14ac:dyDescent="0.3">
      <c r="A601" s="37">
        <v>593</v>
      </c>
      <c r="B601" s="93">
        <f t="shared" ref="B601:E601" si="4155">B600</f>
        <v>45919</v>
      </c>
      <c r="C601" s="93">
        <f t="shared" si="4155"/>
        <v>45919</v>
      </c>
      <c r="D601" s="94">
        <f t="shared" si="4155"/>
        <v>6</v>
      </c>
      <c r="E601" s="95">
        <f t="shared" si="4155"/>
        <v>15</v>
      </c>
      <c r="F601" s="13"/>
      <c r="G601" s="111"/>
      <c r="H601" s="97">
        <f t="shared" ref="H601:L601" si="4156">H600</f>
        <v>25.6</v>
      </c>
      <c r="I601" s="98">
        <f t="shared" si="4156"/>
        <v>0</v>
      </c>
      <c r="J601" s="99">
        <f t="shared" si="4156"/>
        <v>20.9</v>
      </c>
      <c r="K601" s="99">
        <f t="shared" si="4156"/>
        <v>7.883</v>
      </c>
      <c r="L601" s="99">
        <f t="shared" si="4156"/>
        <v>0.55400000000000005</v>
      </c>
      <c r="M601" s="45"/>
      <c r="N601" s="45"/>
      <c r="O601" s="100">
        <f t="shared" ref="O601:P601" si="4157">O600</f>
        <v>100.62</v>
      </c>
      <c r="P601" s="101" t="str">
        <f t="shared" si="4157"/>
        <v>2,29,560</v>
      </c>
      <c r="Q601" s="11" t="str">
        <f t="shared" si="3935"/>
        <v>2</v>
      </c>
      <c r="R601" s="11" t="str">
        <f t="shared" si="3936"/>
        <v>29,560</v>
      </c>
      <c r="S601" s="11">
        <f t="shared" si="3937"/>
        <v>4.1544444444444446E-2</v>
      </c>
      <c r="T601" s="14">
        <f t="shared" si="3938"/>
        <v>2421.9844878309709</v>
      </c>
      <c r="U601" s="39">
        <f t="shared" si="4027"/>
        <v>-100</v>
      </c>
      <c r="V601" s="105">
        <f t="shared" ref="V601:X601" si="4158">V600</f>
        <v>20.399999999999999</v>
      </c>
      <c r="W601" s="105">
        <f t="shared" si="4158"/>
        <v>1.5069999999999999</v>
      </c>
      <c r="X601" s="106">
        <f t="shared" si="4158"/>
        <v>1.504</v>
      </c>
      <c r="Y601" s="45"/>
      <c r="Z601" s="45"/>
      <c r="AA601" s="107">
        <f t="shared" ref="AA601:AB601" si="4159">AA600</f>
        <v>10.015000000000001</v>
      </c>
      <c r="AB601" s="108" t="str">
        <f t="shared" si="4159"/>
        <v>22,10,090</v>
      </c>
      <c r="AC601" s="11" t="str">
        <f t="shared" si="3941"/>
        <v>22</v>
      </c>
      <c r="AD601" s="11" t="str">
        <f t="shared" si="3942"/>
        <v>10,090</v>
      </c>
      <c r="AE601" s="11">
        <f t="shared" si="3943"/>
        <v>0.36946944444444441</v>
      </c>
      <c r="AF601" s="14">
        <f t="shared" si="4030"/>
        <v>27.106436406558959</v>
      </c>
      <c r="AG601" s="41">
        <f t="shared" si="3958"/>
        <v>-100</v>
      </c>
      <c r="AH601" s="105">
        <f t="shared" ref="AH601:AJ601" si="4160">AH600</f>
        <v>20.3</v>
      </c>
      <c r="AI601" s="105">
        <f t="shared" si="4160"/>
        <v>1.5089999999999999</v>
      </c>
      <c r="AJ601" s="105">
        <f t="shared" si="4160"/>
        <v>1.504</v>
      </c>
      <c r="AK601" s="53">
        <f t="shared" si="3874"/>
        <v>0</v>
      </c>
      <c r="AL601" s="45"/>
      <c r="AM601" s="54">
        <f t="shared" ref="AM601:AN601" si="4161">AM600</f>
        <v>5.0129999999999999</v>
      </c>
      <c r="AN601" s="101" t="str">
        <f t="shared" si="4161"/>
        <v>17,59,050</v>
      </c>
      <c r="AO601" s="11" t="str">
        <f t="shared" si="3946"/>
        <v>17</v>
      </c>
      <c r="AP601" s="11" t="str">
        <f t="shared" si="3947"/>
        <v>59,050</v>
      </c>
      <c r="AQ601" s="11">
        <f t="shared" si="3948"/>
        <v>0.29973611111111109</v>
      </c>
      <c r="AR601" s="14">
        <f t="shared" si="4033"/>
        <v>16.724711551827998</v>
      </c>
      <c r="AS601" s="41">
        <f t="shared" si="4034"/>
        <v>-100</v>
      </c>
      <c r="AT601" s="43" t="str">
        <f t="shared" si="4035"/>
        <v>NO CONFORME</v>
      </c>
      <c r="AU601" s="8" t="b">
        <f t="shared" si="4054"/>
        <v>1</v>
      </c>
      <c r="AV601" s="8" t="b">
        <f t="shared" si="3949"/>
        <v>0</v>
      </c>
      <c r="AW601" s="8" t="b">
        <f t="shared" si="3950"/>
        <v>1</v>
      </c>
      <c r="AX601" s="8" t="str">
        <f t="shared" si="3951"/>
        <v>Qcorrecto</v>
      </c>
      <c r="AY601" s="22" t="str">
        <f t="shared" si="4036"/>
        <v>aceptable</v>
      </c>
      <c r="AZ601" s="22" t="str">
        <f t="shared" si="4037"/>
        <v>aceptable</v>
      </c>
      <c r="BA601" s="22" t="str">
        <f t="shared" si="3952"/>
        <v>aceptable</v>
      </c>
      <c r="BB601" s="25" t="str">
        <f t="shared" si="4055"/>
        <v>NO CONFORME</v>
      </c>
      <c r="BC601" s="5" t="str">
        <f t="shared" si="4056"/>
        <v>NO CONFORME</v>
      </c>
      <c r="BD601" s="15">
        <f t="shared" si="4038"/>
        <v>-1</v>
      </c>
      <c r="BE601" s="15">
        <f t="shared" si="4039"/>
        <v>-1</v>
      </c>
      <c r="BF601" s="15">
        <f t="shared" si="4040"/>
        <v>-1</v>
      </c>
      <c r="BG601" s="15" t="str">
        <f t="shared" si="4041"/>
        <v>-1-1-1</v>
      </c>
      <c r="BH601" s="15" t="str">
        <f t="shared" si="4042"/>
        <v>SD</v>
      </c>
      <c r="BI601" s="15" t="str">
        <f t="shared" si="4043"/>
        <v>SI</v>
      </c>
      <c r="BJ601" s="15" t="b">
        <f t="shared" si="4044"/>
        <v>1</v>
      </c>
      <c r="BK601" s="15" t="str">
        <f t="shared" si="4045"/>
        <v>SIGIGUALES</v>
      </c>
      <c r="BL601" s="22" t="str">
        <f t="shared" si="4046"/>
        <v>NO CONFORME</v>
      </c>
    </row>
    <row r="602" spans="1:64" ht="15.75" thickBot="1" x14ac:dyDescent="0.3">
      <c r="A602" s="37">
        <v>594</v>
      </c>
      <c r="B602" s="93">
        <f t="shared" ref="B602:E602" si="4162">B601</f>
        <v>45919</v>
      </c>
      <c r="C602" s="93">
        <f t="shared" si="4162"/>
        <v>45919</v>
      </c>
      <c r="D602" s="94">
        <f t="shared" si="4162"/>
        <v>6</v>
      </c>
      <c r="E602" s="95">
        <f t="shared" si="4162"/>
        <v>15</v>
      </c>
      <c r="F602" s="13"/>
      <c r="G602" s="111"/>
      <c r="H602" s="97">
        <f t="shared" ref="H602:L602" si="4163">H601</f>
        <v>25.6</v>
      </c>
      <c r="I602" s="98">
        <f t="shared" si="4163"/>
        <v>0</v>
      </c>
      <c r="J602" s="99">
        <f t="shared" si="4163"/>
        <v>20.9</v>
      </c>
      <c r="K602" s="99">
        <f t="shared" si="4163"/>
        <v>7.883</v>
      </c>
      <c r="L602" s="99">
        <f t="shared" si="4163"/>
        <v>0.55400000000000005</v>
      </c>
      <c r="M602" s="45"/>
      <c r="N602" s="45"/>
      <c r="O602" s="100">
        <f t="shared" ref="O602:P602" si="4164">O601</f>
        <v>100.62</v>
      </c>
      <c r="P602" s="101" t="str">
        <f t="shared" si="4164"/>
        <v>2,29,560</v>
      </c>
      <c r="Q602" s="11" t="str">
        <f t="shared" si="3935"/>
        <v>2</v>
      </c>
      <c r="R602" s="11" t="str">
        <f t="shared" si="3936"/>
        <v>29,560</v>
      </c>
      <c r="S602" s="11">
        <f t="shared" si="3937"/>
        <v>4.1544444444444446E-2</v>
      </c>
      <c r="T602" s="14">
        <f t="shared" si="3938"/>
        <v>2421.9844878309709</v>
      </c>
      <c r="U602" s="39">
        <f t="shared" si="4027"/>
        <v>-100</v>
      </c>
      <c r="V602" s="105">
        <f t="shared" ref="V602:X602" si="4165">V601</f>
        <v>20.399999999999999</v>
      </c>
      <c r="W602" s="105">
        <f t="shared" si="4165"/>
        <v>1.5069999999999999</v>
      </c>
      <c r="X602" s="106">
        <f t="shared" si="4165"/>
        <v>1.504</v>
      </c>
      <c r="Y602" s="45"/>
      <c r="Z602" s="45"/>
      <c r="AA602" s="107">
        <f t="shared" ref="AA602:AB602" si="4166">AA601</f>
        <v>10.015000000000001</v>
      </c>
      <c r="AB602" s="108" t="str">
        <f t="shared" si="4166"/>
        <v>22,10,090</v>
      </c>
      <c r="AC602" s="11" t="str">
        <f t="shared" si="3941"/>
        <v>22</v>
      </c>
      <c r="AD602" s="11" t="str">
        <f t="shared" si="3942"/>
        <v>10,090</v>
      </c>
      <c r="AE602" s="11">
        <f t="shared" si="3943"/>
        <v>0.36946944444444441</v>
      </c>
      <c r="AF602" s="14">
        <f t="shared" si="4030"/>
        <v>27.106436406558959</v>
      </c>
      <c r="AG602" s="41">
        <f t="shared" si="3958"/>
        <v>-100</v>
      </c>
      <c r="AH602" s="105">
        <f t="shared" ref="AH602:AJ602" si="4167">AH601</f>
        <v>20.3</v>
      </c>
      <c r="AI602" s="105">
        <f t="shared" si="4167"/>
        <v>1.5089999999999999</v>
      </c>
      <c r="AJ602" s="105">
        <f t="shared" si="4167"/>
        <v>1.504</v>
      </c>
      <c r="AK602" s="53">
        <f t="shared" si="3874"/>
        <v>0</v>
      </c>
      <c r="AL602" s="45"/>
      <c r="AM602" s="54">
        <f t="shared" ref="AM602:AN602" si="4168">AM601</f>
        <v>5.0129999999999999</v>
      </c>
      <c r="AN602" s="101" t="str">
        <f t="shared" si="4168"/>
        <v>17,59,050</v>
      </c>
      <c r="AO602" s="11" t="str">
        <f t="shared" si="3946"/>
        <v>17</v>
      </c>
      <c r="AP602" s="11" t="str">
        <f t="shared" si="3947"/>
        <v>59,050</v>
      </c>
      <c r="AQ602" s="11">
        <f t="shared" si="3948"/>
        <v>0.29973611111111109</v>
      </c>
      <c r="AR602" s="14">
        <f t="shared" si="4033"/>
        <v>16.724711551827998</v>
      </c>
      <c r="AS602" s="41">
        <f t="shared" si="4034"/>
        <v>-100</v>
      </c>
      <c r="AT602" s="43" t="str">
        <f t="shared" si="4035"/>
        <v>NO CONFORME</v>
      </c>
      <c r="AU602" s="8" t="b">
        <f t="shared" si="4054"/>
        <v>1</v>
      </c>
      <c r="AV602" s="8" t="b">
        <f t="shared" si="3949"/>
        <v>0</v>
      </c>
      <c r="AW602" s="8" t="b">
        <f t="shared" si="3950"/>
        <v>1</v>
      </c>
      <c r="AX602" s="8" t="str">
        <f t="shared" si="3951"/>
        <v>Qcorrecto</v>
      </c>
      <c r="AY602" s="22" t="str">
        <f t="shared" si="4036"/>
        <v>aceptable</v>
      </c>
      <c r="AZ602" s="22" t="str">
        <f t="shared" si="4037"/>
        <v>aceptable</v>
      </c>
      <c r="BA602" s="22" t="str">
        <f t="shared" si="3952"/>
        <v>aceptable</v>
      </c>
      <c r="BB602" s="25" t="str">
        <f t="shared" si="4055"/>
        <v>NO CONFORME</v>
      </c>
      <c r="BC602" s="5" t="str">
        <f t="shared" si="4056"/>
        <v>NO CONFORME</v>
      </c>
      <c r="BD602" s="15">
        <f t="shared" si="4038"/>
        <v>-1</v>
      </c>
      <c r="BE602" s="15">
        <f t="shared" si="4039"/>
        <v>-1</v>
      </c>
      <c r="BF602" s="15">
        <f t="shared" si="4040"/>
        <v>-1</v>
      </c>
      <c r="BG602" s="15" t="str">
        <f t="shared" si="4041"/>
        <v>-1-1-1</v>
      </c>
      <c r="BH602" s="15" t="str">
        <f t="shared" si="4042"/>
        <v>SD</v>
      </c>
      <c r="BI602" s="15" t="str">
        <f t="shared" si="4043"/>
        <v>SI</v>
      </c>
      <c r="BJ602" s="15" t="b">
        <f t="shared" si="4044"/>
        <v>1</v>
      </c>
      <c r="BK602" s="15" t="str">
        <f t="shared" si="4045"/>
        <v>SIGIGUALES</v>
      </c>
      <c r="BL602" s="22" t="str">
        <f t="shared" si="4046"/>
        <v>NO CONFORME</v>
      </c>
    </row>
    <row r="603" spans="1:64" ht="15.75" thickBot="1" x14ac:dyDescent="0.3">
      <c r="A603" s="37">
        <v>595</v>
      </c>
      <c r="B603" s="93">
        <f t="shared" ref="B603:E603" si="4169">B602</f>
        <v>45919</v>
      </c>
      <c r="C603" s="93">
        <f t="shared" si="4169"/>
        <v>45919</v>
      </c>
      <c r="D603" s="94">
        <f t="shared" si="4169"/>
        <v>6</v>
      </c>
      <c r="E603" s="95">
        <f t="shared" si="4169"/>
        <v>15</v>
      </c>
      <c r="F603" s="13"/>
      <c r="G603" s="111"/>
      <c r="H603" s="97">
        <f t="shared" ref="H603:L603" si="4170">H602</f>
        <v>25.6</v>
      </c>
      <c r="I603" s="98">
        <f t="shared" si="4170"/>
        <v>0</v>
      </c>
      <c r="J603" s="99">
        <f t="shared" si="4170"/>
        <v>20.9</v>
      </c>
      <c r="K603" s="99">
        <f t="shared" si="4170"/>
        <v>7.883</v>
      </c>
      <c r="L603" s="99">
        <f t="shared" si="4170"/>
        <v>0.55400000000000005</v>
      </c>
      <c r="M603" s="45"/>
      <c r="N603" s="45"/>
      <c r="O603" s="100">
        <f t="shared" ref="O603:P603" si="4171">O602</f>
        <v>100.62</v>
      </c>
      <c r="P603" s="101" t="str">
        <f t="shared" si="4171"/>
        <v>2,29,560</v>
      </c>
      <c r="Q603" s="11" t="str">
        <f t="shared" si="3935"/>
        <v>2</v>
      </c>
      <c r="R603" s="11" t="str">
        <f t="shared" si="3936"/>
        <v>29,560</v>
      </c>
      <c r="S603" s="11">
        <f t="shared" si="3937"/>
        <v>4.1544444444444446E-2</v>
      </c>
      <c r="T603" s="14">
        <f t="shared" si="3938"/>
        <v>2421.9844878309709</v>
      </c>
      <c r="U603" s="39">
        <f t="shared" si="4027"/>
        <v>-100</v>
      </c>
      <c r="V603" s="105">
        <f t="shared" ref="V603:X603" si="4172">V602</f>
        <v>20.399999999999999</v>
      </c>
      <c r="W603" s="105">
        <f t="shared" si="4172"/>
        <v>1.5069999999999999</v>
      </c>
      <c r="X603" s="106">
        <f t="shared" si="4172"/>
        <v>1.504</v>
      </c>
      <c r="Y603" s="45"/>
      <c r="Z603" s="45"/>
      <c r="AA603" s="107">
        <f t="shared" ref="AA603:AB603" si="4173">AA602</f>
        <v>10.015000000000001</v>
      </c>
      <c r="AB603" s="108" t="str">
        <f t="shared" si="4173"/>
        <v>22,10,090</v>
      </c>
      <c r="AC603" s="11" t="str">
        <f t="shared" si="3941"/>
        <v>22</v>
      </c>
      <c r="AD603" s="11" t="str">
        <f t="shared" si="3942"/>
        <v>10,090</v>
      </c>
      <c r="AE603" s="11">
        <f t="shared" si="3943"/>
        <v>0.36946944444444441</v>
      </c>
      <c r="AF603" s="14">
        <f t="shared" si="4030"/>
        <v>27.106436406558959</v>
      </c>
      <c r="AG603" s="41">
        <f t="shared" si="3958"/>
        <v>-100</v>
      </c>
      <c r="AH603" s="105">
        <f t="shared" ref="AH603:AJ603" si="4174">AH602</f>
        <v>20.3</v>
      </c>
      <c r="AI603" s="105">
        <f t="shared" si="4174"/>
        <v>1.5089999999999999</v>
      </c>
      <c r="AJ603" s="105">
        <f t="shared" si="4174"/>
        <v>1.504</v>
      </c>
      <c r="AK603" s="53">
        <f t="shared" si="3874"/>
        <v>0</v>
      </c>
      <c r="AL603" s="45"/>
      <c r="AM603" s="54">
        <f t="shared" ref="AM603:AN603" si="4175">AM602</f>
        <v>5.0129999999999999</v>
      </c>
      <c r="AN603" s="101" t="str">
        <f t="shared" si="4175"/>
        <v>17,59,050</v>
      </c>
      <c r="AO603" s="11" t="str">
        <f t="shared" si="3946"/>
        <v>17</v>
      </c>
      <c r="AP603" s="11" t="str">
        <f t="shared" si="3947"/>
        <v>59,050</v>
      </c>
      <c r="AQ603" s="11">
        <f t="shared" si="3948"/>
        <v>0.29973611111111109</v>
      </c>
      <c r="AR603" s="14">
        <f t="shared" si="4033"/>
        <v>16.724711551827998</v>
      </c>
      <c r="AS603" s="41">
        <f t="shared" si="4034"/>
        <v>-100</v>
      </c>
      <c r="AT603" s="43" t="str">
        <f t="shared" si="4035"/>
        <v>NO CONFORME</v>
      </c>
      <c r="AU603" s="8" t="b">
        <f t="shared" si="4054"/>
        <v>1</v>
      </c>
      <c r="AV603" s="8" t="b">
        <f t="shared" si="3949"/>
        <v>0</v>
      </c>
      <c r="AW603" s="8" t="b">
        <f t="shared" si="3950"/>
        <v>1</v>
      </c>
      <c r="AX603" s="8" t="str">
        <f t="shared" si="3951"/>
        <v>Qcorrecto</v>
      </c>
      <c r="AY603" s="22" t="str">
        <f t="shared" si="4036"/>
        <v>aceptable</v>
      </c>
      <c r="AZ603" s="22" t="str">
        <f t="shared" si="4037"/>
        <v>aceptable</v>
      </c>
      <c r="BA603" s="22" t="str">
        <f t="shared" si="3952"/>
        <v>aceptable</v>
      </c>
      <c r="BB603" s="25" t="str">
        <f t="shared" si="4055"/>
        <v>NO CONFORME</v>
      </c>
      <c r="BC603" s="5" t="str">
        <f t="shared" si="4056"/>
        <v>NO CONFORME</v>
      </c>
      <c r="BD603" s="15">
        <f t="shared" si="4038"/>
        <v>-1</v>
      </c>
      <c r="BE603" s="15">
        <f t="shared" si="4039"/>
        <v>-1</v>
      </c>
      <c r="BF603" s="15">
        <f t="shared" si="4040"/>
        <v>-1</v>
      </c>
      <c r="BG603" s="15" t="str">
        <f t="shared" si="4041"/>
        <v>-1-1-1</v>
      </c>
      <c r="BH603" s="15" t="str">
        <f t="shared" si="4042"/>
        <v>SD</v>
      </c>
      <c r="BI603" s="15" t="str">
        <f t="shared" si="4043"/>
        <v>SI</v>
      </c>
      <c r="BJ603" s="15" t="b">
        <f t="shared" si="4044"/>
        <v>1</v>
      </c>
      <c r="BK603" s="15" t="str">
        <f t="shared" si="4045"/>
        <v>SIGIGUALES</v>
      </c>
      <c r="BL603" s="22" t="str">
        <f t="shared" si="4046"/>
        <v>NO CONFORME</v>
      </c>
    </row>
    <row r="604" spans="1:64" ht="15.75" thickBot="1" x14ac:dyDescent="0.3">
      <c r="A604" s="37">
        <v>596</v>
      </c>
      <c r="B604" s="93">
        <f t="shared" ref="B604:E604" si="4176">B603</f>
        <v>45919</v>
      </c>
      <c r="C604" s="93">
        <f t="shared" si="4176"/>
        <v>45919</v>
      </c>
      <c r="D604" s="94">
        <f t="shared" si="4176"/>
        <v>6</v>
      </c>
      <c r="E604" s="95">
        <f t="shared" si="4176"/>
        <v>15</v>
      </c>
      <c r="F604" s="13"/>
      <c r="G604" s="111"/>
      <c r="H604" s="97">
        <f t="shared" ref="H604:L604" si="4177">H603</f>
        <v>25.6</v>
      </c>
      <c r="I604" s="98">
        <f t="shared" si="4177"/>
        <v>0</v>
      </c>
      <c r="J604" s="99">
        <f t="shared" si="4177"/>
        <v>20.9</v>
      </c>
      <c r="K604" s="99">
        <f t="shared" si="4177"/>
        <v>7.883</v>
      </c>
      <c r="L604" s="99">
        <f t="shared" si="4177"/>
        <v>0.55400000000000005</v>
      </c>
      <c r="M604" s="45"/>
      <c r="N604" s="45"/>
      <c r="O604" s="100">
        <f t="shared" ref="O604:P604" si="4178">O603</f>
        <v>100.62</v>
      </c>
      <c r="P604" s="101" t="str">
        <f t="shared" si="4178"/>
        <v>2,29,560</v>
      </c>
      <c r="Q604" s="11" t="str">
        <f t="shared" si="3935"/>
        <v>2</v>
      </c>
      <c r="R604" s="11" t="str">
        <f t="shared" si="3936"/>
        <v>29,560</v>
      </c>
      <c r="S604" s="11">
        <f t="shared" si="3937"/>
        <v>4.1544444444444446E-2</v>
      </c>
      <c r="T604" s="14">
        <f t="shared" si="3938"/>
        <v>2421.9844878309709</v>
      </c>
      <c r="U604" s="39">
        <f t="shared" si="4027"/>
        <v>-100</v>
      </c>
      <c r="V604" s="105">
        <f t="shared" ref="V604:X604" si="4179">V603</f>
        <v>20.399999999999999</v>
      </c>
      <c r="W604" s="105">
        <f t="shared" si="4179"/>
        <v>1.5069999999999999</v>
      </c>
      <c r="X604" s="106">
        <f t="shared" si="4179"/>
        <v>1.504</v>
      </c>
      <c r="Y604" s="45"/>
      <c r="Z604" s="45"/>
      <c r="AA604" s="107">
        <f t="shared" ref="AA604:AB604" si="4180">AA603</f>
        <v>10.015000000000001</v>
      </c>
      <c r="AB604" s="108" t="str">
        <f t="shared" si="4180"/>
        <v>22,10,090</v>
      </c>
      <c r="AC604" s="11" t="str">
        <f t="shared" si="3941"/>
        <v>22</v>
      </c>
      <c r="AD604" s="11" t="str">
        <f t="shared" si="3942"/>
        <v>10,090</v>
      </c>
      <c r="AE604" s="11">
        <f t="shared" si="3943"/>
        <v>0.36946944444444441</v>
      </c>
      <c r="AF604" s="14">
        <f t="shared" si="4030"/>
        <v>27.106436406558959</v>
      </c>
      <c r="AG604" s="41">
        <f t="shared" si="3958"/>
        <v>-100</v>
      </c>
      <c r="AH604" s="105">
        <f t="shared" ref="AH604:AJ604" si="4181">AH603</f>
        <v>20.3</v>
      </c>
      <c r="AI604" s="105">
        <f t="shared" si="4181"/>
        <v>1.5089999999999999</v>
      </c>
      <c r="AJ604" s="105">
        <f t="shared" si="4181"/>
        <v>1.504</v>
      </c>
      <c r="AK604" s="53">
        <f t="shared" si="3874"/>
        <v>0</v>
      </c>
      <c r="AL604" s="45"/>
      <c r="AM604" s="54">
        <f t="shared" ref="AM604:AN604" si="4182">AM603</f>
        <v>5.0129999999999999</v>
      </c>
      <c r="AN604" s="101" t="str">
        <f t="shared" si="4182"/>
        <v>17,59,050</v>
      </c>
      <c r="AO604" s="11" t="str">
        <f t="shared" si="3946"/>
        <v>17</v>
      </c>
      <c r="AP604" s="11" t="str">
        <f t="shared" si="3947"/>
        <v>59,050</v>
      </c>
      <c r="AQ604" s="11">
        <f t="shared" si="3948"/>
        <v>0.29973611111111109</v>
      </c>
      <c r="AR604" s="14">
        <f t="shared" si="4033"/>
        <v>16.724711551827998</v>
      </c>
      <c r="AS604" s="41">
        <f t="shared" si="4034"/>
        <v>-100</v>
      </c>
      <c r="AT604" s="43" t="str">
        <f t="shared" si="4035"/>
        <v>NO CONFORME</v>
      </c>
      <c r="AU604" s="8" t="b">
        <f t="shared" si="4054"/>
        <v>1</v>
      </c>
      <c r="AV604" s="8" t="b">
        <f t="shared" si="3949"/>
        <v>0</v>
      </c>
      <c r="AW604" s="8" t="b">
        <f t="shared" si="3950"/>
        <v>1</v>
      </c>
      <c r="AX604" s="8" t="str">
        <f t="shared" si="3951"/>
        <v>Qcorrecto</v>
      </c>
      <c r="AY604" s="22" t="str">
        <f t="shared" si="4036"/>
        <v>aceptable</v>
      </c>
      <c r="AZ604" s="22" t="str">
        <f t="shared" si="4037"/>
        <v>aceptable</v>
      </c>
      <c r="BA604" s="22" t="str">
        <f t="shared" si="3952"/>
        <v>aceptable</v>
      </c>
      <c r="BB604" s="25" t="str">
        <f t="shared" si="4055"/>
        <v>NO CONFORME</v>
      </c>
      <c r="BC604" s="5" t="str">
        <f t="shared" si="4056"/>
        <v>NO CONFORME</v>
      </c>
      <c r="BD604" s="15">
        <f t="shared" si="4038"/>
        <v>-1</v>
      </c>
      <c r="BE604" s="15">
        <f t="shared" si="4039"/>
        <v>-1</v>
      </c>
      <c r="BF604" s="15">
        <f t="shared" si="4040"/>
        <v>-1</v>
      </c>
      <c r="BG604" s="15" t="str">
        <f t="shared" si="4041"/>
        <v>-1-1-1</v>
      </c>
      <c r="BH604" s="15" t="str">
        <f t="shared" si="4042"/>
        <v>SD</v>
      </c>
      <c r="BI604" s="15" t="str">
        <f t="shared" si="4043"/>
        <v>SI</v>
      </c>
      <c r="BJ604" s="15" t="b">
        <f t="shared" si="4044"/>
        <v>1</v>
      </c>
      <c r="BK604" s="15" t="str">
        <f t="shared" si="4045"/>
        <v>SIGIGUALES</v>
      </c>
      <c r="BL604" s="22" t="str">
        <f t="shared" si="4046"/>
        <v>NO CONFORME</v>
      </c>
    </row>
    <row r="605" spans="1:64" ht="15.75" thickBot="1" x14ac:dyDescent="0.3">
      <c r="A605" s="37">
        <v>597</v>
      </c>
      <c r="B605" s="93">
        <f t="shared" ref="B605:E605" si="4183">B604</f>
        <v>45919</v>
      </c>
      <c r="C605" s="93">
        <f t="shared" si="4183"/>
        <v>45919</v>
      </c>
      <c r="D605" s="94">
        <f t="shared" si="4183"/>
        <v>6</v>
      </c>
      <c r="E605" s="95">
        <f t="shared" si="4183"/>
        <v>15</v>
      </c>
      <c r="F605" s="13"/>
      <c r="G605" s="111"/>
      <c r="H605" s="97">
        <f t="shared" ref="H605:L605" si="4184">H604</f>
        <v>25.6</v>
      </c>
      <c r="I605" s="98">
        <f t="shared" si="4184"/>
        <v>0</v>
      </c>
      <c r="J605" s="99">
        <f t="shared" si="4184"/>
        <v>20.9</v>
      </c>
      <c r="K605" s="99">
        <f t="shared" si="4184"/>
        <v>7.883</v>
      </c>
      <c r="L605" s="99">
        <f t="shared" si="4184"/>
        <v>0.55400000000000005</v>
      </c>
      <c r="M605" s="45"/>
      <c r="N605" s="45"/>
      <c r="O605" s="100">
        <f t="shared" ref="O605:P605" si="4185">O604</f>
        <v>100.62</v>
      </c>
      <c r="P605" s="101" t="str">
        <f t="shared" si="4185"/>
        <v>2,29,560</v>
      </c>
      <c r="Q605" s="11" t="str">
        <f t="shared" si="3935"/>
        <v>2</v>
      </c>
      <c r="R605" s="11" t="str">
        <f t="shared" si="3936"/>
        <v>29,560</v>
      </c>
      <c r="S605" s="11">
        <f t="shared" si="3937"/>
        <v>4.1544444444444446E-2</v>
      </c>
      <c r="T605" s="14">
        <f t="shared" si="3938"/>
        <v>2421.9844878309709</v>
      </c>
      <c r="U605" s="39">
        <f t="shared" si="4027"/>
        <v>-100</v>
      </c>
      <c r="V605" s="105">
        <f t="shared" ref="V605:X605" si="4186">V604</f>
        <v>20.399999999999999</v>
      </c>
      <c r="W605" s="105">
        <f t="shared" si="4186"/>
        <v>1.5069999999999999</v>
      </c>
      <c r="X605" s="106">
        <f t="shared" si="4186"/>
        <v>1.504</v>
      </c>
      <c r="Y605" s="45"/>
      <c r="Z605" s="45"/>
      <c r="AA605" s="107">
        <f t="shared" ref="AA605:AB605" si="4187">AA604</f>
        <v>10.015000000000001</v>
      </c>
      <c r="AB605" s="108" t="str">
        <f t="shared" si="4187"/>
        <v>22,10,090</v>
      </c>
      <c r="AC605" s="11" t="str">
        <f t="shared" si="3941"/>
        <v>22</v>
      </c>
      <c r="AD605" s="11" t="str">
        <f t="shared" si="3942"/>
        <v>10,090</v>
      </c>
      <c r="AE605" s="11">
        <f t="shared" si="3943"/>
        <v>0.36946944444444441</v>
      </c>
      <c r="AF605" s="14">
        <f t="shared" si="4030"/>
        <v>27.106436406558959</v>
      </c>
      <c r="AG605" s="41">
        <f t="shared" si="3958"/>
        <v>-100</v>
      </c>
      <c r="AH605" s="105">
        <f t="shared" ref="AH605:AJ605" si="4188">AH604</f>
        <v>20.3</v>
      </c>
      <c r="AI605" s="105">
        <f t="shared" si="4188"/>
        <v>1.5089999999999999</v>
      </c>
      <c r="AJ605" s="105">
        <f t="shared" si="4188"/>
        <v>1.504</v>
      </c>
      <c r="AK605" s="53">
        <f t="shared" si="3874"/>
        <v>0</v>
      </c>
      <c r="AL605" s="45"/>
      <c r="AM605" s="54">
        <f t="shared" ref="AM605:AN605" si="4189">AM604</f>
        <v>5.0129999999999999</v>
      </c>
      <c r="AN605" s="101" t="str">
        <f t="shared" si="4189"/>
        <v>17,59,050</v>
      </c>
      <c r="AO605" s="11" t="str">
        <f t="shared" si="3946"/>
        <v>17</v>
      </c>
      <c r="AP605" s="11" t="str">
        <f t="shared" si="3947"/>
        <v>59,050</v>
      </c>
      <c r="AQ605" s="11">
        <f t="shared" si="3948"/>
        <v>0.29973611111111109</v>
      </c>
      <c r="AR605" s="14">
        <f t="shared" si="4033"/>
        <v>16.724711551827998</v>
      </c>
      <c r="AS605" s="41">
        <f t="shared" si="4034"/>
        <v>-100</v>
      </c>
      <c r="AT605" s="43" t="str">
        <f t="shared" si="4035"/>
        <v>NO CONFORME</v>
      </c>
      <c r="AU605" s="8" t="b">
        <f t="shared" si="4054"/>
        <v>1</v>
      </c>
      <c r="AV605" s="8" t="b">
        <f t="shared" si="3949"/>
        <v>0</v>
      </c>
      <c r="AW605" s="8" t="b">
        <f t="shared" si="3950"/>
        <v>1</v>
      </c>
      <c r="AX605" s="8" t="str">
        <f t="shared" si="3951"/>
        <v>Qcorrecto</v>
      </c>
      <c r="AY605" s="22" t="str">
        <f t="shared" si="4036"/>
        <v>aceptable</v>
      </c>
      <c r="AZ605" s="22" t="str">
        <f t="shared" si="4037"/>
        <v>aceptable</v>
      </c>
      <c r="BA605" s="22" t="str">
        <f t="shared" si="3952"/>
        <v>aceptable</v>
      </c>
      <c r="BB605" s="25" t="str">
        <f t="shared" si="4055"/>
        <v>NO CONFORME</v>
      </c>
      <c r="BC605" s="5" t="str">
        <f t="shared" si="4056"/>
        <v>NO CONFORME</v>
      </c>
      <c r="BD605" s="15">
        <f t="shared" si="4038"/>
        <v>-1</v>
      </c>
      <c r="BE605" s="15">
        <f t="shared" si="4039"/>
        <v>-1</v>
      </c>
      <c r="BF605" s="15">
        <f t="shared" si="4040"/>
        <v>-1</v>
      </c>
      <c r="BG605" s="15" t="str">
        <f t="shared" si="4041"/>
        <v>-1-1-1</v>
      </c>
      <c r="BH605" s="15" t="str">
        <f t="shared" si="4042"/>
        <v>SD</v>
      </c>
      <c r="BI605" s="15" t="str">
        <f t="shared" si="4043"/>
        <v>SI</v>
      </c>
      <c r="BJ605" s="15" t="b">
        <f t="shared" si="4044"/>
        <v>1</v>
      </c>
      <c r="BK605" s="15" t="str">
        <f t="shared" si="4045"/>
        <v>SIGIGUALES</v>
      </c>
      <c r="BL605" s="22" t="str">
        <f t="shared" si="4046"/>
        <v>NO CONFORME</v>
      </c>
    </row>
    <row r="606" spans="1:64" ht="15.75" thickBot="1" x14ac:dyDescent="0.3">
      <c r="A606" s="37">
        <v>598</v>
      </c>
      <c r="B606" s="93">
        <f t="shared" ref="B606:E606" si="4190">B605</f>
        <v>45919</v>
      </c>
      <c r="C606" s="93">
        <f t="shared" si="4190"/>
        <v>45919</v>
      </c>
      <c r="D606" s="94">
        <f t="shared" si="4190"/>
        <v>6</v>
      </c>
      <c r="E606" s="95">
        <f t="shared" si="4190"/>
        <v>15</v>
      </c>
      <c r="F606" s="13"/>
      <c r="G606" s="111"/>
      <c r="H606" s="97">
        <f t="shared" ref="H606:L606" si="4191">H605</f>
        <v>25.6</v>
      </c>
      <c r="I606" s="98">
        <f t="shared" si="4191"/>
        <v>0</v>
      </c>
      <c r="J606" s="99">
        <f t="shared" si="4191"/>
        <v>20.9</v>
      </c>
      <c r="K606" s="99">
        <f t="shared" si="4191"/>
        <v>7.883</v>
      </c>
      <c r="L606" s="99">
        <f t="shared" si="4191"/>
        <v>0.55400000000000005</v>
      </c>
      <c r="M606" s="45"/>
      <c r="N606" s="45"/>
      <c r="O606" s="100">
        <f t="shared" ref="O606:P606" si="4192">O605</f>
        <v>100.62</v>
      </c>
      <c r="P606" s="101" t="str">
        <f t="shared" si="4192"/>
        <v>2,29,560</v>
      </c>
      <c r="Q606" s="11" t="str">
        <f t="shared" si="3935"/>
        <v>2</v>
      </c>
      <c r="R606" s="11" t="str">
        <f t="shared" si="3936"/>
        <v>29,560</v>
      </c>
      <c r="S606" s="11">
        <f t="shared" si="3937"/>
        <v>4.1544444444444446E-2</v>
      </c>
      <c r="T606" s="14">
        <f t="shared" si="3938"/>
        <v>2421.9844878309709</v>
      </c>
      <c r="U606" s="39">
        <f t="shared" si="4027"/>
        <v>-100</v>
      </c>
      <c r="V606" s="105">
        <f t="shared" ref="V606:X606" si="4193">V605</f>
        <v>20.399999999999999</v>
      </c>
      <c r="W606" s="105">
        <f t="shared" si="4193"/>
        <v>1.5069999999999999</v>
      </c>
      <c r="X606" s="106">
        <f t="shared" si="4193"/>
        <v>1.504</v>
      </c>
      <c r="Y606" s="45"/>
      <c r="Z606" s="45"/>
      <c r="AA606" s="107">
        <f t="shared" ref="AA606:AB606" si="4194">AA605</f>
        <v>10.015000000000001</v>
      </c>
      <c r="AB606" s="108" t="str">
        <f t="shared" si="4194"/>
        <v>22,10,090</v>
      </c>
      <c r="AC606" s="11" t="str">
        <f t="shared" si="3941"/>
        <v>22</v>
      </c>
      <c r="AD606" s="11" t="str">
        <f t="shared" si="3942"/>
        <v>10,090</v>
      </c>
      <c r="AE606" s="11">
        <f t="shared" si="3943"/>
        <v>0.36946944444444441</v>
      </c>
      <c r="AF606" s="14">
        <f t="shared" si="4030"/>
        <v>27.106436406558959</v>
      </c>
      <c r="AG606" s="41">
        <f t="shared" si="3958"/>
        <v>-100</v>
      </c>
      <c r="AH606" s="105">
        <f t="shared" ref="AH606:AJ606" si="4195">AH605</f>
        <v>20.3</v>
      </c>
      <c r="AI606" s="105">
        <f t="shared" si="4195"/>
        <v>1.5089999999999999</v>
      </c>
      <c r="AJ606" s="105">
        <f t="shared" si="4195"/>
        <v>1.504</v>
      </c>
      <c r="AK606" s="53">
        <f t="shared" si="3874"/>
        <v>0</v>
      </c>
      <c r="AL606" s="45"/>
      <c r="AM606" s="54">
        <f t="shared" ref="AM606:AN606" si="4196">AM605</f>
        <v>5.0129999999999999</v>
      </c>
      <c r="AN606" s="101" t="str">
        <f t="shared" si="4196"/>
        <v>17,59,050</v>
      </c>
      <c r="AO606" s="11" t="str">
        <f t="shared" si="3946"/>
        <v>17</v>
      </c>
      <c r="AP606" s="11" t="str">
        <f t="shared" si="3947"/>
        <v>59,050</v>
      </c>
      <c r="AQ606" s="11">
        <f t="shared" si="3948"/>
        <v>0.29973611111111109</v>
      </c>
      <c r="AR606" s="14">
        <f t="shared" si="4033"/>
        <v>16.724711551827998</v>
      </c>
      <c r="AS606" s="41">
        <f t="shared" si="4034"/>
        <v>-100</v>
      </c>
      <c r="AT606" s="43" t="str">
        <f t="shared" si="4035"/>
        <v>NO CONFORME</v>
      </c>
      <c r="AU606" s="8" t="b">
        <f t="shared" si="4054"/>
        <v>1</v>
      </c>
      <c r="AV606" s="8" t="b">
        <f t="shared" si="3949"/>
        <v>0</v>
      </c>
      <c r="AW606" s="8" t="b">
        <f t="shared" si="3950"/>
        <v>1</v>
      </c>
      <c r="AX606" s="8" t="str">
        <f t="shared" si="3951"/>
        <v>Qcorrecto</v>
      </c>
      <c r="AY606" s="22" t="str">
        <f t="shared" si="4036"/>
        <v>aceptable</v>
      </c>
      <c r="AZ606" s="22" t="str">
        <f t="shared" si="4037"/>
        <v>aceptable</v>
      </c>
      <c r="BA606" s="22" t="str">
        <f t="shared" si="3952"/>
        <v>aceptable</v>
      </c>
      <c r="BB606" s="25" t="str">
        <f t="shared" si="4055"/>
        <v>NO CONFORME</v>
      </c>
      <c r="BC606" s="5" t="str">
        <f t="shared" si="4056"/>
        <v>NO CONFORME</v>
      </c>
      <c r="BD606" s="15">
        <f t="shared" si="4038"/>
        <v>-1</v>
      </c>
      <c r="BE606" s="15">
        <f t="shared" si="4039"/>
        <v>-1</v>
      </c>
      <c r="BF606" s="15">
        <f t="shared" si="4040"/>
        <v>-1</v>
      </c>
      <c r="BG606" s="15" t="str">
        <f t="shared" si="4041"/>
        <v>-1-1-1</v>
      </c>
      <c r="BH606" s="15" t="str">
        <f t="shared" si="4042"/>
        <v>SD</v>
      </c>
      <c r="BI606" s="15" t="str">
        <f t="shared" si="4043"/>
        <v>SI</v>
      </c>
      <c r="BJ606" s="15" t="b">
        <f t="shared" si="4044"/>
        <v>1</v>
      </c>
      <c r="BK606" s="15" t="str">
        <f t="shared" si="4045"/>
        <v>SIGIGUALES</v>
      </c>
      <c r="BL606" s="22" t="str">
        <f t="shared" si="4046"/>
        <v>NO CONFORME</v>
      </c>
    </row>
    <row r="607" spans="1:64" ht="15.75" thickBot="1" x14ac:dyDescent="0.3">
      <c r="A607" s="37">
        <v>599</v>
      </c>
      <c r="B607" s="93">
        <f t="shared" ref="B607:E607" si="4197">B606</f>
        <v>45919</v>
      </c>
      <c r="C607" s="93">
        <f t="shared" si="4197"/>
        <v>45919</v>
      </c>
      <c r="D607" s="94">
        <f t="shared" si="4197"/>
        <v>6</v>
      </c>
      <c r="E607" s="95">
        <f t="shared" si="4197"/>
        <v>15</v>
      </c>
      <c r="F607" s="13"/>
      <c r="G607" s="111"/>
      <c r="H607" s="97">
        <f t="shared" ref="H607:L607" si="4198">H606</f>
        <v>25.6</v>
      </c>
      <c r="I607" s="98">
        <f t="shared" si="4198"/>
        <v>0</v>
      </c>
      <c r="J607" s="99">
        <f t="shared" si="4198"/>
        <v>20.9</v>
      </c>
      <c r="K607" s="99">
        <f t="shared" si="4198"/>
        <v>7.883</v>
      </c>
      <c r="L607" s="99">
        <f t="shared" si="4198"/>
        <v>0.55400000000000005</v>
      </c>
      <c r="M607" s="45"/>
      <c r="N607" s="45"/>
      <c r="O607" s="100">
        <f t="shared" ref="O607:P607" si="4199">O606</f>
        <v>100.62</v>
      </c>
      <c r="P607" s="101" t="str">
        <f t="shared" si="4199"/>
        <v>2,29,560</v>
      </c>
      <c r="Q607" s="11" t="str">
        <f t="shared" si="3935"/>
        <v>2</v>
      </c>
      <c r="R607" s="11" t="str">
        <f t="shared" si="3936"/>
        <v>29,560</v>
      </c>
      <c r="S607" s="11">
        <f t="shared" si="3937"/>
        <v>4.1544444444444446E-2</v>
      </c>
      <c r="T607" s="14">
        <f t="shared" si="3938"/>
        <v>2421.9844878309709</v>
      </c>
      <c r="U607" s="39">
        <f t="shared" si="4027"/>
        <v>-100</v>
      </c>
      <c r="V607" s="105">
        <f t="shared" ref="V607:X607" si="4200">V606</f>
        <v>20.399999999999999</v>
      </c>
      <c r="W607" s="105">
        <f t="shared" si="4200"/>
        <v>1.5069999999999999</v>
      </c>
      <c r="X607" s="106">
        <f t="shared" si="4200"/>
        <v>1.504</v>
      </c>
      <c r="Y607" s="45"/>
      <c r="Z607" s="45"/>
      <c r="AA607" s="107">
        <f t="shared" ref="AA607:AB607" si="4201">AA606</f>
        <v>10.015000000000001</v>
      </c>
      <c r="AB607" s="108" t="str">
        <f t="shared" si="4201"/>
        <v>22,10,090</v>
      </c>
      <c r="AC607" s="11" t="str">
        <f t="shared" si="3941"/>
        <v>22</v>
      </c>
      <c r="AD607" s="11" t="str">
        <f t="shared" si="3942"/>
        <v>10,090</v>
      </c>
      <c r="AE607" s="11">
        <f t="shared" si="3943"/>
        <v>0.36946944444444441</v>
      </c>
      <c r="AF607" s="14">
        <f t="shared" si="4030"/>
        <v>27.106436406558959</v>
      </c>
      <c r="AG607" s="41">
        <f t="shared" si="3958"/>
        <v>-100</v>
      </c>
      <c r="AH607" s="105">
        <f t="shared" ref="AH607:AJ607" si="4202">AH606</f>
        <v>20.3</v>
      </c>
      <c r="AI607" s="105">
        <f t="shared" si="4202"/>
        <v>1.5089999999999999</v>
      </c>
      <c r="AJ607" s="105">
        <f t="shared" si="4202"/>
        <v>1.504</v>
      </c>
      <c r="AK607" s="53">
        <f t="shared" si="3874"/>
        <v>0</v>
      </c>
      <c r="AL607" s="45"/>
      <c r="AM607" s="54">
        <f t="shared" ref="AM607:AN607" si="4203">AM606</f>
        <v>5.0129999999999999</v>
      </c>
      <c r="AN607" s="101" t="str">
        <f t="shared" si="4203"/>
        <v>17,59,050</v>
      </c>
      <c r="AO607" s="11" t="str">
        <f t="shared" si="3946"/>
        <v>17</v>
      </c>
      <c r="AP607" s="11" t="str">
        <f t="shared" si="3947"/>
        <v>59,050</v>
      </c>
      <c r="AQ607" s="11">
        <f t="shared" si="3948"/>
        <v>0.29973611111111109</v>
      </c>
      <c r="AR607" s="14">
        <f t="shared" si="4033"/>
        <v>16.724711551827998</v>
      </c>
      <c r="AS607" s="41">
        <f t="shared" si="4034"/>
        <v>-100</v>
      </c>
      <c r="AT607" s="43" t="str">
        <f t="shared" si="4035"/>
        <v>NO CONFORME</v>
      </c>
      <c r="AU607" s="8" t="b">
        <f t="shared" si="4054"/>
        <v>1</v>
      </c>
      <c r="AV607" s="8" t="b">
        <f t="shared" si="3949"/>
        <v>0</v>
      </c>
      <c r="AW607" s="8" t="b">
        <f t="shared" si="3950"/>
        <v>1</v>
      </c>
      <c r="AX607" s="8" t="str">
        <f t="shared" si="3951"/>
        <v>Qcorrecto</v>
      </c>
      <c r="AY607" s="22" t="str">
        <f t="shared" si="4036"/>
        <v>aceptable</v>
      </c>
      <c r="AZ607" s="22" t="str">
        <f t="shared" si="4037"/>
        <v>aceptable</v>
      </c>
      <c r="BA607" s="22" t="str">
        <f t="shared" si="3952"/>
        <v>aceptable</v>
      </c>
      <c r="BB607" s="25" t="str">
        <f t="shared" si="4055"/>
        <v>NO CONFORME</v>
      </c>
      <c r="BC607" s="5" t="str">
        <f t="shared" si="4056"/>
        <v>NO CONFORME</v>
      </c>
      <c r="BD607" s="15">
        <f t="shared" si="4038"/>
        <v>-1</v>
      </c>
      <c r="BE607" s="15">
        <f t="shared" si="4039"/>
        <v>-1</v>
      </c>
      <c r="BF607" s="15">
        <f t="shared" si="4040"/>
        <v>-1</v>
      </c>
      <c r="BG607" s="15" t="str">
        <f t="shared" si="4041"/>
        <v>-1-1-1</v>
      </c>
      <c r="BH607" s="15" t="str">
        <f t="shared" si="4042"/>
        <v>SD</v>
      </c>
      <c r="BI607" s="15" t="str">
        <f t="shared" si="4043"/>
        <v>SI</v>
      </c>
      <c r="BJ607" s="15" t="b">
        <f t="shared" si="4044"/>
        <v>1</v>
      </c>
      <c r="BK607" s="15" t="str">
        <f t="shared" si="4045"/>
        <v>SIGIGUALES</v>
      </c>
      <c r="BL607" s="22" t="str">
        <f t="shared" si="4046"/>
        <v>NO CONFORME</v>
      </c>
    </row>
    <row r="608" spans="1:64" ht="15.75" thickBot="1" x14ac:dyDescent="0.3">
      <c r="A608" s="37">
        <v>600</v>
      </c>
      <c r="B608" s="93">
        <f t="shared" ref="B608:E608" si="4204">B607</f>
        <v>45919</v>
      </c>
      <c r="C608" s="93">
        <f t="shared" si="4204"/>
        <v>45919</v>
      </c>
      <c r="D608" s="94">
        <f t="shared" si="4204"/>
        <v>6</v>
      </c>
      <c r="E608" s="95">
        <f t="shared" si="4204"/>
        <v>15</v>
      </c>
      <c r="F608" s="52"/>
      <c r="G608" s="113"/>
      <c r="H608" s="97">
        <f t="shared" ref="H608:L608" si="4205">H607</f>
        <v>25.6</v>
      </c>
      <c r="I608" s="98">
        <f t="shared" si="4205"/>
        <v>0</v>
      </c>
      <c r="J608" s="99">
        <f t="shared" si="4205"/>
        <v>20.9</v>
      </c>
      <c r="K608" s="99">
        <f t="shared" si="4205"/>
        <v>7.883</v>
      </c>
      <c r="L608" s="99">
        <f t="shared" si="4205"/>
        <v>0.55400000000000005</v>
      </c>
      <c r="M608" s="53"/>
      <c r="N608" s="53"/>
      <c r="O608" s="100">
        <f t="shared" ref="O608:P608" si="4206">O607</f>
        <v>100.62</v>
      </c>
      <c r="P608" s="101" t="str">
        <f t="shared" si="4206"/>
        <v>2,29,560</v>
      </c>
      <c r="Q608" s="11" t="str">
        <f t="shared" si="3935"/>
        <v>2</v>
      </c>
      <c r="R608" s="11" t="str">
        <f t="shared" si="3936"/>
        <v>29,560</v>
      </c>
      <c r="S608" s="11">
        <f t="shared" si="3937"/>
        <v>4.1544444444444446E-2</v>
      </c>
      <c r="T608" s="14">
        <f t="shared" si="3938"/>
        <v>2421.9844878309709</v>
      </c>
      <c r="U608" s="39">
        <f t="shared" si="4027"/>
        <v>-100</v>
      </c>
      <c r="V608" s="105">
        <f t="shared" ref="V608:X608" si="4207">V607</f>
        <v>20.399999999999999</v>
      </c>
      <c r="W608" s="105">
        <f t="shared" si="4207"/>
        <v>1.5069999999999999</v>
      </c>
      <c r="X608" s="106">
        <f t="shared" si="4207"/>
        <v>1.504</v>
      </c>
      <c r="Y608" s="53"/>
      <c r="Z608" s="53"/>
      <c r="AA608" s="107">
        <f t="shared" ref="AA608:AB608" si="4208">AA607</f>
        <v>10.015000000000001</v>
      </c>
      <c r="AB608" s="108" t="str">
        <f t="shared" si="4208"/>
        <v>22,10,090</v>
      </c>
      <c r="AC608" s="11" t="str">
        <f t="shared" si="3941"/>
        <v>22</v>
      </c>
      <c r="AD608" s="11" t="str">
        <f t="shared" si="3942"/>
        <v>10,090</v>
      </c>
      <c r="AE608" s="11">
        <f t="shared" si="3943"/>
        <v>0.36946944444444441</v>
      </c>
      <c r="AF608" s="14">
        <f t="shared" si="4030"/>
        <v>27.106436406558959</v>
      </c>
      <c r="AG608" s="41">
        <f t="shared" si="3958"/>
        <v>-100</v>
      </c>
      <c r="AH608" s="105">
        <f t="shared" ref="AH608:AJ608" si="4209">AH607</f>
        <v>20.3</v>
      </c>
      <c r="AI608" s="105">
        <f t="shared" si="4209"/>
        <v>1.5089999999999999</v>
      </c>
      <c r="AJ608" s="105">
        <f t="shared" si="4209"/>
        <v>1.504</v>
      </c>
      <c r="AK608" s="53">
        <f t="shared" si="3874"/>
        <v>0</v>
      </c>
      <c r="AL608" s="53"/>
      <c r="AM608" s="54">
        <f t="shared" ref="AM608:AN608" si="4210">AM607</f>
        <v>5.0129999999999999</v>
      </c>
      <c r="AN608" s="101" t="str">
        <f t="shared" si="4210"/>
        <v>17,59,050</v>
      </c>
      <c r="AO608" s="11" t="str">
        <f t="shared" si="3946"/>
        <v>17</v>
      </c>
      <c r="AP608" s="11" t="str">
        <f t="shared" si="3947"/>
        <v>59,050</v>
      </c>
      <c r="AQ608" s="11">
        <f t="shared" si="3948"/>
        <v>0.29973611111111109</v>
      </c>
      <c r="AR608" s="14">
        <f t="shared" si="4033"/>
        <v>16.724711551827998</v>
      </c>
      <c r="AS608" s="41">
        <f t="shared" si="4034"/>
        <v>-100</v>
      </c>
      <c r="AT608" s="43" t="str">
        <f t="shared" si="4035"/>
        <v>NO CONFORME</v>
      </c>
      <c r="AU608" s="8" t="b">
        <f t="shared" si="4054"/>
        <v>1</v>
      </c>
      <c r="AV608" s="8" t="b">
        <f t="shared" si="3949"/>
        <v>0</v>
      </c>
      <c r="AW608" s="8" t="b">
        <f t="shared" si="3950"/>
        <v>1</v>
      </c>
      <c r="AX608" s="8" t="str">
        <f t="shared" si="3951"/>
        <v>Qcorrecto</v>
      </c>
      <c r="AY608" s="22" t="str">
        <f t="shared" si="4036"/>
        <v>aceptable</v>
      </c>
      <c r="AZ608" s="22" t="str">
        <f t="shared" si="4037"/>
        <v>aceptable</v>
      </c>
      <c r="BA608" s="22" t="str">
        <f t="shared" si="3952"/>
        <v>aceptable</v>
      </c>
      <c r="BB608" s="25" t="str">
        <f t="shared" si="4055"/>
        <v>NO CONFORME</v>
      </c>
      <c r="BC608" s="5" t="str">
        <f t="shared" si="4056"/>
        <v>NO CONFORME</v>
      </c>
      <c r="BD608" s="15">
        <f t="shared" si="4038"/>
        <v>-1</v>
      </c>
      <c r="BE608" s="15">
        <f t="shared" si="4039"/>
        <v>-1</v>
      </c>
      <c r="BF608" s="15">
        <f t="shared" si="4040"/>
        <v>-1</v>
      </c>
      <c r="BG608" s="15" t="str">
        <f t="shared" si="4041"/>
        <v>-1-1-1</v>
      </c>
      <c r="BH608" s="15" t="str">
        <f t="shared" si="4042"/>
        <v>SD</v>
      </c>
      <c r="BI608" s="15" t="str">
        <f t="shared" si="4043"/>
        <v>SI</v>
      </c>
      <c r="BJ608" s="15" t="b">
        <f t="shared" si="4044"/>
        <v>1</v>
      </c>
      <c r="BK608" s="15" t="str">
        <f t="shared" si="4045"/>
        <v>SIGIGUALES</v>
      </c>
      <c r="BL608" s="22" t="str">
        <f t="shared" si="4046"/>
        <v>NO CONFORME</v>
      </c>
    </row>
    <row r="609" spans="1:64" ht="15.75" thickBot="1" x14ac:dyDescent="0.3">
      <c r="A609" s="37">
        <v>601</v>
      </c>
      <c r="B609" s="93">
        <f t="shared" ref="B609:E609" si="4211">B608</f>
        <v>45919</v>
      </c>
      <c r="C609" s="93">
        <f t="shared" si="4211"/>
        <v>45919</v>
      </c>
      <c r="D609" s="94">
        <f t="shared" si="4211"/>
        <v>6</v>
      </c>
      <c r="E609" s="95">
        <f t="shared" si="4211"/>
        <v>15</v>
      </c>
      <c r="F609" s="13"/>
      <c r="G609" s="90"/>
      <c r="H609" s="97">
        <f t="shared" ref="H609:L609" si="4212">H608</f>
        <v>25.6</v>
      </c>
      <c r="I609" s="98">
        <f t="shared" si="4212"/>
        <v>0</v>
      </c>
      <c r="J609" s="99">
        <f t="shared" si="4212"/>
        <v>20.9</v>
      </c>
      <c r="K609" s="99">
        <f t="shared" si="4212"/>
        <v>7.883</v>
      </c>
      <c r="L609" s="99">
        <f t="shared" si="4212"/>
        <v>0.55400000000000005</v>
      </c>
      <c r="M609" s="45"/>
      <c r="N609" s="45"/>
      <c r="O609" s="100">
        <f t="shared" ref="O609:P609" si="4213">O608</f>
        <v>100.62</v>
      </c>
      <c r="P609" s="101" t="str">
        <f t="shared" si="4213"/>
        <v>2,29,560</v>
      </c>
      <c r="Q609" s="11" t="str">
        <f t="shared" si="3935"/>
        <v>2</v>
      </c>
      <c r="R609" s="11" t="str">
        <f t="shared" si="3936"/>
        <v>29,560</v>
      </c>
      <c r="S609" s="11">
        <f t="shared" si="3937"/>
        <v>4.1544444444444446E-2</v>
      </c>
      <c r="T609" s="14">
        <f t="shared" si="3938"/>
        <v>2421.9844878309709</v>
      </c>
      <c r="U609" s="39">
        <f t="shared" si="4027"/>
        <v>-100</v>
      </c>
      <c r="V609" s="105">
        <f t="shared" ref="V609:X609" si="4214">V608</f>
        <v>20.399999999999999</v>
      </c>
      <c r="W609" s="105">
        <f t="shared" si="4214"/>
        <v>1.5069999999999999</v>
      </c>
      <c r="X609" s="106">
        <f t="shared" si="4214"/>
        <v>1.504</v>
      </c>
      <c r="Y609" s="45"/>
      <c r="Z609" s="45"/>
      <c r="AA609" s="107">
        <f t="shared" ref="AA609:AB609" si="4215">AA608</f>
        <v>10.015000000000001</v>
      </c>
      <c r="AB609" s="108" t="str">
        <f t="shared" si="4215"/>
        <v>22,10,090</v>
      </c>
      <c r="AC609" s="11" t="str">
        <f t="shared" si="3941"/>
        <v>22</v>
      </c>
      <c r="AD609" s="11" t="str">
        <f t="shared" si="3942"/>
        <v>10,090</v>
      </c>
      <c r="AE609" s="11">
        <f t="shared" si="3943"/>
        <v>0.36946944444444441</v>
      </c>
      <c r="AF609" s="14">
        <f t="shared" si="4030"/>
        <v>27.106436406558959</v>
      </c>
      <c r="AG609" s="41">
        <f t="shared" si="3958"/>
        <v>-100</v>
      </c>
      <c r="AH609" s="105">
        <f t="shared" ref="AH609:AJ609" si="4216">AH608</f>
        <v>20.3</v>
      </c>
      <c r="AI609" s="105">
        <f t="shared" si="4216"/>
        <v>1.5089999999999999</v>
      </c>
      <c r="AJ609" s="105">
        <f t="shared" si="4216"/>
        <v>1.504</v>
      </c>
      <c r="AK609" s="53">
        <f t="shared" si="3874"/>
        <v>0</v>
      </c>
      <c r="AL609" s="45"/>
      <c r="AM609" s="54">
        <f t="shared" ref="AM609:AN609" si="4217">AM608</f>
        <v>5.0129999999999999</v>
      </c>
      <c r="AN609" s="101" t="str">
        <f t="shared" si="4217"/>
        <v>17,59,050</v>
      </c>
      <c r="AO609" s="11" t="str">
        <f t="shared" si="3946"/>
        <v>17</v>
      </c>
      <c r="AP609" s="11" t="str">
        <f t="shared" si="3947"/>
        <v>59,050</v>
      </c>
      <c r="AQ609" s="11">
        <f t="shared" si="3948"/>
        <v>0.29973611111111109</v>
      </c>
      <c r="AR609" s="14">
        <f t="shared" si="4033"/>
        <v>16.724711551827998</v>
      </c>
      <c r="AS609" s="41">
        <f t="shared" si="4034"/>
        <v>-100</v>
      </c>
      <c r="AT609" s="43" t="str">
        <f t="shared" si="4035"/>
        <v>NO CONFORME</v>
      </c>
      <c r="AU609" s="8" t="b">
        <f t="shared" si="4054"/>
        <v>1</v>
      </c>
      <c r="AV609" s="8" t="b">
        <f t="shared" si="3949"/>
        <v>0</v>
      </c>
      <c r="AW609" s="8" t="b">
        <f t="shared" si="3950"/>
        <v>1</v>
      </c>
      <c r="AX609" s="8" t="str">
        <f t="shared" si="3951"/>
        <v>Qcorrecto</v>
      </c>
      <c r="AY609" s="22" t="str">
        <f t="shared" si="4036"/>
        <v>aceptable</v>
      </c>
      <c r="AZ609" s="22" t="str">
        <f t="shared" si="4037"/>
        <v>aceptable</v>
      </c>
      <c r="BA609" s="22" t="str">
        <f t="shared" si="3952"/>
        <v>aceptable</v>
      </c>
      <c r="BB609" s="25" t="str">
        <f t="shared" si="4055"/>
        <v>NO CONFORME</v>
      </c>
      <c r="BC609" s="5" t="str">
        <f t="shared" si="4056"/>
        <v>NO CONFORME</v>
      </c>
      <c r="BD609" s="15">
        <f t="shared" si="4038"/>
        <v>-1</v>
      </c>
      <c r="BE609" s="15">
        <f t="shared" si="4039"/>
        <v>-1</v>
      </c>
      <c r="BF609" s="15">
        <f t="shared" si="4040"/>
        <v>-1</v>
      </c>
      <c r="BG609" s="15" t="str">
        <f t="shared" si="4041"/>
        <v>-1-1-1</v>
      </c>
      <c r="BH609" s="15" t="str">
        <f t="shared" si="4042"/>
        <v>SD</v>
      </c>
      <c r="BI609" s="15" t="str">
        <f t="shared" si="4043"/>
        <v>SI</v>
      </c>
      <c r="BJ609" s="15" t="b">
        <f t="shared" si="4044"/>
        <v>1</v>
      </c>
      <c r="BK609" s="15" t="str">
        <f t="shared" si="4045"/>
        <v>SIGIGUALES</v>
      </c>
      <c r="BL609" s="22" t="str">
        <f t="shared" si="4046"/>
        <v>NO CONFORME</v>
      </c>
    </row>
    <row r="610" spans="1:64" ht="15.75" thickBot="1" x14ac:dyDescent="0.3">
      <c r="A610" s="37">
        <v>602</v>
      </c>
      <c r="B610" s="93">
        <f t="shared" ref="B610:E610" si="4218">B609</f>
        <v>45919</v>
      </c>
      <c r="C610" s="93">
        <f t="shared" si="4218"/>
        <v>45919</v>
      </c>
      <c r="D610" s="94">
        <f t="shared" si="4218"/>
        <v>6</v>
      </c>
      <c r="E610" s="95">
        <f t="shared" si="4218"/>
        <v>15</v>
      </c>
      <c r="F610" s="13"/>
      <c r="G610" s="90"/>
      <c r="H610" s="97">
        <f t="shared" ref="H610:L610" si="4219">H609</f>
        <v>25.6</v>
      </c>
      <c r="I610" s="98">
        <f t="shared" si="4219"/>
        <v>0</v>
      </c>
      <c r="J610" s="99">
        <f t="shared" si="4219"/>
        <v>20.9</v>
      </c>
      <c r="K610" s="99">
        <f t="shared" si="4219"/>
        <v>7.883</v>
      </c>
      <c r="L610" s="99">
        <f t="shared" si="4219"/>
        <v>0.55400000000000005</v>
      </c>
      <c r="M610" s="45"/>
      <c r="N610" s="45"/>
      <c r="O610" s="100">
        <f t="shared" ref="O610:P610" si="4220">O609</f>
        <v>100.62</v>
      </c>
      <c r="P610" s="101" t="str">
        <f t="shared" si="4220"/>
        <v>2,29,560</v>
      </c>
      <c r="Q610" s="11" t="str">
        <f t="shared" si="3935"/>
        <v>2</v>
      </c>
      <c r="R610" s="11" t="str">
        <f t="shared" si="3936"/>
        <v>29,560</v>
      </c>
      <c r="S610" s="11">
        <f t="shared" si="3937"/>
        <v>4.1544444444444446E-2</v>
      </c>
      <c r="T610" s="14">
        <f t="shared" si="3938"/>
        <v>2421.9844878309709</v>
      </c>
      <c r="U610" s="39">
        <f t="shared" si="4027"/>
        <v>-100</v>
      </c>
      <c r="V610" s="105">
        <f t="shared" ref="V610:X610" si="4221">V609</f>
        <v>20.399999999999999</v>
      </c>
      <c r="W610" s="105">
        <f t="shared" si="4221"/>
        <v>1.5069999999999999</v>
      </c>
      <c r="X610" s="106">
        <f t="shared" si="4221"/>
        <v>1.504</v>
      </c>
      <c r="Y610" s="45"/>
      <c r="Z610" s="45"/>
      <c r="AA610" s="107">
        <f t="shared" ref="AA610:AB610" si="4222">AA609</f>
        <v>10.015000000000001</v>
      </c>
      <c r="AB610" s="108" t="str">
        <f t="shared" si="4222"/>
        <v>22,10,090</v>
      </c>
      <c r="AC610" s="11" t="str">
        <f t="shared" si="3941"/>
        <v>22</v>
      </c>
      <c r="AD610" s="11" t="str">
        <f t="shared" si="3942"/>
        <v>10,090</v>
      </c>
      <c r="AE610" s="11">
        <f t="shared" si="3943"/>
        <v>0.36946944444444441</v>
      </c>
      <c r="AF610" s="14">
        <f t="shared" si="4030"/>
        <v>27.106436406558959</v>
      </c>
      <c r="AG610" s="41">
        <f t="shared" si="3958"/>
        <v>-100</v>
      </c>
      <c r="AH610" s="105">
        <f t="shared" ref="AH610:AJ610" si="4223">AH609</f>
        <v>20.3</v>
      </c>
      <c r="AI610" s="105">
        <f t="shared" si="4223"/>
        <v>1.5089999999999999</v>
      </c>
      <c r="AJ610" s="105">
        <f t="shared" si="4223"/>
        <v>1.504</v>
      </c>
      <c r="AK610" s="53">
        <f t="shared" si="3874"/>
        <v>0</v>
      </c>
      <c r="AL610" s="45"/>
      <c r="AM610" s="54">
        <f t="shared" ref="AM610:AN610" si="4224">AM609</f>
        <v>5.0129999999999999</v>
      </c>
      <c r="AN610" s="101" t="str">
        <f t="shared" si="4224"/>
        <v>17,59,050</v>
      </c>
      <c r="AO610" s="11" t="str">
        <f t="shared" si="3946"/>
        <v>17</v>
      </c>
      <c r="AP610" s="11" t="str">
        <f t="shared" si="3947"/>
        <v>59,050</v>
      </c>
      <c r="AQ610" s="11">
        <f t="shared" si="3948"/>
        <v>0.29973611111111109</v>
      </c>
      <c r="AR610" s="14">
        <f t="shared" si="4033"/>
        <v>16.724711551827998</v>
      </c>
      <c r="AS610" s="41">
        <f t="shared" si="4034"/>
        <v>-100</v>
      </c>
      <c r="AT610" s="43" t="str">
        <f t="shared" si="4035"/>
        <v>NO CONFORME</v>
      </c>
      <c r="AU610" s="8" t="b">
        <f t="shared" si="4054"/>
        <v>1</v>
      </c>
      <c r="AV610" s="8" t="b">
        <f t="shared" si="3949"/>
        <v>0</v>
      </c>
      <c r="AW610" s="8" t="b">
        <f t="shared" si="3950"/>
        <v>1</v>
      </c>
      <c r="AX610" s="8" t="str">
        <f t="shared" si="3951"/>
        <v>Qcorrecto</v>
      </c>
      <c r="AY610" s="22" t="str">
        <f t="shared" si="4036"/>
        <v>aceptable</v>
      </c>
      <c r="AZ610" s="22" t="str">
        <f t="shared" si="4037"/>
        <v>aceptable</v>
      </c>
      <c r="BA610" s="22" t="str">
        <f t="shared" si="3952"/>
        <v>aceptable</v>
      </c>
      <c r="BB610" s="25" t="str">
        <f t="shared" si="4055"/>
        <v>NO CONFORME</v>
      </c>
      <c r="BC610" s="5" t="str">
        <f t="shared" si="4056"/>
        <v>NO CONFORME</v>
      </c>
      <c r="BD610" s="15">
        <f t="shared" si="4038"/>
        <v>-1</v>
      </c>
      <c r="BE610" s="15">
        <f t="shared" si="4039"/>
        <v>-1</v>
      </c>
      <c r="BF610" s="15">
        <f t="shared" si="4040"/>
        <v>-1</v>
      </c>
      <c r="BG610" s="15" t="str">
        <f t="shared" si="4041"/>
        <v>-1-1-1</v>
      </c>
      <c r="BH610" s="15" t="str">
        <f t="shared" si="4042"/>
        <v>SD</v>
      </c>
      <c r="BI610" s="15" t="str">
        <f t="shared" si="4043"/>
        <v>SI</v>
      </c>
      <c r="BJ610" s="15" t="b">
        <f t="shared" si="4044"/>
        <v>1</v>
      </c>
      <c r="BK610" s="15" t="str">
        <f t="shared" si="4045"/>
        <v>SIGIGUALES</v>
      </c>
      <c r="BL610" s="22" t="str">
        <f t="shared" si="4046"/>
        <v>NO CONFORME</v>
      </c>
    </row>
    <row r="611" spans="1:64" ht="15.75" thickBot="1" x14ac:dyDescent="0.3">
      <c r="A611" s="37">
        <v>603</v>
      </c>
      <c r="B611" s="93">
        <f t="shared" ref="B611:E611" si="4225">B610</f>
        <v>45919</v>
      </c>
      <c r="C611" s="93">
        <f t="shared" si="4225"/>
        <v>45919</v>
      </c>
      <c r="D611" s="94">
        <f t="shared" si="4225"/>
        <v>6</v>
      </c>
      <c r="E611" s="95">
        <f t="shared" si="4225"/>
        <v>15</v>
      </c>
      <c r="F611" s="13"/>
      <c r="G611" s="90"/>
      <c r="H611" s="97">
        <f t="shared" ref="H611:L611" si="4226">H610</f>
        <v>25.6</v>
      </c>
      <c r="I611" s="98">
        <f t="shared" si="4226"/>
        <v>0</v>
      </c>
      <c r="J611" s="99">
        <f t="shared" si="4226"/>
        <v>20.9</v>
      </c>
      <c r="K611" s="99">
        <f t="shared" si="4226"/>
        <v>7.883</v>
      </c>
      <c r="L611" s="99">
        <f t="shared" si="4226"/>
        <v>0.55400000000000005</v>
      </c>
      <c r="M611" s="45"/>
      <c r="N611" s="45"/>
      <c r="O611" s="100">
        <f t="shared" ref="O611:P611" si="4227">O610</f>
        <v>100.62</v>
      </c>
      <c r="P611" s="101" t="str">
        <f t="shared" si="4227"/>
        <v>2,29,560</v>
      </c>
      <c r="Q611" s="11" t="str">
        <f t="shared" si="3935"/>
        <v>2</v>
      </c>
      <c r="R611" s="11" t="str">
        <f t="shared" si="3936"/>
        <v>29,560</v>
      </c>
      <c r="S611" s="11">
        <f t="shared" si="3937"/>
        <v>4.1544444444444446E-2</v>
      </c>
      <c r="T611" s="14">
        <f t="shared" si="3938"/>
        <v>2421.9844878309709</v>
      </c>
      <c r="U611" s="39">
        <f t="shared" si="4027"/>
        <v>-100</v>
      </c>
      <c r="V611" s="105">
        <f t="shared" ref="V611:X611" si="4228">V610</f>
        <v>20.399999999999999</v>
      </c>
      <c r="W611" s="105">
        <f t="shared" si="4228"/>
        <v>1.5069999999999999</v>
      </c>
      <c r="X611" s="106">
        <f t="shared" si="4228"/>
        <v>1.504</v>
      </c>
      <c r="Y611" s="45"/>
      <c r="Z611" s="45"/>
      <c r="AA611" s="107">
        <f t="shared" ref="AA611:AB611" si="4229">AA610</f>
        <v>10.015000000000001</v>
      </c>
      <c r="AB611" s="108" t="str">
        <f t="shared" si="4229"/>
        <v>22,10,090</v>
      </c>
      <c r="AC611" s="11" t="str">
        <f t="shared" si="3941"/>
        <v>22</v>
      </c>
      <c r="AD611" s="11" t="str">
        <f t="shared" si="3942"/>
        <v>10,090</v>
      </c>
      <c r="AE611" s="11">
        <f t="shared" si="3943"/>
        <v>0.36946944444444441</v>
      </c>
      <c r="AF611" s="14">
        <f t="shared" si="4030"/>
        <v>27.106436406558959</v>
      </c>
      <c r="AG611" s="41">
        <f t="shared" si="3958"/>
        <v>-100</v>
      </c>
      <c r="AH611" s="105">
        <f t="shared" ref="AH611:AJ611" si="4230">AH610</f>
        <v>20.3</v>
      </c>
      <c r="AI611" s="105">
        <f t="shared" si="4230"/>
        <v>1.5089999999999999</v>
      </c>
      <c r="AJ611" s="105">
        <f t="shared" si="4230"/>
        <v>1.504</v>
      </c>
      <c r="AK611" s="53">
        <f t="shared" si="3874"/>
        <v>0</v>
      </c>
      <c r="AL611" s="45"/>
      <c r="AM611" s="54">
        <f t="shared" ref="AM611:AN611" si="4231">AM610</f>
        <v>5.0129999999999999</v>
      </c>
      <c r="AN611" s="101" t="str">
        <f t="shared" si="4231"/>
        <v>17,59,050</v>
      </c>
      <c r="AO611" s="11" t="str">
        <f t="shared" si="3946"/>
        <v>17</v>
      </c>
      <c r="AP611" s="11" t="str">
        <f t="shared" si="3947"/>
        <v>59,050</v>
      </c>
      <c r="AQ611" s="11">
        <f t="shared" si="3948"/>
        <v>0.29973611111111109</v>
      </c>
      <c r="AR611" s="14">
        <f t="shared" si="4033"/>
        <v>16.724711551827998</v>
      </c>
      <c r="AS611" s="41">
        <f t="shared" si="4034"/>
        <v>-100</v>
      </c>
      <c r="AT611" s="43" t="str">
        <f t="shared" si="4035"/>
        <v>NO CONFORME</v>
      </c>
      <c r="AU611" s="8" t="b">
        <f t="shared" si="4054"/>
        <v>1</v>
      </c>
      <c r="AV611" s="8" t="b">
        <f t="shared" si="3949"/>
        <v>0</v>
      </c>
      <c r="AW611" s="8" t="b">
        <f t="shared" si="3950"/>
        <v>1</v>
      </c>
      <c r="AX611" s="8" t="str">
        <f t="shared" si="3951"/>
        <v>Qcorrecto</v>
      </c>
      <c r="AY611" s="22" t="str">
        <f t="shared" si="4036"/>
        <v>aceptable</v>
      </c>
      <c r="AZ611" s="22" t="str">
        <f t="shared" si="4037"/>
        <v>aceptable</v>
      </c>
      <c r="BA611" s="22" t="str">
        <f t="shared" si="3952"/>
        <v>aceptable</v>
      </c>
      <c r="BB611" s="25" t="str">
        <f t="shared" si="4055"/>
        <v>NO CONFORME</v>
      </c>
      <c r="BC611" s="5" t="str">
        <f t="shared" si="4056"/>
        <v>NO CONFORME</v>
      </c>
      <c r="BD611" s="15">
        <f t="shared" si="4038"/>
        <v>-1</v>
      </c>
      <c r="BE611" s="15">
        <f t="shared" si="4039"/>
        <v>-1</v>
      </c>
      <c r="BF611" s="15">
        <f t="shared" si="4040"/>
        <v>-1</v>
      </c>
      <c r="BG611" s="15" t="str">
        <f t="shared" si="4041"/>
        <v>-1-1-1</v>
      </c>
      <c r="BH611" s="15" t="str">
        <f t="shared" si="4042"/>
        <v>SD</v>
      </c>
      <c r="BI611" s="15" t="str">
        <f t="shared" si="4043"/>
        <v>SI</v>
      </c>
      <c r="BJ611" s="15" t="b">
        <f t="shared" si="4044"/>
        <v>1</v>
      </c>
      <c r="BK611" s="15" t="str">
        <f t="shared" si="4045"/>
        <v>SIGIGUALES</v>
      </c>
      <c r="BL611" s="22" t="str">
        <f t="shared" si="4046"/>
        <v>NO CONFORME</v>
      </c>
    </row>
    <row r="612" spans="1:64" ht="15.75" thickBot="1" x14ac:dyDescent="0.3">
      <c r="A612" s="37">
        <v>604</v>
      </c>
      <c r="B612" s="93">
        <f t="shared" ref="B612:E612" si="4232">B611</f>
        <v>45919</v>
      </c>
      <c r="C612" s="93">
        <f t="shared" si="4232"/>
        <v>45919</v>
      </c>
      <c r="D612" s="94">
        <f t="shared" si="4232"/>
        <v>6</v>
      </c>
      <c r="E612" s="95">
        <f t="shared" si="4232"/>
        <v>15</v>
      </c>
      <c r="F612" s="13"/>
      <c r="G612" s="90"/>
      <c r="H612" s="97">
        <f t="shared" ref="H612:L612" si="4233">H611</f>
        <v>25.6</v>
      </c>
      <c r="I612" s="98">
        <f t="shared" si="4233"/>
        <v>0</v>
      </c>
      <c r="J612" s="99">
        <f t="shared" si="4233"/>
        <v>20.9</v>
      </c>
      <c r="K612" s="99">
        <f t="shared" si="4233"/>
        <v>7.883</v>
      </c>
      <c r="L612" s="99">
        <f t="shared" si="4233"/>
        <v>0.55400000000000005</v>
      </c>
      <c r="M612" s="45"/>
      <c r="N612" s="45"/>
      <c r="O612" s="100">
        <f t="shared" ref="O612:P612" si="4234">O611</f>
        <v>100.62</v>
      </c>
      <c r="P612" s="101" t="str">
        <f t="shared" si="4234"/>
        <v>2,29,560</v>
      </c>
      <c r="Q612" s="11" t="str">
        <f t="shared" si="3935"/>
        <v>2</v>
      </c>
      <c r="R612" s="11" t="str">
        <f t="shared" si="3936"/>
        <v>29,560</v>
      </c>
      <c r="S612" s="11">
        <f t="shared" si="3937"/>
        <v>4.1544444444444446E-2</v>
      </c>
      <c r="T612" s="14">
        <f t="shared" si="3938"/>
        <v>2421.9844878309709</v>
      </c>
      <c r="U612" s="39">
        <f t="shared" si="4027"/>
        <v>-100</v>
      </c>
      <c r="V612" s="105">
        <f t="shared" ref="V612:X612" si="4235">V611</f>
        <v>20.399999999999999</v>
      </c>
      <c r="W612" s="105">
        <f t="shared" si="4235"/>
        <v>1.5069999999999999</v>
      </c>
      <c r="X612" s="106">
        <f t="shared" si="4235"/>
        <v>1.504</v>
      </c>
      <c r="Y612" s="45"/>
      <c r="Z612" s="45"/>
      <c r="AA612" s="107">
        <f t="shared" ref="AA612:AB612" si="4236">AA611</f>
        <v>10.015000000000001</v>
      </c>
      <c r="AB612" s="108" t="str">
        <f t="shared" si="4236"/>
        <v>22,10,090</v>
      </c>
      <c r="AC612" s="11" t="str">
        <f t="shared" si="3941"/>
        <v>22</v>
      </c>
      <c r="AD612" s="11" t="str">
        <f t="shared" si="3942"/>
        <v>10,090</v>
      </c>
      <c r="AE612" s="11">
        <f t="shared" si="3943"/>
        <v>0.36946944444444441</v>
      </c>
      <c r="AF612" s="14">
        <f t="shared" si="4030"/>
        <v>27.106436406558959</v>
      </c>
      <c r="AG612" s="41">
        <f t="shared" si="3958"/>
        <v>-100</v>
      </c>
      <c r="AH612" s="105">
        <f t="shared" ref="AH612:AJ612" si="4237">AH611</f>
        <v>20.3</v>
      </c>
      <c r="AI612" s="105">
        <f t="shared" si="4237"/>
        <v>1.5089999999999999</v>
      </c>
      <c r="AJ612" s="105">
        <f t="shared" si="4237"/>
        <v>1.504</v>
      </c>
      <c r="AK612" s="53">
        <f t="shared" si="3874"/>
        <v>0</v>
      </c>
      <c r="AL612" s="45"/>
      <c r="AM612" s="54">
        <f t="shared" ref="AM612:AN612" si="4238">AM611</f>
        <v>5.0129999999999999</v>
      </c>
      <c r="AN612" s="101" t="str">
        <f t="shared" si="4238"/>
        <v>17,59,050</v>
      </c>
      <c r="AO612" s="11" t="str">
        <f t="shared" si="3946"/>
        <v>17</v>
      </c>
      <c r="AP612" s="11" t="str">
        <f t="shared" si="3947"/>
        <v>59,050</v>
      </c>
      <c r="AQ612" s="11">
        <f t="shared" si="3948"/>
        <v>0.29973611111111109</v>
      </c>
      <c r="AR612" s="14">
        <f t="shared" si="4033"/>
        <v>16.724711551827998</v>
      </c>
      <c r="AS612" s="41">
        <f t="shared" si="4034"/>
        <v>-100</v>
      </c>
      <c r="AT612" s="43" t="str">
        <f t="shared" si="4035"/>
        <v>NO CONFORME</v>
      </c>
      <c r="AU612" s="8" t="b">
        <f t="shared" si="4054"/>
        <v>1</v>
      </c>
      <c r="AV612" s="8" t="b">
        <f t="shared" si="3949"/>
        <v>0</v>
      </c>
      <c r="AW612" s="8" t="b">
        <f t="shared" si="3950"/>
        <v>1</v>
      </c>
      <c r="AX612" s="8" t="str">
        <f t="shared" si="3951"/>
        <v>Qcorrecto</v>
      </c>
      <c r="AY612" s="22" t="str">
        <f t="shared" si="4036"/>
        <v>aceptable</v>
      </c>
      <c r="AZ612" s="22" t="str">
        <f t="shared" si="4037"/>
        <v>aceptable</v>
      </c>
      <c r="BA612" s="22" t="str">
        <f t="shared" si="3952"/>
        <v>aceptable</v>
      </c>
      <c r="BB612" s="25" t="str">
        <f t="shared" si="4055"/>
        <v>NO CONFORME</v>
      </c>
      <c r="BC612" s="5" t="str">
        <f t="shared" si="4056"/>
        <v>NO CONFORME</v>
      </c>
      <c r="BD612" s="15">
        <f t="shared" si="4038"/>
        <v>-1</v>
      </c>
      <c r="BE612" s="15">
        <f t="shared" si="4039"/>
        <v>-1</v>
      </c>
      <c r="BF612" s="15">
        <f t="shared" si="4040"/>
        <v>-1</v>
      </c>
      <c r="BG612" s="15" t="str">
        <f t="shared" si="4041"/>
        <v>-1-1-1</v>
      </c>
      <c r="BH612" s="15" t="str">
        <f t="shared" si="4042"/>
        <v>SD</v>
      </c>
      <c r="BI612" s="15" t="str">
        <f t="shared" si="4043"/>
        <v>SI</v>
      </c>
      <c r="BJ612" s="15" t="b">
        <f t="shared" si="4044"/>
        <v>1</v>
      </c>
      <c r="BK612" s="15" t="str">
        <f t="shared" si="4045"/>
        <v>SIGIGUALES</v>
      </c>
      <c r="BL612" s="22" t="str">
        <f t="shared" si="4046"/>
        <v>NO CONFORME</v>
      </c>
    </row>
    <row r="613" spans="1:64" ht="15.75" thickBot="1" x14ac:dyDescent="0.3">
      <c r="A613" s="37">
        <v>605</v>
      </c>
      <c r="B613" s="93">
        <f t="shared" ref="B613:E613" si="4239">B612</f>
        <v>45919</v>
      </c>
      <c r="C613" s="93">
        <f t="shared" si="4239"/>
        <v>45919</v>
      </c>
      <c r="D613" s="94">
        <f t="shared" si="4239"/>
        <v>6</v>
      </c>
      <c r="E613" s="95">
        <f t="shared" si="4239"/>
        <v>15</v>
      </c>
      <c r="F613" s="13"/>
      <c r="G613" s="90"/>
      <c r="H613" s="97">
        <f t="shared" ref="H613:L613" si="4240">H612</f>
        <v>25.6</v>
      </c>
      <c r="I613" s="98">
        <f t="shared" si="4240"/>
        <v>0</v>
      </c>
      <c r="J613" s="99">
        <f t="shared" si="4240"/>
        <v>20.9</v>
      </c>
      <c r="K613" s="99">
        <f t="shared" si="4240"/>
        <v>7.883</v>
      </c>
      <c r="L613" s="99">
        <f t="shared" si="4240"/>
        <v>0.55400000000000005</v>
      </c>
      <c r="M613" s="45"/>
      <c r="N613" s="45"/>
      <c r="O613" s="100">
        <f t="shared" ref="O613:P613" si="4241">O612</f>
        <v>100.62</v>
      </c>
      <c r="P613" s="101" t="str">
        <f t="shared" si="4241"/>
        <v>2,29,560</v>
      </c>
      <c r="Q613" s="11" t="str">
        <f t="shared" si="3935"/>
        <v>2</v>
      </c>
      <c r="R613" s="11" t="str">
        <f t="shared" si="3936"/>
        <v>29,560</v>
      </c>
      <c r="S613" s="11">
        <f t="shared" si="3937"/>
        <v>4.1544444444444446E-2</v>
      </c>
      <c r="T613" s="14">
        <f t="shared" si="3938"/>
        <v>2421.9844878309709</v>
      </c>
      <c r="U613" s="39">
        <f t="shared" si="4027"/>
        <v>-100</v>
      </c>
      <c r="V613" s="105">
        <f t="shared" ref="V613:X613" si="4242">V612</f>
        <v>20.399999999999999</v>
      </c>
      <c r="W613" s="105">
        <f t="shared" si="4242"/>
        <v>1.5069999999999999</v>
      </c>
      <c r="X613" s="106">
        <f t="shared" si="4242"/>
        <v>1.504</v>
      </c>
      <c r="Y613" s="45"/>
      <c r="Z613" s="45"/>
      <c r="AA613" s="107">
        <f t="shared" ref="AA613:AB613" si="4243">AA612</f>
        <v>10.015000000000001</v>
      </c>
      <c r="AB613" s="108" t="str">
        <f t="shared" si="4243"/>
        <v>22,10,090</v>
      </c>
      <c r="AC613" s="11" t="str">
        <f t="shared" si="3941"/>
        <v>22</v>
      </c>
      <c r="AD613" s="11" t="str">
        <f t="shared" si="3942"/>
        <v>10,090</v>
      </c>
      <c r="AE613" s="11">
        <f t="shared" si="3943"/>
        <v>0.36946944444444441</v>
      </c>
      <c r="AF613" s="14">
        <f t="shared" si="4030"/>
        <v>27.106436406558959</v>
      </c>
      <c r="AG613" s="41">
        <f t="shared" si="3958"/>
        <v>-100</v>
      </c>
      <c r="AH613" s="105">
        <f t="shared" ref="AH613:AJ613" si="4244">AH612</f>
        <v>20.3</v>
      </c>
      <c r="AI613" s="105">
        <f t="shared" si="4244"/>
        <v>1.5089999999999999</v>
      </c>
      <c r="AJ613" s="105">
        <f t="shared" si="4244"/>
        <v>1.504</v>
      </c>
      <c r="AK613" s="53">
        <f t="shared" si="3874"/>
        <v>0</v>
      </c>
      <c r="AL613" s="45"/>
      <c r="AM613" s="54">
        <f t="shared" ref="AM613:AN613" si="4245">AM612</f>
        <v>5.0129999999999999</v>
      </c>
      <c r="AN613" s="101" t="str">
        <f t="shared" si="4245"/>
        <v>17,59,050</v>
      </c>
      <c r="AO613" s="11" t="str">
        <f t="shared" si="3946"/>
        <v>17</v>
      </c>
      <c r="AP613" s="11" t="str">
        <f t="shared" si="3947"/>
        <v>59,050</v>
      </c>
      <c r="AQ613" s="11">
        <f t="shared" si="3948"/>
        <v>0.29973611111111109</v>
      </c>
      <c r="AR613" s="14">
        <f t="shared" si="4033"/>
        <v>16.724711551827998</v>
      </c>
      <c r="AS613" s="41">
        <f t="shared" si="4034"/>
        <v>-100</v>
      </c>
      <c r="AT613" s="43" t="str">
        <f t="shared" si="4035"/>
        <v>NO CONFORME</v>
      </c>
      <c r="AU613" s="8" t="b">
        <f t="shared" si="4054"/>
        <v>1</v>
      </c>
      <c r="AV613" s="8" t="b">
        <f t="shared" si="3949"/>
        <v>0</v>
      </c>
      <c r="AW613" s="8" t="b">
        <f t="shared" si="3950"/>
        <v>1</v>
      </c>
      <c r="AX613" s="8" t="str">
        <f t="shared" si="3951"/>
        <v>Qcorrecto</v>
      </c>
      <c r="AY613" s="22" t="str">
        <f t="shared" si="4036"/>
        <v>aceptable</v>
      </c>
      <c r="AZ613" s="22" t="str">
        <f t="shared" si="4037"/>
        <v>aceptable</v>
      </c>
      <c r="BA613" s="22" t="str">
        <f t="shared" si="3952"/>
        <v>aceptable</v>
      </c>
      <c r="BB613" s="25" t="str">
        <f t="shared" si="4055"/>
        <v>NO CONFORME</v>
      </c>
      <c r="BC613" s="5" t="str">
        <f t="shared" si="4056"/>
        <v>NO CONFORME</v>
      </c>
      <c r="BD613" s="15">
        <f t="shared" si="4038"/>
        <v>-1</v>
      </c>
      <c r="BE613" s="15">
        <f t="shared" si="4039"/>
        <v>-1</v>
      </c>
      <c r="BF613" s="15">
        <f t="shared" si="4040"/>
        <v>-1</v>
      </c>
      <c r="BG613" s="15" t="str">
        <f t="shared" si="4041"/>
        <v>-1-1-1</v>
      </c>
      <c r="BH613" s="15" t="str">
        <f t="shared" si="4042"/>
        <v>SD</v>
      </c>
      <c r="BI613" s="15" t="str">
        <f t="shared" si="4043"/>
        <v>SI</v>
      </c>
      <c r="BJ613" s="15" t="b">
        <f t="shared" si="4044"/>
        <v>1</v>
      </c>
      <c r="BK613" s="15" t="str">
        <f t="shared" si="4045"/>
        <v>SIGIGUALES</v>
      </c>
      <c r="BL613" s="22" t="str">
        <f t="shared" si="4046"/>
        <v>NO CONFORME</v>
      </c>
    </row>
    <row r="614" spans="1:64" ht="15.75" thickBot="1" x14ac:dyDescent="0.3">
      <c r="A614" s="37">
        <v>606</v>
      </c>
      <c r="B614" s="93">
        <f t="shared" ref="B614:E614" si="4246">B613</f>
        <v>45919</v>
      </c>
      <c r="C614" s="93">
        <f t="shared" si="4246"/>
        <v>45919</v>
      </c>
      <c r="D614" s="94">
        <f t="shared" si="4246"/>
        <v>6</v>
      </c>
      <c r="E614" s="95">
        <f t="shared" si="4246"/>
        <v>15</v>
      </c>
      <c r="F614" s="13"/>
      <c r="G614" s="90"/>
      <c r="H614" s="97">
        <f t="shared" ref="H614:L614" si="4247">H613</f>
        <v>25.6</v>
      </c>
      <c r="I614" s="98">
        <f t="shared" si="4247"/>
        <v>0</v>
      </c>
      <c r="J614" s="99">
        <f t="shared" si="4247"/>
        <v>20.9</v>
      </c>
      <c r="K614" s="99">
        <f t="shared" si="4247"/>
        <v>7.883</v>
      </c>
      <c r="L614" s="99">
        <f t="shared" si="4247"/>
        <v>0.55400000000000005</v>
      </c>
      <c r="M614" s="45"/>
      <c r="N614" s="45"/>
      <c r="O614" s="100">
        <f t="shared" ref="O614:P614" si="4248">O613</f>
        <v>100.62</v>
      </c>
      <c r="P614" s="101" t="str">
        <f t="shared" si="4248"/>
        <v>2,29,560</v>
      </c>
      <c r="Q614" s="11" t="str">
        <f t="shared" si="3935"/>
        <v>2</v>
      </c>
      <c r="R614" s="11" t="str">
        <f t="shared" si="3936"/>
        <v>29,560</v>
      </c>
      <c r="S614" s="11">
        <f t="shared" si="3937"/>
        <v>4.1544444444444446E-2</v>
      </c>
      <c r="T614" s="14">
        <f t="shared" si="3938"/>
        <v>2421.9844878309709</v>
      </c>
      <c r="U614" s="39">
        <f t="shared" si="4027"/>
        <v>-100</v>
      </c>
      <c r="V614" s="105">
        <f t="shared" ref="V614:X614" si="4249">V613</f>
        <v>20.399999999999999</v>
      </c>
      <c r="W614" s="105">
        <f t="shared" si="4249"/>
        <v>1.5069999999999999</v>
      </c>
      <c r="X614" s="106">
        <f t="shared" si="4249"/>
        <v>1.504</v>
      </c>
      <c r="Y614" s="45"/>
      <c r="Z614" s="45"/>
      <c r="AA614" s="107">
        <f t="shared" ref="AA614:AB614" si="4250">AA613</f>
        <v>10.015000000000001</v>
      </c>
      <c r="AB614" s="108" t="str">
        <f t="shared" si="4250"/>
        <v>22,10,090</v>
      </c>
      <c r="AC614" s="11" t="str">
        <f t="shared" si="3941"/>
        <v>22</v>
      </c>
      <c r="AD614" s="11" t="str">
        <f t="shared" si="3942"/>
        <v>10,090</v>
      </c>
      <c r="AE614" s="11">
        <f t="shared" si="3943"/>
        <v>0.36946944444444441</v>
      </c>
      <c r="AF614" s="14">
        <f t="shared" si="4030"/>
        <v>27.106436406558959</v>
      </c>
      <c r="AG614" s="41">
        <f t="shared" si="3958"/>
        <v>-100</v>
      </c>
      <c r="AH614" s="105">
        <f t="shared" ref="AH614:AJ614" si="4251">AH613</f>
        <v>20.3</v>
      </c>
      <c r="AI614" s="105">
        <f t="shared" si="4251"/>
        <v>1.5089999999999999</v>
      </c>
      <c r="AJ614" s="105">
        <f t="shared" si="4251"/>
        <v>1.504</v>
      </c>
      <c r="AK614" s="53">
        <f t="shared" si="3874"/>
        <v>0</v>
      </c>
      <c r="AL614" s="45"/>
      <c r="AM614" s="54">
        <f t="shared" ref="AM614:AN614" si="4252">AM613</f>
        <v>5.0129999999999999</v>
      </c>
      <c r="AN614" s="101" t="str">
        <f t="shared" si="4252"/>
        <v>17,59,050</v>
      </c>
      <c r="AO614" s="11" t="str">
        <f t="shared" si="3946"/>
        <v>17</v>
      </c>
      <c r="AP614" s="11" t="str">
        <f t="shared" si="3947"/>
        <v>59,050</v>
      </c>
      <c r="AQ614" s="11">
        <f t="shared" si="3948"/>
        <v>0.29973611111111109</v>
      </c>
      <c r="AR614" s="14">
        <f t="shared" si="4033"/>
        <v>16.724711551827998</v>
      </c>
      <c r="AS614" s="41">
        <f t="shared" si="4034"/>
        <v>-100</v>
      </c>
      <c r="AT614" s="43" t="str">
        <f t="shared" si="4035"/>
        <v>NO CONFORME</v>
      </c>
      <c r="AU614" s="8" t="b">
        <f t="shared" si="4054"/>
        <v>1</v>
      </c>
      <c r="AV614" s="8" t="b">
        <f t="shared" si="3949"/>
        <v>0</v>
      </c>
      <c r="AW614" s="8" t="b">
        <f t="shared" si="3950"/>
        <v>1</v>
      </c>
      <c r="AX614" s="8" t="str">
        <f t="shared" si="3951"/>
        <v>Qcorrecto</v>
      </c>
      <c r="AY614" s="22" t="str">
        <f t="shared" si="4036"/>
        <v>aceptable</v>
      </c>
      <c r="AZ614" s="22" t="str">
        <f t="shared" si="4037"/>
        <v>aceptable</v>
      </c>
      <c r="BA614" s="22" t="str">
        <f t="shared" si="3952"/>
        <v>aceptable</v>
      </c>
      <c r="BB614" s="25" t="str">
        <f t="shared" si="4055"/>
        <v>NO CONFORME</v>
      </c>
      <c r="BC614" s="5" t="str">
        <f t="shared" si="4056"/>
        <v>NO CONFORME</v>
      </c>
      <c r="BD614" s="15">
        <f t="shared" si="4038"/>
        <v>-1</v>
      </c>
      <c r="BE614" s="15">
        <f t="shared" si="4039"/>
        <v>-1</v>
      </c>
      <c r="BF614" s="15">
        <f t="shared" si="4040"/>
        <v>-1</v>
      </c>
      <c r="BG614" s="15" t="str">
        <f t="shared" si="4041"/>
        <v>-1-1-1</v>
      </c>
      <c r="BH614" s="15" t="str">
        <f t="shared" si="4042"/>
        <v>SD</v>
      </c>
      <c r="BI614" s="15" t="str">
        <f t="shared" si="4043"/>
        <v>SI</v>
      </c>
      <c r="BJ614" s="15" t="b">
        <f t="shared" si="4044"/>
        <v>1</v>
      </c>
      <c r="BK614" s="15" t="str">
        <f t="shared" si="4045"/>
        <v>SIGIGUALES</v>
      </c>
      <c r="BL614" s="22" t="str">
        <f t="shared" si="4046"/>
        <v>NO CONFORME</v>
      </c>
    </row>
    <row r="615" spans="1:64" ht="15.75" thickBot="1" x14ac:dyDescent="0.3">
      <c r="A615" s="37">
        <v>607</v>
      </c>
      <c r="B615" s="93">
        <f t="shared" ref="B615:E615" si="4253">B614</f>
        <v>45919</v>
      </c>
      <c r="C615" s="93">
        <f t="shared" si="4253"/>
        <v>45919</v>
      </c>
      <c r="D615" s="94">
        <f t="shared" si="4253"/>
        <v>6</v>
      </c>
      <c r="E615" s="95">
        <f t="shared" si="4253"/>
        <v>15</v>
      </c>
      <c r="F615" s="13"/>
      <c r="G615" s="90"/>
      <c r="H615" s="97">
        <f t="shared" ref="H615:L615" si="4254">H614</f>
        <v>25.6</v>
      </c>
      <c r="I615" s="98">
        <f t="shared" si="4254"/>
        <v>0</v>
      </c>
      <c r="J615" s="99">
        <f t="shared" si="4254"/>
        <v>20.9</v>
      </c>
      <c r="K615" s="99">
        <f t="shared" si="4254"/>
        <v>7.883</v>
      </c>
      <c r="L615" s="99">
        <f t="shared" si="4254"/>
        <v>0.55400000000000005</v>
      </c>
      <c r="M615" s="45"/>
      <c r="N615" s="45"/>
      <c r="O615" s="100">
        <f t="shared" ref="O615:P615" si="4255">O614</f>
        <v>100.62</v>
      </c>
      <c r="P615" s="101" t="str">
        <f t="shared" si="4255"/>
        <v>2,29,560</v>
      </c>
      <c r="Q615" s="11" t="str">
        <f t="shared" si="3935"/>
        <v>2</v>
      </c>
      <c r="R615" s="11" t="str">
        <f t="shared" si="3936"/>
        <v>29,560</v>
      </c>
      <c r="S615" s="11">
        <f t="shared" si="3937"/>
        <v>4.1544444444444446E-2</v>
      </c>
      <c r="T615" s="14">
        <f t="shared" si="3938"/>
        <v>2421.9844878309709</v>
      </c>
      <c r="U615" s="39">
        <f t="shared" si="4027"/>
        <v>-100</v>
      </c>
      <c r="V615" s="105">
        <f t="shared" ref="V615:X615" si="4256">V614</f>
        <v>20.399999999999999</v>
      </c>
      <c r="W615" s="105">
        <f t="shared" si="4256"/>
        <v>1.5069999999999999</v>
      </c>
      <c r="X615" s="106">
        <f t="shared" si="4256"/>
        <v>1.504</v>
      </c>
      <c r="Y615" s="45"/>
      <c r="Z615" s="45"/>
      <c r="AA615" s="107">
        <f t="shared" ref="AA615:AB615" si="4257">AA614</f>
        <v>10.015000000000001</v>
      </c>
      <c r="AB615" s="108" t="str">
        <f t="shared" si="4257"/>
        <v>22,10,090</v>
      </c>
      <c r="AC615" s="11" t="str">
        <f t="shared" si="3941"/>
        <v>22</v>
      </c>
      <c r="AD615" s="11" t="str">
        <f t="shared" si="3942"/>
        <v>10,090</v>
      </c>
      <c r="AE615" s="11">
        <f t="shared" si="3943"/>
        <v>0.36946944444444441</v>
      </c>
      <c r="AF615" s="14">
        <f t="shared" si="4030"/>
        <v>27.106436406558959</v>
      </c>
      <c r="AG615" s="41">
        <f t="shared" si="3958"/>
        <v>-100</v>
      </c>
      <c r="AH615" s="105">
        <f t="shared" ref="AH615:AJ615" si="4258">AH614</f>
        <v>20.3</v>
      </c>
      <c r="AI615" s="105">
        <f t="shared" si="4258"/>
        <v>1.5089999999999999</v>
      </c>
      <c r="AJ615" s="105">
        <f t="shared" si="4258"/>
        <v>1.504</v>
      </c>
      <c r="AK615" s="53">
        <f t="shared" si="3874"/>
        <v>0</v>
      </c>
      <c r="AL615" s="45"/>
      <c r="AM615" s="54">
        <f t="shared" ref="AM615:AN615" si="4259">AM614</f>
        <v>5.0129999999999999</v>
      </c>
      <c r="AN615" s="101" t="str">
        <f t="shared" si="4259"/>
        <v>17,59,050</v>
      </c>
      <c r="AO615" s="11" t="str">
        <f t="shared" si="3946"/>
        <v>17</v>
      </c>
      <c r="AP615" s="11" t="str">
        <f t="shared" si="3947"/>
        <v>59,050</v>
      </c>
      <c r="AQ615" s="11">
        <f t="shared" si="3948"/>
        <v>0.29973611111111109</v>
      </c>
      <c r="AR615" s="14">
        <f t="shared" si="4033"/>
        <v>16.724711551827998</v>
      </c>
      <c r="AS615" s="41">
        <f t="shared" si="4034"/>
        <v>-100</v>
      </c>
      <c r="AT615" s="43" t="str">
        <f t="shared" si="4035"/>
        <v>NO CONFORME</v>
      </c>
      <c r="AU615" s="8" t="b">
        <f t="shared" si="4054"/>
        <v>1</v>
      </c>
      <c r="AV615" s="8" t="b">
        <f t="shared" si="3949"/>
        <v>0</v>
      </c>
      <c r="AW615" s="8" t="b">
        <f t="shared" si="3950"/>
        <v>1</v>
      </c>
      <c r="AX615" s="8" t="str">
        <f t="shared" si="3951"/>
        <v>Qcorrecto</v>
      </c>
      <c r="AY615" s="22" t="str">
        <f t="shared" si="4036"/>
        <v>aceptable</v>
      </c>
      <c r="AZ615" s="22" t="str">
        <f t="shared" si="4037"/>
        <v>aceptable</v>
      </c>
      <c r="BA615" s="22" t="str">
        <f t="shared" si="3952"/>
        <v>aceptable</v>
      </c>
      <c r="BB615" s="25" t="str">
        <f t="shared" si="4055"/>
        <v>NO CONFORME</v>
      </c>
      <c r="BC615" s="5" t="str">
        <f t="shared" si="4056"/>
        <v>NO CONFORME</v>
      </c>
      <c r="BD615" s="15">
        <f t="shared" si="4038"/>
        <v>-1</v>
      </c>
      <c r="BE615" s="15">
        <f t="shared" si="4039"/>
        <v>-1</v>
      </c>
      <c r="BF615" s="15">
        <f t="shared" si="4040"/>
        <v>-1</v>
      </c>
      <c r="BG615" s="15" t="str">
        <f t="shared" si="4041"/>
        <v>-1-1-1</v>
      </c>
      <c r="BH615" s="15" t="str">
        <f t="shared" si="4042"/>
        <v>SD</v>
      </c>
      <c r="BI615" s="15" t="str">
        <f t="shared" si="4043"/>
        <v>SI</v>
      </c>
      <c r="BJ615" s="15" t="b">
        <f t="shared" si="4044"/>
        <v>1</v>
      </c>
      <c r="BK615" s="15" t="str">
        <f t="shared" si="4045"/>
        <v>SIGIGUALES</v>
      </c>
      <c r="BL615" s="22" t="str">
        <f t="shared" si="4046"/>
        <v>NO CONFORME</v>
      </c>
    </row>
    <row r="616" spans="1:64" ht="15.75" thickBot="1" x14ac:dyDescent="0.3">
      <c r="A616" s="37">
        <v>608</v>
      </c>
      <c r="B616" s="93">
        <f t="shared" ref="B616:E616" si="4260">B615</f>
        <v>45919</v>
      </c>
      <c r="C616" s="93">
        <f t="shared" si="4260"/>
        <v>45919</v>
      </c>
      <c r="D616" s="94">
        <f t="shared" si="4260"/>
        <v>6</v>
      </c>
      <c r="E616" s="95">
        <f t="shared" si="4260"/>
        <v>15</v>
      </c>
      <c r="F616" s="13"/>
      <c r="G616" s="90"/>
      <c r="H616" s="97">
        <f t="shared" ref="H616:L616" si="4261">H615</f>
        <v>25.6</v>
      </c>
      <c r="I616" s="98">
        <f t="shared" si="4261"/>
        <v>0</v>
      </c>
      <c r="J616" s="99">
        <f t="shared" si="4261"/>
        <v>20.9</v>
      </c>
      <c r="K616" s="99">
        <f t="shared" si="4261"/>
        <v>7.883</v>
      </c>
      <c r="L616" s="99">
        <f t="shared" si="4261"/>
        <v>0.55400000000000005</v>
      </c>
      <c r="M616" s="45"/>
      <c r="N616" s="45"/>
      <c r="O616" s="100">
        <f t="shared" ref="O616:P616" si="4262">O615</f>
        <v>100.62</v>
      </c>
      <c r="P616" s="101" t="str">
        <f t="shared" si="4262"/>
        <v>2,29,560</v>
      </c>
      <c r="Q616" s="11" t="str">
        <f t="shared" si="3935"/>
        <v>2</v>
      </c>
      <c r="R616" s="11" t="str">
        <f t="shared" si="3936"/>
        <v>29,560</v>
      </c>
      <c r="S616" s="11">
        <f t="shared" si="3937"/>
        <v>4.1544444444444446E-2</v>
      </c>
      <c r="T616" s="14">
        <f t="shared" si="3938"/>
        <v>2421.9844878309709</v>
      </c>
      <c r="U616" s="39">
        <f t="shared" si="4027"/>
        <v>-100</v>
      </c>
      <c r="V616" s="105">
        <f t="shared" ref="V616:X616" si="4263">V615</f>
        <v>20.399999999999999</v>
      </c>
      <c r="W616" s="105">
        <f t="shared" si="4263"/>
        <v>1.5069999999999999</v>
      </c>
      <c r="X616" s="106">
        <f t="shared" si="4263"/>
        <v>1.504</v>
      </c>
      <c r="Y616" s="45"/>
      <c r="Z616" s="45"/>
      <c r="AA616" s="107">
        <f t="shared" ref="AA616:AB616" si="4264">AA615</f>
        <v>10.015000000000001</v>
      </c>
      <c r="AB616" s="108" t="str">
        <f t="shared" si="4264"/>
        <v>22,10,090</v>
      </c>
      <c r="AC616" s="11" t="str">
        <f t="shared" si="3941"/>
        <v>22</v>
      </c>
      <c r="AD616" s="11" t="str">
        <f t="shared" si="3942"/>
        <v>10,090</v>
      </c>
      <c r="AE616" s="11">
        <f t="shared" si="3943"/>
        <v>0.36946944444444441</v>
      </c>
      <c r="AF616" s="14">
        <f t="shared" si="4030"/>
        <v>27.106436406558959</v>
      </c>
      <c r="AG616" s="41">
        <f t="shared" si="3958"/>
        <v>-100</v>
      </c>
      <c r="AH616" s="105">
        <f t="shared" ref="AH616:AJ616" si="4265">AH615</f>
        <v>20.3</v>
      </c>
      <c r="AI616" s="105">
        <f t="shared" si="4265"/>
        <v>1.5089999999999999</v>
      </c>
      <c r="AJ616" s="105">
        <f t="shared" si="4265"/>
        <v>1.504</v>
      </c>
      <c r="AK616" s="53">
        <f t="shared" si="3874"/>
        <v>0</v>
      </c>
      <c r="AL616" s="45"/>
      <c r="AM616" s="54">
        <f t="shared" ref="AM616:AN616" si="4266">AM615</f>
        <v>5.0129999999999999</v>
      </c>
      <c r="AN616" s="101" t="str">
        <f t="shared" si="4266"/>
        <v>17,59,050</v>
      </c>
      <c r="AO616" s="11" t="str">
        <f t="shared" si="3946"/>
        <v>17</v>
      </c>
      <c r="AP616" s="11" t="str">
        <f t="shared" si="3947"/>
        <v>59,050</v>
      </c>
      <c r="AQ616" s="11">
        <f t="shared" si="3948"/>
        <v>0.29973611111111109</v>
      </c>
      <c r="AR616" s="14">
        <f t="shared" si="4033"/>
        <v>16.724711551827998</v>
      </c>
      <c r="AS616" s="41">
        <f t="shared" si="4034"/>
        <v>-100</v>
      </c>
      <c r="AT616" s="43" t="str">
        <f t="shared" si="4035"/>
        <v>NO CONFORME</v>
      </c>
      <c r="AU616" s="8" t="b">
        <f t="shared" si="4054"/>
        <v>1</v>
      </c>
      <c r="AV616" s="8" t="b">
        <f t="shared" si="3949"/>
        <v>0</v>
      </c>
      <c r="AW616" s="8" t="b">
        <f t="shared" si="3950"/>
        <v>1</v>
      </c>
      <c r="AX616" s="8" t="str">
        <f t="shared" si="3951"/>
        <v>Qcorrecto</v>
      </c>
      <c r="AY616" s="22" t="str">
        <f t="shared" si="4036"/>
        <v>aceptable</v>
      </c>
      <c r="AZ616" s="22" t="str">
        <f t="shared" si="4037"/>
        <v>aceptable</v>
      </c>
      <c r="BA616" s="22" t="str">
        <f t="shared" si="3952"/>
        <v>aceptable</v>
      </c>
      <c r="BB616" s="25" t="str">
        <f t="shared" si="4055"/>
        <v>NO CONFORME</v>
      </c>
      <c r="BC616" s="5" t="str">
        <f t="shared" si="4056"/>
        <v>NO CONFORME</v>
      </c>
      <c r="BD616" s="15">
        <f t="shared" si="4038"/>
        <v>-1</v>
      </c>
      <c r="BE616" s="15">
        <f t="shared" si="4039"/>
        <v>-1</v>
      </c>
      <c r="BF616" s="15">
        <f t="shared" si="4040"/>
        <v>-1</v>
      </c>
      <c r="BG616" s="15" t="str">
        <f t="shared" si="4041"/>
        <v>-1-1-1</v>
      </c>
      <c r="BH616" s="15" t="str">
        <f t="shared" si="4042"/>
        <v>SD</v>
      </c>
      <c r="BI616" s="15" t="str">
        <f t="shared" si="4043"/>
        <v>SI</v>
      </c>
      <c r="BJ616" s="15" t="b">
        <f t="shared" si="4044"/>
        <v>1</v>
      </c>
      <c r="BK616" s="15" t="str">
        <f t="shared" si="4045"/>
        <v>SIGIGUALES</v>
      </c>
      <c r="BL616" s="22" t="str">
        <f t="shared" si="4046"/>
        <v>NO CONFORME</v>
      </c>
    </row>
    <row r="617" spans="1:64" ht="15.75" thickBot="1" x14ac:dyDescent="0.3">
      <c r="A617" s="37">
        <v>609</v>
      </c>
      <c r="B617" s="93">
        <f t="shared" ref="B617:E617" si="4267">B616</f>
        <v>45919</v>
      </c>
      <c r="C617" s="93">
        <f t="shared" si="4267"/>
        <v>45919</v>
      </c>
      <c r="D617" s="94">
        <f t="shared" si="4267"/>
        <v>6</v>
      </c>
      <c r="E617" s="95">
        <f t="shared" si="4267"/>
        <v>15</v>
      </c>
      <c r="F617" s="13"/>
      <c r="G617" s="90"/>
      <c r="H617" s="97">
        <f t="shared" ref="H617:L617" si="4268">H616</f>
        <v>25.6</v>
      </c>
      <c r="I617" s="98">
        <f t="shared" si="4268"/>
        <v>0</v>
      </c>
      <c r="J617" s="99">
        <f t="shared" si="4268"/>
        <v>20.9</v>
      </c>
      <c r="K617" s="99">
        <f t="shared" si="4268"/>
        <v>7.883</v>
      </c>
      <c r="L617" s="99">
        <f t="shared" si="4268"/>
        <v>0.55400000000000005</v>
      </c>
      <c r="M617" s="45"/>
      <c r="N617" s="45"/>
      <c r="O617" s="100">
        <f t="shared" ref="O617:P617" si="4269">O616</f>
        <v>100.62</v>
      </c>
      <c r="P617" s="101" t="str">
        <f t="shared" si="4269"/>
        <v>2,29,560</v>
      </c>
      <c r="Q617" s="11" t="str">
        <f t="shared" si="3935"/>
        <v>2</v>
      </c>
      <c r="R617" s="11" t="str">
        <f t="shared" si="3936"/>
        <v>29,560</v>
      </c>
      <c r="S617" s="11">
        <f t="shared" si="3937"/>
        <v>4.1544444444444446E-2</v>
      </c>
      <c r="T617" s="14">
        <f t="shared" si="3938"/>
        <v>2421.9844878309709</v>
      </c>
      <c r="U617" s="39">
        <f t="shared" si="4027"/>
        <v>-100</v>
      </c>
      <c r="V617" s="105">
        <f t="shared" ref="V617:X617" si="4270">V616</f>
        <v>20.399999999999999</v>
      </c>
      <c r="W617" s="105">
        <f t="shared" si="4270"/>
        <v>1.5069999999999999</v>
      </c>
      <c r="X617" s="106">
        <f t="shared" si="4270"/>
        <v>1.504</v>
      </c>
      <c r="Y617" s="45"/>
      <c r="Z617" s="45"/>
      <c r="AA617" s="107">
        <f t="shared" ref="AA617:AB617" si="4271">AA616</f>
        <v>10.015000000000001</v>
      </c>
      <c r="AB617" s="108" t="str">
        <f t="shared" si="4271"/>
        <v>22,10,090</v>
      </c>
      <c r="AC617" s="11" t="str">
        <f t="shared" si="3941"/>
        <v>22</v>
      </c>
      <c r="AD617" s="11" t="str">
        <f t="shared" si="3942"/>
        <v>10,090</v>
      </c>
      <c r="AE617" s="11">
        <f t="shared" si="3943"/>
        <v>0.36946944444444441</v>
      </c>
      <c r="AF617" s="14">
        <f t="shared" si="4030"/>
        <v>27.106436406558959</v>
      </c>
      <c r="AG617" s="41">
        <f t="shared" si="3958"/>
        <v>-100</v>
      </c>
      <c r="AH617" s="105">
        <f t="shared" ref="AH617:AJ617" si="4272">AH616</f>
        <v>20.3</v>
      </c>
      <c r="AI617" s="105">
        <f t="shared" si="4272"/>
        <v>1.5089999999999999</v>
      </c>
      <c r="AJ617" s="105">
        <f t="shared" si="4272"/>
        <v>1.504</v>
      </c>
      <c r="AK617" s="53">
        <f t="shared" si="3874"/>
        <v>0</v>
      </c>
      <c r="AL617" s="45"/>
      <c r="AM617" s="54">
        <f t="shared" ref="AM617:AN617" si="4273">AM616</f>
        <v>5.0129999999999999</v>
      </c>
      <c r="AN617" s="101" t="str">
        <f t="shared" si="4273"/>
        <v>17,59,050</v>
      </c>
      <c r="AO617" s="11" t="str">
        <f t="shared" si="3946"/>
        <v>17</v>
      </c>
      <c r="AP617" s="11" t="str">
        <f t="shared" si="3947"/>
        <v>59,050</v>
      </c>
      <c r="AQ617" s="11">
        <f t="shared" si="3948"/>
        <v>0.29973611111111109</v>
      </c>
      <c r="AR617" s="14">
        <f t="shared" si="4033"/>
        <v>16.724711551827998</v>
      </c>
      <c r="AS617" s="41">
        <f t="shared" si="4034"/>
        <v>-100</v>
      </c>
      <c r="AT617" s="43" t="str">
        <f t="shared" si="4035"/>
        <v>NO CONFORME</v>
      </c>
      <c r="AU617" s="8" t="b">
        <f t="shared" si="4054"/>
        <v>1</v>
      </c>
      <c r="AV617" s="8" t="b">
        <f t="shared" si="3949"/>
        <v>0</v>
      </c>
      <c r="AW617" s="8" t="b">
        <f t="shared" si="3950"/>
        <v>1</v>
      </c>
      <c r="AX617" s="8" t="str">
        <f t="shared" si="3951"/>
        <v>Qcorrecto</v>
      </c>
      <c r="AY617" s="22" t="str">
        <f t="shared" si="4036"/>
        <v>aceptable</v>
      </c>
      <c r="AZ617" s="22" t="str">
        <f t="shared" si="4037"/>
        <v>aceptable</v>
      </c>
      <c r="BA617" s="22" t="str">
        <f t="shared" si="3952"/>
        <v>aceptable</v>
      </c>
      <c r="BB617" s="25" t="str">
        <f t="shared" si="4055"/>
        <v>NO CONFORME</v>
      </c>
      <c r="BC617" s="5" t="str">
        <f t="shared" si="4056"/>
        <v>NO CONFORME</v>
      </c>
      <c r="BD617" s="15">
        <f t="shared" si="4038"/>
        <v>-1</v>
      </c>
      <c r="BE617" s="15">
        <f t="shared" si="4039"/>
        <v>-1</v>
      </c>
      <c r="BF617" s="15">
        <f t="shared" si="4040"/>
        <v>-1</v>
      </c>
      <c r="BG617" s="15" t="str">
        <f t="shared" si="4041"/>
        <v>-1-1-1</v>
      </c>
      <c r="BH617" s="15" t="str">
        <f t="shared" si="4042"/>
        <v>SD</v>
      </c>
      <c r="BI617" s="15" t="str">
        <f t="shared" si="4043"/>
        <v>SI</v>
      </c>
      <c r="BJ617" s="15" t="b">
        <f t="shared" si="4044"/>
        <v>1</v>
      </c>
      <c r="BK617" s="15" t="str">
        <f t="shared" si="4045"/>
        <v>SIGIGUALES</v>
      </c>
      <c r="BL617" s="22" t="str">
        <f t="shared" si="4046"/>
        <v>NO CONFORME</v>
      </c>
    </row>
    <row r="618" spans="1:64" ht="15.75" thickBot="1" x14ac:dyDescent="0.3">
      <c r="A618" s="37">
        <v>610</v>
      </c>
      <c r="B618" s="93">
        <f t="shared" ref="B618:E618" si="4274">B617</f>
        <v>45919</v>
      </c>
      <c r="C618" s="93">
        <f t="shared" si="4274"/>
        <v>45919</v>
      </c>
      <c r="D618" s="94">
        <f t="shared" si="4274"/>
        <v>6</v>
      </c>
      <c r="E618" s="95">
        <f t="shared" si="4274"/>
        <v>15</v>
      </c>
      <c r="F618" s="13"/>
      <c r="G618" s="90"/>
      <c r="H618" s="97">
        <f t="shared" ref="H618:L618" si="4275">H617</f>
        <v>25.6</v>
      </c>
      <c r="I618" s="98">
        <f t="shared" si="4275"/>
        <v>0</v>
      </c>
      <c r="J618" s="99">
        <f t="shared" si="4275"/>
        <v>20.9</v>
      </c>
      <c r="K618" s="99">
        <f t="shared" si="4275"/>
        <v>7.883</v>
      </c>
      <c r="L618" s="99">
        <f t="shared" si="4275"/>
        <v>0.55400000000000005</v>
      </c>
      <c r="M618" s="45"/>
      <c r="N618" s="45"/>
      <c r="O618" s="100">
        <f t="shared" ref="O618:P618" si="4276">O617</f>
        <v>100.62</v>
      </c>
      <c r="P618" s="101" t="str">
        <f t="shared" si="4276"/>
        <v>2,29,560</v>
      </c>
      <c r="Q618" s="11" t="str">
        <f t="shared" si="3935"/>
        <v>2</v>
      </c>
      <c r="R618" s="11" t="str">
        <f t="shared" si="3936"/>
        <v>29,560</v>
      </c>
      <c r="S618" s="11">
        <f t="shared" si="3937"/>
        <v>4.1544444444444446E-2</v>
      </c>
      <c r="T618" s="14">
        <f t="shared" si="3938"/>
        <v>2421.9844878309709</v>
      </c>
      <c r="U618" s="39">
        <f t="shared" si="4027"/>
        <v>-100</v>
      </c>
      <c r="V618" s="105">
        <f t="shared" ref="V618:X618" si="4277">V617</f>
        <v>20.399999999999999</v>
      </c>
      <c r="W618" s="105">
        <f t="shared" si="4277"/>
        <v>1.5069999999999999</v>
      </c>
      <c r="X618" s="106">
        <f t="shared" si="4277"/>
        <v>1.504</v>
      </c>
      <c r="Y618" s="45"/>
      <c r="Z618" s="45"/>
      <c r="AA618" s="107">
        <f t="shared" ref="AA618:AB618" si="4278">AA617</f>
        <v>10.015000000000001</v>
      </c>
      <c r="AB618" s="108" t="str">
        <f t="shared" si="4278"/>
        <v>22,10,090</v>
      </c>
      <c r="AC618" s="11" t="str">
        <f t="shared" si="3941"/>
        <v>22</v>
      </c>
      <c r="AD618" s="11" t="str">
        <f t="shared" si="3942"/>
        <v>10,090</v>
      </c>
      <c r="AE618" s="11">
        <f t="shared" si="3943"/>
        <v>0.36946944444444441</v>
      </c>
      <c r="AF618" s="14">
        <f t="shared" si="4030"/>
        <v>27.106436406558959</v>
      </c>
      <c r="AG618" s="41">
        <f t="shared" si="3958"/>
        <v>-100</v>
      </c>
      <c r="AH618" s="105">
        <f t="shared" ref="AH618:AJ618" si="4279">AH617</f>
        <v>20.3</v>
      </c>
      <c r="AI618" s="105">
        <f t="shared" si="4279"/>
        <v>1.5089999999999999</v>
      </c>
      <c r="AJ618" s="105">
        <f t="shared" si="4279"/>
        <v>1.504</v>
      </c>
      <c r="AK618" s="53">
        <f t="shared" si="3874"/>
        <v>0</v>
      </c>
      <c r="AL618" s="45"/>
      <c r="AM618" s="54">
        <f t="shared" ref="AM618:AN618" si="4280">AM617</f>
        <v>5.0129999999999999</v>
      </c>
      <c r="AN618" s="101" t="str">
        <f t="shared" si="4280"/>
        <v>17,59,050</v>
      </c>
      <c r="AO618" s="11" t="str">
        <f t="shared" si="3946"/>
        <v>17</v>
      </c>
      <c r="AP618" s="11" t="str">
        <f t="shared" si="3947"/>
        <v>59,050</v>
      </c>
      <c r="AQ618" s="11">
        <f t="shared" si="3948"/>
        <v>0.29973611111111109</v>
      </c>
      <c r="AR618" s="14">
        <f t="shared" si="4033"/>
        <v>16.724711551827998</v>
      </c>
      <c r="AS618" s="41">
        <f t="shared" si="4034"/>
        <v>-100</v>
      </c>
      <c r="AT618" s="43" t="str">
        <f t="shared" si="4035"/>
        <v>NO CONFORME</v>
      </c>
      <c r="AU618" s="8" t="b">
        <f t="shared" si="4054"/>
        <v>1</v>
      </c>
      <c r="AV618" s="8" t="b">
        <f t="shared" si="3949"/>
        <v>0</v>
      </c>
      <c r="AW618" s="8" t="b">
        <f t="shared" si="3950"/>
        <v>1</v>
      </c>
      <c r="AX618" s="8" t="str">
        <f t="shared" si="3951"/>
        <v>Qcorrecto</v>
      </c>
      <c r="AY618" s="22" t="str">
        <f t="shared" si="4036"/>
        <v>aceptable</v>
      </c>
      <c r="AZ618" s="22" t="str">
        <f t="shared" si="4037"/>
        <v>aceptable</v>
      </c>
      <c r="BA618" s="22" t="str">
        <f t="shared" si="3952"/>
        <v>aceptable</v>
      </c>
      <c r="BB618" s="25" t="str">
        <f t="shared" si="4055"/>
        <v>NO CONFORME</v>
      </c>
      <c r="BC618" s="5" t="str">
        <f t="shared" si="4056"/>
        <v>NO CONFORME</v>
      </c>
      <c r="BD618" s="15">
        <f t="shared" si="4038"/>
        <v>-1</v>
      </c>
      <c r="BE618" s="15">
        <f t="shared" si="4039"/>
        <v>-1</v>
      </c>
      <c r="BF618" s="15">
        <f t="shared" si="4040"/>
        <v>-1</v>
      </c>
      <c r="BG618" s="15" t="str">
        <f t="shared" si="4041"/>
        <v>-1-1-1</v>
      </c>
      <c r="BH618" s="15" t="str">
        <f t="shared" si="4042"/>
        <v>SD</v>
      </c>
      <c r="BI618" s="15" t="str">
        <f t="shared" si="4043"/>
        <v>SI</v>
      </c>
      <c r="BJ618" s="15" t="b">
        <f t="shared" si="4044"/>
        <v>1</v>
      </c>
      <c r="BK618" s="15" t="str">
        <f t="shared" si="4045"/>
        <v>SIGIGUALES</v>
      </c>
      <c r="BL618" s="22" t="str">
        <f t="shared" si="4046"/>
        <v>NO CONFORME</v>
      </c>
    </row>
    <row r="619" spans="1:64" ht="15.75" thickBot="1" x14ac:dyDescent="0.3">
      <c r="A619" s="37">
        <v>611</v>
      </c>
      <c r="B619" s="93">
        <f t="shared" ref="B619:E619" si="4281">B618</f>
        <v>45919</v>
      </c>
      <c r="C619" s="93">
        <f t="shared" si="4281"/>
        <v>45919</v>
      </c>
      <c r="D619" s="94">
        <f t="shared" si="4281"/>
        <v>6</v>
      </c>
      <c r="E619" s="95">
        <f t="shared" si="4281"/>
        <v>15</v>
      </c>
      <c r="F619" s="13"/>
      <c r="G619" s="90"/>
      <c r="H619" s="97">
        <f t="shared" ref="H619:L619" si="4282">H618</f>
        <v>25.6</v>
      </c>
      <c r="I619" s="98">
        <f t="shared" si="4282"/>
        <v>0</v>
      </c>
      <c r="J619" s="99">
        <f t="shared" si="4282"/>
        <v>20.9</v>
      </c>
      <c r="K619" s="99">
        <f t="shared" si="4282"/>
        <v>7.883</v>
      </c>
      <c r="L619" s="99">
        <f t="shared" si="4282"/>
        <v>0.55400000000000005</v>
      </c>
      <c r="M619" s="45"/>
      <c r="N619" s="45"/>
      <c r="O619" s="100">
        <f t="shared" ref="O619:P619" si="4283">O618</f>
        <v>100.62</v>
      </c>
      <c r="P619" s="101" t="str">
        <f t="shared" si="4283"/>
        <v>2,29,560</v>
      </c>
      <c r="Q619" s="11" t="str">
        <f t="shared" si="3935"/>
        <v>2</v>
      </c>
      <c r="R619" s="11" t="str">
        <f t="shared" si="3936"/>
        <v>29,560</v>
      </c>
      <c r="S619" s="11">
        <f t="shared" si="3937"/>
        <v>4.1544444444444446E-2</v>
      </c>
      <c r="T619" s="14">
        <f t="shared" si="3938"/>
        <v>2421.9844878309709</v>
      </c>
      <c r="U619" s="39">
        <f t="shared" si="4027"/>
        <v>-100</v>
      </c>
      <c r="V619" s="105">
        <f t="shared" ref="V619:X619" si="4284">V618</f>
        <v>20.399999999999999</v>
      </c>
      <c r="W619" s="105">
        <f t="shared" si="4284"/>
        <v>1.5069999999999999</v>
      </c>
      <c r="X619" s="106">
        <f t="shared" si="4284"/>
        <v>1.504</v>
      </c>
      <c r="Y619" s="45"/>
      <c r="Z619" s="45"/>
      <c r="AA619" s="107">
        <f t="shared" ref="AA619:AB619" si="4285">AA618</f>
        <v>10.015000000000001</v>
      </c>
      <c r="AB619" s="108" t="str">
        <f t="shared" si="4285"/>
        <v>22,10,090</v>
      </c>
      <c r="AC619" s="11" t="str">
        <f t="shared" si="3941"/>
        <v>22</v>
      </c>
      <c r="AD619" s="11" t="str">
        <f t="shared" si="3942"/>
        <v>10,090</v>
      </c>
      <c r="AE619" s="11">
        <f t="shared" si="3943"/>
        <v>0.36946944444444441</v>
      </c>
      <c r="AF619" s="14">
        <f t="shared" si="4030"/>
        <v>27.106436406558959</v>
      </c>
      <c r="AG619" s="41">
        <f t="shared" si="3958"/>
        <v>-100</v>
      </c>
      <c r="AH619" s="105">
        <f t="shared" ref="AH619:AJ619" si="4286">AH618</f>
        <v>20.3</v>
      </c>
      <c r="AI619" s="105">
        <f t="shared" si="4286"/>
        <v>1.5089999999999999</v>
      </c>
      <c r="AJ619" s="105">
        <f t="shared" si="4286"/>
        <v>1.504</v>
      </c>
      <c r="AK619" s="53">
        <f t="shared" si="3874"/>
        <v>0</v>
      </c>
      <c r="AL619" s="45"/>
      <c r="AM619" s="54">
        <f t="shared" ref="AM619:AN619" si="4287">AM618</f>
        <v>5.0129999999999999</v>
      </c>
      <c r="AN619" s="101" t="str">
        <f t="shared" si="4287"/>
        <v>17,59,050</v>
      </c>
      <c r="AO619" s="11" t="str">
        <f t="shared" si="3946"/>
        <v>17</v>
      </c>
      <c r="AP619" s="11" t="str">
        <f t="shared" si="3947"/>
        <v>59,050</v>
      </c>
      <c r="AQ619" s="11">
        <f t="shared" si="3948"/>
        <v>0.29973611111111109</v>
      </c>
      <c r="AR619" s="14">
        <f t="shared" si="4033"/>
        <v>16.724711551827998</v>
      </c>
      <c r="AS619" s="41">
        <f t="shared" si="4034"/>
        <v>-100</v>
      </c>
      <c r="AT619" s="43" t="str">
        <f t="shared" si="4035"/>
        <v>NO CONFORME</v>
      </c>
      <c r="AU619" s="8" t="b">
        <f t="shared" si="4054"/>
        <v>1</v>
      </c>
      <c r="AV619" s="8" t="b">
        <f t="shared" si="3949"/>
        <v>0</v>
      </c>
      <c r="AW619" s="8" t="b">
        <f t="shared" si="3950"/>
        <v>1</v>
      </c>
      <c r="AX619" s="8" t="str">
        <f t="shared" si="3951"/>
        <v>Qcorrecto</v>
      </c>
      <c r="AY619" s="22" t="str">
        <f t="shared" si="4036"/>
        <v>aceptable</v>
      </c>
      <c r="AZ619" s="22" t="str">
        <f t="shared" si="4037"/>
        <v>aceptable</v>
      </c>
      <c r="BA619" s="22" t="str">
        <f t="shared" si="3952"/>
        <v>aceptable</v>
      </c>
      <c r="BB619" s="25" t="str">
        <f t="shared" si="4055"/>
        <v>NO CONFORME</v>
      </c>
      <c r="BC619" s="5" t="str">
        <f t="shared" si="4056"/>
        <v>NO CONFORME</v>
      </c>
      <c r="BD619" s="15">
        <f t="shared" si="4038"/>
        <v>-1</v>
      </c>
      <c r="BE619" s="15">
        <f t="shared" si="4039"/>
        <v>-1</v>
      </c>
      <c r="BF619" s="15">
        <f t="shared" si="4040"/>
        <v>-1</v>
      </c>
      <c r="BG619" s="15" t="str">
        <f t="shared" si="4041"/>
        <v>-1-1-1</v>
      </c>
      <c r="BH619" s="15" t="str">
        <f t="shared" si="4042"/>
        <v>SD</v>
      </c>
      <c r="BI619" s="15" t="str">
        <f t="shared" si="4043"/>
        <v>SI</v>
      </c>
      <c r="BJ619" s="15" t="b">
        <f t="shared" si="4044"/>
        <v>1</v>
      </c>
      <c r="BK619" s="15" t="str">
        <f t="shared" si="4045"/>
        <v>SIGIGUALES</v>
      </c>
      <c r="BL619" s="22" t="str">
        <f t="shared" si="4046"/>
        <v>NO CONFORME</v>
      </c>
    </row>
    <row r="620" spans="1:64" ht="15.75" thickBot="1" x14ac:dyDescent="0.3">
      <c r="A620" s="37">
        <v>612</v>
      </c>
      <c r="B620" s="93">
        <f t="shared" ref="B620:E620" si="4288">B619</f>
        <v>45919</v>
      </c>
      <c r="C620" s="93">
        <f t="shared" si="4288"/>
        <v>45919</v>
      </c>
      <c r="D620" s="94">
        <f t="shared" si="4288"/>
        <v>6</v>
      </c>
      <c r="E620" s="95">
        <f t="shared" si="4288"/>
        <v>15</v>
      </c>
      <c r="F620" s="13"/>
      <c r="G620" s="90"/>
      <c r="H620" s="97">
        <f t="shared" ref="H620:L620" si="4289">H619</f>
        <v>25.6</v>
      </c>
      <c r="I620" s="98">
        <f t="shared" si="4289"/>
        <v>0</v>
      </c>
      <c r="J620" s="99">
        <f t="shared" si="4289"/>
        <v>20.9</v>
      </c>
      <c r="K620" s="99">
        <f t="shared" si="4289"/>
        <v>7.883</v>
      </c>
      <c r="L620" s="99">
        <f t="shared" si="4289"/>
        <v>0.55400000000000005</v>
      </c>
      <c r="M620" s="45"/>
      <c r="N620" s="45"/>
      <c r="O620" s="100">
        <f t="shared" ref="O620:P620" si="4290">O619</f>
        <v>100.62</v>
      </c>
      <c r="P620" s="101" t="str">
        <f t="shared" si="4290"/>
        <v>2,29,560</v>
      </c>
      <c r="Q620" s="11" t="str">
        <f t="shared" si="3935"/>
        <v>2</v>
      </c>
      <c r="R620" s="11" t="str">
        <f t="shared" si="3936"/>
        <v>29,560</v>
      </c>
      <c r="S620" s="11">
        <f t="shared" si="3937"/>
        <v>4.1544444444444446E-2</v>
      </c>
      <c r="T620" s="14">
        <f t="shared" si="3938"/>
        <v>2421.9844878309709</v>
      </c>
      <c r="U620" s="39">
        <f t="shared" si="4027"/>
        <v>-100</v>
      </c>
      <c r="V620" s="105">
        <f t="shared" ref="V620:X620" si="4291">V619</f>
        <v>20.399999999999999</v>
      </c>
      <c r="W620" s="105">
        <f t="shared" si="4291"/>
        <v>1.5069999999999999</v>
      </c>
      <c r="X620" s="106">
        <f t="shared" si="4291"/>
        <v>1.504</v>
      </c>
      <c r="Y620" s="45"/>
      <c r="Z620" s="45"/>
      <c r="AA620" s="107">
        <f t="shared" ref="AA620:AB620" si="4292">AA619</f>
        <v>10.015000000000001</v>
      </c>
      <c r="AB620" s="108" t="str">
        <f t="shared" si="4292"/>
        <v>22,10,090</v>
      </c>
      <c r="AC620" s="11" t="str">
        <f t="shared" si="3941"/>
        <v>22</v>
      </c>
      <c r="AD620" s="11" t="str">
        <f t="shared" si="3942"/>
        <v>10,090</v>
      </c>
      <c r="AE620" s="11">
        <f t="shared" si="3943"/>
        <v>0.36946944444444441</v>
      </c>
      <c r="AF620" s="14">
        <f t="shared" si="4030"/>
        <v>27.106436406558959</v>
      </c>
      <c r="AG620" s="41">
        <f t="shared" si="3958"/>
        <v>-100</v>
      </c>
      <c r="AH620" s="105">
        <f t="shared" ref="AH620:AJ620" si="4293">AH619</f>
        <v>20.3</v>
      </c>
      <c r="AI620" s="105">
        <f t="shared" si="4293"/>
        <v>1.5089999999999999</v>
      </c>
      <c r="AJ620" s="105">
        <f t="shared" si="4293"/>
        <v>1.504</v>
      </c>
      <c r="AK620" s="53">
        <f t="shared" si="3874"/>
        <v>0</v>
      </c>
      <c r="AL620" s="45"/>
      <c r="AM620" s="54">
        <f t="shared" ref="AM620:AN620" si="4294">AM619</f>
        <v>5.0129999999999999</v>
      </c>
      <c r="AN620" s="101" t="str">
        <f t="shared" si="4294"/>
        <v>17,59,050</v>
      </c>
      <c r="AO620" s="11" t="str">
        <f t="shared" si="3946"/>
        <v>17</v>
      </c>
      <c r="AP620" s="11" t="str">
        <f t="shared" si="3947"/>
        <v>59,050</v>
      </c>
      <c r="AQ620" s="11">
        <f t="shared" si="3948"/>
        <v>0.29973611111111109</v>
      </c>
      <c r="AR620" s="14">
        <f t="shared" si="4033"/>
        <v>16.724711551827998</v>
      </c>
      <c r="AS620" s="41">
        <f t="shared" si="4034"/>
        <v>-100</v>
      </c>
      <c r="AT620" s="43" t="str">
        <f t="shared" si="4035"/>
        <v>NO CONFORME</v>
      </c>
      <c r="AU620" s="8" t="b">
        <f t="shared" si="4054"/>
        <v>1</v>
      </c>
      <c r="AV620" s="8" t="b">
        <f t="shared" si="3949"/>
        <v>0</v>
      </c>
      <c r="AW620" s="8" t="b">
        <f t="shared" si="3950"/>
        <v>1</v>
      </c>
      <c r="AX620" s="8" t="str">
        <f t="shared" si="3951"/>
        <v>Qcorrecto</v>
      </c>
      <c r="AY620" s="22" t="str">
        <f t="shared" si="4036"/>
        <v>aceptable</v>
      </c>
      <c r="AZ620" s="22" t="str">
        <f t="shared" si="4037"/>
        <v>aceptable</v>
      </c>
      <c r="BA620" s="22" t="str">
        <f t="shared" si="3952"/>
        <v>aceptable</v>
      </c>
      <c r="BB620" s="25" t="str">
        <f t="shared" si="4055"/>
        <v>NO CONFORME</v>
      </c>
      <c r="BC620" s="5" t="str">
        <f t="shared" si="4056"/>
        <v>NO CONFORME</v>
      </c>
      <c r="BD620" s="15">
        <f t="shared" si="4038"/>
        <v>-1</v>
      </c>
      <c r="BE620" s="15">
        <f t="shared" si="4039"/>
        <v>-1</v>
      </c>
      <c r="BF620" s="15">
        <f t="shared" si="4040"/>
        <v>-1</v>
      </c>
      <c r="BG620" s="15" t="str">
        <f t="shared" si="4041"/>
        <v>-1-1-1</v>
      </c>
      <c r="BH620" s="15" t="str">
        <f t="shared" si="4042"/>
        <v>SD</v>
      </c>
      <c r="BI620" s="15" t="str">
        <f t="shared" si="4043"/>
        <v>SI</v>
      </c>
      <c r="BJ620" s="15" t="b">
        <f t="shared" si="4044"/>
        <v>1</v>
      </c>
      <c r="BK620" s="15" t="str">
        <f t="shared" si="4045"/>
        <v>SIGIGUALES</v>
      </c>
      <c r="BL620" s="22" t="str">
        <f t="shared" si="4046"/>
        <v>NO CONFORME</v>
      </c>
    </row>
    <row r="621" spans="1:64" ht="15.75" thickBot="1" x14ac:dyDescent="0.3">
      <c r="A621" s="37">
        <v>613</v>
      </c>
      <c r="B621" s="93">
        <f t="shared" ref="B621:E621" si="4295">B620</f>
        <v>45919</v>
      </c>
      <c r="C621" s="93">
        <f t="shared" si="4295"/>
        <v>45919</v>
      </c>
      <c r="D621" s="94">
        <f t="shared" si="4295"/>
        <v>6</v>
      </c>
      <c r="E621" s="95">
        <f t="shared" si="4295"/>
        <v>15</v>
      </c>
      <c r="F621" s="13"/>
      <c r="G621" s="90"/>
      <c r="H621" s="97">
        <f t="shared" ref="H621:L621" si="4296">H620</f>
        <v>25.6</v>
      </c>
      <c r="I621" s="98">
        <f t="shared" si="4296"/>
        <v>0</v>
      </c>
      <c r="J621" s="99">
        <f t="shared" si="4296"/>
        <v>20.9</v>
      </c>
      <c r="K621" s="99">
        <f t="shared" si="4296"/>
        <v>7.883</v>
      </c>
      <c r="L621" s="99">
        <f t="shared" si="4296"/>
        <v>0.55400000000000005</v>
      </c>
      <c r="M621" s="45"/>
      <c r="N621" s="45"/>
      <c r="O621" s="100">
        <f t="shared" ref="O621:P621" si="4297">O620</f>
        <v>100.62</v>
      </c>
      <c r="P621" s="101" t="str">
        <f t="shared" si="4297"/>
        <v>2,29,560</v>
      </c>
      <c r="Q621" s="11" t="str">
        <f t="shared" si="3935"/>
        <v>2</v>
      </c>
      <c r="R621" s="11" t="str">
        <f t="shared" si="3936"/>
        <v>29,560</v>
      </c>
      <c r="S621" s="11">
        <f t="shared" si="3937"/>
        <v>4.1544444444444446E-2</v>
      </c>
      <c r="T621" s="14">
        <f t="shared" si="3938"/>
        <v>2421.9844878309709</v>
      </c>
      <c r="U621" s="39">
        <f t="shared" si="4027"/>
        <v>-100</v>
      </c>
      <c r="V621" s="105">
        <f t="shared" ref="V621:X621" si="4298">V620</f>
        <v>20.399999999999999</v>
      </c>
      <c r="W621" s="105">
        <f t="shared" si="4298"/>
        <v>1.5069999999999999</v>
      </c>
      <c r="X621" s="106">
        <f t="shared" si="4298"/>
        <v>1.504</v>
      </c>
      <c r="Y621" s="45"/>
      <c r="Z621" s="45"/>
      <c r="AA621" s="107">
        <f t="shared" ref="AA621:AB621" si="4299">AA620</f>
        <v>10.015000000000001</v>
      </c>
      <c r="AB621" s="108" t="str">
        <f t="shared" si="4299"/>
        <v>22,10,090</v>
      </c>
      <c r="AC621" s="11" t="str">
        <f t="shared" si="3941"/>
        <v>22</v>
      </c>
      <c r="AD621" s="11" t="str">
        <f t="shared" si="3942"/>
        <v>10,090</v>
      </c>
      <c r="AE621" s="11">
        <f t="shared" si="3943"/>
        <v>0.36946944444444441</v>
      </c>
      <c r="AF621" s="14">
        <f t="shared" si="4030"/>
        <v>27.106436406558959</v>
      </c>
      <c r="AG621" s="41">
        <f t="shared" si="3958"/>
        <v>-100</v>
      </c>
      <c r="AH621" s="105">
        <f t="shared" ref="AH621:AJ621" si="4300">AH620</f>
        <v>20.3</v>
      </c>
      <c r="AI621" s="105">
        <f t="shared" si="4300"/>
        <v>1.5089999999999999</v>
      </c>
      <c r="AJ621" s="105">
        <f t="shared" si="4300"/>
        <v>1.504</v>
      </c>
      <c r="AK621" s="53">
        <f t="shared" si="3874"/>
        <v>0</v>
      </c>
      <c r="AL621" s="45"/>
      <c r="AM621" s="54">
        <f t="shared" ref="AM621:AN621" si="4301">AM620</f>
        <v>5.0129999999999999</v>
      </c>
      <c r="AN621" s="101" t="str">
        <f t="shared" si="4301"/>
        <v>17,59,050</v>
      </c>
      <c r="AO621" s="11" t="str">
        <f t="shared" si="3946"/>
        <v>17</v>
      </c>
      <c r="AP621" s="11" t="str">
        <f t="shared" si="3947"/>
        <v>59,050</v>
      </c>
      <c r="AQ621" s="11">
        <f t="shared" si="3948"/>
        <v>0.29973611111111109</v>
      </c>
      <c r="AR621" s="14">
        <f t="shared" si="4033"/>
        <v>16.724711551827998</v>
      </c>
      <c r="AS621" s="41">
        <f t="shared" si="4034"/>
        <v>-100</v>
      </c>
      <c r="AT621" s="43" t="str">
        <f t="shared" si="4035"/>
        <v>NO CONFORME</v>
      </c>
      <c r="AU621" s="8" t="b">
        <f t="shared" si="4054"/>
        <v>1</v>
      </c>
      <c r="AV621" s="8" t="b">
        <f t="shared" si="3949"/>
        <v>0</v>
      </c>
      <c r="AW621" s="8" t="b">
        <f t="shared" si="3950"/>
        <v>1</v>
      </c>
      <c r="AX621" s="8" t="str">
        <f t="shared" si="3951"/>
        <v>Qcorrecto</v>
      </c>
      <c r="AY621" s="22" t="str">
        <f t="shared" si="4036"/>
        <v>aceptable</v>
      </c>
      <c r="AZ621" s="22" t="str">
        <f t="shared" si="4037"/>
        <v>aceptable</v>
      </c>
      <c r="BA621" s="22" t="str">
        <f t="shared" si="3952"/>
        <v>aceptable</v>
      </c>
      <c r="BB621" s="25" t="str">
        <f t="shared" si="4055"/>
        <v>NO CONFORME</v>
      </c>
      <c r="BC621" s="5" t="str">
        <f t="shared" si="4056"/>
        <v>NO CONFORME</v>
      </c>
      <c r="BD621" s="15">
        <f t="shared" si="4038"/>
        <v>-1</v>
      </c>
      <c r="BE621" s="15">
        <f t="shared" si="4039"/>
        <v>-1</v>
      </c>
      <c r="BF621" s="15">
        <f t="shared" si="4040"/>
        <v>-1</v>
      </c>
      <c r="BG621" s="15" t="str">
        <f t="shared" si="4041"/>
        <v>-1-1-1</v>
      </c>
      <c r="BH621" s="15" t="str">
        <f t="shared" si="4042"/>
        <v>SD</v>
      </c>
      <c r="BI621" s="15" t="str">
        <f t="shared" si="4043"/>
        <v>SI</v>
      </c>
      <c r="BJ621" s="15" t="b">
        <f t="shared" si="4044"/>
        <v>1</v>
      </c>
      <c r="BK621" s="15" t="str">
        <f t="shared" si="4045"/>
        <v>SIGIGUALES</v>
      </c>
      <c r="BL621" s="22" t="str">
        <f t="shared" si="4046"/>
        <v>NO CONFORME</v>
      </c>
    </row>
    <row r="622" spans="1:64" ht="15.75" thickBot="1" x14ac:dyDescent="0.3">
      <c r="A622" s="37">
        <v>614</v>
      </c>
      <c r="B622" s="93">
        <f t="shared" ref="B622:E622" si="4302">B621</f>
        <v>45919</v>
      </c>
      <c r="C622" s="93">
        <f t="shared" si="4302"/>
        <v>45919</v>
      </c>
      <c r="D622" s="94">
        <f t="shared" si="4302"/>
        <v>6</v>
      </c>
      <c r="E622" s="95">
        <f t="shared" si="4302"/>
        <v>15</v>
      </c>
      <c r="F622" s="13"/>
      <c r="G622" s="90"/>
      <c r="H622" s="97">
        <f t="shared" ref="H622:L622" si="4303">H621</f>
        <v>25.6</v>
      </c>
      <c r="I622" s="98">
        <f t="shared" si="4303"/>
        <v>0</v>
      </c>
      <c r="J622" s="99">
        <f t="shared" si="4303"/>
        <v>20.9</v>
      </c>
      <c r="K622" s="99">
        <f t="shared" si="4303"/>
        <v>7.883</v>
      </c>
      <c r="L622" s="99">
        <f t="shared" si="4303"/>
        <v>0.55400000000000005</v>
      </c>
      <c r="M622" s="45"/>
      <c r="N622" s="45"/>
      <c r="O622" s="100">
        <f t="shared" ref="O622:P622" si="4304">O621</f>
        <v>100.62</v>
      </c>
      <c r="P622" s="101" t="str">
        <f t="shared" si="4304"/>
        <v>2,29,560</v>
      </c>
      <c r="Q622" s="11" t="str">
        <f t="shared" si="3935"/>
        <v>2</v>
      </c>
      <c r="R622" s="11" t="str">
        <f t="shared" si="3936"/>
        <v>29,560</v>
      </c>
      <c r="S622" s="11">
        <f t="shared" si="3937"/>
        <v>4.1544444444444446E-2</v>
      </c>
      <c r="T622" s="14">
        <f t="shared" si="3938"/>
        <v>2421.9844878309709</v>
      </c>
      <c r="U622" s="39">
        <f t="shared" si="4027"/>
        <v>-100</v>
      </c>
      <c r="V622" s="105">
        <f t="shared" ref="V622:X622" si="4305">V621</f>
        <v>20.399999999999999</v>
      </c>
      <c r="W622" s="105">
        <f t="shared" si="4305"/>
        <v>1.5069999999999999</v>
      </c>
      <c r="X622" s="106">
        <f t="shared" si="4305"/>
        <v>1.504</v>
      </c>
      <c r="Y622" s="45"/>
      <c r="Z622" s="45"/>
      <c r="AA622" s="107">
        <f t="shared" ref="AA622:AB622" si="4306">AA621</f>
        <v>10.015000000000001</v>
      </c>
      <c r="AB622" s="108" t="str">
        <f t="shared" si="4306"/>
        <v>22,10,090</v>
      </c>
      <c r="AC622" s="11" t="str">
        <f t="shared" si="3941"/>
        <v>22</v>
      </c>
      <c r="AD622" s="11" t="str">
        <f t="shared" si="3942"/>
        <v>10,090</v>
      </c>
      <c r="AE622" s="11">
        <f t="shared" si="3943"/>
        <v>0.36946944444444441</v>
      </c>
      <c r="AF622" s="14">
        <f t="shared" si="4030"/>
        <v>27.106436406558959</v>
      </c>
      <c r="AG622" s="41">
        <f t="shared" si="3958"/>
        <v>-100</v>
      </c>
      <c r="AH622" s="105">
        <f t="shared" ref="AH622:AJ622" si="4307">AH621</f>
        <v>20.3</v>
      </c>
      <c r="AI622" s="105">
        <f t="shared" si="4307"/>
        <v>1.5089999999999999</v>
      </c>
      <c r="AJ622" s="105">
        <f t="shared" si="4307"/>
        <v>1.504</v>
      </c>
      <c r="AK622" s="53">
        <f t="shared" si="3874"/>
        <v>0</v>
      </c>
      <c r="AL622" s="45"/>
      <c r="AM622" s="54">
        <f t="shared" ref="AM622:AN622" si="4308">AM621</f>
        <v>5.0129999999999999</v>
      </c>
      <c r="AN622" s="101" t="str">
        <f t="shared" si="4308"/>
        <v>17,59,050</v>
      </c>
      <c r="AO622" s="11" t="str">
        <f t="shared" si="3946"/>
        <v>17</v>
      </c>
      <c r="AP622" s="11" t="str">
        <f t="shared" si="3947"/>
        <v>59,050</v>
      </c>
      <c r="AQ622" s="11">
        <f t="shared" si="3948"/>
        <v>0.29973611111111109</v>
      </c>
      <c r="AR622" s="14">
        <f t="shared" si="4033"/>
        <v>16.724711551827998</v>
      </c>
      <c r="AS622" s="41">
        <f t="shared" si="4034"/>
        <v>-100</v>
      </c>
      <c r="AT622" s="43" t="str">
        <f t="shared" si="4035"/>
        <v>NO CONFORME</v>
      </c>
      <c r="AU622" s="8" t="b">
        <f t="shared" si="4054"/>
        <v>1</v>
      </c>
      <c r="AV622" s="8" t="b">
        <f t="shared" si="3949"/>
        <v>0</v>
      </c>
      <c r="AW622" s="8" t="b">
        <f t="shared" si="3950"/>
        <v>1</v>
      </c>
      <c r="AX622" s="8" t="str">
        <f t="shared" si="3951"/>
        <v>Qcorrecto</v>
      </c>
      <c r="AY622" s="22" t="str">
        <f t="shared" si="4036"/>
        <v>aceptable</v>
      </c>
      <c r="AZ622" s="22" t="str">
        <f t="shared" si="4037"/>
        <v>aceptable</v>
      </c>
      <c r="BA622" s="22" t="str">
        <f t="shared" si="3952"/>
        <v>aceptable</v>
      </c>
      <c r="BB622" s="25" t="str">
        <f t="shared" si="4055"/>
        <v>NO CONFORME</v>
      </c>
      <c r="BC622" s="5" t="str">
        <f t="shared" si="4056"/>
        <v>NO CONFORME</v>
      </c>
      <c r="BD622" s="15">
        <f t="shared" si="4038"/>
        <v>-1</v>
      </c>
      <c r="BE622" s="15">
        <f t="shared" si="4039"/>
        <v>-1</v>
      </c>
      <c r="BF622" s="15">
        <f t="shared" si="4040"/>
        <v>-1</v>
      </c>
      <c r="BG622" s="15" t="str">
        <f t="shared" si="4041"/>
        <v>-1-1-1</v>
      </c>
      <c r="BH622" s="15" t="str">
        <f t="shared" si="4042"/>
        <v>SD</v>
      </c>
      <c r="BI622" s="15" t="str">
        <f t="shared" si="4043"/>
        <v>SI</v>
      </c>
      <c r="BJ622" s="15" t="b">
        <f t="shared" si="4044"/>
        <v>1</v>
      </c>
      <c r="BK622" s="15" t="str">
        <f t="shared" si="4045"/>
        <v>SIGIGUALES</v>
      </c>
      <c r="BL622" s="22" t="str">
        <f t="shared" si="4046"/>
        <v>NO CONFORME</v>
      </c>
    </row>
    <row r="623" spans="1:64" ht="15.75" thickBot="1" x14ac:dyDescent="0.3">
      <c r="A623" s="37">
        <v>615</v>
      </c>
      <c r="B623" s="93">
        <f t="shared" ref="B623:E623" si="4309">B622</f>
        <v>45919</v>
      </c>
      <c r="C623" s="93">
        <f t="shared" si="4309"/>
        <v>45919</v>
      </c>
      <c r="D623" s="94">
        <f t="shared" si="4309"/>
        <v>6</v>
      </c>
      <c r="E623" s="95">
        <f t="shared" si="4309"/>
        <v>15</v>
      </c>
      <c r="F623" s="52"/>
      <c r="G623" s="90"/>
      <c r="H623" s="97">
        <f t="shared" ref="H623:L623" si="4310">H622</f>
        <v>25.6</v>
      </c>
      <c r="I623" s="98">
        <f t="shared" si="4310"/>
        <v>0</v>
      </c>
      <c r="J623" s="99">
        <f t="shared" si="4310"/>
        <v>20.9</v>
      </c>
      <c r="K623" s="99">
        <f t="shared" si="4310"/>
        <v>7.883</v>
      </c>
      <c r="L623" s="99">
        <f t="shared" si="4310"/>
        <v>0.55400000000000005</v>
      </c>
      <c r="M623" s="53"/>
      <c r="N623" s="53"/>
      <c r="O623" s="100">
        <f t="shared" ref="O623:P623" si="4311">O622</f>
        <v>100.62</v>
      </c>
      <c r="P623" s="101" t="str">
        <f t="shared" si="4311"/>
        <v>2,29,560</v>
      </c>
      <c r="Q623" s="11" t="str">
        <f t="shared" si="3935"/>
        <v>2</v>
      </c>
      <c r="R623" s="11" t="str">
        <f t="shared" si="3936"/>
        <v>29,560</v>
      </c>
      <c r="S623" s="11">
        <f t="shared" si="3937"/>
        <v>4.1544444444444446E-2</v>
      </c>
      <c r="T623" s="14">
        <f t="shared" si="3938"/>
        <v>2421.9844878309709</v>
      </c>
      <c r="U623" s="39">
        <f t="shared" si="4027"/>
        <v>-100</v>
      </c>
      <c r="V623" s="105">
        <f t="shared" ref="V623:X623" si="4312">V622</f>
        <v>20.399999999999999</v>
      </c>
      <c r="W623" s="105">
        <f t="shared" si="4312"/>
        <v>1.5069999999999999</v>
      </c>
      <c r="X623" s="106">
        <f t="shared" si="4312"/>
        <v>1.504</v>
      </c>
      <c r="Y623" s="53"/>
      <c r="Z623" s="53"/>
      <c r="AA623" s="107">
        <f t="shared" ref="AA623:AB623" si="4313">AA622</f>
        <v>10.015000000000001</v>
      </c>
      <c r="AB623" s="108" t="str">
        <f t="shared" si="4313"/>
        <v>22,10,090</v>
      </c>
      <c r="AC623" s="11" t="str">
        <f t="shared" si="3941"/>
        <v>22</v>
      </c>
      <c r="AD623" s="11" t="str">
        <f t="shared" si="3942"/>
        <v>10,090</v>
      </c>
      <c r="AE623" s="11">
        <f t="shared" si="3943"/>
        <v>0.36946944444444441</v>
      </c>
      <c r="AF623" s="14">
        <f t="shared" si="4030"/>
        <v>27.106436406558959</v>
      </c>
      <c r="AG623" s="41">
        <f t="shared" si="3958"/>
        <v>-100</v>
      </c>
      <c r="AH623" s="105">
        <f t="shared" ref="AH623:AJ623" si="4314">AH622</f>
        <v>20.3</v>
      </c>
      <c r="AI623" s="105">
        <f t="shared" si="4314"/>
        <v>1.5089999999999999</v>
      </c>
      <c r="AJ623" s="105">
        <f t="shared" si="4314"/>
        <v>1.504</v>
      </c>
      <c r="AK623" s="53">
        <f t="shared" si="3874"/>
        <v>0</v>
      </c>
      <c r="AL623" s="53"/>
      <c r="AM623" s="54">
        <f t="shared" ref="AM623:AN623" si="4315">AM622</f>
        <v>5.0129999999999999</v>
      </c>
      <c r="AN623" s="101" t="str">
        <f t="shared" si="4315"/>
        <v>17,59,050</v>
      </c>
      <c r="AO623" s="11" t="str">
        <f t="shared" si="3946"/>
        <v>17</v>
      </c>
      <c r="AP623" s="11" t="str">
        <f t="shared" si="3947"/>
        <v>59,050</v>
      </c>
      <c r="AQ623" s="11">
        <f t="shared" si="3948"/>
        <v>0.29973611111111109</v>
      </c>
      <c r="AR623" s="14">
        <f t="shared" si="4033"/>
        <v>16.724711551827998</v>
      </c>
      <c r="AS623" s="41">
        <f t="shared" si="4034"/>
        <v>-100</v>
      </c>
      <c r="AT623" s="43" t="str">
        <f t="shared" si="4035"/>
        <v>NO CONFORME</v>
      </c>
      <c r="AU623" s="8" t="b">
        <f t="shared" si="4054"/>
        <v>1</v>
      </c>
      <c r="AV623" s="8" t="b">
        <f t="shared" si="3949"/>
        <v>0</v>
      </c>
      <c r="AW623" s="8" t="b">
        <f t="shared" si="3950"/>
        <v>1</v>
      </c>
      <c r="AX623" s="8" t="str">
        <f t="shared" si="3951"/>
        <v>Qcorrecto</v>
      </c>
      <c r="AY623" s="22" t="str">
        <f t="shared" si="4036"/>
        <v>aceptable</v>
      </c>
      <c r="AZ623" s="22" t="str">
        <f t="shared" si="4037"/>
        <v>aceptable</v>
      </c>
      <c r="BA623" s="22" t="str">
        <f t="shared" si="3952"/>
        <v>aceptable</v>
      </c>
      <c r="BB623" s="25" t="str">
        <f t="shared" si="4055"/>
        <v>NO CONFORME</v>
      </c>
      <c r="BC623" s="5" t="str">
        <f t="shared" si="4056"/>
        <v>NO CONFORME</v>
      </c>
      <c r="BD623" s="15">
        <f t="shared" si="4038"/>
        <v>-1</v>
      </c>
      <c r="BE623" s="15">
        <f t="shared" si="4039"/>
        <v>-1</v>
      </c>
      <c r="BF623" s="15">
        <f t="shared" si="4040"/>
        <v>-1</v>
      </c>
      <c r="BG623" s="15" t="str">
        <f t="shared" si="4041"/>
        <v>-1-1-1</v>
      </c>
      <c r="BH623" s="15" t="str">
        <f t="shared" si="4042"/>
        <v>SD</v>
      </c>
      <c r="BI623" s="15" t="str">
        <f t="shared" si="4043"/>
        <v>SI</v>
      </c>
      <c r="BJ623" s="15" t="b">
        <f t="shared" si="4044"/>
        <v>1</v>
      </c>
      <c r="BK623" s="15" t="str">
        <f t="shared" si="4045"/>
        <v>SIGIGUALES</v>
      </c>
      <c r="BL623" s="22" t="str">
        <f t="shared" si="4046"/>
        <v>NO CONFORME</v>
      </c>
    </row>
    <row r="624" spans="1:64" ht="15.75" thickBot="1" x14ac:dyDescent="0.3">
      <c r="A624" s="37">
        <v>616</v>
      </c>
      <c r="B624" s="93">
        <f t="shared" ref="B624:E624" si="4316">B623</f>
        <v>45919</v>
      </c>
      <c r="C624" s="93">
        <f t="shared" si="4316"/>
        <v>45919</v>
      </c>
      <c r="D624" s="94">
        <f t="shared" si="4316"/>
        <v>6</v>
      </c>
      <c r="E624" s="95">
        <f t="shared" si="4316"/>
        <v>15</v>
      </c>
      <c r="F624" s="58"/>
      <c r="G624" s="90"/>
      <c r="H624" s="97">
        <f t="shared" ref="H624:L624" si="4317">H623</f>
        <v>25.6</v>
      </c>
      <c r="I624" s="98">
        <f t="shared" si="4317"/>
        <v>0</v>
      </c>
      <c r="J624" s="99">
        <f t="shared" si="4317"/>
        <v>20.9</v>
      </c>
      <c r="K624" s="99">
        <f t="shared" si="4317"/>
        <v>7.883</v>
      </c>
      <c r="L624" s="99">
        <f t="shared" si="4317"/>
        <v>0.55400000000000005</v>
      </c>
      <c r="M624" s="59"/>
      <c r="N624" s="59"/>
      <c r="O624" s="100">
        <f t="shared" ref="O624:P624" si="4318">O623</f>
        <v>100.62</v>
      </c>
      <c r="P624" s="101" t="str">
        <f t="shared" si="4318"/>
        <v>2,29,560</v>
      </c>
      <c r="Q624" s="11" t="str">
        <f t="shared" si="3935"/>
        <v>2</v>
      </c>
      <c r="R624" s="11" t="str">
        <f t="shared" si="3936"/>
        <v>29,560</v>
      </c>
      <c r="S624" s="11">
        <f t="shared" si="3937"/>
        <v>4.1544444444444446E-2</v>
      </c>
      <c r="T624" s="14">
        <f t="shared" si="3938"/>
        <v>2421.9844878309709</v>
      </c>
      <c r="U624" s="39">
        <f t="shared" si="4027"/>
        <v>-100</v>
      </c>
      <c r="V624" s="105">
        <f t="shared" ref="V624:X624" si="4319">V623</f>
        <v>20.399999999999999</v>
      </c>
      <c r="W624" s="105">
        <f t="shared" si="4319"/>
        <v>1.5069999999999999</v>
      </c>
      <c r="X624" s="106">
        <f t="shared" si="4319"/>
        <v>1.504</v>
      </c>
      <c r="Y624" s="59"/>
      <c r="Z624" s="59"/>
      <c r="AA624" s="107">
        <f t="shared" ref="AA624:AB624" si="4320">AA623</f>
        <v>10.015000000000001</v>
      </c>
      <c r="AB624" s="108" t="str">
        <f t="shared" si="4320"/>
        <v>22,10,090</v>
      </c>
      <c r="AC624" s="11" t="str">
        <f t="shared" si="3941"/>
        <v>22</v>
      </c>
      <c r="AD624" s="11" t="str">
        <f t="shared" si="3942"/>
        <v>10,090</v>
      </c>
      <c r="AE624" s="11">
        <f t="shared" si="3943"/>
        <v>0.36946944444444441</v>
      </c>
      <c r="AF624" s="14">
        <f t="shared" si="4030"/>
        <v>27.106436406558959</v>
      </c>
      <c r="AG624" s="41">
        <f t="shared" si="3958"/>
        <v>-100</v>
      </c>
      <c r="AH624" s="105">
        <f t="shared" ref="AH624:AJ624" si="4321">AH623</f>
        <v>20.3</v>
      </c>
      <c r="AI624" s="105">
        <f t="shared" si="4321"/>
        <v>1.5089999999999999</v>
      </c>
      <c r="AJ624" s="105">
        <f t="shared" si="4321"/>
        <v>1.504</v>
      </c>
      <c r="AK624" s="53">
        <f t="shared" si="3874"/>
        <v>0</v>
      </c>
      <c r="AL624" s="59"/>
      <c r="AM624" s="54">
        <f t="shared" ref="AM624:AN624" si="4322">AM623</f>
        <v>5.0129999999999999</v>
      </c>
      <c r="AN624" s="101" t="str">
        <f t="shared" si="4322"/>
        <v>17,59,050</v>
      </c>
      <c r="AO624" s="11" t="str">
        <f t="shared" si="3946"/>
        <v>17</v>
      </c>
      <c r="AP624" s="11" t="str">
        <f t="shared" si="3947"/>
        <v>59,050</v>
      </c>
      <c r="AQ624" s="11">
        <f t="shared" si="3948"/>
        <v>0.29973611111111109</v>
      </c>
      <c r="AR624" s="14">
        <f t="shared" si="4033"/>
        <v>16.724711551827998</v>
      </c>
      <c r="AS624" s="41">
        <f t="shared" si="4034"/>
        <v>-100</v>
      </c>
      <c r="AT624" s="43" t="str">
        <f t="shared" si="4035"/>
        <v>NO CONFORME</v>
      </c>
      <c r="AU624" s="8" t="b">
        <f t="shared" si="4054"/>
        <v>1</v>
      </c>
      <c r="AV624" s="8" t="b">
        <f t="shared" si="3949"/>
        <v>0</v>
      </c>
      <c r="AW624" s="8" t="b">
        <f t="shared" si="3950"/>
        <v>1</v>
      </c>
      <c r="AX624" s="8" t="str">
        <f t="shared" si="3951"/>
        <v>Qcorrecto</v>
      </c>
      <c r="AY624" s="22" t="str">
        <f t="shared" si="4036"/>
        <v>aceptable</v>
      </c>
      <c r="AZ624" s="22" t="str">
        <f t="shared" si="4037"/>
        <v>aceptable</v>
      </c>
      <c r="BA624" s="22" t="str">
        <f t="shared" si="3952"/>
        <v>aceptable</v>
      </c>
      <c r="BB624" s="25" t="str">
        <f t="shared" si="4055"/>
        <v>NO CONFORME</v>
      </c>
      <c r="BC624" s="5" t="str">
        <f t="shared" si="4056"/>
        <v>NO CONFORME</v>
      </c>
      <c r="BD624" s="15">
        <f t="shared" si="4038"/>
        <v>-1</v>
      </c>
      <c r="BE624" s="15">
        <f t="shared" si="4039"/>
        <v>-1</v>
      </c>
      <c r="BF624" s="15">
        <f t="shared" si="4040"/>
        <v>-1</v>
      </c>
      <c r="BG624" s="15" t="str">
        <f t="shared" si="4041"/>
        <v>-1-1-1</v>
      </c>
      <c r="BH624" s="15" t="str">
        <f t="shared" si="4042"/>
        <v>SD</v>
      </c>
      <c r="BI624" s="15" t="str">
        <f t="shared" si="4043"/>
        <v>SI</v>
      </c>
      <c r="BJ624" s="15" t="b">
        <f t="shared" si="4044"/>
        <v>1</v>
      </c>
      <c r="BK624" s="15" t="str">
        <f t="shared" si="4045"/>
        <v>SIGIGUALES</v>
      </c>
      <c r="BL624" s="22" t="str">
        <f t="shared" si="4046"/>
        <v>NO CONFORME</v>
      </c>
    </row>
    <row r="625" spans="1:64" ht="15.75" thickBot="1" x14ac:dyDescent="0.3">
      <c r="A625" s="37">
        <v>617</v>
      </c>
      <c r="B625" s="93">
        <f t="shared" ref="B625:E625" si="4323">B624</f>
        <v>45919</v>
      </c>
      <c r="C625" s="93">
        <f t="shared" si="4323"/>
        <v>45919</v>
      </c>
      <c r="D625" s="94">
        <f t="shared" si="4323"/>
        <v>6</v>
      </c>
      <c r="E625" s="95">
        <f t="shared" si="4323"/>
        <v>15</v>
      </c>
      <c r="F625" s="13"/>
      <c r="G625" s="90"/>
      <c r="H625" s="97">
        <f t="shared" ref="H625:L625" si="4324">H624</f>
        <v>25.6</v>
      </c>
      <c r="I625" s="98">
        <f t="shared" si="4324"/>
        <v>0</v>
      </c>
      <c r="J625" s="99">
        <f t="shared" si="4324"/>
        <v>20.9</v>
      </c>
      <c r="K625" s="99">
        <f t="shared" si="4324"/>
        <v>7.883</v>
      </c>
      <c r="L625" s="99">
        <f t="shared" si="4324"/>
        <v>0.55400000000000005</v>
      </c>
      <c r="M625" s="45"/>
      <c r="N625" s="45"/>
      <c r="O625" s="100">
        <f t="shared" ref="O625:P625" si="4325">O624</f>
        <v>100.62</v>
      </c>
      <c r="P625" s="101" t="str">
        <f t="shared" si="4325"/>
        <v>2,29,560</v>
      </c>
      <c r="Q625" s="11" t="str">
        <f t="shared" si="3935"/>
        <v>2</v>
      </c>
      <c r="R625" s="11" t="str">
        <f t="shared" si="3936"/>
        <v>29,560</v>
      </c>
      <c r="S625" s="11">
        <f t="shared" si="3937"/>
        <v>4.1544444444444446E-2</v>
      </c>
      <c r="T625" s="14">
        <f t="shared" si="3938"/>
        <v>2421.9844878309709</v>
      </c>
      <c r="U625" s="39">
        <f t="shared" si="4027"/>
        <v>-100</v>
      </c>
      <c r="V625" s="105">
        <f t="shared" ref="V625:X625" si="4326">V624</f>
        <v>20.399999999999999</v>
      </c>
      <c r="W625" s="105">
        <f t="shared" si="4326"/>
        <v>1.5069999999999999</v>
      </c>
      <c r="X625" s="106">
        <f t="shared" si="4326"/>
        <v>1.504</v>
      </c>
      <c r="Y625" s="45"/>
      <c r="Z625" s="45"/>
      <c r="AA625" s="107">
        <f t="shared" ref="AA625:AB625" si="4327">AA624</f>
        <v>10.015000000000001</v>
      </c>
      <c r="AB625" s="108" t="str">
        <f t="shared" si="4327"/>
        <v>22,10,090</v>
      </c>
      <c r="AC625" s="11" t="str">
        <f t="shared" si="3941"/>
        <v>22</v>
      </c>
      <c r="AD625" s="11" t="str">
        <f t="shared" si="3942"/>
        <v>10,090</v>
      </c>
      <c r="AE625" s="11">
        <f t="shared" si="3943"/>
        <v>0.36946944444444441</v>
      </c>
      <c r="AF625" s="14">
        <f t="shared" si="4030"/>
        <v>27.106436406558959</v>
      </c>
      <c r="AG625" s="41">
        <f t="shared" si="3958"/>
        <v>-100</v>
      </c>
      <c r="AH625" s="105">
        <f t="shared" ref="AH625:AJ625" si="4328">AH624</f>
        <v>20.3</v>
      </c>
      <c r="AI625" s="105">
        <f t="shared" si="4328"/>
        <v>1.5089999999999999</v>
      </c>
      <c r="AJ625" s="105">
        <f t="shared" si="4328"/>
        <v>1.504</v>
      </c>
      <c r="AK625" s="53">
        <f t="shared" si="3874"/>
        <v>0</v>
      </c>
      <c r="AL625" s="45"/>
      <c r="AM625" s="54">
        <f t="shared" ref="AM625:AN625" si="4329">AM624</f>
        <v>5.0129999999999999</v>
      </c>
      <c r="AN625" s="101" t="str">
        <f t="shared" si="4329"/>
        <v>17,59,050</v>
      </c>
      <c r="AO625" s="11" t="str">
        <f t="shared" si="3946"/>
        <v>17</v>
      </c>
      <c r="AP625" s="11" t="str">
        <f t="shared" si="3947"/>
        <v>59,050</v>
      </c>
      <c r="AQ625" s="11">
        <f t="shared" si="3948"/>
        <v>0.29973611111111109</v>
      </c>
      <c r="AR625" s="14">
        <f t="shared" si="4033"/>
        <v>16.724711551827998</v>
      </c>
      <c r="AS625" s="41">
        <f t="shared" si="4034"/>
        <v>-100</v>
      </c>
      <c r="AT625" s="43" t="str">
        <f t="shared" si="4035"/>
        <v>NO CONFORME</v>
      </c>
      <c r="AU625" s="8" t="b">
        <f t="shared" si="4054"/>
        <v>1</v>
      </c>
      <c r="AV625" s="8" t="b">
        <f t="shared" si="3949"/>
        <v>0</v>
      </c>
      <c r="AW625" s="8" t="b">
        <f t="shared" si="3950"/>
        <v>1</v>
      </c>
      <c r="AX625" s="8" t="str">
        <f t="shared" si="3951"/>
        <v>Qcorrecto</v>
      </c>
      <c r="AY625" s="22" t="str">
        <f t="shared" si="4036"/>
        <v>aceptable</v>
      </c>
      <c r="AZ625" s="22" t="str">
        <f t="shared" si="4037"/>
        <v>aceptable</v>
      </c>
      <c r="BA625" s="22" t="str">
        <f t="shared" si="3952"/>
        <v>aceptable</v>
      </c>
      <c r="BB625" s="25" t="str">
        <f t="shared" si="4055"/>
        <v>NO CONFORME</v>
      </c>
      <c r="BC625" s="5" t="str">
        <f t="shared" si="4056"/>
        <v>NO CONFORME</v>
      </c>
      <c r="BD625" s="15">
        <f t="shared" si="4038"/>
        <v>-1</v>
      </c>
      <c r="BE625" s="15">
        <f t="shared" si="4039"/>
        <v>-1</v>
      </c>
      <c r="BF625" s="15">
        <f t="shared" si="4040"/>
        <v>-1</v>
      </c>
      <c r="BG625" s="15" t="str">
        <f t="shared" si="4041"/>
        <v>-1-1-1</v>
      </c>
      <c r="BH625" s="15" t="str">
        <f t="shared" si="4042"/>
        <v>SD</v>
      </c>
      <c r="BI625" s="15" t="str">
        <f t="shared" si="4043"/>
        <v>SI</v>
      </c>
      <c r="BJ625" s="15" t="b">
        <f t="shared" si="4044"/>
        <v>1</v>
      </c>
      <c r="BK625" s="15" t="str">
        <f t="shared" si="4045"/>
        <v>SIGIGUALES</v>
      </c>
      <c r="BL625" s="22" t="str">
        <f t="shared" si="4046"/>
        <v>NO CONFORME</v>
      </c>
    </row>
    <row r="626" spans="1:64" ht="15.75" thickBot="1" x14ac:dyDescent="0.3">
      <c r="A626" s="37">
        <v>618</v>
      </c>
      <c r="B626" s="93">
        <f t="shared" ref="B626:E626" si="4330">B625</f>
        <v>45919</v>
      </c>
      <c r="C626" s="93">
        <f t="shared" si="4330"/>
        <v>45919</v>
      </c>
      <c r="D626" s="94">
        <f t="shared" si="4330"/>
        <v>6</v>
      </c>
      <c r="E626" s="95">
        <f t="shared" si="4330"/>
        <v>15</v>
      </c>
      <c r="F626" s="13"/>
      <c r="G626" s="90"/>
      <c r="H626" s="97">
        <f t="shared" ref="H626:L626" si="4331">H625</f>
        <v>25.6</v>
      </c>
      <c r="I626" s="98">
        <f t="shared" si="4331"/>
        <v>0</v>
      </c>
      <c r="J626" s="99">
        <f t="shared" si="4331"/>
        <v>20.9</v>
      </c>
      <c r="K626" s="99">
        <f t="shared" si="4331"/>
        <v>7.883</v>
      </c>
      <c r="L626" s="99">
        <f t="shared" si="4331"/>
        <v>0.55400000000000005</v>
      </c>
      <c r="M626" s="45"/>
      <c r="N626" s="45"/>
      <c r="O626" s="100">
        <f t="shared" ref="O626:P626" si="4332">O625</f>
        <v>100.62</v>
      </c>
      <c r="P626" s="101" t="str">
        <f t="shared" si="4332"/>
        <v>2,29,560</v>
      </c>
      <c r="Q626" s="11" t="str">
        <f t="shared" si="3935"/>
        <v>2</v>
      </c>
      <c r="R626" s="11" t="str">
        <f t="shared" si="3936"/>
        <v>29,560</v>
      </c>
      <c r="S626" s="11">
        <f t="shared" si="3937"/>
        <v>4.1544444444444446E-2</v>
      </c>
      <c r="T626" s="14">
        <f t="shared" si="3938"/>
        <v>2421.9844878309709</v>
      </c>
      <c r="U626" s="39">
        <f t="shared" si="4027"/>
        <v>-100</v>
      </c>
      <c r="V626" s="105">
        <f t="shared" ref="V626:X626" si="4333">V625</f>
        <v>20.399999999999999</v>
      </c>
      <c r="W626" s="105">
        <f t="shared" si="4333"/>
        <v>1.5069999999999999</v>
      </c>
      <c r="X626" s="106">
        <f t="shared" si="4333"/>
        <v>1.504</v>
      </c>
      <c r="Y626" s="45"/>
      <c r="Z626" s="45"/>
      <c r="AA626" s="107">
        <f t="shared" ref="AA626:AB626" si="4334">AA625</f>
        <v>10.015000000000001</v>
      </c>
      <c r="AB626" s="108" t="str">
        <f t="shared" si="4334"/>
        <v>22,10,090</v>
      </c>
      <c r="AC626" s="11" t="str">
        <f t="shared" si="3941"/>
        <v>22</v>
      </c>
      <c r="AD626" s="11" t="str">
        <f t="shared" si="3942"/>
        <v>10,090</v>
      </c>
      <c r="AE626" s="11">
        <f t="shared" si="3943"/>
        <v>0.36946944444444441</v>
      </c>
      <c r="AF626" s="14">
        <f t="shared" si="4030"/>
        <v>27.106436406558959</v>
      </c>
      <c r="AG626" s="41">
        <f t="shared" si="3958"/>
        <v>-100</v>
      </c>
      <c r="AH626" s="105">
        <f t="shared" ref="AH626:AJ626" si="4335">AH625</f>
        <v>20.3</v>
      </c>
      <c r="AI626" s="105">
        <f t="shared" si="4335"/>
        <v>1.5089999999999999</v>
      </c>
      <c r="AJ626" s="105">
        <f t="shared" si="4335"/>
        <v>1.504</v>
      </c>
      <c r="AK626" s="53">
        <f t="shared" si="3874"/>
        <v>0</v>
      </c>
      <c r="AL626" s="45"/>
      <c r="AM626" s="54">
        <f t="shared" ref="AM626:AN626" si="4336">AM625</f>
        <v>5.0129999999999999</v>
      </c>
      <c r="AN626" s="101" t="str">
        <f t="shared" si="4336"/>
        <v>17,59,050</v>
      </c>
      <c r="AO626" s="11" t="str">
        <f t="shared" si="3946"/>
        <v>17</v>
      </c>
      <c r="AP626" s="11" t="str">
        <f t="shared" si="3947"/>
        <v>59,050</v>
      </c>
      <c r="AQ626" s="11">
        <f t="shared" si="3948"/>
        <v>0.29973611111111109</v>
      </c>
      <c r="AR626" s="14">
        <f t="shared" si="4033"/>
        <v>16.724711551827998</v>
      </c>
      <c r="AS626" s="41">
        <f t="shared" si="4034"/>
        <v>-100</v>
      </c>
      <c r="AT626" s="43" t="str">
        <f t="shared" si="4035"/>
        <v>NO CONFORME</v>
      </c>
      <c r="AU626" s="8" t="b">
        <f t="shared" si="4054"/>
        <v>1</v>
      </c>
      <c r="AV626" s="8" t="b">
        <f t="shared" si="3949"/>
        <v>0</v>
      </c>
      <c r="AW626" s="8" t="b">
        <f t="shared" si="3950"/>
        <v>1</v>
      </c>
      <c r="AX626" s="8" t="str">
        <f t="shared" si="3951"/>
        <v>Qcorrecto</v>
      </c>
      <c r="AY626" s="22" t="str">
        <f t="shared" si="4036"/>
        <v>aceptable</v>
      </c>
      <c r="AZ626" s="22" t="str">
        <f t="shared" si="4037"/>
        <v>aceptable</v>
      </c>
      <c r="BA626" s="22" t="str">
        <f t="shared" si="3952"/>
        <v>aceptable</v>
      </c>
      <c r="BB626" s="25" t="str">
        <f t="shared" si="4055"/>
        <v>NO CONFORME</v>
      </c>
      <c r="BC626" s="5" t="str">
        <f t="shared" si="4056"/>
        <v>NO CONFORME</v>
      </c>
      <c r="BD626" s="15">
        <f t="shared" si="4038"/>
        <v>-1</v>
      </c>
      <c r="BE626" s="15">
        <f t="shared" si="4039"/>
        <v>-1</v>
      </c>
      <c r="BF626" s="15">
        <f t="shared" si="4040"/>
        <v>-1</v>
      </c>
      <c r="BG626" s="15" t="str">
        <f t="shared" si="4041"/>
        <v>-1-1-1</v>
      </c>
      <c r="BH626" s="15" t="str">
        <f t="shared" si="4042"/>
        <v>SD</v>
      </c>
      <c r="BI626" s="15" t="str">
        <f t="shared" si="4043"/>
        <v>SI</v>
      </c>
      <c r="BJ626" s="15" t="b">
        <f t="shared" si="4044"/>
        <v>1</v>
      </c>
      <c r="BK626" s="15" t="str">
        <f t="shared" si="4045"/>
        <v>SIGIGUALES</v>
      </c>
      <c r="BL626" s="22" t="str">
        <f t="shared" si="4046"/>
        <v>NO CONFORME</v>
      </c>
    </row>
    <row r="627" spans="1:64" ht="15.75" thickBot="1" x14ac:dyDescent="0.3">
      <c r="A627" s="37">
        <v>619</v>
      </c>
      <c r="B627" s="93">
        <f t="shared" ref="B627:E627" si="4337">B626</f>
        <v>45919</v>
      </c>
      <c r="C627" s="93">
        <f t="shared" si="4337"/>
        <v>45919</v>
      </c>
      <c r="D627" s="94">
        <f t="shared" si="4337"/>
        <v>6</v>
      </c>
      <c r="E627" s="95">
        <f t="shared" si="4337"/>
        <v>15</v>
      </c>
      <c r="F627" s="13"/>
      <c r="G627" s="90"/>
      <c r="H627" s="97">
        <f t="shared" ref="H627:L627" si="4338">H626</f>
        <v>25.6</v>
      </c>
      <c r="I627" s="98">
        <f t="shared" si="4338"/>
        <v>0</v>
      </c>
      <c r="J627" s="99">
        <f t="shared" si="4338"/>
        <v>20.9</v>
      </c>
      <c r="K627" s="99">
        <f t="shared" si="4338"/>
        <v>7.883</v>
      </c>
      <c r="L627" s="99">
        <f t="shared" si="4338"/>
        <v>0.55400000000000005</v>
      </c>
      <c r="M627" s="45"/>
      <c r="N627" s="45"/>
      <c r="O627" s="100">
        <f t="shared" ref="O627:P627" si="4339">O626</f>
        <v>100.62</v>
      </c>
      <c r="P627" s="101" t="str">
        <f t="shared" si="4339"/>
        <v>2,29,560</v>
      </c>
      <c r="Q627" s="11" t="str">
        <f t="shared" si="3935"/>
        <v>2</v>
      </c>
      <c r="R627" s="11" t="str">
        <f t="shared" si="3936"/>
        <v>29,560</v>
      </c>
      <c r="S627" s="11">
        <f t="shared" si="3937"/>
        <v>4.1544444444444446E-2</v>
      </c>
      <c r="T627" s="14">
        <f t="shared" si="3938"/>
        <v>2421.9844878309709</v>
      </c>
      <c r="U627" s="39">
        <f t="shared" si="4027"/>
        <v>-100</v>
      </c>
      <c r="V627" s="105">
        <f t="shared" ref="V627:X627" si="4340">V626</f>
        <v>20.399999999999999</v>
      </c>
      <c r="W627" s="105">
        <f t="shared" si="4340"/>
        <v>1.5069999999999999</v>
      </c>
      <c r="X627" s="106">
        <f t="shared" si="4340"/>
        <v>1.504</v>
      </c>
      <c r="Y627" s="45"/>
      <c r="Z627" s="45"/>
      <c r="AA627" s="107">
        <f t="shared" ref="AA627:AB627" si="4341">AA626</f>
        <v>10.015000000000001</v>
      </c>
      <c r="AB627" s="108" t="str">
        <f t="shared" si="4341"/>
        <v>22,10,090</v>
      </c>
      <c r="AC627" s="11" t="str">
        <f t="shared" si="3941"/>
        <v>22</v>
      </c>
      <c r="AD627" s="11" t="str">
        <f t="shared" si="3942"/>
        <v>10,090</v>
      </c>
      <c r="AE627" s="11">
        <f t="shared" si="3943"/>
        <v>0.36946944444444441</v>
      </c>
      <c r="AF627" s="14">
        <f t="shared" si="4030"/>
        <v>27.106436406558959</v>
      </c>
      <c r="AG627" s="41">
        <f t="shared" si="3958"/>
        <v>-100</v>
      </c>
      <c r="AH627" s="105">
        <f t="shared" ref="AH627:AJ627" si="4342">AH626</f>
        <v>20.3</v>
      </c>
      <c r="AI627" s="105">
        <f t="shared" si="4342"/>
        <v>1.5089999999999999</v>
      </c>
      <c r="AJ627" s="105">
        <f t="shared" si="4342"/>
        <v>1.504</v>
      </c>
      <c r="AK627" s="53">
        <f t="shared" si="3874"/>
        <v>0</v>
      </c>
      <c r="AL627" s="45"/>
      <c r="AM627" s="54">
        <f t="shared" ref="AM627:AN627" si="4343">AM626</f>
        <v>5.0129999999999999</v>
      </c>
      <c r="AN627" s="101" t="str">
        <f t="shared" si="4343"/>
        <v>17,59,050</v>
      </c>
      <c r="AO627" s="11" t="str">
        <f t="shared" si="3946"/>
        <v>17</v>
      </c>
      <c r="AP627" s="11" t="str">
        <f t="shared" si="3947"/>
        <v>59,050</v>
      </c>
      <c r="AQ627" s="11">
        <f t="shared" si="3948"/>
        <v>0.29973611111111109</v>
      </c>
      <c r="AR627" s="14">
        <f t="shared" si="4033"/>
        <v>16.724711551827998</v>
      </c>
      <c r="AS627" s="41">
        <f t="shared" si="4034"/>
        <v>-100</v>
      </c>
      <c r="AT627" s="43" t="str">
        <f t="shared" si="4035"/>
        <v>NO CONFORME</v>
      </c>
      <c r="AU627" s="8" t="b">
        <f t="shared" si="4054"/>
        <v>1</v>
      </c>
      <c r="AV627" s="8" t="b">
        <f t="shared" si="3949"/>
        <v>0</v>
      </c>
      <c r="AW627" s="8" t="b">
        <f t="shared" si="3950"/>
        <v>1</v>
      </c>
      <c r="AX627" s="8" t="str">
        <f t="shared" si="3951"/>
        <v>Qcorrecto</v>
      </c>
      <c r="AY627" s="22" t="str">
        <f t="shared" si="4036"/>
        <v>aceptable</v>
      </c>
      <c r="AZ627" s="22" t="str">
        <f t="shared" si="4037"/>
        <v>aceptable</v>
      </c>
      <c r="BA627" s="22" t="str">
        <f t="shared" si="3952"/>
        <v>aceptable</v>
      </c>
      <c r="BB627" s="25" t="str">
        <f t="shared" si="4055"/>
        <v>NO CONFORME</v>
      </c>
      <c r="BC627" s="5" t="str">
        <f t="shared" si="4056"/>
        <v>NO CONFORME</v>
      </c>
      <c r="BD627" s="15">
        <f t="shared" si="4038"/>
        <v>-1</v>
      </c>
      <c r="BE627" s="15">
        <f t="shared" si="4039"/>
        <v>-1</v>
      </c>
      <c r="BF627" s="15">
        <f t="shared" si="4040"/>
        <v>-1</v>
      </c>
      <c r="BG627" s="15" t="str">
        <f t="shared" si="4041"/>
        <v>-1-1-1</v>
      </c>
      <c r="BH627" s="15" t="str">
        <f t="shared" si="4042"/>
        <v>SD</v>
      </c>
      <c r="BI627" s="15" t="str">
        <f t="shared" si="4043"/>
        <v>SI</v>
      </c>
      <c r="BJ627" s="15" t="b">
        <f t="shared" si="4044"/>
        <v>1</v>
      </c>
      <c r="BK627" s="15" t="str">
        <f t="shared" si="4045"/>
        <v>SIGIGUALES</v>
      </c>
      <c r="BL627" s="22" t="str">
        <f t="shared" si="4046"/>
        <v>NO CONFORME</v>
      </c>
    </row>
    <row r="628" spans="1:64" ht="15.75" thickBot="1" x14ac:dyDescent="0.3">
      <c r="A628" s="37">
        <v>620</v>
      </c>
      <c r="B628" s="93">
        <f t="shared" ref="B628:E628" si="4344">B627</f>
        <v>45919</v>
      </c>
      <c r="C628" s="93">
        <f t="shared" si="4344"/>
        <v>45919</v>
      </c>
      <c r="D628" s="94">
        <f t="shared" si="4344"/>
        <v>6</v>
      </c>
      <c r="E628" s="95">
        <f t="shared" si="4344"/>
        <v>15</v>
      </c>
      <c r="F628" s="13"/>
      <c r="G628" s="90"/>
      <c r="H628" s="97">
        <f t="shared" ref="H628:L628" si="4345">H627</f>
        <v>25.6</v>
      </c>
      <c r="I628" s="98">
        <f t="shared" si="4345"/>
        <v>0</v>
      </c>
      <c r="J628" s="99">
        <f t="shared" si="4345"/>
        <v>20.9</v>
      </c>
      <c r="K628" s="99">
        <f t="shared" si="4345"/>
        <v>7.883</v>
      </c>
      <c r="L628" s="99">
        <f t="shared" si="4345"/>
        <v>0.55400000000000005</v>
      </c>
      <c r="M628" s="45"/>
      <c r="N628" s="45"/>
      <c r="O628" s="100">
        <f t="shared" ref="O628:P628" si="4346">O627</f>
        <v>100.62</v>
      </c>
      <c r="P628" s="101" t="str">
        <f t="shared" si="4346"/>
        <v>2,29,560</v>
      </c>
      <c r="Q628" s="11" t="str">
        <f t="shared" si="3935"/>
        <v>2</v>
      </c>
      <c r="R628" s="11" t="str">
        <f t="shared" si="3936"/>
        <v>29,560</v>
      </c>
      <c r="S628" s="11">
        <f t="shared" si="3937"/>
        <v>4.1544444444444446E-2</v>
      </c>
      <c r="T628" s="14">
        <f t="shared" si="3938"/>
        <v>2421.9844878309709</v>
      </c>
      <c r="U628" s="39">
        <f t="shared" si="4027"/>
        <v>-100</v>
      </c>
      <c r="V628" s="105">
        <f t="shared" ref="V628:X628" si="4347">V627</f>
        <v>20.399999999999999</v>
      </c>
      <c r="W628" s="105">
        <f t="shared" si="4347"/>
        <v>1.5069999999999999</v>
      </c>
      <c r="X628" s="106">
        <f t="shared" si="4347"/>
        <v>1.504</v>
      </c>
      <c r="Y628" s="45"/>
      <c r="Z628" s="45"/>
      <c r="AA628" s="107">
        <f t="shared" ref="AA628:AB628" si="4348">AA627</f>
        <v>10.015000000000001</v>
      </c>
      <c r="AB628" s="108" t="str">
        <f t="shared" si="4348"/>
        <v>22,10,090</v>
      </c>
      <c r="AC628" s="11" t="str">
        <f t="shared" si="3941"/>
        <v>22</v>
      </c>
      <c r="AD628" s="11" t="str">
        <f t="shared" si="3942"/>
        <v>10,090</v>
      </c>
      <c r="AE628" s="11">
        <f t="shared" si="3943"/>
        <v>0.36946944444444441</v>
      </c>
      <c r="AF628" s="14">
        <f t="shared" si="4030"/>
        <v>27.106436406558959</v>
      </c>
      <c r="AG628" s="41">
        <f t="shared" si="3958"/>
        <v>-100</v>
      </c>
      <c r="AH628" s="105">
        <f t="shared" ref="AH628:AJ628" si="4349">AH627</f>
        <v>20.3</v>
      </c>
      <c r="AI628" s="105">
        <f t="shared" si="4349"/>
        <v>1.5089999999999999</v>
      </c>
      <c r="AJ628" s="105">
        <f t="shared" si="4349"/>
        <v>1.504</v>
      </c>
      <c r="AK628" s="53">
        <f t="shared" si="3874"/>
        <v>0</v>
      </c>
      <c r="AL628" s="45"/>
      <c r="AM628" s="54">
        <f t="shared" ref="AM628:AN628" si="4350">AM627</f>
        <v>5.0129999999999999</v>
      </c>
      <c r="AN628" s="101" t="str">
        <f t="shared" si="4350"/>
        <v>17,59,050</v>
      </c>
      <c r="AO628" s="11" t="str">
        <f t="shared" si="3946"/>
        <v>17</v>
      </c>
      <c r="AP628" s="11" t="str">
        <f t="shared" si="3947"/>
        <v>59,050</v>
      </c>
      <c r="AQ628" s="11">
        <f t="shared" si="3948"/>
        <v>0.29973611111111109</v>
      </c>
      <c r="AR628" s="14">
        <f t="shared" si="4033"/>
        <v>16.724711551827998</v>
      </c>
      <c r="AS628" s="41">
        <f t="shared" si="4034"/>
        <v>-100</v>
      </c>
      <c r="AT628" s="43" t="str">
        <f t="shared" si="4035"/>
        <v>NO CONFORME</v>
      </c>
      <c r="AU628" s="8" t="b">
        <f t="shared" si="4054"/>
        <v>1</v>
      </c>
      <c r="AV628" s="8" t="b">
        <f t="shared" si="3949"/>
        <v>0</v>
      </c>
      <c r="AW628" s="8" t="b">
        <f t="shared" si="3950"/>
        <v>1</v>
      </c>
      <c r="AX628" s="8" t="str">
        <f t="shared" si="3951"/>
        <v>Qcorrecto</v>
      </c>
      <c r="AY628" s="22" t="str">
        <f t="shared" si="4036"/>
        <v>aceptable</v>
      </c>
      <c r="AZ628" s="22" t="str">
        <f t="shared" si="4037"/>
        <v>aceptable</v>
      </c>
      <c r="BA628" s="22" t="str">
        <f t="shared" si="3952"/>
        <v>aceptable</v>
      </c>
      <c r="BB628" s="25" t="str">
        <f t="shared" si="4055"/>
        <v>NO CONFORME</v>
      </c>
      <c r="BC628" s="5" t="str">
        <f t="shared" si="4056"/>
        <v>NO CONFORME</v>
      </c>
      <c r="BD628" s="15">
        <f t="shared" si="4038"/>
        <v>-1</v>
      </c>
      <c r="BE628" s="15">
        <f t="shared" si="4039"/>
        <v>-1</v>
      </c>
      <c r="BF628" s="15">
        <f t="shared" si="4040"/>
        <v>-1</v>
      </c>
      <c r="BG628" s="15" t="str">
        <f t="shared" si="4041"/>
        <v>-1-1-1</v>
      </c>
      <c r="BH628" s="15" t="str">
        <f t="shared" si="4042"/>
        <v>SD</v>
      </c>
      <c r="BI628" s="15" t="str">
        <f t="shared" si="4043"/>
        <v>SI</v>
      </c>
      <c r="BJ628" s="15" t="b">
        <f t="shared" si="4044"/>
        <v>1</v>
      </c>
      <c r="BK628" s="15" t="str">
        <f t="shared" si="4045"/>
        <v>SIGIGUALES</v>
      </c>
      <c r="BL628" s="22" t="str">
        <f t="shared" si="4046"/>
        <v>NO CONFORME</v>
      </c>
    </row>
    <row r="629" spans="1:64" ht="15.75" thickBot="1" x14ac:dyDescent="0.3">
      <c r="A629" s="37">
        <v>621</v>
      </c>
      <c r="B629" s="93">
        <f t="shared" ref="B629:E629" si="4351">B628</f>
        <v>45919</v>
      </c>
      <c r="C629" s="93">
        <f t="shared" si="4351"/>
        <v>45919</v>
      </c>
      <c r="D629" s="94">
        <f t="shared" si="4351"/>
        <v>6</v>
      </c>
      <c r="E629" s="95">
        <f t="shared" si="4351"/>
        <v>15</v>
      </c>
      <c r="F629" s="13"/>
      <c r="G629" s="90"/>
      <c r="H629" s="97">
        <f t="shared" ref="H629:L629" si="4352">H628</f>
        <v>25.6</v>
      </c>
      <c r="I629" s="98">
        <f t="shared" si="4352"/>
        <v>0</v>
      </c>
      <c r="J629" s="99">
        <f t="shared" si="4352"/>
        <v>20.9</v>
      </c>
      <c r="K629" s="99">
        <f t="shared" si="4352"/>
        <v>7.883</v>
      </c>
      <c r="L629" s="99">
        <f t="shared" si="4352"/>
        <v>0.55400000000000005</v>
      </c>
      <c r="M629" s="45"/>
      <c r="N629" s="45"/>
      <c r="O629" s="100">
        <f t="shared" ref="O629:P629" si="4353">O628</f>
        <v>100.62</v>
      </c>
      <c r="P629" s="101" t="str">
        <f t="shared" si="4353"/>
        <v>2,29,560</v>
      </c>
      <c r="Q629" s="11" t="str">
        <f t="shared" si="3935"/>
        <v>2</v>
      </c>
      <c r="R629" s="11" t="str">
        <f t="shared" si="3936"/>
        <v>29,560</v>
      </c>
      <c r="S629" s="11">
        <f t="shared" si="3937"/>
        <v>4.1544444444444446E-2</v>
      </c>
      <c r="T629" s="14">
        <f t="shared" si="3938"/>
        <v>2421.9844878309709</v>
      </c>
      <c r="U629" s="39">
        <f t="shared" si="4027"/>
        <v>-100</v>
      </c>
      <c r="V629" s="105">
        <f t="shared" ref="V629:X629" si="4354">V628</f>
        <v>20.399999999999999</v>
      </c>
      <c r="W629" s="105">
        <f t="shared" si="4354"/>
        <v>1.5069999999999999</v>
      </c>
      <c r="X629" s="106">
        <f t="shared" si="4354"/>
        <v>1.504</v>
      </c>
      <c r="Y629" s="45"/>
      <c r="Z629" s="45"/>
      <c r="AA629" s="107">
        <f t="shared" ref="AA629:AB629" si="4355">AA628</f>
        <v>10.015000000000001</v>
      </c>
      <c r="AB629" s="108" t="str">
        <f t="shared" si="4355"/>
        <v>22,10,090</v>
      </c>
      <c r="AC629" s="11" t="str">
        <f t="shared" si="3941"/>
        <v>22</v>
      </c>
      <c r="AD629" s="11" t="str">
        <f t="shared" si="3942"/>
        <v>10,090</v>
      </c>
      <c r="AE629" s="11">
        <f t="shared" si="3943"/>
        <v>0.36946944444444441</v>
      </c>
      <c r="AF629" s="14">
        <f t="shared" si="4030"/>
        <v>27.106436406558959</v>
      </c>
      <c r="AG629" s="41">
        <f t="shared" si="3958"/>
        <v>-100</v>
      </c>
      <c r="AH629" s="105">
        <f t="shared" ref="AH629:AJ629" si="4356">AH628</f>
        <v>20.3</v>
      </c>
      <c r="AI629" s="105">
        <f t="shared" si="4356"/>
        <v>1.5089999999999999</v>
      </c>
      <c r="AJ629" s="105">
        <f t="shared" si="4356"/>
        <v>1.504</v>
      </c>
      <c r="AK629" s="53">
        <f t="shared" ref="AK629:AK692" si="4357">Z629</f>
        <v>0</v>
      </c>
      <c r="AL629" s="45"/>
      <c r="AM629" s="54">
        <f t="shared" ref="AM629:AN629" si="4358">AM628</f>
        <v>5.0129999999999999</v>
      </c>
      <c r="AN629" s="101" t="str">
        <f t="shared" si="4358"/>
        <v>17,59,050</v>
      </c>
      <c r="AO629" s="11" t="str">
        <f t="shared" si="3946"/>
        <v>17</v>
      </c>
      <c r="AP629" s="11" t="str">
        <f t="shared" si="3947"/>
        <v>59,050</v>
      </c>
      <c r="AQ629" s="11">
        <f t="shared" si="3948"/>
        <v>0.29973611111111109</v>
      </c>
      <c r="AR629" s="14">
        <f t="shared" si="4033"/>
        <v>16.724711551827998</v>
      </c>
      <c r="AS629" s="41">
        <f t="shared" si="4034"/>
        <v>-100</v>
      </c>
      <c r="AT629" s="43" t="str">
        <f t="shared" si="4035"/>
        <v>NO CONFORME</v>
      </c>
      <c r="AU629" s="8" t="b">
        <f t="shared" si="4054"/>
        <v>1</v>
      </c>
      <c r="AV629" s="8" t="b">
        <f t="shared" si="3949"/>
        <v>0</v>
      </c>
      <c r="AW629" s="8" t="b">
        <f t="shared" si="3950"/>
        <v>1</v>
      </c>
      <c r="AX629" s="8" t="str">
        <f t="shared" si="3951"/>
        <v>Qcorrecto</v>
      </c>
      <c r="AY629" s="22" t="str">
        <f t="shared" si="4036"/>
        <v>aceptable</v>
      </c>
      <c r="AZ629" s="22" t="str">
        <f t="shared" si="4037"/>
        <v>aceptable</v>
      </c>
      <c r="BA629" s="22" t="str">
        <f t="shared" si="3952"/>
        <v>aceptable</v>
      </c>
      <c r="BB629" s="25" t="str">
        <f t="shared" si="4055"/>
        <v>NO CONFORME</v>
      </c>
      <c r="BC629" s="5" t="str">
        <f t="shared" si="4056"/>
        <v>NO CONFORME</v>
      </c>
      <c r="BD629" s="15">
        <f t="shared" si="4038"/>
        <v>-1</v>
      </c>
      <c r="BE629" s="15">
        <f t="shared" si="4039"/>
        <v>-1</v>
      </c>
      <c r="BF629" s="15">
        <f t="shared" si="4040"/>
        <v>-1</v>
      </c>
      <c r="BG629" s="15" t="str">
        <f t="shared" si="4041"/>
        <v>-1-1-1</v>
      </c>
      <c r="BH629" s="15" t="str">
        <f t="shared" si="4042"/>
        <v>SD</v>
      </c>
      <c r="BI629" s="15" t="str">
        <f t="shared" si="4043"/>
        <v>SI</v>
      </c>
      <c r="BJ629" s="15" t="b">
        <f t="shared" si="4044"/>
        <v>1</v>
      </c>
      <c r="BK629" s="15" t="str">
        <f t="shared" si="4045"/>
        <v>SIGIGUALES</v>
      </c>
      <c r="BL629" s="22" t="str">
        <f t="shared" si="4046"/>
        <v>NO CONFORME</v>
      </c>
    </row>
    <row r="630" spans="1:64" ht="15.75" thickBot="1" x14ac:dyDescent="0.3">
      <c r="A630" s="37">
        <v>622</v>
      </c>
      <c r="B630" s="93">
        <f t="shared" ref="B630:E630" si="4359">B629</f>
        <v>45919</v>
      </c>
      <c r="C630" s="93">
        <f t="shared" si="4359"/>
        <v>45919</v>
      </c>
      <c r="D630" s="94">
        <f t="shared" si="4359"/>
        <v>6</v>
      </c>
      <c r="E630" s="95">
        <f t="shared" si="4359"/>
        <v>15</v>
      </c>
      <c r="F630" s="13"/>
      <c r="G630" s="90"/>
      <c r="H630" s="97">
        <f t="shared" ref="H630:L630" si="4360">H629</f>
        <v>25.6</v>
      </c>
      <c r="I630" s="98">
        <f t="shared" si="4360"/>
        <v>0</v>
      </c>
      <c r="J630" s="99">
        <f t="shared" si="4360"/>
        <v>20.9</v>
      </c>
      <c r="K630" s="99">
        <f t="shared" si="4360"/>
        <v>7.883</v>
      </c>
      <c r="L630" s="99">
        <f t="shared" si="4360"/>
        <v>0.55400000000000005</v>
      </c>
      <c r="M630" s="45"/>
      <c r="N630" s="45"/>
      <c r="O630" s="100">
        <f t="shared" ref="O630:P630" si="4361">O629</f>
        <v>100.62</v>
      </c>
      <c r="P630" s="101" t="str">
        <f t="shared" si="4361"/>
        <v>2,29,560</v>
      </c>
      <c r="Q630" s="11" t="str">
        <f t="shared" si="3935"/>
        <v>2</v>
      </c>
      <c r="R630" s="11" t="str">
        <f t="shared" si="3936"/>
        <v>29,560</v>
      </c>
      <c r="S630" s="11">
        <f t="shared" si="3937"/>
        <v>4.1544444444444446E-2</v>
      </c>
      <c r="T630" s="14">
        <f t="shared" si="3938"/>
        <v>2421.9844878309709</v>
      </c>
      <c r="U630" s="39">
        <f t="shared" si="4027"/>
        <v>-100</v>
      </c>
      <c r="V630" s="105">
        <f t="shared" ref="V630:X630" si="4362">V629</f>
        <v>20.399999999999999</v>
      </c>
      <c r="W630" s="105">
        <f t="shared" si="4362"/>
        <v>1.5069999999999999</v>
      </c>
      <c r="X630" s="106">
        <f t="shared" si="4362"/>
        <v>1.504</v>
      </c>
      <c r="Y630" s="45"/>
      <c r="Z630" s="45"/>
      <c r="AA630" s="107">
        <f t="shared" ref="AA630:AB630" si="4363">AA629</f>
        <v>10.015000000000001</v>
      </c>
      <c r="AB630" s="108" t="str">
        <f t="shared" si="4363"/>
        <v>22,10,090</v>
      </c>
      <c r="AC630" s="11" t="str">
        <f t="shared" si="3941"/>
        <v>22</v>
      </c>
      <c r="AD630" s="11" t="str">
        <f t="shared" si="3942"/>
        <v>10,090</v>
      </c>
      <c r="AE630" s="11">
        <f t="shared" si="3943"/>
        <v>0.36946944444444441</v>
      </c>
      <c r="AF630" s="14">
        <f t="shared" si="4030"/>
        <v>27.106436406558959</v>
      </c>
      <c r="AG630" s="41">
        <f t="shared" si="3958"/>
        <v>-100</v>
      </c>
      <c r="AH630" s="105">
        <f t="shared" ref="AH630:AJ630" si="4364">AH629</f>
        <v>20.3</v>
      </c>
      <c r="AI630" s="105">
        <f t="shared" si="4364"/>
        <v>1.5089999999999999</v>
      </c>
      <c r="AJ630" s="105">
        <f t="shared" si="4364"/>
        <v>1.504</v>
      </c>
      <c r="AK630" s="53">
        <f t="shared" si="4357"/>
        <v>0</v>
      </c>
      <c r="AL630" s="45"/>
      <c r="AM630" s="54">
        <f t="shared" ref="AM630:AN630" si="4365">AM629</f>
        <v>5.0129999999999999</v>
      </c>
      <c r="AN630" s="101" t="str">
        <f t="shared" si="4365"/>
        <v>17,59,050</v>
      </c>
      <c r="AO630" s="11" t="str">
        <f t="shared" si="3946"/>
        <v>17</v>
      </c>
      <c r="AP630" s="11" t="str">
        <f t="shared" si="3947"/>
        <v>59,050</v>
      </c>
      <c r="AQ630" s="11">
        <f t="shared" si="3948"/>
        <v>0.29973611111111109</v>
      </c>
      <c r="AR630" s="14">
        <f t="shared" si="4033"/>
        <v>16.724711551827998</v>
      </c>
      <c r="AS630" s="41">
        <f t="shared" si="4034"/>
        <v>-100</v>
      </c>
      <c r="AT630" s="43" t="str">
        <f t="shared" si="4035"/>
        <v>NO CONFORME</v>
      </c>
      <c r="AU630" s="8" t="b">
        <f t="shared" si="4054"/>
        <v>1</v>
      </c>
      <c r="AV630" s="8" t="b">
        <f t="shared" si="3949"/>
        <v>0</v>
      </c>
      <c r="AW630" s="8" t="b">
        <f t="shared" si="3950"/>
        <v>1</v>
      </c>
      <c r="AX630" s="8" t="str">
        <f t="shared" si="3951"/>
        <v>Qcorrecto</v>
      </c>
      <c r="AY630" s="22" t="str">
        <f t="shared" si="4036"/>
        <v>aceptable</v>
      </c>
      <c r="AZ630" s="22" t="str">
        <f t="shared" si="4037"/>
        <v>aceptable</v>
      </c>
      <c r="BA630" s="22" t="str">
        <f t="shared" si="3952"/>
        <v>aceptable</v>
      </c>
      <c r="BB630" s="25" t="str">
        <f t="shared" si="4055"/>
        <v>NO CONFORME</v>
      </c>
      <c r="BC630" s="5" t="str">
        <f t="shared" si="4056"/>
        <v>NO CONFORME</v>
      </c>
      <c r="BD630" s="15">
        <f t="shared" si="4038"/>
        <v>-1</v>
      </c>
      <c r="BE630" s="15">
        <f t="shared" si="4039"/>
        <v>-1</v>
      </c>
      <c r="BF630" s="15">
        <f t="shared" si="4040"/>
        <v>-1</v>
      </c>
      <c r="BG630" s="15" t="str">
        <f t="shared" si="4041"/>
        <v>-1-1-1</v>
      </c>
      <c r="BH630" s="15" t="str">
        <f t="shared" si="4042"/>
        <v>SD</v>
      </c>
      <c r="BI630" s="15" t="str">
        <f t="shared" si="4043"/>
        <v>SI</v>
      </c>
      <c r="BJ630" s="15" t="b">
        <f t="shared" si="4044"/>
        <v>1</v>
      </c>
      <c r="BK630" s="15" t="str">
        <f t="shared" si="4045"/>
        <v>SIGIGUALES</v>
      </c>
      <c r="BL630" s="22" t="str">
        <f t="shared" si="4046"/>
        <v>NO CONFORME</v>
      </c>
    </row>
    <row r="631" spans="1:64" ht="15.75" thickBot="1" x14ac:dyDescent="0.3">
      <c r="A631" s="37">
        <v>623</v>
      </c>
      <c r="B631" s="93">
        <f t="shared" ref="B631:E631" si="4366">B630</f>
        <v>45919</v>
      </c>
      <c r="C631" s="93">
        <f t="shared" si="4366"/>
        <v>45919</v>
      </c>
      <c r="D631" s="94">
        <f t="shared" si="4366"/>
        <v>6</v>
      </c>
      <c r="E631" s="95">
        <f t="shared" si="4366"/>
        <v>15</v>
      </c>
      <c r="F631" s="13"/>
      <c r="G631" s="90"/>
      <c r="H631" s="97">
        <f t="shared" ref="H631:L631" si="4367">H630</f>
        <v>25.6</v>
      </c>
      <c r="I631" s="98">
        <f t="shared" si="4367"/>
        <v>0</v>
      </c>
      <c r="J631" s="99">
        <f t="shared" si="4367"/>
        <v>20.9</v>
      </c>
      <c r="K631" s="99">
        <f t="shared" si="4367"/>
        <v>7.883</v>
      </c>
      <c r="L631" s="99">
        <f t="shared" si="4367"/>
        <v>0.55400000000000005</v>
      </c>
      <c r="M631" s="45"/>
      <c r="N631" s="45"/>
      <c r="O631" s="100">
        <f t="shared" ref="O631:P631" si="4368">O630</f>
        <v>100.62</v>
      </c>
      <c r="P631" s="101" t="str">
        <f t="shared" si="4368"/>
        <v>2,29,560</v>
      </c>
      <c r="Q631" s="11" t="str">
        <f t="shared" si="3935"/>
        <v>2</v>
      </c>
      <c r="R631" s="11" t="str">
        <f t="shared" si="3936"/>
        <v>29,560</v>
      </c>
      <c r="S631" s="11">
        <f t="shared" si="3937"/>
        <v>4.1544444444444446E-2</v>
      </c>
      <c r="T631" s="14">
        <f t="shared" si="3938"/>
        <v>2421.9844878309709</v>
      </c>
      <c r="U631" s="39">
        <f t="shared" si="4027"/>
        <v>-100</v>
      </c>
      <c r="V631" s="105">
        <f t="shared" ref="V631:X631" si="4369">V630</f>
        <v>20.399999999999999</v>
      </c>
      <c r="W631" s="105">
        <f t="shared" si="4369"/>
        <v>1.5069999999999999</v>
      </c>
      <c r="X631" s="106">
        <f t="shared" si="4369"/>
        <v>1.504</v>
      </c>
      <c r="Y631" s="45"/>
      <c r="Z631" s="45"/>
      <c r="AA631" s="107">
        <f t="shared" ref="AA631:AB631" si="4370">AA630</f>
        <v>10.015000000000001</v>
      </c>
      <c r="AB631" s="108" t="str">
        <f t="shared" si="4370"/>
        <v>22,10,090</v>
      </c>
      <c r="AC631" s="11" t="str">
        <f t="shared" si="3941"/>
        <v>22</v>
      </c>
      <c r="AD631" s="11" t="str">
        <f t="shared" si="3942"/>
        <v>10,090</v>
      </c>
      <c r="AE631" s="11">
        <f t="shared" si="3943"/>
        <v>0.36946944444444441</v>
      </c>
      <c r="AF631" s="14">
        <f t="shared" si="4030"/>
        <v>27.106436406558959</v>
      </c>
      <c r="AG631" s="41">
        <f t="shared" si="3958"/>
        <v>-100</v>
      </c>
      <c r="AH631" s="105">
        <f t="shared" ref="AH631:AJ631" si="4371">AH630</f>
        <v>20.3</v>
      </c>
      <c r="AI631" s="105">
        <f t="shared" si="4371"/>
        <v>1.5089999999999999</v>
      </c>
      <c r="AJ631" s="105">
        <f t="shared" si="4371"/>
        <v>1.504</v>
      </c>
      <c r="AK631" s="53">
        <f t="shared" si="4357"/>
        <v>0</v>
      </c>
      <c r="AL631" s="45"/>
      <c r="AM631" s="54">
        <f t="shared" ref="AM631:AN631" si="4372">AM630</f>
        <v>5.0129999999999999</v>
      </c>
      <c r="AN631" s="101" t="str">
        <f t="shared" si="4372"/>
        <v>17,59,050</v>
      </c>
      <c r="AO631" s="11" t="str">
        <f t="shared" si="3946"/>
        <v>17</v>
      </c>
      <c r="AP631" s="11" t="str">
        <f t="shared" si="3947"/>
        <v>59,050</v>
      </c>
      <c r="AQ631" s="11">
        <f t="shared" si="3948"/>
        <v>0.29973611111111109</v>
      </c>
      <c r="AR631" s="14">
        <f t="shared" si="4033"/>
        <v>16.724711551827998</v>
      </c>
      <c r="AS631" s="41">
        <f t="shared" si="4034"/>
        <v>-100</v>
      </c>
      <c r="AT631" s="43" t="str">
        <f t="shared" si="4035"/>
        <v>NO CONFORME</v>
      </c>
      <c r="AU631" s="8" t="b">
        <f t="shared" si="4054"/>
        <v>1</v>
      </c>
      <c r="AV631" s="8" t="b">
        <f t="shared" si="3949"/>
        <v>0</v>
      </c>
      <c r="AW631" s="8" t="b">
        <f t="shared" si="3950"/>
        <v>1</v>
      </c>
      <c r="AX631" s="8" t="str">
        <f t="shared" si="3951"/>
        <v>Qcorrecto</v>
      </c>
      <c r="AY631" s="22" t="str">
        <f t="shared" si="4036"/>
        <v>aceptable</v>
      </c>
      <c r="AZ631" s="22" t="str">
        <f t="shared" si="4037"/>
        <v>aceptable</v>
      </c>
      <c r="BA631" s="22" t="str">
        <f t="shared" si="3952"/>
        <v>aceptable</v>
      </c>
      <c r="BB631" s="25" t="str">
        <f t="shared" si="4055"/>
        <v>NO CONFORME</v>
      </c>
      <c r="BC631" s="5" t="str">
        <f t="shared" si="4056"/>
        <v>NO CONFORME</v>
      </c>
      <c r="BD631" s="15">
        <f t="shared" si="4038"/>
        <v>-1</v>
      </c>
      <c r="BE631" s="15">
        <f t="shared" si="4039"/>
        <v>-1</v>
      </c>
      <c r="BF631" s="15">
        <f t="shared" si="4040"/>
        <v>-1</v>
      </c>
      <c r="BG631" s="15" t="str">
        <f t="shared" si="4041"/>
        <v>-1-1-1</v>
      </c>
      <c r="BH631" s="15" t="str">
        <f t="shared" si="4042"/>
        <v>SD</v>
      </c>
      <c r="BI631" s="15" t="str">
        <f t="shared" si="4043"/>
        <v>SI</v>
      </c>
      <c r="BJ631" s="15" t="b">
        <f t="shared" si="4044"/>
        <v>1</v>
      </c>
      <c r="BK631" s="15" t="str">
        <f t="shared" si="4045"/>
        <v>SIGIGUALES</v>
      </c>
      <c r="BL631" s="22" t="str">
        <f t="shared" si="4046"/>
        <v>NO CONFORME</v>
      </c>
    </row>
    <row r="632" spans="1:64" ht="15.75" thickBot="1" x14ac:dyDescent="0.3">
      <c r="A632" s="37">
        <v>624</v>
      </c>
      <c r="B632" s="93">
        <f t="shared" ref="B632:E632" si="4373">B631</f>
        <v>45919</v>
      </c>
      <c r="C632" s="93">
        <f t="shared" si="4373"/>
        <v>45919</v>
      </c>
      <c r="D632" s="94">
        <f t="shared" si="4373"/>
        <v>6</v>
      </c>
      <c r="E632" s="95">
        <f t="shared" si="4373"/>
        <v>15</v>
      </c>
      <c r="F632" s="13"/>
      <c r="G632" s="90"/>
      <c r="H632" s="97">
        <f t="shared" ref="H632:L632" si="4374">H631</f>
        <v>25.6</v>
      </c>
      <c r="I632" s="98">
        <f t="shared" si="4374"/>
        <v>0</v>
      </c>
      <c r="J632" s="99">
        <f t="shared" si="4374"/>
        <v>20.9</v>
      </c>
      <c r="K632" s="99">
        <f t="shared" si="4374"/>
        <v>7.883</v>
      </c>
      <c r="L632" s="99">
        <f t="shared" si="4374"/>
        <v>0.55400000000000005</v>
      </c>
      <c r="M632" s="45"/>
      <c r="N632" s="45"/>
      <c r="O632" s="100">
        <f t="shared" ref="O632:P632" si="4375">O631</f>
        <v>100.62</v>
      </c>
      <c r="P632" s="101" t="str">
        <f t="shared" si="4375"/>
        <v>2,29,560</v>
      </c>
      <c r="Q632" s="11" t="str">
        <f t="shared" si="3935"/>
        <v>2</v>
      </c>
      <c r="R632" s="11" t="str">
        <f t="shared" si="3936"/>
        <v>29,560</v>
      </c>
      <c r="S632" s="11">
        <f t="shared" si="3937"/>
        <v>4.1544444444444446E-2</v>
      </c>
      <c r="T632" s="14">
        <f t="shared" si="3938"/>
        <v>2421.9844878309709</v>
      </c>
      <c r="U632" s="39">
        <f t="shared" si="4027"/>
        <v>-100</v>
      </c>
      <c r="V632" s="105">
        <f t="shared" ref="V632:X632" si="4376">V631</f>
        <v>20.399999999999999</v>
      </c>
      <c r="W632" s="105">
        <f t="shared" si="4376"/>
        <v>1.5069999999999999</v>
      </c>
      <c r="X632" s="106">
        <f t="shared" si="4376"/>
        <v>1.504</v>
      </c>
      <c r="Y632" s="45"/>
      <c r="Z632" s="45"/>
      <c r="AA632" s="107">
        <f t="shared" ref="AA632:AB632" si="4377">AA631</f>
        <v>10.015000000000001</v>
      </c>
      <c r="AB632" s="108" t="str">
        <f t="shared" si="4377"/>
        <v>22,10,090</v>
      </c>
      <c r="AC632" s="11" t="str">
        <f t="shared" si="3941"/>
        <v>22</v>
      </c>
      <c r="AD632" s="11" t="str">
        <f t="shared" si="3942"/>
        <v>10,090</v>
      </c>
      <c r="AE632" s="11">
        <f t="shared" si="3943"/>
        <v>0.36946944444444441</v>
      </c>
      <c r="AF632" s="14">
        <f t="shared" si="4030"/>
        <v>27.106436406558959</v>
      </c>
      <c r="AG632" s="41">
        <f t="shared" si="3958"/>
        <v>-100</v>
      </c>
      <c r="AH632" s="105">
        <f t="shared" ref="AH632:AJ632" si="4378">AH631</f>
        <v>20.3</v>
      </c>
      <c r="AI632" s="105">
        <f t="shared" si="4378"/>
        <v>1.5089999999999999</v>
      </c>
      <c r="AJ632" s="105">
        <f t="shared" si="4378"/>
        <v>1.504</v>
      </c>
      <c r="AK632" s="53">
        <f t="shared" si="4357"/>
        <v>0</v>
      </c>
      <c r="AL632" s="45"/>
      <c r="AM632" s="54">
        <f t="shared" ref="AM632:AN632" si="4379">AM631</f>
        <v>5.0129999999999999</v>
      </c>
      <c r="AN632" s="101" t="str">
        <f t="shared" si="4379"/>
        <v>17,59,050</v>
      </c>
      <c r="AO632" s="11" t="str">
        <f t="shared" si="3946"/>
        <v>17</v>
      </c>
      <c r="AP632" s="11" t="str">
        <f t="shared" si="3947"/>
        <v>59,050</v>
      </c>
      <c r="AQ632" s="11">
        <f t="shared" si="3948"/>
        <v>0.29973611111111109</v>
      </c>
      <c r="AR632" s="14">
        <f t="shared" si="4033"/>
        <v>16.724711551827998</v>
      </c>
      <c r="AS632" s="41">
        <f t="shared" si="4034"/>
        <v>-100</v>
      </c>
      <c r="AT632" s="43" t="str">
        <f t="shared" si="4035"/>
        <v>NO CONFORME</v>
      </c>
      <c r="AU632" s="8" t="b">
        <f t="shared" si="4054"/>
        <v>1</v>
      </c>
      <c r="AV632" s="8" t="b">
        <f t="shared" si="3949"/>
        <v>0</v>
      </c>
      <c r="AW632" s="8" t="b">
        <f t="shared" si="3950"/>
        <v>1</v>
      </c>
      <c r="AX632" s="8" t="str">
        <f t="shared" si="3951"/>
        <v>Qcorrecto</v>
      </c>
      <c r="AY632" s="22" t="str">
        <f t="shared" si="4036"/>
        <v>aceptable</v>
      </c>
      <c r="AZ632" s="22" t="str">
        <f t="shared" si="4037"/>
        <v>aceptable</v>
      </c>
      <c r="BA632" s="22" t="str">
        <f t="shared" si="3952"/>
        <v>aceptable</v>
      </c>
      <c r="BB632" s="25" t="str">
        <f t="shared" si="4055"/>
        <v>NO CONFORME</v>
      </c>
      <c r="BC632" s="5" t="str">
        <f t="shared" si="4056"/>
        <v>NO CONFORME</v>
      </c>
      <c r="BD632" s="15">
        <f t="shared" si="4038"/>
        <v>-1</v>
      </c>
      <c r="BE632" s="15">
        <f t="shared" si="4039"/>
        <v>-1</v>
      </c>
      <c r="BF632" s="15">
        <f t="shared" si="4040"/>
        <v>-1</v>
      </c>
      <c r="BG632" s="15" t="str">
        <f t="shared" si="4041"/>
        <v>-1-1-1</v>
      </c>
      <c r="BH632" s="15" t="str">
        <f t="shared" si="4042"/>
        <v>SD</v>
      </c>
      <c r="BI632" s="15" t="str">
        <f t="shared" si="4043"/>
        <v>SI</v>
      </c>
      <c r="BJ632" s="15" t="b">
        <f t="shared" si="4044"/>
        <v>1</v>
      </c>
      <c r="BK632" s="15" t="str">
        <f t="shared" si="4045"/>
        <v>SIGIGUALES</v>
      </c>
      <c r="BL632" s="22" t="str">
        <f t="shared" si="4046"/>
        <v>NO CONFORME</v>
      </c>
    </row>
    <row r="633" spans="1:64" ht="15.75" thickBot="1" x14ac:dyDescent="0.3">
      <c r="A633" s="37">
        <v>625</v>
      </c>
      <c r="B633" s="93">
        <f t="shared" ref="B633:E633" si="4380">B632</f>
        <v>45919</v>
      </c>
      <c r="C633" s="93">
        <f t="shared" si="4380"/>
        <v>45919</v>
      </c>
      <c r="D633" s="94">
        <f t="shared" si="4380"/>
        <v>6</v>
      </c>
      <c r="E633" s="95">
        <f t="shared" si="4380"/>
        <v>15</v>
      </c>
      <c r="F633" s="13"/>
      <c r="G633" s="90"/>
      <c r="H633" s="97">
        <f t="shared" ref="H633:L633" si="4381">H632</f>
        <v>25.6</v>
      </c>
      <c r="I633" s="98">
        <f t="shared" si="4381"/>
        <v>0</v>
      </c>
      <c r="J633" s="99">
        <f t="shared" si="4381"/>
        <v>20.9</v>
      </c>
      <c r="K633" s="99">
        <f t="shared" si="4381"/>
        <v>7.883</v>
      </c>
      <c r="L633" s="99">
        <f t="shared" si="4381"/>
        <v>0.55400000000000005</v>
      </c>
      <c r="M633" s="45"/>
      <c r="N633" s="45"/>
      <c r="O633" s="100">
        <f t="shared" ref="O633:P633" si="4382">O632</f>
        <v>100.62</v>
      </c>
      <c r="P633" s="101" t="str">
        <f t="shared" si="4382"/>
        <v>2,29,560</v>
      </c>
      <c r="Q633" s="11" t="str">
        <f t="shared" si="3935"/>
        <v>2</v>
      </c>
      <c r="R633" s="11" t="str">
        <f t="shared" si="3936"/>
        <v>29,560</v>
      </c>
      <c r="S633" s="11">
        <f t="shared" si="3937"/>
        <v>4.1544444444444446E-2</v>
      </c>
      <c r="T633" s="14">
        <f t="shared" si="3938"/>
        <v>2421.9844878309709</v>
      </c>
      <c r="U633" s="39">
        <f t="shared" si="4027"/>
        <v>-100</v>
      </c>
      <c r="V633" s="105">
        <f t="shared" ref="V633:X633" si="4383">V632</f>
        <v>20.399999999999999</v>
      </c>
      <c r="W633" s="105">
        <f t="shared" si="4383"/>
        <v>1.5069999999999999</v>
      </c>
      <c r="X633" s="106">
        <f t="shared" si="4383"/>
        <v>1.504</v>
      </c>
      <c r="Y633" s="45"/>
      <c r="Z633" s="45"/>
      <c r="AA633" s="107">
        <f t="shared" ref="AA633:AB633" si="4384">AA632</f>
        <v>10.015000000000001</v>
      </c>
      <c r="AB633" s="108" t="str">
        <f t="shared" si="4384"/>
        <v>22,10,090</v>
      </c>
      <c r="AC633" s="11" t="str">
        <f t="shared" si="3941"/>
        <v>22</v>
      </c>
      <c r="AD633" s="11" t="str">
        <f t="shared" si="3942"/>
        <v>10,090</v>
      </c>
      <c r="AE633" s="11">
        <f t="shared" si="3943"/>
        <v>0.36946944444444441</v>
      </c>
      <c r="AF633" s="14">
        <f t="shared" si="4030"/>
        <v>27.106436406558959</v>
      </c>
      <c r="AG633" s="41">
        <f t="shared" si="3958"/>
        <v>-100</v>
      </c>
      <c r="AH633" s="105">
        <f t="shared" ref="AH633:AJ633" si="4385">AH632</f>
        <v>20.3</v>
      </c>
      <c r="AI633" s="105">
        <f t="shared" si="4385"/>
        <v>1.5089999999999999</v>
      </c>
      <c r="AJ633" s="105">
        <f t="shared" si="4385"/>
        <v>1.504</v>
      </c>
      <c r="AK633" s="53">
        <f t="shared" si="4357"/>
        <v>0</v>
      </c>
      <c r="AL633" s="45"/>
      <c r="AM633" s="54">
        <f t="shared" ref="AM633:AN633" si="4386">AM632</f>
        <v>5.0129999999999999</v>
      </c>
      <c r="AN633" s="101" t="str">
        <f t="shared" si="4386"/>
        <v>17,59,050</v>
      </c>
      <c r="AO633" s="11" t="str">
        <f t="shared" si="3946"/>
        <v>17</v>
      </c>
      <c r="AP633" s="11" t="str">
        <f t="shared" si="3947"/>
        <v>59,050</v>
      </c>
      <c r="AQ633" s="11">
        <f t="shared" si="3948"/>
        <v>0.29973611111111109</v>
      </c>
      <c r="AR633" s="14">
        <f t="shared" si="4033"/>
        <v>16.724711551827998</v>
      </c>
      <c r="AS633" s="41">
        <f t="shared" si="4034"/>
        <v>-100</v>
      </c>
      <c r="AT633" s="43" t="str">
        <f t="shared" si="4035"/>
        <v>NO CONFORME</v>
      </c>
      <c r="AU633" s="8" t="b">
        <f t="shared" si="4054"/>
        <v>1</v>
      </c>
      <c r="AV633" s="8" t="b">
        <f t="shared" si="3949"/>
        <v>0</v>
      </c>
      <c r="AW633" s="8" t="b">
        <f t="shared" si="3950"/>
        <v>1</v>
      </c>
      <c r="AX633" s="8" t="str">
        <f t="shared" si="3951"/>
        <v>Qcorrecto</v>
      </c>
      <c r="AY633" s="22" t="str">
        <f t="shared" si="4036"/>
        <v>aceptable</v>
      </c>
      <c r="AZ633" s="22" t="str">
        <f t="shared" si="4037"/>
        <v>aceptable</v>
      </c>
      <c r="BA633" s="22" t="str">
        <f t="shared" si="3952"/>
        <v>aceptable</v>
      </c>
      <c r="BB633" s="25" t="str">
        <f t="shared" si="4055"/>
        <v>NO CONFORME</v>
      </c>
      <c r="BC633" s="5" t="str">
        <f t="shared" si="4056"/>
        <v>NO CONFORME</v>
      </c>
      <c r="BD633" s="15">
        <f t="shared" si="4038"/>
        <v>-1</v>
      </c>
      <c r="BE633" s="15">
        <f t="shared" si="4039"/>
        <v>-1</v>
      </c>
      <c r="BF633" s="15">
        <f t="shared" si="4040"/>
        <v>-1</v>
      </c>
      <c r="BG633" s="15" t="str">
        <f t="shared" si="4041"/>
        <v>-1-1-1</v>
      </c>
      <c r="BH633" s="15" t="str">
        <f t="shared" si="4042"/>
        <v>SD</v>
      </c>
      <c r="BI633" s="15" t="str">
        <f t="shared" si="4043"/>
        <v>SI</v>
      </c>
      <c r="BJ633" s="15" t="b">
        <f t="shared" si="4044"/>
        <v>1</v>
      </c>
      <c r="BK633" s="15" t="str">
        <f t="shared" si="4045"/>
        <v>SIGIGUALES</v>
      </c>
      <c r="BL633" s="22" t="str">
        <f t="shared" si="4046"/>
        <v>NO CONFORME</v>
      </c>
    </row>
    <row r="634" spans="1:64" ht="15.75" thickBot="1" x14ac:dyDescent="0.3">
      <c r="A634" s="37">
        <v>626</v>
      </c>
      <c r="B634" s="93">
        <f t="shared" ref="B634:E634" si="4387">B633</f>
        <v>45919</v>
      </c>
      <c r="C634" s="93">
        <f t="shared" si="4387"/>
        <v>45919</v>
      </c>
      <c r="D634" s="94">
        <f t="shared" si="4387"/>
        <v>6</v>
      </c>
      <c r="E634" s="95">
        <f t="shared" si="4387"/>
        <v>15</v>
      </c>
      <c r="F634" s="13"/>
      <c r="G634" s="90"/>
      <c r="H634" s="97">
        <f t="shared" ref="H634:L634" si="4388">H633</f>
        <v>25.6</v>
      </c>
      <c r="I634" s="98">
        <f t="shared" si="4388"/>
        <v>0</v>
      </c>
      <c r="J634" s="99">
        <f t="shared" si="4388"/>
        <v>20.9</v>
      </c>
      <c r="K634" s="99">
        <f t="shared" si="4388"/>
        <v>7.883</v>
      </c>
      <c r="L634" s="99">
        <f t="shared" si="4388"/>
        <v>0.55400000000000005</v>
      </c>
      <c r="M634" s="45"/>
      <c r="N634" s="45"/>
      <c r="O634" s="100">
        <f t="shared" ref="O634:P634" si="4389">O633</f>
        <v>100.62</v>
      </c>
      <c r="P634" s="101" t="str">
        <f t="shared" si="4389"/>
        <v>2,29,560</v>
      </c>
      <c r="Q634" s="11" t="str">
        <f t="shared" si="3935"/>
        <v>2</v>
      </c>
      <c r="R634" s="11" t="str">
        <f t="shared" si="3936"/>
        <v>29,560</v>
      </c>
      <c r="S634" s="11">
        <f t="shared" si="3937"/>
        <v>4.1544444444444446E-2</v>
      </c>
      <c r="T634" s="14">
        <f t="shared" si="3938"/>
        <v>2421.9844878309709</v>
      </c>
      <c r="U634" s="39">
        <f t="shared" si="4027"/>
        <v>-100</v>
      </c>
      <c r="V634" s="105">
        <f t="shared" ref="V634:X634" si="4390">V633</f>
        <v>20.399999999999999</v>
      </c>
      <c r="W634" s="105">
        <f t="shared" si="4390"/>
        <v>1.5069999999999999</v>
      </c>
      <c r="X634" s="106">
        <f t="shared" si="4390"/>
        <v>1.504</v>
      </c>
      <c r="Y634" s="45"/>
      <c r="Z634" s="45"/>
      <c r="AA634" s="107">
        <f t="shared" ref="AA634:AB634" si="4391">AA633</f>
        <v>10.015000000000001</v>
      </c>
      <c r="AB634" s="108" t="str">
        <f t="shared" si="4391"/>
        <v>22,10,090</v>
      </c>
      <c r="AC634" s="11" t="str">
        <f t="shared" si="3941"/>
        <v>22</v>
      </c>
      <c r="AD634" s="11" t="str">
        <f t="shared" si="3942"/>
        <v>10,090</v>
      </c>
      <c r="AE634" s="11">
        <f t="shared" si="3943"/>
        <v>0.36946944444444441</v>
      </c>
      <c r="AF634" s="14">
        <f t="shared" si="4030"/>
        <v>27.106436406558959</v>
      </c>
      <c r="AG634" s="41">
        <f t="shared" si="3958"/>
        <v>-100</v>
      </c>
      <c r="AH634" s="105">
        <f t="shared" ref="AH634:AJ634" si="4392">AH633</f>
        <v>20.3</v>
      </c>
      <c r="AI634" s="105">
        <f t="shared" si="4392"/>
        <v>1.5089999999999999</v>
      </c>
      <c r="AJ634" s="105">
        <f t="shared" si="4392"/>
        <v>1.504</v>
      </c>
      <c r="AK634" s="53">
        <f t="shared" si="4357"/>
        <v>0</v>
      </c>
      <c r="AL634" s="45"/>
      <c r="AM634" s="54">
        <f t="shared" ref="AM634:AN634" si="4393">AM633</f>
        <v>5.0129999999999999</v>
      </c>
      <c r="AN634" s="101" t="str">
        <f t="shared" si="4393"/>
        <v>17,59,050</v>
      </c>
      <c r="AO634" s="11" t="str">
        <f t="shared" si="3946"/>
        <v>17</v>
      </c>
      <c r="AP634" s="11" t="str">
        <f t="shared" si="3947"/>
        <v>59,050</v>
      </c>
      <c r="AQ634" s="11">
        <f t="shared" si="3948"/>
        <v>0.29973611111111109</v>
      </c>
      <c r="AR634" s="14">
        <f t="shared" si="4033"/>
        <v>16.724711551827998</v>
      </c>
      <c r="AS634" s="41">
        <f t="shared" si="4034"/>
        <v>-100</v>
      </c>
      <c r="AT634" s="43" t="str">
        <f t="shared" si="4035"/>
        <v>NO CONFORME</v>
      </c>
      <c r="AU634" s="8" t="b">
        <f t="shared" si="4054"/>
        <v>1</v>
      </c>
      <c r="AV634" s="8" t="b">
        <f t="shared" si="3949"/>
        <v>0</v>
      </c>
      <c r="AW634" s="8" t="b">
        <f t="shared" si="3950"/>
        <v>1</v>
      </c>
      <c r="AX634" s="8" t="str">
        <f t="shared" si="3951"/>
        <v>Qcorrecto</v>
      </c>
      <c r="AY634" s="22" t="str">
        <f t="shared" si="4036"/>
        <v>aceptable</v>
      </c>
      <c r="AZ634" s="22" t="str">
        <f t="shared" si="4037"/>
        <v>aceptable</v>
      </c>
      <c r="BA634" s="22" t="str">
        <f t="shared" si="3952"/>
        <v>aceptable</v>
      </c>
      <c r="BB634" s="25" t="str">
        <f t="shared" si="4055"/>
        <v>NO CONFORME</v>
      </c>
      <c r="BC634" s="5" t="str">
        <f t="shared" si="4056"/>
        <v>NO CONFORME</v>
      </c>
      <c r="BD634" s="15">
        <f t="shared" si="4038"/>
        <v>-1</v>
      </c>
      <c r="BE634" s="15">
        <f t="shared" si="4039"/>
        <v>-1</v>
      </c>
      <c r="BF634" s="15">
        <f t="shared" si="4040"/>
        <v>-1</v>
      </c>
      <c r="BG634" s="15" t="str">
        <f t="shared" si="4041"/>
        <v>-1-1-1</v>
      </c>
      <c r="BH634" s="15" t="str">
        <f t="shared" si="4042"/>
        <v>SD</v>
      </c>
      <c r="BI634" s="15" t="str">
        <f t="shared" si="4043"/>
        <v>SI</v>
      </c>
      <c r="BJ634" s="15" t="b">
        <f t="shared" si="4044"/>
        <v>1</v>
      </c>
      <c r="BK634" s="15" t="str">
        <f t="shared" si="4045"/>
        <v>SIGIGUALES</v>
      </c>
      <c r="BL634" s="22" t="str">
        <f t="shared" si="4046"/>
        <v>NO CONFORME</v>
      </c>
    </row>
    <row r="635" spans="1:64" ht="15.75" thickBot="1" x14ac:dyDescent="0.3">
      <c r="A635" s="37">
        <v>627</v>
      </c>
      <c r="B635" s="93">
        <f t="shared" ref="B635:E635" si="4394">B634</f>
        <v>45919</v>
      </c>
      <c r="C635" s="93">
        <f t="shared" si="4394"/>
        <v>45919</v>
      </c>
      <c r="D635" s="94">
        <f t="shared" si="4394"/>
        <v>6</v>
      </c>
      <c r="E635" s="95">
        <f t="shared" si="4394"/>
        <v>15</v>
      </c>
      <c r="F635" s="13"/>
      <c r="G635" s="90"/>
      <c r="H635" s="97">
        <f t="shared" ref="H635:L635" si="4395">H634</f>
        <v>25.6</v>
      </c>
      <c r="I635" s="98">
        <f t="shared" si="4395"/>
        <v>0</v>
      </c>
      <c r="J635" s="99">
        <f t="shared" si="4395"/>
        <v>20.9</v>
      </c>
      <c r="K635" s="99">
        <f t="shared" si="4395"/>
        <v>7.883</v>
      </c>
      <c r="L635" s="99">
        <f t="shared" si="4395"/>
        <v>0.55400000000000005</v>
      </c>
      <c r="M635" s="45"/>
      <c r="N635" s="45"/>
      <c r="O635" s="100">
        <f t="shared" ref="O635:P635" si="4396">O634</f>
        <v>100.62</v>
      </c>
      <c r="P635" s="101" t="str">
        <f t="shared" si="4396"/>
        <v>2,29,560</v>
      </c>
      <c r="Q635" s="11" t="str">
        <f t="shared" si="3935"/>
        <v>2</v>
      </c>
      <c r="R635" s="11" t="str">
        <f t="shared" si="3936"/>
        <v>29,560</v>
      </c>
      <c r="S635" s="11">
        <f t="shared" si="3937"/>
        <v>4.1544444444444446E-2</v>
      </c>
      <c r="T635" s="14">
        <f t="shared" si="3938"/>
        <v>2421.9844878309709</v>
      </c>
      <c r="U635" s="39">
        <f t="shared" si="4027"/>
        <v>-100</v>
      </c>
      <c r="V635" s="105">
        <f t="shared" ref="V635:X635" si="4397">V634</f>
        <v>20.399999999999999</v>
      </c>
      <c r="W635" s="105">
        <f t="shared" si="4397"/>
        <v>1.5069999999999999</v>
      </c>
      <c r="X635" s="106">
        <f t="shared" si="4397"/>
        <v>1.504</v>
      </c>
      <c r="Y635" s="45"/>
      <c r="Z635" s="45"/>
      <c r="AA635" s="107">
        <f t="shared" ref="AA635:AB635" si="4398">AA634</f>
        <v>10.015000000000001</v>
      </c>
      <c r="AB635" s="108" t="str">
        <f t="shared" si="4398"/>
        <v>22,10,090</v>
      </c>
      <c r="AC635" s="11" t="str">
        <f t="shared" si="3941"/>
        <v>22</v>
      </c>
      <c r="AD635" s="11" t="str">
        <f t="shared" si="3942"/>
        <v>10,090</v>
      </c>
      <c r="AE635" s="11">
        <f t="shared" si="3943"/>
        <v>0.36946944444444441</v>
      </c>
      <c r="AF635" s="14">
        <f t="shared" si="4030"/>
        <v>27.106436406558959</v>
      </c>
      <c r="AG635" s="41">
        <f t="shared" si="3958"/>
        <v>-100</v>
      </c>
      <c r="AH635" s="105">
        <f t="shared" ref="AH635:AJ635" si="4399">AH634</f>
        <v>20.3</v>
      </c>
      <c r="AI635" s="105">
        <f t="shared" si="4399"/>
        <v>1.5089999999999999</v>
      </c>
      <c r="AJ635" s="105">
        <f t="shared" si="4399"/>
        <v>1.504</v>
      </c>
      <c r="AK635" s="53">
        <f t="shared" si="4357"/>
        <v>0</v>
      </c>
      <c r="AL635" s="45"/>
      <c r="AM635" s="54">
        <f t="shared" ref="AM635:AN635" si="4400">AM634</f>
        <v>5.0129999999999999</v>
      </c>
      <c r="AN635" s="101" t="str">
        <f t="shared" si="4400"/>
        <v>17,59,050</v>
      </c>
      <c r="AO635" s="11" t="str">
        <f t="shared" si="3946"/>
        <v>17</v>
      </c>
      <c r="AP635" s="11" t="str">
        <f t="shared" si="3947"/>
        <v>59,050</v>
      </c>
      <c r="AQ635" s="11">
        <f t="shared" si="3948"/>
        <v>0.29973611111111109</v>
      </c>
      <c r="AR635" s="14">
        <f t="shared" si="4033"/>
        <v>16.724711551827998</v>
      </c>
      <c r="AS635" s="41">
        <f t="shared" si="4034"/>
        <v>-100</v>
      </c>
      <c r="AT635" s="43" t="str">
        <f t="shared" si="4035"/>
        <v>NO CONFORME</v>
      </c>
      <c r="AU635" s="8" t="b">
        <f t="shared" si="4054"/>
        <v>1</v>
      </c>
      <c r="AV635" s="8" t="b">
        <f t="shared" si="3949"/>
        <v>0</v>
      </c>
      <c r="AW635" s="8" t="b">
        <f t="shared" si="3950"/>
        <v>1</v>
      </c>
      <c r="AX635" s="8" t="str">
        <f t="shared" si="3951"/>
        <v>Qcorrecto</v>
      </c>
      <c r="AY635" s="22" t="str">
        <f t="shared" si="4036"/>
        <v>aceptable</v>
      </c>
      <c r="AZ635" s="22" t="str">
        <f t="shared" si="4037"/>
        <v>aceptable</v>
      </c>
      <c r="BA635" s="22" t="str">
        <f t="shared" si="3952"/>
        <v>aceptable</v>
      </c>
      <c r="BB635" s="25" t="str">
        <f t="shared" si="4055"/>
        <v>NO CONFORME</v>
      </c>
      <c r="BC635" s="5" t="str">
        <f t="shared" si="4056"/>
        <v>NO CONFORME</v>
      </c>
      <c r="BD635" s="15">
        <f t="shared" si="4038"/>
        <v>-1</v>
      </c>
      <c r="BE635" s="15">
        <f t="shared" si="4039"/>
        <v>-1</v>
      </c>
      <c r="BF635" s="15">
        <f t="shared" si="4040"/>
        <v>-1</v>
      </c>
      <c r="BG635" s="15" t="str">
        <f t="shared" si="4041"/>
        <v>-1-1-1</v>
      </c>
      <c r="BH635" s="15" t="str">
        <f t="shared" si="4042"/>
        <v>SD</v>
      </c>
      <c r="BI635" s="15" t="str">
        <f t="shared" si="4043"/>
        <v>SI</v>
      </c>
      <c r="BJ635" s="15" t="b">
        <f t="shared" si="4044"/>
        <v>1</v>
      </c>
      <c r="BK635" s="15" t="str">
        <f t="shared" si="4045"/>
        <v>SIGIGUALES</v>
      </c>
      <c r="BL635" s="22" t="str">
        <f t="shared" si="4046"/>
        <v>NO CONFORME</v>
      </c>
    </row>
    <row r="636" spans="1:64" ht="15.75" thickBot="1" x14ac:dyDescent="0.3">
      <c r="A636" s="37">
        <v>628</v>
      </c>
      <c r="B636" s="93">
        <f t="shared" ref="B636:E636" si="4401">B635</f>
        <v>45919</v>
      </c>
      <c r="C636" s="93">
        <f t="shared" si="4401"/>
        <v>45919</v>
      </c>
      <c r="D636" s="94">
        <f t="shared" si="4401"/>
        <v>6</v>
      </c>
      <c r="E636" s="95">
        <f t="shared" si="4401"/>
        <v>15</v>
      </c>
      <c r="F636" s="13"/>
      <c r="G636" s="90"/>
      <c r="H636" s="97">
        <f t="shared" ref="H636:L636" si="4402">H635</f>
        <v>25.6</v>
      </c>
      <c r="I636" s="98">
        <f t="shared" si="4402"/>
        <v>0</v>
      </c>
      <c r="J636" s="99">
        <f t="shared" si="4402"/>
        <v>20.9</v>
      </c>
      <c r="K636" s="99">
        <f t="shared" si="4402"/>
        <v>7.883</v>
      </c>
      <c r="L636" s="99">
        <f t="shared" si="4402"/>
        <v>0.55400000000000005</v>
      </c>
      <c r="M636" s="45"/>
      <c r="N636" s="45"/>
      <c r="O636" s="100">
        <f t="shared" ref="O636:P636" si="4403">O635</f>
        <v>100.62</v>
      </c>
      <c r="P636" s="101" t="str">
        <f t="shared" si="4403"/>
        <v>2,29,560</v>
      </c>
      <c r="Q636" s="11" t="str">
        <f t="shared" si="3935"/>
        <v>2</v>
      </c>
      <c r="R636" s="11" t="str">
        <f t="shared" si="3936"/>
        <v>29,560</v>
      </c>
      <c r="S636" s="11">
        <f t="shared" si="3937"/>
        <v>4.1544444444444446E-2</v>
      </c>
      <c r="T636" s="14">
        <f t="shared" si="3938"/>
        <v>2421.9844878309709</v>
      </c>
      <c r="U636" s="39">
        <f t="shared" si="4027"/>
        <v>-100</v>
      </c>
      <c r="V636" s="105">
        <f t="shared" ref="V636:X636" si="4404">V635</f>
        <v>20.399999999999999</v>
      </c>
      <c r="W636" s="105">
        <f t="shared" si="4404"/>
        <v>1.5069999999999999</v>
      </c>
      <c r="X636" s="106">
        <f t="shared" si="4404"/>
        <v>1.504</v>
      </c>
      <c r="Y636" s="45"/>
      <c r="Z636" s="45"/>
      <c r="AA636" s="107">
        <f t="shared" ref="AA636:AB636" si="4405">AA635</f>
        <v>10.015000000000001</v>
      </c>
      <c r="AB636" s="108" t="str">
        <f t="shared" si="4405"/>
        <v>22,10,090</v>
      </c>
      <c r="AC636" s="11" t="str">
        <f t="shared" si="3941"/>
        <v>22</v>
      </c>
      <c r="AD636" s="11" t="str">
        <f t="shared" si="3942"/>
        <v>10,090</v>
      </c>
      <c r="AE636" s="11">
        <f t="shared" si="3943"/>
        <v>0.36946944444444441</v>
      </c>
      <c r="AF636" s="14">
        <f t="shared" si="4030"/>
        <v>27.106436406558959</v>
      </c>
      <c r="AG636" s="41">
        <f t="shared" si="3958"/>
        <v>-100</v>
      </c>
      <c r="AH636" s="105">
        <f t="shared" ref="AH636:AJ636" si="4406">AH635</f>
        <v>20.3</v>
      </c>
      <c r="AI636" s="105">
        <f t="shared" si="4406"/>
        <v>1.5089999999999999</v>
      </c>
      <c r="AJ636" s="105">
        <f t="shared" si="4406"/>
        <v>1.504</v>
      </c>
      <c r="AK636" s="53">
        <f t="shared" si="4357"/>
        <v>0</v>
      </c>
      <c r="AL636" s="45"/>
      <c r="AM636" s="54">
        <f t="shared" ref="AM636:AN636" si="4407">AM635</f>
        <v>5.0129999999999999</v>
      </c>
      <c r="AN636" s="101" t="str">
        <f t="shared" si="4407"/>
        <v>17,59,050</v>
      </c>
      <c r="AO636" s="11" t="str">
        <f t="shared" si="3946"/>
        <v>17</v>
      </c>
      <c r="AP636" s="11" t="str">
        <f t="shared" si="3947"/>
        <v>59,050</v>
      </c>
      <c r="AQ636" s="11">
        <f t="shared" si="3948"/>
        <v>0.29973611111111109</v>
      </c>
      <c r="AR636" s="14">
        <f t="shared" si="4033"/>
        <v>16.724711551827998</v>
      </c>
      <c r="AS636" s="41">
        <f t="shared" si="4034"/>
        <v>-100</v>
      </c>
      <c r="AT636" s="43" t="str">
        <f t="shared" si="4035"/>
        <v>NO CONFORME</v>
      </c>
      <c r="AU636" s="8" t="b">
        <f t="shared" si="4054"/>
        <v>1</v>
      </c>
      <c r="AV636" s="8" t="b">
        <f t="shared" si="3949"/>
        <v>0</v>
      </c>
      <c r="AW636" s="8" t="b">
        <f t="shared" si="3950"/>
        <v>1</v>
      </c>
      <c r="AX636" s="8" t="str">
        <f t="shared" si="3951"/>
        <v>Qcorrecto</v>
      </c>
      <c r="AY636" s="22" t="str">
        <f t="shared" si="4036"/>
        <v>aceptable</v>
      </c>
      <c r="AZ636" s="22" t="str">
        <f t="shared" si="4037"/>
        <v>aceptable</v>
      </c>
      <c r="BA636" s="22" t="str">
        <f t="shared" si="3952"/>
        <v>aceptable</v>
      </c>
      <c r="BB636" s="25" t="str">
        <f t="shared" si="4055"/>
        <v>NO CONFORME</v>
      </c>
      <c r="BC636" s="5" t="str">
        <f t="shared" si="4056"/>
        <v>NO CONFORME</v>
      </c>
      <c r="BD636" s="15">
        <f t="shared" si="4038"/>
        <v>-1</v>
      </c>
      <c r="BE636" s="15">
        <f t="shared" si="4039"/>
        <v>-1</v>
      </c>
      <c r="BF636" s="15">
        <f t="shared" si="4040"/>
        <v>-1</v>
      </c>
      <c r="BG636" s="15" t="str">
        <f t="shared" si="4041"/>
        <v>-1-1-1</v>
      </c>
      <c r="BH636" s="15" t="str">
        <f t="shared" si="4042"/>
        <v>SD</v>
      </c>
      <c r="BI636" s="15" t="str">
        <f t="shared" si="4043"/>
        <v>SI</v>
      </c>
      <c r="BJ636" s="15" t="b">
        <f t="shared" si="4044"/>
        <v>1</v>
      </c>
      <c r="BK636" s="15" t="str">
        <f t="shared" si="4045"/>
        <v>SIGIGUALES</v>
      </c>
      <c r="BL636" s="22" t="str">
        <f t="shared" si="4046"/>
        <v>NO CONFORME</v>
      </c>
    </row>
    <row r="637" spans="1:64" ht="15.75" thickBot="1" x14ac:dyDescent="0.3">
      <c r="A637" s="37">
        <v>629</v>
      </c>
      <c r="B637" s="93">
        <f t="shared" ref="B637:E637" si="4408">B636</f>
        <v>45919</v>
      </c>
      <c r="C637" s="93">
        <f t="shared" si="4408"/>
        <v>45919</v>
      </c>
      <c r="D637" s="94">
        <f t="shared" si="4408"/>
        <v>6</v>
      </c>
      <c r="E637" s="95">
        <f t="shared" si="4408"/>
        <v>15</v>
      </c>
      <c r="F637" s="13"/>
      <c r="G637" s="90"/>
      <c r="H637" s="97">
        <f t="shared" ref="H637:L637" si="4409">H636</f>
        <v>25.6</v>
      </c>
      <c r="I637" s="98">
        <f t="shared" si="4409"/>
        <v>0</v>
      </c>
      <c r="J637" s="99">
        <f t="shared" si="4409"/>
        <v>20.9</v>
      </c>
      <c r="K637" s="99">
        <f t="shared" si="4409"/>
        <v>7.883</v>
      </c>
      <c r="L637" s="99">
        <f t="shared" si="4409"/>
        <v>0.55400000000000005</v>
      </c>
      <c r="M637" s="45"/>
      <c r="N637" s="45"/>
      <c r="O637" s="100">
        <f t="shared" ref="O637:P637" si="4410">O636</f>
        <v>100.62</v>
      </c>
      <c r="P637" s="101" t="str">
        <f t="shared" si="4410"/>
        <v>2,29,560</v>
      </c>
      <c r="Q637" s="11" t="str">
        <f t="shared" si="3935"/>
        <v>2</v>
      </c>
      <c r="R637" s="11" t="str">
        <f t="shared" si="3936"/>
        <v>29,560</v>
      </c>
      <c r="S637" s="11">
        <f t="shared" si="3937"/>
        <v>4.1544444444444446E-2</v>
      </c>
      <c r="T637" s="14">
        <f t="shared" si="3938"/>
        <v>2421.9844878309709</v>
      </c>
      <c r="U637" s="39">
        <f t="shared" si="4027"/>
        <v>-100</v>
      </c>
      <c r="V637" s="105">
        <f t="shared" ref="V637:X637" si="4411">V636</f>
        <v>20.399999999999999</v>
      </c>
      <c r="W637" s="105">
        <f t="shared" si="4411"/>
        <v>1.5069999999999999</v>
      </c>
      <c r="X637" s="106">
        <f t="shared" si="4411"/>
        <v>1.504</v>
      </c>
      <c r="Y637" s="45"/>
      <c r="Z637" s="45"/>
      <c r="AA637" s="107">
        <f t="shared" ref="AA637:AB637" si="4412">AA636</f>
        <v>10.015000000000001</v>
      </c>
      <c r="AB637" s="108" t="str">
        <f t="shared" si="4412"/>
        <v>22,10,090</v>
      </c>
      <c r="AC637" s="11" t="str">
        <f t="shared" si="3941"/>
        <v>22</v>
      </c>
      <c r="AD637" s="11" t="str">
        <f t="shared" si="3942"/>
        <v>10,090</v>
      </c>
      <c r="AE637" s="11">
        <f t="shared" si="3943"/>
        <v>0.36946944444444441</v>
      </c>
      <c r="AF637" s="14">
        <f t="shared" si="4030"/>
        <v>27.106436406558959</v>
      </c>
      <c r="AG637" s="41">
        <f t="shared" si="3958"/>
        <v>-100</v>
      </c>
      <c r="AH637" s="105">
        <f t="shared" ref="AH637:AJ637" si="4413">AH636</f>
        <v>20.3</v>
      </c>
      <c r="AI637" s="105">
        <f t="shared" si="4413"/>
        <v>1.5089999999999999</v>
      </c>
      <c r="AJ637" s="105">
        <f t="shared" si="4413"/>
        <v>1.504</v>
      </c>
      <c r="AK637" s="53">
        <f t="shared" si="4357"/>
        <v>0</v>
      </c>
      <c r="AL637" s="45"/>
      <c r="AM637" s="54">
        <f t="shared" ref="AM637:AN637" si="4414">AM636</f>
        <v>5.0129999999999999</v>
      </c>
      <c r="AN637" s="101" t="str">
        <f t="shared" si="4414"/>
        <v>17,59,050</v>
      </c>
      <c r="AO637" s="11" t="str">
        <f t="shared" si="3946"/>
        <v>17</v>
      </c>
      <c r="AP637" s="11" t="str">
        <f t="shared" si="3947"/>
        <v>59,050</v>
      </c>
      <c r="AQ637" s="11">
        <f t="shared" si="3948"/>
        <v>0.29973611111111109</v>
      </c>
      <c r="AR637" s="14">
        <f t="shared" si="4033"/>
        <v>16.724711551827998</v>
      </c>
      <c r="AS637" s="41">
        <f t="shared" si="4034"/>
        <v>-100</v>
      </c>
      <c r="AT637" s="43" t="str">
        <f t="shared" si="4035"/>
        <v>NO CONFORME</v>
      </c>
      <c r="AU637" s="8" t="b">
        <f t="shared" si="4054"/>
        <v>1</v>
      </c>
      <c r="AV637" s="8" t="b">
        <f t="shared" si="3949"/>
        <v>0</v>
      </c>
      <c r="AW637" s="8" t="b">
        <f t="shared" si="3950"/>
        <v>1</v>
      </c>
      <c r="AX637" s="8" t="str">
        <f t="shared" si="3951"/>
        <v>Qcorrecto</v>
      </c>
      <c r="AY637" s="22" t="str">
        <f t="shared" si="4036"/>
        <v>aceptable</v>
      </c>
      <c r="AZ637" s="22" t="str">
        <f t="shared" si="4037"/>
        <v>aceptable</v>
      </c>
      <c r="BA637" s="22" t="str">
        <f t="shared" si="3952"/>
        <v>aceptable</v>
      </c>
      <c r="BB637" s="25" t="str">
        <f t="shared" si="4055"/>
        <v>NO CONFORME</v>
      </c>
      <c r="BC637" s="5" t="str">
        <f t="shared" si="4056"/>
        <v>NO CONFORME</v>
      </c>
      <c r="BD637" s="15">
        <f t="shared" si="4038"/>
        <v>-1</v>
      </c>
      <c r="BE637" s="15">
        <f t="shared" si="4039"/>
        <v>-1</v>
      </c>
      <c r="BF637" s="15">
        <f t="shared" si="4040"/>
        <v>-1</v>
      </c>
      <c r="BG637" s="15" t="str">
        <f t="shared" si="4041"/>
        <v>-1-1-1</v>
      </c>
      <c r="BH637" s="15" t="str">
        <f t="shared" si="4042"/>
        <v>SD</v>
      </c>
      <c r="BI637" s="15" t="str">
        <f t="shared" si="4043"/>
        <v>SI</v>
      </c>
      <c r="BJ637" s="15" t="b">
        <f t="shared" si="4044"/>
        <v>1</v>
      </c>
      <c r="BK637" s="15" t="str">
        <f t="shared" si="4045"/>
        <v>SIGIGUALES</v>
      </c>
      <c r="BL637" s="22" t="str">
        <f t="shared" si="4046"/>
        <v>NO CONFORME</v>
      </c>
    </row>
    <row r="638" spans="1:64" ht="15.75" thickBot="1" x14ac:dyDescent="0.3">
      <c r="A638" s="37">
        <v>630</v>
      </c>
      <c r="B638" s="93">
        <f t="shared" ref="B638:E638" si="4415">B637</f>
        <v>45919</v>
      </c>
      <c r="C638" s="93">
        <f t="shared" si="4415"/>
        <v>45919</v>
      </c>
      <c r="D638" s="94">
        <f t="shared" si="4415"/>
        <v>6</v>
      </c>
      <c r="E638" s="95">
        <f t="shared" si="4415"/>
        <v>15</v>
      </c>
      <c r="F638" s="52"/>
      <c r="G638" s="90"/>
      <c r="H638" s="97">
        <f t="shared" ref="H638:L638" si="4416">H637</f>
        <v>25.6</v>
      </c>
      <c r="I638" s="98">
        <f t="shared" si="4416"/>
        <v>0</v>
      </c>
      <c r="J638" s="99">
        <f t="shared" si="4416"/>
        <v>20.9</v>
      </c>
      <c r="K638" s="99">
        <f t="shared" si="4416"/>
        <v>7.883</v>
      </c>
      <c r="L638" s="99">
        <f t="shared" si="4416"/>
        <v>0.55400000000000005</v>
      </c>
      <c r="M638" s="53"/>
      <c r="N638" s="53"/>
      <c r="O638" s="100">
        <f t="shared" ref="O638:P638" si="4417">O637</f>
        <v>100.62</v>
      </c>
      <c r="P638" s="101" t="str">
        <f t="shared" si="4417"/>
        <v>2,29,560</v>
      </c>
      <c r="Q638" s="11" t="str">
        <f t="shared" ref="Q638:Q639" si="4418">LEFT(P638,1)</f>
        <v>2</v>
      </c>
      <c r="R638" s="11" t="str">
        <f t="shared" ref="R638:R639" si="4419">RIGHT(P638,6)</f>
        <v>29,560</v>
      </c>
      <c r="S638" s="11">
        <f t="shared" ref="S638:S639" si="4420">+(Q638*60+R638)/(60*60)</f>
        <v>4.1544444444444446E-2</v>
      </c>
      <c r="T638" s="14">
        <f t="shared" ref="T638:T639" si="4421">+O638/S638</f>
        <v>2421.9844878309709</v>
      </c>
      <c r="U638" s="39">
        <f t="shared" si="4027"/>
        <v>-100</v>
      </c>
      <c r="V638" s="105">
        <f t="shared" ref="V638:X638" si="4422">V637</f>
        <v>20.399999999999999</v>
      </c>
      <c r="W638" s="105">
        <f t="shared" si="4422"/>
        <v>1.5069999999999999</v>
      </c>
      <c r="X638" s="106">
        <f t="shared" si="4422"/>
        <v>1.504</v>
      </c>
      <c r="Y638" s="53"/>
      <c r="Z638" s="53"/>
      <c r="AA638" s="107">
        <f t="shared" ref="AA638:AB638" si="4423">AA637</f>
        <v>10.015000000000001</v>
      </c>
      <c r="AB638" s="108" t="str">
        <f t="shared" si="4423"/>
        <v>22,10,090</v>
      </c>
      <c r="AC638" s="11" t="str">
        <f t="shared" ref="AC638:AC639" si="4424">LEFT(AB638,2)</f>
        <v>22</v>
      </c>
      <c r="AD638" s="11" t="str">
        <f t="shared" ref="AD638:AD639" si="4425">RIGHT(AB638,6)</f>
        <v>10,090</v>
      </c>
      <c r="AE638" s="11">
        <f t="shared" ref="AE638:AE639" si="4426">+(AC638*60+AD638)/(60*60)</f>
        <v>0.36946944444444441</v>
      </c>
      <c r="AF638" s="14">
        <f t="shared" si="4030"/>
        <v>27.106436406558959</v>
      </c>
      <c r="AG638" s="41">
        <f t="shared" si="3958"/>
        <v>-100</v>
      </c>
      <c r="AH638" s="105">
        <f t="shared" ref="AH638:AJ638" si="4427">AH637</f>
        <v>20.3</v>
      </c>
      <c r="AI638" s="105">
        <f t="shared" si="4427"/>
        <v>1.5089999999999999</v>
      </c>
      <c r="AJ638" s="105">
        <f t="shared" si="4427"/>
        <v>1.504</v>
      </c>
      <c r="AK638" s="53">
        <f t="shared" si="4357"/>
        <v>0</v>
      </c>
      <c r="AL638" s="53"/>
      <c r="AM638" s="54">
        <f t="shared" ref="AM638:AN638" si="4428">AM637</f>
        <v>5.0129999999999999</v>
      </c>
      <c r="AN638" s="101" t="str">
        <f t="shared" si="4428"/>
        <v>17,59,050</v>
      </c>
      <c r="AO638" s="11" t="str">
        <f t="shared" ref="AO638:AO639" si="4429">LEFT(AN638,2)</f>
        <v>17</v>
      </c>
      <c r="AP638" s="11" t="str">
        <f t="shared" ref="AP638:AP639" si="4430">RIGHT(AN638,6)</f>
        <v>59,050</v>
      </c>
      <c r="AQ638" s="11">
        <f t="shared" ref="AQ638:AQ639" si="4431">+(AO638*60+AP638)/(60*60)</f>
        <v>0.29973611111111109</v>
      </c>
      <c r="AR638" s="14">
        <f t="shared" si="4033"/>
        <v>16.724711551827998</v>
      </c>
      <c r="AS638" s="41">
        <f t="shared" si="4034"/>
        <v>-100</v>
      </c>
      <c r="AT638" s="43" t="str">
        <f t="shared" si="4035"/>
        <v>NO CONFORME</v>
      </c>
      <c r="AU638" s="8" t="b">
        <f t="shared" si="4054"/>
        <v>1</v>
      </c>
      <c r="AV638" s="8" t="b">
        <f t="shared" ref="AV638:AV639" si="4432">N638&lt;Y638</f>
        <v>0</v>
      </c>
      <c r="AW638" s="8" t="b">
        <f t="shared" ref="AW638:AW639" si="4433">Z638&lt;=AK638</f>
        <v>1</v>
      </c>
      <c r="AX638" s="8" t="str">
        <f t="shared" ref="AX638:AX639" si="4434">IF(I638&gt;=1,"Qcorrecto",IF(AND(AY638="aceptable",AZ638="aceptable",BA638="aceptable"),"Qcorrecto","Qincorrecto"))</f>
        <v>Qcorrecto</v>
      </c>
      <c r="AY638" s="22" t="str">
        <f t="shared" si="4036"/>
        <v>aceptable</v>
      </c>
      <c r="AZ638" s="22" t="str">
        <f t="shared" si="4037"/>
        <v>aceptable</v>
      </c>
      <c r="BA638" s="22" t="str">
        <f t="shared" ref="BA638:BA639" si="4435">IF(T638&lt;$J$6*0.9,"error",IF(T638&gt;$J$6,"error","aceptable"))</f>
        <v>aceptable</v>
      </c>
      <c r="BB638" s="25" t="str">
        <f t="shared" si="4055"/>
        <v>NO CONFORME</v>
      </c>
      <c r="BC638" s="5" t="str">
        <f t="shared" si="4056"/>
        <v>NO CONFORME</v>
      </c>
      <c r="BD638" s="15">
        <f t="shared" si="4038"/>
        <v>-1</v>
      </c>
      <c r="BE638" s="15">
        <f t="shared" si="4039"/>
        <v>-1</v>
      </c>
      <c r="BF638" s="15">
        <f t="shared" si="4040"/>
        <v>-1</v>
      </c>
      <c r="BG638" s="15" t="str">
        <f t="shared" si="4041"/>
        <v>-1-1-1</v>
      </c>
      <c r="BH638" s="15" t="str">
        <f t="shared" si="4042"/>
        <v>SD</v>
      </c>
      <c r="BI638" s="15" t="str">
        <f t="shared" si="4043"/>
        <v>SI</v>
      </c>
      <c r="BJ638" s="15" t="b">
        <f t="shared" si="4044"/>
        <v>1</v>
      </c>
      <c r="BK638" s="15" t="str">
        <f t="shared" si="4045"/>
        <v>SIGIGUALES</v>
      </c>
      <c r="BL638" s="22" t="str">
        <f t="shared" si="4046"/>
        <v>NO CONFORME</v>
      </c>
    </row>
    <row r="639" spans="1:64" ht="15.75" thickBot="1" x14ac:dyDescent="0.3">
      <c r="A639" s="37">
        <v>631</v>
      </c>
      <c r="B639" s="93">
        <f t="shared" ref="B639:E639" si="4436">B638</f>
        <v>45919</v>
      </c>
      <c r="C639" s="93">
        <f t="shared" si="4436"/>
        <v>45919</v>
      </c>
      <c r="D639" s="94">
        <f t="shared" si="4436"/>
        <v>6</v>
      </c>
      <c r="E639" s="95">
        <f t="shared" si="4436"/>
        <v>15</v>
      </c>
      <c r="F639" s="58"/>
      <c r="G639" s="90"/>
      <c r="H639" s="97">
        <f t="shared" ref="H639:L639" si="4437">H638</f>
        <v>25.6</v>
      </c>
      <c r="I639" s="98">
        <f t="shared" si="4437"/>
        <v>0</v>
      </c>
      <c r="J639" s="99">
        <f t="shared" si="4437"/>
        <v>20.9</v>
      </c>
      <c r="K639" s="99">
        <f t="shared" si="4437"/>
        <v>7.883</v>
      </c>
      <c r="L639" s="99">
        <f t="shared" si="4437"/>
        <v>0.55400000000000005</v>
      </c>
      <c r="M639" s="59"/>
      <c r="N639" s="59"/>
      <c r="O639" s="100">
        <f t="shared" ref="O639:P639" si="4438">O638</f>
        <v>100.62</v>
      </c>
      <c r="P639" s="101" t="str">
        <f t="shared" si="4438"/>
        <v>2,29,560</v>
      </c>
      <c r="Q639" s="11" t="str">
        <f t="shared" si="4418"/>
        <v>2</v>
      </c>
      <c r="R639" s="11" t="str">
        <f t="shared" si="4419"/>
        <v>29,560</v>
      </c>
      <c r="S639" s="11">
        <f t="shared" si="4420"/>
        <v>4.1544444444444446E-2</v>
      </c>
      <c r="T639" s="14">
        <f t="shared" si="4421"/>
        <v>2421.9844878309709</v>
      </c>
      <c r="U639" s="39">
        <f t="shared" ref="U639:U702" si="4439">+(((N639-M639-O639)/O639)*100)</f>
        <v>-100</v>
      </c>
      <c r="V639" s="105">
        <f t="shared" ref="V639:X639" si="4440">V638</f>
        <v>20.399999999999999</v>
      </c>
      <c r="W639" s="105">
        <f t="shared" si="4440"/>
        <v>1.5069999999999999</v>
      </c>
      <c r="X639" s="106">
        <f t="shared" si="4440"/>
        <v>1.504</v>
      </c>
      <c r="Y639" s="59"/>
      <c r="Z639" s="59"/>
      <c r="AA639" s="107">
        <f t="shared" ref="AA639:AB639" si="4441">AA638</f>
        <v>10.015000000000001</v>
      </c>
      <c r="AB639" s="108" t="str">
        <f t="shared" si="4441"/>
        <v>22,10,090</v>
      </c>
      <c r="AC639" s="11" t="str">
        <f t="shared" si="4424"/>
        <v>22</v>
      </c>
      <c r="AD639" s="11" t="str">
        <f t="shared" si="4425"/>
        <v>10,090</v>
      </c>
      <c r="AE639" s="11">
        <f t="shared" si="4426"/>
        <v>0.36946944444444441</v>
      </c>
      <c r="AF639" s="14">
        <f t="shared" ref="AF639:AF702" si="4442">+AA639/AE639</f>
        <v>27.106436406558959</v>
      </c>
      <c r="AG639" s="41">
        <f t="shared" ref="AG639:AG702" si="4443">+(((Z639-Y639-AA639)/AA639)*100)</f>
        <v>-100</v>
      </c>
      <c r="AH639" s="105">
        <f t="shared" ref="AH639:AJ639" si="4444">AH638</f>
        <v>20.3</v>
      </c>
      <c r="AI639" s="105">
        <f t="shared" si="4444"/>
        <v>1.5089999999999999</v>
      </c>
      <c r="AJ639" s="105">
        <f t="shared" si="4444"/>
        <v>1.504</v>
      </c>
      <c r="AK639" s="53">
        <f t="shared" si="4357"/>
        <v>0</v>
      </c>
      <c r="AL639" s="59"/>
      <c r="AM639" s="54">
        <f t="shared" ref="AM639:AN639" si="4445">AM638</f>
        <v>5.0129999999999999</v>
      </c>
      <c r="AN639" s="101" t="str">
        <f t="shared" si="4445"/>
        <v>17,59,050</v>
      </c>
      <c r="AO639" s="11" t="str">
        <f t="shared" si="4429"/>
        <v>17</v>
      </c>
      <c r="AP639" s="11" t="str">
        <f t="shared" si="4430"/>
        <v>59,050</v>
      </c>
      <c r="AQ639" s="11">
        <f t="shared" si="4431"/>
        <v>0.29973611111111109</v>
      </c>
      <c r="AR639" s="14">
        <f t="shared" ref="AR639:AR702" si="4446">+AM639/AQ639</f>
        <v>16.724711551827998</v>
      </c>
      <c r="AS639" s="41">
        <f t="shared" ref="AS639:AS702" si="4447">+(((AL639-AK639-AM639)/AM639)*100)</f>
        <v>-100</v>
      </c>
      <c r="AT639" s="43" t="str">
        <f t="shared" ref="AT639:AT702" si="4448">IF(I639&gt;=1,"NO CONFORME",IF(BK639="SIGDIFERENTES",BC639,BL639))</f>
        <v>NO CONFORME</v>
      </c>
      <c r="AU639" s="8" t="b">
        <f t="shared" si="4054"/>
        <v>1</v>
      </c>
      <c r="AV639" s="8" t="b">
        <f t="shared" si="4432"/>
        <v>0</v>
      </c>
      <c r="AW639" s="8" t="b">
        <f t="shared" si="4433"/>
        <v>1</v>
      </c>
      <c r="AX639" s="8" t="str">
        <f t="shared" si="4434"/>
        <v>Qcorrecto</v>
      </c>
      <c r="AY639" s="22" t="str">
        <f t="shared" ref="AY639:AY702" si="4449">IF(AR639&lt;$AH$6,"error",IF(AR639&gt;$AH$6*1.1,"error","aceptable"))</f>
        <v>aceptable</v>
      </c>
      <c r="AZ639" s="22" t="str">
        <f t="shared" ref="AZ639:AZ702" si="4450">IF(AF639&lt;$V$6,"error",IF(AF639&gt;$V$6*1.1,"error","aceptable"))</f>
        <v>aceptable</v>
      </c>
      <c r="BA639" s="22" t="str">
        <f t="shared" si="4435"/>
        <v>aceptable</v>
      </c>
      <c r="BB639" s="25" t="str">
        <f t="shared" ref="BB639:BB702" si="4451">(IF(ABS(U639)&lt;1.05,"CONFORME",IF(ABS(AG639)&lt;1.05,"CONFORME",IF(ABS(AS639)&lt;2.55,"CONFORME","NO CONFORME"))))</f>
        <v>NO CONFORME</v>
      </c>
      <c r="BC639" s="5" t="str">
        <f t="shared" ref="BC639:BC702" si="4452">(IF(ABS(U639)&gt;2.05,"NO CONFORME",IF(ABS(AG639)&gt;2.05,"NO CONFORME",IF(ABS(AS639)&gt;5.05,"NO CONFORME","CONFORME"))))</f>
        <v>NO CONFORME</v>
      </c>
      <c r="BD639" s="15">
        <f t="shared" ref="BD639:BD702" si="4453">SIGN(U639)</f>
        <v>-1</v>
      </c>
      <c r="BE639" s="15">
        <f t="shared" ref="BE639:BE702" si="4454">SIGN(AG639)</f>
        <v>-1</v>
      </c>
      <c r="BF639" s="15">
        <f t="shared" ref="BF639:BF702" si="4455">SIGN(AS639)</f>
        <v>-1</v>
      </c>
      <c r="BG639" s="15" t="str">
        <f t="shared" ref="BG639:BG702" si="4456">CONCATENATE(BD639,BE639,BF639)</f>
        <v>-1-1-1</v>
      </c>
      <c r="BH639" s="15" t="str">
        <f t="shared" ref="BH639:BH702" si="4457">IF(BG639="111","SI","SD")</f>
        <v>SD</v>
      </c>
      <c r="BI639" s="15" t="str">
        <f t="shared" ref="BI639:BI702" si="4458">IF(BG639="-1-1-1","SI","SD")</f>
        <v>SI</v>
      </c>
      <c r="BJ639" s="15" t="b">
        <f t="shared" ref="BJ639:BJ702" si="4459">OR(BH639="SI",BI639="SI")</f>
        <v>1</v>
      </c>
      <c r="BK639" s="15" t="str">
        <f t="shared" ref="BK639:BK702" si="4460">IF(BJ639=FALSE,"SIGDIFERENTES","SIGIGUALES")</f>
        <v>SIGIGUALES</v>
      </c>
      <c r="BL639" s="22" t="str">
        <f t="shared" ref="BL639:BL702" si="4461">IF(BC639="NO CONFORME","NO CONFORME",IF(BB639="CONFORME","CONFORME","NO CONFORME"))</f>
        <v>NO CONFORME</v>
      </c>
    </row>
    <row r="640" spans="1:64" ht="15.75" thickBot="1" x14ac:dyDescent="0.3">
      <c r="A640" s="37">
        <v>632</v>
      </c>
      <c r="B640" s="93">
        <f t="shared" ref="B640:E640" si="4462">B639</f>
        <v>45919</v>
      </c>
      <c r="C640" s="93">
        <f t="shared" si="4462"/>
        <v>45919</v>
      </c>
      <c r="D640" s="94">
        <f t="shared" si="4462"/>
        <v>6</v>
      </c>
      <c r="E640" s="95">
        <f t="shared" si="4462"/>
        <v>15</v>
      </c>
      <c r="F640" s="13"/>
      <c r="G640" s="90"/>
      <c r="H640" s="97">
        <f t="shared" ref="H640:L640" si="4463">H639</f>
        <v>25.6</v>
      </c>
      <c r="I640" s="98">
        <f t="shared" si="4463"/>
        <v>0</v>
      </c>
      <c r="J640" s="99">
        <f t="shared" si="4463"/>
        <v>20.9</v>
      </c>
      <c r="K640" s="99">
        <f t="shared" si="4463"/>
        <v>7.883</v>
      </c>
      <c r="L640" s="99">
        <f t="shared" si="4463"/>
        <v>0.55400000000000005</v>
      </c>
      <c r="M640" s="45"/>
      <c r="N640" s="45"/>
      <c r="O640" s="100">
        <f t="shared" ref="O640:P640" si="4464">O639</f>
        <v>100.62</v>
      </c>
      <c r="P640" s="101" t="str">
        <f t="shared" si="4464"/>
        <v>2,29,560</v>
      </c>
      <c r="Q640" s="11" t="str">
        <f t="shared" ref="Q640:Q703" si="4465">LEFT(P640,1)</f>
        <v>2</v>
      </c>
      <c r="R640" s="11" t="str">
        <f t="shared" ref="R640:R703" si="4466">RIGHT(P640,6)</f>
        <v>29,560</v>
      </c>
      <c r="S640" s="11">
        <f t="shared" ref="S640:S703" si="4467">+(Q640*60+R640)/(60*60)</f>
        <v>4.1544444444444446E-2</v>
      </c>
      <c r="T640" s="14">
        <f t="shared" ref="T640:T703" si="4468">+O640/S640</f>
        <v>2421.9844878309709</v>
      </c>
      <c r="U640" s="39">
        <f t="shared" si="4439"/>
        <v>-100</v>
      </c>
      <c r="V640" s="105">
        <f t="shared" ref="V640:X640" si="4469">V639</f>
        <v>20.399999999999999</v>
      </c>
      <c r="W640" s="105">
        <f t="shared" si="4469"/>
        <v>1.5069999999999999</v>
      </c>
      <c r="X640" s="106">
        <f t="shared" si="4469"/>
        <v>1.504</v>
      </c>
      <c r="Y640" s="45"/>
      <c r="Z640" s="45"/>
      <c r="AA640" s="107">
        <f t="shared" ref="AA640:AB640" si="4470">AA639</f>
        <v>10.015000000000001</v>
      </c>
      <c r="AB640" s="108" t="str">
        <f t="shared" si="4470"/>
        <v>22,10,090</v>
      </c>
      <c r="AC640" s="11" t="str">
        <f t="shared" ref="AC640:AC703" si="4471">LEFT(AB640,2)</f>
        <v>22</v>
      </c>
      <c r="AD640" s="11" t="str">
        <f t="shared" ref="AD640:AD703" si="4472">RIGHT(AB640,6)</f>
        <v>10,090</v>
      </c>
      <c r="AE640" s="11">
        <f t="shared" ref="AE640:AE703" si="4473">+(AC640*60+AD640)/(60*60)</f>
        <v>0.36946944444444441</v>
      </c>
      <c r="AF640" s="14">
        <f t="shared" si="4442"/>
        <v>27.106436406558959</v>
      </c>
      <c r="AG640" s="41">
        <f t="shared" si="4443"/>
        <v>-100</v>
      </c>
      <c r="AH640" s="105">
        <f t="shared" ref="AH640:AJ640" si="4474">AH639</f>
        <v>20.3</v>
      </c>
      <c r="AI640" s="105">
        <f t="shared" si="4474"/>
        <v>1.5089999999999999</v>
      </c>
      <c r="AJ640" s="105">
        <f t="shared" si="4474"/>
        <v>1.504</v>
      </c>
      <c r="AK640" s="53">
        <f t="shared" si="4357"/>
        <v>0</v>
      </c>
      <c r="AL640" s="45"/>
      <c r="AM640" s="54">
        <f t="shared" ref="AM640:AN640" si="4475">AM639</f>
        <v>5.0129999999999999</v>
      </c>
      <c r="AN640" s="101" t="str">
        <f t="shared" si="4475"/>
        <v>17,59,050</v>
      </c>
      <c r="AO640" s="11" t="str">
        <f t="shared" ref="AO640:AO703" si="4476">LEFT(AN640,2)</f>
        <v>17</v>
      </c>
      <c r="AP640" s="11" t="str">
        <f t="shared" ref="AP640:AP703" si="4477">RIGHT(AN640,6)</f>
        <v>59,050</v>
      </c>
      <c r="AQ640" s="11">
        <f t="shared" ref="AQ640:AQ703" si="4478">+(AO640*60+AP640)/(60*60)</f>
        <v>0.29973611111111109</v>
      </c>
      <c r="AR640" s="14">
        <f t="shared" si="4446"/>
        <v>16.724711551827998</v>
      </c>
      <c r="AS640" s="41">
        <f t="shared" si="4447"/>
        <v>-100</v>
      </c>
      <c r="AT640" s="43" t="str">
        <f t="shared" si="4448"/>
        <v>NO CONFORME</v>
      </c>
      <c r="AU640" s="8" t="b">
        <f t="shared" si="4054"/>
        <v>1</v>
      </c>
      <c r="AV640" s="8" t="b">
        <f t="shared" ref="AV640:AV703" si="4479">N640&lt;Y640</f>
        <v>0</v>
      </c>
      <c r="AW640" s="8" t="b">
        <f t="shared" ref="AW640:AW703" si="4480">Z640&lt;=AK640</f>
        <v>1</v>
      </c>
      <c r="AX640" s="8" t="str">
        <f t="shared" ref="AX640:AX703" si="4481">IF(I640&gt;=1,"Qcorrecto",IF(AND(AY640="aceptable",AZ640="aceptable",BA640="aceptable"),"Qcorrecto","Qincorrecto"))</f>
        <v>Qcorrecto</v>
      </c>
      <c r="AY640" s="22" t="str">
        <f t="shared" si="4449"/>
        <v>aceptable</v>
      </c>
      <c r="AZ640" s="22" t="str">
        <f t="shared" si="4450"/>
        <v>aceptable</v>
      </c>
      <c r="BA640" s="22" t="str">
        <f t="shared" ref="BA640:BA703" si="4482">IF(T640&lt;$J$6*0.9,"error",IF(T640&gt;$J$6,"error","aceptable"))</f>
        <v>aceptable</v>
      </c>
      <c r="BB640" s="25" t="str">
        <f t="shared" si="4451"/>
        <v>NO CONFORME</v>
      </c>
      <c r="BC640" s="5" t="str">
        <f t="shared" si="4452"/>
        <v>NO CONFORME</v>
      </c>
      <c r="BD640" s="15">
        <f t="shared" si="4453"/>
        <v>-1</v>
      </c>
      <c r="BE640" s="15">
        <f t="shared" si="4454"/>
        <v>-1</v>
      </c>
      <c r="BF640" s="15">
        <f t="shared" si="4455"/>
        <v>-1</v>
      </c>
      <c r="BG640" s="15" t="str">
        <f t="shared" si="4456"/>
        <v>-1-1-1</v>
      </c>
      <c r="BH640" s="15" t="str">
        <f t="shared" si="4457"/>
        <v>SD</v>
      </c>
      <c r="BI640" s="15" t="str">
        <f t="shared" si="4458"/>
        <v>SI</v>
      </c>
      <c r="BJ640" s="15" t="b">
        <f t="shared" si="4459"/>
        <v>1</v>
      </c>
      <c r="BK640" s="15" t="str">
        <f t="shared" si="4460"/>
        <v>SIGIGUALES</v>
      </c>
      <c r="BL640" s="22" t="str">
        <f t="shared" si="4461"/>
        <v>NO CONFORME</v>
      </c>
    </row>
    <row r="641" spans="1:64" ht="15.75" thickBot="1" x14ac:dyDescent="0.3">
      <c r="A641" s="37">
        <v>633</v>
      </c>
      <c r="B641" s="93">
        <f t="shared" ref="B641:E641" si="4483">B640</f>
        <v>45919</v>
      </c>
      <c r="C641" s="93">
        <f t="shared" si="4483"/>
        <v>45919</v>
      </c>
      <c r="D641" s="94">
        <f t="shared" si="4483"/>
        <v>6</v>
      </c>
      <c r="E641" s="95">
        <f t="shared" si="4483"/>
        <v>15</v>
      </c>
      <c r="F641" s="13"/>
      <c r="G641" s="90"/>
      <c r="H641" s="97">
        <f t="shared" ref="H641:L641" si="4484">H640</f>
        <v>25.6</v>
      </c>
      <c r="I641" s="98">
        <f t="shared" si="4484"/>
        <v>0</v>
      </c>
      <c r="J641" s="99">
        <f t="shared" si="4484"/>
        <v>20.9</v>
      </c>
      <c r="K641" s="99">
        <f t="shared" si="4484"/>
        <v>7.883</v>
      </c>
      <c r="L641" s="99">
        <f t="shared" si="4484"/>
        <v>0.55400000000000005</v>
      </c>
      <c r="M641" s="45"/>
      <c r="N641" s="45"/>
      <c r="O641" s="100">
        <f t="shared" ref="O641:P641" si="4485">O640</f>
        <v>100.62</v>
      </c>
      <c r="P641" s="101" t="str">
        <f t="shared" si="4485"/>
        <v>2,29,560</v>
      </c>
      <c r="Q641" s="11" t="str">
        <f t="shared" si="4465"/>
        <v>2</v>
      </c>
      <c r="R641" s="11" t="str">
        <f t="shared" si="4466"/>
        <v>29,560</v>
      </c>
      <c r="S641" s="11">
        <f t="shared" si="4467"/>
        <v>4.1544444444444446E-2</v>
      </c>
      <c r="T641" s="14">
        <f t="shared" si="4468"/>
        <v>2421.9844878309709</v>
      </c>
      <c r="U641" s="39">
        <f t="shared" si="4439"/>
        <v>-100</v>
      </c>
      <c r="V641" s="105">
        <f t="shared" ref="V641:X641" si="4486">V640</f>
        <v>20.399999999999999</v>
      </c>
      <c r="W641" s="105">
        <f t="shared" si="4486"/>
        <v>1.5069999999999999</v>
      </c>
      <c r="X641" s="106">
        <f t="shared" si="4486"/>
        <v>1.504</v>
      </c>
      <c r="Y641" s="45"/>
      <c r="Z641" s="45"/>
      <c r="AA641" s="107">
        <f t="shared" ref="AA641:AB641" si="4487">AA640</f>
        <v>10.015000000000001</v>
      </c>
      <c r="AB641" s="108" t="str">
        <f t="shared" si="4487"/>
        <v>22,10,090</v>
      </c>
      <c r="AC641" s="11" t="str">
        <f t="shared" si="4471"/>
        <v>22</v>
      </c>
      <c r="AD641" s="11" t="str">
        <f t="shared" si="4472"/>
        <v>10,090</v>
      </c>
      <c r="AE641" s="11">
        <f t="shared" si="4473"/>
        <v>0.36946944444444441</v>
      </c>
      <c r="AF641" s="14">
        <f t="shared" si="4442"/>
        <v>27.106436406558959</v>
      </c>
      <c r="AG641" s="41">
        <f t="shared" si="4443"/>
        <v>-100</v>
      </c>
      <c r="AH641" s="105">
        <f t="shared" ref="AH641:AJ641" si="4488">AH640</f>
        <v>20.3</v>
      </c>
      <c r="AI641" s="105">
        <f t="shared" si="4488"/>
        <v>1.5089999999999999</v>
      </c>
      <c r="AJ641" s="105">
        <f t="shared" si="4488"/>
        <v>1.504</v>
      </c>
      <c r="AK641" s="53">
        <f t="shared" si="4357"/>
        <v>0</v>
      </c>
      <c r="AL641" s="45"/>
      <c r="AM641" s="54">
        <f t="shared" ref="AM641:AN641" si="4489">AM640</f>
        <v>5.0129999999999999</v>
      </c>
      <c r="AN641" s="101" t="str">
        <f t="shared" si="4489"/>
        <v>17,59,050</v>
      </c>
      <c r="AO641" s="11" t="str">
        <f t="shared" si="4476"/>
        <v>17</v>
      </c>
      <c r="AP641" s="11" t="str">
        <f t="shared" si="4477"/>
        <v>59,050</v>
      </c>
      <c r="AQ641" s="11">
        <f t="shared" si="4478"/>
        <v>0.29973611111111109</v>
      </c>
      <c r="AR641" s="14">
        <f t="shared" si="4446"/>
        <v>16.724711551827998</v>
      </c>
      <c r="AS641" s="41">
        <f t="shared" si="4447"/>
        <v>-100</v>
      </c>
      <c r="AT641" s="43" t="str">
        <f t="shared" si="4448"/>
        <v>NO CONFORME</v>
      </c>
      <c r="AU641" s="8" t="b">
        <f t="shared" si="4054"/>
        <v>1</v>
      </c>
      <c r="AV641" s="8" t="b">
        <f t="shared" si="4479"/>
        <v>0</v>
      </c>
      <c r="AW641" s="8" t="b">
        <f t="shared" si="4480"/>
        <v>1</v>
      </c>
      <c r="AX641" s="8" t="str">
        <f t="shared" si="4481"/>
        <v>Qcorrecto</v>
      </c>
      <c r="AY641" s="22" t="str">
        <f t="shared" si="4449"/>
        <v>aceptable</v>
      </c>
      <c r="AZ641" s="22" t="str">
        <f t="shared" si="4450"/>
        <v>aceptable</v>
      </c>
      <c r="BA641" s="22" t="str">
        <f t="shared" si="4482"/>
        <v>aceptable</v>
      </c>
      <c r="BB641" s="25" t="str">
        <f t="shared" si="4451"/>
        <v>NO CONFORME</v>
      </c>
      <c r="BC641" s="5" t="str">
        <f t="shared" si="4452"/>
        <v>NO CONFORME</v>
      </c>
      <c r="BD641" s="15">
        <f t="shared" si="4453"/>
        <v>-1</v>
      </c>
      <c r="BE641" s="15">
        <f t="shared" si="4454"/>
        <v>-1</v>
      </c>
      <c r="BF641" s="15">
        <f t="shared" si="4455"/>
        <v>-1</v>
      </c>
      <c r="BG641" s="15" t="str">
        <f t="shared" si="4456"/>
        <v>-1-1-1</v>
      </c>
      <c r="BH641" s="15" t="str">
        <f t="shared" si="4457"/>
        <v>SD</v>
      </c>
      <c r="BI641" s="15" t="str">
        <f t="shared" si="4458"/>
        <v>SI</v>
      </c>
      <c r="BJ641" s="15" t="b">
        <f t="shared" si="4459"/>
        <v>1</v>
      </c>
      <c r="BK641" s="15" t="str">
        <f t="shared" si="4460"/>
        <v>SIGIGUALES</v>
      </c>
      <c r="BL641" s="22" t="str">
        <f t="shared" si="4461"/>
        <v>NO CONFORME</v>
      </c>
    </row>
    <row r="642" spans="1:64" ht="15.75" thickBot="1" x14ac:dyDescent="0.3">
      <c r="A642" s="37">
        <v>634</v>
      </c>
      <c r="B642" s="93">
        <f t="shared" ref="B642:E642" si="4490">B641</f>
        <v>45919</v>
      </c>
      <c r="C642" s="93">
        <f t="shared" si="4490"/>
        <v>45919</v>
      </c>
      <c r="D642" s="94">
        <f t="shared" si="4490"/>
        <v>6</v>
      </c>
      <c r="E642" s="95">
        <f t="shared" si="4490"/>
        <v>15</v>
      </c>
      <c r="F642" s="13"/>
      <c r="G642" s="90"/>
      <c r="H642" s="97">
        <f t="shared" ref="H642:L642" si="4491">H641</f>
        <v>25.6</v>
      </c>
      <c r="I642" s="98">
        <f t="shared" si="4491"/>
        <v>0</v>
      </c>
      <c r="J642" s="99">
        <f t="shared" si="4491"/>
        <v>20.9</v>
      </c>
      <c r="K642" s="99">
        <f t="shared" si="4491"/>
        <v>7.883</v>
      </c>
      <c r="L642" s="99">
        <f t="shared" si="4491"/>
        <v>0.55400000000000005</v>
      </c>
      <c r="M642" s="45"/>
      <c r="N642" s="45"/>
      <c r="O642" s="100">
        <f t="shared" ref="O642:P642" si="4492">O641</f>
        <v>100.62</v>
      </c>
      <c r="P642" s="101" t="str">
        <f t="shared" si="4492"/>
        <v>2,29,560</v>
      </c>
      <c r="Q642" s="11" t="str">
        <f t="shared" si="4465"/>
        <v>2</v>
      </c>
      <c r="R642" s="11" t="str">
        <f t="shared" si="4466"/>
        <v>29,560</v>
      </c>
      <c r="S642" s="11">
        <f t="shared" si="4467"/>
        <v>4.1544444444444446E-2</v>
      </c>
      <c r="T642" s="14">
        <f t="shared" si="4468"/>
        <v>2421.9844878309709</v>
      </c>
      <c r="U642" s="39">
        <f t="shared" si="4439"/>
        <v>-100</v>
      </c>
      <c r="V642" s="105">
        <f t="shared" ref="V642:X642" si="4493">V641</f>
        <v>20.399999999999999</v>
      </c>
      <c r="W642" s="105">
        <f t="shared" si="4493"/>
        <v>1.5069999999999999</v>
      </c>
      <c r="X642" s="106">
        <f t="shared" si="4493"/>
        <v>1.504</v>
      </c>
      <c r="Y642" s="45"/>
      <c r="Z642" s="45"/>
      <c r="AA642" s="107">
        <f t="shared" ref="AA642:AB642" si="4494">AA641</f>
        <v>10.015000000000001</v>
      </c>
      <c r="AB642" s="108" t="str">
        <f t="shared" si="4494"/>
        <v>22,10,090</v>
      </c>
      <c r="AC642" s="11" t="str">
        <f t="shared" si="4471"/>
        <v>22</v>
      </c>
      <c r="AD642" s="11" t="str">
        <f t="shared" si="4472"/>
        <v>10,090</v>
      </c>
      <c r="AE642" s="11">
        <f t="shared" si="4473"/>
        <v>0.36946944444444441</v>
      </c>
      <c r="AF642" s="14">
        <f t="shared" si="4442"/>
        <v>27.106436406558959</v>
      </c>
      <c r="AG642" s="41">
        <f t="shared" si="4443"/>
        <v>-100</v>
      </c>
      <c r="AH642" s="105">
        <f t="shared" ref="AH642:AJ642" si="4495">AH641</f>
        <v>20.3</v>
      </c>
      <c r="AI642" s="105">
        <f t="shared" si="4495"/>
        <v>1.5089999999999999</v>
      </c>
      <c r="AJ642" s="105">
        <f t="shared" si="4495"/>
        <v>1.504</v>
      </c>
      <c r="AK642" s="53">
        <f t="shared" si="4357"/>
        <v>0</v>
      </c>
      <c r="AL642" s="45"/>
      <c r="AM642" s="54">
        <f t="shared" ref="AM642:AN642" si="4496">AM641</f>
        <v>5.0129999999999999</v>
      </c>
      <c r="AN642" s="101" t="str">
        <f t="shared" si="4496"/>
        <v>17,59,050</v>
      </c>
      <c r="AO642" s="11" t="str">
        <f t="shared" si="4476"/>
        <v>17</v>
      </c>
      <c r="AP642" s="11" t="str">
        <f t="shared" si="4477"/>
        <v>59,050</v>
      </c>
      <c r="AQ642" s="11">
        <f t="shared" si="4478"/>
        <v>0.29973611111111109</v>
      </c>
      <c r="AR642" s="14">
        <f t="shared" si="4446"/>
        <v>16.724711551827998</v>
      </c>
      <c r="AS642" s="41">
        <f t="shared" si="4447"/>
        <v>-100</v>
      </c>
      <c r="AT642" s="43" t="str">
        <f t="shared" si="4448"/>
        <v>NO CONFORME</v>
      </c>
      <c r="AU642" s="8" t="b">
        <f t="shared" si="4054"/>
        <v>1</v>
      </c>
      <c r="AV642" s="8" t="b">
        <f t="shared" si="4479"/>
        <v>0</v>
      </c>
      <c r="AW642" s="8" t="b">
        <f t="shared" si="4480"/>
        <v>1</v>
      </c>
      <c r="AX642" s="8" t="str">
        <f t="shared" si="4481"/>
        <v>Qcorrecto</v>
      </c>
      <c r="AY642" s="22" t="str">
        <f t="shared" si="4449"/>
        <v>aceptable</v>
      </c>
      <c r="AZ642" s="22" t="str">
        <f t="shared" si="4450"/>
        <v>aceptable</v>
      </c>
      <c r="BA642" s="22" t="str">
        <f t="shared" si="4482"/>
        <v>aceptable</v>
      </c>
      <c r="BB642" s="25" t="str">
        <f t="shared" si="4451"/>
        <v>NO CONFORME</v>
      </c>
      <c r="BC642" s="5" t="str">
        <f t="shared" si="4452"/>
        <v>NO CONFORME</v>
      </c>
      <c r="BD642" s="15">
        <f t="shared" si="4453"/>
        <v>-1</v>
      </c>
      <c r="BE642" s="15">
        <f t="shared" si="4454"/>
        <v>-1</v>
      </c>
      <c r="BF642" s="15">
        <f t="shared" si="4455"/>
        <v>-1</v>
      </c>
      <c r="BG642" s="15" t="str">
        <f t="shared" si="4456"/>
        <v>-1-1-1</v>
      </c>
      <c r="BH642" s="15" t="str">
        <f t="shared" si="4457"/>
        <v>SD</v>
      </c>
      <c r="BI642" s="15" t="str">
        <f t="shared" si="4458"/>
        <v>SI</v>
      </c>
      <c r="BJ642" s="15" t="b">
        <f t="shared" si="4459"/>
        <v>1</v>
      </c>
      <c r="BK642" s="15" t="str">
        <f t="shared" si="4460"/>
        <v>SIGIGUALES</v>
      </c>
      <c r="BL642" s="22" t="str">
        <f t="shared" si="4461"/>
        <v>NO CONFORME</v>
      </c>
    </row>
    <row r="643" spans="1:64" ht="15.75" thickBot="1" x14ac:dyDescent="0.3">
      <c r="A643" s="37">
        <v>635</v>
      </c>
      <c r="B643" s="93">
        <f t="shared" ref="B643:E643" si="4497">B642</f>
        <v>45919</v>
      </c>
      <c r="C643" s="93">
        <f t="shared" si="4497"/>
        <v>45919</v>
      </c>
      <c r="D643" s="94">
        <f t="shared" si="4497"/>
        <v>6</v>
      </c>
      <c r="E643" s="95">
        <f t="shared" si="4497"/>
        <v>15</v>
      </c>
      <c r="F643" s="13"/>
      <c r="G643" s="90"/>
      <c r="H643" s="97">
        <f t="shared" ref="H643:L643" si="4498">H642</f>
        <v>25.6</v>
      </c>
      <c r="I643" s="98">
        <f t="shared" si="4498"/>
        <v>0</v>
      </c>
      <c r="J643" s="99">
        <f t="shared" si="4498"/>
        <v>20.9</v>
      </c>
      <c r="K643" s="99">
        <f t="shared" si="4498"/>
        <v>7.883</v>
      </c>
      <c r="L643" s="99">
        <f t="shared" si="4498"/>
        <v>0.55400000000000005</v>
      </c>
      <c r="M643" s="45"/>
      <c r="N643" s="45"/>
      <c r="O643" s="100">
        <f t="shared" ref="O643:P643" si="4499">O642</f>
        <v>100.62</v>
      </c>
      <c r="P643" s="101" t="str">
        <f t="shared" si="4499"/>
        <v>2,29,560</v>
      </c>
      <c r="Q643" s="11" t="str">
        <f t="shared" si="4465"/>
        <v>2</v>
      </c>
      <c r="R643" s="11" t="str">
        <f t="shared" si="4466"/>
        <v>29,560</v>
      </c>
      <c r="S643" s="11">
        <f t="shared" si="4467"/>
        <v>4.1544444444444446E-2</v>
      </c>
      <c r="T643" s="14">
        <f t="shared" si="4468"/>
        <v>2421.9844878309709</v>
      </c>
      <c r="U643" s="39">
        <f t="shared" si="4439"/>
        <v>-100</v>
      </c>
      <c r="V643" s="105">
        <f t="shared" ref="V643:X643" si="4500">V642</f>
        <v>20.399999999999999</v>
      </c>
      <c r="W643" s="105">
        <f t="shared" si="4500"/>
        <v>1.5069999999999999</v>
      </c>
      <c r="X643" s="106">
        <f t="shared" si="4500"/>
        <v>1.504</v>
      </c>
      <c r="Y643" s="45"/>
      <c r="Z643" s="45"/>
      <c r="AA643" s="107">
        <f t="shared" ref="AA643:AB643" si="4501">AA642</f>
        <v>10.015000000000001</v>
      </c>
      <c r="AB643" s="108" t="str">
        <f t="shared" si="4501"/>
        <v>22,10,090</v>
      </c>
      <c r="AC643" s="11" t="str">
        <f t="shared" si="4471"/>
        <v>22</v>
      </c>
      <c r="AD643" s="11" t="str">
        <f t="shared" si="4472"/>
        <v>10,090</v>
      </c>
      <c r="AE643" s="11">
        <f t="shared" si="4473"/>
        <v>0.36946944444444441</v>
      </c>
      <c r="AF643" s="14">
        <f t="shared" si="4442"/>
        <v>27.106436406558959</v>
      </c>
      <c r="AG643" s="41">
        <f t="shared" si="4443"/>
        <v>-100</v>
      </c>
      <c r="AH643" s="105">
        <f t="shared" ref="AH643:AJ643" si="4502">AH642</f>
        <v>20.3</v>
      </c>
      <c r="AI643" s="105">
        <f t="shared" si="4502"/>
        <v>1.5089999999999999</v>
      </c>
      <c r="AJ643" s="105">
        <f t="shared" si="4502"/>
        <v>1.504</v>
      </c>
      <c r="AK643" s="53">
        <f t="shared" si="4357"/>
        <v>0</v>
      </c>
      <c r="AL643" s="45"/>
      <c r="AM643" s="54">
        <f t="shared" ref="AM643:AN643" si="4503">AM642</f>
        <v>5.0129999999999999</v>
      </c>
      <c r="AN643" s="101" t="str">
        <f t="shared" si="4503"/>
        <v>17,59,050</v>
      </c>
      <c r="AO643" s="11" t="str">
        <f t="shared" si="4476"/>
        <v>17</v>
      </c>
      <c r="AP643" s="11" t="str">
        <f t="shared" si="4477"/>
        <v>59,050</v>
      </c>
      <c r="AQ643" s="11">
        <f t="shared" si="4478"/>
        <v>0.29973611111111109</v>
      </c>
      <c r="AR643" s="14">
        <f t="shared" si="4446"/>
        <v>16.724711551827998</v>
      </c>
      <c r="AS643" s="41">
        <f t="shared" si="4447"/>
        <v>-100</v>
      </c>
      <c r="AT643" s="43" t="str">
        <f t="shared" si="4448"/>
        <v>NO CONFORME</v>
      </c>
      <c r="AU643" s="8" t="b">
        <f t="shared" si="4054"/>
        <v>1</v>
      </c>
      <c r="AV643" s="8" t="b">
        <f t="shared" si="4479"/>
        <v>0</v>
      </c>
      <c r="AW643" s="8" t="b">
        <f t="shared" si="4480"/>
        <v>1</v>
      </c>
      <c r="AX643" s="8" t="str">
        <f t="shared" si="4481"/>
        <v>Qcorrecto</v>
      </c>
      <c r="AY643" s="22" t="str">
        <f t="shared" si="4449"/>
        <v>aceptable</v>
      </c>
      <c r="AZ643" s="22" t="str">
        <f t="shared" si="4450"/>
        <v>aceptable</v>
      </c>
      <c r="BA643" s="22" t="str">
        <f t="shared" si="4482"/>
        <v>aceptable</v>
      </c>
      <c r="BB643" s="25" t="str">
        <f t="shared" si="4451"/>
        <v>NO CONFORME</v>
      </c>
      <c r="BC643" s="5" t="str">
        <f t="shared" si="4452"/>
        <v>NO CONFORME</v>
      </c>
      <c r="BD643" s="15">
        <f t="shared" si="4453"/>
        <v>-1</v>
      </c>
      <c r="BE643" s="15">
        <f t="shared" si="4454"/>
        <v>-1</v>
      </c>
      <c r="BF643" s="15">
        <f t="shared" si="4455"/>
        <v>-1</v>
      </c>
      <c r="BG643" s="15" t="str">
        <f t="shared" si="4456"/>
        <v>-1-1-1</v>
      </c>
      <c r="BH643" s="15" t="str">
        <f t="shared" si="4457"/>
        <v>SD</v>
      </c>
      <c r="BI643" s="15" t="str">
        <f t="shared" si="4458"/>
        <v>SI</v>
      </c>
      <c r="BJ643" s="15" t="b">
        <f t="shared" si="4459"/>
        <v>1</v>
      </c>
      <c r="BK643" s="15" t="str">
        <f t="shared" si="4460"/>
        <v>SIGIGUALES</v>
      </c>
      <c r="BL643" s="22" t="str">
        <f t="shared" si="4461"/>
        <v>NO CONFORME</v>
      </c>
    </row>
    <row r="644" spans="1:64" ht="15.75" thickBot="1" x14ac:dyDescent="0.3">
      <c r="A644" s="37">
        <v>636</v>
      </c>
      <c r="B644" s="93">
        <f t="shared" ref="B644:E644" si="4504">B643</f>
        <v>45919</v>
      </c>
      <c r="C644" s="93">
        <f t="shared" si="4504"/>
        <v>45919</v>
      </c>
      <c r="D644" s="94">
        <f t="shared" si="4504"/>
        <v>6</v>
      </c>
      <c r="E644" s="95">
        <f t="shared" si="4504"/>
        <v>15</v>
      </c>
      <c r="F644" s="13"/>
      <c r="G644" s="90"/>
      <c r="H644" s="97">
        <f t="shared" ref="H644:L644" si="4505">H643</f>
        <v>25.6</v>
      </c>
      <c r="I644" s="98">
        <f t="shared" si="4505"/>
        <v>0</v>
      </c>
      <c r="J644" s="99">
        <f t="shared" si="4505"/>
        <v>20.9</v>
      </c>
      <c r="K644" s="99">
        <f t="shared" si="4505"/>
        <v>7.883</v>
      </c>
      <c r="L644" s="99">
        <f t="shared" si="4505"/>
        <v>0.55400000000000005</v>
      </c>
      <c r="M644" s="45"/>
      <c r="N644" s="45"/>
      <c r="O644" s="100">
        <f t="shared" ref="O644:P644" si="4506">O643</f>
        <v>100.62</v>
      </c>
      <c r="P644" s="101" t="str">
        <f t="shared" si="4506"/>
        <v>2,29,560</v>
      </c>
      <c r="Q644" s="11" t="str">
        <f t="shared" si="4465"/>
        <v>2</v>
      </c>
      <c r="R644" s="11" t="str">
        <f t="shared" si="4466"/>
        <v>29,560</v>
      </c>
      <c r="S644" s="11">
        <f t="shared" si="4467"/>
        <v>4.1544444444444446E-2</v>
      </c>
      <c r="T644" s="14">
        <f t="shared" si="4468"/>
        <v>2421.9844878309709</v>
      </c>
      <c r="U644" s="39">
        <f t="shared" si="4439"/>
        <v>-100</v>
      </c>
      <c r="V644" s="105">
        <f t="shared" ref="V644:X644" si="4507">V643</f>
        <v>20.399999999999999</v>
      </c>
      <c r="W644" s="105">
        <f t="shared" si="4507"/>
        <v>1.5069999999999999</v>
      </c>
      <c r="X644" s="106">
        <f t="shared" si="4507"/>
        <v>1.504</v>
      </c>
      <c r="Y644" s="45"/>
      <c r="Z644" s="45"/>
      <c r="AA644" s="107">
        <f t="shared" ref="AA644:AB644" si="4508">AA643</f>
        <v>10.015000000000001</v>
      </c>
      <c r="AB644" s="108" t="str">
        <f t="shared" si="4508"/>
        <v>22,10,090</v>
      </c>
      <c r="AC644" s="11" t="str">
        <f t="shared" si="4471"/>
        <v>22</v>
      </c>
      <c r="AD644" s="11" t="str">
        <f t="shared" si="4472"/>
        <v>10,090</v>
      </c>
      <c r="AE644" s="11">
        <f t="shared" si="4473"/>
        <v>0.36946944444444441</v>
      </c>
      <c r="AF644" s="14">
        <f t="shared" si="4442"/>
        <v>27.106436406558959</v>
      </c>
      <c r="AG644" s="41">
        <f t="shared" si="4443"/>
        <v>-100</v>
      </c>
      <c r="AH644" s="105">
        <f t="shared" ref="AH644:AJ644" si="4509">AH643</f>
        <v>20.3</v>
      </c>
      <c r="AI644" s="105">
        <f t="shared" si="4509"/>
        <v>1.5089999999999999</v>
      </c>
      <c r="AJ644" s="105">
        <f t="shared" si="4509"/>
        <v>1.504</v>
      </c>
      <c r="AK644" s="53">
        <f t="shared" si="4357"/>
        <v>0</v>
      </c>
      <c r="AL644" s="45"/>
      <c r="AM644" s="54">
        <f t="shared" ref="AM644:AN644" si="4510">AM643</f>
        <v>5.0129999999999999</v>
      </c>
      <c r="AN644" s="101" t="str">
        <f t="shared" si="4510"/>
        <v>17,59,050</v>
      </c>
      <c r="AO644" s="11" t="str">
        <f t="shared" si="4476"/>
        <v>17</v>
      </c>
      <c r="AP644" s="11" t="str">
        <f t="shared" si="4477"/>
        <v>59,050</v>
      </c>
      <c r="AQ644" s="11">
        <f t="shared" si="4478"/>
        <v>0.29973611111111109</v>
      </c>
      <c r="AR644" s="14">
        <f t="shared" si="4446"/>
        <v>16.724711551827998</v>
      </c>
      <c r="AS644" s="41">
        <f t="shared" si="4447"/>
        <v>-100</v>
      </c>
      <c r="AT644" s="43" t="str">
        <f t="shared" si="4448"/>
        <v>NO CONFORME</v>
      </c>
      <c r="AU644" s="8" t="b">
        <f t="shared" si="4054"/>
        <v>1</v>
      </c>
      <c r="AV644" s="8" t="b">
        <f t="shared" si="4479"/>
        <v>0</v>
      </c>
      <c r="AW644" s="8" t="b">
        <f t="shared" si="4480"/>
        <v>1</v>
      </c>
      <c r="AX644" s="8" t="str">
        <f t="shared" si="4481"/>
        <v>Qcorrecto</v>
      </c>
      <c r="AY644" s="22" t="str">
        <f t="shared" si="4449"/>
        <v>aceptable</v>
      </c>
      <c r="AZ644" s="22" t="str">
        <f t="shared" si="4450"/>
        <v>aceptable</v>
      </c>
      <c r="BA644" s="22" t="str">
        <f t="shared" si="4482"/>
        <v>aceptable</v>
      </c>
      <c r="BB644" s="25" t="str">
        <f t="shared" si="4451"/>
        <v>NO CONFORME</v>
      </c>
      <c r="BC644" s="5" t="str">
        <f t="shared" si="4452"/>
        <v>NO CONFORME</v>
      </c>
      <c r="BD644" s="15">
        <f t="shared" si="4453"/>
        <v>-1</v>
      </c>
      <c r="BE644" s="15">
        <f t="shared" si="4454"/>
        <v>-1</v>
      </c>
      <c r="BF644" s="15">
        <f t="shared" si="4455"/>
        <v>-1</v>
      </c>
      <c r="BG644" s="15" t="str">
        <f t="shared" si="4456"/>
        <v>-1-1-1</v>
      </c>
      <c r="BH644" s="15" t="str">
        <f t="shared" si="4457"/>
        <v>SD</v>
      </c>
      <c r="BI644" s="15" t="str">
        <f t="shared" si="4458"/>
        <v>SI</v>
      </c>
      <c r="BJ644" s="15" t="b">
        <f t="shared" si="4459"/>
        <v>1</v>
      </c>
      <c r="BK644" s="15" t="str">
        <f t="shared" si="4460"/>
        <v>SIGIGUALES</v>
      </c>
      <c r="BL644" s="22" t="str">
        <f t="shared" si="4461"/>
        <v>NO CONFORME</v>
      </c>
    </row>
    <row r="645" spans="1:64" ht="15.75" thickBot="1" x14ac:dyDescent="0.3">
      <c r="A645" s="37">
        <v>637</v>
      </c>
      <c r="B645" s="93">
        <f t="shared" ref="B645:E645" si="4511">B644</f>
        <v>45919</v>
      </c>
      <c r="C645" s="93">
        <f t="shared" si="4511"/>
        <v>45919</v>
      </c>
      <c r="D645" s="94">
        <f t="shared" si="4511"/>
        <v>6</v>
      </c>
      <c r="E645" s="95">
        <f t="shared" si="4511"/>
        <v>15</v>
      </c>
      <c r="F645" s="13"/>
      <c r="G645" s="90"/>
      <c r="H645" s="97">
        <f t="shared" ref="H645:L645" si="4512">H644</f>
        <v>25.6</v>
      </c>
      <c r="I645" s="98">
        <f t="shared" si="4512"/>
        <v>0</v>
      </c>
      <c r="J645" s="99">
        <f t="shared" si="4512"/>
        <v>20.9</v>
      </c>
      <c r="K645" s="99">
        <f t="shared" si="4512"/>
        <v>7.883</v>
      </c>
      <c r="L645" s="99">
        <f t="shared" si="4512"/>
        <v>0.55400000000000005</v>
      </c>
      <c r="M645" s="45"/>
      <c r="N645" s="45"/>
      <c r="O645" s="100">
        <f t="shared" ref="O645:P645" si="4513">O644</f>
        <v>100.62</v>
      </c>
      <c r="P645" s="101" t="str">
        <f t="shared" si="4513"/>
        <v>2,29,560</v>
      </c>
      <c r="Q645" s="11" t="str">
        <f t="shared" si="4465"/>
        <v>2</v>
      </c>
      <c r="R645" s="11" t="str">
        <f t="shared" si="4466"/>
        <v>29,560</v>
      </c>
      <c r="S645" s="11">
        <f t="shared" si="4467"/>
        <v>4.1544444444444446E-2</v>
      </c>
      <c r="T645" s="14">
        <f t="shared" si="4468"/>
        <v>2421.9844878309709</v>
      </c>
      <c r="U645" s="39">
        <f t="shared" si="4439"/>
        <v>-100</v>
      </c>
      <c r="V645" s="105">
        <f t="shared" ref="V645:X645" si="4514">V644</f>
        <v>20.399999999999999</v>
      </c>
      <c r="W645" s="105">
        <f t="shared" si="4514"/>
        <v>1.5069999999999999</v>
      </c>
      <c r="X645" s="106">
        <f t="shared" si="4514"/>
        <v>1.504</v>
      </c>
      <c r="Y645" s="45"/>
      <c r="Z645" s="45"/>
      <c r="AA645" s="107">
        <f t="shared" ref="AA645:AB645" si="4515">AA644</f>
        <v>10.015000000000001</v>
      </c>
      <c r="AB645" s="108" t="str">
        <f t="shared" si="4515"/>
        <v>22,10,090</v>
      </c>
      <c r="AC645" s="11" t="str">
        <f t="shared" si="4471"/>
        <v>22</v>
      </c>
      <c r="AD645" s="11" t="str">
        <f t="shared" si="4472"/>
        <v>10,090</v>
      </c>
      <c r="AE645" s="11">
        <f t="shared" si="4473"/>
        <v>0.36946944444444441</v>
      </c>
      <c r="AF645" s="14">
        <f t="shared" si="4442"/>
        <v>27.106436406558959</v>
      </c>
      <c r="AG645" s="41">
        <f t="shared" si="4443"/>
        <v>-100</v>
      </c>
      <c r="AH645" s="105">
        <f t="shared" ref="AH645:AJ645" si="4516">AH644</f>
        <v>20.3</v>
      </c>
      <c r="AI645" s="105">
        <f t="shared" si="4516"/>
        <v>1.5089999999999999</v>
      </c>
      <c r="AJ645" s="105">
        <f t="shared" si="4516"/>
        <v>1.504</v>
      </c>
      <c r="AK645" s="53">
        <f t="shared" si="4357"/>
        <v>0</v>
      </c>
      <c r="AL645" s="45"/>
      <c r="AM645" s="54">
        <f t="shared" ref="AM645:AN645" si="4517">AM644</f>
        <v>5.0129999999999999</v>
      </c>
      <c r="AN645" s="101" t="str">
        <f t="shared" si="4517"/>
        <v>17,59,050</v>
      </c>
      <c r="AO645" s="11" t="str">
        <f t="shared" si="4476"/>
        <v>17</v>
      </c>
      <c r="AP645" s="11" t="str">
        <f t="shared" si="4477"/>
        <v>59,050</v>
      </c>
      <c r="AQ645" s="11">
        <f t="shared" si="4478"/>
        <v>0.29973611111111109</v>
      </c>
      <c r="AR645" s="14">
        <f t="shared" si="4446"/>
        <v>16.724711551827998</v>
      </c>
      <c r="AS645" s="41">
        <f t="shared" si="4447"/>
        <v>-100</v>
      </c>
      <c r="AT645" s="43" t="str">
        <f t="shared" si="4448"/>
        <v>NO CONFORME</v>
      </c>
      <c r="AU645" s="8" t="b">
        <f t="shared" si="4054"/>
        <v>1</v>
      </c>
      <c r="AV645" s="8" t="b">
        <f t="shared" si="4479"/>
        <v>0</v>
      </c>
      <c r="AW645" s="8" t="b">
        <f t="shared" si="4480"/>
        <v>1</v>
      </c>
      <c r="AX645" s="8" t="str">
        <f t="shared" si="4481"/>
        <v>Qcorrecto</v>
      </c>
      <c r="AY645" s="22" t="str">
        <f t="shared" si="4449"/>
        <v>aceptable</v>
      </c>
      <c r="AZ645" s="22" t="str">
        <f t="shared" si="4450"/>
        <v>aceptable</v>
      </c>
      <c r="BA645" s="22" t="str">
        <f t="shared" si="4482"/>
        <v>aceptable</v>
      </c>
      <c r="BB645" s="25" t="str">
        <f t="shared" si="4451"/>
        <v>NO CONFORME</v>
      </c>
      <c r="BC645" s="5" t="str">
        <f t="shared" si="4452"/>
        <v>NO CONFORME</v>
      </c>
      <c r="BD645" s="15">
        <f t="shared" si="4453"/>
        <v>-1</v>
      </c>
      <c r="BE645" s="15">
        <f t="shared" si="4454"/>
        <v>-1</v>
      </c>
      <c r="BF645" s="15">
        <f t="shared" si="4455"/>
        <v>-1</v>
      </c>
      <c r="BG645" s="15" t="str">
        <f t="shared" si="4456"/>
        <v>-1-1-1</v>
      </c>
      <c r="BH645" s="15" t="str">
        <f t="shared" si="4457"/>
        <v>SD</v>
      </c>
      <c r="BI645" s="15" t="str">
        <f t="shared" si="4458"/>
        <v>SI</v>
      </c>
      <c r="BJ645" s="15" t="b">
        <f t="shared" si="4459"/>
        <v>1</v>
      </c>
      <c r="BK645" s="15" t="str">
        <f t="shared" si="4460"/>
        <v>SIGIGUALES</v>
      </c>
      <c r="BL645" s="22" t="str">
        <f t="shared" si="4461"/>
        <v>NO CONFORME</v>
      </c>
    </row>
    <row r="646" spans="1:64" ht="15.75" thickBot="1" x14ac:dyDescent="0.3">
      <c r="A646" s="37">
        <v>638</v>
      </c>
      <c r="B646" s="93">
        <f t="shared" ref="B646:E646" si="4518">B645</f>
        <v>45919</v>
      </c>
      <c r="C646" s="93">
        <f t="shared" si="4518"/>
        <v>45919</v>
      </c>
      <c r="D646" s="94">
        <f t="shared" si="4518"/>
        <v>6</v>
      </c>
      <c r="E646" s="95">
        <f t="shared" si="4518"/>
        <v>15</v>
      </c>
      <c r="F646" s="13"/>
      <c r="G646" s="90"/>
      <c r="H646" s="97">
        <f t="shared" ref="H646:L646" si="4519">H645</f>
        <v>25.6</v>
      </c>
      <c r="I646" s="98">
        <f t="shared" si="4519"/>
        <v>0</v>
      </c>
      <c r="J646" s="99">
        <f t="shared" si="4519"/>
        <v>20.9</v>
      </c>
      <c r="K646" s="99">
        <f t="shared" si="4519"/>
        <v>7.883</v>
      </c>
      <c r="L646" s="99">
        <f t="shared" si="4519"/>
        <v>0.55400000000000005</v>
      </c>
      <c r="M646" s="45"/>
      <c r="N646" s="45"/>
      <c r="O646" s="100">
        <f t="shared" ref="O646:P646" si="4520">O645</f>
        <v>100.62</v>
      </c>
      <c r="P646" s="101" t="str">
        <f t="shared" si="4520"/>
        <v>2,29,560</v>
      </c>
      <c r="Q646" s="11" t="str">
        <f t="shared" si="4465"/>
        <v>2</v>
      </c>
      <c r="R646" s="11" t="str">
        <f t="shared" si="4466"/>
        <v>29,560</v>
      </c>
      <c r="S646" s="11">
        <f t="shared" si="4467"/>
        <v>4.1544444444444446E-2</v>
      </c>
      <c r="T646" s="14">
        <f t="shared" si="4468"/>
        <v>2421.9844878309709</v>
      </c>
      <c r="U646" s="39">
        <f t="shared" si="4439"/>
        <v>-100</v>
      </c>
      <c r="V646" s="105">
        <f t="shared" ref="V646:X646" si="4521">V645</f>
        <v>20.399999999999999</v>
      </c>
      <c r="W646" s="105">
        <f t="shared" si="4521"/>
        <v>1.5069999999999999</v>
      </c>
      <c r="X646" s="106">
        <f t="shared" si="4521"/>
        <v>1.504</v>
      </c>
      <c r="Y646" s="45"/>
      <c r="Z646" s="45"/>
      <c r="AA646" s="107">
        <f t="shared" ref="AA646:AB646" si="4522">AA645</f>
        <v>10.015000000000001</v>
      </c>
      <c r="AB646" s="108" t="str">
        <f t="shared" si="4522"/>
        <v>22,10,090</v>
      </c>
      <c r="AC646" s="11" t="str">
        <f t="shared" si="4471"/>
        <v>22</v>
      </c>
      <c r="AD646" s="11" t="str">
        <f t="shared" si="4472"/>
        <v>10,090</v>
      </c>
      <c r="AE646" s="11">
        <f t="shared" si="4473"/>
        <v>0.36946944444444441</v>
      </c>
      <c r="AF646" s="14">
        <f t="shared" si="4442"/>
        <v>27.106436406558959</v>
      </c>
      <c r="AG646" s="41">
        <f t="shared" si="4443"/>
        <v>-100</v>
      </c>
      <c r="AH646" s="105">
        <f t="shared" ref="AH646:AJ646" si="4523">AH645</f>
        <v>20.3</v>
      </c>
      <c r="AI646" s="105">
        <f t="shared" si="4523"/>
        <v>1.5089999999999999</v>
      </c>
      <c r="AJ646" s="105">
        <f t="shared" si="4523"/>
        <v>1.504</v>
      </c>
      <c r="AK646" s="53">
        <f t="shared" si="4357"/>
        <v>0</v>
      </c>
      <c r="AL646" s="45"/>
      <c r="AM646" s="54">
        <f t="shared" ref="AM646:AN646" si="4524">AM645</f>
        <v>5.0129999999999999</v>
      </c>
      <c r="AN646" s="101" t="str">
        <f t="shared" si="4524"/>
        <v>17,59,050</v>
      </c>
      <c r="AO646" s="11" t="str">
        <f t="shared" si="4476"/>
        <v>17</v>
      </c>
      <c r="AP646" s="11" t="str">
        <f t="shared" si="4477"/>
        <v>59,050</v>
      </c>
      <c r="AQ646" s="11">
        <f t="shared" si="4478"/>
        <v>0.29973611111111109</v>
      </c>
      <c r="AR646" s="14">
        <f t="shared" si="4446"/>
        <v>16.724711551827998</v>
      </c>
      <c r="AS646" s="41">
        <f t="shared" si="4447"/>
        <v>-100</v>
      </c>
      <c r="AT646" s="43" t="str">
        <f t="shared" si="4448"/>
        <v>NO CONFORME</v>
      </c>
      <c r="AU646" s="8" t="b">
        <f t="shared" si="4054"/>
        <v>1</v>
      </c>
      <c r="AV646" s="8" t="b">
        <f t="shared" si="4479"/>
        <v>0</v>
      </c>
      <c r="AW646" s="8" t="b">
        <f t="shared" si="4480"/>
        <v>1</v>
      </c>
      <c r="AX646" s="8" t="str">
        <f t="shared" si="4481"/>
        <v>Qcorrecto</v>
      </c>
      <c r="AY646" s="22" t="str">
        <f t="shared" si="4449"/>
        <v>aceptable</v>
      </c>
      <c r="AZ646" s="22" t="str">
        <f t="shared" si="4450"/>
        <v>aceptable</v>
      </c>
      <c r="BA646" s="22" t="str">
        <f t="shared" si="4482"/>
        <v>aceptable</v>
      </c>
      <c r="BB646" s="25" t="str">
        <f t="shared" si="4451"/>
        <v>NO CONFORME</v>
      </c>
      <c r="BC646" s="5" t="str">
        <f t="shared" si="4452"/>
        <v>NO CONFORME</v>
      </c>
      <c r="BD646" s="15">
        <f t="shared" si="4453"/>
        <v>-1</v>
      </c>
      <c r="BE646" s="15">
        <f t="shared" si="4454"/>
        <v>-1</v>
      </c>
      <c r="BF646" s="15">
        <f t="shared" si="4455"/>
        <v>-1</v>
      </c>
      <c r="BG646" s="15" t="str">
        <f t="shared" si="4456"/>
        <v>-1-1-1</v>
      </c>
      <c r="BH646" s="15" t="str">
        <f t="shared" si="4457"/>
        <v>SD</v>
      </c>
      <c r="BI646" s="15" t="str">
        <f t="shared" si="4458"/>
        <v>SI</v>
      </c>
      <c r="BJ646" s="15" t="b">
        <f t="shared" si="4459"/>
        <v>1</v>
      </c>
      <c r="BK646" s="15" t="str">
        <f t="shared" si="4460"/>
        <v>SIGIGUALES</v>
      </c>
      <c r="BL646" s="22" t="str">
        <f t="shared" si="4461"/>
        <v>NO CONFORME</v>
      </c>
    </row>
    <row r="647" spans="1:64" ht="15.75" thickBot="1" x14ac:dyDescent="0.3">
      <c r="A647" s="37">
        <v>639</v>
      </c>
      <c r="B647" s="93">
        <f t="shared" ref="B647:E647" si="4525">B646</f>
        <v>45919</v>
      </c>
      <c r="C647" s="93">
        <f t="shared" si="4525"/>
        <v>45919</v>
      </c>
      <c r="D647" s="94">
        <f t="shared" si="4525"/>
        <v>6</v>
      </c>
      <c r="E647" s="95">
        <f t="shared" si="4525"/>
        <v>15</v>
      </c>
      <c r="F647" s="13"/>
      <c r="G647" s="90"/>
      <c r="H647" s="97">
        <f t="shared" ref="H647:L647" si="4526">H646</f>
        <v>25.6</v>
      </c>
      <c r="I647" s="98">
        <f t="shared" si="4526"/>
        <v>0</v>
      </c>
      <c r="J647" s="99">
        <f t="shared" si="4526"/>
        <v>20.9</v>
      </c>
      <c r="K647" s="99">
        <f t="shared" si="4526"/>
        <v>7.883</v>
      </c>
      <c r="L647" s="99">
        <f t="shared" si="4526"/>
        <v>0.55400000000000005</v>
      </c>
      <c r="M647" s="45"/>
      <c r="N647" s="45"/>
      <c r="O647" s="100">
        <f t="shared" ref="O647:P647" si="4527">O646</f>
        <v>100.62</v>
      </c>
      <c r="P647" s="101" t="str">
        <f t="shared" si="4527"/>
        <v>2,29,560</v>
      </c>
      <c r="Q647" s="11" t="str">
        <f t="shared" si="4465"/>
        <v>2</v>
      </c>
      <c r="R647" s="11" t="str">
        <f t="shared" si="4466"/>
        <v>29,560</v>
      </c>
      <c r="S647" s="11">
        <f t="shared" si="4467"/>
        <v>4.1544444444444446E-2</v>
      </c>
      <c r="T647" s="14">
        <f t="shared" si="4468"/>
        <v>2421.9844878309709</v>
      </c>
      <c r="U647" s="39">
        <f t="shared" si="4439"/>
        <v>-100</v>
      </c>
      <c r="V647" s="105">
        <f t="shared" ref="V647:X647" si="4528">V646</f>
        <v>20.399999999999999</v>
      </c>
      <c r="W647" s="105">
        <f t="shared" si="4528"/>
        <v>1.5069999999999999</v>
      </c>
      <c r="X647" s="106">
        <f t="shared" si="4528"/>
        <v>1.504</v>
      </c>
      <c r="Y647" s="45"/>
      <c r="Z647" s="45"/>
      <c r="AA647" s="107">
        <f t="shared" ref="AA647:AB647" si="4529">AA646</f>
        <v>10.015000000000001</v>
      </c>
      <c r="AB647" s="108" t="str">
        <f t="shared" si="4529"/>
        <v>22,10,090</v>
      </c>
      <c r="AC647" s="11" t="str">
        <f t="shared" si="4471"/>
        <v>22</v>
      </c>
      <c r="AD647" s="11" t="str">
        <f t="shared" si="4472"/>
        <v>10,090</v>
      </c>
      <c r="AE647" s="11">
        <f t="shared" si="4473"/>
        <v>0.36946944444444441</v>
      </c>
      <c r="AF647" s="14">
        <f t="shared" si="4442"/>
        <v>27.106436406558959</v>
      </c>
      <c r="AG647" s="41">
        <f t="shared" si="4443"/>
        <v>-100</v>
      </c>
      <c r="AH647" s="105">
        <f t="shared" ref="AH647:AJ647" si="4530">AH646</f>
        <v>20.3</v>
      </c>
      <c r="AI647" s="105">
        <f t="shared" si="4530"/>
        <v>1.5089999999999999</v>
      </c>
      <c r="AJ647" s="105">
        <f t="shared" si="4530"/>
        <v>1.504</v>
      </c>
      <c r="AK647" s="53">
        <f t="shared" si="4357"/>
        <v>0</v>
      </c>
      <c r="AL647" s="45"/>
      <c r="AM647" s="54">
        <f t="shared" ref="AM647:AN647" si="4531">AM646</f>
        <v>5.0129999999999999</v>
      </c>
      <c r="AN647" s="101" t="str">
        <f t="shared" si="4531"/>
        <v>17,59,050</v>
      </c>
      <c r="AO647" s="11" t="str">
        <f t="shared" si="4476"/>
        <v>17</v>
      </c>
      <c r="AP647" s="11" t="str">
        <f t="shared" si="4477"/>
        <v>59,050</v>
      </c>
      <c r="AQ647" s="11">
        <f t="shared" si="4478"/>
        <v>0.29973611111111109</v>
      </c>
      <c r="AR647" s="14">
        <f t="shared" si="4446"/>
        <v>16.724711551827998</v>
      </c>
      <c r="AS647" s="41">
        <f t="shared" si="4447"/>
        <v>-100</v>
      </c>
      <c r="AT647" s="43" t="str">
        <f t="shared" si="4448"/>
        <v>NO CONFORME</v>
      </c>
      <c r="AU647" s="8" t="b">
        <f t="shared" si="4054"/>
        <v>1</v>
      </c>
      <c r="AV647" s="8" t="b">
        <f t="shared" si="4479"/>
        <v>0</v>
      </c>
      <c r="AW647" s="8" t="b">
        <f t="shared" si="4480"/>
        <v>1</v>
      </c>
      <c r="AX647" s="8" t="str">
        <f t="shared" si="4481"/>
        <v>Qcorrecto</v>
      </c>
      <c r="AY647" s="22" t="str">
        <f t="shared" si="4449"/>
        <v>aceptable</v>
      </c>
      <c r="AZ647" s="22" t="str">
        <f t="shared" si="4450"/>
        <v>aceptable</v>
      </c>
      <c r="BA647" s="22" t="str">
        <f t="shared" si="4482"/>
        <v>aceptable</v>
      </c>
      <c r="BB647" s="25" t="str">
        <f t="shared" si="4451"/>
        <v>NO CONFORME</v>
      </c>
      <c r="BC647" s="5" t="str">
        <f t="shared" si="4452"/>
        <v>NO CONFORME</v>
      </c>
      <c r="BD647" s="15">
        <f t="shared" si="4453"/>
        <v>-1</v>
      </c>
      <c r="BE647" s="15">
        <f t="shared" si="4454"/>
        <v>-1</v>
      </c>
      <c r="BF647" s="15">
        <f t="shared" si="4455"/>
        <v>-1</v>
      </c>
      <c r="BG647" s="15" t="str">
        <f t="shared" si="4456"/>
        <v>-1-1-1</v>
      </c>
      <c r="BH647" s="15" t="str">
        <f t="shared" si="4457"/>
        <v>SD</v>
      </c>
      <c r="BI647" s="15" t="str">
        <f t="shared" si="4458"/>
        <v>SI</v>
      </c>
      <c r="BJ647" s="15" t="b">
        <f t="shared" si="4459"/>
        <v>1</v>
      </c>
      <c r="BK647" s="15" t="str">
        <f t="shared" si="4460"/>
        <v>SIGIGUALES</v>
      </c>
      <c r="BL647" s="22" t="str">
        <f t="shared" si="4461"/>
        <v>NO CONFORME</v>
      </c>
    </row>
    <row r="648" spans="1:64" ht="15.75" thickBot="1" x14ac:dyDescent="0.3">
      <c r="A648" s="37">
        <v>640</v>
      </c>
      <c r="B648" s="93">
        <f t="shared" ref="B648:E648" si="4532">B647</f>
        <v>45919</v>
      </c>
      <c r="C648" s="93">
        <f t="shared" si="4532"/>
        <v>45919</v>
      </c>
      <c r="D648" s="94">
        <f t="shared" si="4532"/>
        <v>6</v>
      </c>
      <c r="E648" s="95">
        <f t="shared" si="4532"/>
        <v>15</v>
      </c>
      <c r="F648" s="13"/>
      <c r="G648" s="90"/>
      <c r="H648" s="97">
        <f t="shared" ref="H648:L648" si="4533">H647</f>
        <v>25.6</v>
      </c>
      <c r="I648" s="98">
        <f t="shared" si="4533"/>
        <v>0</v>
      </c>
      <c r="J648" s="99">
        <f t="shared" si="4533"/>
        <v>20.9</v>
      </c>
      <c r="K648" s="99">
        <f t="shared" si="4533"/>
        <v>7.883</v>
      </c>
      <c r="L648" s="99">
        <f t="shared" si="4533"/>
        <v>0.55400000000000005</v>
      </c>
      <c r="M648" s="45"/>
      <c r="N648" s="45"/>
      <c r="O648" s="100">
        <f t="shared" ref="O648:P648" si="4534">O647</f>
        <v>100.62</v>
      </c>
      <c r="P648" s="101" t="str">
        <f t="shared" si="4534"/>
        <v>2,29,560</v>
      </c>
      <c r="Q648" s="11" t="str">
        <f t="shared" si="4465"/>
        <v>2</v>
      </c>
      <c r="R648" s="11" t="str">
        <f t="shared" si="4466"/>
        <v>29,560</v>
      </c>
      <c r="S648" s="11">
        <f t="shared" si="4467"/>
        <v>4.1544444444444446E-2</v>
      </c>
      <c r="T648" s="14">
        <f t="shared" si="4468"/>
        <v>2421.9844878309709</v>
      </c>
      <c r="U648" s="39">
        <f t="shared" si="4439"/>
        <v>-100</v>
      </c>
      <c r="V648" s="105">
        <f t="shared" ref="V648:X648" si="4535">V647</f>
        <v>20.399999999999999</v>
      </c>
      <c r="W648" s="105">
        <f t="shared" si="4535"/>
        <v>1.5069999999999999</v>
      </c>
      <c r="X648" s="106">
        <f t="shared" si="4535"/>
        <v>1.504</v>
      </c>
      <c r="Y648" s="45"/>
      <c r="Z648" s="45"/>
      <c r="AA648" s="107">
        <f t="shared" ref="AA648:AB648" si="4536">AA647</f>
        <v>10.015000000000001</v>
      </c>
      <c r="AB648" s="108" t="str">
        <f t="shared" si="4536"/>
        <v>22,10,090</v>
      </c>
      <c r="AC648" s="11" t="str">
        <f t="shared" si="4471"/>
        <v>22</v>
      </c>
      <c r="AD648" s="11" t="str">
        <f t="shared" si="4472"/>
        <v>10,090</v>
      </c>
      <c r="AE648" s="11">
        <f t="shared" si="4473"/>
        <v>0.36946944444444441</v>
      </c>
      <c r="AF648" s="14">
        <f t="shared" si="4442"/>
        <v>27.106436406558959</v>
      </c>
      <c r="AG648" s="41">
        <f t="shared" si="4443"/>
        <v>-100</v>
      </c>
      <c r="AH648" s="105">
        <f t="shared" ref="AH648:AJ648" si="4537">AH647</f>
        <v>20.3</v>
      </c>
      <c r="AI648" s="105">
        <f t="shared" si="4537"/>
        <v>1.5089999999999999</v>
      </c>
      <c r="AJ648" s="105">
        <f t="shared" si="4537"/>
        <v>1.504</v>
      </c>
      <c r="AK648" s="53">
        <f t="shared" si="4357"/>
        <v>0</v>
      </c>
      <c r="AL648" s="45"/>
      <c r="AM648" s="54">
        <f t="shared" ref="AM648:AN648" si="4538">AM647</f>
        <v>5.0129999999999999</v>
      </c>
      <c r="AN648" s="101" t="str">
        <f t="shared" si="4538"/>
        <v>17,59,050</v>
      </c>
      <c r="AO648" s="11" t="str">
        <f t="shared" si="4476"/>
        <v>17</v>
      </c>
      <c r="AP648" s="11" t="str">
        <f t="shared" si="4477"/>
        <v>59,050</v>
      </c>
      <c r="AQ648" s="11">
        <f t="shared" si="4478"/>
        <v>0.29973611111111109</v>
      </c>
      <c r="AR648" s="14">
        <f t="shared" si="4446"/>
        <v>16.724711551827998</v>
      </c>
      <c r="AS648" s="41">
        <f t="shared" si="4447"/>
        <v>-100</v>
      </c>
      <c r="AT648" s="43" t="str">
        <f t="shared" si="4448"/>
        <v>NO CONFORME</v>
      </c>
      <c r="AU648" s="8" t="b">
        <f t="shared" si="4054"/>
        <v>1</v>
      </c>
      <c r="AV648" s="8" t="b">
        <f t="shared" si="4479"/>
        <v>0</v>
      </c>
      <c r="AW648" s="8" t="b">
        <f t="shared" si="4480"/>
        <v>1</v>
      </c>
      <c r="AX648" s="8" t="str">
        <f t="shared" si="4481"/>
        <v>Qcorrecto</v>
      </c>
      <c r="AY648" s="22" t="str">
        <f t="shared" si="4449"/>
        <v>aceptable</v>
      </c>
      <c r="AZ648" s="22" t="str">
        <f t="shared" si="4450"/>
        <v>aceptable</v>
      </c>
      <c r="BA648" s="22" t="str">
        <f t="shared" si="4482"/>
        <v>aceptable</v>
      </c>
      <c r="BB648" s="25" t="str">
        <f t="shared" si="4451"/>
        <v>NO CONFORME</v>
      </c>
      <c r="BC648" s="5" t="str">
        <f t="shared" si="4452"/>
        <v>NO CONFORME</v>
      </c>
      <c r="BD648" s="15">
        <f t="shared" si="4453"/>
        <v>-1</v>
      </c>
      <c r="BE648" s="15">
        <f t="shared" si="4454"/>
        <v>-1</v>
      </c>
      <c r="BF648" s="15">
        <f t="shared" si="4455"/>
        <v>-1</v>
      </c>
      <c r="BG648" s="15" t="str">
        <f t="shared" si="4456"/>
        <v>-1-1-1</v>
      </c>
      <c r="BH648" s="15" t="str">
        <f t="shared" si="4457"/>
        <v>SD</v>
      </c>
      <c r="BI648" s="15" t="str">
        <f t="shared" si="4458"/>
        <v>SI</v>
      </c>
      <c r="BJ648" s="15" t="b">
        <f t="shared" si="4459"/>
        <v>1</v>
      </c>
      <c r="BK648" s="15" t="str">
        <f t="shared" si="4460"/>
        <v>SIGIGUALES</v>
      </c>
      <c r="BL648" s="22" t="str">
        <f t="shared" si="4461"/>
        <v>NO CONFORME</v>
      </c>
    </row>
    <row r="649" spans="1:64" ht="15.75" thickBot="1" x14ac:dyDescent="0.3">
      <c r="A649" s="37">
        <v>641</v>
      </c>
      <c r="B649" s="93">
        <f t="shared" ref="B649:E649" si="4539">B648</f>
        <v>45919</v>
      </c>
      <c r="C649" s="93">
        <f t="shared" si="4539"/>
        <v>45919</v>
      </c>
      <c r="D649" s="94">
        <f t="shared" si="4539"/>
        <v>6</v>
      </c>
      <c r="E649" s="95">
        <f t="shared" si="4539"/>
        <v>15</v>
      </c>
      <c r="F649" s="13"/>
      <c r="G649" s="90"/>
      <c r="H649" s="97">
        <f t="shared" ref="H649:L649" si="4540">H648</f>
        <v>25.6</v>
      </c>
      <c r="I649" s="98">
        <f t="shared" si="4540"/>
        <v>0</v>
      </c>
      <c r="J649" s="99">
        <f t="shared" si="4540"/>
        <v>20.9</v>
      </c>
      <c r="K649" s="99">
        <f t="shared" si="4540"/>
        <v>7.883</v>
      </c>
      <c r="L649" s="99">
        <f t="shared" si="4540"/>
        <v>0.55400000000000005</v>
      </c>
      <c r="M649" s="45"/>
      <c r="N649" s="45"/>
      <c r="O649" s="100">
        <f t="shared" ref="O649:P649" si="4541">O648</f>
        <v>100.62</v>
      </c>
      <c r="P649" s="101" t="str">
        <f t="shared" si="4541"/>
        <v>2,29,560</v>
      </c>
      <c r="Q649" s="11" t="str">
        <f t="shared" si="4465"/>
        <v>2</v>
      </c>
      <c r="R649" s="11" t="str">
        <f t="shared" si="4466"/>
        <v>29,560</v>
      </c>
      <c r="S649" s="11">
        <f t="shared" si="4467"/>
        <v>4.1544444444444446E-2</v>
      </c>
      <c r="T649" s="14">
        <f t="shared" si="4468"/>
        <v>2421.9844878309709</v>
      </c>
      <c r="U649" s="39">
        <f t="shared" si="4439"/>
        <v>-100</v>
      </c>
      <c r="V649" s="105">
        <f t="shared" ref="V649:X649" si="4542">V648</f>
        <v>20.399999999999999</v>
      </c>
      <c r="W649" s="105">
        <f t="shared" si="4542"/>
        <v>1.5069999999999999</v>
      </c>
      <c r="X649" s="106">
        <f t="shared" si="4542"/>
        <v>1.504</v>
      </c>
      <c r="Y649" s="45"/>
      <c r="Z649" s="45"/>
      <c r="AA649" s="107">
        <f t="shared" ref="AA649:AB649" si="4543">AA648</f>
        <v>10.015000000000001</v>
      </c>
      <c r="AB649" s="108" t="str">
        <f t="shared" si="4543"/>
        <v>22,10,090</v>
      </c>
      <c r="AC649" s="11" t="str">
        <f t="shared" si="4471"/>
        <v>22</v>
      </c>
      <c r="AD649" s="11" t="str">
        <f t="shared" si="4472"/>
        <v>10,090</v>
      </c>
      <c r="AE649" s="11">
        <f t="shared" si="4473"/>
        <v>0.36946944444444441</v>
      </c>
      <c r="AF649" s="14">
        <f t="shared" si="4442"/>
        <v>27.106436406558959</v>
      </c>
      <c r="AG649" s="41">
        <f t="shared" si="4443"/>
        <v>-100</v>
      </c>
      <c r="AH649" s="105">
        <f t="shared" ref="AH649:AJ649" si="4544">AH648</f>
        <v>20.3</v>
      </c>
      <c r="AI649" s="105">
        <f t="shared" si="4544"/>
        <v>1.5089999999999999</v>
      </c>
      <c r="AJ649" s="105">
        <f t="shared" si="4544"/>
        <v>1.504</v>
      </c>
      <c r="AK649" s="53">
        <f t="shared" si="4357"/>
        <v>0</v>
      </c>
      <c r="AL649" s="45"/>
      <c r="AM649" s="54">
        <f t="shared" ref="AM649:AN649" si="4545">AM648</f>
        <v>5.0129999999999999</v>
      </c>
      <c r="AN649" s="101" t="str">
        <f t="shared" si="4545"/>
        <v>17,59,050</v>
      </c>
      <c r="AO649" s="11" t="str">
        <f t="shared" si="4476"/>
        <v>17</v>
      </c>
      <c r="AP649" s="11" t="str">
        <f t="shared" si="4477"/>
        <v>59,050</v>
      </c>
      <c r="AQ649" s="11">
        <f t="shared" si="4478"/>
        <v>0.29973611111111109</v>
      </c>
      <c r="AR649" s="14">
        <f t="shared" si="4446"/>
        <v>16.724711551827998</v>
      </c>
      <c r="AS649" s="41">
        <f t="shared" si="4447"/>
        <v>-100</v>
      </c>
      <c r="AT649" s="43" t="str">
        <f t="shared" si="4448"/>
        <v>NO CONFORME</v>
      </c>
      <c r="AU649" s="8" t="b">
        <f t="shared" si="4054"/>
        <v>1</v>
      </c>
      <c r="AV649" s="8" t="b">
        <f t="shared" si="4479"/>
        <v>0</v>
      </c>
      <c r="AW649" s="8" t="b">
        <f t="shared" si="4480"/>
        <v>1</v>
      </c>
      <c r="AX649" s="8" t="str">
        <f t="shared" si="4481"/>
        <v>Qcorrecto</v>
      </c>
      <c r="AY649" s="22" t="str">
        <f t="shared" si="4449"/>
        <v>aceptable</v>
      </c>
      <c r="AZ649" s="22" t="str">
        <f t="shared" si="4450"/>
        <v>aceptable</v>
      </c>
      <c r="BA649" s="22" t="str">
        <f t="shared" si="4482"/>
        <v>aceptable</v>
      </c>
      <c r="BB649" s="25" t="str">
        <f t="shared" si="4451"/>
        <v>NO CONFORME</v>
      </c>
      <c r="BC649" s="5" t="str">
        <f t="shared" si="4452"/>
        <v>NO CONFORME</v>
      </c>
      <c r="BD649" s="15">
        <f t="shared" si="4453"/>
        <v>-1</v>
      </c>
      <c r="BE649" s="15">
        <f t="shared" si="4454"/>
        <v>-1</v>
      </c>
      <c r="BF649" s="15">
        <f t="shared" si="4455"/>
        <v>-1</v>
      </c>
      <c r="BG649" s="15" t="str">
        <f t="shared" si="4456"/>
        <v>-1-1-1</v>
      </c>
      <c r="BH649" s="15" t="str">
        <f t="shared" si="4457"/>
        <v>SD</v>
      </c>
      <c r="BI649" s="15" t="str">
        <f t="shared" si="4458"/>
        <v>SI</v>
      </c>
      <c r="BJ649" s="15" t="b">
        <f t="shared" si="4459"/>
        <v>1</v>
      </c>
      <c r="BK649" s="15" t="str">
        <f t="shared" si="4460"/>
        <v>SIGIGUALES</v>
      </c>
      <c r="BL649" s="22" t="str">
        <f t="shared" si="4461"/>
        <v>NO CONFORME</v>
      </c>
    </row>
    <row r="650" spans="1:64" ht="15.75" thickBot="1" x14ac:dyDescent="0.3">
      <c r="A650" s="37">
        <v>642</v>
      </c>
      <c r="B650" s="93">
        <f t="shared" ref="B650:E650" si="4546">B649</f>
        <v>45919</v>
      </c>
      <c r="C650" s="93">
        <f t="shared" si="4546"/>
        <v>45919</v>
      </c>
      <c r="D650" s="94">
        <f t="shared" si="4546"/>
        <v>6</v>
      </c>
      <c r="E650" s="95">
        <f t="shared" si="4546"/>
        <v>15</v>
      </c>
      <c r="F650" s="13"/>
      <c r="G650" s="90"/>
      <c r="H650" s="97">
        <f t="shared" ref="H650:L650" si="4547">H649</f>
        <v>25.6</v>
      </c>
      <c r="I650" s="98">
        <f t="shared" si="4547"/>
        <v>0</v>
      </c>
      <c r="J650" s="99">
        <f t="shared" si="4547"/>
        <v>20.9</v>
      </c>
      <c r="K650" s="99">
        <f t="shared" si="4547"/>
        <v>7.883</v>
      </c>
      <c r="L650" s="99">
        <f t="shared" si="4547"/>
        <v>0.55400000000000005</v>
      </c>
      <c r="M650" s="45"/>
      <c r="N650" s="45"/>
      <c r="O650" s="100">
        <f t="shared" ref="O650:P650" si="4548">O649</f>
        <v>100.62</v>
      </c>
      <c r="P650" s="101" t="str">
        <f t="shared" si="4548"/>
        <v>2,29,560</v>
      </c>
      <c r="Q650" s="11" t="str">
        <f t="shared" si="4465"/>
        <v>2</v>
      </c>
      <c r="R650" s="11" t="str">
        <f t="shared" si="4466"/>
        <v>29,560</v>
      </c>
      <c r="S650" s="11">
        <f t="shared" si="4467"/>
        <v>4.1544444444444446E-2</v>
      </c>
      <c r="T650" s="14">
        <f t="shared" si="4468"/>
        <v>2421.9844878309709</v>
      </c>
      <c r="U650" s="39">
        <f t="shared" si="4439"/>
        <v>-100</v>
      </c>
      <c r="V650" s="105">
        <f t="shared" ref="V650:X650" si="4549">V649</f>
        <v>20.399999999999999</v>
      </c>
      <c r="W650" s="105">
        <f t="shared" si="4549"/>
        <v>1.5069999999999999</v>
      </c>
      <c r="X650" s="106">
        <f t="shared" si="4549"/>
        <v>1.504</v>
      </c>
      <c r="Y650" s="45"/>
      <c r="Z650" s="45"/>
      <c r="AA650" s="107">
        <f t="shared" ref="AA650:AB650" si="4550">AA649</f>
        <v>10.015000000000001</v>
      </c>
      <c r="AB650" s="108" t="str">
        <f t="shared" si="4550"/>
        <v>22,10,090</v>
      </c>
      <c r="AC650" s="11" t="str">
        <f t="shared" si="4471"/>
        <v>22</v>
      </c>
      <c r="AD650" s="11" t="str">
        <f t="shared" si="4472"/>
        <v>10,090</v>
      </c>
      <c r="AE650" s="11">
        <f t="shared" si="4473"/>
        <v>0.36946944444444441</v>
      </c>
      <c r="AF650" s="14">
        <f t="shared" si="4442"/>
        <v>27.106436406558959</v>
      </c>
      <c r="AG650" s="41">
        <f t="shared" si="4443"/>
        <v>-100</v>
      </c>
      <c r="AH650" s="105">
        <f t="shared" ref="AH650:AJ650" si="4551">AH649</f>
        <v>20.3</v>
      </c>
      <c r="AI650" s="105">
        <f t="shared" si="4551"/>
        <v>1.5089999999999999</v>
      </c>
      <c r="AJ650" s="105">
        <f t="shared" si="4551"/>
        <v>1.504</v>
      </c>
      <c r="AK650" s="53">
        <f t="shared" si="4357"/>
        <v>0</v>
      </c>
      <c r="AL650" s="45"/>
      <c r="AM650" s="54">
        <f t="shared" ref="AM650:AN650" si="4552">AM649</f>
        <v>5.0129999999999999</v>
      </c>
      <c r="AN650" s="101" t="str">
        <f t="shared" si="4552"/>
        <v>17,59,050</v>
      </c>
      <c r="AO650" s="11" t="str">
        <f t="shared" si="4476"/>
        <v>17</v>
      </c>
      <c r="AP650" s="11" t="str">
        <f t="shared" si="4477"/>
        <v>59,050</v>
      </c>
      <c r="AQ650" s="11">
        <f t="shared" si="4478"/>
        <v>0.29973611111111109</v>
      </c>
      <c r="AR650" s="14">
        <f t="shared" si="4446"/>
        <v>16.724711551827998</v>
      </c>
      <c r="AS650" s="41">
        <f t="shared" si="4447"/>
        <v>-100</v>
      </c>
      <c r="AT650" s="43" t="str">
        <f t="shared" si="4448"/>
        <v>NO CONFORME</v>
      </c>
      <c r="AU650" s="8" t="b">
        <f t="shared" ref="AU650:AU713" si="4553">B650=C650</f>
        <v>1</v>
      </c>
      <c r="AV650" s="8" t="b">
        <f t="shared" si="4479"/>
        <v>0</v>
      </c>
      <c r="AW650" s="8" t="b">
        <f t="shared" si="4480"/>
        <v>1</v>
      </c>
      <c r="AX650" s="8" t="str">
        <f t="shared" si="4481"/>
        <v>Qcorrecto</v>
      </c>
      <c r="AY650" s="22" t="str">
        <f t="shared" si="4449"/>
        <v>aceptable</v>
      </c>
      <c r="AZ650" s="22" t="str">
        <f t="shared" si="4450"/>
        <v>aceptable</v>
      </c>
      <c r="BA650" s="22" t="str">
        <f t="shared" si="4482"/>
        <v>aceptable</v>
      </c>
      <c r="BB650" s="25" t="str">
        <f t="shared" si="4451"/>
        <v>NO CONFORME</v>
      </c>
      <c r="BC650" s="5" t="str">
        <f t="shared" si="4452"/>
        <v>NO CONFORME</v>
      </c>
      <c r="BD650" s="15">
        <f t="shared" si="4453"/>
        <v>-1</v>
      </c>
      <c r="BE650" s="15">
        <f t="shared" si="4454"/>
        <v>-1</v>
      </c>
      <c r="BF650" s="15">
        <f t="shared" si="4455"/>
        <v>-1</v>
      </c>
      <c r="BG650" s="15" t="str">
        <f t="shared" si="4456"/>
        <v>-1-1-1</v>
      </c>
      <c r="BH650" s="15" t="str">
        <f t="shared" si="4457"/>
        <v>SD</v>
      </c>
      <c r="BI650" s="15" t="str">
        <f t="shared" si="4458"/>
        <v>SI</v>
      </c>
      <c r="BJ650" s="15" t="b">
        <f t="shared" si="4459"/>
        <v>1</v>
      </c>
      <c r="BK650" s="15" t="str">
        <f t="shared" si="4460"/>
        <v>SIGIGUALES</v>
      </c>
      <c r="BL650" s="22" t="str">
        <f t="shared" si="4461"/>
        <v>NO CONFORME</v>
      </c>
    </row>
    <row r="651" spans="1:64" ht="15.75" thickBot="1" x14ac:dyDescent="0.3">
      <c r="A651" s="37">
        <v>643</v>
      </c>
      <c r="B651" s="93">
        <f t="shared" ref="B651:E651" si="4554">B650</f>
        <v>45919</v>
      </c>
      <c r="C651" s="93">
        <f t="shared" si="4554"/>
        <v>45919</v>
      </c>
      <c r="D651" s="94">
        <f t="shared" si="4554"/>
        <v>6</v>
      </c>
      <c r="E651" s="95">
        <f t="shared" si="4554"/>
        <v>15</v>
      </c>
      <c r="F651" s="13"/>
      <c r="G651" s="90"/>
      <c r="H651" s="97">
        <f t="shared" ref="H651:L651" si="4555">H650</f>
        <v>25.6</v>
      </c>
      <c r="I651" s="98">
        <f t="shared" si="4555"/>
        <v>0</v>
      </c>
      <c r="J651" s="99">
        <f t="shared" si="4555"/>
        <v>20.9</v>
      </c>
      <c r="K651" s="99">
        <f t="shared" si="4555"/>
        <v>7.883</v>
      </c>
      <c r="L651" s="99">
        <f t="shared" si="4555"/>
        <v>0.55400000000000005</v>
      </c>
      <c r="M651" s="45"/>
      <c r="N651" s="45"/>
      <c r="O651" s="100">
        <f t="shared" ref="O651:P651" si="4556">O650</f>
        <v>100.62</v>
      </c>
      <c r="P651" s="101" t="str">
        <f t="shared" si="4556"/>
        <v>2,29,560</v>
      </c>
      <c r="Q651" s="11" t="str">
        <f t="shared" si="4465"/>
        <v>2</v>
      </c>
      <c r="R651" s="11" t="str">
        <f t="shared" si="4466"/>
        <v>29,560</v>
      </c>
      <c r="S651" s="11">
        <f t="shared" si="4467"/>
        <v>4.1544444444444446E-2</v>
      </c>
      <c r="T651" s="14">
        <f t="shared" si="4468"/>
        <v>2421.9844878309709</v>
      </c>
      <c r="U651" s="39">
        <f t="shared" si="4439"/>
        <v>-100</v>
      </c>
      <c r="V651" s="105">
        <f t="shared" ref="V651:X651" si="4557">V650</f>
        <v>20.399999999999999</v>
      </c>
      <c r="W651" s="105">
        <f t="shared" si="4557"/>
        <v>1.5069999999999999</v>
      </c>
      <c r="X651" s="106">
        <f t="shared" si="4557"/>
        <v>1.504</v>
      </c>
      <c r="Y651" s="45"/>
      <c r="Z651" s="45"/>
      <c r="AA651" s="107">
        <f t="shared" ref="AA651:AB651" si="4558">AA650</f>
        <v>10.015000000000001</v>
      </c>
      <c r="AB651" s="108" t="str">
        <f t="shared" si="4558"/>
        <v>22,10,090</v>
      </c>
      <c r="AC651" s="11" t="str">
        <f t="shared" si="4471"/>
        <v>22</v>
      </c>
      <c r="AD651" s="11" t="str">
        <f t="shared" si="4472"/>
        <v>10,090</v>
      </c>
      <c r="AE651" s="11">
        <f t="shared" si="4473"/>
        <v>0.36946944444444441</v>
      </c>
      <c r="AF651" s="14">
        <f t="shared" si="4442"/>
        <v>27.106436406558959</v>
      </c>
      <c r="AG651" s="41">
        <f t="shared" si="4443"/>
        <v>-100</v>
      </c>
      <c r="AH651" s="105">
        <f t="shared" ref="AH651:AJ651" si="4559">AH650</f>
        <v>20.3</v>
      </c>
      <c r="AI651" s="105">
        <f t="shared" si="4559"/>
        <v>1.5089999999999999</v>
      </c>
      <c r="AJ651" s="105">
        <f t="shared" si="4559"/>
        <v>1.504</v>
      </c>
      <c r="AK651" s="53">
        <f t="shared" si="4357"/>
        <v>0</v>
      </c>
      <c r="AL651" s="45"/>
      <c r="AM651" s="54">
        <f t="shared" ref="AM651:AN651" si="4560">AM650</f>
        <v>5.0129999999999999</v>
      </c>
      <c r="AN651" s="101" t="str">
        <f t="shared" si="4560"/>
        <v>17,59,050</v>
      </c>
      <c r="AO651" s="11" t="str">
        <f t="shared" si="4476"/>
        <v>17</v>
      </c>
      <c r="AP651" s="11" t="str">
        <f t="shared" si="4477"/>
        <v>59,050</v>
      </c>
      <c r="AQ651" s="11">
        <f t="shared" si="4478"/>
        <v>0.29973611111111109</v>
      </c>
      <c r="AR651" s="14">
        <f t="shared" si="4446"/>
        <v>16.724711551827998</v>
      </c>
      <c r="AS651" s="41">
        <f t="shared" si="4447"/>
        <v>-100</v>
      </c>
      <c r="AT651" s="43" t="str">
        <f t="shared" si="4448"/>
        <v>NO CONFORME</v>
      </c>
      <c r="AU651" s="8" t="b">
        <f t="shared" si="4553"/>
        <v>1</v>
      </c>
      <c r="AV651" s="8" t="b">
        <f t="shared" si="4479"/>
        <v>0</v>
      </c>
      <c r="AW651" s="8" t="b">
        <f t="shared" si="4480"/>
        <v>1</v>
      </c>
      <c r="AX651" s="8" t="str">
        <f t="shared" si="4481"/>
        <v>Qcorrecto</v>
      </c>
      <c r="AY651" s="22" t="str">
        <f t="shared" si="4449"/>
        <v>aceptable</v>
      </c>
      <c r="AZ651" s="22" t="str">
        <f t="shared" si="4450"/>
        <v>aceptable</v>
      </c>
      <c r="BA651" s="22" t="str">
        <f t="shared" si="4482"/>
        <v>aceptable</v>
      </c>
      <c r="BB651" s="25" t="str">
        <f t="shared" si="4451"/>
        <v>NO CONFORME</v>
      </c>
      <c r="BC651" s="5" t="str">
        <f t="shared" si="4452"/>
        <v>NO CONFORME</v>
      </c>
      <c r="BD651" s="15">
        <f t="shared" si="4453"/>
        <v>-1</v>
      </c>
      <c r="BE651" s="15">
        <f t="shared" si="4454"/>
        <v>-1</v>
      </c>
      <c r="BF651" s="15">
        <f t="shared" si="4455"/>
        <v>-1</v>
      </c>
      <c r="BG651" s="15" t="str">
        <f t="shared" si="4456"/>
        <v>-1-1-1</v>
      </c>
      <c r="BH651" s="15" t="str">
        <f t="shared" si="4457"/>
        <v>SD</v>
      </c>
      <c r="BI651" s="15" t="str">
        <f t="shared" si="4458"/>
        <v>SI</v>
      </c>
      <c r="BJ651" s="15" t="b">
        <f t="shared" si="4459"/>
        <v>1</v>
      </c>
      <c r="BK651" s="15" t="str">
        <f t="shared" si="4460"/>
        <v>SIGIGUALES</v>
      </c>
      <c r="BL651" s="22" t="str">
        <f t="shared" si="4461"/>
        <v>NO CONFORME</v>
      </c>
    </row>
    <row r="652" spans="1:64" ht="15.75" thickBot="1" x14ac:dyDescent="0.3">
      <c r="A652" s="37">
        <v>644</v>
      </c>
      <c r="B652" s="93">
        <f t="shared" ref="B652:E652" si="4561">B651</f>
        <v>45919</v>
      </c>
      <c r="C652" s="93">
        <f t="shared" si="4561"/>
        <v>45919</v>
      </c>
      <c r="D652" s="94">
        <f t="shared" si="4561"/>
        <v>6</v>
      </c>
      <c r="E652" s="95">
        <f t="shared" si="4561"/>
        <v>15</v>
      </c>
      <c r="F652" s="13"/>
      <c r="G652" s="90"/>
      <c r="H652" s="97">
        <f t="shared" ref="H652:L652" si="4562">H651</f>
        <v>25.6</v>
      </c>
      <c r="I652" s="98">
        <f t="shared" si="4562"/>
        <v>0</v>
      </c>
      <c r="J652" s="99">
        <f t="shared" si="4562"/>
        <v>20.9</v>
      </c>
      <c r="K652" s="99">
        <f t="shared" si="4562"/>
        <v>7.883</v>
      </c>
      <c r="L652" s="99">
        <f t="shared" si="4562"/>
        <v>0.55400000000000005</v>
      </c>
      <c r="M652" s="45"/>
      <c r="N652" s="45"/>
      <c r="O652" s="100">
        <f t="shared" ref="O652:P652" si="4563">O651</f>
        <v>100.62</v>
      </c>
      <c r="P652" s="101" t="str">
        <f t="shared" si="4563"/>
        <v>2,29,560</v>
      </c>
      <c r="Q652" s="11" t="str">
        <f t="shared" si="4465"/>
        <v>2</v>
      </c>
      <c r="R652" s="11" t="str">
        <f t="shared" si="4466"/>
        <v>29,560</v>
      </c>
      <c r="S652" s="11">
        <f t="shared" si="4467"/>
        <v>4.1544444444444446E-2</v>
      </c>
      <c r="T652" s="14">
        <f t="shared" si="4468"/>
        <v>2421.9844878309709</v>
      </c>
      <c r="U652" s="39">
        <f t="shared" si="4439"/>
        <v>-100</v>
      </c>
      <c r="V652" s="105">
        <f t="shared" ref="V652:X652" si="4564">V651</f>
        <v>20.399999999999999</v>
      </c>
      <c r="W652" s="105">
        <f t="shared" si="4564"/>
        <v>1.5069999999999999</v>
      </c>
      <c r="X652" s="106">
        <f t="shared" si="4564"/>
        <v>1.504</v>
      </c>
      <c r="Y652" s="45"/>
      <c r="Z652" s="45"/>
      <c r="AA652" s="107">
        <f t="shared" ref="AA652:AB652" si="4565">AA651</f>
        <v>10.015000000000001</v>
      </c>
      <c r="AB652" s="108" t="str">
        <f t="shared" si="4565"/>
        <v>22,10,090</v>
      </c>
      <c r="AC652" s="11" t="str">
        <f t="shared" si="4471"/>
        <v>22</v>
      </c>
      <c r="AD652" s="11" t="str">
        <f t="shared" si="4472"/>
        <v>10,090</v>
      </c>
      <c r="AE652" s="11">
        <f t="shared" si="4473"/>
        <v>0.36946944444444441</v>
      </c>
      <c r="AF652" s="14">
        <f t="shared" si="4442"/>
        <v>27.106436406558959</v>
      </c>
      <c r="AG652" s="41">
        <f t="shared" si="4443"/>
        <v>-100</v>
      </c>
      <c r="AH652" s="105">
        <f t="shared" ref="AH652:AJ652" si="4566">AH651</f>
        <v>20.3</v>
      </c>
      <c r="AI652" s="105">
        <f t="shared" si="4566"/>
        <v>1.5089999999999999</v>
      </c>
      <c r="AJ652" s="105">
        <f t="shared" si="4566"/>
        <v>1.504</v>
      </c>
      <c r="AK652" s="53">
        <f t="shared" si="4357"/>
        <v>0</v>
      </c>
      <c r="AL652" s="45"/>
      <c r="AM652" s="54">
        <f t="shared" ref="AM652:AN652" si="4567">AM651</f>
        <v>5.0129999999999999</v>
      </c>
      <c r="AN652" s="101" t="str">
        <f t="shared" si="4567"/>
        <v>17,59,050</v>
      </c>
      <c r="AO652" s="11" t="str">
        <f t="shared" si="4476"/>
        <v>17</v>
      </c>
      <c r="AP652" s="11" t="str">
        <f t="shared" si="4477"/>
        <v>59,050</v>
      </c>
      <c r="AQ652" s="11">
        <f t="shared" si="4478"/>
        <v>0.29973611111111109</v>
      </c>
      <c r="AR652" s="14">
        <f t="shared" si="4446"/>
        <v>16.724711551827998</v>
      </c>
      <c r="AS652" s="41">
        <f t="shared" si="4447"/>
        <v>-100</v>
      </c>
      <c r="AT652" s="43" t="str">
        <f t="shared" si="4448"/>
        <v>NO CONFORME</v>
      </c>
      <c r="AU652" s="8" t="b">
        <f t="shared" si="4553"/>
        <v>1</v>
      </c>
      <c r="AV652" s="8" t="b">
        <f t="shared" si="4479"/>
        <v>0</v>
      </c>
      <c r="AW652" s="8" t="b">
        <f t="shared" si="4480"/>
        <v>1</v>
      </c>
      <c r="AX652" s="8" t="str">
        <f t="shared" si="4481"/>
        <v>Qcorrecto</v>
      </c>
      <c r="AY652" s="22" t="str">
        <f t="shared" si="4449"/>
        <v>aceptable</v>
      </c>
      <c r="AZ652" s="22" t="str">
        <f t="shared" si="4450"/>
        <v>aceptable</v>
      </c>
      <c r="BA652" s="22" t="str">
        <f t="shared" si="4482"/>
        <v>aceptable</v>
      </c>
      <c r="BB652" s="25" t="str">
        <f t="shared" si="4451"/>
        <v>NO CONFORME</v>
      </c>
      <c r="BC652" s="5" t="str">
        <f t="shared" si="4452"/>
        <v>NO CONFORME</v>
      </c>
      <c r="BD652" s="15">
        <f t="shared" si="4453"/>
        <v>-1</v>
      </c>
      <c r="BE652" s="15">
        <f t="shared" si="4454"/>
        <v>-1</v>
      </c>
      <c r="BF652" s="15">
        <f t="shared" si="4455"/>
        <v>-1</v>
      </c>
      <c r="BG652" s="15" t="str">
        <f t="shared" si="4456"/>
        <v>-1-1-1</v>
      </c>
      <c r="BH652" s="15" t="str">
        <f t="shared" si="4457"/>
        <v>SD</v>
      </c>
      <c r="BI652" s="15" t="str">
        <f t="shared" si="4458"/>
        <v>SI</v>
      </c>
      <c r="BJ652" s="15" t="b">
        <f t="shared" si="4459"/>
        <v>1</v>
      </c>
      <c r="BK652" s="15" t="str">
        <f t="shared" si="4460"/>
        <v>SIGIGUALES</v>
      </c>
      <c r="BL652" s="22" t="str">
        <f t="shared" si="4461"/>
        <v>NO CONFORME</v>
      </c>
    </row>
    <row r="653" spans="1:64" ht="15.75" thickBot="1" x14ac:dyDescent="0.3">
      <c r="A653" s="37">
        <v>645</v>
      </c>
      <c r="B653" s="93">
        <f t="shared" ref="B653:E653" si="4568">B652</f>
        <v>45919</v>
      </c>
      <c r="C653" s="93">
        <f t="shared" si="4568"/>
        <v>45919</v>
      </c>
      <c r="D653" s="94">
        <f t="shared" si="4568"/>
        <v>6</v>
      </c>
      <c r="E653" s="95">
        <f t="shared" si="4568"/>
        <v>15</v>
      </c>
      <c r="F653" s="52"/>
      <c r="G653" s="90"/>
      <c r="H653" s="97">
        <f t="shared" ref="H653:L653" si="4569">H652</f>
        <v>25.6</v>
      </c>
      <c r="I653" s="98">
        <f t="shared" si="4569"/>
        <v>0</v>
      </c>
      <c r="J653" s="99">
        <f t="shared" si="4569"/>
        <v>20.9</v>
      </c>
      <c r="K653" s="99">
        <f t="shared" si="4569"/>
        <v>7.883</v>
      </c>
      <c r="L653" s="99">
        <f t="shared" si="4569"/>
        <v>0.55400000000000005</v>
      </c>
      <c r="M653" s="53"/>
      <c r="N653" s="53"/>
      <c r="O653" s="100">
        <f t="shared" ref="O653:P653" si="4570">O652</f>
        <v>100.62</v>
      </c>
      <c r="P653" s="101" t="str">
        <f t="shared" si="4570"/>
        <v>2,29,560</v>
      </c>
      <c r="Q653" s="11" t="str">
        <f t="shared" si="4465"/>
        <v>2</v>
      </c>
      <c r="R653" s="11" t="str">
        <f t="shared" si="4466"/>
        <v>29,560</v>
      </c>
      <c r="S653" s="11">
        <f t="shared" si="4467"/>
        <v>4.1544444444444446E-2</v>
      </c>
      <c r="T653" s="14">
        <f t="shared" si="4468"/>
        <v>2421.9844878309709</v>
      </c>
      <c r="U653" s="39">
        <f t="shared" si="4439"/>
        <v>-100</v>
      </c>
      <c r="V653" s="105">
        <f t="shared" ref="V653:X653" si="4571">V652</f>
        <v>20.399999999999999</v>
      </c>
      <c r="W653" s="105">
        <f t="shared" si="4571"/>
        <v>1.5069999999999999</v>
      </c>
      <c r="X653" s="106">
        <f t="shared" si="4571"/>
        <v>1.504</v>
      </c>
      <c r="Y653" s="53"/>
      <c r="Z653" s="53"/>
      <c r="AA653" s="107">
        <f t="shared" ref="AA653:AB653" si="4572">AA652</f>
        <v>10.015000000000001</v>
      </c>
      <c r="AB653" s="108" t="str">
        <f t="shared" si="4572"/>
        <v>22,10,090</v>
      </c>
      <c r="AC653" s="11" t="str">
        <f t="shared" si="4471"/>
        <v>22</v>
      </c>
      <c r="AD653" s="11" t="str">
        <f t="shared" si="4472"/>
        <v>10,090</v>
      </c>
      <c r="AE653" s="11">
        <f t="shared" si="4473"/>
        <v>0.36946944444444441</v>
      </c>
      <c r="AF653" s="14">
        <f t="shared" si="4442"/>
        <v>27.106436406558959</v>
      </c>
      <c r="AG653" s="41">
        <f t="shared" si="4443"/>
        <v>-100</v>
      </c>
      <c r="AH653" s="105">
        <f t="shared" ref="AH653:AJ653" si="4573">AH652</f>
        <v>20.3</v>
      </c>
      <c r="AI653" s="105">
        <f t="shared" si="4573"/>
        <v>1.5089999999999999</v>
      </c>
      <c r="AJ653" s="105">
        <f t="shared" si="4573"/>
        <v>1.504</v>
      </c>
      <c r="AK653" s="53">
        <f t="shared" si="4357"/>
        <v>0</v>
      </c>
      <c r="AL653" s="53"/>
      <c r="AM653" s="54">
        <f t="shared" ref="AM653:AN653" si="4574">AM652</f>
        <v>5.0129999999999999</v>
      </c>
      <c r="AN653" s="101" t="str">
        <f t="shared" si="4574"/>
        <v>17,59,050</v>
      </c>
      <c r="AO653" s="11" t="str">
        <f t="shared" si="4476"/>
        <v>17</v>
      </c>
      <c r="AP653" s="11" t="str">
        <f t="shared" si="4477"/>
        <v>59,050</v>
      </c>
      <c r="AQ653" s="11">
        <f t="shared" si="4478"/>
        <v>0.29973611111111109</v>
      </c>
      <c r="AR653" s="14">
        <f t="shared" si="4446"/>
        <v>16.724711551827998</v>
      </c>
      <c r="AS653" s="41">
        <f t="shared" si="4447"/>
        <v>-100</v>
      </c>
      <c r="AT653" s="43" t="str">
        <f t="shared" si="4448"/>
        <v>NO CONFORME</v>
      </c>
      <c r="AU653" s="8" t="b">
        <f t="shared" si="4553"/>
        <v>1</v>
      </c>
      <c r="AV653" s="8" t="b">
        <f t="shared" si="4479"/>
        <v>0</v>
      </c>
      <c r="AW653" s="8" t="b">
        <f t="shared" si="4480"/>
        <v>1</v>
      </c>
      <c r="AX653" s="8" t="str">
        <f t="shared" si="4481"/>
        <v>Qcorrecto</v>
      </c>
      <c r="AY653" s="22" t="str">
        <f t="shared" si="4449"/>
        <v>aceptable</v>
      </c>
      <c r="AZ653" s="22" t="str">
        <f t="shared" si="4450"/>
        <v>aceptable</v>
      </c>
      <c r="BA653" s="22" t="str">
        <f t="shared" si="4482"/>
        <v>aceptable</v>
      </c>
      <c r="BB653" s="25" t="str">
        <f t="shared" si="4451"/>
        <v>NO CONFORME</v>
      </c>
      <c r="BC653" s="5" t="str">
        <f t="shared" si="4452"/>
        <v>NO CONFORME</v>
      </c>
      <c r="BD653" s="15">
        <f t="shared" si="4453"/>
        <v>-1</v>
      </c>
      <c r="BE653" s="15">
        <f t="shared" si="4454"/>
        <v>-1</v>
      </c>
      <c r="BF653" s="15">
        <f t="shared" si="4455"/>
        <v>-1</v>
      </c>
      <c r="BG653" s="15" t="str">
        <f t="shared" si="4456"/>
        <v>-1-1-1</v>
      </c>
      <c r="BH653" s="15" t="str">
        <f t="shared" si="4457"/>
        <v>SD</v>
      </c>
      <c r="BI653" s="15" t="str">
        <f t="shared" si="4458"/>
        <v>SI</v>
      </c>
      <c r="BJ653" s="15" t="b">
        <f t="shared" si="4459"/>
        <v>1</v>
      </c>
      <c r="BK653" s="15" t="str">
        <f t="shared" si="4460"/>
        <v>SIGIGUALES</v>
      </c>
      <c r="BL653" s="22" t="str">
        <f t="shared" si="4461"/>
        <v>NO CONFORME</v>
      </c>
    </row>
    <row r="654" spans="1:64" ht="15.75" thickBot="1" x14ac:dyDescent="0.3">
      <c r="A654" s="37">
        <v>646</v>
      </c>
      <c r="B654" s="93">
        <f t="shared" ref="B654:E654" si="4575">B653</f>
        <v>45919</v>
      </c>
      <c r="C654" s="93">
        <f t="shared" si="4575"/>
        <v>45919</v>
      </c>
      <c r="D654" s="94">
        <f t="shared" si="4575"/>
        <v>6</v>
      </c>
      <c r="E654" s="95">
        <f t="shared" si="4575"/>
        <v>15</v>
      </c>
      <c r="F654" s="58"/>
      <c r="G654" s="90"/>
      <c r="H654" s="97">
        <f t="shared" ref="H654:L654" si="4576">H653</f>
        <v>25.6</v>
      </c>
      <c r="I654" s="98">
        <f t="shared" si="4576"/>
        <v>0</v>
      </c>
      <c r="J654" s="99">
        <f t="shared" si="4576"/>
        <v>20.9</v>
      </c>
      <c r="K654" s="99">
        <f t="shared" si="4576"/>
        <v>7.883</v>
      </c>
      <c r="L654" s="99">
        <f t="shared" si="4576"/>
        <v>0.55400000000000005</v>
      </c>
      <c r="M654" s="59"/>
      <c r="N654" s="59"/>
      <c r="O654" s="100">
        <f t="shared" ref="O654:P654" si="4577">O653</f>
        <v>100.62</v>
      </c>
      <c r="P654" s="101" t="str">
        <f t="shared" si="4577"/>
        <v>2,29,560</v>
      </c>
      <c r="Q654" s="11" t="str">
        <f t="shared" si="4465"/>
        <v>2</v>
      </c>
      <c r="R654" s="11" t="str">
        <f t="shared" si="4466"/>
        <v>29,560</v>
      </c>
      <c r="S654" s="11">
        <f t="shared" si="4467"/>
        <v>4.1544444444444446E-2</v>
      </c>
      <c r="T654" s="14">
        <f t="shared" si="4468"/>
        <v>2421.9844878309709</v>
      </c>
      <c r="U654" s="39">
        <f t="shared" si="4439"/>
        <v>-100</v>
      </c>
      <c r="V654" s="105">
        <f t="shared" ref="V654:X654" si="4578">V653</f>
        <v>20.399999999999999</v>
      </c>
      <c r="W654" s="105">
        <f t="shared" si="4578"/>
        <v>1.5069999999999999</v>
      </c>
      <c r="X654" s="106">
        <f t="shared" si="4578"/>
        <v>1.504</v>
      </c>
      <c r="Y654" s="59"/>
      <c r="Z654" s="59"/>
      <c r="AA654" s="107">
        <f t="shared" ref="AA654:AB654" si="4579">AA653</f>
        <v>10.015000000000001</v>
      </c>
      <c r="AB654" s="108" t="str">
        <f t="shared" si="4579"/>
        <v>22,10,090</v>
      </c>
      <c r="AC654" s="11" t="str">
        <f t="shared" si="4471"/>
        <v>22</v>
      </c>
      <c r="AD654" s="11" t="str">
        <f t="shared" si="4472"/>
        <v>10,090</v>
      </c>
      <c r="AE654" s="11">
        <f t="shared" si="4473"/>
        <v>0.36946944444444441</v>
      </c>
      <c r="AF654" s="14">
        <f t="shared" si="4442"/>
        <v>27.106436406558959</v>
      </c>
      <c r="AG654" s="41">
        <f t="shared" si="4443"/>
        <v>-100</v>
      </c>
      <c r="AH654" s="105">
        <f t="shared" ref="AH654:AJ654" si="4580">AH653</f>
        <v>20.3</v>
      </c>
      <c r="AI654" s="105">
        <f t="shared" si="4580"/>
        <v>1.5089999999999999</v>
      </c>
      <c r="AJ654" s="105">
        <f t="shared" si="4580"/>
        <v>1.504</v>
      </c>
      <c r="AK654" s="53">
        <f t="shared" si="4357"/>
        <v>0</v>
      </c>
      <c r="AL654" s="59"/>
      <c r="AM654" s="54">
        <f t="shared" ref="AM654:AN654" si="4581">AM653</f>
        <v>5.0129999999999999</v>
      </c>
      <c r="AN654" s="101" t="str">
        <f t="shared" si="4581"/>
        <v>17,59,050</v>
      </c>
      <c r="AO654" s="11" t="str">
        <f t="shared" si="4476"/>
        <v>17</v>
      </c>
      <c r="AP654" s="11" t="str">
        <f t="shared" si="4477"/>
        <v>59,050</v>
      </c>
      <c r="AQ654" s="11">
        <f t="shared" si="4478"/>
        <v>0.29973611111111109</v>
      </c>
      <c r="AR654" s="14">
        <f t="shared" si="4446"/>
        <v>16.724711551827998</v>
      </c>
      <c r="AS654" s="41">
        <f t="shared" si="4447"/>
        <v>-100</v>
      </c>
      <c r="AT654" s="43" t="str">
        <f t="shared" si="4448"/>
        <v>NO CONFORME</v>
      </c>
      <c r="AU654" s="8" t="b">
        <f t="shared" si="4553"/>
        <v>1</v>
      </c>
      <c r="AV654" s="8" t="b">
        <f t="shared" si="4479"/>
        <v>0</v>
      </c>
      <c r="AW654" s="8" t="b">
        <f t="shared" si="4480"/>
        <v>1</v>
      </c>
      <c r="AX654" s="8" t="str">
        <f t="shared" si="4481"/>
        <v>Qcorrecto</v>
      </c>
      <c r="AY654" s="22" t="str">
        <f t="shared" si="4449"/>
        <v>aceptable</v>
      </c>
      <c r="AZ654" s="22" t="str">
        <f t="shared" si="4450"/>
        <v>aceptable</v>
      </c>
      <c r="BA654" s="22" t="str">
        <f t="shared" si="4482"/>
        <v>aceptable</v>
      </c>
      <c r="BB654" s="25" t="str">
        <f t="shared" si="4451"/>
        <v>NO CONFORME</v>
      </c>
      <c r="BC654" s="5" t="str">
        <f t="shared" si="4452"/>
        <v>NO CONFORME</v>
      </c>
      <c r="BD654" s="15">
        <f t="shared" si="4453"/>
        <v>-1</v>
      </c>
      <c r="BE654" s="15">
        <f t="shared" si="4454"/>
        <v>-1</v>
      </c>
      <c r="BF654" s="15">
        <f t="shared" si="4455"/>
        <v>-1</v>
      </c>
      <c r="BG654" s="15" t="str">
        <f t="shared" si="4456"/>
        <v>-1-1-1</v>
      </c>
      <c r="BH654" s="15" t="str">
        <f t="shared" si="4457"/>
        <v>SD</v>
      </c>
      <c r="BI654" s="15" t="str">
        <f t="shared" si="4458"/>
        <v>SI</v>
      </c>
      <c r="BJ654" s="15" t="b">
        <f t="shared" si="4459"/>
        <v>1</v>
      </c>
      <c r="BK654" s="15" t="str">
        <f t="shared" si="4460"/>
        <v>SIGIGUALES</v>
      </c>
      <c r="BL654" s="22" t="str">
        <f t="shared" si="4461"/>
        <v>NO CONFORME</v>
      </c>
    </row>
    <row r="655" spans="1:64" ht="15.75" thickBot="1" x14ac:dyDescent="0.3">
      <c r="A655" s="37">
        <v>647</v>
      </c>
      <c r="B655" s="93">
        <f t="shared" ref="B655:E655" si="4582">B654</f>
        <v>45919</v>
      </c>
      <c r="C655" s="93">
        <f t="shared" si="4582"/>
        <v>45919</v>
      </c>
      <c r="D655" s="94">
        <f t="shared" si="4582"/>
        <v>6</v>
      </c>
      <c r="E655" s="95">
        <f t="shared" si="4582"/>
        <v>15</v>
      </c>
      <c r="F655" s="13"/>
      <c r="G655" s="90"/>
      <c r="H655" s="97">
        <f t="shared" ref="H655:L655" si="4583">H654</f>
        <v>25.6</v>
      </c>
      <c r="I655" s="98">
        <f t="shared" si="4583"/>
        <v>0</v>
      </c>
      <c r="J655" s="99">
        <f t="shared" si="4583"/>
        <v>20.9</v>
      </c>
      <c r="K655" s="99">
        <f t="shared" si="4583"/>
        <v>7.883</v>
      </c>
      <c r="L655" s="99">
        <f t="shared" si="4583"/>
        <v>0.55400000000000005</v>
      </c>
      <c r="M655" s="45"/>
      <c r="N655" s="45"/>
      <c r="O655" s="100">
        <f t="shared" ref="O655:P655" si="4584">O654</f>
        <v>100.62</v>
      </c>
      <c r="P655" s="101" t="str">
        <f t="shared" si="4584"/>
        <v>2,29,560</v>
      </c>
      <c r="Q655" s="11" t="str">
        <f t="shared" si="4465"/>
        <v>2</v>
      </c>
      <c r="R655" s="11" t="str">
        <f t="shared" si="4466"/>
        <v>29,560</v>
      </c>
      <c r="S655" s="11">
        <f t="shared" si="4467"/>
        <v>4.1544444444444446E-2</v>
      </c>
      <c r="T655" s="14">
        <f t="shared" si="4468"/>
        <v>2421.9844878309709</v>
      </c>
      <c r="U655" s="39">
        <f t="shared" si="4439"/>
        <v>-100</v>
      </c>
      <c r="V655" s="105">
        <f t="shared" ref="V655:X655" si="4585">V654</f>
        <v>20.399999999999999</v>
      </c>
      <c r="W655" s="105">
        <f t="shared" si="4585"/>
        <v>1.5069999999999999</v>
      </c>
      <c r="X655" s="106">
        <f t="shared" si="4585"/>
        <v>1.504</v>
      </c>
      <c r="Y655" s="45"/>
      <c r="Z655" s="45"/>
      <c r="AA655" s="107">
        <f t="shared" ref="AA655:AB655" si="4586">AA654</f>
        <v>10.015000000000001</v>
      </c>
      <c r="AB655" s="108" t="str">
        <f t="shared" si="4586"/>
        <v>22,10,090</v>
      </c>
      <c r="AC655" s="11" t="str">
        <f t="shared" si="4471"/>
        <v>22</v>
      </c>
      <c r="AD655" s="11" t="str">
        <f t="shared" si="4472"/>
        <v>10,090</v>
      </c>
      <c r="AE655" s="11">
        <f t="shared" si="4473"/>
        <v>0.36946944444444441</v>
      </c>
      <c r="AF655" s="14">
        <f t="shared" si="4442"/>
        <v>27.106436406558959</v>
      </c>
      <c r="AG655" s="41">
        <f t="shared" si="4443"/>
        <v>-100</v>
      </c>
      <c r="AH655" s="105">
        <f t="shared" ref="AH655:AJ655" si="4587">AH654</f>
        <v>20.3</v>
      </c>
      <c r="AI655" s="105">
        <f t="shared" si="4587"/>
        <v>1.5089999999999999</v>
      </c>
      <c r="AJ655" s="105">
        <f t="shared" si="4587"/>
        <v>1.504</v>
      </c>
      <c r="AK655" s="53">
        <f t="shared" si="4357"/>
        <v>0</v>
      </c>
      <c r="AL655" s="45"/>
      <c r="AM655" s="54">
        <f t="shared" ref="AM655:AN655" si="4588">AM654</f>
        <v>5.0129999999999999</v>
      </c>
      <c r="AN655" s="101" t="str">
        <f t="shared" si="4588"/>
        <v>17,59,050</v>
      </c>
      <c r="AO655" s="11" t="str">
        <f t="shared" si="4476"/>
        <v>17</v>
      </c>
      <c r="AP655" s="11" t="str">
        <f t="shared" si="4477"/>
        <v>59,050</v>
      </c>
      <c r="AQ655" s="11">
        <f t="shared" si="4478"/>
        <v>0.29973611111111109</v>
      </c>
      <c r="AR655" s="14">
        <f t="shared" si="4446"/>
        <v>16.724711551827998</v>
      </c>
      <c r="AS655" s="41">
        <f t="shared" si="4447"/>
        <v>-100</v>
      </c>
      <c r="AT655" s="43" t="str">
        <f t="shared" si="4448"/>
        <v>NO CONFORME</v>
      </c>
      <c r="AU655" s="8" t="b">
        <f t="shared" si="4553"/>
        <v>1</v>
      </c>
      <c r="AV655" s="8" t="b">
        <f t="shared" si="4479"/>
        <v>0</v>
      </c>
      <c r="AW655" s="8" t="b">
        <f t="shared" si="4480"/>
        <v>1</v>
      </c>
      <c r="AX655" s="8" t="str">
        <f t="shared" si="4481"/>
        <v>Qcorrecto</v>
      </c>
      <c r="AY655" s="22" t="str">
        <f t="shared" si="4449"/>
        <v>aceptable</v>
      </c>
      <c r="AZ655" s="22" t="str">
        <f t="shared" si="4450"/>
        <v>aceptable</v>
      </c>
      <c r="BA655" s="22" t="str">
        <f t="shared" si="4482"/>
        <v>aceptable</v>
      </c>
      <c r="BB655" s="25" t="str">
        <f t="shared" si="4451"/>
        <v>NO CONFORME</v>
      </c>
      <c r="BC655" s="5" t="str">
        <f t="shared" si="4452"/>
        <v>NO CONFORME</v>
      </c>
      <c r="BD655" s="15">
        <f t="shared" si="4453"/>
        <v>-1</v>
      </c>
      <c r="BE655" s="15">
        <f t="shared" si="4454"/>
        <v>-1</v>
      </c>
      <c r="BF655" s="15">
        <f t="shared" si="4455"/>
        <v>-1</v>
      </c>
      <c r="BG655" s="15" t="str">
        <f t="shared" si="4456"/>
        <v>-1-1-1</v>
      </c>
      <c r="BH655" s="15" t="str">
        <f t="shared" si="4457"/>
        <v>SD</v>
      </c>
      <c r="BI655" s="15" t="str">
        <f t="shared" si="4458"/>
        <v>SI</v>
      </c>
      <c r="BJ655" s="15" t="b">
        <f t="shared" si="4459"/>
        <v>1</v>
      </c>
      <c r="BK655" s="15" t="str">
        <f t="shared" si="4460"/>
        <v>SIGIGUALES</v>
      </c>
      <c r="BL655" s="22" t="str">
        <f t="shared" si="4461"/>
        <v>NO CONFORME</v>
      </c>
    </row>
    <row r="656" spans="1:64" ht="15.75" thickBot="1" x14ac:dyDescent="0.3">
      <c r="A656" s="37">
        <v>648</v>
      </c>
      <c r="B656" s="93">
        <f t="shared" ref="B656:E656" si="4589">B655</f>
        <v>45919</v>
      </c>
      <c r="C656" s="93">
        <f t="shared" si="4589"/>
        <v>45919</v>
      </c>
      <c r="D656" s="94">
        <f t="shared" si="4589"/>
        <v>6</v>
      </c>
      <c r="E656" s="95">
        <f t="shared" si="4589"/>
        <v>15</v>
      </c>
      <c r="F656" s="13"/>
      <c r="G656" s="90"/>
      <c r="H656" s="97">
        <f t="shared" ref="H656:L656" si="4590">H655</f>
        <v>25.6</v>
      </c>
      <c r="I656" s="98">
        <f t="shared" si="4590"/>
        <v>0</v>
      </c>
      <c r="J656" s="99">
        <f t="shared" si="4590"/>
        <v>20.9</v>
      </c>
      <c r="K656" s="99">
        <f t="shared" si="4590"/>
        <v>7.883</v>
      </c>
      <c r="L656" s="99">
        <f t="shared" si="4590"/>
        <v>0.55400000000000005</v>
      </c>
      <c r="M656" s="45"/>
      <c r="N656" s="45"/>
      <c r="O656" s="100">
        <f t="shared" ref="O656:P656" si="4591">O655</f>
        <v>100.62</v>
      </c>
      <c r="P656" s="101" t="str">
        <f t="shared" si="4591"/>
        <v>2,29,560</v>
      </c>
      <c r="Q656" s="11" t="str">
        <f t="shared" si="4465"/>
        <v>2</v>
      </c>
      <c r="R656" s="11" t="str">
        <f t="shared" si="4466"/>
        <v>29,560</v>
      </c>
      <c r="S656" s="11">
        <f t="shared" si="4467"/>
        <v>4.1544444444444446E-2</v>
      </c>
      <c r="T656" s="14">
        <f t="shared" si="4468"/>
        <v>2421.9844878309709</v>
      </c>
      <c r="U656" s="39">
        <f t="shared" si="4439"/>
        <v>-100</v>
      </c>
      <c r="V656" s="105">
        <f t="shared" ref="V656:X656" si="4592">V655</f>
        <v>20.399999999999999</v>
      </c>
      <c r="W656" s="105">
        <f t="shared" si="4592"/>
        <v>1.5069999999999999</v>
      </c>
      <c r="X656" s="106">
        <f t="shared" si="4592"/>
        <v>1.504</v>
      </c>
      <c r="Y656" s="45"/>
      <c r="Z656" s="45"/>
      <c r="AA656" s="107">
        <f t="shared" ref="AA656:AB656" si="4593">AA655</f>
        <v>10.015000000000001</v>
      </c>
      <c r="AB656" s="108" t="str">
        <f t="shared" si="4593"/>
        <v>22,10,090</v>
      </c>
      <c r="AC656" s="11" t="str">
        <f t="shared" si="4471"/>
        <v>22</v>
      </c>
      <c r="AD656" s="11" t="str">
        <f t="shared" si="4472"/>
        <v>10,090</v>
      </c>
      <c r="AE656" s="11">
        <f t="shared" si="4473"/>
        <v>0.36946944444444441</v>
      </c>
      <c r="AF656" s="14">
        <f t="shared" si="4442"/>
        <v>27.106436406558959</v>
      </c>
      <c r="AG656" s="41">
        <f t="shared" si="4443"/>
        <v>-100</v>
      </c>
      <c r="AH656" s="105">
        <f t="shared" ref="AH656:AJ656" si="4594">AH655</f>
        <v>20.3</v>
      </c>
      <c r="AI656" s="105">
        <f t="shared" si="4594"/>
        <v>1.5089999999999999</v>
      </c>
      <c r="AJ656" s="105">
        <f t="shared" si="4594"/>
        <v>1.504</v>
      </c>
      <c r="AK656" s="53">
        <f t="shared" si="4357"/>
        <v>0</v>
      </c>
      <c r="AL656" s="45"/>
      <c r="AM656" s="54">
        <f t="shared" ref="AM656:AN656" si="4595">AM655</f>
        <v>5.0129999999999999</v>
      </c>
      <c r="AN656" s="101" t="str">
        <f t="shared" si="4595"/>
        <v>17,59,050</v>
      </c>
      <c r="AO656" s="11" t="str">
        <f t="shared" si="4476"/>
        <v>17</v>
      </c>
      <c r="AP656" s="11" t="str">
        <f t="shared" si="4477"/>
        <v>59,050</v>
      </c>
      <c r="AQ656" s="11">
        <f t="shared" si="4478"/>
        <v>0.29973611111111109</v>
      </c>
      <c r="AR656" s="14">
        <f t="shared" si="4446"/>
        <v>16.724711551827998</v>
      </c>
      <c r="AS656" s="41">
        <f t="shared" si="4447"/>
        <v>-100</v>
      </c>
      <c r="AT656" s="43" t="str">
        <f t="shared" si="4448"/>
        <v>NO CONFORME</v>
      </c>
      <c r="AU656" s="8" t="b">
        <f t="shared" si="4553"/>
        <v>1</v>
      </c>
      <c r="AV656" s="8" t="b">
        <f t="shared" si="4479"/>
        <v>0</v>
      </c>
      <c r="AW656" s="8" t="b">
        <f t="shared" si="4480"/>
        <v>1</v>
      </c>
      <c r="AX656" s="8" t="str">
        <f t="shared" si="4481"/>
        <v>Qcorrecto</v>
      </c>
      <c r="AY656" s="22" t="str">
        <f t="shared" si="4449"/>
        <v>aceptable</v>
      </c>
      <c r="AZ656" s="22" t="str">
        <f t="shared" si="4450"/>
        <v>aceptable</v>
      </c>
      <c r="BA656" s="22" t="str">
        <f t="shared" si="4482"/>
        <v>aceptable</v>
      </c>
      <c r="BB656" s="25" t="str">
        <f t="shared" si="4451"/>
        <v>NO CONFORME</v>
      </c>
      <c r="BC656" s="5" t="str">
        <f t="shared" si="4452"/>
        <v>NO CONFORME</v>
      </c>
      <c r="BD656" s="15">
        <f t="shared" si="4453"/>
        <v>-1</v>
      </c>
      <c r="BE656" s="15">
        <f t="shared" si="4454"/>
        <v>-1</v>
      </c>
      <c r="BF656" s="15">
        <f t="shared" si="4455"/>
        <v>-1</v>
      </c>
      <c r="BG656" s="15" t="str">
        <f t="shared" si="4456"/>
        <v>-1-1-1</v>
      </c>
      <c r="BH656" s="15" t="str">
        <f t="shared" si="4457"/>
        <v>SD</v>
      </c>
      <c r="BI656" s="15" t="str">
        <f t="shared" si="4458"/>
        <v>SI</v>
      </c>
      <c r="BJ656" s="15" t="b">
        <f t="shared" si="4459"/>
        <v>1</v>
      </c>
      <c r="BK656" s="15" t="str">
        <f t="shared" si="4460"/>
        <v>SIGIGUALES</v>
      </c>
      <c r="BL656" s="22" t="str">
        <f t="shared" si="4461"/>
        <v>NO CONFORME</v>
      </c>
    </row>
    <row r="657" spans="1:64" ht="15.75" thickBot="1" x14ac:dyDescent="0.3">
      <c r="A657" s="37">
        <v>649</v>
      </c>
      <c r="B657" s="93">
        <f t="shared" ref="B657:E657" si="4596">B656</f>
        <v>45919</v>
      </c>
      <c r="C657" s="93">
        <f t="shared" si="4596"/>
        <v>45919</v>
      </c>
      <c r="D657" s="94">
        <f t="shared" si="4596"/>
        <v>6</v>
      </c>
      <c r="E657" s="95">
        <f t="shared" si="4596"/>
        <v>15</v>
      </c>
      <c r="F657" s="13"/>
      <c r="G657" s="90"/>
      <c r="H657" s="97">
        <f t="shared" ref="H657:L657" si="4597">H656</f>
        <v>25.6</v>
      </c>
      <c r="I657" s="98">
        <f t="shared" si="4597"/>
        <v>0</v>
      </c>
      <c r="J657" s="99">
        <f t="shared" si="4597"/>
        <v>20.9</v>
      </c>
      <c r="K657" s="99">
        <f t="shared" si="4597"/>
        <v>7.883</v>
      </c>
      <c r="L657" s="99">
        <f t="shared" si="4597"/>
        <v>0.55400000000000005</v>
      </c>
      <c r="M657" s="45"/>
      <c r="N657" s="45"/>
      <c r="O657" s="100">
        <f t="shared" ref="O657:P657" si="4598">O656</f>
        <v>100.62</v>
      </c>
      <c r="P657" s="101" t="str">
        <f t="shared" si="4598"/>
        <v>2,29,560</v>
      </c>
      <c r="Q657" s="11" t="str">
        <f t="shared" si="4465"/>
        <v>2</v>
      </c>
      <c r="R657" s="11" t="str">
        <f t="shared" si="4466"/>
        <v>29,560</v>
      </c>
      <c r="S657" s="11">
        <f t="shared" si="4467"/>
        <v>4.1544444444444446E-2</v>
      </c>
      <c r="T657" s="14">
        <f t="shared" si="4468"/>
        <v>2421.9844878309709</v>
      </c>
      <c r="U657" s="39">
        <f t="shared" si="4439"/>
        <v>-100</v>
      </c>
      <c r="V657" s="105">
        <f t="shared" ref="V657:X657" si="4599">V656</f>
        <v>20.399999999999999</v>
      </c>
      <c r="W657" s="105">
        <f t="shared" si="4599"/>
        <v>1.5069999999999999</v>
      </c>
      <c r="X657" s="106">
        <f t="shared" si="4599"/>
        <v>1.504</v>
      </c>
      <c r="Y657" s="45"/>
      <c r="Z657" s="45"/>
      <c r="AA657" s="107">
        <f t="shared" ref="AA657:AB657" si="4600">AA656</f>
        <v>10.015000000000001</v>
      </c>
      <c r="AB657" s="108" t="str">
        <f t="shared" si="4600"/>
        <v>22,10,090</v>
      </c>
      <c r="AC657" s="11" t="str">
        <f t="shared" si="4471"/>
        <v>22</v>
      </c>
      <c r="AD657" s="11" t="str">
        <f t="shared" si="4472"/>
        <v>10,090</v>
      </c>
      <c r="AE657" s="11">
        <f t="shared" si="4473"/>
        <v>0.36946944444444441</v>
      </c>
      <c r="AF657" s="14">
        <f t="shared" si="4442"/>
        <v>27.106436406558959</v>
      </c>
      <c r="AG657" s="41">
        <f t="shared" si="4443"/>
        <v>-100</v>
      </c>
      <c r="AH657" s="105">
        <f t="shared" ref="AH657:AJ657" si="4601">AH656</f>
        <v>20.3</v>
      </c>
      <c r="AI657" s="105">
        <f t="shared" si="4601"/>
        <v>1.5089999999999999</v>
      </c>
      <c r="AJ657" s="105">
        <f t="shared" si="4601"/>
        <v>1.504</v>
      </c>
      <c r="AK657" s="53">
        <f t="shared" si="4357"/>
        <v>0</v>
      </c>
      <c r="AL657" s="45"/>
      <c r="AM657" s="54">
        <f t="shared" ref="AM657:AN657" si="4602">AM656</f>
        <v>5.0129999999999999</v>
      </c>
      <c r="AN657" s="101" t="str">
        <f t="shared" si="4602"/>
        <v>17,59,050</v>
      </c>
      <c r="AO657" s="11" t="str">
        <f t="shared" si="4476"/>
        <v>17</v>
      </c>
      <c r="AP657" s="11" t="str">
        <f t="shared" si="4477"/>
        <v>59,050</v>
      </c>
      <c r="AQ657" s="11">
        <f t="shared" si="4478"/>
        <v>0.29973611111111109</v>
      </c>
      <c r="AR657" s="14">
        <f t="shared" si="4446"/>
        <v>16.724711551827998</v>
      </c>
      <c r="AS657" s="41">
        <f t="shared" si="4447"/>
        <v>-100</v>
      </c>
      <c r="AT657" s="43" t="str">
        <f t="shared" si="4448"/>
        <v>NO CONFORME</v>
      </c>
      <c r="AU657" s="8" t="b">
        <f t="shared" si="4553"/>
        <v>1</v>
      </c>
      <c r="AV657" s="8" t="b">
        <f t="shared" si="4479"/>
        <v>0</v>
      </c>
      <c r="AW657" s="8" t="b">
        <f t="shared" si="4480"/>
        <v>1</v>
      </c>
      <c r="AX657" s="8" t="str">
        <f t="shared" si="4481"/>
        <v>Qcorrecto</v>
      </c>
      <c r="AY657" s="22" t="str">
        <f t="shared" si="4449"/>
        <v>aceptable</v>
      </c>
      <c r="AZ657" s="22" t="str">
        <f t="shared" si="4450"/>
        <v>aceptable</v>
      </c>
      <c r="BA657" s="22" t="str">
        <f t="shared" si="4482"/>
        <v>aceptable</v>
      </c>
      <c r="BB657" s="25" t="str">
        <f t="shared" si="4451"/>
        <v>NO CONFORME</v>
      </c>
      <c r="BC657" s="5" t="str">
        <f t="shared" si="4452"/>
        <v>NO CONFORME</v>
      </c>
      <c r="BD657" s="15">
        <f t="shared" si="4453"/>
        <v>-1</v>
      </c>
      <c r="BE657" s="15">
        <f t="shared" si="4454"/>
        <v>-1</v>
      </c>
      <c r="BF657" s="15">
        <f t="shared" si="4455"/>
        <v>-1</v>
      </c>
      <c r="BG657" s="15" t="str">
        <f t="shared" si="4456"/>
        <v>-1-1-1</v>
      </c>
      <c r="BH657" s="15" t="str">
        <f t="shared" si="4457"/>
        <v>SD</v>
      </c>
      <c r="BI657" s="15" t="str">
        <f t="shared" si="4458"/>
        <v>SI</v>
      </c>
      <c r="BJ657" s="15" t="b">
        <f t="shared" si="4459"/>
        <v>1</v>
      </c>
      <c r="BK657" s="15" t="str">
        <f t="shared" si="4460"/>
        <v>SIGIGUALES</v>
      </c>
      <c r="BL657" s="22" t="str">
        <f t="shared" si="4461"/>
        <v>NO CONFORME</v>
      </c>
    </row>
    <row r="658" spans="1:64" ht="15.75" thickBot="1" x14ac:dyDescent="0.3">
      <c r="A658" s="37">
        <v>650</v>
      </c>
      <c r="B658" s="93">
        <f t="shared" ref="B658:E658" si="4603">B657</f>
        <v>45919</v>
      </c>
      <c r="C658" s="93">
        <f t="shared" si="4603"/>
        <v>45919</v>
      </c>
      <c r="D658" s="94">
        <f t="shared" si="4603"/>
        <v>6</v>
      </c>
      <c r="E658" s="95">
        <f t="shared" si="4603"/>
        <v>15</v>
      </c>
      <c r="F658" s="13"/>
      <c r="G658" s="90"/>
      <c r="H658" s="97">
        <f t="shared" ref="H658:L658" si="4604">H657</f>
        <v>25.6</v>
      </c>
      <c r="I658" s="98">
        <f t="shared" si="4604"/>
        <v>0</v>
      </c>
      <c r="J658" s="99">
        <f t="shared" si="4604"/>
        <v>20.9</v>
      </c>
      <c r="K658" s="99">
        <f t="shared" si="4604"/>
        <v>7.883</v>
      </c>
      <c r="L658" s="99">
        <f t="shared" si="4604"/>
        <v>0.55400000000000005</v>
      </c>
      <c r="M658" s="45"/>
      <c r="N658" s="45"/>
      <c r="O658" s="100">
        <f t="shared" ref="O658:P658" si="4605">O657</f>
        <v>100.62</v>
      </c>
      <c r="P658" s="101" t="str">
        <f t="shared" si="4605"/>
        <v>2,29,560</v>
      </c>
      <c r="Q658" s="11" t="str">
        <f t="shared" si="4465"/>
        <v>2</v>
      </c>
      <c r="R658" s="11" t="str">
        <f t="shared" si="4466"/>
        <v>29,560</v>
      </c>
      <c r="S658" s="11">
        <f t="shared" si="4467"/>
        <v>4.1544444444444446E-2</v>
      </c>
      <c r="T658" s="14">
        <f t="shared" si="4468"/>
        <v>2421.9844878309709</v>
      </c>
      <c r="U658" s="39">
        <f t="shared" si="4439"/>
        <v>-100</v>
      </c>
      <c r="V658" s="105">
        <f t="shared" ref="V658:X658" si="4606">V657</f>
        <v>20.399999999999999</v>
      </c>
      <c r="W658" s="105">
        <f t="shared" si="4606"/>
        <v>1.5069999999999999</v>
      </c>
      <c r="X658" s="106">
        <f t="shared" si="4606"/>
        <v>1.504</v>
      </c>
      <c r="Y658" s="45"/>
      <c r="Z658" s="45"/>
      <c r="AA658" s="107">
        <f t="shared" ref="AA658:AB658" si="4607">AA657</f>
        <v>10.015000000000001</v>
      </c>
      <c r="AB658" s="108" t="str">
        <f t="shared" si="4607"/>
        <v>22,10,090</v>
      </c>
      <c r="AC658" s="11" t="str">
        <f t="shared" si="4471"/>
        <v>22</v>
      </c>
      <c r="AD658" s="11" t="str">
        <f t="shared" si="4472"/>
        <v>10,090</v>
      </c>
      <c r="AE658" s="11">
        <f t="shared" si="4473"/>
        <v>0.36946944444444441</v>
      </c>
      <c r="AF658" s="14">
        <f t="shared" si="4442"/>
        <v>27.106436406558959</v>
      </c>
      <c r="AG658" s="41">
        <f t="shared" si="4443"/>
        <v>-100</v>
      </c>
      <c r="AH658" s="105">
        <f t="shared" ref="AH658:AJ658" si="4608">AH657</f>
        <v>20.3</v>
      </c>
      <c r="AI658" s="105">
        <f t="shared" si="4608"/>
        <v>1.5089999999999999</v>
      </c>
      <c r="AJ658" s="105">
        <f t="shared" si="4608"/>
        <v>1.504</v>
      </c>
      <c r="AK658" s="53">
        <f t="shared" si="4357"/>
        <v>0</v>
      </c>
      <c r="AL658" s="45"/>
      <c r="AM658" s="54">
        <f t="shared" ref="AM658:AN658" si="4609">AM657</f>
        <v>5.0129999999999999</v>
      </c>
      <c r="AN658" s="101" t="str">
        <f t="shared" si="4609"/>
        <v>17,59,050</v>
      </c>
      <c r="AO658" s="11" t="str">
        <f t="shared" si="4476"/>
        <v>17</v>
      </c>
      <c r="AP658" s="11" t="str">
        <f t="shared" si="4477"/>
        <v>59,050</v>
      </c>
      <c r="AQ658" s="11">
        <f t="shared" si="4478"/>
        <v>0.29973611111111109</v>
      </c>
      <c r="AR658" s="14">
        <f t="shared" si="4446"/>
        <v>16.724711551827998</v>
      </c>
      <c r="AS658" s="41">
        <f t="shared" si="4447"/>
        <v>-100</v>
      </c>
      <c r="AT658" s="43" t="str">
        <f t="shared" si="4448"/>
        <v>NO CONFORME</v>
      </c>
      <c r="AU658" s="8" t="b">
        <f t="shared" si="4553"/>
        <v>1</v>
      </c>
      <c r="AV658" s="8" t="b">
        <f t="shared" si="4479"/>
        <v>0</v>
      </c>
      <c r="AW658" s="8" t="b">
        <f t="shared" si="4480"/>
        <v>1</v>
      </c>
      <c r="AX658" s="8" t="str">
        <f t="shared" si="4481"/>
        <v>Qcorrecto</v>
      </c>
      <c r="AY658" s="22" t="str">
        <f t="shared" si="4449"/>
        <v>aceptable</v>
      </c>
      <c r="AZ658" s="22" t="str">
        <f t="shared" si="4450"/>
        <v>aceptable</v>
      </c>
      <c r="BA658" s="22" t="str">
        <f t="shared" si="4482"/>
        <v>aceptable</v>
      </c>
      <c r="BB658" s="25" t="str">
        <f t="shared" si="4451"/>
        <v>NO CONFORME</v>
      </c>
      <c r="BC658" s="5" t="str">
        <f t="shared" si="4452"/>
        <v>NO CONFORME</v>
      </c>
      <c r="BD658" s="15">
        <f t="shared" si="4453"/>
        <v>-1</v>
      </c>
      <c r="BE658" s="15">
        <f t="shared" si="4454"/>
        <v>-1</v>
      </c>
      <c r="BF658" s="15">
        <f t="shared" si="4455"/>
        <v>-1</v>
      </c>
      <c r="BG658" s="15" t="str">
        <f t="shared" si="4456"/>
        <v>-1-1-1</v>
      </c>
      <c r="BH658" s="15" t="str">
        <f t="shared" si="4457"/>
        <v>SD</v>
      </c>
      <c r="BI658" s="15" t="str">
        <f t="shared" si="4458"/>
        <v>SI</v>
      </c>
      <c r="BJ658" s="15" t="b">
        <f t="shared" si="4459"/>
        <v>1</v>
      </c>
      <c r="BK658" s="15" t="str">
        <f t="shared" si="4460"/>
        <v>SIGIGUALES</v>
      </c>
      <c r="BL658" s="22" t="str">
        <f t="shared" si="4461"/>
        <v>NO CONFORME</v>
      </c>
    </row>
    <row r="659" spans="1:64" ht="15.75" thickBot="1" x14ac:dyDescent="0.3">
      <c r="A659" s="37">
        <v>651</v>
      </c>
      <c r="B659" s="93">
        <f t="shared" ref="B659:E659" si="4610">B658</f>
        <v>45919</v>
      </c>
      <c r="C659" s="93">
        <f t="shared" si="4610"/>
        <v>45919</v>
      </c>
      <c r="D659" s="94">
        <f t="shared" si="4610"/>
        <v>6</v>
      </c>
      <c r="E659" s="95">
        <f t="shared" si="4610"/>
        <v>15</v>
      </c>
      <c r="F659" s="13"/>
      <c r="G659" s="90"/>
      <c r="H659" s="97">
        <f t="shared" ref="H659:L659" si="4611">H658</f>
        <v>25.6</v>
      </c>
      <c r="I659" s="98">
        <f t="shared" si="4611"/>
        <v>0</v>
      </c>
      <c r="J659" s="99">
        <f t="shared" si="4611"/>
        <v>20.9</v>
      </c>
      <c r="K659" s="99">
        <f t="shared" si="4611"/>
        <v>7.883</v>
      </c>
      <c r="L659" s="99">
        <f t="shared" si="4611"/>
        <v>0.55400000000000005</v>
      </c>
      <c r="M659" s="45"/>
      <c r="N659" s="45"/>
      <c r="O659" s="100">
        <f t="shared" ref="O659:P659" si="4612">O658</f>
        <v>100.62</v>
      </c>
      <c r="P659" s="101" t="str">
        <f t="shared" si="4612"/>
        <v>2,29,560</v>
      </c>
      <c r="Q659" s="11" t="str">
        <f t="shared" si="4465"/>
        <v>2</v>
      </c>
      <c r="R659" s="11" t="str">
        <f t="shared" si="4466"/>
        <v>29,560</v>
      </c>
      <c r="S659" s="11">
        <f t="shared" si="4467"/>
        <v>4.1544444444444446E-2</v>
      </c>
      <c r="T659" s="14">
        <f t="shared" si="4468"/>
        <v>2421.9844878309709</v>
      </c>
      <c r="U659" s="39">
        <f t="shared" si="4439"/>
        <v>-100</v>
      </c>
      <c r="V659" s="105">
        <f t="shared" ref="V659:X659" si="4613">V658</f>
        <v>20.399999999999999</v>
      </c>
      <c r="W659" s="105">
        <f t="shared" si="4613"/>
        <v>1.5069999999999999</v>
      </c>
      <c r="X659" s="106">
        <f t="shared" si="4613"/>
        <v>1.504</v>
      </c>
      <c r="Y659" s="45"/>
      <c r="Z659" s="45"/>
      <c r="AA659" s="107">
        <f t="shared" ref="AA659:AB659" si="4614">AA658</f>
        <v>10.015000000000001</v>
      </c>
      <c r="AB659" s="108" t="str">
        <f t="shared" si="4614"/>
        <v>22,10,090</v>
      </c>
      <c r="AC659" s="11" t="str">
        <f t="shared" si="4471"/>
        <v>22</v>
      </c>
      <c r="AD659" s="11" t="str">
        <f t="shared" si="4472"/>
        <v>10,090</v>
      </c>
      <c r="AE659" s="11">
        <f t="shared" si="4473"/>
        <v>0.36946944444444441</v>
      </c>
      <c r="AF659" s="14">
        <f t="shared" si="4442"/>
        <v>27.106436406558959</v>
      </c>
      <c r="AG659" s="41">
        <f t="shared" si="4443"/>
        <v>-100</v>
      </c>
      <c r="AH659" s="105">
        <f t="shared" ref="AH659:AJ659" si="4615">AH658</f>
        <v>20.3</v>
      </c>
      <c r="AI659" s="105">
        <f t="shared" si="4615"/>
        <v>1.5089999999999999</v>
      </c>
      <c r="AJ659" s="105">
        <f t="shared" si="4615"/>
        <v>1.504</v>
      </c>
      <c r="AK659" s="53">
        <f t="shared" si="4357"/>
        <v>0</v>
      </c>
      <c r="AL659" s="45"/>
      <c r="AM659" s="54">
        <f t="shared" ref="AM659:AN659" si="4616">AM658</f>
        <v>5.0129999999999999</v>
      </c>
      <c r="AN659" s="101" t="str">
        <f t="shared" si="4616"/>
        <v>17,59,050</v>
      </c>
      <c r="AO659" s="11" t="str">
        <f t="shared" si="4476"/>
        <v>17</v>
      </c>
      <c r="AP659" s="11" t="str">
        <f t="shared" si="4477"/>
        <v>59,050</v>
      </c>
      <c r="AQ659" s="11">
        <f t="shared" si="4478"/>
        <v>0.29973611111111109</v>
      </c>
      <c r="AR659" s="14">
        <f t="shared" si="4446"/>
        <v>16.724711551827998</v>
      </c>
      <c r="AS659" s="41">
        <f t="shared" si="4447"/>
        <v>-100</v>
      </c>
      <c r="AT659" s="43" t="str">
        <f t="shared" si="4448"/>
        <v>NO CONFORME</v>
      </c>
      <c r="AU659" s="8" t="b">
        <f t="shared" si="4553"/>
        <v>1</v>
      </c>
      <c r="AV659" s="8" t="b">
        <f t="shared" si="4479"/>
        <v>0</v>
      </c>
      <c r="AW659" s="8" t="b">
        <f t="shared" si="4480"/>
        <v>1</v>
      </c>
      <c r="AX659" s="8" t="str">
        <f t="shared" si="4481"/>
        <v>Qcorrecto</v>
      </c>
      <c r="AY659" s="22" t="str">
        <f t="shared" si="4449"/>
        <v>aceptable</v>
      </c>
      <c r="AZ659" s="22" t="str">
        <f t="shared" si="4450"/>
        <v>aceptable</v>
      </c>
      <c r="BA659" s="22" t="str">
        <f t="shared" si="4482"/>
        <v>aceptable</v>
      </c>
      <c r="BB659" s="25" t="str">
        <f t="shared" si="4451"/>
        <v>NO CONFORME</v>
      </c>
      <c r="BC659" s="5" t="str">
        <f t="shared" si="4452"/>
        <v>NO CONFORME</v>
      </c>
      <c r="BD659" s="15">
        <f t="shared" si="4453"/>
        <v>-1</v>
      </c>
      <c r="BE659" s="15">
        <f t="shared" si="4454"/>
        <v>-1</v>
      </c>
      <c r="BF659" s="15">
        <f t="shared" si="4455"/>
        <v>-1</v>
      </c>
      <c r="BG659" s="15" t="str">
        <f t="shared" si="4456"/>
        <v>-1-1-1</v>
      </c>
      <c r="BH659" s="15" t="str">
        <f t="shared" si="4457"/>
        <v>SD</v>
      </c>
      <c r="BI659" s="15" t="str">
        <f t="shared" si="4458"/>
        <v>SI</v>
      </c>
      <c r="BJ659" s="15" t="b">
        <f t="shared" si="4459"/>
        <v>1</v>
      </c>
      <c r="BK659" s="15" t="str">
        <f t="shared" si="4460"/>
        <v>SIGIGUALES</v>
      </c>
      <c r="BL659" s="22" t="str">
        <f t="shared" si="4461"/>
        <v>NO CONFORME</v>
      </c>
    </row>
    <row r="660" spans="1:64" ht="15.75" thickBot="1" x14ac:dyDescent="0.3">
      <c r="A660" s="37">
        <v>652</v>
      </c>
      <c r="B660" s="93">
        <f t="shared" ref="B660:E660" si="4617">B659</f>
        <v>45919</v>
      </c>
      <c r="C660" s="93">
        <f t="shared" si="4617"/>
        <v>45919</v>
      </c>
      <c r="D660" s="94">
        <f t="shared" si="4617"/>
        <v>6</v>
      </c>
      <c r="E660" s="95">
        <f t="shared" si="4617"/>
        <v>15</v>
      </c>
      <c r="F660" s="13"/>
      <c r="G660" s="90"/>
      <c r="H660" s="97">
        <f t="shared" ref="H660:L660" si="4618">H659</f>
        <v>25.6</v>
      </c>
      <c r="I660" s="98">
        <f t="shared" si="4618"/>
        <v>0</v>
      </c>
      <c r="J660" s="99">
        <f t="shared" si="4618"/>
        <v>20.9</v>
      </c>
      <c r="K660" s="99">
        <f t="shared" si="4618"/>
        <v>7.883</v>
      </c>
      <c r="L660" s="99">
        <f t="shared" si="4618"/>
        <v>0.55400000000000005</v>
      </c>
      <c r="M660" s="45"/>
      <c r="N660" s="45"/>
      <c r="O660" s="100">
        <f t="shared" ref="O660:P660" si="4619">O659</f>
        <v>100.62</v>
      </c>
      <c r="P660" s="101" t="str">
        <f t="shared" si="4619"/>
        <v>2,29,560</v>
      </c>
      <c r="Q660" s="11" t="str">
        <f t="shared" si="4465"/>
        <v>2</v>
      </c>
      <c r="R660" s="11" t="str">
        <f t="shared" si="4466"/>
        <v>29,560</v>
      </c>
      <c r="S660" s="11">
        <f t="shared" si="4467"/>
        <v>4.1544444444444446E-2</v>
      </c>
      <c r="T660" s="14">
        <f t="shared" si="4468"/>
        <v>2421.9844878309709</v>
      </c>
      <c r="U660" s="39">
        <f t="shared" si="4439"/>
        <v>-100</v>
      </c>
      <c r="V660" s="105">
        <f t="shared" ref="V660:X660" si="4620">V659</f>
        <v>20.399999999999999</v>
      </c>
      <c r="W660" s="105">
        <f t="shared" si="4620"/>
        <v>1.5069999999999999</v>
      </c>
      <c r="X660" s="106">
        <f t="shared" si="4620"/>
        <v>1.504</v>
      </c>
      <c r="Y660" s="45"/>
      <c r="Z660" s="45"/>
      <c r="AA660" s="107">
        <f t="shared" ref="AA660:AB660" si="4621">AA659</f>
        <v>10.015000000000001</v>
      </c>
      <c r="AB660" s="108" t="str">
        <f t="shared" si="4621"/>
        <v>22,10,090</v>
      </c>
      <c r="AC660" s="11" t="str">
        <f t="shared" si="4471"/>
        <v>22</v>
      </c>
      <c r="AD660" s="11" t="str">
        <f t="shared" si="4472"/>
        <v>10,090</v>
      </c>
      <c r="AE660" s="11">
        <f t="shared" si="4473"/>
        <v>0.36946944444444441</v>
      </c>
      <c r="AF660" s="14">
        <f t="shared" si="4442"/>
        <v>27.106436406558959</v>
      </c>
      <c r="AG660" s="41">
        <f t="shared" si="4443"/>
        <v>-100</v>
      </c>
      <c r="AH660" s="105">
        <f t="shared" ref="AH660:AJ660" si="4622">AH659</f>
        <v>20.3</v>
      </c>
      <c r="AI660" s="105">
        <f t="shared" si="4622"/>
        <v>1.5089999999999999</v>
      </c>
      <c r="AJ660" s="105">
        <f t="shared" si="4622"/>
        <v>1.504</v>
      </c>
      <c r="AK660" s="53">
        <f t="shared" si="4357"/>
        <v>0</v>
      </c>
      <c r="AL660" s="45"/>
      <c r="AM660" s="54">
        <f t="shared" ref="AM660:AN660" si="4623">AM659</f>
        <v>5.0129999999999999</v>
      </c>
      <c r="AN660" s="101" t="str">
        <f t="shared" si="4623"/>
        <v>17,59,050</v>
      </c>
      <c r="AO660" s="11" t="str">
        <f t="shared" si="4476"/>
        <v>17</v>
      </c>
      <c r="AP660" s="11" t="str">
        <f t="shared" si="4477"/>
        <v>59,050</v>
      </c>
      <c r="AQ660" s="11">
        <f t="shared" si="4478"/>
        <v>0.29973611111111109</v>
      </c>
      <c r="AR660" s="14">
        <f t="shared" si="4446"/>
        <v>16.724711551827998</v>
      </c>
      <c r="AS660" s="41">
        <f t="shared" si="4447"/>
        <v>-100</v>
      </c>
      <c r="AT660" s="43" t="str">
        <f t="shared" si="4448"/>
        <v>NO CONFORME</v>
      </c>
      <c r="AU660" s="8" t="b">
        <f t="shared" si="4553"/>
        <v>1</v>
      </c>
      <c r="AV660" s="8" t="b">
        <f t="shared" si="4479"/>
        <v>0</v>
      </c>
      <c r="AW660" s="8" t="b">
        <f t="shared" si="4480"/>
        <v>1</v>
      </c>
      <c r="AX660" s="8" t="str">
        <f t="shared" si="4481"/>
        <v>Qcorrecto</v>
      </c>
      <c r="AY660" s="22" t="str">
        <f t="shared" si="4449"/>
        <v>aceptable</v>
      </c>
      <c r="AZ660" s="22" t="str">
        <f t="shared" si="4450"/>
        <v>aceptable</v>
      </c>
      <c r="BA660" s="22" t="str">
        <f t="shared" si="4482"/>
        <v>aceptable</v>
      </c>
      <c r="BB660" s="25" t="str">
        <f t="shared" si="4451"/>
        <v>NO CONFORME</v>
      </c>
      <c r="BC660" s="5" t="str">
        <f t="shared" si="4452"/>
        <v>NO CONFORME</v>
      </c>
      <c r="BD660" s="15">
        <f t="shared" si="4453"/>
        <v>-1</v>
      </c>
      <c r="BE660" s="15">
        <f t="shared" si="4454"/>
        <v>-1</v>
      </c>
      <c r="BF660" s="15">
        <f t="shared" si="4455"/>
        <v>-1</v>
      </c>
      <c r="BG660" s="15" t="str">
        <f t="shared" si="4456"/>
        <v>-1-1-1</v>
      </c>
      <c r="BH660" s="15" t="str">
        <f t="shared" si="4457"/>
        <v>SD</v>
      </c>
      <c r="BI660" s="15" t="str">
        <f t="shared" si="4458"/>
        <v>SI</v>
      </c>
      <c r="BJ660" s="15" t="b">
        <f t="shared" si="4459"/>
        <v>1</v>
      </c>
      <c r="BK660" s="15" t="str">
        <f t="shared" si="4460"/>
        <v>SIGIGUALES</v>
      </c>
      <c r="BL660" s="22" t="str">
        <f t="shared" si="4461"/>
        <v>NO CONFORME</v>
      </c>
    </row>
    <row r="661" spans="1:64" ht="15.75" thickBot="1" x14ac:dyDescent="0.3">
      <c r="A661" s="37">
        <v>653</v>
      </c>
      <c r="B661" s="93">
        <f t="shared" ref="B661:E661" si="4624">B660</f>
        <v>45919</v>
      </c>
      <c r="C661" s="93">
        <f t="shared" si="4624"/>
        <v>45919</v>
      </c>
      <c r="D661" s="94">
        <f t="shared" si="4624"/>
        <v>6</v>
      </c>
      <c r="E661" s="95">
        <f t="shared" si="4624"/>
        <v>15</v>
      </c>
      <c r="F661" s="13"/>
      <c r="G661" s="90"/>
      <c r="H661" s="97">
        <f t="shared" ref="H661:L661" si="4625">H660</f>
        <v>25.6</v>
      </c>
      <c r="I661" s="98">
        <f t="shared" si="4625"/>
        <v>0</v>
      </c>
      <c r="J661" s="99">
        <f t="shared" si="4625"/>
        <v>20.9</v>
      </c>
      <c r="K661" s="99">
        <f t="shared" si="4625"/>
        <v>7.883</v>
      </c>
      <c r="L661" s="99">
        <f t="shared" si="4625"/>
        <v>0.55400000000000005</v>
      </c>
      <c r="M661" s="45"/>
      <c r="N661" s="45"/>
      <c r="O661" s="100">
        <f t="shared" ref="O661:P661" si="4626">O660</f>
        <v>100.62</v>
      </c>
      <c r="P661" s="101" t="str">
        <f t="shared" si="4626"/>
        <v>2,29,560</v>
      </c>
      <c r="Q661" s="11" t="str">
        <f t="shared" si="4465"/>
        <v>2</v>
      </c>
      <c r="R661" s="11" t="str">
        <f t="shared" si="4466"/>
        <v>29,560</v>
      </c>
      <c r="S661" s="11">
        <f t="shared" si="4467"/>
        <v>4.1544444444444446E-2</v>
      </c>
      <c r="T661" s="14">
        <f t="shared" si="4468"/>
        <v>2421.9844878309709</v>
      </c>
      <c r="U661" s="39">
        <f t="shared" si="4439"/>
        <v>-100</v>
      </c>
      <c r="V661" s="105">
        <f t="shared" ref="V661:X661" si="4627">V660</f>
        <v>20.399999999999999</v>
      </c>
      <c r="W661" s="105">
        <f t="shared" si="4627"/>
        <v>1.5069999999999999</v>
      </c>
      <c r="X661" s="106">
        <f t="shared" si="4627"/>
        <v>1.504</v>
      </c>
      <c r="Y661" s="45"/>
      <c r="Z661" s="45"/>
      <c r="AA661" s="107">
        <f t="shared" ref="AA661:AB661" si="4628">AA660</f>
        <v>10.015000000000001</v>
      </c>
      <c r="AB661" s="108" t="str">
        <f t="shared" si="4628"/>
        <v>22,10,090</v>
      </c>
      <c r="AC661" s="11" t="str">
        <f t="shared" si="4471"/>
        <v>22</v>
      </c>
      <c r="AD661" s="11" t="str">
        <f t="shared" si="4472"/>
        <v>10,090</v>
      </c>
      <c r="AE661" s="11">
        <f t="shared" si="4473"/>
        <v>0.36946944444444441</v>
      </c>
      <c r="AF661" s="14">
        <f t="shared" si="4442"/>
        <v>27.106436406558959</v>
      </c>
      <c r="AG661" s="41">
        <f t="shared" si="4443"/>
        <v>-100</v>
      </c>
      <c r="AH661" s="105">
        <f t="shared" ref="AH661:AJ661" si="4629">AH660</f>
        <v>20.3</v>
      </c>
      <c r="AI661" s="105">
        <f t="shared" si="4629"/>
        <v>1.5089999999999999</v>
      </c>
      <c r="AJ661" s="105">
        <f t="shared" si="4629"/>
        <v>1.504</v>
      </c>
      <c r="AK661" s="53">
        <f t="shared" si="4357"/>
        <v>0</v>
      </c>
      <c r="AL661" s="45"/>
      <c r="AM661" s="54">
        <f t="shared" ref="AM661:AN661" si="4630">AM660</f>
        <v>5.0129999999999999</v>
      </c>
      <c r="AN661" s="101" t="str">
        <f t="shared" si="4630"/>
        <v>17,59,050</v>
      </c>
      <c r="AO661" s="11" t="str">
        <f t="shared" si="4476"/>
        <v>17</v>
      </c>
      <c r="AP661" s="11" t="str">
        <f t="shared" si="4477"/>
        <v>59,050</v>
      </c>
      <c r="AQ661" s="11">
        <f t="shared" si="4478"/>
        <v>0.29973611111111109</v>
      </c>
      <c r="AR661" s="14">
        <f t="shared" si="4446"/>
        <v>16.724711551827998</v>
      </c>
      <c r="AS661" s="41">
        <f t="shared" si="4447"/>
        <v>-100</v>
      </c>
      <c r="AT661" s="43" t="str">
        <f t="shared" si="4448"/>
        <v>NO CONFORME</v>
      </c>
      <c r="AU661" s="8" t="b">
        <f t="shared" si="4553"/>
        <v>1</v>
      </c>
      <c r="AV661" s="8" t="b">
        <f t="shared" si="4479"/>
        <v>0</v>
      </c>
      <c r="AW661" s="8" t="b">
        <f t="shared" si="4480"/>
        <v>1</v>
      </c>
      <c r="AX661" s="8" t="str">
        <f t="shared" si="4481"/>
        <v>Qcorrecto</v>
      </c>
      <c r="AY661" s="22" t="str">
        <f t="shared" si="4449"/>
        <v>aceptable</v>
      </c>
      <c r="AZ661" s="22" t="str">
        <f t="shared" si="4450"/>
        <v>aceptable</v>
      </c>
      <c r="BA661" s="22" t="str">
        <f t="shared" si="4482"/>
        <v>aceptable</v>
      </c>
      <c r="BB661" s="25" t="str">
        <f t="shared" si="4451"/>
        <v>NO CONFORME</v>
      </c>
      <c r="BC661" s="5" t="str">
        <f t="shared" si="4452"/>
        <v>NO CONFORME</v>
      </c>
      <c r="BD661" s="15">
        <f t="shared" si="4453"/>
        <v>-1</v>
      </c>
      <c r="BE661" s="15">
        <f t="shared" si="4454"/>
        <v>-1</v>
      </c>
      <c r="BF661" s="15">
        <f t="shared" si="4455"/>
        <v>-1</v>
      </c>
      <c r="BG661" s="15" t="str">
        <f t="shared" si="4456"/>
        <v>-1-1-1</v>
      </c>
      <c r="BH661" s="15" t="str">
        <f t="shared" si="4457"/>
        <v>SD</v>
      </c>
      <c r="BI661" s="15" t="str">
        <f t="shared" si="4458"/>
        <v>SI</v>
      </c>
      <c r="BJ661" s="15" t="b">
        <f t="shared" si="4459"/>
        <v>1</v>
      </c>
      <c r="BK661" s="15" t="str">
        <f t="shared" si="4460"/>
        <v>SIGIGUALES</v>
      </c>
      <c r="BL661" s="22" t="str">
        <f t="shared" si="4461"/>
        <v>NO CONFORME</v>
      </c>
    </row>
    <row r="662" spans="1:64" ht="15.75" thickBot="1" x14ac:dyDescent="0.3">
      <c r="A662" s="37">
        <v>654</v>
      </c>
      <c r="B662" s="93">
        <f t="shared" ref="B662:E662" si="4631">B661</f>
        <v>45919</v>
      </c>
      <c r="C662" s="93">
        <f t="shared" si="4631"/>
        <v>45919</v>
      </c>
      <c r="D662" s="94">
        <f t="shared" si="4631"/>
        <v>6</v>
      </c>
      <c r="E662" s="95">
        <f t="shared" si="4631"/>
        <v>15</v>
      </c>
      <c r="F662" s="13"/>
      <c r="G662" s="90"/>
      <c r="H662" s="97">
        <f t="shared" ref="H662:L662" si="4632">H661</f>
        <v>25.6</v>
      </c>
      <c r="I662" s="98">
        <f t="shared" si="4632"/>
        <v>0</v>
      </c>
      <c r="J662" s="99">
        <f t="shared" si="4632"/>
        <v>20.9</v>
      </c>
      <c r="K662" s="99">
        <f t="shared" si="4632"/>
        <v>7.883</v>
      </c>
      <c r="L662" s="99">
        <f t="shared" si="4632"/>
        <v>0.55400000000000005</v>
      </c>
      <c r="M662" s="45"/>
      <c r="N662" s="45"/>
      <c r="O662" s="100">
        <f t="shared" ref="O662:P662" si="4633">O661</f>
        <v>100.62</v>
      </c>
      <c r="P662" s="101" t="str">
        <f t="shared" si="4633"/>
        <v>2,29,560</v>
      </c>
      <c r="Q662" s="11" t="str">
        <f t="shared" si="4465"/>
        <v>2</v>
      </c>
      <c r="R662" s="11" t="str">
        <f t="shared" si="4466"/>
        <v>29,560</v>
      </c>
      <c r="S662" s="11">
        <f t="shared" si="4467"/>
        <v>4.1544444444444446E-2</v>
      </c>
      <c r="T662" s="14">
        <f t="shared" si="4468"/>
        <v>2421.9844878309709</v>
      </c>
      <c r="U662" s="39">
        <f t="shared" si="4439"/>
        <v>-100</v>
      </c>
      <c r="V662" s="105">
        <f t="shared" ref="V662:X662" si="4634">V661</f>
        <v>20.399999999999999</v>
      </c>
      <c r="W662" s="105">
        <f t="shared" si="4634"/>
        <v>1.5069999999999999</v>
      </c>
      <c r="X662" s="106">
        <f t="shared" si="4634"/>
        <v>1.504</v>
      </c>
      <c r="Y662" s="45"/>
      <c r="Z662" s="45"/>
      <c r="AA662" s="107">
        <f t="shared" ref="AA662:AB662" si="4635">AA661</f>
        <v>10.015000000000001</v>
      </c>
      <c r="AB662" s="108" t="str">
        <f t="shared" si="4635"/>
        <v>22,10,090</v>
      </c>
      <c r="AC662" s="11" t="str">
        <f t="shared" si="4471"/>
        <v>22</v>
      </c>
      <c r="AD662" s="11" t="str">
        <f t="shared" si="4472"/>
        <v>10,090</v>
      </c>
      <c r="AE662" s="11">
        <f t="shared" si="4473"/>
        <v>0.36946944444444441</v>
      </c>
      <c r="AF662" s="14">
        <f t="shared" si="4442"/>
        <v>27.106436406558959</v>
      </c>
      <c r="AG662" s="41">
        <f t="shared" si="4443"/>
        <v>-100</v>
      </c>
      <c r="AH662" s="105">
        <f t="shared" ref="AH662:AJ662" si="4636">AH661</f>
        <v>20.3</v>
      </c>
      <c r="AI662" s="105">
        <f t="shared" si="4636"/>
        <v>1.5089999999999999</v>
      </c>
      <c r="AJ662" s="105">
        <f t="shared" si="4636"/>
        <v>1.504</v>
      </c>
      <c r="AK662" s="53">
        <f t="shared" si="4357"/>
        <v>0</v>
      </c>
      <c r="AL662" s="45"/>
      <c r="AM662" s="54">
        <f t="shared" ref="AM662:AN662" si="4637">AM661</f>
        <v>5.0129999999999999</v>
      </c>
      <c r="AN662" s="101" t="str">
        <f t="shared" si="4637"/>
        <v>17,59,050</v>
      </c>
      <c r="AO662" s="11" t="str">
        <f t="shared" si="4476"/>
        <v>17</v>
      </c>
      <c r="AP662" s="11" t="str">
        <f t="shared" si="4477"/>
        <v>59,050</v>
      </c>
      <c r="AQ662" s="11">
        <f t="shared" si="4478"/>
        <v>0.29973611111111109</v>
      </c>
      <c r="AR662" s="14">
        <f t="shared" si="4446"/>
        <v>16.724711551827998</v>
      </c>
      <c r="AS662" s="41">
        <f t="shared" si="4447"/>
        <v>-100</v>
      </c>
      <c r="AT662" s="43" t="str">
        <f t="shared" si="4448"/>
        <v>NO CONFORME</v>
      </c>
      <c r="AU662" s="8" t="b">
        <f t="shared" si="4553"/>
        <v>1</v>
      </c>
      <c r="AV662" s="8" t="b">
        <f t="shared" si="4479"/>
        <v>0</v>
      </c>
      <c r="AW662" s="8" t="b">
        <f t="shared" si="4480"/>
        <v>1</v>
      </c>
      <c r="AX662" s="8" t="str">
        <f t="shared" si="4481"/>
        <v>Qcorrecto</v>
      </c>
      <c r="AY662" s="22" t="str">
        <f t="shared" si="4449"/>
        <v>aceptable</v>
      </c>
      <c r="AZ662" s="22" t="str">
        <f t="shared" si="4450"/>
        <v>aceptable</v>
      </c>
      <c r="BA662" s="22" t="str">
        <f t="shared" si="4482"/>
        <v>aceptable</v>
      </c>
      <c r="BB662" s="25" t="str">
        <f t="shared" si="4451"/>
        <v>NO CONFORME</v>
      </c>
      <c r="BC662" s="5" t="str">
        <f t="shared" si="4452"/>
        <v>NO CONFORME</v>
      </c>
      <c r="BD662" s="15">
        <f t="shared" si="4453"/>
        <v>-1</v>
      </c>
      <c r="BE662" s="15">
        <f t="shared" si="4454"/>
        <v>-1</v>
      </c>
      <c r="BF662" s="15">
        <f t="shared" si="4455"/>
        <v>-1</v>
      </c>
      <c r="BG662" s="15" t="str">
        <f t="shared" si="4456"/>
        <v>-1-1-1</v>
      </c>
      <c r="BH662" s="15" t="str">
        <f t="shared" si="4457"/>
        <v>SD</v>
      </c>
      <c r="BI662" s="15" t="str">
        <f t="shared" si="4458"/>
        <v>SI</v>
      </c>
      <c r="BJ662" s="15" t="b">
        <f t="shared" si="4459"/>
        <v>1</v>
      </c>
      <c r="BK662" s="15" t="str">
        <f t="shared" si="4460"/>
        <v>SIGIGUALES</v>
      </c>
      <c r="BL662" s="22" t="str">
        <f t="shared" si="4461"/>
        <v>NO CONFORME</v>
      </c>
    </row>
    <row r="663" spans="1:64" ht="15.75" thickBot="1" x14ac:dyDescent="0.3">
      <c r="A663" s="37">
        <v>655</v>
      </c>
      <c r="B663" s="93">
        <f t="shared" ref="B663:E663" si="4638">B662</f>
        <v>45919</v>
      </c>
      <c r="C663" s="93">
        <f t="shared" si="4638"/>
        <v>45919</v>
      </c>
      <c r="D663" s="94">
        <f t="shared" si="4638"/>
        <v>6</v>
      </c>
      <c r="E663" s="95">
        <f t="shared" si="4638"/>
        <v>15</v>
      </c>
      <c r="F663" s="13"/>
      <c r="G663" s="90"/>
      <c r="H663" s="97">
        <f t="shared" ref="H663:L663" si="4639">H662</f>
        <v>25.6</v>
      </c>
      <c r="I663" s="98">
        <f t="shared" si="4639"/>
        <v>0</v>
      </c>
      <c r="J663" s="99">
        <f t="shared" si="4639"/>
        <v>20.9</v>
      </c>
      <c r="K663" s="99">
        <f t="shared" si="4639"/>
        <v>7.883</v>
      </c>
      <c r="L663" s="99">
        <f t="shared" si="4639"/>
        <v>0.55400000000000005</v>
      </c>
      <c r="M663" s="45"/>
      <c r="N663" s="45"/>
      <c r="O663" s="100">
        <f t="shared" ref="O663:P663" si="4640">O662</f>
        <v>100.62</v>
      </c>
      <c r="P663" s="101" t="str">
        <f t="shared" si="4640"/>
        <v>2,29,560</v>
      </c>
      <c r="Q663" s="11" t="str">
        <f t="shared" si="4465"/>
        <v>2</v>
      </c>
      <c r="R663" s="11" t="str">
        <f t="shared" si="4466"/>
        <v>29,560</v>
      </c>
      <c r="S663" s="11">
        <f t="shared" si="4467"/>
        <v>4.1544444444444446E-2</v>
      </c>
      <c r="T663" s="14">
        <f t="shared" si="4468"/>
        <v>2421.9844878309709</v>
      </c>
      <c r="U663" s="39">
        <f t="shared" si="4439"/>
        <v>-100</v>
      </c>
      <c r="V663" s="105">
        <f t="shared" ref="V663:X663" si="4641">V662</f>
        <v>20.399999999999999</v>
      </c>
      <c r="W663" s="105">
        <f t="shared" si="4641"/>
        <v>1.5069999999999999</v>
      </c>
      <c r="X663" s="106">
        <f t="shared" si="4641"/>
        <v>1.504</v>
      </c>
      <c r="Y663" s="45"/>
      <c r="Z663" s="45"/>
      <c r="AA663" s="107">
        <f t="shared" ref="AA663:AB663" si="4642">AA662</f>
        <v>10.015000000000001</v>
      </c>
      <c r="AB663" s="108" t="str">
        <f t="shared" si="4642"/>
        <v>22,10,090</v>
      </c>
      <c r="AC663" s="11" t="str">
        <f t="shared" si="4471"/>
        <v>22</v>
      </c>
      <c r="AD663" s="11" t="str">
        <f t="shared" si="4472"/>
        <v>10,090</v>
      </c>
      <c r="AE663" s="11">
        <f t="shared" si="4473"/>
        <v>0.36946944444444441</v>
      </c>
      <c r="AF663" s="14">
        <f t="shared" si="4442"/>
        <v>27.106436406558959</v>
      </c>
      <c r="AG663" s="41">
        <f t="shared" si="4443"/>
        <v>-100</v>
      </c>
      <c r="AH663" s="105">
        <f t="shared" ref="AH663:AJ663" si="4643">AH662</f>
        <v>20.3</v>
      </c>
      <c r="AI663" s="105">
        <f t="shared" si="4643"/>
        <v>1.5089999999999999</v>
      </c>
      <c r="AJ663" s="105">
        <f t="shared" si="4643"/>
        <v>1.504</v>
      </c>
      <c r="AK663" s="53">
        <f t="shared" si="4357"/>
        <v>0</v>
      </c>
      <c r="AL663" s="45"/>
      <c r="AM663" s="54">
        <f t="shared" ref="AM663:AN663" si="4644">AM662</f>
        <v>5.0129999999999999</v>
      </c>
      <c r="AN663" s="101" t="str">
        <f t="shared" si="4644"/>
        <v>17,59,050</v>
      </c>
      <c r="AO663" s="11" t="str">
        <f t="shared" si="4476"/>
        <v>17</v>
      </c>
      <c r="AP663" s="11" t="str">
        <f t="shared" si="4477"/>
        <v>59,050</v>
      </c>
      <c r="AQ663" s="11">
        <f t="shared" si="4478"/>
        <v>0.29973611111111109</v>
      </c>
      <c r="AR663" s="14">
        <f t="shared" si="4446"/>
        <v>16.724711551827998</v>
      </c>
      <c r="AS663" s="41">
        <f t="shared" si="4447"/>
        <v>-100</v>
      </c>
      <c r="AT663" s="43" t="str">
        <f t="shared" si="4448"/>
        <v>NO CONFORME</v>
      </c>
      <c r="AU663" s="8" t="b">
        <f t="shared" si="4553"/>
        <v>1</v>
      </c>
      <c r="AV663" s="8" t="b">
        <f t="shared" si="4479"/>
        <v>0</v>
      </c>
      <c r="AW663" s="8" t="b">
        <f t="shared" si="4480"/>
        <v>1</v>
      </c>
      <c r="AX663" s="8" t="str">
        <f t="shared" si="4481"/>
        <v>Qcorrecto</v>
      </c>
      <c r="AY663" s="22" t="str">
        <f t="shared" si="4449"/>
        <v>aceptable</v>
      </c>
      <c r="AZ663" s="22" t="str">
        <f t="shared" si="4450"/>
        <v>aceptable</v>
      </c>
      <c r="BA663" s="22" t="str">
        <f t="shared" si="4482"/>
        <v>aceptable</v>
      </c>
      <c r="BB663" s="25" t="str">
        <f t="shared" si="4451"/>
        <v>NO CONFORME</v>
      </c>
      <c r="BC663" s="5" t="str">
        <f t="shared" si="4452"/>
        <v>NO CONFORME</v>
      </c>
      <c r="BD663" s="15">
        <f t="shared" si="4453"/>
        <v>-1</v>
      </c>
      <c r="BE663" s="15">
        <f t="shared" si="4454"/>
        <v>-1</v>
      </c>
      <c r="BF663" s="15">
        <f t="shared" si="4455"/>
        <v>-1</v>
      </c>
      <c r="BG663" s="15" t="str">
        <f t="shared" si="4456"/>
        <v>-1-1-1</v>
      </c>
      <c r="BH663" s="15" t="str">
        <f t="shared" si="4457"/>
        <v>SD</v>
      </c>
      <c r="BI663" s="15" t="str">
        <f t="shared" si="4458"/>
        <v>SI</v>
      </c>
      <c r="BJ663" s="15" t="b">
        <f t="shared" si="4459"/>
        <v>1</v>
      </c>
      <c r="BK663" s="15" t="str">
        <f t="shared" si="4460"/>
        <v>SIGIGUALES</v>
      </c>
      <c r="BL663" s="22" t="str">
        <f t="shared" si="4461"/>
        <v>NO CONFORME</v>
      </c>
    </row>
    <row r="664" spans="1:64" ht="15.75" thickBot="1" x14ac:dyDescent="0.3">
      <c r="A664" s="37">
        <v>656</v>
      </c>
      <c r="B664" s="93">
        <f t="shared" ref="B664:E664" si="4645">B663</f>
        <v>45919</v>
      </c>
      <c r="C664" s="93">
        <f t="shared" si="4645"/>
        <v>45919</v>
      </c>
      <c r="D664" s="94">
        <f t="shared" si="4645"/>
        <v>6</v>
      </c>
      <c r="E664" s="95">
        <f t="shared" si="4645"/>
        <v>15</v>
      </c>
      <c r="F664" s="13"/>
      <c r="G664" s="90"/>
      <c r="H664" s="97">
        <f t="shared" ref="H664:L664" si="4646">H663</f>
        <v>25.6</v>
      </c>
      <c r="I664" s="98">
        <f t="shared" si="4646"/>
        <v>0</v>
      </c>
      <c r="J664" s="99">
        <f t="shared" si="4646"/>
        <v>20.9</v>
      </c>
      <c r="K664" s="99">
        <f t="shared" si="4646"/>
        <v>7.883</v>
      </c>
      <c r="L664" s="99">
        <f t="shared" si="4646"/>
        <v>0.55400000000000005</v>
      </c>
      <c r="M664" s="45"/>
      <c r="N664" s="45"/>
      <c r="O664" s="100">
        <f t="shared" ref="O664:P664" si="4647">O663</f>
        <v>100.62</v>
      </c>
      <c r="P664" s="101" t="str">
        <f t="shared" si="4647"/>
        <v>2,29,560</v>
      </c>
      <c r="Q664" s="11" t="str">
        <f t="shared" si="4465"/>
        <v>2</v>
      </c>
      <c r="R664" s="11" t="str">
        <f t="shared" si="4466"/>
        <v>29,560</v>
      </c>
      <c r="S664" s="11">
        <f t="shared" si="4467"/>
        <v>4.1544444444444446E-2</v>
      </c>
      <c r="T664" s="14">
        <f t="shared" si="4468"/>
        <v>2421.9844878309709</v>
      </c>
      <c r="U664" s="39">
        <f t="shared" si="4439"/>
        <v>-100</v>
      </c>
      <c r="V664" s="105">
        <f t="shared" ref="V664:X664" si="4648">V663</f>
        <v>20.399999999999999</v>
      </c>
      <c r="W664" s="105">
        <f t="shared" si="4648"/>
        <v>1.5069999999999999</v>
      </c>
      <c r="X664" s="106">
        <f t="shared" si="4648"/>
        <v>1.504</v>
      </c>
      <c r="Y664" s="45"/>
      <c r="Z664" s="45"/>
      <c r="AA664" s="107">
        <f t="shared" ref="AA664:AB664" si="4649">AA663</f>
        <v>10.015000000000001</v>
      </c>
      <c r="AB664" s="108" t="str">
        <f t="shared" si="4649"/>
        <v>22,10,090</v>
      </c>
      <c r="AC664" s="11" t="str">
        <f t="shared" si="4471"/>
        <v>22</v>
      </c>
      <c r="AD664" s="11" t="str">
        <f t="shared" si="4472"/>
        <v>10,090</v>
      </c>
      <c r="AE664" s="11">
        <f t="shared" si="4473"/>
        <v>0.36946944444444441</v>
      </c>
      <c r="AF664" s="14">
        <f t="shared" si="4442"/>
        <v>27.106436406558959</v>
      </c>
      <c r="AG664" s="41">
        <f t="shared" si="4443"/>
        <v>-100</v>
      </c>
      <c r="AH664" s="105">
        <f t="shared" ref="AH664:AJ664" si="4650">AH663</f>
        <v>20.3</v>
      </c>
      <c r="AI664" s="105">
        <f t="shared" si="4650"/>
        <v>1.5089999999999999</v>
      </c>
      <c r="AJ664" s="105">
        <f t="shared" si="4650"/>
        <v>1.504</v>
      </c>
      <c r="AK664" s="53">
        <f t="shared" si="4357"/>
        <v>0</v>
      </c>
      <c r="AL664" s="45"/>
      <c r="AM664" s="54">
        <f t="shared" ref="AM664:AN664" si="4651">AM663</f>
        <v>5.0129999999999999</v>
      </c>
      <c r="AN664" s="101" t="str">
        <f t="shared" si="4651"/>
        <v>17,59,050</v>
      </c>
      <c r="AO664" s="11" t="str">
        <f t="shared" si="4476"/>
        <v>17</v>
      </c>
      <c r="AP664" s="11" t="str">
        <f t="shared" si="4477"/>
        <v>59,050</v>
      </c>
      <c r="AQ664" s="11">
        <f t="shared" si="4478"/>
        <v>0.29973611111111109</v>
      </c>
      <c r="AR664" s="14">
        <f t="shared" si="4446"/>
        <v>16.724711551827998</v>
      </c>
      <c r="AS664" s="41">
        <f t="shared" si="4447"/>
        <v>-100</v>
      </c>
      <c r="AT664" s="43" t="str">
        <f t="shared" si="4448"/>
        <v>NO CONFORME</v>
      </c>
      <c r="AU664" s="8" t="b">
        <f t="shared" si="4553"/>
        <v>1</v>
      </c>
      <c r="AV664" s="8" t="b">
        <f t="shared" si="4479"/>
        <v>0</v>
      </c>
      <c r="AW664" s="8" t="b">
        <f t="shared" si="4480"/>
        <v>1</v>
      </c>
      <c r="AX664" s="8" t="str">
        <f t="shared" si="4481"/>
        <v>Qcorrecto</v>
      </c>
      <c r="AY664" s="22" t="str">
        <f t="shared" si="4449"/>
        <v>aceptable</v>
      </c>
      <c r="AZ664" s="22" t="str">
        <f t="shared" si="4450"/>
        <v>aceptable</v>
      </c>
      <c r="BA664" s="22" t="str">
        <f t="shared" si="4482"/>
        <v>aceptable</v>
      </c>
      <c r="BB664" s="25" t="str">
        <f t="shared" si="4451"/>
        <v>NO CONFORME</v>
      </c>
      <c r="BC664" s="5" t="str">
        <f t="shared" si="4452"/>
        <v>NO CONFORME</v>
      </c>
      <c r="BD664" s="15">
        <f t="shared" si="4453"/>
        <v>-1</v>
      </c>
      <c r="BE664" s="15">
        <f t="shared" si="4454"/>
        <v>-1</v>
      </c>
      <c r="BF664" s="15">
        <f t="shared" si="4455"/>
        <v>-1</v>
      </c>
      <c r="BG664" s="15" t="str">
        <f t="shared" si="4456"/>
        <v>-1-1-1</v>
      </c>
      <c r="BH664" s="15" t="str">
        <f t="shared" si="4457"/>
        <v>SD</v>
      </c>
      <c r="BI664" s="15" t="str">
        <f t="shared" si="4458"/>
        <v>SI</v>
      </c>
      <c r="BJ664" s="15" t="b">
        <f t="shared" si="4459"/>
        <v>1</v>
      </c>
      <c r="BK664" s="15" t="str">
        <f t="shared" si="4460"/>
        <v>SIGIGUALES</v>
      </c>
      <c r="BL664" s="22" t="str">
        <f t="shared" si="4461"/>
        <v>NO CONFORME</v>
      </c>
    </row>
    <row r="665" spans="1:64" ht="15.75" thickBot="1" x14ac:dyDescent="0.3">
      <c r="A665" s="37">
        <v>657</v>
      </c>
      <c r="B665" s="93">
        <f t="shared" ref="B665:E665" si="4652">B664</f>
        <v>45919</v>
      </c>
      <c r="C665" s="93">
        <f t="shared" si="4652"/>
        <v>45919</v>
      </c>
      <c r="D665" s="94">
        <f t="shared" si="4652"/>
        <v>6</v>
      </c>
      <c r="E665" s="95">
        <f t="shared" si="4652"/>
        <v>15</v>
      </c>
      <c r="F665" s="13"/>
      <c r="G665" s="90"/>
      <c r="H665" s="97">
        <f t="shared" ref="H665:L665" si="4653">H664</f>
        <v>25.6</v>
      </c>
      <c r="I665" s="98">
        <f t="shared" si="4653"/>
        <v>0</v>
      </c>
      <c r="J665" s="99">
        <f t="shared" si="4653"/>
        <v>20.9</v>
      </c>
      <c r="K665" s="99">
        <f t="shared" si="4653"/>
        <v>7.883</v>
      </c>
      <c r="L665" s="99">
        <f t="shared" si="4653"/>
        <v>0.55400000000000005</v>
      </c>
      <c r="M665" s="45"/>
      <c r="N665" s="45"/>
      <c r="O665" s="100">
        <f t="shared" ref="O665:P665" si="4654">O664</f>
        <v>100.62</v>
      </c>
      <c r="P665" s="101" t="str">
        <f t="shared" si="4654"/>
        <v>2,29,560</v>
      </c>
      <c r="Q665" s="11" t="str">
        <f t="shared" si="4465"/>
        <v>2</v>
      </c>
      <c r="R665" s="11" t="str">
        <f t="shared" si="4466"/>
        <v>29,560</v>
      </c>
      <c r="S665" s="11">
        <f t="shared" si="4467"/>
        <v>4.1544444444444446E-2</v>
      </c>
      <c r="T665" s="14">
        <f t="shared" si="4468"/>
        <v>2421.9844878309709</v>
      </c>
      <c r="U665" s="39">
        <f t="shared" si="4439"/>
        <v>-100</v>
      </c>
      <c r="V665" s="105">
        <f t="shared" ref="V665:X665" si="4655">V664</f>
        <v>20.399999999999999</v>
      </c>
      <c r="W665" s="105">
        <f t="shared" si="4655"/>
        <v>1.5069999999999999</v>
      </c>
      <c r="X665" s="106">
        <f t="shared" si="4655"/>
        <v>1.504</v>
      </c>
      <c r="Y665" s="45"/>
      <c r="Z665" s="45"/>
      <c r="AA665" s="107">
        <f t="shared" ref="AA665:AB665" si="4656">AA664</f>
        <v>10.015000000000001</v>
      </c>
      <c r="AB665" s="108" t="str">
        <f t="shared" si="4656"/>
        <v>22,10,090</v>
      </c>
      <c r="AC665" s="11" t="str">
        <f t="shared" si="4471"/>
        <v>22</v>
      </c>
      <c r="AD665" s="11" t="str">
        <f t="shared" si="4472"/>
        <v>10,090</v>
      </c>
      <c r="AE665" s="11">
        <f t="shared" si="4473"/>
        <v>0.36946944444444441</v>
      </c>
      <c r="AF665" s="14">
        <f t="shared" si="4442"/>
        <v>27.106436406558959</v>
      </c>
      <c r="AG665" s="41">
        <f t="shared" si="4443"/>
        <v>-100</v>
      </c>
      <c r="AH665" s="105">
        <f t="shared" ref="AH665:AJ665" si="4657">AH664</f>
        <v>20.3</v>
      </c>
      <c r="AI665" s="105">
        <f t="shared" si="4657"/>
        <v>1.5089999999999999</v>
      </c>
      <c r="AJ665" s="105">
        <f t="shared" si="4657"/>
        <v>1.504</v>
      </c>
      <c r="AK665" s="53">
        <f t="shared" si="4357"/>
        <v>0</v>
      </c>
      <c r="AL665" s="45"/>
      <c r="AM665" s="54">
        <f t="shared" ref="AM665:AN665" si="4658">AM664</f>
        <v>5.0129999999999999</v>
      </c>
      <c r="AN665" s="101" t="str">
        <f t="shared" si="4658"/>
        <v>17,59,050</v>
      </c>
      <c r="AO665" s="11" t="str">
        <f t="shared" si="4476"/>
        <v>17</v>
      </c>
      <c r="AP665" s="11" t="str">
        <f t="shared" si="4477"/>
        <v>59,050</v>
      </c>
      <c r="AQ665" s="11">
        <f t="shared" si="4478"/>
        <v>0.29973611111111109</v>
      </c>
      <c r="AR665" s="14">
        <f t="shared" si="4446"/>
        <v>16.724711551827998</v>
      </c>
      <c r="AS665" s="41">
        <f t="shared" si="4447"/>
        <v>-100</v>
      </c>
      <c r="AT665" s="43" t="str">
        <f t="shared" si="4448"/>
        <v>NO CONFORME</v>
      </c>
      <c r="AU665" s="8" t="b">
        <f t="shared" si="4553"/>
        <v>1</v>
      </c>
      <c r="AV665" s="8" t="b">
        <f t="shared" si="4479"/>
        <v>0</v>
      </c>
      <c r="AW665" s="8" t="b">
        <f t="shared" si="4480"/>
        <v>1</v>
      </c>
      <c r="AX665" s="8" t="str">
        <f t="shared" si="4481"/>
        <v>Qcorrecto</v>
      </c>
      <c r="AY665" s="22" t="str">
        <f t="shared" si="4449"/>
        <v>aceptable</v>
      </c>
      <c r="AZ665" s="22" t="str">
        <f t="shared" si="4450"/>
        <v>aceptable</v>
      </c>
      <c r="BA665" s="22" t="str">
        <f t="shared" si="4482"/>
        <v>aceptable</v>
      </c>
      <c r="BB665" s="25" t="str">
        <f t="shared" si="4451"/>
        <v>NO CONFORME</v>
      </c>
      <c r="BC665" s="5" t="str">
        <f t="shared" si="4452"/>
        <v>NO CONFORME</v>
      </c>
      <c r="BD665" s="15">
        <f t="shared" si="4453"/>
        <v>-1</v>
      </c>
      <c r="BE665" s="15">
        <f t="shared" si="4454"/>
        <v>-1</v>
      </c>
      <c r="BF665" s="15">
        <f t="shared" si="4455"/>
        <v>-1</v>
      </c>
      <c r="BG665" s="15" t="str">
        <f t="shared" si="4456"/>
        <v>-1-1-1</v>
      </c>
      <c r="BH665" s="15" t="str">
        <f t="shared" si="4457"/>
        <v>SD</v>
      </c>
      <c r="BI665" s="15" t="str">
        <f t="shared" si="4458"/>
        <v>SI</v>
      </c>
      <c r="BJ665" s="15" t="b">
        <f t="shared" si="4459"/>
        <v>1</v>
      </c>
      <c r="BK665" s="15" t="str">
        <f t="shared" si="4460"/>
        <v>SIGIGUALES</v>
      </c>
      <c r="BL665" s="22" t="str">
        <f t="shared" si="4461"/>
        <v>NO CONFORME</v>
      </c>
    </row>
    <row r="666" spans="1:64" ht="15.75" thickBot="1" x14ac:dyDescent="0.3">
      <c r="A666" s="37">
        <v>658</v>
      </c>
      <c r="B666" s="93">
        <f t="shared" ref="B666:E666" si="4659">B665</f>
        <v>45919</v>
      </c>
      <c r="C666" s="93">
        <f t="shared" si="4659"/>
        <v>45919</v>
      </c>
      <c r="D666" s="94">
        <f t="shared" si="4659"/>
        <v>6</v>
      </c>
      <c r="E666" s="95">
        <f t="shared" si="4659"/>
        <v>15</v>
      </c>
      <c r="F666" s="56"/>
      <c r="G666" s="112"/>
      <c r="H666" s="97">
        <f t="shared" ref="H666:L666" si="4660">H665</f>
        <v>25.6</v>
      </c>
      <c r="I666" s="98">
        <f t="shared" si="4660"/>
        <v>0</v>
      </c>
      <c r="J666" s="99">
        <f t="shared" si="4660"/>
        <v>20.9</v>
      </c>
      <c r="K666" s="99">
        <f t="shared" si="4660"/>
        <v>7.883</v>
      </c>
      <c r="L666" s="99">
        <f t="shared" si="4660"/>
        <v>0.55400000000000005</v>
      </c>
      <c r="M666" s="57"/>
      <c r="N666" s="57"/>
      <c r="O666" s="100">
        <f t="shared" ref="O666:P666" si="4661">O665</f>
        <v>100.62</v>
      </c>
      <c r="P666" s="101" t="str">
        <f t="shared" si="4661"/>
        <v>2,29,560</v>
      </c>
      <c r="Q666" s="11" t="str">
        <f t="shared" si="4465"/>
        <v>2</v>
      </c>
      <c r="R666" s="11" t="str">
        <f t="shared" si="4466"/>
        <v>29,560</v>
      </c>
      <c r="S666" s="11">
        <f t="shared" si="4467"/>
        <v>4.1544444444444446E-2</v>
      </c>
      <c r="T666" s="14">
        <f t="shared" si="4468"/>
        <v>2421.9844878309709</v>
      </c>
      <c r="U666" s="39">
        <f t="shared" si="4439"/>
        <v>-100</v>
      </c>
      <c r="V666" s="105">
        <f t="shared" ref="V666:X666" si="4662">V665</f>
        <v>20.399999999999999</v>
      </c>
      <c r="W666" s="105">
        <f t="shared" si="4662"/>
        <v>1.5069999999999999</v>
      </c>
      <c r="X666" s="106">
        <f t="shared" si="4662"/>
        <v>1.504</v>
      </c>
      <c r="Y666" s="57"/>
      <c r="Z666" s="57"/>
      <c r="AA666" s="107">
        <f t="shared" ref="AA666:AB666" si="4663">AA665</f>
        <v>10.015000000000001</v>
      </c>
      <c r="AB666" s="108" t="str">
        <f t="shared" si="4663"/>
        <v>22,10,090</v>
      </c>
      <c r="AC666" s="11" t="str">
        <f t="shared" si="4471"/>
        <v>22</v>
      </c>
      <c r="AD666" s="11" t="str">
        <f t="shared" si="4472"/>
        <v>10,090</v>
      </c>
      <c r="AE666" s="11">
        <f t="shared" si="4473"/>
        <v>0.36946944444444441</v>
      </c>
      <c r="AF666" s="14">
        <f t="shared" si="4442"/>
        <v>27.106436406558959</v>
      </c>
      <c r="AG666" s="41">
        <f t="shared" si="4443"/>
        <v>-100</v>
      </c>
      <c r="AH666" s="105">
        <f t="shared" ref="AH666:AJ666" si="4664">AH665</f>
        <v>20.3</v>
      </c>
      <c r="AI666" s="105">
        <f t="shared" si="4664"/>
        <v>1.5089999999999999</v>
      </c>
      <c r="AJ666" s="105">
        <f t="shared" si="4664"/>
        <v>1.504</v>
      </c>
      <c r="AK666" s="53">
        <f t="shared" si="4357"/>
        <v>0</v>
      </c>
      <c r="AL666" s="57"/>
      <c r="AM666" s="54">
        <f t="shared" ref="AM666:AN666" si="4665">AM665</f>
        <v>5.0129999999999999</v>
      </c>
      <c r="AN666" s="101" t="str">
        <f t="shared" si="4665"/>
        <v>17,59,050</v>
      </c>
      <c r="AO666" s="11" t="str">
        <f t="shared" si="4476"/>
        <v>17</v>
      </c>
      <c r="AP666" s="11" t="str">
        <f t="shared" si="4477"/>
        <v>59,050</v>
      </c>
      <c r="AQ666" s="11">
        <f t="shared" si="4478"/>
        <v>0.29973611111111109</v>
      </c>
      <c r="AR666" s="14">
        <f t="shared" si="4446"/>
        <v>16.724711551827998</v>
      </c>
      <c r="AS666" s="41">
        <f t="shared" si="4447"/>
        <v>-100</v>
      </c>
      <c r="AT666" s="43" t="str">
        <f t="shared" si="4448"/>
        <v>NO CONFORME</v>
      </c>
      <c r="AU666" s="8" t="b">
        <f t="shared" si="4553"/>
        <v>1</v>
      </c>
      <c r="AV666" s="8" t="b">
        <f t="shared" si="4479"/>
        <v>0</v>
      </c>
      <c r="AW666" s="8" t="b">
        <f t="shared" si="4480"/>
        <v>1</v>
      </c>
      <c r="AX666" s="8" t="str">
        <f t="shared" si="4481"/>
        <v>Qcorrecto</v>
      </c>
      <c r="AY666" s="22" t="str">
        <f t="shared" si="4449"/>
        <v>aceptable</v>
      </c>
      <c r="AZ666" s="22" t="str">
        <f t="shared" si="4450"/>
        <v>aceptable</v>
      </c>
      <c r="BA666" s="22" t="str">
        <f t="shared" si="4482"/>
        <v>aceptable</v>
      </c>
      <c r="BB666" s="25" t="str">
        <f t="shared" si="4451"/>
        <v>NO CONFORME</v>
      </c>
      <c r="BC666" s="5" t="str">
        <f t="shared" si="4452"/>
        <v>NO CONFORME</v>
      </c>
      <c r="BD666" s="15">
        <f t="shared" si="4453"/>
        <v>-1</v>
      </c>
      <c r="BE666" s="15">
        <f t="shared" si="4454"/>
        <v>-1</v>
      </c>
      <c r="BF666" s="15">
        <f t="shared" si="4455"/>
        <v>-1</v>
      </c>
      <c r="BG666" s="15" t="str">
        <f t="shared" si="4456"/>
        <v>-1-1-1</v>
      </c>
      <c r="BH666" s="15" t="str">
        <f t="shared" si="4457"/>
        <v>SD</v>
      </c>
      <c r="BI666" s="15" t="str">
        <f t="shared" si="4458"/>
        <v>SI</v>
      </c>
      <c r="BJ666" s="15" t="b">
        <f t="shared" si="4459"/>
        <v>1</v>
      </c>
      <c r="BK666" s="15" t="str">
        <f t="shared" si="4460"/>
        <v>SIGIGUALES</v>
      </c>
      <c r="BL666" s="22" t="str">
        <f t="shared" si="4461"/>
        <v>NO CONFORME</v>
      </c>
    </row>
    <row r="667" spans="1:64" ht="15.75" thickBot="1" x14ac:dyDescent="0.3">
      <c r="A667" s="37">
        <v>659</v>
      </c>
      <c r="B667" s="93">
        <f t="shared" ref="B667:E667" si="4666">B666</f>
        <v>45919</v>
      </c>
      <c r="C667" s="93">
        <f t="shared" si="4666"/>
        <v>45919</v>
      </c>
      <c r="D667" s="94">
        <f t="shared" si="4666"/>
        <v>6</v>
      </c>
      <c r="E667" s="95">
        <f t="shared" si="4666"/>
        <v>15</v>
      </c>
      <c r="F667" s="13"/>
      <c r="G667" s="90"/>
      <c r="H667" s="97">
        <f t="shared" ref="H667:L667" si="4667">H666</f>
        <v>25.6</v>
      </c>
      <c r="I667" s="98">
        <f t="shared" si="4667"/>
        <v>0</v>
      </c>
      <c r="J667" s="99">
        <f t="shared" si="4667"/>
        <v>20.9</v>
      </c>
      <c r="K667" s="99">
        <f t="shared" si="4667"/>
        <v>7.883</v>
      </c>
      <c r="L667" s="99">
        <f t="shared" si="4667"/>
        <v>0.55400000000000005</v>
      </c>
      <c r="M667" s="45"/>
      <c r="N667" s="45"/>
      <c r="O667" s="100">
        <f t="shared" ref="O667:P667" si="4668">O666</f>
        <v>100.62</v>
      </c>
      <c r="P667" s="101" t="str">
        <f t="shared" si="4668"/>
        <v>2,29,560</v>
      </c>
      <c r="Q667" s="11" t="str">
        <f t="shared" si="4465"/>
        <v>2</v>
      </c>
      <c r="R667" s="11" t="str">
        <f t="shared" si="4466"/>
        <v>29,560</v>
      </c>
      <c r="S667" s="11">
        <f t="shared" si="4467"/>
        <v>4.1544444444444446E-2</v>
      </c>
      <c r="T667" s="14">
        <f t="shared" si="4468"/>
        <v>2421.9844878309709</v>
      </c>
      <c r="U667" s="39">
        <f t="shared" si="4439"/>
        <v>-100</v>
      </c>
      <c r="V667" s="105">
        <f t="shared" ref="V667:X667" si="4669">V666</f>
        <v>20.399999999999999</v>
      </c>
      <c r="W667" s="105">
        <f t="shared" si="4669"/>
        <v>1.5069999999999999</v>
      </c>
      <c r="X667" s="106">
        <f t="shared" si="4669"/>
        <v>1.504</v>
      </c>
      <c r="Y667" s="45"/>
      <c r="Z667" s="45"/>
      <c r="AA667" s="107">
        <f t="shared" ref="AA667:AB667" si="4670">AA666</f>
        <v>10.015000000000001</v>
      </c>
      <c r="AB667" s="108" t="str">
        <f t="shared" si="4670"/>
        <v>22,10,090</v>
      </c>
      <c r="AC667" s="11" t="str">
        <f t="shared" si="4471"/>
        <v>22</v>
      </c>
      <c r="AD667" s="11" t="str">
        <f t="shared" si="4472"/>
        <v>10,090</v>
      </c>
      <c r="AE667" s="11">
        <f t="shared" si="4473"/>
        <v>0.36946944444444441</v>
      </c>
      <c r="AF667" s="14">
        <f t="shared" si="4442"/>
        <v>27.106436406558959</v>
      </c>
      <c r="AG667" s="41">
        <f t="shared" si="4443"/>
        <v>-100</v>
      </c>
      <c r="AH667" s="105">
        <f t="shared" ref="AH667:AJ667" si="4671">AH666</f>
        <v>20.3</v>
      </c>
      <c r="AI667" s="105">
        <f t="shared" si="4671"/>
        <v>1.5089999999999999</v>
      </c>
      <c r="AJ667" s="105">
        <f t="shared" si="4671"/>
        <v>1.504</v>
      </c>
      <c r="AK667" s="53">
        <f t="shared" si="4357"/>
        <v>0</v>
      </c>
      <c r="AL667" s="45"/>
      <c r="AM667" s="54">
        <f t="shared" ref="AM667:AN667" si="4672">AM666</f>
        <v>5.0129999999999999</v>
      </c>
      <c r="AN667" s="101" t="str">
        <f t="shared" si="4672"/>
        <v>17,59,050</v>
      </c>
      <c r="AO667" s="11" t="str">
        <f t="shared" si="4476"/>
        <v>17</v>
      </c>
      <c r="AP667" s="11" t="str">
        <f t="shared" si="4477"/>
        <v>59,050</v>
      </c>
      <c r="AQ667" s="11">
        <f t="shared" si="4478"/>
        <v>0.29973611111111109</v>
      </c>
      <c r="AR667" s="14">
        <f t="shared" si="4446"/>
        <v>16.724711551827998</v>
      </c>
      <c r="AS667" s="41">
        <f t="shared" si="4447"/>
        <v>-100</v>
      </c>
      <c r="AT667" s="43" t="str">
        <f t="shared" si="4448"/>
        <v>NO CONFORME</v>
      </c>
      <c r="AU667" s="8" t="b">
        <f t="shared" si="4553"/>
        <v>1</v>
      </c>
      <c r="AV667" s="8" t="b">
        <f t="shared" si="4479"/>
        <v>0</v>
      </c>
      <c r="AW667" s="8" t="b">
        <f t="shared" si="4480"/>
        <v>1</v>
      </c>
      <c r="AX667" s="8" t="str">
        <f t="shared" si="4481"/>
        <v>Qcorrecto</v>
      </c>
      <c r="AY667" s="22" t="str">
        <f t="shared" si="4449"/>
        <v>aceptable</v>
      </c>
      <c r="AZ667" s="22" t="str">
        <f t="shared" si="4450"/>
        <v>aceptable</v>
      </c>
      <c r="BA667" s="22" t="str">
        <f t="shared" si="4482"/>
        <v>aceptable</v>
      </c>
      <c r="BB667" s="25" t="str">
        <f t="shared" si="4451"/>
        <v>NO CONFORME</v>
      </c>
      <c r="BC667" s="5" t="str">
        <f t="shared" si="4452"/>
        <v>NO CONFORME</v>
      </c>
      <c r="BD667" s="15">
        <f t="shared" si="4453"/>
        <v>-1</v>
      </c>
      <c r="BE667" s="15">
        <f t="shared" si="4454"/>
        <v>-1</v>
      </c>
      <c r="BF667" s="15">
        <f t="shared" si="4455"/>
        <v>-1</v>
      </c>
      <c r="BG667" s="15" t="str">
        <f t="shared" si="4456"/>
        <v>-1-1-1</v>
      </c>
      <c r="BH667" s="15" t="str">
        <f t="shared" si="4457"/>
        <v>SD</v>
      </c>
      <c r="BI667" s="15" t="str">
        <f t="shared" si="4458"/>
        <v>SI</v>
      </c>
      <c r="BJ667" s="15" t="b">
        <f t="shared" si="4459"/>
        <v>1</v>
      </c>
      <c r="BK667" s="15" t="str">
        <f t="shared" si="4460"/>
        <v>SIGIGUALES</v>
      </c>
      <c r="BL667" s="22" t="str">
        <f t="shared" si="4461"/>
        <v>NO CONFORME</v>
      </c>
    </row>
    <row r="668" spans="1:64" ht="15.75" thickBot="1" x14ac:dyDescent="0.3">
      <c r="A668" s="37">
        <v>660</v>
      </c>
      <c r="B668" s="93">
        <f t="shared" ref="B668:E668" si="4673">B667</f>
        <v>45919</v>
      </c>
      <c r="C668" s="93">
        <f t="shared" si="4673"/>
        <v>45919</v>
      </c>
      <c r="D668" s="94">
        <f t="shared" si="4673"/>
        <v>6</v>
      </c>
      <c r="E668" s="95">
        <f t="shared" si="4673"/>
        <v>15</v>
      </c>
      <c r="F668" s="52"/>
      <c r="G668" s="96"/>
      <c r="H668" s="97">
        <f t="shared" ref="H668:L668" si="4674">H667</f>
        <v>25.6</v>
      </c>
      <c r="I668" s="98">
        <f t="shared" si="4674"/>
        <v>0</v>
      </c>
      <c r="J668" s="99">
        <f t="shared" si="4674"/>
        <v>20.9</v>
      </c>
      <c r="K668" s="99">
        <f t="shared" si="4674"/>
        <v>7.883</v>
      </c>
      <c r="L668" s="99">
        <f t="shared" si="4674"/>
        <v>0.55400000000000005</v>
      </c>
      <c r="M668" s="53"/>
      <c r="N668" s="53"/>
      <c r="O668" s="100">
        <f t="shared" ref="O668:P668" si="4675">O667</f>
        <v>100.62</v>
      </c>
      <c r="P668" s="101" t="str">
        <f t="shared" si="4675"/>
        <v>2,29,560</v>
      </c>
      <c r="Q668" s="11" t="str">
        <f t="shared" si="4465"/>
        <v>2</v>
      </c>
      <c r="R668" s="11" t="str">
        <f t="shared" si="4466"/>
        <v>29,560</v>
      </c>
      <c r="S668" s="11">
        <f t="shared" si="4467"/>
        <v>4.1544444444444446E-2</v>
      </c>
      <c r="T668" s="14">
        <f t="shared" si="4468"/>
        <v>2421.9844878309709</v>
      </c>
      <c r="U668" s="39">
        <f t="shared" si="4439"/>
        <v>-100</v>
      </c>
      <c r="V668" s="105">
        <f t="shared" ref="V668:X668" si="4676">V667</f>
        <v>20.399999999999999</v>
      </c>
      <c r="W668" s="105">
        <f t="shared" si="4676"/>
        <v>1.5069999999999999</v>
      </c>
      <c r="X668" s="106">
        <f t="shared" si="4676"/>
        <v>1.504</v>
      </c>
      <c r="Y668" s="53"/>
      <c r="Z668" s="53"/>
      <c r="AA668" s="107">
        <f t="shared" ref="AA668:AB668" si="4677">AA667</f>
        <v>10.015000000000001</v>
      </c>
      <c r="AB668" s="108" t="str">
        <f t="shared" si="4677"/>
        <v>22,10,090</v>
      </c>
      <c r="AC668" s="11" t="str">
        <f t="shared" si="4471"/>
        <v>22</v>
      </c>
      <c r="AD668" s="11" t="str">
        <f t="shared" si="4472"/>
        <v>10,090</v>
      </c>
      <c r="AE668" s="11">
        <f t="shared" si="4473"/>
        <v>0.36946944444444441</v>
      </c>
      <c r="AF668" s="14">
        <f t="shared" si="4442"/>
        <v>27.106436406558959</v>
      </c>
      <c r="AG668" s="41">
        <f t="shared" si="4443"/>
        <v>-100</v>
      </c>
      <c r="AH668" s="105">
        <f t="shared" ref="AH668:AJ668" si="4678">AH667</f>
        <v>20.3</v>
      </c>
      <c r="AI668" s="105">
        <f t="shared" si="4678"/>
        <v>1.5089999999999999</v>
      </c>
      <c r="AJ668" s="105">
        <f t="shared" si="4678"/>
        <v>1.504</v>
      </c>
      <c r="AK668" s="53">
        <f t="shared" si="4357"/>
        <v>0</v>
      </c>
      <c r="AL668" s="53"/>
      <c r="AM668" s="54">
        <f t="shared" ref="AM668:AN668" si="4679">AM667</f>
        <v>5.0129999999999999</v>
      </c>
      <c r="AN668" s="101" t="str">
        <f t="shared" si="4679"/>
        <v>17,59,050</v>
      </c>
      <c r="AO668" s="11" t="str">
        <f t="shared" si="4476"/>
        <v>17</v>
      </c>
      <c r="AP668" s="11" t="str">
        <f t="shared" si="4477"/>
        <v>59,050</v>
      </c>
      <c r="AQ668" s="11">
        <f t="shared" si="4478"/>
        <v>0.29973611111111109</v>
      </c>
      <c r="AR668" s="14">
        <f t="shared" si="4446"/>
        <v>16.724711551827998</v>
      </c>
      <c r="AS668" s="41">
        <f t="shared" si="4447"/>
        <v>-100</v>
      </c>
      <c r="AT668" s="43" t="str">
        <f t="shared" si="4448"/>
        <v>NO CONFORME</v>
      </c>
      <c r="AU668" s="8" t="b">
        <f t="shared" si="4553"/>
        <v>1</v>
      </c>
      <c r="AV668" s="8" t="b">
        <f t="shared" si="4479"/>
        <v>0</v>
      </c>
      <c r="AW668" s="8" t="b">
        <f t="shared" si="4480"/>
        <v>1</v>
      </c>
      <c r="AX668" s="8" t="str">
        <f t="shared" si="4481"/>
        <v>Qcorrecto</v>
      </c>
      <c r="AY668" s="22" t="str">
        <f t="shared" si="4449"/>
        <v>aceptable</v>
      </c>
      <c r="AZ668" s="22" t="str">
        <f t="shared" si="4450"/>
        <v>aceptable</v>
      </c>
      <c r="BA668" s="22" t="str">
        <f t="shared" si="4482"/>
        <v>aceptable</v>
      </c>
      <c r="BB668" s="25" t="str">
        <f t="shared" si="4451"/>
        <v>NO CONFORME</v>
      </c>
      <c r="BC668" s="5" t="str">
        <f t="shared" si="4452"/>
        <v>NO CONFORME</v>
      </c>
      <c r="BD668" s="15">
        <f t="shared" si="4453"/>
        <v>-1</v>
      </c>
      <c r="BE668" s="15">
        <f t="shared" si="4454"/>
        <v>-1</v>
      </c>
      <c r="BF668" s="15">
        <f t="shared" si="4455"/>
        <v>-1</v>
      </c>
      <c r="BG668" s="15" t="str">
        <f t="shared" si="4456"/>
        <v>-1-1-1</v>
      </c>
      <c r="BH668" s="15" t="str">
        <f t="shared" si="4457"/>
        <v>SD</v>
      </c>
      <c r="BI668" s="15" t="str">
        <f t="shared" si="4458"/>
        <v>SI</v>
      </c>
      <c r="BJ668" s="15" t="b">
        <f t="shared" si="4459"/>
        <v>1</v>
      </c>
      <c r="BK668" s="15" t="str">
        <f t="shared" si="4460"/>
        <v>SIGIGUALES</v>
      </c>
      <c r="BL668" s="22" t="str">
        <f t="shared" si="4461"/>
        <v>NO CONFORME</v>
      </c>
    </row>
    <row r="669" spans="1:64" ht="15.75" thickBot="1" x14ac:dyDescent="0.3">
      <c r="A669" s="37">
        <v>661</v>
      </c>
      <c r="B669" s="93">
        <f t="shared" ref="B669:E669" si="4680">B668</f>
        <v>45919</v>
      </c>
      <c r="C669" s="93">
        <f t="shared" si="4680"/>
        <v>45919</v>
      </c>
      <c r="D669" s="94">
        <f t="shared" si="4680"/>
        <v>6</v>
      </c>
      <c r="E669" s="95">
        <f t="shared" si="4680"/>
        <v>15</v>
      </c>
      <c r="F669" s="58"/>
      <c r="G669" s="111"/>
      <c r="H669" s="97">
        <f t="shared" ref="H669:L669" si="4681">H668</f>
        <v>25.6</v>
      </c>
      <c r="I669" s="98">
        <f t="shared" si="4681"/>
        <v>0</v>
      </c>
      <c r="J669" s="99">
        <f t="shared" si="4681"/>
        <v>20.9</v>
      </c>
      <c r="K669" s="99">
        <f t="shared" si="4681"/>
        <v>7.883</v>
      </c>
      <c r="L669" s="99">
        <f t="shared" si="4681"/>
        <v>0.55400000000000005</v>
      </c>
      <c r="M669" s="59"/>
      <c r="N669" s="59"/>
      <c r="O669" s="100">
        <f t="shared" ref="O669:P669" si="4682">O668</f>
        <v>100.62</v>
      </c>
      <c r="P669" s="101" t="str">
        <f t="shared" si="4682"/>
        <v>2,29,560</v>
      </c>
      <c r="Q669" s="11" t="str">
        <f t="shared" si="4465"/>
        <v>2</v>
      </c>
      <c r="R669" s="11" t="str">
        <f t="shared" si="4466"/>
        <v>29,560</v>
      </c>
      <c r="S669" s="11">
        <f t="shared" si="4467"/>
        <v>4.1544444444444446E-2</v>
      </c>
      <c r="T669" s="14">
        <f t="shared" si="4468"/>
        <v>2421.9844878309709</v>
      </c>
      <c r="U669" s="39">
        <f t="shared" si="4439"/>
        <v>-100</v>
      </c>
      <c r="V669" s="105">
        <f t="shared" ref="V669:X669" si="4683">V668</f>
        <v>20.399999999999999</v>
      </c>
      <c r="W669" s="105">
        <f t="shared" si="4683"/>
        <v>1.5069999999999999</v>
      </c>
      <c r="X669" s="106">
        <f t="shared" si="4683"/>
        <v>1.504</v>
      </c>
      <c r="Y669" s="59"/>
      <c r="Z669" s="59"/>
      <c r="AA669" s="107">
        <f t="shared" ref="AA669:AB669" si="4684">AA668</f>
        <v>10.015000000000001</v>
      </c>
      <c r="AB669" s="108" t="str">
        <f t="shared" si="4684"/>
        <v>22,10,090</v>
      </c>
      <c r="AC669" s="11" t="str">
        <f t="shared" si="4471"/>
        <v>22</v>
      </c>
      <c r="AD669" s="11" t="str">
        <f t="shared" si="4472"/>
        <v>10,090</v>
      </c>
      <c r="AE669" s="11">
        <f t="shared" si="4473"/>
        <v>0.36946944444444441</v>
      </c>
      <c r="AF669" s="14">
        <f t="shared" si="4442"/>
        <v>27.106436406558959</v>
      </c>
      <c r="AG669" s="41">
        <f t="shared" si="4443"/>
        <v>-100</v>
      </c>
      <c r="AH669" s="105">
        <f t="shared" ref="AH669:AJ669" si="4685">AH668</f>
        <v>20.3</v>
      </c>
      <c r="AI669" s="105">
        <f t="shared" si="4685"/>
        <v>1.5089999999999999</v>
      </c>
      <c r="AJ669" s="105">
        <f t="shared" si="4685"/>
        <v>1.504</v>
      </c>
      <c r="AK669" s="53">
        <f t="shared" si="4357"/>
        <v>0</v>
      </c>
      <c r="AL669" s="59"/>
      <c r="AM669" s="54">
        <f t="shared" ref="AM669:AN669" si="4686">AM668</f>
        <v>5.0129999999999999</v>
      </c>
      <c r="AN669" s="101" t="str">
        <f t="shared" si="4686"/>
        <v>17,59,050</v>
      </c>
      <c r="AO669" s="11" t="str">
        <f t="shared" si="4476"/>
        <v>17</v>
      </c>
      <c r="AP669" s="11" t="str">
        <f t="shared" si="4477"/>
        <v>59,050</v>
      </c>
      <c r="AQ669" s="11">
        <f t="shared" si="4478"/>
        <v>0.29973611111111109</v>
      </c>
      <c r="AR669" s="14">
        <f t="shared" si="4446"/>
        <v>16.724711551827998</v>
      </c>
      <c r="AS669" s="41">
        <f t="shared" si="4447"/>
        <v>-100</v>
      </c>
      <c r="AT669" s="43" t="str">
        <f t="shared" si="4448"/>
        <v>NO CONFORME</v>
      </c>
      <c r="AU669" s="8" t="b">
        <f t="shared" si="4553"/>
        <v>1</v>
      </c>
      <c r="AV669" s="8" t="b">
        <f t="shared" si="4479"/>
        <v>0</v>
      </c>
      <c r="AW669" s="8" t="b">
        <f t="shared" si="4480"/>
        <v>1</v>
      </c>
      <c r="AX669" s="8" t="str">
        <f t="shared" si="4481"/>
        <v>Qcorrecto</v>
      </c>
      <c r="AY669" s="22" t="str">
        <f t="shared" si="4449"/>
        <v>aceptable</v>
      </c>
      <c r="AZ669" s="22" t="str">
        <f t="shared" si="4450"/>
        <v>aceptable</v>
      </c>
      <c r="BA669" s="22" t="str">
        <f t="shared" si="4482"/>
        <v>aceptable</v>
      </c>
      <c r="BB669" s="25" t="str">
        <f t="shared" si="4451"/>
        <v>NO CONFORME</v>
      </c>
      <c r="BC669" s="5" t="str">
        <f t="shared" si="4452"/>
        <v>NO CONFORME</v>
      </c>
      <c r="BD669" s="15">
        <f t="shared" si="4453"/>
        <v>-1</v>
      </c>
      <c r="BE669" s="15">
        <f t="shared" si="4454"/>
        <v>-1</v>
      </c>
      <c r="BF669" s="15">
        <f t="shared" si="4455"/>
        <v>-1</v>
      </c>
      <c r="BG669" s="15" t="str">
        <f t="shared" si="4456"/>
        <v>-1-1-1</v>
      </c>
      <c r="BH669" s="15" t="str">
        <f t="shared" si="4457"/>
        <v>SD</v>
      </c>
      <c r="BI669" s="15" t="str">
        <f t="shared" si="4458"/>
        <v>SI</v>
      </c>
      <c r="BJ669" s="15" t="b">
        <f t="shared" si="4459"/>
        <v>1</v>
      </c>
      <c r="BK669" s="15" t="str">
        <f t="shared" si="4460"/>
        <v>SIGIGUALES</v>
      </c>
      <c r="BL669" s="22" t="str">
        <f t="shared" si="4461"/>
        <v>NO CONFORME</v>
      </c>
    </row>
    <row r="670" spans="1:64" ht="15.75" thickBot="1" x14ac:dyDescent="0.3">
      <c r="A670" s="37">
        <v>662</v>
      </c>
      <c r="B670" s="93">
        <f t="shared" ref="B670:E670" si="4687">B669</f>
        <v>45919</v>
      </c>
      <c r="C670" s="93">
        <f t="shared" si="4687"/>
        <v>45919</v>
      </c>
      <c r="D670" s="94">
        <f t="shared" si="4687"/>
        <v>6</v>
      </c>
      <c r="E670" s="95">
        <f t="shared" si="4687"/>
        <v>15</v>
      </c>
      <c r="F670" s="13"/>
      <c r="G670" s="90"/>
      <c r="H670" s="97">
        <f t="shared" ref="H670:L670" si="4688">H669</f>
        <v>25.6</v>
      </c>
      <c r="I670" s="98">
        <f t="shared" si="4688"/>
        <v>0</v>
      </c>
      <c r="J670" s="99">
        <f t="shared" si="4688"/>
        <v>20.9</v>
      </c>
      <c r="K670" s="99">
        <f t="shared" si="4688"/>
        <v>7.883</v>
      </c>
      <c r="L670" s="99">
        <f t="shared" si="4688"/>
        <v>0.55400000000000005</v>
      </c>
      <c r="M670" s="45"/>
      <c r="N670" s="45"/>
      <c r="O670" s="100">
        <f t="shared" ref="O670:P670" si="4689">O669</f>
        <v>100.62</v>
      </c>
      <c r="P670" s="101" t="str">
        <f t="shared" si="4689"/>
        <v>2,29,560</v>
      </c>
      <c r="Q670" s="11" t="str">
        <f t="shared" si="4465"/>
        <v>2</v>
      </c>
      <c r="R670" s="11" t="str">
        <f t="shared" si="4466"/>
        <v>29,560</v>
      </c>
      <c r="S670" s="11">
        <f t="shared" si="4467"/>
        <v>4.1544444444444446E-2</v>
      </c>
      <c r="T670" s="14">
        <f t="shared" si="4468"/>
        <v>2421.9844878309709</v>
      </c>
      <c r="U670" s="39">
        <f t="shared" si="4439"/>
        <v>-100</v>
      </c>
      <c r="V670" s="105">
        <f t="shared" ref="V670:X670" si="4690">V669</f>
        <v>20.399999999999999</v>
      </c>
      <c r="W670" s="105">
        <f t="shared" si="4690"/>
        <v>1.5069999999999999</v>
      </c>
      <c r="X670" s="106">
        <f t="shared" si="4690"/>
        <v>1.504</v>
      </c>
      <c r="Y670" s="45"/>
      <c r="Z670" s="45"/>
      <c r="AA670" s="107">
        <f t="shared" ref="AA670:AB670" si="4691">AA669</f>
        <v>10.015000000000001</v>
      </c>
      <c r="AB670" s="108" t="str">
        <f t="shared" si="4691"/>
        <v>22,10,090</v>
      </c>
      <c r="AC670" s="11" t="str">
        <f t="shared" si="4471"/>
        <v>22</v>
      </c>
      <c r="AD670" s="11" t="str">
        <f t="shared" si="4472"/>
        <v>10,090</v>
      </c>
      <c r="AE670" s="11">
        <f t="shared" si="4473"/>
        <v>0.36946944444444441</v>
      </c>
      <c r="AF670" s="14">
        <f t="shared" si="4442"/>
        <v>27.106436406558959</v>
      </c>
      <c r="AG670" s="41">
        <f t="shared" si="4443"/>
        <v>-100</v>
      </c>
      <c r="AH670" s="105">
        <f t="shared" ref="AH670:AJ670" si="4692">AH669</f>
        <v>20.3</v>
      </c>
      <c r="AI670" s="105">
        <f t="shared" si="4692"/>
        <v>1.5089999999999999</v>
      </c>
      <c r="AJ670" s="105">
        <f t="shared" si="4692"/>
        <v>1.504</v>
      </c>
      <c r="AK670" s="53">
        <f t="shared" si="4357"/>
        <v>0</v>
      </c>
      <c r="AL670" s="45"/>
      <c r="AM670" s="54">
        <f t="shared" ref="AM670:AN670" si="4693">AM669</f>
        <v>5.0129999999999999</v>
      </c>
      <c r="AN670" s="101" t="str">
        <f t="shared" si="4693"/>
        <v>17,59,050</v>
      </c>
      <c r="AO670" s="11" t="str">
        <f t="shared" si="4476"/>
        <v>17</v>
      </c>
      <c r="AP670" s="11" t="str">
        <f t="shared" si="4477"/>
        <v>59,050</v>
      </c>
      <c r="AQ670" s="11">
        <f t="shared" si="4478"/>
        <v>0.29973611111111109</v>
      </c>
      <c r="AR670" s="14">
        <f t="shared" si="4446"/>
        <v>16.724711551827998</v>
      </c>
      <c r="AS670" s="41">
        <f t="shared" si="4447"/>
        <v>-100</v>
      </c>
      <c r="AT670" s="43" t="str">
        <f t="shared" si="4448"/>
        <v>NO CONFORME</v>
      </c>
      <c r="AU670" s="8" t="b">
        <f t="shared" si="4553"/>
        <v>1</v>
      </c>
      <c r="AV670" s="8" t="b">
        <f t="shared" si="4479"/>
        <v>0</v>
      </c>
      <c r="AW670" s="8" t="b">
        <f t="shared" si="4480"/>
        <v>1</v>
      </c>
      <c r="AX670" s="8" t="str">
        <f t="shared" si="4481"/>
        <v>Qcorrecto</v>
      </c>
      <c r="AY670" s="22" t="str">
        <f t="shared" si="4449"/>
        <v>aceptable</v>
      </c>
      <c r="AZ670" s="22" t="str">
        <f t="shared" si="4450"/>
        <v>aceptable</v>
      </c>
      <c r="BA670" s="22" t="str">
        <f t="shared" si="4482"/>
        <v>aceptable</v>
      </c>
      <c r="BB670" s="25" t="str">
        <f t="shared" si="4451"/>
        <v>NO CONFORME</v>
      </c>
      <c r="BC670" s="5" t="str">
        <f t="shared" si="4452"/>
        <v>NO CONFORME</v>
      </c>
      <c r="BD670" s="15">
        <f t="shared" si="4453"/>
        <v>-1</v>
      </c>
      <c r="BE670" s="15">
        <f t="shared" si="4454"/>
        <v>-1</v>
      </c>
      <c r="BF670" s="15">
        <f t="shared" si="4455"/>
        <v>-1</v>
      </c>
      <c r="BG670" s="15" t="str">
        <f t="shared" si="4456"/>
        <v>-1-1-1</v>
      </c>
      <c r="BH670" s="15" t="str">
        <f t="shared" si="4457"/>
        <v>SD</v>
      </c>
      <c r="BI670" s="15" t="str">
        <f t="shared" si="4458"/>
        <v>SI</v>
      </c>
      <c r="BJ670" s="15" t="b">
        <f t="shared" si="4459"/>
        <v>1</v>
      </c>
      <c r="BK670" s="15" t="str">
        <f t="shared" si="4460"/>
        <v>SIGIGUALES</v>
      </c>
      <c r="BL670" s="22" t="str">
        <f t="shared" si="4461"/>
        <v>NO CONFORME</v>
      </c>
    </row>
    <row r="671" spans="1:64" ht="15.75" thickBot="1" x14ac:dyDescent="0.3">
      <c r="A671" s="37">
        <v>663</v>
      </c>
      <c r="B671" s="93">
        <f t="shared" ref="B671:E671" si="4694">B670</f>
        <v>45919</v>
      </c>
      <c r="C671" s="93">
        <f t="shared" si="4694"/>
        <v>45919</v>
      </c>
      <c r="D671" s="94">
        <f t="shared" si="4694"/>
        <v>6</v>
      </c>
      <c r="E671" s="95">
        <f t="shared" si="4694"/>
        <v>15</v>
      </c>
      <c r="F671" s="13"/>
      <c r="G671" s="90"/>
      <c r="H671" s="97">
        <f t="shared" ref="H671:L671" si="4695">H670</f>
        <v>25.6</v>
      </c>
      <c r="I671" s="98">
        <f t="shared" si="4695"/>
        <v>0</v>
      </c>
      <c r="J671" s="99">
        <f t="shared" si="4695"/>
        <v>20.9</v>
      </c>
      <c r="K671" s="99">
        <f t="shared" si="4695"/>
        <v>7.883</v>
      </c>
      <c r="L671" s="99">
        <f t="shared" si="4695"/>
        <v>0.55400000000000005</v>
      </c>
      <c r="M671" s="45"/>
      <c r="N671" s="45"/>
      <c r="O671" s="100">
        <f t="shared" ref="O671:P671" si="4696">O670</f>
        <v>100.62</v>
      </c>
      <c r="P671" s="101" t="str">
        <f t="shared" si="4696"/>
        <v>2,29,560</v>
      </c>
      <c r="Q671" s="11" t="str">
        <f t="shared" si="4465"/>
        <v>2</v>
      </c>
      <c r="R671" s="11" t="str">
        <f t="shared" si="4466"/>
        <v>29,560</v>
      </c>
      <c r="S671" s="11">
        <f t="shared" si="4467"/>
        <v>4.1544444444444446E-2</v>
      </c>
      <c r="T671" s="14">
        <f t="shared" si="4468"/>
        <v>2421.9844878309709</v>
      </c>
      <c r="U671" s="39">
        <f t="shared" si="4439"/>
        <v>-100</v>
      </c>
      <c r="V671" s="105">
        <f t="shared" ref="V671:X671" si="4697">V670</f>
        <v>20.399999999999999</v>
      </c>
      <c r="W671" s="105">
        <f t="shared" si="4697"/>
        <v>1.5069999999999999</v>
      </c>
      <c r="X671" s="106">
        <f t="shared" si="4697"/>
        <v>1.504</v>
      </c>
      <c r="Y671" s="45"/>
      <c r="Z671" s="45"/>
      <c r="AA671" s="107">
        <f t="shared" ref="AA671:AB671" si="4698">AA670</f>
        <v>10.015000000000001</v>
      </c>
      <c r="AB671" s="108" t="str">
        <f t="shared" si="4698"/>
        <v>22,10,090</v>
      </c>
      <c r="AC671" s="11" t="str">
        <f t="shared" si="4471"/>
        <v>22</v>
      </c>
      <c r="AD671" s="11" t="str">
        <f t="shared" si="4472"/>
        <v>10,090</v>
      </c>
      <c r="AE671" s="11">
        <f t="shared" si="4473"/>
        <v>0.36946944444444441</v>
      </c>
      <c r="AF671" s="14">
        <f t="shared" si="4442"/>
        <v>27.106436406558959</v>
      </c>
      <c r="AG671" s="41">
        <f t="shared" si="4443"/>
        <v>-100</v>
      </c>
      <c r="AH671" s="105">
        <f t="shared" ref="AH671:AJ671" si="4699">AH670</f>
        <v>20.3</v>
      </c>
      <c r="AI671" s="105">
        <f t="shared" si="4699"/>
        <v>1.5089999999999999</v>
      </c>
      <c r="AJ671" s="105">
        <f t="shared" si="4699"/>
        <v>1.504</v>
      </c>
      <c r="AK671" s="53">
        <f t="shared" si="4357"/>
        <v>0</v>
      </c>
      <c r="AL671" s="45"/>
      <c r="AM671" s="54">
        <f t="shared" ref="AM671:AN671" si="4700">AM670</f>
        <v>5.0129999999999999</v>
      </c>
      <c r="AN671" s="101" t="str">
        <f t="shared" si="4700"/>
        <v>17,59,050</v>
      </c>
      <c r="AO671" s="11" t="str">
        <f t="shared" si="4476"/>
        <v>17</v>
      </c>
      <c r="AP671" s="11" t="str">
        <f t="shared" si="4477"/>
        <v>59,050</v>
      </c>
      <c r="AQ671" s="11">
        <f t="shared" si="4478"/>
        <v>0.29973611111111109</v>
      </c>
      <c r="AR671" s="14">
        <f t="shared" si="4446"/>
        <v>16.724711551827998</v>
      </c>
      <c r="AS671" s="41">
        <f t="shared" si="4447"/>
        <v>-100</v>
      </c>
      <c r="AT671" s="43" t="str">
        <f t="shared" si="4448"/>
        <v>NO CONFORME</v>
      </c>
      <c r="AU671" s="8" t="b">
        <f t="shared" si="4553"/>
        <v>1</v>
      </c>
      <c r="AV671" s="8" t="b">
        <f t="shared" si="4479"/>
        <v>0</v>
      </c>
      <c r="AW671" s="8" t="b">
        <f t="shared" si="4480"/>
        <v>1</v>
      </c>
      <c r="AX671" s="8" t="str">
        <f t="shared" si="4481"/>
        <v>Qcorrecto</v>
      </c>
      <c r="AY671" s="22" t="str">
        <f t="shared" si="4449"/>
        <v>aceptable</v>
      </c>
      <c r="AZ671" s="22" t="str">
        <f t="shared" si="4450"/>
        <v>aceptable</v>
      </c>
      <c r="BA671" s="22" t="str">
        <f t="shared" si="4482"/>
        <v>aceptable</v>
      </c>
      <c r="BB671" s="25" t="str">
        <f t="shared" si="4451"/>
        <v>NO CONFORME</v>
      </c>
      <c r="BC671" s="5" t="str">
        <f t="shared" si="4452"/>
        <v>NO CONFORME</v>
      </c>
      <c r="BD671" s="15">
        <f t="shared" si="4453"/>
        <v>-1</v>
      </c>
      <c r="BE671" s="15">
        <f t="shared" si="4454"/>
        <v>-1</v>
      </c>
      <c r="BF671" s="15">
        <f t="shared" si="4455"/>
        <v>-1</v>
      </c>
      <c r="BG671" s="15" t="str">
        <f t="shared" si="4456"/>
        <v>-1-1-1</v>
      </c>
      <c r="BH671" s="15" t="str">
        <f t="shared" si="4457"/>
        <v>SD</v>
      </c>
      <c r="BI671" s="15" t="str">
        <f t="shared" si="4458"/>
        <v>SI</v>
      </c>
      <c r="BJ671" s="15" t="b">
        <f t="shared" si="4459"/>
        <v>1</v>
      </c>
      <c r="BK671" s="15" t="str">
        <f t="shared" si="4460"/>
        <v>SIGIGUALES</v>
      </c>
      <c r="BL671" s="22" t="str">
        <f t="shared" si="4461"/>
        <v>NO CONFORME</v>
      </c>
    </row>
    <row r="672" spans="1:64" ht="15.75" thickBot="1" x14ac:dyDescent="0.3">
      <c r="A672" s="37">
        <v>664</v>
      </c>
      <c r="B672" s="93">
        <f t="shared" ref="B672:E672" si="4701">B671</f>
        <v>45919</v>
      </c>
      <c r="C672" s="93">
        <f t="shared" si="4701"/>
        <v>45919</v>
      </c>
      <c r="D672" s="94">
        <f t="shared" si="4701"/>
        <v>6</v>
      </c>
      <c r="E672" s="95">
        <f t="shared" si="4701"/>
        <v>15</v>
      </c>
      <c r="F672" s="13"/>
      <c r="G672" s="90"/>
      <c r="H672" s="97">
        <f t="shared" ref="H672:L672" si="4702">H671</f>
        <v>25.6</v>
      </c>
      <c r="I672" s="98">
        <f t="shared" si="4702"/>
        <v>0</v>
      </c>
      <c r="J672" s="99">
        <f t="shared" si="4702"/>
        <v>20.9</v>
      </c>
      <c r="K672" s="99">
        <f t="shared" si="4702"/>
        <v>7.883</v>
      </c>
      <c r="L672" s="99">
        <f t="shared" si="4702"/>
        <v>0.55400000000000005</v>
      </c>
      <c r="M672" s="45"/>
      <c r="N672" s="45"/>
      <c r="O672" s="100">
        <f t="shared" ref="O672:P672" si="4703">O671</f>
        <v>100.62</v>
      </c>
      <c r="P672" s="101" t="str">
        <f t="shared" si="4703"/>
        <v>2,29,560</v>
      </c>
      <c r="Q672" s="11" t="str">
        <f t="shared" si="4465"/>
        <v>2</v>
      </c>
      <c r="R672" s="11" t="str">
        <f t="shared" si="4466"/>
        <v>29,560</v>
      </c>
      <c r="S672" s="11">
        <f t="shared" si="4467"/>
        <v>4.1544444444444446E-2</v>
      </c>
      <c r="T672" s="14">
        <f t="shared" si="4468"/>
        <v>2421.9844878309709</v>
      </c>
      <c r="U672" s="39">
        <f t="shared" si="4439"/>
        <v>-100</v>
      </c>
      <c r="V672" s="105">
        <f t="shared" ref="V672:X672" si="4704">V671</f>
        <v>20.399999999999999</v>
      </c>
      <c r="W672" s="105">
        <f t="shared" si="4704"/>
        <v>1.5069999999999999</v>
      </c>
      <c r="X672" s="106">
        <f t="shared" si="4704"/>
        <v>1.504</v>
      </c>
      <c r="Y672" s="45"/>
      <c r="Z672" s="45"/>
      <c r="AA672" s="107">
        <f t="shared" ref="AA672:AB672" si="4705">AA671</f>
        <v>10.015000000000001</v>
      </c>
      <c r="AB672" s="108" t="str">
        <f t="shared" si="4705"/>
        <v>22,10,090</v>
      </c>
      <c r="AC672" s="11" t="str">
        <f t="shared" si="4471"/>
        <v>22</v>
      </c>
      <c r="AD672" s="11" t="str">
        <f t="shared" si="4472"/>
        <v>10,090</v>
      </c>
      <c r="AE672" s="11">
        <f t="shared" si="4473"/>
        <v>0.36946944444444441</v>
      </c>
      <c r="AF672" s="14">
        <f t="shared" si="4442"/>
        <v>27.106436406558959</v>
      </c>
      <c r="AG672" s="41">
        <f t="shared" si="4443"/>
        <v>-100</v>
      </c>
      <c r="AH672" s="105">
        <f t="shared" ref="AH672:AJ672" si="4706">AH671</f>
        <v>20.3</v>
      </c>
      <c r="AI672" s="105">
        <f t="shared" si="4706"/>
        <v>1.5089999999999999</v>
      </c>
      <c r="AJ672" s="105">
        <f t="shared" si="4706"/>
        <v>1.504</v>
      </c>
      <c r="AK672" s="53">
        <f t="shared" si="4357"/>
        <v>0</v>
      </c>
      <c r="AL672" s="45"/>
      <c r="AM672" s="54">
        <f t="shared" ref="AM672:AN672" si="4707">AM671</f>
        <v>5.0129999999999999</v>
      </c>
      <c r="AN672" s="101" t="str">
        <f t="shared" si="4707"/>
        <v>17,59,050</v>
      </c>
      <c r="AO672" s="11" t="str">
        <f t="shared" si="4476"/>
        <v>17</v>
      </c>
      <c r="AP672" s="11" t="str">
        <f t="shared" si="4477"/>
        <v>59,050</v>
      </c>
      <c r="AQ672" s="11">
        <f t="shared" si="4478"/>
        <v>0.29973611111111109</v>
      </c>
      <c r="AR672" s="14">
        <f t="shared" si="4446"/>
        <v>16.724711551827998</v>
      </c>
      <c r="AS672" s="41">
        <f t="shared" si="4447"/>
        <v>-100</v>
      </c>
      <c r="AT672" s="43" t="str">
        <f t="shared" si="4448"/>
        <v>NO CONFORME</v>
      </c>
      <c r="AU672" s="8" t="b">
        <f t="shared" si="4553"/>
        <v>1</v>
      </c>
      <c r="AV672" s="8" t="b">
        <f t="shared" si="4479"/>
        <v>0</v>
      </c>
      <c r="AW672" s="8" t="b">
        <f t="shared" si="4480"/>
        <v>1</v>
      </c>
      <c r="AX672" s="8" t="str">
        <f t="shared" si="4481"/>
        <v>Qcorrecto</v>
      </c>
      <c r="AY672" s="22" t="str">
        <f t="shared" si="4449"/>
        <v>aceptable</v>
      </c>
      <c r="AZ672" s="22" t="str">
        <f t="shared" si="4450"/>
        <v>aceptable</v>
      </c>
      <c r="BA672" s="22" t="str">
        <f t="shared" si="4482"/>
        <v>aceptable</v>
      </c>
      <c r="BB672" s="25" t="str">
        <f t="shared" si="4451"/>
        <v>NO CONFORME</v>
      </c>
      <c r="BC672" s="5" t="str">
        <f t="shared" si="4452"/>
        <v>NO CONFORME</v>
      </c>
      <c r="BD672" s="15">
        <f t="shared" si="4453"/>
        <v>-1</v>
      </c>
      <c r="BE672" s="15">
        <f t="shared" si="4454"/>
        <v>-1</v>
      </c>
      <c r="BF672" s="15">
        <f t="shared" si="4455"/>
        <v>-1</v>
      </c>
      <c r="BG672" s="15" t="str">
        <f t="shared" si="4456"/>
        <v>-1-1-1</v>
      </c>
      <c r="BH672" s="15" t="str">
        <f t="shared" si="4457"/>
        <v>SD</v>
      </c>
      <c r="BI672" s="15" t="str">
        <f t="shared" si="4458"/>
        <v>SI</v>
      </c>
      <c r="BJ672" s="15" t="b">
        <f t="shared" si="4459"/>
        <v>1</v>
      </c>
      <c r="BK672" s="15" t="str">
        <f t="shared" si="4460"/>
        <v>SIGIGUALES</v>
      </c>
      <c r="BL672" s="22" t="str">
        <f t="shared" si="4461"/>
        <v>NO CONFORME</v>
      </c>
    </row>
    <row r="673" spans="1:64" ht="15.75" thickBot="1" x14ac:dyDescent="0.3">
      <c r="A673" s="37">
        <v>665</v>
      </c>
      <c r="B673" s="93">
        <f t="shared" ref="B673:E673" si="4708">B672</f>
        <v>45919</v>
      </c>
      <c r="C673" s="93">
        <f t="shared" si="4708"/>
        <v>45919</v>
      </c>
      <c r="D673" s="94">
        <f t="shared" si="4708"/>
        <v>6</v>
      </c>
      <c r="E673" s="95">
        <f t="shared" si="4708"/>
        <v>15</v>
      </c>
      <c r="F673" s="13"/>
      <c r="G673" s="90"/>
      <c r="H673" s="97">
        <f t="shared" ref="H673:L673" si="4709">H672</f>
        <v>25.6</v>
      </c>
      <c r="I673" s="98">
        <f t="shared" si="4709"/>
        <v>0</v>
      </c>
      <c r="J673" s="99">
        <f t="shared" si="4709"/>
        <v>20.9</v>
      </c>
      <c r="K673" s="99">
        <f t="shared" si="4709"/>
        <v>7.883</v>
      </c>
      <c r="L673" s="99">
        <f t="shared" si="4709"/>
        <v>0.55400000000000005</v>
      </c>
      <c r="M673" s="45"/>
      <c r="N673" s="45"/>
      <c r="O673" s="100">
        <f t="shared" ref="O673:P673" si="4710">O672</f>
        <v>100.62</v>
      </c>
      <c r="P673" s="101" t="str">
        <f t="shared" si="4710"/>
        <v>2,29,560</v>
      </c>
      <c r="Q673" s="11" t="str">
        <f t="shared" si="4465"/>
        <v>2</v>
      </c>
      <c r="R673" s="11" t="str">
        <f t="shared" si="4466"/>
        <v>29,560</v>
      </c>
      <c r="S673" s="11">
        <f t="shared" si="4467"/>
        <v>4.1544444444444446E-2</v>
      </c>
      <c r="T673" s="14">
        <f t="shared" si="4468"/>
        <v>2421.9844878309709</v>
      </c>
      <c r="U673" s="39">
        <f t="shared" si="4439"/>
        <v>-100</v>
      </c>
      <c r="V673" s="105">
        <f t="shared" ref="V673:X673" si="4711">V672</f>
        <v>20.399999999999999</v>
      </c>
      <c r="W673" s="105">
        <f t="shared" si="4711"/>
        <v>1.5069999999999999</v>
      </c>
      <c r="X673" s="106">
        <f t="shared" si="4711"/>
        <v>1.504</v>
      </c>
      <c r="Y673" s="45"/>
      <c r="Z673" s="45"/>
      <c r="AA673" s="107">
        <f t="shared" ref="AA673:AB673" si="4712">AA672</f>
        <v>10.015000000000001</v>
      </c>
      <c r="AB673" s="108" t="str">
        <f t="shared" si="4712"/>
        <v>22,10,090</v>
      </c>
      <c r="AC673" s="11" t="str">
        <f t="shared" si="4471"/>
        <v>22</v>
      </c>
      <c r="AD673" s="11" t="str">
        <f t="shared" si="4472"/>
        <v>10,090</v>
      </c>
      <c r="AE673" s="11">
        <f t="shared" si="4473"/>
        <v>0.36946944444444441</v>
      </c>
      <c r="AF673" s="14">
        <f t="shared" si="4442"/>
        <v>27.106436406558959</v>
      </c>
      <c r="AG673" s="41">
        <f t="shared" si="4443"/>
        <v>-100</v>
      </c>
      <c r="AH673" s="105">
        <f t="shared" ref="AH673:AJ673" si="4713">AH672</f>
        <v>20.3</v>
      </c>
      <c r="AI673" s="105">
        <f t="shared" si="4713"/>
        <v>1.5089999999999999</v>
      </c>
      <c r="AJ673" s="105">
        <f t="shared" si="4713"/>
        <v>1.504</v>
      </c>
      <c r="AK673" s="53">
        <f t="shared" si="4357"/>
        <v>0</v>
      </c>
      <c r="AL673" s="45"/>
      <c r="AM673" s="54">
        <f t="shared" ref="AM673:AN673" si="4714">AM672</f>
        <v>5.0129999999999999</v>
      </c>
      <c r="AN673" s="101" t="str">
        <f t="shared" si="4714"/>
        <v>17,59,050</v>
      </c>
      <c r="AO673" s="11" t="str">
        <f t="shared" si="4476"/>
        <v>17</v>
      </c>
      <c r="AP673" s="11" t="str">
        <f t="shared" si="4477"/>
        <v>59,050</v>
      </c>
      <c r="AQ673" s="11">
        <f t="shared" si="4478"/>
        <v>0.29973611111111109</v>
      </c>
      <c r="AR673" s="14">
        <f t="shared" si="4446"/>
        <v>16.724711551827998</v>
      </c>
      <c r="AS673" s="41">
        <f t="shared" si="4447"/>
        <v>-100</v>
      </c>
      <c r="AT673" s="43" t="str">
        <f t="shared" si="4448"/>
        <v>NO CONFORME</v>
      </c>
      <c r="AU673" s="8" t="b">
        <f t="shared" si="4553"/>
        <v>1</v>
      </c>
      <c r="AV673" s="8" t="b">
        <f t="shared" si="4479"/>
        <v>0</v>
      </c>
      <c r="AW673" s="8" t="b">
        <f t="shared" si="4480"/>
        <v>1</v>
      </c>
      <c r="AX673" s="8" t="str">
        <f t="shared" si="4481"/>
        <v>Qcorrecto</v>
      </c>
      <c r="AY673" s="22" t="str">
        <f t="shared" si="4449"/>
        <v>aceptable</v>
      </c>
      <c r="AZ673" s="22" t="str">
        <f t="shared" si="4450"/>
        <v>aceptable</v>
      </c>
      <c r="BA673" s="22" t="str">
        <f t="shared" si="4482"/>
        <v>aceptable</v>
      </c>
      <c r="BB673" s="25" t="str">
        <f t="shared" si="4451"/>
        <v>NO CONFORME</v>
      </c>
      <c r="BC673" s="5" t="str">
        <f t="shared" si="4452"/>
        <v>NO CONFORME</v>
      </c>
      <c r="BD673" s="15">
        <f t="shared" si="4453"/>
        <v>-1</v>
      </c>
      <c r="BE673" s="15">
        <f t="shared" si="4454"/>
        <v>-1</v>
      </c>
      <c r="BF673" s="15">
        <f t="shared" si="4455"/>
        <v>-1</v>
      </c>
      <c r="BG673" s="15" t="str">
        <f t="shared" si="4456"/>
        <v>-1-1-1</v>
      </c>
      <c r="BH673" s="15" t="str">
        <f t="shared" si="4457"/>
        <v>SD</v>
      </c>
      <c r="BI673" s="15" t="str">
        <f t="shared" si="4458"/>
        <v>SI</v>
      </c>
      <c r="BJ673" s="15" t="b">
        <f t="shared" si="4459"/>
        <v>1</v>
      </c>
      <c r="BK673" s="15" t="str">
        <f t="shared" si="4460"/>
        <v>SIGIGUALES</v>
      </c>
      <c r="BL673" s="22" t="str">
        <f t="shared" si="4461"/>
        <v>NO CONFORME</v>
      </c>
    </row>
    <row r="674" spans="1:64" ht="15.75" thickBot="1" x14ac:dyDescent="0.3">
      <c r="A674" s="37">
        <v>666</v>
      </c>
      <c r="B674" s="93">
        <f t="shared" ref="B674:E674" si="4715">B673</f>
        <v>45919</v>
      </c>
      <c r="C674" s="93">
        <f t="shared" si="4715"/>
        <v>45919</v>
      </c>
      <c r="D674" s="94">
        <f t="shared" si="4715"/>
        <v>6</v>
      </c>
      <c r="E674" s="95">
        <f t="shared" si="4715"/>
        <v>15</v>
      </c>
      <c r="F674" s="13"/>
      <c r="G674" s="90"/>
      <c r="H674" s="97">
        <f t="shared" ref="H674:L674" si="4716">H673</f>
        <v>25.6</v>
      </c>
      <c r="I674" s="98">
        <f t="shared" si="4716"/>
        <v>0</v>
      </c>
      <c r="J674" s="99">
        <f t="shared" si="4716"/>
        <v>20.9</v>
      </c>
      <c r="K674" s="99">
        <f t="shared" si="4716"/>
        <v>7.883</v>
      </c>
      <c r="L674" s="99">
        <f t="shared" si="4716"/>
        <v>0.55400000000000005</v>
      </c>
      <c r="M674" s="45"/>
      <c r="N674" s="45"/>
      <c r="O674" s="100">
        <f t="shared" ref="O674:P674" si="4717">O673</f>
        <v>100.62</v>
      </c>
      <c r="P674" s="101" t="str">
        <f t="shared" si="4717"/>
        <v>2,29,560</v>
      </c>
      <c r="Q674" s="11" t="str">
        <f t="shared" si="4465"/>
        <v>2</v>
      </c>
      <c r="R674" s="11" t="str">
        <f t="shared" si="4466"/>
        <v>29,560</v>
      </c>
      <c r="S674" s="11">
        <f t="shared" si="4467"/>
        <v>4.1544444444444446E-2</v>
      </c>
      <c r="T674" s="14">
        <f t="shared" si="4468"/>
        <v>2421.9844878309709</v>
      </c>
      <c r="U674" s="39">
        <f t="shared" si="4439"/>
        <v>-100</v>
      </c>
      <c r="V674" s="105">
        <f t="shared" ref="V674:X674" si="4718">V673</f>
        <v>20.399999999999999</v>
      </c>
      <c r="W674" s="105">
        <f t="shared" si="4718"/>
        <v>1.5069999999999999</v>
      </c>
      <c r="X674" s="106">
        <f t="shared" si="4718"/>
        <v>1.504</v>
      </c>
      <c r="Y674" s="45"/>
      <c r="Z674" s="45"/>
      <c r="AA674" s="107">
        <f t="shared" ref="AA674:AB674" si="4719">AA673</f>
        <v>10.015000000000001</v>
      </c>
      <c r="AB674" s="108" t="str">
        <f t="shared" si="4719"/>
        <v>22,10,090</v>
      </c>
      <c r="AC674" s="11" t="str">
        <f t="shared" si="4471"/>
        <v>22</v>
      </c>
      <c r="AD674" s="11" t="str">
        <f t="shared" si="4472"/>
        <v>10,090</v>
      </c>
      <c r="AE674" s="11">
        <f t="shared" si="4473"/>
        <v>0.36946944444444441</v>
      </c>
      <c r="AF674" s="14">
        <f t="shared" si="4442"/>
        <v>27.106436406558959</v>
      </c>
      <c r="AG674" s="41">
        <f t="shared" si="4443"/>
        <v>-100</v>
      </c>
      <c r="AH674" s="105">
        <f t="shared" ref="AH674:AJ674" si="4720">AH673</f>
        <v>20.3</v>
      </c>
      <c r="AI674" s="105">
        <f t="shared" si="4720"/>
        <v>1.5089999999999999</v>
      </c>
      <c r="AJ674" s="105">
        <f t="shared" si="4720"/>
        <v>1.504</v>
      </c>
      <c r="AK674" s="53">
        <f t="shared" si="4357"/>
        <v>0</v>
      </c>
      <c r="AL674" s="45"/>
      <c r="AM674" s="54">
        <f t="shared" ref="AM674:AN674" si="4721">AM673</f>
        <v>5.0129999999999999</v>
      </c>
      <c r="AN674" s="101" t="str">
        <f t="shared" si="4721"/>
        <v>17,59,050</v>
      </c>
      <c r="AO674" s="11" t="str">
        <f t="shared" si="4476"/>
        <v>17</v>
      </c>
      <c r="AP674" s="11" t="str">
        <f t="shared" si="4477"/>
        <v>59,050</v>
      </c>
      <c r="AQ674" s="11">
        <f t="shared" si="4478"/>
        <v>0.29973611111111109</v>
      </c>
      <c r="AR674" s="14">
        <f t="shared" si="4446"/>
        <v>16.724711551827998</v>
      </c>
      <c r="AS674" s="41">
        <f t="shared" si="4447"/>
        <v>-100</v>
      </c>
      <c r="AT674" s="43" t="str">
        <f t="shared" si="4448"/>
        <v>NO CONFORME</v>
      </c>
      <c r="AU674" s="8" t="b">
        <f t="shared" si="4553"/>
        <v>1</v>
      </c>
      <c r="AV674" s="8" t="b">
        <f t="shared" si="4479"/>
        <v>0</v>
      </c>
      <c r="AW674" s="8" t="b">
        <f t="shared" si="4480"/>
        <v>1</v>
      </c>
      <c r="AX674" s="8" t="str">
        <f t="shared" si="4481"/>
        <v>Qcorrecto</v>
      </c>
      <c r="AY674" s="22" t="str">
        <f t="shared" si="4449"/>
        <v>aceptable</v>
      </c>
      <c r="AZ674" s="22" t="str">
        <f t="shared" si="4450"/>
        <v>aceptable</v>
      </c>
      <c r="BA674" s="22" t="str">
        <f t="shared" si="4482"/>
        <v>aceptable</v>
      </c>
      <c r="BB674" s="25" t="str">
        <f t="shared" si="4451"/>
        <v>NO CONFORME</v>
      </c>
      <c r="BC674" s="5" t="str">
        <f t="shared" si="4452"/>
        <v>NO CONFORME</v>
      </c>
      <c r="BD674" s="15">
        <f t="shared" si="4453"/>
        <v>-1</v>
      </c>
      <c r="BE674" s="15">
        <f t="shared" si="4454"/>
        <v>-1</v>
      </c>
      <c r="BF674" s="15">
        <f t="shared" si="4455"/>
        <v>-1</v>
      </c>
      <c r="BG674" s="15" t="str">
        <f t="shared" si="4456"/>
        <v>-1-1-1</v>
      </c>
      <c r="BH674" s="15" t="str">
        <f t="shared" si="4457"/>
        <v>SD</v>
      </c>
      <c r="BI674" s="15" t="str">
        <f t="shared" si="4458"/>
        <v>SI</v>
      </c>
      <c r="BJ674" s="15" t="b">
        <f t="shared" si="4459"/>
        <v>1</v>
      </c>
      <c r="BK674" s="15" t="str">
        <f t="shared" si="4460"/>
        <v>SIGIGUALES</v>
      </c>
      <c r="BL674" s="22" t="str">
        <f t="shared" si="4461"/>
        <v>NO CONFORME</v>
      </c>
    </row>
    <row r="675" spans="1:64" ht="15.75" thickBot="1" x14ac:dyDescent="0.3">
      <c r="A675" s="37">
        <v>667</v>
      </c>
      <c r="B675" s="93">
        <f t="shared" ref="B675:E675" si="4722">B674</f>
        <v>45919</v>
      </c>
      <c r="C675" s="93">
        <f t="shared" si="4722"/>
        <v>45919</v>
      </c>
      <c r="D675" s="94">
        <f t="shared" si="4722"/>
        <v>6</v>
      </c>
      <c r="E675" s="95">
        <f t="shared" si="4722"/>
        <v>15</v>
      </c>
      <c r="F675" s="13"/>
      <c r="G675" s="90"/>
      <c r="H675" s="97">
        <f t="shared" ref="H675:L675" si="4723">H674</f>
        <v>25.6</v>
      </c>
      <c r="I675" s="98">
        <f t="shared" si="4723"/>
        <v>0</v>
      </c>
      <c r="J675" s="99">
        <f t="shared" si="4723"/>
        <v>20.9</v>
      </c>
      <c r="K675" s="99">
        <f t="shared" si="4723"/>
        <v>7.883</v>
      </c>
      <c r="L675" s="99">
        <f t="shared" si="4723"/>
        <v>0.55400000000000005</v>
      </c>
      <c r="M675" s="45"/>
      <c r="N675" s="45"/>
      <c r="O675" s="100">
        <f t="shared" ref="O675:P675" si="4724">O674</f>
        <v>100.62</v>
      </c>
      <c r="P675" s="101" t="str">
        <f t="shared" si="4724"/>
        <v>2,29,560</v>
      </c>
      <c r="Q675" s="11" t="str">
        <f t="shared" si="4465"/>
        <v>2</v>
      </c>
      <c r="R675" s="11" t="str">
        <f t="shared" si="4466"/>
        <v>29,560</v>
      </c>
      <c r="S675" s="11">
        <f t="shared" si="4467"/>
        <v>4.1544444444444446E-2</v>
      </c>
      <c r="T675" s="14">
        <f t="shared" si="4468"/>
        <v>2421.9844878309709</v>
      </c>
      <c r="U675" s="39">
        <f t="shared" si="4439"/>
        <v>-100</v>
      </c>
      <c r="V675" s="105">
        <f t="shared" ref="V675:X675" si="4725">V674</f>
        <v>20.399999999999999</v>
      </c>
      <c r="W675" s="105">
        <f t="shared" si="4725"/>
        <v>1.5069999999999999</v>
      </c>
      <c r="X675" s="106">
        <f t="shared" si="4725"/>
        <v>1.504</v>
      </c>
      <c r="Y675" s="45"/>
      <c r="Z675" s="45"/>
      <c r="AA675" s="107">
        <f t="shared" ref="AA675:AB675" si="4726">AA674</f>
        <v>10.015000000000001</v>
      </c>
      <c r="AB675" s="108" t="str">
        <f t="shared" si="4726"/>
        <v>22,10,090</v>
      </c>
      <c r="AC675" s="11" t="str">
        <f t="shared" si="4471"/>
        <v>22</v>
      </c>
      <c r="AD675" s="11" t="str">
        <f t="shared" si="4472"/>
        <v>10,090</v>
      </c>
      <c r="AE675" s="11">
        <f t="shared" si="4473"/>
        <v>0.36946944444444441</v>
      </c>
      <c r="AF675" s="14">
        <f t="shared" si="4442"/>
        <v>27.106436406558959</v>
      </c>
      <c r="AG675" s="41">
        <f t="shared" si="4443"/>
        <v>-100</v>
      </c>
      <c r="AH675" s="105">
        <f t="shared" ref="AH675:AJ675" si="4727">AH674</f>
        <v>20.3</v>
      </c>
      <c r="AI675" s="105">
        <f t="shared" si="4727"/>
        <v>1.5089999999999999</v>
      </c>
      <c r="AJ675" s="105">
        <f t="shared" si="4727"/>
        <v>1.504</v>
      </c>
      <c r="AK675" s="53">
        <f t="shared" si="4357"/>
        <v>0</v>
      </c>
      <c r="AL675" s="45"/>
      <c r="AM675" s="54">
        <f t="shared" ref="AM675:AN675" si="4728">AM674</f>
        <v>5.0129999999999999</v>
      </c>
      <c r="AN675" s="101" t="str">
        <f t="shared" si="4728"/>
        <v>17,59,050</v>
      </c>
      <c r="AO675" s="11" t="str">
        <f t="shared" si="4476"/>
        <v>17</v>
      </c>
      <c r="AP675" s="11" t="str">
        <f t="shared" si="4477"/>
        <v>59,050</v>
      </c>
      <c r="AQ675" s="11">
        <f t="shared" si="4478"/>
        <v>0.29973611111111109</v>
      </c>
      <c r="AR675" s="14">
        <f t="shared" si="4446"/>
        <v>16.724711551827998</v>
      </c>
      <c r="AS675" s="41">
        <f t="shared" si="4447"/>
        <v>-100</v>
      </c>
      <c r="AT675" s="43" t="str">
        <f t="shared" si="4448"/>
        <v>NO CONFORME</v>
      </c>
      <c r="AU675" s="8" t="b">
        <f t="shared" si="4553"/>
        <v>1</v>
      </c>
      <c r="AV675" s="8" t="b">
        <f t="shared" si="4479"/>
        <v>0</v>
      </c>
      <c r="AW675" s="8" t="b">
        <f t="shared" si="4480"/>
        <v>1</v>
      </c>
      <c r="AX675" s="8" t="str">
        <f t="shared" si="4481"/>
        <v>Qcorrecto</v>
      </c>
      <c r="AY675" s="22" t="str">
        <f t="shared" si="4449"/>
        <v>aceptable</v>
      </c>
      <c r="AZ675" s="22" t="str">
        <f t="shared" si="4450"/>
        <v>aceptable</v>
      </c>
      <c r="BA675" s="22" t="str">
        <f t="shared" si="4482"/>
        <v>aceptable</v>
      </c>
      <c r="BB675" s="25" t="str">
        <f t="shared" si="4451"/>
        <v>NO CONFORME</v>
      </c>
      <c r="BC675" s="5" t="str">
        <f t="shared" si="4452"/>
        <v>NO CONFORME</v>
      </c>
      <c r="BD675" s="15">
        <f t="shared" si="4453"/>
        <v>-1</v>
      </c>
      <c r="BE675" s="15">
        <f t="shared" si="4454"/>
        <v>-1</v>
      </c>
      <c r="BF675" s="15">
        <f t="shared" si="4455"/>
        <v>-1</v>
      </c>
      <c r="BG675" s="15" t="str">
        <f t="shared" si="4456"/>
        <v>-1-1-1</v>
      </c>
      <c r="BH675" s="15" t="str">
        <f t="shared" si="4457"/>
        <v>SD</v>
      </c>
      <c r="BI675" s="15" t="str">
        <f t="shared" si="4458"/>
        <v>SI</v>
      </c>
      <c r="BJ675" s="15" t="b">
        <f t="shared" si="4459"/>
        <v>1</v>
      </c>
      <c r="BK675" s="15" t="str">
        <f t="shared" si="4460"/>
        <v>SIGIGUALES</v>
      </c>
      <c r="BL675" s="22" t="str">
        <f t="shared" si="4461"/>
        <v>NO CONFORME</v>
      </c>
    </row>
    <row r="676" spans="1:64" ht="15.75" thickBot="1" x14ac:dyDescent="0.3">
      <c r="A676" s="37">
        <v>668</v>
      </c>
      <c r="B676" s="93">
        <f t="shared" ref="B676:E676" si="4729">B675</f>
        <v>45919</v>
      </c>
      <c r="C676" s="93">
        <f t="shared" si="4729"/>
        <v>45919</v>
      </c>
      <c r="D676" s="94">
        <f t="shared" si="4729"/>
        <v>6</v>
      </c>
      <c r="E676" s="95">
        <f t="shared" si="4729"/>
        <v>15</v>
      </c>
      <c r="F676" s="13"/>
      <c r="G676" s="90"/>
      <c r="H676" s="97">
        <f t="shared" ref="H676:L676" si="4730">H675</f>
        <v>25.6</v>
      </c>
      <c r="I676" s="98">
        <f t="shared" si="4730"/>
        <v>0</v>
      </c>
      <c r="J676" s="99">
        <f t="shared" si="4730"/>
        <v>20.9</v>
      </c>
      <c r="K676" s="99">
        <f t="shared" si="4730"/>
        <v>7.883</v>
      </c>
      <c r="L676" s="99">
        <f t="shared" si="4730"/>
        <v>0.55400000000000005</v>
      </c>
      <c r="M676" s="45"/>
      <c r="N676" s="45"/>
      <c r="O676" s="100">
        <f t="shared" ref="O676:P676" si="4731">O675</f>
        <v>100.62</v>
      </c>
      <c r="P676" s="101" t="str">
        <f t="shared" si="4731"/>
        <v>2,29,560</v>
      </c>
      <c r="Q676" s="11" t="str">
        <f t="shared" si="4465"/>
        <v>2</v>
      </c>
      <c r="R676" s="11" t="str">
        <f t="shared" si="4466"/>
        <v>29,560</v>
      </c>
      <c r="S676" s="11">
        <f t="shared" si="4467"/>
        <v>4.1544444444444446E-2</v>
      </c>
      <c r="T676" s="14">
        <f t="shared" si="4468"/>
        <v>2421.9844878309709</v>
      </c>
      <c r="U676" s="39">
        <f t="shared" si="4439"/>
        <v>-100</v>
      </c>
      <c r="V676" s="105">
        <f t="shared" ref="V676:X676" si="4732">V675</f>
        <v>20.399999999999999</v>
      </c>
      <c r="W676" s="105">
        <f t="shared" si="4732"/>
        <v>1.5069999999999999</v>
      </c>
      <c r="X676" s="106">
        <f t="shared" si="4732"/>
        <v>1.504</v>
      </c>
      <c r="Y676" s="45"/>
      <c r="Z676" s="45"/>
      <c r="AA676" s="107">
        <f t="shared" ref="AA676:AB676" si="4733">AA675</f>
        <v>10.015000000000001</v>
      </c>
      <c r="AB676" s="108" t="str">
        <f t="shared" si="4733"/>
        <v>22,10,090</v>
      </c>
      <c r="AC676" s="11" t="str">
        <f t="shared" si="4471"/>
        <v>22</v>
      </c>
      <c r="AD676" s="11" t="str">
        <f t="shared" si="4472"/>
        <v>10,090</v>
      </c>
      <c r="AE676" s="11">
        <f t="shared" si="4473"/>
        <v>0.36946944444444441</v>
      </c>
      <c r="AF676" s="14">
        <f t="shared" si="4442"/>
        <v>27.106436406558959</v>
      </c>
      <c r="AG676" s="41">
        <f t="shared" si="4443"/>
        <v>-100</v>
      </c>
      <c r="AH676" s="105">
        <f t="shared" ref="AH676:AJ676" si="4734">AH675</f>
        <v>20.3</v>
      </c>
      <c r="AI676" s="105">
        <f t="shared" si="4734"/>
        <v>1.5089999999999999</v>
      </c>
      <c r="AJ676" s="105">
        <f t="shared" si="4734"/>
        <v>1.504</v>
      </c>
      <c r="AK676" s="53">
        <f t="shared" si="4357"/>
        <v>0</v>
      </c>
      <c r="AL676" s="45"/>
      <c r="AM676" s="54">
        <f t="shared" ref="AM676:AN676" si="4735">AM675</f>
        <v>5.0129999999999999</v>
      </c>
      <c r="AN676" s="101" t="str">
        <f t="shared" si="4735"/>
        <v>17,59,050</v>
      </c>
      <c r="AO676" s="11" t="str">
        <f t="shared" si="4476"/>
        <v>17</v>
      </c>
      <c r="AP676" s="11" t="str">
        <f t="shared" si="4477"/>
        <v>59,050</v>
      </c>
      <c r="AQ676" s="11">
        <f t="shared" si="4478"/>
        <v>0.29973611111111109</v>
      </c>
      <c r="AR676" s="14">
        <f t="shared" si="4446"/>
        <v>16.724711551827998</v>
      </c>
      <c r="AS676" s="41">
        <f t="shared" si="4447"/>
        <v>-100</v>
      </c>
      <c r="AT676" s="43" t="str">
        <f t="shared" si="4448"/>
        <v>NO CONFORME</v>
      </c>
      <c r="AU676" s="8" t="b">
        <f t="shared" si="4553"/>
        <v>1</v>
      </c>
      <c r="AV676" s="8" t="b">
        <f t="shared" si="4479"/>
        <v>0</v>
      </c>
      <c r="AW676" s="8" t="b">
        <f t="shared" si="4480"/>
        <v>1</v>
      </c>
      <c r="AX676" s="8" t="str">
        <f t="shared" si="4481"/>
        <v>Qcorrecto</v>
      </c>
      <c r="AY676" s="22" t="str">
        <f t="shared" si="4449"/>
        <v>aceptable</v>
      </c>
      <c r="AZ676" s="22" t="str">
        <f t="shared" si="4450"/>
        <v>aceptable</v>
      </c>
      <c r="BA676" s="22" t="str">
        <f t="shared" si="4482"/>
        <v>aceptable</v>
      </c>
      <c r="BB676" s="25" t="str">
        <f t="shared" si="4451"/>
        <v>NO CONFORME</v>
      </c>
      <c r="BC676" s="5" t="str">
        <f t="shared" si="4452"/>
        <v>NO CONFORME</v>
      </c>
      <c r="BD676" s="15">
        <f t="shared" si="4453"/>
        <v>-1</v>
      </c>
      <c r="BE676" s="15">
        <f t="shared" si="4454"/>
        <v>-1</v>
      </c>
      <c r="BF676" s="15">
        <f t="shared" si="4455"/>
        <v>-1</v>
      </c>
      <c r="BG676" s="15" t="str">
        <f t="shared" si="4456"/>
        <v>-1-1-1</v>
      </c>
      <c r="BH676" s="15" t="str">
        <f t="shared" si="4457"/>
        <v>SD</v>
      </c>
      <c r="BI676" s="15" t="str">
        <f t="shared" si="4458"/>
        <v>SI</v>
      </c>
      <c r="BJ676" s="15" t="b">
        <f t="shared" si="4459"/>
        <v>1</v>
      </c>
      <c r="BK676" s="15" t="str">
        <f t="shared" si="4460"/>
        <v>SIGIGUALES</v>
      </c>
      <c r="BL676" s="22" t="str">
        <f t="shared" si="4461"/>
        <v>NO CONFORME</v>
      </c>
    </row>
    <row r="677" spans="1:64" ht="15.75" thickBot="1" x14ac:dyDescent="0.3">
      <c r="A677" s="37">
        <v>669</v>
      </c>
      <c r="B677" s="93">
        <f t="shared" ref="B677:E677" si="4736">B676</f>
        <v>45919</v>
      </c>
      <c r="C677" s="93">
        <f t="shared" si="4736"/>
        <v>45919</v>
      </c>
      <c r="D677" s="94">
        <f t="shared" si="4736"/>
        <v>6</v>
      </c>
      <c r="E677" s="95">
        <f t="shared" si="4736"/>
        <v>15</v>
      </c>
      <c r="F677" s="13"/>
      <c r="G677" s="90"/>
      <c r="H677" s="97">
        <f t="shared" ref="H677:L677" si="4737">H676</f>
        <v>25.6</v>
      </c>
      <c r="I677" s="98">
        <f t="shared" si="4737"/>
        <v>0</v>
      </c>
      <c r="J677" s="99">
        <f t="shared" si="4737"/>
        <v>20.9</v>
      </c>
      <c r="K677" s="99">
        <f t="shared" si="4737"/>
        <v>7.883</v>
      </c>
      <c r="L677" s="99">
        <f t="shared" si="4737"/>
        <v>0.55400000000000005</v>
      </c>
      <c r="M677" s="45"/>
      <c r="N677" s="45"/>
      <c r="O677" s="100">
        <f t="shared" ref="O677:P677" si="4738">O676</f>
        <v>100.62</v>
      </c>
      <c r="P677" s="101" t="str">
        <f t="shared" si="4738"/>
        <v>2,29,560</v>
      </c>
      <c r="Q677" s="11" t="str">
        <f t="shared" si="4465"/>
        <v>2</v>
      </c>
      <c r="R677" s="11" t="str">
        <f t="shared" si="4466"/>
        <v>29,560</v>
      </c>
      <c r="S677" s="11">
        <f t="shared" si="4467"/>
        <v>4.1544444444444446E-2</v>
      </c>
      <c r="T677" s="14">
        <f t="shared" si="4468"/>
        <v>2421.9844878309709</v>
      </c>
      <c r="U677" s="39">
        <f t="shared" si="4439"/>
        <v>-100</v>
      </c>
      <c r="V677" s="105">
        <f t="shared" ref="V677:X677" si="4739">V676</f>
        <v>20.399999999999999</v>
      </c>
      <c r="W677" s="105">
        <f t="shared" si="4739"/>
        <v>1.5069999999999999</v>
      </c>
      <c r="X677" s="106">
        <f t="shared" si="4739"/>
        <v>1.504</v>
      </c>
      <c r="Y677" s="45"/>
      <c r="Z677" s="45"/>
      <c r="AA677" s="107">
        <f t="shared" ref="AA677:AB677" si="4740">AA676</f>
        <v>10.015000000000001</v>
      </c>
      <c r="AB677" s="108" t="str">
        <f t="shared" si="4740"/>
        <v>22,10,090</v>
      </c>
      <c r="AC677" s="11" t="str">
        <f t="shared" si="4471"/>
        <v>22</v>
      </c>
      <c r="AD677" s="11" t="str">
        <f t="shared" si="4472"/>
        <v>10,090</v>
      </c>
      <c r="AE677" s="11">
        <f t="shared" si="4473"/>
        <v>0.36946944444444441</v>
      </c>
      <c r="AF677" s="14">
        <f t="shared" si="4442"/>
        <v>27.106436406558959</v>
      </c>
      <c r="AG677" s="41">
        <f t="shared" si="4443"/>
        <v>-100</v>
      </c>
      <c r="AH677" s="105">
        <f t="shared" ref="AH677:AJ677" si="4741">AH676</f>
        <v>20.3</v>
      </c>
      <c r="AI677" s="105">
        <f t="shared" si="4741"/>
        <v>1.5089999999999999</v>
      </c>
      <c r="AJ677" s="105">
        <f t="shared" si="4741"/>
        <v>1.504</v>
      </c>
      <c r="AK677" s="53">
        <f t="shared" si="4357"/>
        <v>0</v>
      </c>
      <c r="AL677" s="45"/>
      <c r="AM677" s="54">
        <f t="shared" ref="AM677:AN677" si="4742">AM676</f>
        <v>5.0129999999999999</v>
      </c>
      <c r="AN677" s="101" t="str">
        <f t="shared" si="4742"/>
        <v>17,59,050</v>
      </c>
      <c r="AO677" s="11" t="str">
        <f t="shared" si="4476"/>
        <v>17</v>
      </c>
      <c r="AP677" s="11" t="str">
        <f t="shared" si="4477"/>
        <v>59,050</v>
      </c>
      <c r="AQ677" s="11">
        <f t="shared" si="4478"/>
        <v>0.29973611111111109</v>
      </c>
      <c r="AR677" s="14">
        <f t="shared" si="4446"/>
        <v>16.724711551827998</v>
      </c>
      <c r="AS677" s="41">
        <f t="shared" si="4447"/>
        <v>-100</v>
      </c>
      <c r="AT677" s="43" t="str">
        <f t="shared" si="4448"/>
        <v>NO CONFORME</v>
      </c>
      <c r="AU677" s="8" t="b">
        <f t="shared" si="4553"/>
        <v>1</v>
      </c>
      <c r="AV677" s="8" t="b">
        <f t="shared" si="4479"/>
        <v>0</v>
      </c>
      <c r="AW677" s="8" t="b">
        <f t="shared" si="4480"/>
        <v>1</v>
      </c>
      <c r="AX677" s="8" t="str">
        <f t="shared" si="4481"/>
        <v>Qcorrecto</v>
      </c>
      <c r="AY677" s="22" t="str">
        <f t="shared" si="4449"/>
        <v>aceptable</v>
      </c>
      <c r="AZ677" s="22" t="str">
        <f t="shared" si="4450"/>
        <v>aceptable</v>
      </c>
      <c r="BA677" s="22" t="str">
        <f t="shared" si="4482"/>
        <v>aceptable</v>
      </c>
      <c r="BB677" s="25" t="str">
        <f t="shared" si="4451"/>
        <v>NO CONFORME</v>
      </c>
      <c r="BC677" s="5" t="str">
        <f t="shared" si="4452"/>
        <v>NO CONFORME</v>
      </c>
      <c r="BD677" s="15">
        <f t="shared" si="4453"/>
        <v>-1</v>
      </c>
      <c r="BE677" s="15">
        <f t="shared" si="4454"/>
        <v>-1</v>
      </c>
      <c r="BF677" s="15">
        <f t="shared" si="4455"/>
        <v>-1</v>
      </c>
      <c r="BG677" s="15" t="str">
        <f t="shared" si="4456"/>
        <v>-1-1-1</v>
      </c>
      <c r="BH677" s="15" t="str">
        <f t="shared" si="4457"/>
        <v>SD</v>
      </c>
      <c r="BI677" s="15" t="str">
        <f t="shared" si="4458"/>
        <v>SI</v>
      </c>
      <c r="BJ677" s="15" t="b">
        <f t="shared" si="4459"/>
        <v>1</v>
      </c>
      <c r="BK677" s="15" t="str">
        <f t="shared" si="4460"/>
        <v>SIGIGUALES</v>
      </c>
      <c r="BL677" s="22" t="str">
        <f t="shared" si="4461"/>
        <v>NO CONFORME</v>
      </c>
    </row>
    <row r="678" spans="1:64" ht="15.75" thickBot="1" x14ac:dyDescent="0.3">
      <c r="A678" s="37">
        <v>670</v>
      </c>
      <c r="B678" s="93">
        <f t="shared" ref="B678:E678" si="4743">B677</f>
        <v>45919</v>
      </c>
      <c r="C678" s="93">
        <f t="shared" si="4743"/>
        <v>45919</v>
      </c>
      <c r="D678" s="94">
        <f t="shared" si="4743"/>
        <v>6</v>
      </c>
      <c r="E678" s="95">
        <f t="shared" si="4743"/>
        <v>15</v>
      </c>
      <c r="F678" s="13"/>
      <c r="G678" s="90"/>
      <c r="H678" s="97">
        <f t="shared" ref="H678:L678" si="4744">H677</f>
        <v>25.6</v>
      </c>
      <c r="I678" s="98">
        <f t="shared" si="4744"/>
        <v>0</v>
      </c>
      <c r="J678" s="99">
        <f t="shared" si="4744"/>
        <v>20.9</v>
      </c>
      <c r="K678" s="99">
        <f t="shared" si="4744"/>
        <v>7.883</v>
      </c>
      <c r="L678" s="99">
        <f t="shared" si="4744"/>
        <v>0.55400000000000005</v>
      </c>
      <c r="M678" s="45"/>
      <c r="N678" s="45"/>
      <c r="O678" s="100">
        <f t="shared" ref="O678:P678" si="4745">O677</f>
        <v>100.62</v>
      </c>
      <c r="P678" s="101" t="str">
        <f t="shared" si="4745"/>
        <v>2,29,560</v>
      </c>
      <c r="Q678" s="11" t="str">
        <f t="shared" si="4465"/>
        <v>2</v>
      </c>
      <c r="R678" s="11" t="str">
        <f t="shared" si="4466"/>
        <v>29,560</v>
      </c>
      <c r="S678" s="11">
        <f t="shared" si="4467"/>
        <v>4.1544444444444446E-2</v>
      </c>
      <c r="T678" s="14">
        <f t="shared" si="4468"/>
        <v>2421.9844878309709</v>
      </c>
      <c r="U678" s="39">
        <f t="shared" si="4439"/>
        <v>-100</v>
      </c>
      <c r="V678" s="105">
        <f t="shared" ref="V678:X678" si="4746">V677</f>
        <v>20.399999999999999</v>
      </c>
      <c r="W678" s="105">
        <f t="shared" si="4746"/>
        <v>1.5069999999999999</v>
      </c>
      <c r="X678" s="106">
        <f t="shared" si="4746"/>
        <v>1.504</v>
      </c>
      <c r="Y678" s="45"/>
      <c r="Z678" s="45"/>
      <c r="AA678" s="107">
        <f t="shared" ref="AA678:AB678" si="4747">AA677</f>
        <v>10.015000000000001</v>
      </c>
      <c r="AB678" s="108" t="str">
        <f t="shared" si="4747"/>
        <v>22,10,090</v>
      </c>
      <c r="AC678" s="11" t="str">
        <f t="shared" si="4471"/>
        <v>22</v>
      </c>
      <c r="AD678" s="11" t="str">
        <f t="shared" si="4472"/>
        <v>10,090</v>
      </c>
      <c r="AE678" s="11">
        <f t="shared" si="4473"/>
        <v>0.36946944444444441</v>
      </c>
      <c r="AF678" s="14">
        <f t="shared" si="4442"/>
        <v>27.106436406558959</v>
      </c>
      <c r="AG678" s="41">
        <f t="shared" si="4443"/>
        <v>-100</v>
      </c>
      <c r="AH678" s="105">
        <f t="shared" ref="AH678:AJ678" si="4748">AH677</f>
        <v>20.3</v>
      </c>
      <c r="AI678" s="105">
        <f t="shared" si="4748"/>
        <v>1.5089999999999999</v>
      </c>
      <c r="AJ678" s="105">
        <f t="shared" si="4748"/>
        <v>1.504</v>
      </c>
      <c r="AK678" s="53">
        <f t="shared" si="4357"/>
        <v>0</v>
      </c>
      <c r="AL678" s="45"/>
      <c r="AM678" s="54">
        <f t="shared" ref="AM678:AN678" si="4749">AM677</f>
        <v>5.0129999999999999</v>
      </c>
      <c r="AN678" s="101" t="str">
        <f t="shared" si="4749"/>
        <v>17,59,050</v>
      </c>
      <c r="AO678" s="11" t="str">
        <f t="shared" si="4476"/>
        <v>17</v>
      </c>
      <c r="AP678" s="11" t="str">
        <f t="shared" si="4477"/>
        <v>59,050</v>
      </c>
      <c r="AQ678" s="11">
        <f t="shared" si="4478"/>
        <v>0.29973611111111109</v>
      </c>
      <c r="AR678" s="14">
        <f t="shared" si="4446"/>
        <v>16.724711551827998</v>
      </c>
      <c r="AS678" s="41">
        <f t="shared" si="4447"/>
        <v>-100</v>
      </c>
      <c r="AT678" s="43" t="str">
        <f t="shared" si="4448"/>
        <v>NO CONFORME</v>
      </c>
      <c r="AU678" s="8" t="b">
        <f t="shared" si="4553"/>
        <v>1</v>
      </c>
      <c r="AV678" s="8" t="b">
        <f t="shared" si="4479"/>
        <v>0</v>
      </c>
      <c r="AW678" s="8" t="b">
        <f t="shared" si="4480"/>
        <v>1</v>
      </c>
      <c r="AX678" s="8" t="str">
        <f t="shared" si="4481"/>
        <v>Qcorrecto</v>
      </c>
      <c r="AY678" s="22" t="str">
        <f t="shared" si="4449"/>
        <v>aceptable</v>
      </c>
      <c r="AZ678" s="22" t="str">
        <f t="shared" si="4450"/>
        <v>aceptable</v>
      </c>
      <c r="BA678" s="22" t="str">
        <f t="shared" si="4482"/>
        <v>aceptable</v>
      </c>
      <c r="BB678" s="25" t="str">
        <f t="shared" si="4451"/>
        <v>NO CONFORME</v>
      </c>
      <c r="BC678" s="5" t="str">
        <f t="shared" si="4452"/>
        <v>NO CONFORME</v>
      </c>
      <c r="BD678" s="15">
        <f t="shared" si="4453"/>
        <v>-1</v>
      </c>
      <c r="BE678" s="15">
        <f t="shared" si="4454"/>
        <v>-1</v>
      </c>
      <c r="BF678" s="15">
        <f t="shared" si="4455"/>
        <v>-1</v>
      </c>
      <c r="BG678" s="15" t="str">
        <f t="shared" si="4456"/>
        <v>-1-1-1</v>
      </c>
      <c r="BH678" s="15" t="str">
        <f t="shared" si="4457"/>
        <v>SD</v>
      </c>
      <c r="BI678" s="15" t="str">
        <f t="shared" si="4458"/>
        <v>SI</v>
      </c>
      <c r="BJ678" s="15" t="b">
        <f t="shared" si="4459"/>
        <v>1</v>
      </c>
      <c r="BK678" s="15" t="str">
        <f t="shared" si="4460"/>
        <v>SIGIGUALES</v>
      </c>
      <c r="BL678" s="22" t="str">
        <f t="shared" si="4461"/>
        <v>NO CONFORME</v>
      </c>
    </row>
    <row r="679" spans="1:64" ht="15.75" thickBot="1" x14ac:dyDescent="0.3">
      <c r="A679" s="37">
        <v>671</v>
      </c>
      <c r="B679" s="93">
        <f t="shared" ref="B679:E679" si="4750">B678</f>
        <v>45919</v>
      </c>
      <c r="C679" s="93">
        <f t="shared" si="4750"/>
        <v>45919</v>
      </c>
      <c r="D679" s="94">
        <f t="shared" si="4750"/>
        <v>6</v>
      </c>
      <c r="E679" s="95">
        <f t="shared" si="4750"/>
        <v>15</v>
      </c>
      <c r="F679" s="13"/>
      <c r="G679" s="90"/>
      <c r="H679" s="97">
        <f t="shared" ref="H679:L679" si="4751">H678</f>
        <v>25.6</v>
      </c>
      <c r="I679" s="98">
        <f t="shared" si="4751"/>
        <v>0</v>
      </c>
      <c r="J679" s="99">
        <f t="shared" si="4751"/>
        <v>20.9</v>
      </c>
      <c r="K679" s="99">
        <f t="shared" si="4751"/>
        <v>7.883</v>
      </c>
      <c r="L679" s="99">
        <f t="shared" si="4751"/>
        <v>0.55400000000000005</v>
      </c>
      <c r="M679" s="45"/>
      <c r="N679" s="45"/>
      <c r="O679" s="100">
        <f t="shared" ref="O679:P679" si="4752">O678</f>
        <v>100.62</v>
      </c>
      <c r="P679" s="101" t="str">
        <f t="shared" si="4752"/>
        <v>2,29,560</v>
      </c>
      <c r="Q679" s="11" t="str">
        <f t="shared" si="4465"/>
        <v>2</v>
      </c>
      <c r="R679" s="11" t="str">
        <f t="shared" si="4466"/>
        <v>29,560</v>
      </c>
      <c r="S679" s="11">
        <f t="shared" si="4467"/>
        <v>4.1544444444444446E-2</v>
      </c>
      <c r="T679" s="14">
        <f t="shared" si="4468"/>
        <v>2421.9844878309709</v>
      </c>
      <c r="U679" s="39">
        <f t="shared" si="4439"/>
        <v>-100</v>
      </c>
      <c r="V679" s="105">
        <f t="shared" ref="V679:X679" si="4753">V678</f>
        <v>20.399999999999999</v>
      </c>
      <c r="W679" s="105">
        <f t="shared" si="4753"/>
        <v>1.5069999999999999</v>
      </c>
      <c r="X679" s="106">
        <f t="shared" si="4753"/>
        <v>1.504</v>
      </c>
      <c r="Y679" s="45"/>
      <c r="Z679" s="45"/>
      <c r="AA679" s="107">
        <f t="shared" ref="AA679:AB679" si="4754">AA678</f>
        <v>10.015000000000001</v>
      </c>
      <c r="AB679" s="108" t="str">
        <f t="shared" si="4754"/>
        <v>22,10,090</v>
      </c>
      <c r="AC679" s="11" t="str">
        <f t="shared" si="4471"/>
        <v>22</v>
      </c>
      <c r="AD679" s="11" t="str">
        <f t="shared" si="4472"/>
        <v>10,090</v>
      </c>
      <c r="AE679" s="11">
        <f t="shared" si="4473"/>
        <v>0.36946944444444441</v>
      </c>
      <c r="AF679" s="14">
        <f t="shared" si="4442"/>
        <v>27.106436406558959</v>
      </c>
      <c r="AG679" s="41">
        <f t="shared" si="4443"/>
        <v>-100</v>
      </c>
      <c r="AH679" s="105">
        <f t="shared" ref="AH679:AJ679" si="4755">AH678</f>
        <v>20.3</v>
      </c>
      <c r="AI679" s="105">
        <f t="shared" si="4755"/>
        <v>1.5089999999999999</v>
      </c>
      <c r="AJ679" s="105">
        <f t="shared" si="4755"/>
        <v>1.504</v>
      </c>
      <c r="AK679" s="53">
        <f t="shared" si="4357"/>
        <v>0</v>
      </c>
      <c r="AL679" s="45"/>
      <c r="AM679" s="54">
        <f t="shared" ref="AM679:AN679" si="4756">AM678</f>
        <v>5.0129999999999999</v>
      </c>
      <c r="AN679" s="101" t="str">
        <f t="shared" si="4756"/>
        <v>17,59,050</v>
      </c>
      <c r="AO679" s="11" t="str">
        <f t="shared" si="4476"/>
        <v>17</v>
      </c>
      <c r="AP679" s="11" t="str">
        <f t="shared" si="4477"/>
        <v>59,050</v>
      </c>
      <c r="AQ679" s="11">
        <f t="shared" si="4478"/>
        <v>0.29973611111111109</v>
      </c>
      <c r="AR679" s="14">
        <f t="shared" si="4446"/>
        <v>16.724711551827998</v>
      </c>
      <c r="AS679" s="41">
        <f t="shared" si="4447"/>
        <v>-100</v>
      </c>
      <c r="AT679" s="43" t="str">
        <f t="shared" si="4448"/>
        <v>NO CONFORME</v>
      </c>
      <c r="AU679" s="8" t="b">
        <f t="shared" si="4553"/>
        <v>1</v>
      </c>
      <c r="AV679" s="8" t="b">
        <f t="shared" si="4479"/>
        <v>0</v>
      </c>
      <c r="AW679" s="8" t="b">
        <f t="shared" si="4480"/>
        <v>1</v>
      </c>
      <c r="AX679" s="8" t="str">
        <f t="shared" si="4481"/>
        <v>Qcorrecto</v>
      </c>
      <c r="AY679" s="22" t="str">
        <f t="shared" si="4449"/>
        <v>aceptable</v>
      </c>
      <c r="AZ679" s="22" t="str">
        <f t="shared" si="4450"/>
        <v>aceptable</v>
      </c>
      <c r="BA679" s="22" t="str">
        <f t="shared" si="4482"/>
        <v>aceptable</v>
      </c>
      <c r="BB679" s="25" t="str">
        <f t="shared" si="4451"/>
        <v>NO CONFORME</v>
      </c>
      <c r="BC679" s="5" t="str">
        <f t="shared" si="4452"/>
        <v>NO CONFORME</v>
      </c>
      <c r="BD679" s="15">
        <f t="shared" si="4453"/>
        <v>-1</v>
      </c>
      <c r="BE679" s="15">
        <f t="shared" si="4454"/>
        <v>-1</v>
      </c>
      <c r="BF679" s="15">
        <f t="shared" si="4455"/>
        <v>-1</v>
      </c>
      <c r="BG679" s="15" t="str">
        <f t="shared" si="4456"/>
        <v>-1-1-1</v>
      </c>
      <c r="BH679" s="15" t="str">
        <f t="shared" si="4457"/>
        <v>SD</v>
      </c>
      <c r="BI679" s="15" t="str">
        <f t="shared" si="4458"/>
        <v>SI</v>
      </c>
      <c r="BJ679" s="15" t="b">
        <f t="shared" si="4459"/>
        <v>1</v>
      </c>
      <c r="BK679" s="15" t="str">
        <f t="shared" si="4460"/>
        <v>SIGIGUALES</v>
      </c>
      <c r="BL679" s="22" t="str">
        <f t="shared" si="4461"/>
        <v>NO CONFORME</v>
      </c>
    </row>
    <row r="680" spans="1:64" ht="15.75" thickBot="1" x14ac:dyDescent="0.3">
      <c r="A680" s="37">
        <v>672</v>
      </c>
      <c r="B680" s="93">
        <f t="shared" ref="B680:E680" si="4757">B679</f>
        <v>45919</v>
      </c>
      <c r="C680" s="93">
        <f t="shared" si="4757"/>
        <v>45919</v>
      </c>
      <c r="D680" s="94">
        <f t="shared" si="4757"/>
        <v>6</v>
      </c>
      <c r="E680" s="95">
        <f t="shared" si="4757"/>
        <v>15</v>
      </c>
      <c r="F680" s="13"/>
      <c r="G680" s="90"/>
      <c r="H680" s="97">
        <f t="shared" ref="H680:L680" si="4758">H679</f>
        <v>25.6</v>
      </c>
      <c r="I680" s="98">
        <f t="shared" si="4758"/>
        <v>0</v>
      </c>
      <c r="J680" s="99">
        <f t="shared" si="4758"/>
        <v>20.9</v>
      </c>
      <c r="K680" s="99">
        <f t="shared" si="4758"/>
        <v>7.883</v>
      </c>
      <c r="L680" s="99">
        <f t="shared" si="4758"/>
        <v>0.55400000000000005</v>
      </c>
      <c r="M680" s="45"/>
      <c r="N680" s="45"/>
      <c r="O680" s="100">
        <f t="shared" ref="O680:P680" si="4759">O679</f>
        <v>100.62</v>
      </c>
      <c r="P680" s="101" t="str">
        <f t="shared" si="4759"/>
        <v>2,29,560</v>
      </c>
      <c r="Q680" s="11" t="str">
        <f t="shared" si="4465"/>
        <v>2</v>
      </c>
      <c r="R680" s="11" t="str">
        <f t="shared" si="4466"/>
        <v>29,560</v>
      </c>
      <c r="S680" s="11">
        <f t="shared" si="4467"/>
        <v>4.1544444444444446E-2</v>
      </c>
      <c r="T680" s="14">
        <f t="shared" si="4468"/>
        <v>2421.9844878309709</v>
      </c>
      <c r="U680" s="39">
        <f t="shared" si="4439"/>
        <v>-100</v>
      </c>
      <c r="V680" s="105">
        <f t="shared" ref="V680:X680" si="4760">V679</f>
        <v>20.399999999999999</v>
      </c>
      <c r="W680" s="105">
        <f t="shared" si="4760"/>
        <v>1.5069999999999999</v>
      </c>
      <c r="X680" s="106">
        <f t="shared" si="4760"/>
        <v>1.504</v>
      </c>
      <c r="Y680" s="45"/>
      <c r="Z680" s="45"/>
      <c r="AA680" s="107">
        <f t="shared" ref="AA680:AB680" si="4761">AA679</f>
        <v>10.015000000000001</v>
      </c>
      <c r="AB680" s="108" t="str">
        <f t="shared" si="4761"/>
        <v>22,10,090</v>
      </c>
      <c r="AC680" s="11" t="str">
        <f t="shared" si="4471"/>
        <v>22</v>
      </c>
      <c r="AD680" s="11" t="str">
        <f t="shared" si="4472"/>
        <v>10,090</v>
      </c>
      <c r="AE680" s="11">
        <f t="shared" si="4473"/>
        <v>0.36946944444444441</v>
      </c>
      <c r="AF680" s="14">
        <f t="shared" si="4442"/>
        <v>27.106436406558959</v>
      </c>
      <c r="AG680" s="41">
        <f t="shared" si="4443"/>
        <v>-100</v>
      </c>
      <c r="AH680" s="105">
        <f t="shared" ref="AH680:AJ680" si="4762">AH679</f>
        <v>20.3</v>
      </c>
      <c r="AI680" s="105">
        <f t="shared" si="4762"/>
        <v>1.5089999999999999</v>
      </c>
      <c r="AJ680" s="105">
        <f t="shared" si="4762"/>
        <v>1.504</v>
      </c>
      <c r="AK680" s="53">
        <f t="shared" si="4357"/>
        <v>0</v>
      </c>
      <c r="AL680" s="45"/>
      <c r="AM680" s="54">
        <f t="shared" ref="AM680:AN680" si="4763">AM679</f>
        <v>5.0129999999999999</v>
      </c>
      <c r="AN680" s="101" t="str">
        <f t="shared" si="4763"/>
        <v>17,59,050</v>
      </c>
      <c r="AO680" s="11" t="str">
        <f t="shared" si="4476"/>
        <v>17</v>
      </c>
      <c r="AP680" s="11" t="str">
        <f t="shared" si="4477"/>
        <v>59,050</v>
      </c>
      <c r="AQ680" s="11">
        <f t="shared" si="4478"/>
        <v>0.29973611111111109</v>
      </c>
      <c r="AR680" s="14">
        <f t="shared" si="4446"/>
        <v>16.724711551827998</v>
      </c>
      <c r="AS680" s="41">
        <f t="shared" si="4447"/>
        <v>-100</v>
      </c>
      <c r="AT680" s="43" t="str">
        <f t="shared" si="4448"/>
        <v>NO CONFORME</v>
      </c>
      <c r="AU680" s="8" t="b">
        <f t="shared" si="4553"/>
        <v>1</v>
      </c>
      <c r="AV680" s="8" t="b">
        <f t="shared" si="4479"/>
        <v>0</v>
      </c>
      <c r="AW680" s="8" t="b">
        <f t="shared" si="4480"/>
        <v>1</v>
      </c>
      <c r="AX680" s="8" t="str">
        <f t="shared" si="4481"/>
        <v>Qcorrecto</v>
      </c>
      <c r="AY680" s="22" t="str">
        <f t="shared" si="4449"/>
        <v>aceptable</v>
      </c>
      <c r="AZ680" s="22" t="str">
        <f t="shared" si="4450"/>
        <v>aceptable</v>
      </c>
      <c r="BA680" s="22" t="str">
        <f t="shared" si="4482"/>
        <v>aceptable</v>
      </c>
      <c r="BB680" s="25" t="str">
        <f t="shared" si="4451"/>
        <v>NO CONFORME</v>
      </c>
      <c r="BC680" s="5" t="str">
        <f t="shared" si="4452"/>
        <v>NO CONFORME</v>
      </c>
      <c r="BD680" s="15">
        <f t="shared" si="4453"/>
        <v>-1</v>
      </c>
      <c r="BE680" s="15">
        <f t="shared" si="4454"/>
        <v>-1</v>
      </c>
      <c r="BF680" s="15">
        <f t="shared" si="4455"/>
        <v>-1</v>
      </c>
      <c r="BG680" s="15" t="str">
        <f t="shared" si="4456"/>
        <v>-1-1-1</v>
      </c>
      <c r="BH680" s="15" t="str">
        <f t="shared" si="4457"/>
        <v>SD</v>
      </c>
      <c r="BI680" s="15" t="str">
        <f t="shared" si="4458"/>
        <v>SI</v>
      </c>
      <c r="BJ680" s="15" t="b">
        <f t="shared" si="4459"/>
        <v>1</v>
      </c>
      <c r="BK680" s="15" t="str">
        <f t="shared" si="4460"/>
        <v>SIGIGUALES</v>
      </c>
      <c r="BL680" s="22" t="str">
        <f t="shared" si="4461"/>
        <v>NO CONFORME</v>
      </c>
    </row>
    <row r="681" spans="1:64" ht="15.75" thickBot="1" x14ac:dyDescent="0.3">
      <c r="A681" s="37">
        <v>673</v>
      </c>
      <c r="B681" s="93">
        <f t="shared" ref="B681:E681" si="4764">B680</f>
        <v>45919</v>
      </c>
      <c r="C681" s="93">
        <f t="shared" si="4764"/>
        <v>45919</v>
      </c>
      <c r="D681" s="94">
        <f t="shared" si="4764"/>
        <v>6</v>
      </c>
      <c r="E681" s="95">
        <f t="shared" si="4764"/>
        <v>15</v>
      </c>
      <c r="F681" s="13"/>
      <c r="G681" s="90"/>
      <c r="H681" s="97">
        <f t="shared" ref="H681:L681" si="4765">H680</f>
        <v>25.6</v>
      </c>
      <c r="I681" s="98">
        <f t="shared" si="4765"/>
        <v>0</v>
      </c>
      <c r="J681" s="99">
        <f t="shared" si="4765"/>
        <v>20.9</v>
      </c>
      <c r="K681" s="99">
        <f t="shared" si="4765"/>
        <v>7.883</v>
      </c>
      <c r="L681" s="99">
        <f t="shared" si="4765"/>
        <v>0.55400000000000005</v>
      </c>
      <c r="M681" s="45"/>
      <c r="N681" s="45"/>
      <c r="O681" s="100">
        <f t="shared" ref="O681:P681" si="4766">O680</f>
        <v>100.62</v>
      </c>
      <c r="P681" s="101" t="str">
        <f t="shared" si="4766"/>
        <v>2,29,560</v>
      </c>
      <c r="Q681" s="11" t="str">
        <f t="shared" si="4465"/>
        <v>2</v>
      </c>
      <c r="R681" s="11" t="str">
        <f t="shared" si="4466"/>
        <v>29,560</v>
      </c>
      <c r="S681" s="11">
        <f t="shared" si="4467"/>
        <v>4.1544444444444446E-2</v>
      </c>
      <c r="T681" s="14">
        <f t="shared" si="4468"/>
        <v>2421.9844878309709</v>
      </c>
      <c r="U681" s="39">
        <f t="shared" si="4439"/>
        <v>-100</v>
      </c>
      <c r="V681" s="105">
        <f t="shared" ref="V681:X681" si="4767">V680</f>
        <v>20.399999999999999</v>
      </c>
      <c r="W681" s="105">
        <f t="shared" si="4767"/>
        <v>1.5069999999999999</v>
      </c>
      <c r="X681" s="106">
        <f t="shared" si="4767"/>
        <v>1.504</v>
      </c>
      <c r="Y681" s="45"/>
      <c r="Z681" s="45"/>
      <c r="AA681" s="107">
        <f t="shared" ref="AA681:AB681" si="4768">AA680</f>
        <v>10.015000000000001</v>
      </c>
      <c r="AB681" s="108" t="str">
        <f t="shared" si="4768"/>
        <v>22,10,090</v>
      </c>
      <c r="AC681" s="11" t="str">
        <f t="shared" si="4471"/>
        <v>22</v>
      </c>
      <c r="AD681" s="11" t="str">
        <f t="shared" si="4472"/>
        <v>10,090</v>
      </c>
      <c r="AE681" s="11">
        <f t="shared" si="4473"/>
        <v>0.36946944444444441</v>
      </c>
      <c r="AF681" s="14">
        <f t="shared" si="4442"/>
        <v>27.106436406558959</v>
      </c>
      <c r="AG681" s="41">
        <f t="shared" si="4443"/>
        <v>-100</v>
      </c>
      <c r="AH681" s="105">
        <f t="shared" ref="AH681:AJ681" si="4769">AH680</f>
        <v>20.3</v>
      </c>
      <c r="AI681" s="105">
        <f t="shared" si="4769"/>
        <v>1.5089999999999999</v>
      </c>
      <c r="AJ681" s="105">
        <f t="shared" si="4769"/>
        <v>1.504</v>
      </c>
      <c r="AK681" s="53">
        <f t="shared" si="4357"/>
        <v>0</v>
      </c>
      <c r="AL681" s="45"/>
      <c r="AM681" s="54">
        <f t="shared" ref="AM681:AN681" si="4770">AM680</f>
        <v>5.0129999999999999</v>
      </c>
      <c r="AN681" s="101" t="str">
        <f t="shared" si="4770"/>
        <v>17,59,050</v>
      </c>
      <c r="AO681" s="11" t="str">
        <f t="shared" si="4476"/>
        <v>17</v>
      </c>
      <c r="AP681" s="11" t="str">
        <f t="shared" si="4477"/>
        <v>59,050</v>
      </c>
      <c r="AQ681" s="11">
        <f t="shared" si="4478"/>
        <v>0.29973611111111109</v>
      </c>
      <c r="AR681" s="14">
        <f t="shared" si="4446"/>
        <v>16.724711551827998</v>
      </c>
      <c r="AS681" s="41">
        <f t="shared" si="4447"/>
        <v>-100</v>
      </c>
      <c r="AT681" s="43" t="str">
        <f t="shared" si="4448"/>
        <v>NO CONFORME</v>
      </c>
      <c r="AU681" s="8" t="b">
        <f t="shared" si="4553"/>
        <v>1</v>
      </c>
      <c r="AV681" s="8" t="b">
        <f t="shared" si="4479"/>
        <v>0</v>
      </c>
      <c r="AW681" s="8" t="b">
        <f t="shared" si="4480"/>
        <v>1</v>
      </c>
      <c r="AX681" s="8" t="str">
        <f t="shared" si="4481"/>
        <v>Qcorrecto</v>
      </c>
      <c r="AY681" s="22" t="str">
        <f t="shared" si="4449"/>
        <v>aceptable</v>
      </c>
      <c r="AZ681" s="22" t="str">
        <f t="shared" si="4450"/>
        <v>aceptable</v>
      </c>
      <c r="BA681" s="22" t="str">
        <f t="shared" si="4482"/>
        <v>aceptable</v>
      </c>
      <c r="BB681" s="25" t="str">
        <f t="shared" si="4451"/>
        <v>NO CONFORME</v>
      </c>
      <c r="BC681" s="5" t="str">
        <f t="shared" si="4452"/>
        <v>NO CONFORME</v>
      </c>
      <c r="BD681" s="15">
        <f t="shared" si="4453"/>
        <v>-1</v>
      </c>
      <c r="BE681" s="15">
        <f t="shared" si="4454"/>
        <v>-1</v>
      </c>
      <c r="BF681" s="15">
        <f t="shared" si="4455"/>
        <v>-1</v>
      </c>
      <c r="BG681" s="15" t="str">
        <f t="shared" si="4456"/>
        <v>-1-1-1</v>
      </c>
      <c r="BH681" s="15" t="str">
        <f t="shared" si="4457"/>
        <v>SD</v>
      </c>
      <c r="BI681" s="15" t="str">
        <f t="shared" si="4458"/>
        <v>SI</v>
      </c>
      <c r="BJ681" s="15" t="b">
        <f t="shared" si="4459"/>
        <v>1</v>
      </c>
      <c r="BK681" s="15" t="str">
        <f t="shared" si="4460"/>
        <v>SIGIGUALES</v>
      </c>
      <c r="BL681" s="22" t="str">
        <f t="shared" si="4461"/>
        <v>NO CONFORME</v>
      </c>
    </row>
    <row r="682" spans="1:64" ht="15.75" thickBot="1" x14ac:dyDescent="0.3">
      <c r="A682" s="37">
        <v>674</v>
      </c>
      <c r="B682" s="93">
        <f t="shared" ref="B682:E682" si="4771">B681</f>
        <v>45919</v>
      </c>
      <c r="C682" s="93">
        <f t="shared" si="4771"/>
        <v>45919</v>
      </c>
      <c r="D682" s="94">
        <f t="shared" si="4771"/>
        <v>6</v>
      </c>
      <c r="E682" s="95">
        <f t="shared" si="4771"/>
        <v>15</v>
      </c>
      <c r="F682" s="13"/>
      <c r="G682" s="90"/>
      <c r="H682" s="97">
        <f t="shared" ref="H682:L682" si="4772">H681</f>
        <v>25.6</v>
      </c>
      <c r="I682" s="98">
        <f t="shared" si="4772"/>
        <v>0</v>
      </c>
      <c r="J682" s="99">
        <f t="shared" si="4772"/>
        <v>20.9</v>
      </c>
      <c r="K682" s="99">
        <f t="shared" si="4772"/>
        <v>7.883</v>
      </c>
      <c r="L682" s="99">
        <f t="shared" si="4772"/>
        <v>0.55400000000000005</v>
      </c>
      <c r="M682" s="45"/>
      <c r="N682" s="45"/>
      <c r="O682" s="100">
        <f t="shared" ref="O682:P682" si="4773">O681</f>
        <v>100.62</v>
      </c>
      <c r="P682" s="101" t="str">
        <f t="shared" si="4773"/>
        <v>2,29,560</v>
      </c>
      <c r="Q682" s="11" t="str">
        <f t="shared" si="4465"/>
        <v>2</v>
      </c>
      <c r="R682" s="11" t="str">
        <f t="shared" si="4466"/>
        <v>29,560</v>
      </c>
      <c r="S682" s="11">
        <f t="shared" si="4467"/>
        <v>4.1544444444444446E-2</v>
      </c>
      <c r="T682" s="14">
        <f t="shared" si="4468"/>
        <v>2421.9844878309709</v>
      </c>
      <c r="U682" s="39">
        <f t="shared" si="4439"/>
        <v>-100</v>
      </c>
      <c r="V682" s="105">
        <f t="shared" ref="V682:X682" si="4774">V681</f>
        <v>20.399999999999999</v>
      </c>
      <c r="W682" s="105">
        <f t="shared" si="4774"/>
        <v>1.5069999999999999</v>
      </c>
      <c r="X682" s="106">
        <f t="shared" si="4774"/>
        <v>1.504</v>
      </c>
      <c r="Y682" s="45"/>
      <c r="Z682" s="45"/>
      <c r="AA682" s="107">
        <f t="shared" ref="AA682:AB682" si="4775">AA681</f>
        <v>10.015000000000001</v>
      </c>
      <c r="AB682" s="108" t="str">
        <f t="shared" si="4775"/>
        <v>22,10,090</v>
      </c>
      <c r="AC682" s="11" t="str">
        <f t="shared" si="4471"/>
        <v>22</v>
      </c>
      <c r="AD682" s="11" t="str">
        <f t="shared" si="4472"/>
        <v>10,090</v>
      </c>
      <c r="AE682" s="11">
        <f t="shared" si="4473"/>
        <v>0.36946944444444441</v>
      </c>
      <c r="AF682" s="14">
        <f t="shared" si="4442"/>
        <v>27.106436406558959</v>
      </c>
      <c r="AG682" s="41">
        <f t="shared" si="4443"/>
        <v>-100</v>
      </c>
      <c r="AH682" s="105">
        <f t="shared" ref="AH682:AJ682" si="4776">AH681</f>
        <v>20.3</v>
      </c>
      <c r="AI682" s="105">
        <f t="shared" si="4776"/>
        <v>1.5089999999999999</v>
      </c>
      <c r="AJ682" s="105">
        <f t="shared" si="4776"/>
        <v>1.504</v>
      </c>
      <c r="AK682" s="53">
        <f t="shared" si="4357"/>
        <v>0</v>
      </c>
      <c r="AL682" s="45"/>
      <c r="AM682" s="54">
        <f t="shared" ref="AM682:AN682" si="4777">AM681</f>
        <v>5.0129999999999999</v>
      </c>
      <c r="AN682" s="101" t="str">
        <f t="shared" si="4777"/>
        <v>17,59,050</v>
      </c>
      <c r="AO682" s="11" t="str">
        <f t="shared" si="4476"/>
        <v>17</v>
      </c>
      <c r="AP682" s="11" t="str">
        <f t="shared" si="4477"/>
        <v>59,050</v>
      </c>
      <c r="AQ682" s="11">
        <f t="shared" si="4478"/>
        <v>0.29973611111111109</v>
      </c>
      <c r="AR682" s="14">
        <f t="shared" si="4446"/>
        <v>16.724711551827998</v>
      </c>
      <c r="AS682" s="41">
        <f t="shared" si="4447"/>
        <v>-100</v>
      </c>
      <c r="AT682" s="43" t="str">
        <f t="shared" si="4448"/>
        <v>NO CONFORME</v>
      </c>
      <c r="AU682" s="8" t="b">
        <f t="shared" si="4553"/>
        <v>1</v>
      </c>
      <c r="AV682" s="8" t="b">
        <f t="shared" si="4479"/>
        <v>0</v>
      </c>
      <c r="AW682" s="8" t="b">
        <f t="shared" si="4480"/>
        <v>1</v>
      </c>
      <c r="AX682" s="8" t="str">
        <f t="shared" si="4481"/>
        <v>Qcorrecto</v>
      </c>
      <c r="AY682" s="22" t="str">
        <f t="shared" si="4449"/>
        <v>aceptable</v>
      </c>
      <c r="AZ682" s="22" t="str">
        <f t="shared" si="4450"/>
        <v>aceptable</v>
      </c>
      <c r="BA682" s="22" t="str">
        <f t="shared" si="4482"/>
        <v>aceptable</v>
      </c>
      <c r="BB682" s="25" t="str">
        <f t="shared" si="4451"/>
        <v>NO CONFORME</v>
      </c>
      <c r="BC682" s="5" t="str">
        <f t="shared" si="4452"/>
        <v>NO CONFORME</v>
      </c>
      <c r="BD682" s="15">
        <f t="shared" si="4453"/>
        <v>-1</v>
      </c>
      <c r="BE682" s="15">
        <f t="shared" si="4454"/>
        <v>-1</v>
      </c>
      <c r="BF682" s="15">
        <f t="shared" si="4455"/>
        <v>-1</v>
      </c>
      <c r="BG682" s="15" t="str">
        <f t="shared" si="4456"/>
        <v>-1-1-1</v>
      </c>
      <c r="BH682" s="15" t="str">
        <f t="shared" si="4457"/>
        <v>SD</v>
      </c>
      <c r="BI682" s="15" t="str">
        <f t="shared" si="4458"/>
        <v>SI</v>
      </c>
      <c r="BJ682" s="15" t="b">
        <f t="shared" si="4459"/>
        <v>1</v>
      </c>
      <c r="BK682" s="15" t="str">
        <f t="shared" si="4460"/>
        <v>SIGIGUALES</v>
      </c>
      <c r="BL682" s="22" t="str">
        <f t="shared" si="4461"/>
        <v>NO CONFORME</v>
      </c>
    </row>
    <row r="683" spans="1:64" ht="15.75" thickBot="1" x14ac:dyDescent="0.3">
      <c r="A683" s="37">
        <v>675</v>
      </c>
      <c r="B683" s="93">
        <f t="shared" ref="B683:E683" si="4778">B682</f>
        <v>45919</v>
      </c>
      <c r="C683" s="93">
        <f t="shared" si="4778"/>
        <v>45919</v>
      </c>
      <c r="D683" s="94">
        <f t="shared" si="4778"/>
        <v>6</v>
      </c>
      <c r="E683" s="95">
        <f t="shared" si="4778"/>
        <v>15</v>
      </c>
      <c r="F683" s="52"/>
      <c r="G683" s="96"/>
      <c r="H683" s="97">
        <f t="shared" ref="H683:L683" si="4779">H682</f>
        <v>25.6</v>
      </c>
      <c r="I683" s="98">
        <f t="shared" si="4779"/>
        <v>0</v>
      </c>
      <c r="J683" s="99">
        <f t="shared" si="4779"/>
        <v>20.9</v>
      </c>
      <c r="K683" s="99">
        <f t="shared" si="4779"/>
        <v>7.883</v>
      </c>
      <c r="L683" s="99">
        <f t="shared" si="4779"/>
        <v>0.55400000000000005</v>
      </c>
      <c r="M683" s="53"/>
      <c r="N683" s="53"/>
      <c r="O683" s="100">
        <f t="shared" ref="O683:P683" si="4780">O682</f>
        <v>100.62</v>
      </c>
      <c r="P683" s="101" t="str">
        <f t="shared" si="4780"/>
        <v>2,29,560</v>
      </c>
      <c r="Q683" s="11" t="str">
        <f t="shared" si="4465"/>
        <v>2</v>
      </c>
      <c r="R683" s="11" t="str">
        <f t="shared" si="4466"/>
        <v>29,560</v>
      </c>
      <c r="S683" s="11">
        <f t="shared" si="4467"/>
        <v>4.1544444444444446E-2</v>
      </c>
      <c r="T683" s="14">
        <f t="shared" si="4468"/>
        <v>2421.9844878309709</v>
      </c>
      <c r="U683" s="39">
        <f t="shared" si="4439"/>
        <v>-100</v>
      </c>
      <c r="V683" s="105">
        <f t="shared" ref="V683:X683" si="4781">V682</f>
        <v>20.399999999999999</v>
      </c>
      <c r="W683" s="105">
        <f t="shared" si="4781"/>
        <v>1.5069999999999999</v>
      </c>
      <c r="X683" s="106">
        <f t="shared" si="4781"/>
        <v>1.504</v>
      </c>
      <c r="Y683" s="53"/>
      <c r="Z683" s="53"/>
      <c r="AA683" s="107">
        <f t="shared" ref="AA683:AB683" si="4782">AA682</f>
        <v>10.015000000000001</v>
      </c>
      <c r="AB683" s="108" t="str">
        <f t="shared" si="4782"/>
        <v>22,10,090</v>
      </c>
      <c r="AC683" s="11" t="str">
        <f t="shared" si="4471"/>
        <v>22</v>
      </c>
      <c r="AD683" s="11" t="str">
        <f t="shared" si="4472"/>
        <v>10,090</v>
      </c>
      <c r="AE683" s="11">
        <f t="shared" si="4473"/>
        <v>0.36946944444444441</v>
      </c>
      <c r="AF683" s="14">
        <f t="shared" si="4442"/>
        <v>27.106436406558959</v>
      </c>
      <c r="AG683" s="41">
        <f t="shared" si="4443"/>
        <v>-100</v>
      </c>
      <c r="AH683" s="105">
        <f t="shared" ref="AH683:AJ683" si="4783">AH682</f>
        <v>20.3</v>
      </c>
      <c r="AI683" s="105">
        <f t="shared" si="4783"/>
        <v>1.5089999999999999</v>
      </c>
      <c r="AJ683" s="105">
        <f t="shared" si="4783"/>
        <v>1.504</v>
      </c>
      <c r="AK683" s="53">
        <f t="shared" si="4357"/>
        <v>0</v>
      </c>
      <c r="AL683" s="53"/>
      <c r="AM683" s="54">
        <f t="shared" ref="AM683:AN683" si="4784">AM682</f>
        <v>5.0129999999999999</v>
      </c>
      <c r="AN683" s="101" t="str">
        <f t="shared" si="4784"/>
        <v>17,59,050</v>
      </c>
      <c r="AO683" s="11" t="str">
        <f t="shared" si="4476"/>
        <v>17</v>
      </c>
      <c r="AP683" s="11" t="str">
        <f t="shared" si="4477"/>
        <v>59,050</v>
      </c>
      <c r="AQ683" s="11">
        <f t="shared" si="4478"/>
        <v>0.29973611111111109</v>
      </c>
      <c r="AR683" s="14">
        <f t="shared" si="4446"/>
        <v>16.724711551827998</v>
      </c>
      <c r="AS683" s="41">
        <f t="shared" si="4447"/>
        <v>-100</v>
      </c>
      <c r="AT683" s="43" t="str">
        <f t="shared" si="4448"/>
        <v>NO CONFORME</v>
      </c>
      <c r="AU683" s="8" t="b">
        <f t="shared" si="4553"/>
        <v>1</v>
      </c>
      <c r="AV683" s="8" t="b">
        <f t="shared" si="4479"/>
        <v>0</v>
      </c>
      <c r="AW683" s="8" t="b">
        <f t="shared" si="4480"/>
        <v>1</v>
      </c>
      <c r="AX683" s="8" t="str">
        <f t="shared" si="4481"/>
        <v>Qcorrecto</v>
      </c>
      <c r="AY683" s="22" t="str">
        <f t="shared" si="4449"/>
        <v>aceptable</v>
      </c>
      <c r="AZ683" s="22" t="str">
        <f t="shared" si="4450"/>
        <v>aceptable</v>
      </c>
      <c r="BA683" s="22" t="str">
        <f t="shared" si="4482"/>
        <v>aceptable</v>
      </c>
      <c r="BB683" s="25" t="str">
        <f t="shared" si="4451"/>
        <v>NO CONFORME</v>
      </c>
      <c r="BC683" s="5" t="str">
        <f t="shared" si="4452"/>
        <v>NO CONFORME</v>
      </c>
      <c r="BD683" s="15">
        <f t="shared" si="4453"/>
        <v>-1</v>
      </c>
      <c r="BE683" s="15">
        <f t="shared" si="4454"/>
        <v>-1</v>
      </c>
      <c r="BF683" s="15">
        <f t="shared" si="4455"/>
        <v>-1</v>
      </c>
      <c r="BG683" s="15" t="str">
        <f t="shared" si="4456"/>
        <v>-1-1-1</v>
      </c>
      <c r="BH683" s="15" t="str">
        <f t="shared" si="4457"/>
        <v>SD</v>
      </c>
      <c r="BI683" s="15" t="str">
        <f t="shared" si="4458"/>
        <v>SI</v>
      </c>
      <c r="BJ683" s="15" t="b">
        <f t="shared" si="4459"/>
        <v>1</v>
      </c>
      <c r="BK683" s="15" t="str">
        <f t="shared" si="4460"/>
        <v>SIGIGUALES</v>
      </c>
      <c r="BL683" s="22" t="str">
        <f t="shared" si="4461"/>
        <v>NO CONFORME</v>
      </c>
    </row>
    <row r="684" spans="1:64" ht="15.75" thickBot="1" x14ac:dyDescent="0.3">
      <c r="A684" s="37">
        <v>676</v>
      </c>
      <c r="B684" s="93">
        <f t="shared" ref="B684:E684" si="4785">B683</f>
        <v>45919</v>
      </c>
      <c r="C684" s="93">
        <f t="shared" si="4785"/>
        <v>45919</v>
      </c>
      <c r="D684" s="94">
        <f t="shared" si="4785"/>
        <v>6</v>
      </c>
      <c r="E684" s="95">
        <f t="shared" si="4785"/>
        <v>15</v>
      </c>
      <c r="F684" s="58"/>
      <c r="G684" s="111"/>
      <c r="H684" s="97">
        <f t="shared" ref="H684:L684" si="4786">H683</f>
        <v>25.6</v>
      </c>
      <c r="I684" s="98">
        <f t="shared" si="4786"/>
        <v>0</v>
      </c>
      <c r="J684" s="99">
        <f t="shared" si="4786"/>
        <v>20.9</v>
      </c>
      <c r="K684" s="99">
        <f t="shared" si="4786"/>
        <v>7.883</v>
      </c>
      <c r="L684" s="99">
        <f t="shared" si="4786"/>
        <v>0.55400000000000005</v>
      </c>
      <c r="M684" s="59"/>
      <c r="N684" s="59"/>
      <c r="O684" s="100">
        <f t="shared" ref="O684:P684" si="4787">O683</f>
        <v>100.62</v>
      </c>
      <c r="P684" s="101" t="str">
        <f t="shared" si="4787"/>
        <v>2,29,560</v>
      </c>
      <c r="Q684" s="11" t="str">
        <f t="shared" si="4465"/>
        <v>2</v>
      </c>
      <c r="R684" s="11" t="str">
        <f t="shared" si="4466"/>
        <v>29,560</v>
      </c>
      <c r="S684" s="11">
        <f t="shared" si="4467"/>
        <v>4.1544444444444446E-2</v>
      </c>
      <c r="T684" s="14">
        <f t="shared" si="4468"/>
        <v>2421.9844878309709</v>
      </c>
      <c r="U684" s="39">
        <f t="shared" si="4439"/>
        <v>-100</v>
      </c>
      <c r="V684" s="105">
        <f t="shared" ref="V684:X684" si="4788">V683</f>
        <v>20.399999999999999</v>
      </c>
      <c r="W684" s="105">
        <f t="shared" si="4788"/>
        <v>1.5069999999999999</v>
      </c>
      <c r="X684" s="106">
        <f t="shared" si="4788"/>
        <v>1.504</v>
      </c>
      <c r="Y684" s="59"/>
      <c r="Z684" s="59"/>
      <c r="AA684" s="107">
        <f t="shared" ref="AA684:AB684" si="4789">AA683</f>
        <v>10.015000000000001</v>
      </c>
      <c r="AB684" s="108" t="str">
        <f t="shared" si="4789"/>
        <v>22,10,090</v>
      </c>
      <c r="AC684" s="11" t="str">
        <f t="shared" si="4471"/>
        <v>22</v>
      </c>
      <c r="AD684" s="11" t="str">
        <f t="shared" si="4472"/>
        <v>10,090</v>
      </c>
      <c r="AE684" s="11">
        <f t="shared" si="4473"/>
        <v>0.36946944444444441</v>
      </c>
      <c r="AF684" s="14">
        <f t="shared" si="4442"/>
        <v>27.106436406558959</v>
      </c>
      <c r="AG684" s="41">
        <f t="shared" si="4443"/>
        <v>-100</v>
      </c>
      <c r="AH684" s="105">
        <f t="shared" ref="AH684:AJ684" si="4790">AH683</f>
        <v>20.3</v>
      </c>
      <c r="AI684" s="105">
        <f t="shared" si="4790"/>
        <v>1.5089999999999999</v>
      </c>
      <c r="AJ684" s="105">
        <f t="shared" si="4790"/>
        <v>1.504</v>
      </c>
      <c r="AK684" s="53">
        <f t="shared" si="4357"/>
        <v>0</v>
      </c>
      <c r="AL684" s="59"/>
      <c r="AM684" s="54">
        <f t="shared" ref="AM684:AN684" si="4791">AM683</f>
        <v>5.0129999999999999</v>
      </c>
      <c r="AN684" s="101" t="str">
        <f t="shared" si="4791"/>
        <v>17,59,050</v>
      </c>
      <c r="AO684" s="11" t="str">
        <f t="shared" si="4476"/>
        <v>17</v>
      </c>
      <c r="AP684" s="11" t="str">
        <f t="shared" si="4477"/>
        <v>59,050</v>
      </c>
      <c r="AQ684" s="11">
        <f t="shared" si="4478"/>
        <v>0.29973611111111109</v>
      </c>
      <c r="AR684" s="14">
        <f t="shared" si="4446"/>
        <v>16.724711551827998</v>
      </c>
      <c r="AS684" s="41">
        <f t="shared" si="4447"/>
        <v>-100</v>
      </c>
      <c r="AT684" s="43" t="str">
        <f t="shared" si="4448"/>
        <v>NO CONFORME</v>
      </c>
      <c r="AU684" s="8" t="b">
        <f t="shared" si="4553"/>
        <v>1</v>
      </c>
      <c r="AV684" s="8" t="b">
        <f t="shared" si="4479"/>
        <v>0</v>
      </c>
      <c r="AW684" s="8" t="b">
        <f t="shared" si="4480"/>
        <v>1</v>
      </c>
      <c r="AX684" s="8" t="str">
        <f t="shared" si="4481"/>
        <v>Qcorrecto</v>
      </c>
      <c r="AY684" s="22" t="str">
        <f t="shared" si="4449"/>
        <v>aceptable</v>
      </c>
      <c r="AZ684" s="22" t="str">
        <f t="shared" si="4450"/>
        <v>aceptable</v>
      </c>
      <c r="BA684" s="22" t="str">
        <f t="shared" si="4482"/>
        <v>aceptable</v>
      </c>
      <c r="BB684" s="25" t="str">
        <f t="shared" si="4451"/>
        <v>NO CONFORME</v>
      </c>
      <c r="BC684" s="5" t="str">
        <f t="shared" si="4452"/>
        <v>NO CONFORME</v>
      </c>
      <c r="BD684" s="15">
        <f t="shared" si="4453"/>
        <v>-1</v>
      </c>
      <c r="BE684" s="15">
        <f t="shared" si="4454"/>
        <v>-1</v>
      </c>
      <c r="BF684" s="15">
        <f t="shared" si="4455"/>
        <v>-1</v>
      </c>
      <c r="BG684" s="15" t="str">
        <f t="shared" si="4456"/>
        <v>-1-1-1</v>
      </c>
      <c r="BH684" s="15" t="str">
        <f t="shared" si="4457"/>
        <v>SD</v>
      </c>
      <c r="BI684" s="15" t="str">
        <f t="shared" si="4458"/>
        <v>SI</v>
      </c>
      <c r="BJ684" s="15" t="b">
        <f t="shared" si="4459"/>
        <v>1</v>
      </c>
      <c r="BK684" s="15" t="str">
        <f t="shared" si="4460"/>
        <v>SIGIGUALES</v>
      </c>
      <c r="BL684" s="22" t="str">
        <f t="shared" si="4461"/>
        <v>NO CONFORME</v>
      </c>
    </row>
    <row r="685" spans="1:64" ht="15.75" thickBot="1" x14ac:dyDescent="0.3">
      <c r="A685" s="37">
        <v>677</v>
      </c>
      <c r="B685" s="93">
        <f t="shared" ref="B685:E685" si="4792">B684</f>
        <v>45919</v>
      </c>
      <c r="C685" s="93">
        <f t="shared" si="4792"/>
        <v>45919</v>
      </c>
      <c r="D685" s="94">
        <f t="shared" si="4792"/>
        <v>6</v>
      </c>
      <c r="E685" s="95">
        <f t="shared" si="4792"/>
        <v>15</v>
      </c>
      <c r="F685" s="13"/>
      <c r="G685" s="90"/>
      <c r="H685" s="97">
        <f t="shared" ref="H685:L685" si="4793">H684</f>
        <v>25.6</v>
      </c>
      <c r="I685" s="98">
        <f t="shared" si="4793"/>
        <v>0</v>
      </c>
      <c r="J685" s="99">
        <f t="shared" si="4793"/>
        <v>20.9</v>
      </c>
      <c r="K685" s="99">
        <f t="shared" si="4793"/>
        <v>7.883</v>
      </c>
      <c r="L685" s="99">
        <f t="shared" si="4793"/>
        <v>0.55400000000000005</v>
      </c>
      <c r="M685" s="45"/>
      <c r="N685" s="45"/>
      <c r="O685" s="100">
        <f t="shared" ref="O685:P685" si="4794">O684</f>
        <v>100.62</v>
      </c>
      <c r="P685" s="101" t="str">
        <f t="shared" si="4794"/>
        <v>2,29,560</v>
      </c>
      <c r="Q685" s="11" t="str">
        <f t="shared" si="4465"/>
        <v>2</v>
      </c>
      <c r="R685" s="11" t="str">
        <f t="shared" si="4466"/>
        <v>29,560</v>
      </c>
      <c r="S685" s="11">
        <f t="shared" si="4467"/>
        <v>4.1544444444444446E-2</v>
      </c>
      <c r="T685" s="14">
        <f t="shared" si="4468"/>
        <v>2421.9844878309709</v>
      </c>
      <c r="U685" s="39">
        <f t="shared" si="4439"/>
        <v>-100</v>
      </c>
      <c r="V685" s="105">
        <f t="shared" ref="V685:X685" si="4795">V684</f>
        <v>20.399999999999999</v>
      </c>
      <c r="W685" s="105">
        <f t="shared" si="4795"/>
        <v>1.5069999999999999</v>
      </c>
      <c r="X685" s="106">
        <f t="shared" si="4795"/>
        <v>1.504</v>
      </c>
      <c r="Y685" s="45"/>
      <c r="Z685" s="45"/>
      <c r="AA685" s="107">
        <f t="shared" ref="AA685:AB685" si="4796">AA684</f>
        <v>10.015000000000001</v>
      </c>
      <c r="AB685" s="108" t="str">
        <f t="shared" si="4796"/>
        <v>22,10,090</v>
      </c>
      <c r="AC685" s="11" t="str">
        <f t="shared" si="4471"/>
        <v>22</v>
      </c>
      <c r="AD685" s="11" t="str">
        <f t="shared" si="4472"/>
        <v>10,090</v>
      </c>
      <c r="AE685" s="11">
        <f t="shared" si="4473"/>
        <v>0.36946944444444441</v>
      </c>
      <c r="AF685" s="14">
        <f t="shared" si="4442"/>
        <v>27.106436406558959</v>
      </c>
      <c r="AG685" s="41">
        <f t="shared" si="4443"/>
        <v>-100</v>
      </c>
      <c r="AH685" s="105">
        <f t="shared" ref="AH685:AJ685" si="4797">AH684</f>
        <v>20.3</v>
      </c>
      <c r="AI685" s="105">
        <f t="shared" si="4797"/>
        <v>1.5089999999999999</v>
      </c>
      <c r="AJ685" s="105">
        <f t="shared" si="4797"/>
        <v>1.504</v>
      </c>
      <c r="AK685" s="53">
        <f t="shared" si="4357"/>
        <v>0</v>
      </c>
      <c r="AL685" s="45"/>
      <c r="AM685" s="54">
        <f t="shared" ref="AM685:AN685" si="4798">AM684</f>
        <v>5.0129999999999999</v>
      </c>
      <c r="AN685" s="101" t="str">
        <f t="shared" si="4798"/>
        <v>17,59,050</v>
      </c>
      <c r="AO685" s="11" t="str">
        <f t="shared" si="4476"/>
        <v>17</v>
      </c>
      <c r="AP685" s="11" t="str">
        <f t="shared" si="4477"/>
        <v>59,050</v>
      </c>
      <c r="AQ685" s="11">
        <f t="shared" si="4478"/>
        <v>0.29973611111111109</v>
      </c>
      <c r="AR685" s="14">
        <f t="shared" si="4446"/>
        <v>16.724711551827998</v>
      </c>
      <c r="AS685" s="41">
        <f t="shared" si="4447"/>
        <v>-100</v>
      </c>
      <c r="AT685" s="43" t="str">
        <f t="shared" si="4448"/>
        <v>NO CONFORME</v>
      </c>
      <c r="AU685" s="8" t="b">
        <f t="shared" si="4553"/>
        <v>1</v>
      </c>
      <c r="AV685" s="8" t="b">
        <f t="shared" si="4479"/>
        <v>0</v>
      </c>
      <c r="AW685" s="8" t="b">
        <f t="shared" si="4480"/>
        <v>1</v>
      </c>
      <c r="AX685" s="8" t="str">
        <f t="shared" si="4481"/>
        <v>Qcorrecto</v>
      </c>
      <c r="AY685" s="22" t="str">
        <f t="shared" si="4449"/>
        <v>aceptable</v>
      </c>
      <c r="AZ685" s="22" t="str">
        <f t="shared" si="4450"/>
        <v>aceptable</v>
      </c>
      <c r="BA685" s="22" t="str">
        <f t="shared" si="4482"/>
        <v>aceptable</v>
      </c>
      <c r="BB685" s="25" t="str">
        <f t="shared" si="4451"/>
        <v>NO CONFORME</v>
      </c>
      <c r="BC685" s="5" t="str">
        <f t="shared" si="4452"/>
        <v>NO CONFORME</v>
      </c>
      <c r="BD685" s="15">
        <f t="shared" si="4453"/>
        <v>-1</v>
      </c>
      <c r="BE685" s="15">
        <f t="shared" si="4454"/>
        <v>-1</v>
      </c>
      <c r="BF685" s="15">
        <f t="shared" si="4455"/>
        <v>-1</v>
      </c>
      <c r="BG685" s="15" t="str">
        <f t="shared" si="4456"/>
        <v>-1-1-1</v>
      </c>
      <c r="BH685" s="15" t="str">
        <f t="shared" si="4457"/>
        <v>SD</v>
      </c>
      <c r="BI685" s="15" t="str">
        <f t="shared" si="4458"/>
        <v>SI</v>
      </c>
      <c r="BJ685" s="15" t="b">
        <f t="shared" si="4459"/>
        <v>1</v>
      </c>
      <c r="BK685" s="15" t="str">
        <f t="shared" si="4460"/>
        <v>SIGIGUALES</v>
      </c>
      <c r="BL685" s="22" t="str">
        <f t="shared" si="4461"/>
        <v>NO CONFORME</v>
      </c>
    </row>
    <row r="686" spans="1:64" ht="15.75" thickBot="1" x14ac:dyDescent="0.3">
      <c r="A686" s="37">
        <v>678</v>
      </c>
      <c r="B686" s="93">
        <f t="shared" ref="B686:E686" si="4799">B685</f>
        <v>45919</v>
      </c>
      <c r="C686" s="93">
        <f t="shared" si="4799"/>
        <v>45919</v>
      </c>
      <c r="D686" s="94">
        <f t="shared" si="4799"/>
        <v>6</v>
      </c>
      <c r="E686" s="95">
        <f t="shared" si="4799"/>
        <v>15</v>
      </c>
      <c r="F686" s="13"/>
      <c r="G686" s="90"/>
      <c r="H686" s="97">
        <f t="shared" ref="H686:L686" si="4800">H685</f>
        <v>25.6</v>
      </c>
      <c r="I686" s="98">
        <f t="shared" si="4800"/>
        <v>0</v>
      </c>
      <c r="J686" s="99">
        <f t="shared" si="4800"/>
        <v>20.9</v>
      </c>
      <c r="K686" s="99">
        <f t="shared" si="4800"/>
        <v>7.883</v>
      </c>
      <c r="L686" s="99">
        <f t="shared" si="4800"/>
        <v>0.55400000000000005</v>
      </c>
      <c r="M686" s="45"/>
      <c r="N686" s="45"/>
      <c r="O686" s="100">
        <f t="shared" ref="O686:P686" si="4801">O685</f>
        <v>100.62</v>
      </c>
      <c r="P686" s="101" t="str">
        <f t="shared" si="4801"/>
        <v>2,29,560</v>
      </c>
      <c r="Q686" s="11" t="str">
        <f t="shared" si="4465"/>
        <v>2</v>
      </c>
      <c r="R686" s="11" t="str">
        <f t="shared" si="4466"/>
        <v>29,560</v>
      </c>
      <c r="S686" s="11">
        <f t="shared" si="4467"/>
        <v>4.1544444444444446E-2</v>
      </c>
      <c r="T686" s="14">
        <f t="shared" si="4468"/>
        <v>2421.9844878309709</v>
      </c>
      <c r="U686" s="39">
        <f t="shared" si="4439"/>
        <v>-100</v>
      </c>
      <c r="V686" s="105">
        <f t="shared" ref="V686:X686" si="4802">V685</f>
        <v>20.399999999999999</v>
      </c>
      <c r="W686" s="105">
        <f t="shared" si="4802"/>
        <v>1.5069999999999999</v>
      </c>
      <c r="X686" s="106">
        <f t="shared" si="4802"/>
        <v>1.504</v>
      </c>
      <c r="Y686" s="45"/>
      <c r="Z686" s="45"/>
      <c r="AA686" s="107">
        <f t="shared" ref="AA686:AB686" si="4803">AA685</f>
        <v>10.015000000000001</v>
      </c>
      <c r="AB686" s="108" t="str">
        <f t="shared" si="4803"/>
        <v>22,10,090</v>
      </c>
      <c r="AC686" s="11" t="str">
        <f t="shared" si="4471"/>
        <v>22</v>
      </c>
      <c r="AD686" s="11" t="str">
        <f t="shared" si="4472"/>
        <v>10,090</v>
      </c>
      <c r="AE686" s="11">
        <f t="shared" si="4473"/>
        <v>0.36946944444444441</v>
      </c>
      <c r="AF686" s="14">
        <f t="shared" si="4442"/>
        <v>27.106436406558959</v>
      </c>
      <c r="AG686" s="41">
        <f t="shared" si="4443"/>
        <v>-100</v>
      </c>
      <c r="AH686" s="105">
        <f t="shared" ref="AH686:AJ686" si="4804">AH685</f>
        <v>20.3</v>
      </c>
      <c r="AI686" s="105">
        <f t="shared" si="4804"/>
        <v>1.5089999999999999</v>
      </c>
      <c r="AJ686" s="105">
        <f t="shared" si="4804"/>
        <v>1.504</v>
      </c>
      <c r="AK686" s="53">
        <f t="shared" si="4357"/>
        <v>0</v>
      </c>
      <c r="AL686" s="45"/>
      <c r="AM686" s="54">
        <f t="shared" ref="AM686:AN686" si="4805">AM685</f>
        <v>5.0129999999999999</v>
      </c>
      <c r="AN686" s="101" t="str">
        <f t="shared" si="4805"/>
        <v>17,59,050</v>
      </c>
      <c r="AO686" s="11" t="str">
        <f t="shared" si="4476"/>
        <v>17</v>
      </c>
      <c r="AP686" s="11" t="str">
        <f t="shared" si="4477"/>
        <v>59,050</v>
      </c>
      <c r="AQ686" s="11">
        <f t="shared" si="4478"/>
        <v>0.29973611111111109</v>
      </c>
      <c r="AR686" s="14">
        <f t="shared" si="4446"/>
        <v>16.724711551827998</v>
      </c>
      <c r="AS686" s="41">
        <f t="shared" si="4447"/>
        <v>-100</v>
      </c>
      <c r="AT686" s="43" t="str">
        <f t="shared" si="4448"/>
        <v>NO CONFORME</v>
      </c>
      <c r="AU686" s="8" t="b">
        <f t="shared" si="4553"/>
        <v>1</v>
      </c>
      <c r="AV686" s="8" t="b">
        <f t="shared" si="4479"/>
        <v>0</v>
      </c>
      <c r="AW686" s="8" t="b">
        <f t="shared" si="4480"/>
        <v>1</v>
      </c>
      <c r="AX686" s="8" t="str">
        <f t="shared" si="4481"/>
        <v>Qcorrecto</v>
      </c>
      <c r="AY686" s="22" t="str">
        <f t="shared" si="4449"/>
        <v>aceptable</v>
      </c>
      <c r="AZ686" s="22" t="str">
        <f t="shared" si="4450"/>
        <v>aceptable</v>
      </c>
      <c r="BA686" s="22" t="str">
        <f t="shared" si="4482"/>
        <v>aceptable</v>
      </c>
      <c r="BB686" s="25" t="str">
        <f t="shared" si="4451"/>
        <v>NO CONFORME</v>
      </c>
      <c r="BC686" s="5" t="str">
        <f t="shared" si="4452"/>
        <v>NO CONFORME</v>
      </c>
      <c r="BD686" s="15">
        <f t="shared" si="4453"/>
        <v>-1</v>
      </c>
      <c r="BE686" s="15">
        <f t="shared" si="4454"/>
        <v>-1</v>
      </c>
      <c r="BF686" s="15">
        <f t="shared" si="4455"/>
        <v>-1</v>
      </c>
      <c r="BG686" s="15" t="str">
        <f t="shared" si="4456"/>
        <v>-1-1-1</v>
      </c>
      <c r="BH686" s="15" t="str">
        <f t="shared" si="4457"/>
        <v>SD</v>
      </c>
      <c r="BI686" s="15" t="str">
        <f t="shared" si="4458"/>
        <v>SI</v>
      </c>
      <c r="BJ686" s="15" t="b">
        <f t="shared" si="4459"/>
        <v>1</v>
      </c>
      <c r="BK686" s="15" t="str">
        <f t="shared" si="4460"/>
        <v>SIGIGUALES</v>
      </c>
      <c r="BL686" s="22" t="str">
        <f t="shared" si="4461"/>
        <v>NO CONFORME</v>
      </c>
    </row>
    <row r="687" spans="1:64" ht="15.75" thickBot="1" x14ac:dyDescent="0.3">
      <c r="A687" s="37">
        <v>679</v>
      </c>
      <c r="B687" s="93">
        <f t="shared" ref="B687:E687" si="4806">B686</f>
        <v>45919</v>
      </c>
      <c r="C687" s="93">
        <f t="shared" si="4806"/>
        <v>45919</v>
      </c>
      <c r="D687" s="94">
        <f t="shared" si="4806"/>
        <v>6</v>
      </c>
      <c r="E687" s="95">
        <f t="shared" si="4806"/>
        <v>15</v>
      </c>
      <c r="F687" s="13"/>
      <c r="G687" s="90"/>
      <c r="H687" s="97">
        <f t="shared" ref="H687:L687" si="4807">H686</f>
        <v>25.6</v>
      </c>
      <c r="I687" s="98">
        <f t="shared" si="4807"/>
        <v>0</v>
      </c>
      <c r="J687" s="99">
        <f t="shared" si="4807"/>
        <v>20.9</v>
      </c>
      <c r="K687" s="99">
        <f t="shared" si="4807"/>
        <v>7.883</v>
      </c>
      <c r="L687" s="99">
        <f t="shared" si="4807"/>
        <v>0.55400000000000005</v>
      </c>
      <c r="M687" s="45"/>
      <c r="N687" s="45"/>
      <c r="O687" s="100">
        <f t="shared" ref="O687:P687" si="4808">O686</f>
        <v>100.62</v>
      </c>
      <c r="P687" s="101" t="str">
        <f t="shared" si="4808"/>
        <v>2,29,560</v>
      </c>
      <c r="Q687" s="11" t="str">
        <f t="shared" si="4465"/>
        <v>2</v>
      </c>
      <c r="R687" s="11" t="str">
        <f t="shared" si="4466"/>
        <v>29,560</v>
      </c>
      <c r="S687" s="11">
        <f t="shared" si="4467"/>
        <v>4.1544444444444446E-2</v>
      </c>
      <c r="T687" s="14">
        <f t="shared" si="4468"/>
        <v>2421.9844878309709</v>
      </c>
      <c r="U687" s="39">
        <f t="shared" si="4439"/>
        <v>-100</v>
      </c>
      <c r="V687" s="105">
        <f t="shared" ref="V687:X687" si="4809">V686</f>
        <v>20.399999999999999</v>
      </c>
      <c r="W687" s="105">
        <f t="shared" si="4809"/>
        <v>1.5069999999999999</v>
      </c>
      <c r="X687" s="106">
        <f t="shared" si="4809"/>
        <v>1.504</v>
      </c>
      <c r="Y687" s="45"/>
      <c r="Z687" s="45"/>
      <c r="AA687" s="107">
        <f t="shared" ref="AA687:AB687" si="4810">AA686</f>
        <v>10.015000000000001</v>
      </c>
      <c r="AB687" s="108" t="str">
        <f t="shared" si="4810"/>
        <v>22,10,090</v>
      </c>
      <c r="AC687" s="11" t="str">
        <f t="shared" si="4471"/>
        <v>22</v>
      </c>
      <c r="AD687" s="11" t="str">
        <f t="shared" si="4472"/>
        <v>10,090</v>
      </c>
      <c r="AE687" s="11">
        <f t="shared" si="4473"/>
        <v>0.36946944444444441</v>
      </c>
      <c r="AF687" s="14">
        <f t="shared" si="4442"/>
        <v>27.106436406558959</v>
      </c>
      <c r="AG687" s="41">
        <f t="shared" si="4443"/>
        <v>-100</v>
      </c>
      <c r="AH687" s="105">
        <f t="shared" ref="AH687:AJ687" si="4811">AH686</f>
        <v>20.3</v>
      </c>
      <c r="AI687" s="105">
        <f t="shared" si="4811"/>
        <v>1.5089999999999999</v>
      </c>
      <c r="AJ687" s="105">
        <f t="shared" si="4811"/>
        <v>1.504</v>
      </c>
      <c r="AK687" s="53">
        <f t="shared" si="4357"/>
        <v>0</v>
      </c>
      <c r="AL687" s="45"/>
      <c r="AM687" s="54">
        <f t="shared" ref="AM687:AN687" si="4812">AM686</f>
        <v>5.0129999999999999</v>
      </c>
      <c r="AN687" s="101" t="str">
        <f t="shared" si="4812"/>
        <v>17,59,050</v>
      </c>
      <c r="AO687" s="11" t="str">
        <f t="shared" si="4476"/>
        <v>17</v>
      </c>
      <c r="AP687" s="11" t="str">
        <f t="shared" si="4477"/>
        <v>59,050</v>
      </c>
      <c r="AQ687" s="11">
        <f t="shared" si="4478"/>
        <v>0.29973611111111109</v>
      </c>
      <c r="AR687" s="14">
        <f t="shared" si="4446"/>
        <v>16.724711551827998</v>
      </c>
      <c r="AS687" s="41">
        <f t="shared" si="4447"/>
        <v>-100</v>
      </c>
      <c r="AT687" s="43" t="str">
        <f t="shared" si="4448"/>
        <v>NO CONFORME</v>
      </c>
      <c r="AU687" s="8" t="b">
        <f t="shared" si="4553"/>
        <v>1</v>
      </c>
      <c r="AV687" s="8" t="b">
        <f t="shared" si="4479"/>
        <v>0</v>
      </c>
      <c r="AW687" s="8" t="b">
        <f t="shared" si="4480"/>
        <v>1</v>
      </c>
      <c r="AX687" s="8" t="str">
        <f t="shared" si="4481"/>
        <v>Qcorrecto</v>
      </c>
      <c r="AY687" s="22" t="str">
        <f t="shared" si="4449"/>
        <v>aceptable</v>
      </c>
      <c r="AZ687" s="22" t="str">
        <f t="shared" si="4450"/>
        <v>aceptable</v>
      </c>
      <c r="BA687" s="22" t="str">
        <f t="shared" si="4482"/>
        <v>aceptable</v>
      </c>
      <c r="BB687" s="25" t="str">
        <f t="shared" si="4451"/>
        <v>NO CONFORME</v>
      </c>
      <c r="BC687" s="5" t="str">
        <f t="shared" si="4452"/>
        <v>NO CONFORME</v>
      </c>
      <c r="BD687" s="15">
        <f t="shared" si="4453"/>
        <v>-1</v>
      </c>
      <c r="BE687" s="15">
        <f t="shared" si="4454"/>
        <v>-1</v>
      </c>
      <c r="BF687" s="15">
        <f t="shared" si="4455"/>
        <v>-1</v>
      </c>
      <c r="BG687" s="15" t="str">
        <f t="shared" si="4456"/>
        <v>-1-1-1</v>
      </c>
      <c r="BH687" s="15" t="str">
        <f t="shared" si="4457"/>
        <v>SD</v>
      </c>
      <c r="BI687" s="15" t="str">
        <f t="shared" si="4458"/>
        <v>SI</v>
      </c>
      <c r="BJ687" s="15" t="b">
        <f t="shared" si="4459"/>
        <v>1</v>
      </c>
      <c r="BK687" s="15" t="str">
        <f t="shared" si="4460"/>
        <v>SIGIGUALES</v>
      </c>
      <c r="BL687" s="22" t="str">
        <f t="shared" si="4461"/>
        <v>NO CONFORME</v>
      </c>
    </row>
    <row r="688" spans="1:64" ht="15.75" thickBot="1" x14ac:dyDescent="0.3">
      <c r="A688" s="37">
        <v>680</v>
      </c>
      <c r="B688" s="93">
        <f t="shared" ref="B688:E688" si="4813">B687</f>
        <v>45919</v>
      </c>
      <c r="C688" s="93">
        <f t="shared" si="4813"/>
        <v>45919</v>
      </c>
      <c r="D688" s="94">
        <f t="shared" si="4813"/>
        <v>6</v>
      </c>
      <c r="E688" s="95">
        <f t="shared" si="4813"/>
        <v>15</v>
      </c>
      <c r="F688" s="13"/>
      <c r="G688" s="90"/>
      <c r="H688" s="97">
        <f t="shared" ref="H688:L688" si="4814">H687</f>
        <v>25.6</v>
      </c>
      <c r="I688" s="98">
        <f t="shared" si="4814"/>
        <v>0</v>
      </c>
      <c r="J688" s="99">
        <f t="shared" si="4814"/>
        <v>20.9</v>
      </c>
      <c r="K688" s="99">
        <f t="shared" si="4814"/>
        <v>7.883</v>
      </c>
      <c r="L688" s="99">
        <f t="shared" si="4814"/>
        <v>0.55400000000000005</v>
      </c>
      <c r="M688" s="45"/>
      <c r="N688" s="45"/>
      <c r="O688" s="100">
        <f t="shared" ref="O688:P688" si="4815">O687</f>
        <v>100.62</v>
      </c>
      <c r="P688" s="101" t="str">
        <f t="shared" si="4815"/>
        <v>2,29,560</v>
      </c>
      <c r="Q688" s="11" t="str">
        <f t="shared" si="4465"/>
        <v>2</v>
      </c>
      <c r="R688" s="11" t="str">
        <f t="shared" si="4466"/>
        <v>29,560</v>
      </c>
      <c r="S688" s="11">
        <f t="shared" si="4467"/>
        <v>4.1544444444444446E-2</v>
      </c>
      <c r="T688" s="14">
        <f t="shared" si="4468"/>
        <v>2421.9844878309709</v>
      </c>
      <c r="U688" s="39">
        <f t="shared" si="4439"/>
        <v>-100</v>
      </c>
      <c r="V688" s="105">
        <f t="shared" ref="V688:X688" si="4816">V687</f>
        <v>20.399999999999999</v>
      </c>
      <c r="W688" s="105">
        <f t="shared" si="4816"/>
        <v>1.5069999999999999</v>
      </c>
      <c r="X688" s="106">
        <f t="shared" si="4816"/>
        <v>1.504</v>
      </c>
      <c r="Y688" s="45"/>
      <c r="Z688" s="45"/>
      <c r="AA688" s="107">
        <f t="shared" ref="AA688:AB688" si="4817">AA687</f>
        <v>10.015000000000001</v>
      </c>
      <c r="AB688" s="108" t="str">
        <f t="shared" si="4817"/>
        <v>22,10,090</v>
      </c>
      <c r="AC688" s="11" t="str">
        <f t="shared" si="4471"/>
        <v>22</v>
      </c>
      <c r="AD688" s="11" t="str">
        <f t="shared" si="4472"/>
        <v>10,090</v>
      </c>
      <c r="AE688" s="11">
        <f t="shared" si="4473"/>
        <v>0.36946944444444441</v>
      </c>
      <c r="AF688" s="14">
        <f t="shared" si="4442"/>
        <v>27.106436406558959</v>
      </c>
      <c r="AG688" s="41">
        <f t="shared" si="4443"/>
        <v>-100</v>
      </c>
      <c r="AH688" s="105">
        <f t="shared" ref="AH688:AJ688" si="4818">AH687</f>
        <v>20.3</v>
      </c>
      <c r="AI688" s="105">
        <f t="shared" si="4818"/>
        <v>1.5089999999999999</v>
      </c>
      <c r="AJ688" s="105">
        <f t="shared" si="4818"/>
        <v>1.504</v>
      </c>
      <c r="AK688" s="53">
        <f t="shared" si="4357"/>
        <v>0</v>
      </c>
      <c r="AL688" s="45"/>
      <c r="AM688" s="54">
        <f t="shared" ref="AM688:AN688" si="4819">AM687</f>
        <v>5.0129999999999999</v>
      </c>
      <c r="AN688" s="101" t="str">
        <f t="shared" si="4819"/>
        <v>17,59,050</v>
      </c>
      <c r="AO688" s="11" t="str">
        <f t="shared" si="4476"/>
        <v>17</v>
      </c>
      <c r="AP688" s="11" t="str">
        <f t="shared" si="4477"/>
        <v>59,050</v>
      </c>
      <c r="AQ688" s="11">
        <f t="shared" si="4478"/>
        <v>0.29973611111111109</v>
      </c>
      <c r="AR688" s="14">
        <f t="shared" si="4446"/>
        <v>16.724711551827998</v>
      </c>
      <c r="AS688" s="41">
        <f t="shared" si="4447"/>
        <v>-100</v>
      </c>
      <c r="AT688" s="43" t="str">
        <f t="shared" si="4448"/>
        <v>NO CONFORME</v>
      </c>
      <c r="AU688" s="8" t="b">
        <f t="shared" si="4553"/>
        <v>1</v>
      </c>
      <c r="AV688" s="8" t="b">
        <f t="shared" si="4479"/>
        <v>0</v>
      </c>
      <c r="AW688" s="8" t="b">
        <f t="shared" si="4480"/>
        <v>1</v>
      </c>
      <c r="AX688" s="8" t="str">
        <f t="shared" si="4481"/>
        <v>Qcorrecto</v>
      </c>
      <c r="AY688" s="22" t="str">
        <f t="shared" si="4449"/>
        <v>aceptable</v>
      </c>
      <c r="AZ688" s="22" t="str">
        <f t="shared" si="4450"/>
        <v>aceptable</v>
      </c>
      <c r="BA688" s="22" t="str">
        <f t="shared" si="4482"/>
        <v>aceptable</v>
      </c>
      <c r="BB688" s="25" t="str">
        <f t="shared" si="4451"/>
        <v>NO CONFORME</v>
      </c>
      <c r="BC688" s="5" t="str">
        <f t="shared" si="4452"/>
        <v>NO CONFORME</v>
      </c>
      <c r="BD688" s="15">
        <f t="shared" si="4453"/>
        <v>-1</v>
      </c>
      <c r="BE688" s="15">
        <f t="shared" si="4454"/>
        <v>-1</v>
      </c>
      <c r="BF688" s="15">
        <f t="shared" si="4455"/>
        <v>-1</v>
      </c>
      <c r="BG688" s="15" t="str">
        <f t="shared" si="4456"/>
        <v>-1-1-1</v>
      </c>
      <c r="BH688" s="15" t="str">
        <f t="shared" si="4457"/>
        <v>SD</v>
      </c>
      <c r="BI688" s="15" t="str">
        <f t="shared" si="4458"/>
        <v>SI</v>
      </c>
      <c r="BJ688" s="15" t="b">
        <f t="shared" si="4459"/>
        <v>1</v>
      </c>
      <c r="BK688" s="15" t="str">
        <f t="shared" si="4460"/>
        <v>SIGIGUALES</v>
      </c>
      <c r="BL688" s="22" t="str">
        <f t="shared" si="4461"/>
        <v>NO CONFORME</v>
      </c>
    </row>
    <row r="689" spans="1:64" ht="15.75" thickBot="1" x14ac:dyDescent="0.3">
      <c r="A689" s="37">
        <v>681</v>
      </c>
      <c r="B689" s="93">
        <f t="shared" ref="B689:E689" si="4820">B688</f>
        <v>45919</v>
      </c>
      <c r="C689" s="93">
        <f t="shared" si="4820"/>
        <v>45919</v>
      </c>
      <c r="D689" s="94">
        <f t="shared" si="4820"/>
        <v>6</v>
      </c>
      <c r="E689" s="95">
        <f t="shared" si="4820"/>
        <v>15</v>
      </c>
      <c r="F689" s="13"/>
      <c r="G689" s="90"/>
      <c r="H689" s="97">
        <f t="shared" ref="H689:L689" si="4821">H688</f>
        <v>25.6</v>
      </c>
      <c r="I689" s="98">
        <f t="shared" si="4821"/>
        <v>0</v>
      </c>
      <c r="J689" s="99">
        <f t="shared" si="4821"/>
        <v>20.9</v>
      </c>
      <c r="K689" s="99">
        <f t="shared" si="4821"/>
        <v>7.883</v>
      </c>
      <c r="L689" s="99">
        <f t="shared" si="4821"/>
        <v>0.55400000000000005</v>
      </c>
      <c r="M689" s="45"/>
      <c r="N689" s="45"/>
      <c r="O689" s="100">
        <f t="shared" ref="O689:P689" si="4822">O688</f>
        <v>100.62</v>
      </c>
      <c r="P689" s="101" t="str">
        <f t="shared" si="4822"/>
        <v>2,29,560</v>
      </c>
      <c r="Q689" s="11" t="str">
        <f t="shared" si="4465"/>
        <v>2</v>
      </c>
      <c r="R689" s="11" t="str">
        <f t="shared" si="4466"/>
        <v>29,560</v>
      </c>
      <c r="S689" s="11">
        <f t="shared" si="4467"/>
        <v>4.1544444444444446E-2</v>
      </c>
      <c r="T689" s="14">
        <f t="shared" si="4468"/>
        <v>2421.9844878309709</v>
      </c>
      <c r="U689" s="39">
        <f t="shared" si="4439"/>
        <v>-100</v>
      </c>
      <c r="V689" s="105">
        <f t="shared" ref="V689:X689" si="4823">V688</f>
        <v>20.399999999999999</v>
      </c>
      <c r="W689" s="105">
        <f t="shared" si="4823"/>
        <v>1.5069999999999999</v>
      </c>
      <c r="X689" s="106">
        <f t="shared" si="4823"/>
        <v>1.504</v>
      </c>
      <c r="Y689" s="45"/>
      <c r="Z689" s="45"/>
      <c r="AA689" s="107">
        <f t="shared" ref="AA689:AB689" si="4824">AA688</f>
        <v>10.015000000000001</v>
      </c>
      <c r="AB689" s="108" t="str">
        <f t="shared" si="4824"/>
        <v>22,10,090</v>
      </c>
      <c r="AC689" s="11" t="str">
        <f t="shared" si="4471"/>
        <v>22</v>
      </c>
      <c r="AD689" s="11" t="str">
        <f t="shared" si="4472"/>
        <v>10,090</v>
      </c>
      <c r="AE689" s="11">
        <f t="shared" si="4473"/>
        <v>0.36946944444444441</v>
      </c>
      <c r="AF689" s="14">
        <f t="shared" si="4442"/>
        <v>27.106436406558959</v>
      </c>
      <c r="AG689" s="41">
        <f t="shared" si="4443"/>
        <v>-100</v>
      </c>
      <c r="AH689" s="105">
        <f t="shared" ref="AH689:AJ689" si="4825">AH688</f>
        <v>20.3</v>
      </c>
      <c r="AI689" s="105">
        <f t="shared" si="4825"/>
        <v>1.5089999999999999</v>
      </c>
      <c r="AJ689" s="105">
        <f t="shared" si="4825"/>
        <v>1.504</v>
      </c>
      <c r="AK689" s="53">
        <f t="shared" si="4357"/>
        <v>0</v>
      </c>
      <c r="AL689" s="45"/>
      <c r="AM689" s="54">
        <f t="shared" ref="AM689:AN689" si="4826">AM688</f>
        <v>5.0129999999999999</v>
      </c>
      <c r="AN689" s="101" t="str">
        <f t="shared" si="4826"/>
        <v>17,59,050</v>
      </c>
      <c r="AO689" s="11" t="str">
        <f t="shared" si="4476"/>
        <v>17</v>
      </c>
      <c r="AP689" s="11" t="str">
        <f t="shared" si="4477"/>
        <v>59,050</v>
      </c>
      <c r="AQ689" s="11">
        <f t="shared" si="4478"/>
        <v>0.29973611111111109</v>
      </c>
      <c r="AR689" s="14">
        <f t="shared" si="4446"/>
        <v>16.724711551827998</v>
      </c>
      <c r="AS689" s="41">
        <f t="shared" si="4447"/>
        <v>-100</v>
      </c>
      <c r="AT689" s="43" t="str">
        <f t="shared" si="4448"/>
        <v>NO CONFORME</v>
      </c>
      <c r="AU689" s="8" t="b">
        <f t="shared" si="4553"/>
        <v>1</v>
      </c>
      <c r="AV689" s="8" t="b">
        <f t="shared" si="4479"/>
        <v>0</v>
      </c>
      <c r="AW689" s="8" t="b">
        <f t="shared" si="4480"/>
        <v>1</v>
      </c>
      <c r="AX689" s="8" t="str">
        <f t="shared" si="4481"/>
        <v>Qcorrecto</v>
      </c>
      <c r="AY689" s="22" t="str">
        <f t="shared" si="4449"/>
        <v>aceptable</v>
      </c>
      <c r="AZ689" s="22" t="str">
        <f t="shared" si="4450"/>
        <v>aceptable</v>
      </c>
      <c r="BA689" s="22" t="str">
        <f t="shared" si="4482"/>
        <v>aceptable</v>
      </c>
      <c r="BB689" s="25" t="str">
        <f t="shared" si="4451"/>
        <v>NO CONFORME</v>
      </c>
      <c r="BC689" s="5" t="str">
        <f t="shared" si="4452"/>
        <v>NO CONFORME</v>
      </c>
      <c r="BD689" s="15">
        <f t="shared" si="4453"/>
        <v>-1</v>
      </c>
      <c r="BE689" s="15">
        <f t="shared" si="4454"/>
        <v>-1</v>
      </c>
      <c r="BF689" s="15">
        <f t="shared" si="4455"/>
        <v>-1</v>
      </c>
      <c r="BG689" s="15" t="str">
        <f t="shared" si="4456"/>
        <v>-1-1-1</v>
      </c>
      <c r="BH689" s="15" t="str">
        <f t="shared" si="4457"/>
        <v>SD</v>
      </c>
      <c r="BI689" s="15" t="str">
        <f t="shared" si="4458"/>
        <v>SI</v>
      </c>
      <c r="BJ689" s="15" t="b">
        <f t="shared" si="4459"/>
        <v>1</v>
      </c>
      <c r="BK689" s="15" t="str">
        <f t="shared" si="4460"/>
        <v>SIGIGUALES</v>
      </c>
      <c r="BL689" s="22" t="str">
        <f t="shared" si="4461"/>
        <v>NO CONFORME</v>
      </c>
    </row>
    <row r="690" spans="1:64" ht="15.75" thickBot="1" x14ac:dyDescent="0.3">
      <c r="A690" s="37">
        <v>682</v>
      </c>
      <c r="B690" s="93">
        <f t="shared" ref="B690:E690" si="4827">B689</f>
        <v>45919</v>
      </c>
      <c r="C690" s="93">
        <f t="shared" si="4827"/>
        <v>45919</v>
      </c>
      <c r="D690" s="94">
        <f t="shared" si="4827"/>
        <v>6</v>
      </c>
      <c r="E690" s="95">
        <f t="shared" si="4827"/>
        <v>15</v>
      </c>
      <c r="F690" s="13"/>
      <c r="G690" s="90"/>
      <c r="H690" s="97">
        <f t="shared" ref="H690:L690" si="4828">H689</f>
        <v>25.6</v>
      </c>
      <c r="I690" s="98">
        <f t="shared" si="4828"/>
        <v>0</v>
      </c>
      <c r="J690" s="99">
        <f t="shared" si="4828"/>
        <v>20.9</v>
      </c>
      <c r="K690" s="99">
        <f t="shared" si="4828"/>
        <v>7.883</v>
      </c>
      <c r="L690" s="99">
        <f t="shared" si="4828"/>
        <v>0.55400000000000005</v>
      </c>
      <c r="M690" s="45"/>
      <c r="N690" s="45"/>
      <c r="O690" s="100">
        <f t="shared" ref="O690:P690" si="4829">O689</f>
        <v>100.62</v>
      </c>
      <c r="P690" s="101" t="str">
        <f t="shared" si="4829"/>
        <v>2,29,560</v>
      </c>
      <c r="Q690" s="11" t="str">
        <f t="shared" si="4465"/>
        <v>2</v>
      </c>
      <c r="R690" s="11" t="str">
        <f t="shared" si="4466"/>
        <v>29,560</v>
      </c>
      <c r="S690" s="11">
        <f t="shared" si="4467"/>
        <v>4.1544444444444446E-2</v>
      </c>
      <c r="T690" s="14">
        <f t="shared" si="4468"/>
        <v>2421.9844878309709</v>
      </c>
      <c r="U690" s="39">
        <f t="shared" si="4439"/>
        <v>-100</v>
      </c>
      <c r="V690" s="105">
        <f t="shared" ref="V690:X690" si="4830">V689</f>
        <v>20.399999999999999</v>
      </c>
      <c r="W690" s="105">
        <f t="shared" si="4830"/>
        <v>1.5069999999999999</v>
      </c>
      <c r="X690" s="106">
        <f t="shared" si="4830"/>
        <v>1.504</v>
      </c>
      <c r="Y690" s="45"/>
      <c r="Z690" s="45"/>
      <c r="AA690" s="107">
        <f t="shared" ref="AA690:AB690" si="4831">AA689</f>
        <v>10.015000000000001</v>
      </c>
      <c r="AB690" s="108" t="str">
        <f t="shared" si="4831"/>
        <v>22,10,090</v>
      </c>
      <c r="AC690" s="11" t="str">
        <f t="shared" si="4471"/>
        <v>22</v>
      </c>
      <c r="AD690" s="11" t="str">
        <f t="shared" si="4472"/>
        <v>10,090</v>
      </c>
      <c r="AE690" s="11">
        <f t="shared" si="4473"/>
        <v>0.36946944444444441</v>
      </c>
      <c r="AF690" s="14">
        <f t="shared" si="4442"/>
        <v>27.106436406558959</v>
      </c>
      <c r="AG690" s="41">
        <f t="shared" si="4443"/>
        <v>-100</v>
      </c>
      <c r="AH690" s="105">
        <f t="shared" ref="AH690:AJ690" si="4832">AH689</f>
        <v>20.3</v>
      </c>
      <c r="AI690" s="105">
        <f t="shared" si="4832"/>
        <v>1.5089999999999999</v>
      </c>
      <c r="AJ690" s="105">
        <f t="shared" si="4832"/>
        <v>1.504</v>
      </c>
      <c r="AK690" s="53">
        <f t="shared" si="4357"/>
        <v>0</v>
      </c>
      <c r="AL690" s="45"/>
      <c r="AM690" s="54">
        <f t="shared" ref="AM690:AN690" si="4833">AM689</f>
        <v>5.0129999999999999</v>
      </c>
      <c r="AN690" s="101" t="str">
        <f t="shared" si="4833"/>
        <v>17,59,050</v>
      </c>
      <c r="AO690" s="11" t="str">
        <f t="shared" si="4476"/>
        <v>17</v>
      </c>
      <c r="AP690" s="11" t="str">
        <f t="shared" si="4477"/>
        <v>59,050</v>
      </c>
      <c r="AQ690" s="11">
        <f t="shared" si="4478"/>
        <v>0.29973611111111109</v>
      </c>
      <c r="AR690" s="14">
        <f t="shared" si="4446"/>
        <v>16.724711551827998</v>
      </c>
      <c r="AS690" s="41">
        <f t="shared" si="4447"/>
        <v>-100</v>
      </c>
      <c r="AT690" s="43" t="str">
        <f t="shared" si="4448"/>
        <v>NO CONFORME</v>
      </c>
      <c r="AU690" s="8" t="b">
        <f t="shared" si="4553"/>
        <v>1</v>
      </c>
      <c r="AV690" s="8" t="b">
        <f t="shared" si="4479"/>
        <v>0</v>
      </c>
      <c r="AW690" s="8" t="b">
        <f t="shared" si="4480"/>
        <v>1</v>
      </c>
      <c r="AX690" s="8" t="str">
        <f t="shared" si="4481"/>
        <v>Qcorrecto</v>
      </c>
      <c r="AY690" s="22" t="str">
        <f t="shared" si="4449"/>
        <v>aceptable</v>
      </c>
      <c r="AZ690" s="22" t="str">
        <f t="shared" si="4450"/>
        <v>aceptable</v>
      </c>
      <c r="BA690" s="22" t="str">
        <f t="shared" si="4482"/>
        <v>aceptable</v>
      </c>
      <c r="BB690" s="25" t="str">
        <f t="shared" si="4451"/>
        <v>NO CONFORME</v>
      </c>
      <c r="BC690" s="5" t="str">
        <f t="shared" si="4452"/>
        <v>NO CONFORME</v>
      </c>
      <c r="BD690" s="15">
        <f t="shared" si="4453"/>
        <v>-1</v>
      </c>
      <c r="BE690" s="15">
        <f t="shared" si="4454"/>
        <v>-1</v>
      </c>
      <c r="BF690" s="15">
        <f t="shared" si="4455"/>
        <v>-1</v>
      </c>
      <c r="BG690" s="15" t="str">
        <f t="shared" si="4456"/>
        <v>-1-1-1</v>
      </c>
      <c r="BH690" s="15" t="str">
        <f t="shared" si="4457"/>
        <v>SD</v>
      </c>
      <c r="BI690" s="15" t="str">
        <f t="shared" si="4458"/>
        <v>SI</v>
      </c>
      <c r="BJ690" s="15" t="b">
        <f t="shared" si="4459"/>
        <v>1</v>
      </c>
      <c r="BK690" s="15" t="str">
        <f t="shared" si="4460"/>
        <v>SIGIGUALES</v>
      </c>
      <c r="BL690" s="22" t="str">
        <f t="shared" si="4461"/>
        <v>NO CONFORME</v>
      </c>
    </row>
    <row r="691" spans="1:64" ht="15.75" thickBot="1" x14ac:dyDescent="0.3">
      <c r="A691" s="37">
        <v>683</v>
      </c>
      <c r="B691" s="93">
        <f t="shared" ref="B691:E691" si="4834">B690</f>
        <v>45919</v>
      </c>
      <c r="C691" s="93">
        <f t="shared" si="4834"/>
        <v>45919</v>
      </c>
      <c r="D691" s="94">
        <f t="shared" si="4834"/>
        <v>6</v>
      </c>
      <c r="E691" s="95">
        <f t="shared" si="4834"/>
        <v>15</v>
      </c>
      <c r="F691" s="13"/>
      <c r="G691" s="90"/>
      <c r="H691" s="97">
        <f t="shared" ref="H691:L691" si="4835">H690</f>
        <v>25.6</v>
      </c>
      <c r="I691" s="98">
        <f t="shared" si="4835"/>
        <v>0</v>
      </c>
      <c r="J691" s="99">
        <f t="shared" si="4835"/>
        <v>20.9</v>
      </c>
      <c r="K691" s="99">
        <f t="shared" si="4835"/>
        <v>7.883</v>
      </c>
      <c r="L691" s="99">
        <f t="shared" si="4835"/>
        <v>0.55400000000000005</v>
      </c>
      <c r="M691" s="45"/>
      <c r="N691" s="45"/>
      <c r="O691" s="100">
        <f t="shared" ref="O691:P691" si="4836">O690</f>
        <v>100.62</v>
      </c>
      <c r="P691" s="101" t="str">
        <f t="shared" si="4836"/>
        <v>2,29,560</v>
      </c>
      <c r="Q691" s="11" t="str">
        <f t="shared" si="4465"/>
        <v>2</v>
      </c>
      <c r="R691" s="11" t="str">
        <f t="shared" si="4466"/>
        <v>29,560</v>
      </c>
      <c r="S691" s="11">
        <f t="shared" si="4467"/>
        <v>4.1544444444444446E-2</v>
      </c>
      <c r="T691" s="14">
        <f t="shared" si="4468"/>
        <v>2421.9844878309709</v>
      </c>
      <c r="U691" s="39">
        <f t="shared" si="4439"/>
        <v>-100</v>
      </c>
      <c r="V691" s="105">
        <f t="shared" ref="V691:X691" si="4837">V690</f>
        <v>20.399999999999999</v>
      </c>
      <c r="W691" s="105">
        <f t="shared" si="4837"/>
        <v>1.5069999999999999</v>
      </c>
      <c r="X691" s="106">
        <f t="shared" si="4837"/>
        <v>1.504</v>
      </c>
      <c r="Y691" s="45"/>
      <c r="Z691" s="45"/>
      <c r="AA691" s="107">
        <f t="shared" ref="AA691:AB691" si="4838">AA690</f>
        <v>10.015000000000001</v>
      </c>
      <c r="AB691" s="108" t="str">
        <f t="shared" si="4838"/>
        <v>22,10,090</v>
      </c>
      <c r="AC691" s="11" t="str">
        <f t="shared" si="4471"/>
        <v>22</v>
      </c>
      <c r="AD691" s="11" t="str">
        <f t="shared" si="4472"/>
        <v>10,090</v>
      </c>
      <c r="AE691" s="11">
        <f t="shared" si="4473"/>
        <v>0.36946944444444441</v>
      </c>
      <c r="AF691" s="14">
        <f t="shared" si="4442"/>
        <v>27.106436406558959</v>
      </c>
      <c r="AG691" s="41">
        <f t="shared" si="4443"/>
        <v>-100</v>
      </c>
      <c r="AH691" s="105">
        <f t="shared" ref="AH691:AJ691" si="4839">AH690</f>
        <v>20.3</v>
      </c>
      <c r="AI691" s="105">
        <f t="shared" si="4839"/>
        <v>1.5089999999999999</v>
      </c>
      <c r="AJ691" s="105">
        <f t="shared" si="4839"/>
        <v>1.504</v>
      </c>
      <c r="AK691" s="53">
        <f t="shared" si="4357"/>
        <v>0</v>
      </c>
      <c r="AL691" s="45"/>
      <c r="AM691" s="54">
        <f t="shared" ref="AM691:AN691" si="4840">AM690</f>
        <v>5.0129999999999999</v>
      </c>
      <c r="AN691" s="101" t="str">
        <f t="shared" si="4840"/>
        <v>17,59,050</v>
      </c>
      <c r="AO691" s="11" t="str">
        <f t="shared" si="4476"/>
        <v>17</v>
      </c>
      <c r="AP691" s="11" t="str">
        <f t="shared" si="4477"/>
        <v>59,050</v>
      </c>
      <c r="AQ691" s="11">
        <f t="shared" si="4478"/>
        <v>0.29973611111111109</v>
      </c>
      <c r="AR691" s="14">
        <f t="shared" si="4446"/>
        <v>16.724711551827998</v>
      </c>
      <c r="AS691" s="41">
        <f t="shared" si="4447"/>
        <v>-100</v>
      </c>
      <c r="AT691" s="43" t="str">
        <f t="shared" si="4448"/>
        <v>NO CONFORME</v>
      </c>
      <c r="AU691" s="8" t="b">
        <f t="shared" si="4553"/>
        <v>1</v>
      </c>
      <c r="AV691" s="8" t="b">
        <f t="shared" si="4479"/>
        <v>0</v>
      </c>
      <c r="AW691" s="8" t="b">
        <f t="shared" si="4480"/>
        <v>1</v>
      </c>
      <c r="AX691" s="8" t="str">
        <f t="shared" si="4481"/>
        <v>Qcorrecto</v>
      </c>
      <c r="AY691" s="22" t="str">
        <f t="shared" si="4449"/>
        <v>aceptable</v>
      </c>
      <c r="AZ691" s="22" t="str">
        <f t="shared" si="4450"/>
        <v>aceptable</v>
      </c>
      <c r="BA691" s="22" t="str">
        <f t="shared" si="4482"/>
        <v>aceptable</v>
      </c>
      <c r="BB691" s="25" t="str">
        <f t="shared" si="4451"/>
        <v>NO CONFORME</v>
      </c>
      <c r="BC691" s="5" t="str">
        <f t="shared" si="4452"/>
        <v>NO CONFORME</v>
      </c>
      <c r="BD691" s="15">
        <f t="shared" si="4453"/>
        <v>-1</v>
      </c>
      <c r="BE691" s="15">
        <f t="shared" si="4454"/>
        <v>-1</v>
      </c>
      <c r="BF691" s="15">
        <f t="shared" si="4455"/>
        <v>-1</v>
      </c>
      <c r="BG691" s="15" t="str">
        <f t="shared" si="4456"/>
        <v>-1-1-1</v>
      </c>
      <c r="BH691" s="15" t="str">
        <f t="shared" si="4457"/>
        <v>SD</v>
      </c>
      <c r="BI691" s="15" t="str">
        <f t="shared" si="4458"/>
        <v>SI</v>
      </c>
      <c r="BJ691" s="15" t="b">
        <f t="shared" si="4459"/>
        <v>1</v>
      </c>
      <c r="BK691" s="15" t="str">
        <f t="shared" si="4460"/>
        <v>SIGIGUALES</v>
      </c>
      <c r="BL691" s="22" t="str">
        <f t="shared" si="4461"/>
        <v>NO CONFORME</v>
      </c>
    </row>
    <row r="692" spans="1:64" ht="15.75" thickBot="1" x14ac:dyDescent="0.3">
      <c r="A692" s="37">
        <v>684</v>
      </c>
      <c r="B692" s="93">
        <f t="shared" ref="B692:E692" si="4841">B691</f>
        <v>45919</v>
      </c>
      <c r="C692" s="93">
        <f t="shared" si="4841"/>
        <v>45919</v>
      </c>
      <c r="D692" s="94">
        <f t="shared" si="4841"/>
        <v>6</v>
      </c>
      <c r="E692" s="95">
        <f t="shared" si="4841"/>
        <v>15</v>
      </c>
      <c r="F692" s="13"/>
      <c r="G692" s="90"/>
      <c r="H692" s="97">
        <f t="shared" ref="H692:L692" si="4842">H691</f>
        <v>25.6</v>
      </c>
      <c r="I692" s="98">
        <f t="shared" si="4842"/>
        <v>0</v>
      </c>
      <c r="J692" s="99">
        <f t="shared" si="4842"/>
        <v>20.9</v>
      </c>
      <c r="K692" s="99">
        <f t="shared" si="4842"/>
        <v>7.883</v>
      </c>
      <c r="L692" s="99">
        <f t="shared" si="4842"/>
        <v>0.55400000000000005</v>
      </c>
      <c r="M692" s="45"/>
      <c r="N692" s="45"/>
      <c r="O692" s="100">
        <f t="shared" ref="O692:P692" si="4843">O691</f>
        <v>100.62</v>
      </c>
      <c r="P692" s="101" t="str">
        <f t="shared" si="4843"/>
        <v>2,29,560</v>
      </c>
      <c r="Q692" s="11" t="str">
        <f t="shared" si="4465"/>
        <v>2</v>
      </c>
      <c r="R692" s="11" t="str">
        <f t="shared" si="4466"/>
        <v>29,560</v>
      </c>
      <c r="S692" s="11">
        <f t="shared" si="4467"/>
        <v>4.1544444444444446E-2</v>
      </c>
      <c r="T692" s="14">
        <f t="shared" si="4468"/>
        <v>2421.9844878309709</v>
      </c>
      <c r="U692" s="39">
        <f t="shared" si="4439"/>
        <v>-100</v>
      </c>
      <c r="V692" s="105">
        <f t="shared" ref="V692:X692" si="4844">V691</f>
        <v>20.399999999999999</v>
      </c>
      <c r="W692" s="105">
        <f t="shared" si="4844"/>
        <v>1.5069999999999999</v>
      </c>
      <c r="X692" s="106">
        <f t="shared" si="4844"/>
        <v>1.504</v>
      </c>
      <c r="Y692" s="45"/>
      <c r="Z692" s="45"/>
      <c r="AA692" s="107">
        <f t="shared" ref="AA692:AB692" si="4845">AA691</f>
        <v>10.015000000000001</v>
      </c>
      <c r="AB692" s="108" t="str">
        <f t="shared" si="4845"/>
        <v>22,10,090</v>
      </c>
      <c r="AC692" s="11" t="str">
        <f t="shared" si="4471"/>
        <v>22</v>
      </c>
      <c r="AD692" s="11" t="str">
        <f t="shared" si="4472"/>
        <v>10,090</v>
      </c>
      <c r="AE692" s="11">
        <f t="shared" si="4473"/>
        <v>0.36946944444444441</v>
      </c>
      <c r="AF692" s="14">
        <f t="shared" si="4442"/>
        <v>27.106436406558959</v>
      </c>
      <c r="AG692" s="41">
        <f t="shared" si="4443"/>
        <v>-100</v>
      </c>
      <c r="AH692" s="105">
        <f t="shared" ref="AH692:AJ692" si="4846">AH691</f>
        <v>20.3</v>
      </c>
      <c r="AI692" s="105">
        <f t="shared" si="4846"/>
        <v>1.5089999999999999</v>
      </c>
      <c r="AJ692" s="105">
        <f t="shared" si="4846"/>
        <v>1.504</v>
      </c>
      <c r="AK692" s="53">
        <f t="shared" si="4357"/>
        <v>0</v>
      </c>
      <c r="AL692" s="45"/>
      <c r="AM692" s="54">
        <f t="shared" ref="AM692:AN692" si="4847">AM691</f>
        <v>5.0129999999999999</v>
      </c>
      <c r="AN692" s="101" t="str">
        <f t="shared" si="4847"/>
        <v>17,59,050</v>
      </c>
      <c r="AO692" s="11" t="str">
        <f t="shared" si="4476"/>
        <v>17</v>
      </c>
      <c r="AP692" s="11" t="str">
        <f t="shared" si="4477"/>
        <v>59,050</v>
      </c>
      <c r="AQ692" s="11">
        <f t="shared" si="4478"/>
        <v>0.29973611111111109</v>
      </c>
      <c r="AR692" s="14">
        <f t="shared" si="4446"/>
        <v>16.724711551827998</v>
      </c>
      <c r="AS692" s="41">
        <f t="shared" si="4447"/>
        <v>-100</v>
      </c>
      <c r="AT692" s="43" t="str">
        <f t="shared" si="4448"/>
        <v>NO CONFORME</v>
      </c>
      <c r="AU692" s="8" t="b">
        <f t="shared" si="4553"/>
        <v>1</v>
      </c>
      <c r="AV692" s="8" t="b">
        <f t="shared" si="4479"/>
        <v>0</v>
      </c>
      <c r="AW692" s="8" t="b">
        <f t="shared" si="4480"/>
        <v>1</v>
      </c>
      <c r="AX692" s="8" t="str">
        <f t="shared" si="4481"/>
        <v>Qcorrecto</v>
      </c>
      <c r="AY692" s="22" t="str">
        <f t="shared" si="4449"/>
        <v>aceptable</v>
      </c>
      <c r="AZ692" s="22" t="str">
        <f t="shared" si="4450"/>
        <v>aceptable</v>
      </c>
      <c r="BA692" s="22" t="str">
        <f t="shared" si="4482"/>
        <v>aceptable</v>
      </c>
      <c r="BB692" s="25" t="str">
        <f t="shared" si="4451"/>
        <v>NO CONFORME</v>
      </c>
      <c r="BC692" s="5" t="str">
        <f t="shared" si="4452"/>
        <v>NO CONFORME</v>
      </c>
      <c r="BD692" s="15">
        <f t="shared" si="4453"/>
        <v>-1</v>
      </c>
      <c r="BE692" s="15">
        <f t="shared" si="4454"/>
        <v>-1</v>
      </c>
      <c r="BF692" s="15">
        <f t="shared" si="4455"/>
        <v>-1</v>
      </c>
      <c r="BG692" s="15" t="str">
        <f t="shared" si="4456"/>
        <v>-1-1-1</v>
      </c>
      <c r="BH692" s="15" t="str">
        <f t="shared" si="4457"/>
        <v>SD</v>
      </c>
      <c r="BI692" s="15" t="str">
        <f t="shared" si="4458"/>
        <v>SI</v>
      </c>
      <c r="BJ692" s="15" t="b">
        <f t="shared" si="4459"/>
        <v>1</v>
      </c>
      <c r="BK692" s="15" t="str">
        <f t="shared" si="4460"/>
        <v>SIGIGUALES</v>
      </c>
      <c r="BL692" s="22" t="str">
        <f t="shared" si="4461"/>
        <v>NO CONFORME</v>
      </c>
    </row>
    <row r="693" spans="1:64" ht="15.75" thickBot="1" x14ac:dyDescent="0.3">
      <c r="A693" s="37">
        <v>685</v>
      </c>
      <c r="B693" s="93">
        <f t="shared" ref="B693:E693" si="4848">B692</f>
        <v>45919</v>
      </c>
      <c r="C693" s="93">
        <f t="shared" si="4848"/>
        <v>45919</v>
      </c>
      <c r="D693" s="94">
        <f t="shared" si="4848"/>
        <v>6</v>
      </c>
      <c r="E693" s="95">
        <f t="shared" si="4848"/>
        <v>15</v>
      </c>
      <c r="F693" s="13"/>
      <c r="G693" s="90"/>
      <c r="H693" s="97">
        <f t="shared" ref="H693:L693" si="4849">H692</f>
        <v>25.6</v>
      </c>
      <c r="I693" s="98">
        <f t="shared" si="4849"/>
        <v>0</v>
      </c>
      <c r="J693" s="99">
        <f t="shared" si="4849"/>
        <v>20.9</v>
      </c>
      <c r="K693" s="99">
        <f t="shared" si="4849"/>
        <v>7.883</v>
      </c>
      <c r="L693" s="99">
        <f t="shared" si="4849"/>
        <v>0.55400000000000005</v>
      </c>
      <c r="M693" s="45"/>
      <c r="N693" s="45"/>
      <c r="O693" s="100">
        <f t="shared" ref="O693:P693" si="4850">O692</f>
        <v>100.62</v>
      </c>
      <c r="P693" s="101" t="str">
        <f t="shared" si="4850"/>
        <v>2,29,560</v>
      </c>
      <c r="Q693" s="11" t="str">
        <f t="shared" si="4465"/>
        <v>2</v>
      </c>
      <c r="R693" s="11" t="str">
        <f t="shared" si="4466"/>
        <v>29,560</v>
      </c>
      <c r="S693" s="11">
        <f t="shared" si="4467"/>
        <v>4.1544444444444446E-2</v>
      </c>
      <c r="T693" s="14">
        <f t="shared" si="4468"/>
        <v>2421.9844878309709</v>
      </c>
      <c r="U693" s="39">
        <f t="shared" si="4439"/>
        <v>-100</v>
      </c>
      <c r="V693" s="105">
        <f t="shared" ref="V693:X693" si="4851">V692</f>
        <v>20.399999999999999</v>
      </c>
      <c r="W693" s="105">
        <f t="shared" si="4851"/>
        <v>1.5069999999999999</v>
      </c>
      <c r="X693" s="106">
        <f t="shared" si="4851"/>
        <v>1.504</v>
      </c>
      <c r="Y693" s="45"/>
      <c r="Z693" s="45"/>
      <c r="AA693" s="107">
        <f t="shared" ref="AA693:AB693" si="4852">AA692</f>
        <v>10.015000000000001</v>
      </c>
      <c r="AB693" s="108" t="str">
        <f t="shared" si="4852"/>
        <v>22,10,090</v>
      </c>
      <c r="AC693" s="11" t="str">
        <f t="shared" si="4471"/>
        <v>22</v>
      </c>
      <c r="AD693" s="11" t="str">
        <f t="shared" si="4472"/>
        <v>10,090</v>
      </c>
      <c r="AE693" s="11">
        <f t="shared" si="4473"/>
        <v>0.36946944444444441</v>
      </c>
      <c r="AF693" s="14">
        <f t="shared" si="4442"/>
        <v>27.106436406558959</v>
      </c>
      <c r="AG693" s="41">
        <f t="shared" si="4443"/>
        <v>-100</v>
      </c>
      <c r="AH693" s="105">
        <f t="shared" ref="AH693:AJ693" si="4853">AH692</f>
        <v>20.3</v>
      </c>
      <c r="AI693" s="105">
        <f t="shared" si="4853"/>
        <v>1.5089999999999999</v>
      </c>
      <c r="AJ693" s="105">
        <f t="shared" si="4853"/>
        <v>1.504</v>
      </c>
      <c r="AK693" s="53">
        <f t="shared" ref="AK693:AK728" si="4854">Z693</f>
        <v>0</v>
      </c>
      <c r="AL693" s="45"/>
      <c r="AM693" s="54">
        <f t="shared" ref="AM693:AN693" si="4855">AM692</f>
        <v>5.0129999999999999</v>
      </c>
      <c r="AN693" s="101" t="str">
        <f t="shared" si="4855"/>
        <v>17,59,050</v>
      </c>
      <c r="AO693" s="11" t="str">
        <f t="shared" si="4476"/>
        <v>17</v>
      </c>
      <c r="AP693" s="11" t="str">
        <f t="shared" si="4477"/>
        <v>59,050</v>
      </c>
      <c r="AQ693" s="11">
        <f t="shared" si="4478"/>
        <v>0.29973611111111109</v>
      </c>
      <c r="AR693" s="14">
        <f t="shared" si="4446"/>
        <v>16.724711551827998</v>
      </c>
      <c r="AS693" s="41">
        <f t="shared" si="4447"/>
        <v>-100</v>
      </c>
      <c r="AT693" s="43" t="str">
        <f t="shared" si="4448"/>
        <v>NO CONFORME</v>
      </c>
      <c r="AU693" s="8" t="b">
        <f t="shared" si="4553"/>
        <v>1</v>
      </c>
      <c r="AV693" s="8" t="b">
        <f t="shared" si="4479"/>
        <v>0</v>
      </c>
      <c r="AW693" s="8" t="b">
        <f t="shared" si="4480"/>
        <v>1</v>
      </c>
      <c r="AX693" s="8" t="str">
        <f t="shared" si="4481"/>
        <v>Qcorrecto</v>
      </c>
      <c r="AY693" s="22" t="str">
        <f t="shared" si="4449"/>
        <v>aceptable</v>
      </c>
      <c r="AZ693" s="22" t="str">
        <f t="shared" si="4450"/>
        <v>aceptable</v>
      </c>
      <c r="BA693" s="22" t="str">
        <f t="shared" si="4482"/>
        <v>aceptable</v>
      </c>
      <c r="BB693" s="25" t="str">
        <f t="shared" si="4451"/>
        <v>NO CONFORME</v>
      </c>
      <c r="BC693" s="5" t="str">
        <f t="shared" si="4452"/>
        <v>NO CONFORME</v>
      </c>
      <c r="BD693" s="15">
        <f t="shared" si="4453"/>
        <v>-1</v>
      </c>
      <c r="BE693" s="15">
        <f t="shared" si="4454"/>
        <v>-1</v>
      </c>
      <c r="BF693" s="15">
        <f t="shared" si="4455"/>
        <v>-1</v>
      </c>
      <c r="BG693" s="15" t="str">
        <f t="shared" si="4456"/>
        <v>-1-1-1</v>
      </c>
      <c r="BH693" s="15" t="str">
        <f t="shared" si="4457"/>
        <v>SD</v>
      </c>
      <c r="BI693" s="15" t="str">
        <f t="shared" si="4458"/>
        <v>SI</v>
      </c>
      <c r="BJ693" s="15" t="b">
        <f t="shared" si="4459"/>
        <v>1</v>
      </c>
      <c r="BK693" s="15" t="str">
        <f t="shared" si="4460"/>
        <v>SIGIGUALES</v>
      </c>
      <c r="BL693" s="22" t="str">
        <f t="shared" si="4461"/>
        <v>NO CONFORME</v>
      </c>
    </row>
    <row r="694" spans="1:64" ht="15.75" thickBot="1" x14ac:dyDescent="0.3">
      <c r="A694" s="37">
        <v>686</v>
      </c>
      <c r="B694" s="93">
        <f t="shared" ref="B694:E694" si="4856">B693</f>
        <v>45919</v>
      </c>
      <c r="C694" s="93">
        <f t="shared" si="4856"/>
        <v>45919</v>
      </c>
      <c r="D694" s="94">
        <f t="shared" si="4856"/>
        <v>6</v>
      </c>
      <c r="E694" s="95">
        <f t="shared" si="4856"/>
        <v>15</v>
      </c>
      <c r="F694" s="13"/>
      <c r="G694" s="90"/>
      <c r="H694" s="97">
        <f t="shared" ref="H694:L694" si="4857">H693</f>
        <v>25.6</v>
      </c>
      <c r="I694" s="98">
        <f t="shared" si="4857"/>
        <v>0</v>
      </c>
      <c r="J694" s="99">
        <f t="shared" si="4857"/>
        <v>20.9</v>
      </c>
      <c r="K694" s="99">
        <f t="shared" si="4857"/>
        <v>7.883</v>
      </c>
      <c r="L694" s="99">
        <f t="shared" si="4857"/>
        <v>0.55400000000000005</v>
      </c>
      <c r="M694" s="45"/>
      <c r="N694" s="45"/>
      <c r="O694" s="100">
        <f t="shared" ref="O694:P694" si="4858">O693</f>
        <v>100.62</v>
      </c>
      <c r="P694" s="101" t="str">
        <f t="shared" si="4858"/>
        <v>2,29,560</v>
      </c>
      <c r="Q694" s="11" t="str">
        <f t="shared" si="4465"/>
        <v>2</v>
      </c>
      <c r="R694" s="11" t="str">
        <f t="shared" si="4466"/>
        <v>29,560</v>
      </c>
      <c r="S694" s="11">
        <f t="shared" si="4467"/>
        <v>4.1544444444444446E-2</v>
      </c>
      <c r="T694" s="14">
        <f t="shared" si="4468"/>
        <v>2421.9844878309709</v>
      </c>
      <c r="U694" s="39">
        <f t="shared" si="4439"/>
        <v>-100</v>
      </c>
      <c r="V694" s="105">
        <f t="shared" ref="V694:X694" si="4859">V693</f>
        <v>20.399999999999999</v>
      </c>
      <c r="W694" s="105">
        <f t="shared" si="4859"/>
        <v>1.5069999999999999</v>
      </c>
      <c r="X694" s="106">
        <f t="shared" si="4859"/>
        <v>1.504</v>
      </c>
      <c r="Y694" s="45"/>
      <c r="Z694" s="45"/>
      <c r="AA694" s="107">
        <f t="shared" ref="AA694:AB694" si="4860">AA693</f>
        <v>10.015000000000001</v>
      </c>
      <c r="AB694" s="108" t="str">
        <f t="shared" si="4860"/>
        <v>22,10,090</v>
      </c>
      <c r="AC694" s="11" t="str">
        <f t="shared" si="4471"/>
        <v>22</v>
      </c>
      <c r="AD694" s="11" t="str">
        <f t="shared" si="4472"/>
        <v>10,090</v>
      </c>
      <c r="AE694" s="11">
        <f t="shared" si="4473"/>
        <v>0.36946944444444441</v>
      </c>
      <c r="AF694" s="14">
        <f t="shared" si="4442"/>
        <v>27.106436406558959</v>
      </c>
      <c r="AG694" s="41">
        <f t="shared" si="4443"/>
        <v>-100</v>
      </c>
      <c r="AH694" s="105">
        <f t="shared" ref="AH694:AJ694" si="4861">AH693</f>
        <v>20.3</v>
      </c>
      <c r="AI694" s="105">
        <f t="shared" si="4861"/>
        <v>1.5089999999999999</v>
      </c>
      <c r="AJ694" s="105">
        <f t="shared" si="4861"/>
        <v>1.504</v>
      </c>
      <c r="AK694" s="53">
        <f t="shared" si="4854"/>
        <v>0</v>
      </c>
      <c r="AL694" s="45"/>
      <c r="AM694" s="54">
        <f t="shared" ref="AM694:AN694" si="4862">AM693</f>
        <v>5.0129999999999999</v>
      </c>
      <c r="AN694" s="101" t="str">
        <f t="shared" si="4862"/>
        <v>17,59,050</v>
      </c>
      <c r="AO694" s="11" t="str">
        <f t="shared" si="4476"/>
        <v>17</v>
      </c>
      <c r="AP694" s="11" t="str">
        <f t="shared" si="4477"/>
        <v>59,050</v>
      </c>
      <c r="AQ694" s="11">
        <f t="shared" si="4478"/>
        <v>0.29973611111111109</v>
      </c>
      <c r="AR694" s="14">
        <f t="shared" si="4446"/>
        <v>16.724711551827998</v>
      </c>
      <c r="AS694" s="41">
        <f t="shared" si="4447"/>
        <v>-100</v>
      </c>
      <c r="AT694" s="43" t="str">
        <f t="shared" si="4448"/>
        <v>NO CONFORME</v>
      </c>
      <c r="AU694" s="8" t="b">
        <f t="shared" si="4553"/>
        <v>1</v>
      </c>
      <c r="AV694" s="8" t="b">
        <f t="shared" si="4479"/>
        <v>0</v>
      </c>
      <c r="AW694" s="8" t="b">
        <f t="shared" si="4480"/>
        <v>1</v>
      </c>
      <c r="AX694" s="8" t="str">
        <f t="shared" si="4481"/>
        <v>Qcorrecto</v>
      </c>
      <c r="AY694" s="22" t="str">
        <f t="shared" si="4449"/>
        <v>aceptable</v>
      </c>
      <c r="AZ694" s="22" t="str">
        <f t="shared" si="4450"/>
        <v>aceptable</v>
      </c>
      <c r="BA694" s="22" t="str">
        <f t="shared" si="4482"/>
        <v>aceptable</v>
      </c>
      <c r="BB694" s="25" t="str">
        <f t="shared" si="4451"/>
        <v>NO CONFORME</v>
      </c>
      <c r="BC694" s="5" t="str">
        <f t="shared" si="4452"/>
        <v>NO CONFORME</v>
      </c>
      <c r="BD694" s="15">
        <f t="shared" si="4453"/>
        <v>-1</v>
      </c>
      <c r="BE694" s="15">
        <f t="shared" si="4454"/>
        <v>-1</v>
      </c>
      <c r="BF694" s="15">
        <f t="shared" si="4455"/>
        <v>-1</v>
      </c>
      <c r="BG694" s="15" t="str">
        <f t="shared" si="4456"/>
        <v>-1-1-1</v>
      </c>
      <c r="BH694" s="15" t="str">
        <f t="shared" si="4457"/>
        <v>SD</v>
      </c>
      <c r="BI694" s="15" t="str">
        <f t="shared" si="4458"/>
        <v>SI</v>
      </c>
      <c r="BJ694" s="15" t="b">
        <f t="shared" si="4459"/>
        <v>1</v>
      </c>
      <c r="BK694" s="15" t="str">
        <f t="shared" si="4460"/>
        <v>SIGIGUALES</v>
      </c>
      <c r="BL694" s="22" t="str">
        <f t="shared" si="4461"/>
        <v>NO CONFORME</v>
      </c>
    </row>
    <row r="695" spans="1:64" ht="15.75" thickBot="1" x14ac:dyDescent="0.3">
      <c r="A695" s="37">
        <v>687</v>
      </c>
      <c r="B695" s="93">
        <f t="shared" ref="B695:E695" si="4863">B694</f>
        <v>45919</v>
      </c>
      <c r="C695" s="93">
        <f t="shared" si="4863"/>
        <v>45919</v>
      </c>
      <c r="D695" s="94">
        <f t="shared" si="4863"/>
        <v>6</v>
      </c>
      <c r="E695" s="95">
        <f t="shared" si="4863"/>
        <v>15</v>
      </c>
      <c r="F695" s="13"/>
      <c r="G695" s="90"/>
      <c r="H695" s="97">
        <f t="shared" ref="H695:L695" si="4864">H694</f>
        <v>25.6</v>
      </c>
      <c r="I695" s="98">
        <f t="shared" si="4864"/>
        <v>0</v>
      </c>
      <c r="J695" s="99">
        <f t="shared" si="4864"/>
        <v>20.9</v>
      </c>
      <c r="K695" s="99">
        <f t="shared" si="4864"/>
        <v>7.883</v>
      </c>
      <c r="L695" s="99">
        <f t="shared" si="4864"/>
        <v>0.55400000000000005</v>
      </c>
      <c r="M695" s="45"/>
      <c r="N695" s="45"/>
      <c r="O695" s="100">
        <f t="shared" ref="O695:P695" si="4865">O694</f>
        <v>100.62</v>
      </c>
      <c r="P695" s="101" t="str">
        <f t="shared" si="4865"/>
        <v>2,29,560</v>
      </c>
      <c r="Q695" s="11" t="str">
        <f t="shared" si="4465"/>
        <v>2</v>
      </c>
      <c r="R695" s="11" t="str">
        <f t="shared" si="4466"/>
        <v>29,560</v>
      </c>
      <c r="S695" s="11">
        <f t="shared" si="4467"/>
        <v>4.1544444444444446E-2</v>
      </c>
      <c r="T695" s="14">
        <f t="shared" si="4468"/>
        <v>2421.9844878309709</v>
      </c>
      <c r="U695" s="39">
        <f t="shared" si="4439"/>
        <v>-100</v>
      </c>
      <c r="V695" s="105">
        <f t="shared" ref="V695:X695" si="4866">V694</f>
        <v>20.399999999999999</v>
      </c>
      <c r="W695" s="105">
        <f t="shared" si="4866"/>
        <v>1.5069999999999999</v>
      </c>
      <c r="X695" s="106">
        <f t="shared" si="4866"/>
        <v>1.504</v>
      </c>
      <c r="Y695" s="45"/>
      <c r="Z695" s="45"/>
      <c r="AA695" s="107">
        <f t="shared" ref="AA695:AB695" si="4867">AA694</f>
        <v>10.015000000000001</v>
      </c>
      <c r="AB695" s="108" t="str">
        <f t="shared" si="4867"/>
        <v>22,10,090</v>
      </c>
      <c r="AC695" s="11" t="str">
        <f t="shared" si="4471"/>
        <v>22</v>
      </c>
      <c r="AD695" s="11" t="str">
        <f t="shared" si="4472"/>
        <v>10,090</v>
      </c>
      <c r="AE695" s="11">
        <f t="shared" si="4473"/>
        <v>0.36946944444444441</v>
      </c>
      <c r="AF695" s="14">
        <f t="shared" si="4442"/>
        <v>27.106436406558959</v>
      </c>
      <c r="AG695" s="41">
        <f t="shared" si="4443"/>
        <v>-100</v>
      </c>
      <c r="AH695" s="105">
        <f t="shared" ref="AH695:AJ695" si="4868">AH694</f>
        <v>20.3</v>
      </c>
      <c r="AI695" s="105">
        <f t="shared" si="4868"/>
        <v>1.5089999999999999</v>
      </c>
      <c r="AJ695" s="105">
        <f t="shared" si="4868"/>
        <v>1.504</v>
      </c>
      <c r="AK695" s="53">
        <f t="shared" si="4854"/>
        <v>0</v>
      </c>
      <c r="AL695" s="45"/>
      <c r="AM695" s="54">
        <f t="shared" ref="AM695:AN695" si="4869">AM694</f>
        <v>5.0129999999999999</v>
      </c>
      <c r="AN695" s="101" t="str">
        <f t="shared" si="4869"/>
        <v>17,59,050</v>
      </c>
      <c r="AO695" s="11" t="str">
        <f t="shared" si="4476"/>
        <v>17</v>
      </c>
      <c r="AP695" s="11" t="str">
        <f t="shared" si="4477"/>
        <v>59,050</v>
      </c>
      <c r="AQ695" s="11">
        <f t="shared" si="4478"/>
        <v>0.29973611111111109</v>
      </c>
      <c r="AR695" s="14">
        <f t="shared" si="4446"/>
        <v>16.724711551827998</v>
      </c>
      <c r="AS695" s="41">
        <f t="shared" si="4447"/>
        <v>-100</v>
      </c>
      <c r="AT695" s="43" t="str">
        <f t="shared" si="4448"/>
        <v>NO CONFORME</v>
      </c>
      <c r="AU695" s="8" t="b">
        <f t="shared" si="4553"/>
        <v>1</v>
      </c>
      <c r="AV695" s="8" t="b">
        <f t="shared" si="4479"/>
        <v>0</v>
      </c>
      <c r="AW695" s="8" t="b">
        <f t="shared" si="4480"/>
        <v>1</v>
      </c>
      <c r="AX695" s="8" t="str">
        <f t="shared" si="4481"/>
        <v>Qcorrecto</v>
      </c>
      <c r="AY695" s="22" t="str">
        <f t="shared" si="4449"/>
        <v>aceptable</v>
      </c>
      <c r="AZ695" s="22" t="str">
        <f t="shared" si="4450"/>
        <v>aceptable</v>
      </c>
      <c r="BA695" s="22" t="str">
        <f t="shared" si="4482"/>
        <v>aceptable</v>
      </c>
      <c r="BB695" s="25" t="str">
        <f t="shared" si="4451"/>
        <v>NO CONFORME</v>
      </c>
      <c r="BC695" s="5" t="str">
        <f t="shared" si="4452"/>
        <v>NO CONFORME</v>
      </c>
      <c r="BD695" s="15">
        <f t="shared" si="4453"/>
        <v>-1</v>
      </c>
      <c r="BE695" s="15">
        <f t="shared" si="4454"/>
        <v>-1</v>
      </c>
      <c r="BF695" s="15">
        <f t="shared" si="4455"/>
        <v>-1</v>
      </c>
      <c r="BG695" s="15" t="str">
        <f t="shared" si="4456"/>
        <v>-1-1-1</v>
      </c>
      <c r="BH695" s="15" t="str">
        <f t="shared" si="4457"/>
        <v>SD</v>
      </c>
      <c r="BI695" s="15" t="str">
        <f t="shared" si="4458"/>
        <v>SI</v>
      </c>
      <c r="BJ695" s="15" t="b">
        <f t="shared" si="4459"/>
        <v>1</v>
      </c>
      <c r="BK695" s="15" t="str">
        <f t="shared" si="4460"/>
        <v>SIGIGUALES</v>
      </c>
      <c r="BL695" s="22" t="str">
        <f t="shared" si="4461"/>
        <v>NO CONFORME</v>
      </c>
    </row>
    <row r="696" spans="1:64" ht="15.75" thickBot="1" x14ac:dyDescent="0.3">
      <c r="A696" s="37">
        <v>688</v>
      </c>
      <c r="B696" s="93">
        <f t="shared" ref="B696:E696" si="4870">B695</f>
        <v>45919</v>
      </c>
      <c r="C696" s="93">
        <f t="shared" si="4870"/>
        <v>45919</v>
      </c>
      <c r="D696" s="94">
        <f t="shared" si="4870"/>
        <v>6</v>
      </c>
      <c r="E696" s="95">
        <f t="shared" si="4870"/>
        <v>15</v>
      </c>
      <c r="F696" s="13"/>
      <c r="G696" s="90"/>
      <c r="H696" s="97">
        <f t="shared" ref="H696:L696" si="4871">H695</f>
        <v>25.6</v>
      </c>
      <c r="I696" s="98">
        <f t="shared" si="4871"/>
        <v>0</v>
      </c>
      <c r="J696" s="99">
        <f t="shared" si="4871"/>
        <v>20.9</v>
      </c>
      <c r="K696" s="99">
        <f t="shared" si="4871"/>
        <v>7.883</v>
      </c>
      <c r="L696" s="99">
        <f t="shared" si="4871"/>
        <v>0.55400000000000005</v>
      </c>
      <c r="M696" s="45"/>
      <c r="N696" s="45"/>
      <c r="O696" s="100">
        <f t="shared" ref="O696:P696" si="4872">O695</f>
        <v>100.62</v>
      </c>
      <c r="P696" s="101" t="str">
        <f t="shared" si="4872"/>
        <v>2,29,560</v>
      </c>
      <c r="Q696" s="11" t="str">
        <f t="shared" si="4465"/>
        <v>2</v>
      </c>
      <c r="R696" s="11" t="str">
        <f t="shared" si="4466"/>
        <v>29,560</v>
      </c>
      <c r="S696" s="11">
        <f t="shared" si="4467"/>
        <v>4.1544444444444446E-2</v>
      </c>
      <c r="T696" s="14">
        <f t="shared" si="4468"/>
        <v>2421.9844878309709</v>
      </c>
      <c r="U696" s="39">
        <f t="shared" si="4439"/>
        <v>-100</v>
      </c>
      <c r="V696" s="105">
        <f t="shared" ref="V696:X696" si="4873">V695</f>
        <v>20.399999999999999</v>
      </c>
      <c r="W696" s="105">
        <f t="shared" si="4873"/>
        <v>1.5069999999999999</v>
      </c>
      <c r="X696" s="106">
        <f t="shared" si="4873"/>
        <v>1.504</v>
      </c>
      <c r="Y696" s="45"/>
      <c r="Z696" s="45"/>
      <c r="AA696" s="107">
        <f t="shared" ref="AA696:AB696" si="4874">AA695</f>
        <v>10.015000000000001</v>
      </c>
      <c r="AB696" s="108" t="str">
        <f t="shared" si="4874"/>
        <v>22,10,090</v>
      </c>
      <c r="AC696" s="11" t="str">
        <f t="shared" si="4471"/>
        <v>22</v>
      </c>
      <c r="AD696" s="11" t="str">
        <f t="shared" si="4472"/>
        <v>10,090</v>
      </c>
      <c r="AE696" s="11">
        <f t="shared" si="4473"/>
        <v>0.36946944444444441</v>
      </c>
      <c r="AF696" s="14">
        <f t="shared" si="4442"/>
        <v>27.106436406558959</v>
      </c>
      <c r="AG696" s="41">
        <f t="shared" si="4443"/>
        <v>-100</v>
      </c>
      <c r="AH696" s="105">
        <f t="shared" ref="AH696:AJ696" si="4875">AH695</f>
        <v>20.3</v>
      </c>
      <c r="AI696" s="105">
        <f t="shared" si="4875"/>
        <v>1.5089999999999999</v>
      </c>
      <c r="AJ696" s="105">
        <f t="shared" si="4875"/>
        <v>1.504</v>
      </c>
      <c r="AK696" s="53">
        <f t="shared" si="4854"/>
        <v>0</v>
      </c>
      <c r="AL696" s="45"/>
      <c r="AM696" s="54">
        <f t="shared" ref="AM696:AN696" si="4876">AM695</f>
        <v>5.0129999999999999</v>
      </c>
      <c r="AN696" s="101" t="str">
        <f t="shared" si="4876"/>
        <v>17,59,050</v>
      </c>
      <c r="AO696" s="11" t="str">
        <f t="shared" si="4476"/>
        <v>17</v>
      </c>
      <c r="AP696" s="11" t="str">
        <f t="shared" si="4477"/>
        <v>59,050</v>
      </c>
      <c r="AQ696" s="11">
        <f t="shared" si="4478"/>
        <v>0.29973611111111109</v>
      </c>
      <c r="AR696" s="14">
        <f t="shared" si="4446"/>
        <v>16.724711551827998</v>
      </c>
      <c r="AS696" s="41">
        <f t="shared" si="4447"/>
        <v>-100</v>
      </c>
      <c r="AT696" s="43" t="str">
        <f t="shared" si="4448"/>
        <v>NO CONFORME</v>
      </c>
      <c r="AU696" s="8" t="b">
        <f t="shared" si="4553"/>
        <v>1</v>
      </c>
      <c r="AV696" s="8" t="b">
        <f t="shared" si="4479"/>
        <v>0</v>
      </c>
      <c r="AW696" s="8" t="b">
        <f t="shared" si="4480"/>
        <v>1</v>
      </c>
      <c r="AX696" s="8" t="str">
        <f t="shared" si="4481"/>
        <v>Qcorrecto</v>
      </c>
      <c r="AY696" s="22" t="str">
        <f t="shared" si="4449"/>
        <v>aceptable</v>
      </c>
      <c r="AZ696" s="22" t="str">
        <f t="shared" si="4450"/>
        <v>aceptable</v>
      </c>
      <c r="BA696" s="22" t="str">
        <f t="shared" si="4482"/>
        <v>aceptable</v>
      </c>
      <c r="BB696" s="25" t="str">
        <f t="shared" si="4451"/>
        <v>NO CONFORME</v>
      </c>
      <c r="BC696" s="5" t="str">
        <f t="shared" si="4452"/>
        <v>NO CONFORME</v>
      </c>
      <c r="BD696" s="15">
        <f t="shared" si="4453"/>
        <v>-1</v>
      </c>
      <c r="BE696" s="15">
        <f t="shared" si="4454"/>
        <v>-1</v>
      </c>
      <c r="BF696" s="15">
        <f t="shared" si="4455"/>
        <v>-1</v>
      </c>
      <c r="BG696" s="15" t="str">
        <f t="shared" si="4456"/>
        <v>-1-1-1</v>
      </c>
      <c r="BH696" s="15" t="str">
        <f t="shared" si="4457"/>
        <v>SD</v>
      </c>
      <c r="BI696" s="15" t="str">
        <f t="shared" si="4458"/>
        <v>SI</v>
      </c>
      <c r="BJ696" s="15" t="b">
        <f t="shared" si="4459"/>
        <v>1</v>
      </c>
      <c r="BK696" s="15" t="str">
        <f t="shared" si="4460"/>
        <v>SIGIGUALES</v>
      </c>
      <c r="BL696" s="22" t="str">
        <f t="shared" si="4461"/>
        <v>NO CONFORME</v>
      </c>
    </row>
    <row r="697" spans="1:64" ht="15.75" thickBot="1" x14ac:dyDescent="0.3">
      <c r="A697" s="37">
        <v>689</v>
      </c>
      <c r="B697" s="93">
        <f t="shared" ref="B697:E697" si="4877">B696</f>
        <v>45919</v>
      </c>
      <c r="C697" s="93">
        <f t="shared" si="4877"/>
        <v>45919</v>
      </c>
      <c r="D697" s="94">
        <f t="shared" si="4877"/>
        <v>6</v>
      </c>
      <c r="E697" s="95">
        <f t="shared" si="4877"/>
        <v>15</v>
      </c>
      <c r="F697" s="13"/>
      <c r="G697" s="90"/>
      <c r="H697" s="97">
        <f t="shared" ref="H697:L697" si="4878">H696</f>
        <v>25.6</v>
      </c>
      <c r="I697" s="98">
        <f t="shared" si="4878"/>
        <v>0</v>
      </c>
      <c r="J697" s="99">
        <f t="shared" si="4878"/>
        <v>20.9</v>
      </c>
      <c r="K697" s="99">
        <f t="shared" si="4878"/>
        <v>7.883</v>
      </c>
      <c r="L697" s="99">
        <f t="shared" si="4878"/>
        <v>0.55400000000000005</v>
      </c>
      <c r="M697" s="45"/>
      <c r="N697" s="45"/>
      <c r="O697" s="100">
        <f t="shared" ref="O697:P697" si="4879">O696</f>
        <v>100.62</v>
      </c>
      <c r="P697" s="101" t="str">
        <f t="shared" si="4879"/>
        <v>2,29,560</v>
      </c>
      <c r="Q697" s="11" t="str">
        <f t="shared" si="4465"/>
        <v>2</v>
      </c>
      <c r="R697" s="11" t="str">
        <f t="shared" si="4466"/>
        <v>29,560</v>
      </c>
      <c r="S697" s="11">
        <f t="shared" si="4467"/>
        <v>4.1544444444444446E-2</v>
      </c>
      <c r="T697" s="14">
        <f t="shared" si="4468"/>
        <v>2421.9844878309709</v>
      </c>
      <c r="U697" s="39">
        <f t="shared" si="4439"/>
        <v>-100</v>
      </c>
      <c r="V697" s="105">
        <f t="shared" ref="V697:X697" si="4880">V696</f>
        <v>20.399999999999999</v>
      </c>
      <c r="W697" s="105">
        <f t="shared" si="4880"/>
        <v>1.5069999999999999</v>
      </c>
      <c r="X697" s="106">
        <f t="shared" si="4880"/>
        <v>1.504</v>
      </c>
      <c r="Y697" s="45"/>
      <c r="Z697" s="45"/>
      <c r="AA697" s="107">
        <f t="shared" ref="AA697:AB697" si="4881">AA696</f>
        <v>10.015000000000001</v>
      </c>
      <c r="AB697" s="108" t="str">
        <f t="shared" si="4881"/>
        <v>22,10,090</v>
      </c>
      <c r="AC697" s="11" t="str">
        <f t="shared" si="4471"/>
        <v>22</v>
      </c>
      <c r="AD697" s="11" t="str">
        <f t="shared" si="4472"/>
        <v>10,090</v>
      </c>
      <c r="AE697" s="11">
        <f t="shared" si="4473"/>
        <v>0.36946944444444441</v>
      </c>
      <c r="AF697" s="14">
        <f t="shared" si="4442"/>
        <v>27.106436406558959</v>
      </c>
      <c r="AG697" s="41">
        <f t="shared" si="4443"/>
        <v>-100</v>
      </c>
      <c r="AH697" s="105">
        <f t="shared" ref="AH697:AJ697" si="4882">AH696</f>
        <v>20.3</v>
      </c>
      <c r="AI697" s="105">
        <f t="shared" si="4882"/>
        <v>1.5089999999999999</v>
      </c>
      <c r="AJ697" s="105">
        <f t="shared" si="4882"/>
        <v>1.504</v>
      </c>
      <c r="AK697" s="53">
        <f t="shared" si="4854"/>
        <v>0</v>
      </c>
      <c r="AL697" s="45"/>
      <c r="AM697" s="54">
        <f t="shared" ref="AM697:AN697" si="4883">AM696</f>
        <v>5.0129999999999999</v>
      </c>
      <c r="AN697" s="101" t="str">
        <f t="shared" si="4883"/>
        <v>17,59,050</v>
      </c>
      <c r="AO697" s="11" t="str">
        <f t="shared" si="4476"/>
        <v>17</v>
      </c>
      <c r="AP697" s="11" t="str">
        <f t="shared" si="4477"/>
        <v>59,050</v>
      </c>
      <c r="AQ697" s="11">
        <f t="shared" si="4478"/>
        <v>0.29973611111111109</v>
      </c>
      <c r="AR697" s="14">
        <f t="shared" si="4446"/>
        <v>16.724711551827998</v>
      </c>
      <c r="AS697" s="41">
        <f t="shared" si="4447"/>
        <v>-100</v>
      </c>
      <c r="AT697" s="43" t="str">
        <f t="shared" si="4448"/>
        <v>NO CONFORME</v>
      </c>
      <c r="AU697" s="8" t="b">
        <f t="shared" si="4553"/>
        <v>1</v>
      </c>
      <c r="AV697" s="8" t="b">
        <f t="shared" si="4479"/>
        <v>0</v>
      </c>
      <c r="AW697" s="8" t="b">
        <f t="shared" si="4480"/>
        <v>1</v>
      </c>
      <c r="AX697" s="8" t="str">
        <f t="shared" si="4481"/>
        <v>Qcorrecto</v>
      </c>
      <c r="AY697" s="22" t="str">
        <f t="shared" si="4449"/>
        <v>aceptable</v>
      </c>
      <c r="AZ697" s="22" t="str">
        <f t="shared" si="4450"/>
        <v>aceptable</v>
      </c>
      <c r="BA697" s="22" t="str">
        <f t="shared" si="4482"/>
        <v>aceptable</v>
      </c>
      <c r="BB697" s="25" t="str">
        <f t="shared" si="4451"/>
        <v>NO CONFORME</v>
      </c>
      <c r="BC697" s="5" t="str">
        <f t="shared" si="4452"/>
        <v>NO CONFORME</v>
      </c>
      <c r="BD697" s="15">
        <f t="shared" si="4453"/>
        <v>-1</v>
      </c>
      <c r="BE697" s="15">
        <f t="shared" si="4454"/>
        <v>-1</v>
      </c>
      <c r="BF697" s="15">
        <f t="shared" si="4455"/>
        <v>-1</v>
      </c>
      <c r="BG697" s="15" t="str">
        <f t="shared" si="4456"/>
        <v>-1-1-1</v>
      </c>
      <c r="BH697" s="15" t="str">
        <f t="shared" si="4457"/>
        <v>SD</v>
      </c>
      <c r="BI697" s="15" t="str">
        <f t="shared" si="4458"/>
        <v>SI</v>
      </c>
      <c r="BJ697" s="15" t="b">
        <f t="shared" si="4459"/>
        <v>1</v>
      </c>
      <c r="BK697" s="15" t="str">
        <f t="shared" si="4460"/>
        <v>SIGIGUALES</v>
      </c>
      <c r="BL697" s="22" t="str">
        <f t="shared" si="4461"/>
        <v>NO CONFORME</v>
      </c>
    </row>
    <row r="698" spans="1:64" ht="15.75" thickBot="1" x14ac:dyDescent="0.3">
      <c r="A698" s="37">
        <v>690</v>
      </c>
      <c r="B698" s="93">
        <f t="shared" ref="B698:E698" si="4884">B697</f>
        <v>45919</v>
      </c>
      <c r="C698" s="93">
        <f t="shared" si="4884"/>
        <v>45919</v>
      </c>
      <c r="D698" s="94">
        <f t="shared" si="4884"/>
        <v>6</v>
      </c>
      <c r="E698" s="95">
        <f t="shared" si="4884"/>
        <v>15</v>
      </c>
      <c r="F698" s="52"/>
      <c r="G698" s="96"/>
      <c r="H698" s="97">
        <f t="shared" ref="H698:L698" si="4885">H697</f>
        <v>25.6</v>
      </c>
      <c r="I698" s="98">
        <f t="shared" si="4885"/>
        <v>0</v>
      </c>
      <c r="J698" s="99">
        <f t="shared" si="4885"/>
        <v>20.9</v>
      </c>
      <c r="K698" s="99">
        <f t="shared" si="4885"/>
        <v>7.883</v>
      </c>
      <c r="L698" s="99">
        <f t="shared" si="4885"/>
        <v>0.55400000000000005</v>
      </c>
      <c r="M698" s="53"/>
      <c r="N698" s="53"/>
      <c r="O698" s="100">
        <f t="shared" ref="O698:P698" si="4886">O697</f>
        <v>100.62</v>
      </c>
      <c r="P698" s="101" t="str">
        <f t="shared" si="4886"/>
        <v>2,29,560</v>
      </c>
      <c r="Q698" s="11" t="str">
        <f t="shared" si="4465"/>
        <v>2</v>
      </c>
      <c r="R698" s="11" t="str">
        <f t="shared" si="4466"/>
        <v>29,560</v>
      </c>
      <c r="S698" s="11">
        <f t="shared" si="4467"/>
        <v>4.1544444444444446E-2</v>
      </c>
      <c r="T698" s="14">
        <f t="shared" si="4468"/>
        <v>2421.9844878309709</v>
      </c>
      <c r="U698" s="39">
        <f t="shared" si="4439"/>
        <v>-100</v>
      </c>
      <c r="V698" s="105">
        <f t="shared" ref="V698:X698" si="4887">V697</f>
        <v>20.399999999999999</v>
      </c>
      <c r="W698" s="105">
        <f t="shared" si="4887"/>
        <v>1.5069999999999999</v>
      </c>
      <c r="X698" s="106">
        <f t="shared" si="4887"/>
        <v>1.504</v>
      </c>
      <c r="Y698" s="53"/>
      <c r="Z698" s="53"/>
      <c r="AA698" s="107">
        <f t="shared" ref="AA698:AB698" si="4888">AA697</f>
        <v>10.015000000000001</v>
      </c>
      <c r="AB698" s="108" t="str">
        <f t="shared" si="4888"/>
        <v>22,10,090</v>
      </c>
      <c r="AC698" s="11" t="str">
        <f t="shared" si="4471"/>
        <v>22</v>
      </c>
      <c r="AD698" s="11" t="str">
        <f t="shared" si="4472"/>
        <v>10,090</v>
      </c>
      <c r="AE698" s="11">
        <f t="shared" si="4473"/>
        <v>0.36946944444444441</v>
      </c>
      <c r="AF698" s="14">
        <f t="shared" si="4442"/>
        <v>27.106436406558959</v>
      </c>
      <c r="AG698" s="41">
        <f t="shared" si="4443"/>
        <v>-100</v>
      </c>
      <c r="AH698" s="105">
        <f t="shared" ref="AH698:AJ698" si="4889">AH697</f>
        <v>20.3</v>
      </c>
      <c r="AI698" s="105">
        <f t="shared" si="4889"/>
        <v>1.5089999999999999</v>
      </c>
      <c r="AJ698" s="105">
        <f t="shared" si="4889"/>
        <v>1.504</v>
      </c>
      <c r="AK698" s="53">
        <f t="shared" si="4854"/>
        <v>0</v>
      </c>
      <c r="AL698" s="53"/>
      <c r="AM698" s="54">
        <f t="shared" ref="AM698:AN698" si="4890">AM697</f>
        <v>5.0129999999999999</v>
      </c>
      <c r="AN698" s="101" t="str">
        <f t="shared" si="4890"/>
        <v>17,59,050</v>
      </c>
      <c r="AO698" s="11" t="str">
        <f t="shared" si="4476"/>
        <v>17</v>
      </c>
      <c r="AP698" s="11" t="str">
        <f t="shared" si="4477"/>
        <v>59,050</v>
      </c>
      <c r="AQ698" s="11">
        <f t="shared" si="4478"/>
        <v>0.29973611111111109</v>
      </c>
      <c r="AR698" s="14">
        <f t="shared" si="4446"/>
        <v>16.724711551827998</v>
      </c>
      <c r="AS698" s="41">
        <f t="shared" si="4447"/>
        <v>-100</v>
      </c>
      <c r="AT698" s="43" t="str">
        <f t="shared" si="4448"/>
        <v>NO CONFORME</v>
      </c>
      <c r="AU698" s="8" t="b">
        <f t="shared" si="4553"/>
        <v>1</v>
      </c>
      <c r="AV698" s="8" t="b">
        <f t="shared" si="4479"/>
        <v>0</v>
      </c>
      <c r="AW698" s="8" t="b">
        <f t="shared" si="4480"/>
        <v>1</v>
      </c>
      <c r="AX698" s="8" t="str">
        <f t="shared" si="4481"/>
        <v>Qcorrecto</v>
      </c>
      <c r="AY698" s="22" t="str">
        <f t="shared" si="4449"/>
        <v>aceptable</v>
      </c>
      <c r="AZ698" s="22" t="str">
        <f t="shared" si="4450"/>
        <v>aceptable</v>
      </c>
      <c r="BA698" s="22" t="str">
        <f t="shared" si="4482"/>
        <v>aceptable</v>
      </c>
      <c r="BB698" s="25" t="str">
        <f t="shared" si="4451"/>
        <v>NO CONFORME</v>
      </c>
      <c r="BC698" s="5" t="str">
        <f t="shared" si="4452"/>
        <v>NO CONFORME</v>
      </c>
      <c r="BD698" s="15">
        <f t="shared" si="4453"/>
        <v>-1</v>
      </c>
      <c r="BE698" s="15">
        <f t="shared" si="4454"/>
        <v>-1</v>
      </c>
      <c r="BF698" s="15">
        <f t="shared" si="4455"/>
        <v>-1</v>
      </c>
      <c r="BG698" s="15" t="str">
        <f t="shared" si="4456"/>
        <v>-1-1-1</v>
      </c>
      <c r="BH698" s="15" t="str">
        <f t="shared" si="4457"/>
        <v>SD</v>
      </c>
      <c r="BI698" s="15" t="str">
        <f t="shared" si="4458"/>
        <v>SI</v>
      </c>
      <c r="BJ698" s="15" t="b">
        <f t="shared" si="4459"/>
        <v>1</v>
      </c>
      <c r="BK698" s="15" t="str">
        <f t="shared" si="4460"/>
        <v>SIGIGUALES</v>
      </c>
      <c r="BL698" s="22" t="str">
        <f t="shared" si="4461"/>
        <v>NO CONFORME</v>
      </c>
    </row>
    <row r="699" spans="1:64" ht="15.75" thickBot="1" x14ac:dyDescent="0.3">
      <c r="A699" s="37">
        <v>691</v>
      </c>
      <c r="B699" s="93">
        <f t="shared" ref="B699:E699" si="4891">B698</f>
        <v>45919</v>
      </c>
      <c r="C699" s="93">
        <f t="shared" si="4891"/>
        <v>45919</v>
      </c>
      <c r="D699" s="94">
        <f t="shared" si="4891"/>
        <v>6</v>
      </c>
      <c r="E699" s="95">
        <f t="shared" si="4891"/>
        <v>15</v>
      </c>
      <c r="F699" s="58"/>
      <c r="G699" s="111"/>
      <c r="H699" s="97">
        <f t="shared" ref="H699:L699" si="4892">H698</f>
        <v>25.6</v>
      </c>
      <c r="I699" s="98">
        <f t="shared" si="4892"/>
        <v>0</v>
      </c>
      <c r="J699" s="99">
        <f t="shared" si="4892"/>
        <v>20.9</v>
      </c>
      <c r="K699" s="99">
        <f t="shared" si="4892"/>
        <v>7.883</v>
      </c>
      <c r="L699" s="99">
        <f t="shared" si="4892"/>
        <v>0.55400000000000005</v>
      </c>
      <c r="M699" s="59"/>
      <c r="N699" s="59"/>
      <c r="O699" s="100">
        <f t="shared" ref="O699:P699" si="4893">O698</f>
        <v>100.62</v>
      </c>
      <c r="P699" s="101" t="str">
        <f t="shared" si="4893"/>
        <v>2,29,560</v>
      </c>
      <c r="Q699" s="11" t="str">
        <f t="shared" si="4465"/>
        <v>2</v>
      </c>
      <c r="R699" s="11" t="str">
        <f t="shared" si="4466"/>
        <v>29,560</v>
      </c>
      <c r="S699" s="11">
        <f t="shared" si="4467"/>
        <v>4.1544444444444446E-2</v>
      </c>
      <c r="T699" s="14">
        <f t="shared" si="4468"/>
        <v>2421.9844878309709</v>
      </c>
      <c r="U699" s="39">
        <f t="shared" si="4439"/>
        <v>-100</v>
      </c>
      <c r="V699" s="105">
        <f t="shared" ref="V699:X699" si="4894">V698</f>
        <v>20.399999999999999</v>
      </c>
      <c r="W699" s="105">
        <f t="shared" si="4894"/>
        <v>1.5069999999999999</v>
      </c>
      <c r="X699" s="106">
        <f t="shared" si="4894"/>
        <v>1.504</v>
      </c>
      <c r="Y699" s="59"/>
      <c r="Z699" s="59"/>
      <c r="AA699" s="107">
        <f t="shared" ref="AA699:AB699" si="4895">AA698</f>
        <v>10.015000000000001</v>
      </c>
      <c r="AB699" s="108" t="str">
        <f t="shared" si="4895"/>
        <v>22,10,090</v>
      </c>
      <c r="AC699" s="11" t="str">
        <f t="shared" si="4471"/>
        <v>22</v>
      </c>
      <c r="AD699" s="11" t="str">
        <f t="shared" si="4472"/>
        <v>10,090</v>
      </c>
      <c r="AE699" s="11">
        <f t="shared" si="4473"/>
        <v>0.36946944444444441</v>
      </c>
      <c r="AF699" s="14">
        <f t="shared" si="4442"/>
        <v>27.106436406558959</v>
      </c>
      <c r="AG699" s="41">
        <f t="shared" si="4443"/>
        <v>-100</v>
      </c>
      <c r="AH699" s="105">
        <f t="shared" ref="AH699:AJ699" si="4896">AH698</f>
        <v>20.3</v>
      </c>
      <c r="AI699" s="105">
        <f t="shared" si="4896"/>
        <v>1.5089999999999999</v>
      </c>
      <c r="AJ699" s="105">
        <f t="shared" si="4896"/>
        <v>1.504</v>
      </c>
      <c r="AK699" s="53">
        <f t="shared" si="4854"/>
        <v>0</v>
      </c>
      <c r="AL699" s="59"/>
      <c r="AM699" s="54">
        <f t="shared" ref="AM699:AN699" si="4897">AM698</f>
        <v>5.0129999999999999</v>
      </c>
      <c r="AN699" s="101" t="str">
        <f t="shared" si="4897"/>
        <v>17,59,050</v>
      </c>
      <c r="AO699" s="11" t="str">
        <f t="shared" si="4476"/>
        <v>17</v>
      </c>
      <c r="AP699" s="11" t="str">
        <f t="shared" si="4477"/>
        <v>59,050</v>
      </c>
      <c r="AQ699" s="11">
        <f t="shared" si="4478"/>
        <v>0.29973611111111109</v>
      </c>
      <c r="AR699" s="14">
        <f t="shared" si="4446"/>
        <v>16.724711551827998</v>
      </c>
      <c r="AS699" s="41">
        <f t="shared" si="4447"/>
        <v>-100</v>
      </c>
      <c r="AT699" s="43" t="str">
        <f t="shared" si="4448"/>
        <v>NO CONFORME</v>
      </c>
      <c r="AU699" s="8" t="b">
        <f t="shared" si="4553"/>
        <v>1</v>
      </c>
      <c r="AV699" s="8" t="b">
        <f t="shared" si="4479"/>
        <v>0</v>
      </c>
      <c r="AW699" s="8" t="b">
        <f t="shared" si="4480"/>
        <v>1</v>
      </c>
      <c r="AX699" s="8" t="str">
        <f t="shared" si="4481"/>
        <v>Qcorrecto</v>
      </c>
      <c r="AY699" s="22" t="str">
        <f t="shared" si="4449"/>
        <v>aceptable</v>
      </c>
      <c r="AZ699" s="22" t="str">
        <f t="shared" si="4450"/>
        <v>aceptable</v>
      </c>
      <c r="BA699" s="22" t="str">
        <f t="shared" si="4482"/>
        <v>aceptable</v>
      </c>
      <c r="BB699" s="25" t="str">
        <f t="shared" si="4451"/>
        <v>NO CONFORME</v>
      </c>
      <c r="BC699" s="5" t="str">
        <f t="shared" si="4452"/>
        <v>NO CONFORME</v>
      </c>
      <c r="BD699" s="15">
        <f t="shared" si="4453"/>
        <v>-1</v>
      </c>
      <c r="BE699" s="15">
        <f t="shared" si="4454"/>
        <v>-1</v>
      </c>
      <c r="BF699" s="15">
        <f t="shared" si="4455"/>
        <v>-1</v>
      </c>
      <c r="BG699" s="15" t="str">
        <f t="shared" si="4456"/>
        <v>-1-1-1</v>
      </c>
      <c r="BH699" s="15" t="str">
        <f t="shared" si="4457"/>
        <v>SD</v>
      </c>
      <c r="BI699" s="15" t="str">
        <f t="shared" si="4458"/>
        <v>SI</v>
      </c>
      <c r="BJ699" s="15" t="b">
        <f t="shared" si="4459"/>
        <v>1</v>
      </c>
      <c r="BK699" s="15" t="str">
        <f t="shared" si="4460"/>
        <v>SIGIGUALES</v>
      </c>
      <c r="BL699" s="22" t="str">
        <f t="shared" si="4461"/>
        <v>NO CONFORME</v>
      </c>
    </row>
    <row r="700" spans="1:64" ht="15.75" thickBot="1" x14ac:dyDescent="0.3">
      <c r="A700" s="37">
        <v>692</v>
      </c>
      <c r="B700" s="93">
        <f t="shared" ref="B700:E700" si="4898">B699</f>
        <v>45919</v>
      </c>
      <c r="C700" s="93">
        <f t="shared" si="4898"/>
        <v>45919</v>
      </c>
      <c r="D700" s="94">
        <f t="shared" si="4898"/>
        <v>6</v>
      </c>
      <c r="E700" s="95">
        <f t="shared" si="4898"/>
        <v>15</v>
      </c>
      <c r="F700" s="13"/>
      <c r="G700" s="90"/>
      <c r="H700" s="97">
        <f t="shared" ref="H700:L700" si="4899">H699</f>
        <v>25.6</v>
      </c>
      <c r="I700" s="98">
        <f t="shared" si="4899"/>
        <v>0</v>
      </c>
      <c r="J700" s="99">
        <f t="shared" si="4899"/>
        <v>20.9</v>
      </c>
      <c r="K700" s="99">
        <f t="shared" si="4899"/>
        <v>7.883</v>
      </c>
      <c r="L700" s="99">
        <f t="shared" si="4899"/>
        <v>0.55400000000000005</v>
      </c>
      <c r="M700" s="45"/>
      <c r="N700" s="45"/>
      <c r="O700" s="100">
        <f t="shared" ref="O700:P700" si="4900">O699</f>
        <v>100.62</v>
      </c>
      <c r="P700" s="101" t="str">
        <f t="shared" si="4900"/>
        <v>2,29,560</v>
      </c>
      <c r="Q700" s="11" t="str">
        <f t="shared" si="4465"/>
        <v>2</v>
      </c>
      <c r="R700" s="11" t="str">
        <f t="shared" si="4466"/>
        <v>29,560</v>
      </c>
      <c r="S700" s="11">
        <f t="shared" si="4467"/>
        <v>4.1544444444444446E-2</v>
      </c>
      <c r="T700" s="14">
        <f t="shared" si="4468"/>
        <v>2421.9844878309709</v>
      </c>
      <c r="U700" s="39">
        <f t="shared" si="4439"/>
        <v>-100</v>
      </c>
      <c r="V700" s="105">
        <f t="shared" ref="V700:X700" si="4901">V699</f>
        <v>20.399999999999999</v>
      </c>
      <c r="W700" s="105">
        <f t="shared" si="4901"/>
        <v>1.5069999999999999</v>
      </c>
      <c r="X700" s="106">
        <f t="shared" si="4901"/>
        <v>1.504</v>
      </c>
      <c r="Y700" s="45"/>
      <c r="Z700" s="45"/>
      <c r="AA700" s="107">
        <f t="shared" ref="AA700:AB700" si="4902">AA699</f>
        <v>10.015000000000001</v>
      </c>
      <c r="AB700" s="108" t="str">
        <f t="shared" si="4902"/>
        <v>22,10,090</v>
      </c>
      <c r="AC700" s="11" t="str">
        <f t="shared" si="4471"/>
        <v>22</v>
      </c>
      <c r="AD700" s="11" t="str">
        <f t="shared" si="4472"/>
        <v>10,090</v>
      </c>
      <c r="AE700" s="11">
        <f t="shared" si="4473"/>
        <v>0.36946944444444441</v>
      </c>
      <c r="AF700" s="14">
        <f t="shared" si="4442"/>
        <v>27.106436406558959</v>
      </c>
      <c r="AG700" s="41">
        <f t="shared" si="4443"/>
        <v>-100</v>
      </c>
      <c r="AH700" s="105">
        <f t="shared" ref="AH700:AJ700" si="4903">AH699</f>
        <v>20.3</v>
      </c>
      <c r="AI700" s="105">
        <f t="shared" si="4903"/>
        <v>1.5089999999999999</v>
      </c>
      <c r="AJ700" s="105">
        <f t="shared" si="4903"/>
        <v>1.504</v>
      </c>
      <c r="AK700" s="53">
        <f t="shared" si="4854"/>
        <v>0</v>
      </c>
      <c r="AL700" s="45"/>
      <c r="AM700" s="54">
        <f t="shared" ref="AM700:AN700" si="4904">AM699</f>
        <v>5.0129999999999999</v>
      </c>
      <c r="AN700" s="101" t="str">
        <f t="shared" si="4904"/>
        <v>17,59,050</v>
      </c>
      <c r="AO700" s="11" t="str">
        <f t="shared" si="4476"/>
        <v>17</v>
      </c>
      <c r="AP700" s="11" t="str">
        <f t="shared" si="4477"/>
        <v>59,050</v>
      </c>
      <c r="AQ700" s="11">
        <f t="shared" si="4478"/>
        <v>0.29973611111111109</v>
      </c>
      <c r="AR700" s="14">
        <f t="shared" si="4446"/>
        <v>16.724711551827998</v>
      </c>
      <c r="AS700" s="41">
        <f t="shared" si="4447"/>
        <v>-100</v>
      </c>
      <c r="AT700" s="43" t="str">
        <f t="shared" si="4448"/>
        <v>NO CONFORME</v>
      </c>
      <c r="AU700" s="8" t="b">
        <f t="shared" si="4553"/>
        <v>1</v>
      </c>
      <c r="AV700" s="8" t="b">
        <f t="shared" si="4479"/>
        <v>0</v>
      </c>
      <c r="AW700" s="8" t="b">
        <f t="shared" si="4480"/>
        <v>1</v>
      </c>
      <c r="AX700" s="8" t="str">
        <f t="shared" si="4481"/>
        <v>Qcorrecto</v>
      </c>
      <c r="AY700" s="22" t="str">
        <f t="shared" si="4449"/>
        <v>aceptable</v>
      </c>
      <c r="AZ700" s="22" t="str">
        <f t="shared" si="4450"/>
        <v>aceptable</v>
      </c>
      <c r="BA700" s="22" t="str">
        <f t="shared" si="4482"/>
        <v>aceptable</v>
      </c>
      <c r="BB700" s="25" t="str">
        <f t="shared" si="4451"/>
        <v>NO CONFORME</v>
      </c>
      <c r="BC700" s="5" t="str">
        <f t="shared" si="4452"/>
        <v>NO CONFORME</v>
      </c>
      <c r="BD700" s="15">
        <f t="shared" si="4453"/>
        <v>-1</v>
      </c>
      <c r="BE700" s="15">
        <f t="shared" si="4454"/>
        <v>-1</v>
      </c>
      <c r="BF700" s="15">
        <f t="shared" si="4455"/>
        <v>-1</v>
      </c>
      <c r="BG700" s="15" t="str">
        <f t="shared" si="4456"/>
        <v>-1-1-1</v>
      </c>
      <c r="BH700" s="15" t="str">
        <f t="shared" si="4457"/>
        <v>SD</v>
      </c>
      <c r="BI700" s="15" t="str">
        <f t="shared" si="4458"/>
        <v>SI</v>
      </c>
      <c r="BJ700" s="15" t="b">
        <f t="shared" si="4459"/>
        <v>1</v>
      </c>
      <c r="BK700" s="15" t="str">
        <f t="shared" si="4460"/>
        <v>SIGIGUALES</v>
      </c>
      <c r="BL700" s="22" t="str">
        <f t="shared" si="4461"/>
        <v>NO CONFORME</v>
      </c>
    </row>
    <row r="701" spans="1:64" ht="15.75" thickBot="1" x14ac:dyDescent="0.3">
      <c r="A701" s="37">
        <v>693</v>
      </c>
      <c r="B701" s="93">
        <f t="shared" ref="B701:E701" si="4905">B700</f>
        <v>45919</v>
      </c>
      <c r="C701" s="93">
        <f t="shared" si="4905"/>
        <v>45919</v>
      </c>
      <c r="D701" s="94">
        <f t="shared" si="4905"/>
        <v>6</v>
      </c>
      <c r="E701" s="95">
        <f t="shared" si="4905"/>
        <v>15</v>
      </c>
      <c r="F701" s="13"/>
      <c r="G701" s="90"/>
      <c r="H701" s="97">
        <f t="shared" ref="H701:L701" si="4906">H700</f>
        <v>25.6</v>
      </c>
      <c r="I701" s="98">
        <f t="shared" si="4906"/>
        <v>0</v>
      </c>
      <c r="J701" s="99">
        <f t="shared" si="4906"/>
        <v>20.9</v>
      </c>
      <c r="K701" s="99">
        <f t="shared" si="4906"/>
        <v>7.883</v>
      </c>
      <c r="L701" s="99">
        <f t="shared" si="4906"/>
        <v>0.55400000000000005</v>
      </c>
      <c r="M701" s="45"/>
      <c r="N701" s="45"/>
      <c r="O701" s="100">
        <f t="shared" ref="O701:P701" si="4907">O700</f>
        <v>100.62</v>
      </c>
      <c r="P701" s="101" t="str">
        <f t="shared" si="4907"/>
        <v>2,29,560</v>
      </c>
      <c r="Q701" s="11" t="str">
        <f t="shared" si="4465"/>
        <v>2</v>
      </c>
      <c r="R701" s="11" t="str">
        <f t="shared" si="4466"/>
        <v>29,560</v>
      </c>
      <c r="S701" s="11">
        <f t="shared" si="4467"/>
        <v>4.1544444444444446E-2</v>
      </c>
      <c r="T701" s="14">
        <f t="shared" si="4468"/>
        <v>2421.9844878309709</v>
      </c>
      <c r="U701" s="39">
        <f t="shared" si="4439"/>
        <v>-100</v>
      </c>
      <c r="V701" s="105">
        <f t="shared" ref="V701:X701" si="4908">V700</f>
        <v>20.399999999999999</v>
      </c>
      <c r="W701" s="105">
        <f t="shared" si="4908"/>
        <v>1.5069999999999999</v>
      </c>
      <c r="X701" s="106">
        <f t="shared" si="4908"/>
        <v>1.504</v>
      </c>
      <c r="Y701" s="45"/>
      <c r="Z701" s="45"/>
      <c r="AA701" s="107">
        <f t="shared" ref="AA701:AB701" si="4909">AA700</f>
        <v>10.015000000000001</v>
      </c>
      <c r="AB701" s="108" t="str">
        <f t="shared" si="4909"/>
        <v>22,10,090</v>
      </c>
      <c r="AC701" s="11" t="str">
        <f t="shared" si="4471"/>
        <v>22</v>
      </c>
      <c r="AD701" s="11" t="str">
        <f t="shared" si="4472"/>
        <v>10,090</v>
      </c>
      <c r="AE701" s="11">
        <f t="shared" si="4473"/>
        <v>0.36946944444444441</v>
      </c>
      <c r="AF701" s="14">
        <f t="shared" si="4442"/>
        <v>27.106436406558959</v>
      </c>
      <c r="AG701" s="41">
        <f t="shared" si="4443"/>
        <v>-100</v>
      </c>
      <c r="AH701" s="105">
        <f t="shared" ref="AH701:AJ701" si="4910">AH700</f>
        <v>20.3</v>
      </c>
      <c r="AI701" s="105">
        <f t="shared" si="4910"/>
        <v>1.5089999999999999</v>
      </c>
      <c r="AJ701" s="105">
        <f t="shared" si="4910"/>
        <v>1.504</v>
      </c>
      <c r="AK701" s="53">
        <f t="shared" si="4854"/>
        <v>0</v>
      </c>
      <c r="AL701" s="45"/>
      <c r="AM701" s="54">
        <f t="shared" ref="AM701:AN701" si="4911">AM700</f>
        <v>5.0129999999999999</v>
      </c>
      <c r="AN701" s="101" t="str">
        <f t="shared" si="4911"/>
        <v>17,59,050</v>
      </c>
      <c r="AO701" s="11" t="str">
        <f t="shared" si="4476"/>
        <v>17</v>
      </c>
      <c r="AP701" s="11" t="str">
        <f t="shared" si="4477"/>
        <v>59,050</v>
      </c>
      <c r="AQ701" s="11">
        <f t="shared" si="4478"/>
        <v>0.29973611111111109</v>
      </c>
      <c r="AR701" s="14">
        <f t="shared" si="4446"/>
        <v>16.724711551827998</v>
      </c>
      <c r="AS701" s="41">
        <f t="shared" si="4447"/>
        <v>-100</v>
      </c>
      <c r="AT701" s="43" t="str">
        <f t="shared" si="4448"/>
        <v>NO CONFORME</v>
      </c>
      <c r="AU701" s="8" t="b">
        <f t="shared" si="4553"/>
        <v>1</v>
      </c>
      <c r="AV701" s="8" t="b">
        <f t="shared" si="4479"/>
        <v>0</v>
      </c>
      <c r="AW701" s="8" t="b">
        <f t="shared" si="4480"/>
        <v>1</v>
      </c>
      <c r="AX701" s="8" t="str">
        <f t="shared" si="4481"/>
        <v>Qcorrecto</v>
      </c>
      <c r="AY701" s="22" t="str">
        <f t="shared" si="4449"/>
        <v>aceptable</v>
      </c>
      <c r="AZ701" s="22" t="str">
        <f t="shared" si="4450"/>
        <v>aceptable</v>
      </c>
      <c r="BA701" s="22" t="str">
        <f t="shared" si="4482"/>
        <v>aceptable</v>
      </c>
      <c r="BB701" s="25" t="str">
        <f t="shared" si="4451"/>
        <v>NO CONFORME</v>
      </c>
      <c r="BC701" s="5" t="str">
        <f t="shared" si="4452"/>
        <v>NO CONFORME</v>
      </c>
      <c r="BD701" s="15">
        <f t="shared" si="4453"/>
        <v>-1</v>
      </c>
      <c r="BE701" s="15">
        <f t="shared" si="4454"/>
        <v>-1</v>
      </c>
      <c r="BF701" s="15">
        <f t="shared" si="4455"/>
        <v>-1</v>
      </c>
      <c r="BG701" s="15" t="str">
        <f t="shared" si="4456"/>
        <v>-1-1-1</v>
      </c>
      <c r="BH701" s="15" t="str">
        <f t="shared" si="4457"/>
        <v>SD</v>
      </c>
      <c r="BI701" s="15" t="str">
        <f t="shared" si="4458"/>
        <v>SI</v>
      </c>
      <c r="BJ701" s="15" t="b">
        <f t="shared" si="4459"/>
        <v>1</v>
      </c>
      <c r="BK701" s="15" t="str">
        <f t="shared" si="4460"/>
        <v>SIGIGUALES</v>
      </c>
      <c r="BL701" s="22" t="str">
        <f t="shared" si="4461"/>
        <v>NO CONFORME</v>
      </c>
    </row>
    <row r="702" spans="1:64" ht="15.75" thickBot="1" x14ac:dyDescent="0.3">
      <c r="A702" s="37">
        <v>694</v>
      </c>
      <c r="B702" s="93">
        <f t="shared" ref="B702:E702" si="4912">B701</f>
        <v>45919</v>
      </c>
      <c r="C702" s="93">
        <f t="shared" si="4912"/>
        <v>45919</v>
      </c>
      <c r="D702" s="94">
        <f t="shared" si="4912"/>
        <v>6</v>
      </c>
      <c r="E702" s="95">
        <f t="shared" si="4912"/>
        <v>15</v>
      </c>
      <c r="F702" s="13"/>
      <c r="G702" s="90"/>
      <c r="H702" s="97">
        <f t="shared" ref="H702:L702" si="4913">H701</f>
        <v>25.6</v>
      </c>
      <c r="I702" s="98">
        <f t="shared" si="4913"/>
        <v>0</v>
      </c>
      <c r="J702" s="99">
        <f t="shared" si="4913"/>
        <v>20.9</v>
      </c>
      <c r="K702" s="99">
        <f t="shared" si="4913"/>
        <v>7.883</v>
      </c>
      <c r="L702" s="99">
        <f t="shared" si="4913"/>
        <v>0.55400000000000005</v>
      </c>
      <c r="M702" s="45"/>
      <c r="N702" s="45"/>
      <c r="O702" s="100">
        <f t="shared" ref="O702:P702" si="4914">O701</f>
        <v>100.62</v>
      </c>
      <c r="P702" s="101" t="str">
        <f t="shared" si="4914"/>
        <v>2,29,560</v>
      </c>
      <c r="Q702" s="11" t="str">
        <f t="shared" si="4465"/>
        <v>2</v>
      </c>
      <c r="R702" s="11" t="str">
        <f t="shared" si="4466"/>
        <v>29,560</v>
      </c>
      <c r="S702" s="11">
        <f t="shared" si="4467"/>
        <v>4.1544444444444446E-2</v>
      </c>
      <c r="T702" s="14">
        <f t="shared" si="4468"/>
        <v>2421.9844878309709</v>
      </c>
      <c r="U702" s="39">
        <f t="shared" si="4439"/>
        <v>-100</v>
      </c>
      <c r="V702" s="105">
        <f t="shared" ref="V702:X702" si="4915">V701</f>
        <v>20.399999999999999</v>
      </c>
      <c r="W702" s="105">
        <f t="shared" si="4915"/>
        <v>1.5069999999999999</v>
      </c>
      <c r="X702" s="106">
        <f t="shared" si="4915"/>
        <v>1.504</v>
      </c>
      <c r="Y702" s="45"/>
      <c r="Z702" s="45"/>
      <c r="AA702" s="107">
        <f t="shared" ref="AA702:AB702" si="4916">AA701</f>
        <v>10.015000000000001</v>
      </c>
      <c r="AB702" s="108" t="str">
        <f t="shared" si="4916"/>
        <v>22,10,090</v>
      </c>
      <c r="AC702" s="11" t="str">
        <f t="shared" si="4471"/>
        <v>22</v>
      </c>
      <c r="AD702" s="11" t="str">
        <f t="shared" si="4472"/>
        <v>10,090</v>
      </c>
      <c r="AE702" s="11">
        <f t="shared" si="4473"/>
        <v>0.36946944444444441</v>
      </c>
      <c r="AF702" s="14">
        <f t="shared" si="4442"/>
        <v>27.106436406558959</v>
      </c>
      <c r="AG702" s="41">
        <f t="shared" si="4443"/>
        <v>-100</v>
      </c>
      <c r="AH702" s="105">
        <f t="shared" ref="AH702:AJ702" si="4917">AH701</f>
        <v>20.3</v>
      </c>
      <c r="AI702" s="105">
        <f t="shared" si="4917"/>
        <v>1.5089999999999999</v>
      </c>
      <c r="AJ702" s="105">
        <f t="shared" si="4917"/>
        <v>1.504</v>
      </c>
      <c r="AK702" s="53">
        <f t="shared" si="4854"/>
        <v>0</v>
      </c>
      <c r="AL702" s="45"/>
      <c r="AM702" s="54">
        <f t="shared" ref="AM702:AN702" si="4918">AM701</f>
        <v>5.0129999999999999</v>
      </c>
      <c r="AN702" s="101" t="str">
        <f t="shared" si="4918"/>
        <v>17,59,050</v>
      </c>
      <c r="AO702" s="11" t="str">
        <f t="shared" si="4476"/>
        <v>17</v>
      </c>
      <c r="AP702" s="11" t="str">
        <f t="shared" si="4477"/>
        <v>59,050</v>
      </c>
      <c r="AQ702" s="11">
        <f t="shared" si="4478"/>
        <v>0.29973611111111109</v>
      </c>
      <c r="AR702" s="14">
        <f t="shared" si="4446"/>
        <v>16.724711551827998</v>
      </c>
      <c r="AS702" s="41">
        <f t="shared" si="4447"/>
        <v>-100</v>
      </c>
      <c r="AT702" s="43" t="str">
        <f t="shared" si="4448"/>
        <v>NO CONFORME</v>
      </c>
      <c r="AU702" s="8" t="b">
        <f t="shared" si="4553"/>
        <v>1</v>
      </c>
      <c r="AV702" s="8" t="b">
        <f t="shared" si="4479"/>
        <v>0</v>
      </c>
      <c r="AW702" s="8" t="b">
        <f t="shared" si="4480"/>
        <v>1</v>
      </c>
      <c r="AX702" s="8" t="str">
        <f t="shared" si="4481"/>
        <v>Qcorrecto</v>
      </c>
      <c r="AY702" s="22" t="str">
        <f t="shared" si="4449"/>
        <v>aceptable</v>
      </c>
      <c r="AZ702" s="22" t="str">
        <f t="shared" si="4450"/>
        <v>aceptable</v>
      </c>
      <c r="BA702" s="22" t="str">
        <f t="shared" si="4482"/>
        <v>aceptable</v>
      </c>
      <c r="BB702" s="25" t="str">
        <f t="shared" si="4451"/>
        <v>NO CONFORME</v>
      </c>
      <c r="BC702" s="5" t="str">
        <f t="shared" si="4452"/>
        <v>NO CONFORME</v>
      </c>
      <c r="BD702" s="15">
        <f t="shared" si="4453"/>
        <v>-1</v>
      </c>
      <c r="BE702" s="15">
        <f t="shared" si="4454"/>
        <v>-1</v>
      </c>
      <c r="BF702" s="15">
        <f t="shared" si="4455"/>
        <v>-1</v>
      </c>
      <c r="BG702" s="15" t="str">
        <f t="shared" si="4456"/>
        <v>-1-1-1</v>
      </c>
      <c r="BH702" s="15" t="str">
        <f t="shared" si="4457"/>
        <v>SD</v>
      </c>
      <c r="BI702" s="15" t="str">
        <f t="shared" si="4458"/>
        <v>SI</v>
      </c>
      <c r="BJ702" s="15" t="b">
        <f t="shared" si="4459"/>
        <v>1</v>
      </c>
      <c r="BK702" s="15" t="str">
        <f t="shared" si="4460"/>
        <v>SIGIGUALES</v>
      </c>
      <c r="BL702" s="22" t="str">
        <f t="shared" si="4461"/>
        <v>NO CONFORME</v>
      </c>
    </row>
    <row r="703" spans="1:64" ht="15.75" thickBot="1" x14ac:dyDescent="0.3">
      <c r="A703" s="37">
        <v>695</v>
      </c>
      <c r="B703" s="93">
        <f t="shared" ref="B703:E703" si="4919">B702</f>
        <v>45919</v>
      </c>
      <c r="C703" s="93">
        <f t="shared" si="4919"/>
        <v>45919</v>
      </c>
      <c r="D703" s="94">
        <f t="shared" si="4919"/>
        <v>6</v>
      </c>
      <c r="E703" s="95">
        <f t="shared" si="4919"/>
        <v>15</v>
      </c>
      <c r="F703" s="13"/>
      <c r="G703" s="90"/>
      <c r="H703" s="97">
        <f t="shared" ref="H703:L703" si="4920">H702</f>
        <v>25.6</v>
      </c>
      <c r="I703" s="98">
        <f t="shared" si="4920"/>
        <v>0</v>
      </c>
      <c r="J703" s="99">
        <f t="shared" si="4920"/>
        <v>20.9</v>
      </c>
      <c r="K703" s="99">
        <f t="shared" si="4920"/>
        <v>7.883</v>
      </c>
      <c r="L703" s="99">
        <f t="shared" si="4920"/>
        <v>0.55400000000000005</v>
      </c>
      <c r="M703" s="45"/>
      <c r="N703" s="45"/>
      <c r="O703" s="100">
        <f t="shared" ref="O703:P703" si="4921">O702</f>
        <v>100.62</v>
      </c>
      <c r="P703" s="101" t="str">
        <f t="shared" si="4921"/>
        <v>2,29,560</v>
      </c>
      <c r="Q703" s="11" t="str">
        <f t="shared" si="4465"/>
        <v>2</v>
      </c>
      <c r="R703" s="11" t="str">
        <f t="shared" si="4466"/>
        <v>29,560</v>
      </c>
      <c r="S703" s="11">
        <f t="shared" si="4467"/>
        <v>4.1544444444444446E-2</v>
      </c>
      <c r="T703" s="14">
        <f t="shared" si="4468"/>
        <v>2421.9844878309709</v>
      </c>
      <c r="U703" s="39">
        <f t="shared" ref="U703:U728" si="4922">+(((N703-M703-O703)/O703)*100)</f>
        <v>-100</v>
      </c>
      <c r="V703" s="105">
        <f t="shared" ref="V703:X703" si="4923">V702</f>
        <v>20.399999999999999</v>
      </c>
      <c r="W703" s="105">
        <f t="shared" si="4923"/>
        <v>1.5069999999999999</v>
      </c>
      <c r="X703" s="106">
        <f t="shared" si="4923"/>
        <v>1.504</v>
      </c>
      <c r="Y703" s="45"/>
      <c r="Z703" s="45"/>
      <c r="AA703" s="107">
        <f t="shared" ref="AA703:AB703" si="4924">AA702</f>
        <v>10.015000000000001</v>
      </c>
      <c r="AB703" s="108" t="str">
        <f t="shared" si="4924"/>
        <v>22,10,090</v>
      </c>
      <c r="AC703" s="11" t="str">
        <f t="shared" si="4471"/>
        <v>22</v>
      </c>
      <c r="AD703" s="11" t="str">
        <f t="shared" si="4472"/>
        <v>10,090</v>
      </c>
      <c r="AE703" s="11">
        <f t="shared" si="4473"/>
        <v>0.36946944444444441</v>
      </c>
      <c r="AF703" s="14">
        <f t="shared" ref="AF703:AF728" si="4925">+AA703/AE703</f>
        <v>27.106436406558959</v>
      </c>
      <c r="AG703" s="41">
        <f t="shared" ref="AG703:AG728" si="4926">+(((Z703-Y703-AA703)/AA703)*100)</f>
        <v>-100</v>
      </c>
      <c r="AH703" s="105">
        <f t="shared" ref="AH703:AJ703" si="4927">AH702</f>
        <v>20.3</v>
      </c>
      <c r="AI703" s="105">
        <f t="shared" si="4927"/>
        <v>1.5089999999999999</v>
      </c>
      <c r="AJ703" s="105">
        <f t="shared" si="4927"/>
        <v>1.504</v>
      </c>
      <c r="AK703" s="53">
        <f t="shared" si="4854"/>
        <v>0</v>
      </c>
      <c r="AL703" s="45"/>
      <c r="AM703" s="54">
        <f t="shared" ref="AM703:AN703" si="4928">AM702</f>
        <v>5.0129999999999999</v>
      </c>
      <c r="AN703" s="101" t="str">
        <f t="shared" si="4928"/>
        <v>17,59,050</v>
      </c>
      <c r="AO703" s="11" t="str">
        <f t="shared" si="4476"/>
        <v>17</v>
      </c>
      <c r="AP703" s="11" t="str">
        <f t="shared" si="4477"/>
        <v>59,050</v>
      </c>
      <c r="AQ703" s="11">
        <f t="shared" si="4478"/>
        <v>0.29973611111111109</v>
      </c>
      <c r="AR703" s="14">
        <f t="shared" ref="AR703:AR728" si="4929">+AM703/AQ703</f>
        <v>16.724711551827998</v>
      </c>
      <c r="AS703" s="41">
        <f t="shared" ref="AS703:AS728" si="4930">+(((AL703-AK703-AM703)/AM703)*100)</f>
        <v>-100</v>
      </c>
      <c r="AT703" s="43" t="str">
        <f t="shared" ref="AT703:AT728" si="4931">IF(I703&gt;=1,"NO CONFORME",IF(BK703="SIGDIFERENTES",BC703,BL703))</f>
        <v>NO CONFORME</v>
      </c>
      <c r="AU703" s="8" t="b">
        <f t="shared" si="4553"/>
        <v>1</v>
      </c>
      <c r="AV703" s="8" t="b">
        <f t="shared" si="4479"/>
        <v>0</v>
      </c>
      <c r="AW703" s="8" t="b">
        <f t="shared" si="4480"/>
        <v>1</v>
      </c>
      <c r="AX703" s="8" t="str">
        <f t="shared" si="4481"/>
        <v>Qcorrecto</v>
      </c>
      <c r="AY703" s="22" t="str">
        <f t="shared" ref="AY703:AY728" si="4932">IF(AR703&lt;$AH$6,"error",IF(AR703&gt;$AH$6*1.1,"error","aceptable"))</f>
        <v>aceptable</v>
      </c>
      <c r="AZ703" s="22" t="str">
        <f t="shared" ref="AZ703:AZ728" si="4933">IF(AF703&lt;$V$6,"error",IF(AF703&gt;$V$6*1.1,"error","aceptable"))</f>
        <v>aceptable</v>
      </c>
      <c r="BA703" s="22" t="str">
        <f t="shared" si="4482"/>
        <v>aceptable</v>
      </c>
      <c r="BB703" s="25" t="str">
        <f t="shared" ref="BB703:BB728" si="4934">(IF(ABS(U703)&lt;1.05,"CONFORME",IF(ABS(AG703)&lt;1.05,"CONFORME",IF(ABS(AS703)&lt;2.55,"CONFORME","NO CONFORME"))))</f>
        <v>NO CONFORME</v>
      </c>
      <c r="BC703" s="5" t="str">
        <f t="shared" ref="BC703:BC728" si="4935">(IF(ABS(U703)&gt;2.05,"NO CONFORME",IF(ABS(AG703)&gt;2.05,"NO CONFORME",IF(ABS(AS703)&gt;5.05,"NO CONFORME","CONFORME"))))</f>
        <v>NO CONFORME</v>
      </c>
      <c r="BD703" s="15">
        <f t="shared" ref="BD703:BD728" si="4936">SIGN(U703)</f>
        <v>-1</v>
      </c>
      <c r="BE703" s="15">
        <f t="shared" ref="BE703:BE728" si="4937">SIGN(AG703)</f>
        <v>-1</v>
      </c>
      <c r="BF703" s="15">
        <f t="shared" ref="BF703:BF728" si="4938">SIGN(AS703)</f>
        <v>-1</v>
      </c>
      <c r="BG703" s="15" t="str">
        <f t="shared" ref="BG703:BG728" si="4939">CONCATENATE(BD703,BE703,BF703)</f>
        <v>-1-1-1</v>
      </c>
      <c r="BH703" s="15" t="str">
        <f t="shared" ref="BH703:BH728" si="4940">IF(BG703="111","SI","SD")</f>
        <v>SD</v>
      </c>
      <c r="BI703" s="15" t="str">
        <f t="shared" ref="BI703:BI728" si="4941">IF(BG703="-1-1-1","SI","SD")</f>
        <v>SI</v>
      </c>
      <c r="BJ703" s="15" t="b">
        <f t="shared" ref="BJ703:BJ728" si="4942">OR(BH703="SI",BI703="SI")</f>
        <v>1</v>
      </c>
      <c r="BK703" s="15" t="str">
        <f t="shared" ref="BK703:BK728" si="4943">IF(BJ703=FALSE,"SIGDIFERENTES","SIGIGUALES")</f>
        <v>SIGIGUALES</v>
      </c>
      <c r="BL703" s="22" t="str">
        <f t="shared" ref="BL703:BL728" si="4944">IF(BC703="NO CONFORME","NO CONFORME",IF(BB703="CONFORME","CONFORME","NO CONFORME"))</f>
        <v>NO CONFORME</v>
      </c>
    </row>
    <row r="704" spans="1:64" ht="15.75" thickBot="1" x14ac:dyDescent="0.3">
      <c r="A704" s="37">
        <v>696</v>
      </c>
      <c r="B704" s="93">
        <f t="shared" ref="B704:E704" si="4945">B703</f>
        <v>45919</v>
      </c>
      <c r="C704" s="93">
        <f t="shared" si="4945"/>
        <v>45919</v>
      </c>
      <c r="D704" s="94">
        <f t="shared" si="4945"/>
        <v>6</v>
      </c>
      <c r="E704" s="95">
        <f t="shared" si="4945"/>
        <v>15</v>
      </c>
      <c r="F704" s="13"/>
      <c r="G704" s="90"/>
      <c r="H704" s="97">
        <f t="shared" ref="H704:L704" si="4946">H703</f>
        <v>25.6</v>
      </c>
      <c r="I704" s="98">
        <f t="shared" si="4946"/>
        <v>0</v>
      </c>
      <c r="J704" s="99">
        <f t="shared" si="4946"/>
        <v>20.9</v>
      </c>
      <c r="K704" s="99">
        <f t="shared" si="4946"/>
        <v>7.883</v>
      </c>
      <c r="L704" s="99">
        <f t="shared" si="4946"/>
        <v>0.55400000000000005</v>
      </c>
      <c r="M704" s="45"/>
      <c r="N704" s="45"/>
      <c r="O704" s="100">
        <f t="shared" ref="O704:P704" si="4947">O703</f>
        <v>100.62</v>
      </c>
      <c r="P704" s="101" t="str">
        <f t="shared" si="4947"/>
        <v>2,29,560</v>
      </c>
      <c r="Q704" s="11" t="str">
        <f t="shared" ref="Q704:Q728" si="4948">LEFT(P704,1)</f>
        <v>2</v>
      </c>
      <c r="R704" s="11" t="str">
        <f t="shared" ref="R704:R728" si="4949">RIGHT(P704,6)</f>
        <v>29,560</v>
      </c>
      <c r="S704" s="11">
        <f t="shared" ref="S704:S728" si="4950">+(Q704*60+R704)/(60*60)</f>
        <v>4.1544444444444446E-2</v>
      </c>
      <c r="T704" s="14">
        <f t="shared" ref="T704:T728" si="4951">+O704/S704</f>
        <v>2421.9844878309709</v>
      </c>
      <c r="U704" s="39">
        <f t="shared" si="4922"/>
        <v>-100</v>
      </c>
      <c r="V704" s="105">
        <f t="shared" ref="V704:X704" si="4952">V703</f>
        <v>20.399999999999999</v>
      </c>
      <c r="W704" s="105">
        <f t="shared" si="4952"/>
        <v>1.5069999999999999</v>
      </c>
      <c r="X704" s="106">
        <f t="shared" si="4952"/>
        <v>1.504</v>
      </c>
      <c r="Y704" s="45"/>
      <c r="Z704" s="45"/>
      <c r="AA704" s="107">
        <f t="shared" ref="AA704:AB704" si="4953">AA703</f>
        <v>10.015000000000001</v>
      </c>
      <c r="AB704" s="108" t="str">
        <f t="shared" si="4953"/>
        <v>22,10,090</v>
      </c>
      <c r="AC704" s="11" t="str">
        <f t="shared" ref="AC704:AC728" si="4954">LEFT(AB704,2)</f>
        <v>22</v>
      </c>
      <c r="AD704" s="11" t="str">
        <f t="shared" ref="AD704:AD728" si="4955">RIGHT(AB704,6)</f>
        <v>10,090</v>
      </c>
      <c r="AE704" s="11">
        <f t="shared" ref="AE704:AE728" si="4956">+(AC704*60+AD704)/(60*60)</f>
        <v>0.36946944444444441</v>
      </c>
      <c r="AF704" s="14">
        <f t="shared" si="4925"/>
        <v>27.106436406558959</v>
      </c>
      <c r="AG704" s="41">
        <f t="shared" si="4926"/>
        <v>-100</v>
      </c>
      <c r="AH704" s="105">
        <f t="shared" ref="AH704:AJ704" si="4957">AH703</f>
        <v>20.3</v>
      </c>
      <c r="AI704" s="105">
        <f t="shared" si="4957"/>
        <v>1.5089999999999999</v>
      </c>
      <c r="AJ704" s="105">
        <f t="shared" si="4957"/>
        <v>1.504</v>
      </c>
      <c r="AK704" s="53">
        <f t="shared" si="4854"/>
        <v>0</v>
      </c>
      <c r="AL704" s="45"/>
      <c r="AM704" s="54">
        <f t="shared" ref="AM704:AN704" si="4958">AM703</f>
        <v>5.0129999999999999</v>
      </c>
      <c r="AN704" s="101" t="str">
        <f t="shared" si="4958"/>
        <v>17,59,050</v>
      </c>
      <c r="AO704" s="11" t="str">
        <f t="shared" ref="AO704:AO728" si="4959">LEFT(AN704,2)</f>
        <v>17</v>
      </c>
      <c r="AP704" s="11" t="str">
        <f t="shared" ref="AP704:AP728" si="4960">RIGHT(AN704,6)</f>
        <v>59,050</v>
      </c>
      <c r="AQ704" s="11">
        <f t="shared" ref="AQ704:AQ728" si="4961">+(AO704*60+AP704)/(60*60)</f>
        <v>0.29973611111111109</v>
      </c>
      <c r="AR704" s="14">
        <f t="shared" si="4929"/>
        <v>16.724711551827998</v>
      </c>
      <c r="AS704" s="41">
        <f t="shared" si="4930"/>
        <v>-100</v>
      </c>
      <c r="AT704" s="43" t="str">
        <f t="shared" si="4931"/>
        <v>NO CONFORME</v>
      </c>
      <c r="AU704" s="8" t="b">
        <f t="shared" si="4553"/>
        <v>1</v>
      </c>
      <c r="AV704" s="8" t="b">
        <f t="shared" ref="AV704:AV728" si="4962">N704&lt;Y704</f>
        <v>0</v>
      </c>
      <c r="AW704" s="8" t="b">
        <f t="shared" ref="AW704:AW728" si="4963">Z704&lt;=AK704</f>
        <v>1</v>
      </c>
      <c r="AX704" s="8" t="str">
        <f t="shared" ref="AX704:AX728" si="4964">IF(I704&gt;=1,"Qcorrecto",IF(AND(AY704="aceptable",AZ704="aceptable",BA704="aceptable"),"Qcorrecto","Qincorrecto"))</f>
        <v>Qcorrecto</v>
      </c>
      <c r="AY704" s="22" t="str">
        <f t="shared" si="4932"/>
        <v>aceptable</v>
      </c>
      <c r="AZ704" s="22" t="str">
        <f t="shared" si="4933"/>
        <v>aceptable</v>
      </c>
      <c r="BA704" s="22" t="str">
        <f t="shared" ref="BA704:BA728" si="4965">IF(T704&lt;$J$6*0.9,"error",IF(T704&gt;$J$6,"error","aceptable"))</f>
        <v>aceptable</v>
      </c>
      <c r="BB704" s="25" t="str">
        <f t="shared" si="4934"/>
        <v>NO CONFORME</v>
      </c>
      <c r="BC704" s="5" t="str">
        <f t="shared" si="4935"/>
        <v>NO CONFORME</v>
      </c>
      <c r="BD704" s="15">
        <f t="shared" si="4936"/>
        <v>-1</v>
      </c>
      <c r="BE704" s="15">
        <f t="shared" si="4937"/>
        <v>-1</v>
      </c>
      <c r="BF704" s="15">
        <f t="shared" si="4938"/>
        <v>-1</v>
      </c>
      <c r="BG704" s="15" t="str">
        <f t="shared" si="4939"/>
        <v>-1-1-1</v>
      </c>
      <c r="BH704" s="15" t="str">
        <f t="shared" si="4940"/>
        <v>SD</v>
      </c>
      <c r="BI704" s="15" t="str">
        <f t="shared" si="4941"/>
        <v>SI</v>
      </c>
      <c r="BJ704" s="15" t="b">
        <f t="shared" si="4942"/>
        <v>1</v>
      </c>
      <c r="BK704" s="15" t="str">
        <f t="shared" si="4943"/>
        <v>SIGIGUALES</v>
      </c>
      <c r="BL704" s="22" t="str">
        <f t="shared" si="4944"/>
        <v>NO CONFORME</v>
      </c>
    </row>
    <row r="705" spans="1:64" ht="15.75" thickBot="1" x14ac:dyDescent="0.3">
      <c r="A705" s="37">
        <v>697</v>
      </c>
      <c r="B705" s="93">
        <f t="shared" ref="B705:E705" si="4966">B704</f>
        <v>45919</v>
      </c>
      <c r="C705" s="93">
        <f t="shared" si="4966"/>
        <v>45919</v>
      </c>
      <c r="D705" s="94">
        <f t="shared" si="4966"/>
        <v>6</v>
      </c>
      <c r="E705" s="95">
        <f t="shared" si="4966"/>
        <v>15</v>
      </c>
      <c r="F705" s="13"/>
      <c r="G705" s="90"/>
      <c r="H705" s="97">
        <f t="shared" ref="H705:L705" si="4967">H704</f>
        <v>25.6</v>
      </c>
      <c r="I705" s="98">
        <f t="shared" si="4967"/>
        <v>0</v>
      </c>
      <c r="J705" s="99">
        <f t="shared" si="4967"/>
        <v>20.9</v>
      </c>
      <c r="K705" s="99">
        <f t="shared" si="4967"/>
        <v>7.883</v>
      </c>
      <c r="L705" s="99">
        <f t="shared" si="4967"/>
        <v>0.55400000000000005</v>
      </c>
      <c r="M705" s="45"/>
      <c r="N705" s="45"/>
      <c r="O705" s="100">
        <f t="shared" ref="O705:P705" si="4968">O704</f>
        <v>100.62</v>
      </c>
      <c r="P705" s="101" t="str">
        <f t="shared" si="4968"/>
        <v>2,29,560</v>
      </c>
      <c r="Q705" s="11" t="str">
        <f t="shared" si="4948"/>
        <v>2</v>
      </c>
      <c r="R705" s="11" t="str">
        <f t="shared" si="4949"/>
        <v>29,560</v>
      </c>
      <c r="S705" s="11">
        <f t="shared" si="4950"/>
        <v>4.1544444444444446E-2</v>
      </c>
      <c r="T705" s="14">
        <f t="shared" si="4951"/>
        <v>2421.9844878309709</v>
      </c>
      <c r="U705" s="39">
        <f t="shared" si="4922"/>
        <v>-100</v>
      </c>
      <c r="V705" s="105">
        <f t="shared" ref="V705:X705" si="4969">V704</f>
        <v>20.399999999999999</v>
      </c>
      <c r="W705" s="105">
        <f t="shared" si="4969"/>
        <v>1.5069999999999999</v>
      </c>
      <c r="X705" s="106">
        <f t="shared" si="4969"/>
        <v>1.504</v>
      </c>
      <c r="Y705" s="45"/>
      <c r="Z705" s="45"/>
      <c r="AA705" s="107">
        <f t="shared" ref="AA705:AB705" si="4970">AA704</f>
        <v>10.015000000000001</v>
      </c>
      <c r="AB705" s="108" t="str">
        <f t="shared" si="4970"/>
        <v>22,10,090</v>
      </c>
      <c r="AC705" s="11" t="str">
        <f t="shared" si="4954"/>
        <v>22</v>
      </c>
      <c r="AD705" s="11" t="str">
        <f t="shared" si="4955"/>
        <v>10,090</v>
      </c>
      <c r="AE705" s="11">
        <f t="shared" si="4956"/>
        <v>0.36946944444444441</v>
      </c>
      <c r="AF705" s="14">
        <f t="shared" si="4925"/>
        <v>27.106436406558959</v>
      </c>
      <c r="AG705" s="41">
        <f t="shared" si="4926"/>
        <v>-100</v>
      </c>
      <c r="AH705" s="105">
        <f t="shared" ref="AH705:AJ705" si="4971">AH704</f>
        <v>20.3</v>
      </c>
      <c r="AI705" s="105">
        <f t="shared" si="4971"/>
        <v>1.5089999999999999</v>
      </c>
      <c r="AJ705" s="105">
        <f t="shared" si="4971"/>
        <v>1.504</v>
      </c>
      <c r="AK705" s="53">
        <f t="shared" si="4854"/>
        <v>0</v>
      </c>
      <c r="AL705" s="45"/>
      <c r="AM705" s="54">
        <f t="shared" ref="AM705:AN705" si="4972">AM704</f>
        <v>5.0129999999999999</v>
      </c>
      <c r="AN705" s="101" t="str">
        <f t="shared" si="4972"/>
        <v>17,59,050</v>
      </c>
      <c r="AO705" s="11" t="str">
        <f t="shared" si="4959"/>
        <v>17</v>
      </c>
      <c r="AP705" s="11" t="str">
        <f t="shared" si="4960"/>
        <v>59,050</v>
      </c>
      <c r="AQ705" s="11">
        <f t="shared" si="4961"/>
        <v>0.29973611111111109</v>
      </c>
      <c r="AR705" s="14">
        <f t="shared" si="4929"/>
        <v>16.724711551827998</v>
      </c>
      <c r="AS705" s="41">
        <f t="shared" si="4930"/>
        <v>-100</v>
      </c>
      <c r="AT705" s="43" t="str">
        <f t="shared" si="4931"/>
        <v>NO CONFORME</v>
      </c>
      <c r="AU705" s="8" t="b">
        <f t="shared" si="4553"/>
        <v>1</v>
      </c>
      <c r="AV705" s="8" t="b">
        <f t="shared" si="4962"/>
        <v>0</v>
      </c>
      <c r="AW705" s="8" t="b">
        <f t="shared" si="4963"/>
        <v>1</v>
      </c>
      <c r="AX705" s="8" t="str">
        <f t="shared" si="4964"/>
        <v>Qcorrecto</v>
      </c>
      <c r="AY705" s="22" t="str">
        <f t="shared" si="4932"/>
        <v>aceptable</v>
      </c>
      <c r="AZ705" s="22" t="str">
        <f t="shared" si="4933"/>
        <v>aceptable</v>
      </c>
      <c r="BA705" s="22" t="str">
        <f t="shared" si="4965"/>
        <v>aceptable</v>
      </c>
      <c r="BB705" s="25" t="str">
        <f t="shared" si="4934"/>
        <v>NO CONFORME</v>
      </c>
      <c r="BC705" s="5" t="str">
        <f t="shared" si="4935"/>
        <v>NO CONFORME</v>
      </c>
      <c r="BD705" s="15">
        <f t="shared" si="4936"/>
        <v>-1</v>
      </c>
      <c r="BE705" s="15">
        <f t="shared" si="4937"/>
        <v>-1</v>
      </c>
      <c r="BF705" s="15">
        <f t="shared" si="4938"/>
        <v>-1</v>
      </c>
      <c r="BG705" s="15" t="str">
        <f t="shared" si="4939"/>
        <v>-1-1-1</v>
      </c>
      <c r="BH705" s="15" t="str">
        <f t="shared" si="4940"/>
        <v>SD</v>
      </c>
      <c r="BI705" s="15" t="str">
        <f t="shared" si="4941"/>
        <v>SI</v>
      </c>
      <c r="BJ705" s="15" t="b">
        <f t="shared" si="4942"/>
        <v>1</v>
      </c>
      <c r="BK705" s="15" t="str">
        <f t="shared" si="4943"/>
        <v>SIGIGUALES</v>
      </c>
      <c r="BL705" s="22" t="str">
        <f t="shared" si="4944"/>
        <v>NO CONFORME</v>
      </c>
    </row>
    <row r="706" spans="1:64" ht="15.75" thickBot="1" x14ac:dyDescent="0.3">
      <c r="A706" s="37">
        <v>698</v>
      </c>
      <c r="B706" s="93">
        <f t="shared" ref="B706:E706" si="4973">B705</f>
        <v>45919</v>
      </c>
      <c r="C706" s="93">
        <f t="shared" si="4973"/>
        <v>45919</v>
      </c>
      <c r="D706" s="94">
        <f t="shared" si="4973"/>
        <v>6</v>
      </c>
      <c r="E706" s="95">
        <f t="shared" si="4973"/>
        <v>15</v>
      </c>
      <c r="F706" s="13"/>
      <c r="G706" s="90"/>
      <c r="H706" s="97">
        <f t="shared" ref="H706:L706" si="4974">H705</f>
        <v>25.6</v>
      </c>
      <c r="I706" s="98">
        <f t="shared" si="4974"/>
        <v>0</v>
      </c>
      <c r="J706" s="99">
        <f t="shared" si="4974"/>
        <v>20.9</v>
      </c>
      <c r="K706" s="99">
        <f t="shared" si="4974"/>
        <v>7.883</v>
      </c>
      <c r="L706" s="99">
        <f t="shared" si="4974"/>
        <v>0.55400000000000005</v>
      </c>
      <c r="M706" s="45"/>
      <c r="N706" s="45"/>
      <c r="O706" s="100">
        <f t="shared" ref="O706:P706" si="4975">O705</f>
        <v>100.62</v>
      </c>
      <c r="P706" s="101" t="str">
        <f t="shared" si="4975"/>
        <v>2,29,560</v>
      </c>
      <c r="Q706" s="11" t="str">
        <f t="shared" si="4948"/>
        <v>2</v>
      </c>
      <c r="R706" s="11" t="str">
        <f t="shared" si="4949"/>
        <v>29,560</v>
      </c>
      <c r="S706" s="11">
        <f t="shared" si="4950"/>
        <v>4.1544444444444446E-2</v>
      </c>
      <c r="T706" s="14">
        <f t="shared" si="4951"/>
        <v>2421.9844878309709</v>
      </c>
      <c r="U706" s="39">
        <f t="shared" si="4922"/>
        <v>-100</v>
      </c>
      <c r="V706" s="105">
        <f t="shared" ref="V706:X706" si="4976">V705</f>
        <v>20.399999999999999</v>
      </c>
      <c r="W706" s="105">
        <f t="shared" si="4976"/>
        <v>1.5069999999999999</v>
      </c>
      <c r="X706" s="106">
        <f t="shared" si="4976"/>
        <v>1.504</v>
      </c>
      <c r="Y706" s="45"/>
      <c r="Z706" s="45"/>
      <c r="AA706" s="107">
        <f t="shared" ref="AA706:AB706" si="4977">AA705</f>
        <v>10.015000000000001</v>
      </c>
      <c r="AB706" s="108" t="str">
        <f t="shared" si="4977"/>
        <v>22,10,090</v>
      </c>
      <c r="AC706" s="11" t="str">
        <f t="shared" si="4954"/>
        <v>22</v>
      </c>
      <c r="AD706" s="11" t="str">
        <f t="shared" si="4955"/>
        <v>10,090</v>
      </c>
      <c r="AE706" s="11">
        <f t="shared" si="4956"/>
        <v>0.36946944444444441</v>
      </c>
      <c r="AF706" s="14">
        <f t="shared" si="4925"/>
        <v>27.106436406558959</v>
      </c>
      <c r="AG706" s="41">
        <f t="shared" si="4926"/>
        <v>-100</v>
      </c>
      <c r="AH706" s="105">
        <f t="shared" ref="AH706:AJ706" si="4978">AH705</f>
        <v>20.3</v>
      </c>
      <c r="AI706" s="105">
        <f t="shared" si="4978"/>
        <v>1.5089999999999999</v>
      </c>
      <c r="AJ706" s="105">
        <f t="shared" si="4978"/>
        <v>1.504</v>
      </c>
      <c r="AK706" s="53">
        <f t="shared" si="4854"/>
        <v>0</v>
      </c>
      <c r="AL706" s="45"/>
      <c r="AM706" s="54">
        <f t="shared" ref="AM706:AN706" si="4979">AM705</f>
        <v>5.0129999999999999</v>
      </c>
      <c r="AN706" s="101" t="str">
        <f t="shared" si="4979"/>
        <v>17,59,050</v>
      </c>
      <c r="AO706" s="11" t="str">
        <f t="shared" si="4959"/>
        <v>17</v>
      </c>
      <c r="AP706" s="11" t="str">
        <f t="shared" si="4960"/>
        <v>59,050</v>
      </c>
      <c r="AQ706" s="11">
        <f t="shared" si="4961"/>
        <v>0.29973611111111109</v>
      </c>
      <c r="AR706" s="14">
        <f t="shared" si="4929"/>
        <v>16.724711551827998</v>
      </c>
      <c r="AS706" s="41">
        <f t="shared" si="4930"/>
        <v>-100</v>
      </c>
      <c r="AT706" s="43" t="str">
        <f t="shared" si="4931"/>
        <v>NO CONFORME</v>
      </c>
      <c r="AU706" s="8" t="b">
        <f t="shared" si="4553"/>
        <v>1</v>
      </c>
      <c r="AV706" s="8" t="b">
        <f t="shared" si="4962"/>
        <v>0</v>
      </c>
      <c r="AW706" s="8" t="b">
        <f t="shared" si="4963"/>
        <v>1</v>
      </c>
      <c r="AX706" s="8" t="str">
        <f t="shared" si="4964"/>
        <v>Qcorrecto</v>
      </c>
      <c r="AY706" s="22" t="str">
        <f t="shared" si="4932"/>
        <v>aceptable</v>
      </c>
      <c r="AZ706" s="22" t="str">
        <f t="shared" si="4933"/>
        <v>aceptable</v>
      </c>
      <c r="BA706" s="22" t="str">
        <f t="shared" si="4965"/>
        <v>aceptable</v>
      </c>
      <c r="BB706" s="25" t="str">
        <f t="shared" si="4934"/>
        <v>NO CONFORME</v>
      </c>
      <c r="BC706" s="5" t="str">
        <f t="shared" si="4935"/>
        <v>NO CONFORME</v>
      </c>
      <c r="BD706" s="15">
        <f t="shared" si="4936"/>
        <v>-1</v>
      </c>
      <c r="BE706" s="15">
        <f t="shared" si="4937"/>
        <v>-1</v>
      </c>
      <c r="BF706" s="15">
        <f t="shared" si="4938"/>
        <v>-1</v>
      </c>
      <c r="BG706" s="15" t="str">
        <f t="shared" si="4939"/>
        <v>-1-1-1</v>
      </c>
      <c r="BH706" s="15" t="str">
        <f t="shared" si="4940"/>
        <v>SD</v>
      </c>
      <c r="BI706" s="15" t="str">
        <f t="shared" si="4941"/>
        <v>SI</v>
      </c>
      <c r="BJ706" s="15" t="b">
        <f t="shared" si="4942"/>
        <v>1</v>
      </c>
      <c r="BK706" s="15" t="str">
        <f t="shared" si="4943"/>
        <v>SIGIGUALES</v>
      </c>
      <c r="BL706" s="22" t="str">
        <f t="shared" si="4944"/>
        <v>NO CONFORME</v>
      </c>
    </row>
    <row r="707" spans="1:64" ht="15.75" thickBot="1" x14ac:dyDescent="0.3">
      <c r="A707" s="37">
        <v>699</v>
      </c>
      <c r="B707" s="93">
        <f t="shared" ref="B707:E707" si="4980">B706</f>
        <v>45919</v>
      </c>
      <c r="C707" s="93">
        <f t="shared" si="4980"/>
        <v>45919</v>
      </c>
      <c r="D707" s="94">
        <f t="shared" si="4980"/>
        <v>6</v>
      </c>
      <c r="E707" s="95">
        <f t="shared" si="4980"/>
        <v>15</v>
      </c>
      <c r="F707" s="13"/>
      <c r="G707" s="90"/>
      <c r="H707" s="97">
        <f t="shared" ref="H707:L707" si="4981">H706</f>
        <v>25.6</v>
      </c>
      <c r="I707" s="98">
        <f t="shared" si="4981"/>
        <v>0</v>
      </c>
      <c r="J707" s="99">
        <f t="shared" si="4981"/>
        <v>20.9</v>
      </c>
      <c r="K707" s="99">
        <f t="shared" si="4981"/>
        <v>7.883</v>
      </c>
      <c r="L707" s="99">
        <f t="shared" si="4981"/>
        <v>0.55400000000000005</v>
      </c>
      <c r="M707" s="45"/>
      <c r="N707" s="45"/>
      <c r="O707" s="100">
        <f t="shared" ref="O707:P707" si="4982">O706</f>
        <v>100.62</v>
      </c>
      <c r="P707" s="101" t="str">
        <f t="shared" si="4982"/>
        <v>2,29,560</v>
      </c>
      <c r="Q707" s="11" t="str">
        <f t="shared" si="4948"/>
        <v>2</v>
      </c>
      <c r="R707" s="11" t="str">
        <f t="shared" si="4949"/>
        <v>29,560</v>
      </c>
      <c r="S707" s="11">
        <f t="shared" si="4950"/>
        <v>4.1544444444444446E-2</v>
      </c>
      <c r="T707" s="14">
        <f t="shared" si="4951"/>
        <v>2421.9844878309709</v>
      </c>
      <c r="U707" s="39">
        <f t="shared" si="4922"/>
        <v>-100</v>
      </c>
      <c r="V707" s="105">
        <f t="shared" ref="V707:X707" si="4983">V706</f>
        <v>20.399999999999999</v>
      </c>
      <c r="W707" s="105">
        <f t="shared" si="4983"/>
        <v>1.5069999999999999</v>
      </c>
      <c r="X707" s="106">
        <f t="shared" si="4983"/>
        <v>1.504</v>
      </c>
      <c r="Y707" s="45"/>
      <c r="Z707" s="45"/>
      <c r="AA707" s="107">
        <f t="shared" ref="AA707:AB707" si="4984">AA706</f>
        <v>10.015000000000001</v>
      </c>
      <c r="AB707" s="108" t="str">
        <f t="shared" si="4984"/>
        <v>22,10,090</v>
      </c>
      <c r="AC707" s="11" t="str">
        <f t="shared" si="4954"/>
        <v>22</v>
      </c>
      <c r="AD707" s="11" t="str">
        <f t="shared" si="4955"/>
        <v>10,090</v>
      </c>
      <c r="AE707" s="11">
        <f t="shared" si="4956"/>
        <v>0.36946944444444441</v>
      </c>
      <c r="AF707" s="14">
        <f t="shared" si="4925"/>
        <v>27.106436406558959</v>
      </c>
      <c r="AG707" s="41">
        <f t="shared" si="4926"/>
        <v>-100</v>
      </c>
      <c r="AH707" s="105">
        <f t="shared" ref="AH707:AJ707" si="4985">AH706</f>
        <v>20.3</v>
      </c>
      <c r="AI707" s="105">
        <f t="shared" si="4985"/>
        <v>1.5089999999999999</v>
      </c>
      <c r="AJ707" s="105">
        <f t="shared" si="4985"/>
        <v>1.504</v>
      </c>
      <c r="AK707" s="53">
        <f t="shared" si="4854"/>
        <v>0</v>
      </c>
      <c r="AL707" s="45"/>
      <c r="AM707" s="54">
        <f t="shared" ref="AM707:AN707" si="4986">AM706</f>
        <v>5.0129999999999999</v>
      </c>
      <c r="AN707" s="101" t="str">
        <f t="shared" si="4986"/>
        <v>17,59,050</v>
      </c>
      <c r="AO707" s="11" t="str">
        <f t="shared" si="4959"/>
        <v>17</v>
      </c>
      <c r="AP707" s="11" t="str">
        <f t="shared" si="4960"/>
        <v>59,050</v>
      </c>
      <c r="AQ707" s="11">
        <f t="shared" si="4961"/>
        <v>0.29973611111111109</v>
      </c>
      <c r="AR707" s="14">
        <f t="shared" si="4929"/>
        <v>16.724711551827998</v>
      </c>
      <c r="AS707" s="41">
        <f t="shared" si="4930"/>
        <v>-100</v>
      </c>
      <c r="AT707" s="43" t="str">
        <f t="shared" si="4931"/>
        <v>NO CONFORME</v>
      </c>
      <c r="AU707" s="8" t="b">
        <f t="shared" si="4553"/>
        <v>1</v>
      </c>
      <c r="AV707" s="8" t="b">
        <f t="shared" si="4962"/>
        <v>0</v>
      </c>
      <c r="AW707" s="8" t="b">
        <f t="shared" si="4963"/>
        <v>1</v>
      </c>
      <c r="AX707" s="8" t="str">
        <f t="shared" si="4964"/>
        <v>Qcorrecto</v>
      </c>
      <c r="AY707" s="22" t="str">
        <f t="shared" si="4932"/>
        <v>aceptable</v>
      </c>
      <c r="AZ707" s="22" t="str">
        <f t="shared" si="4933"/>
        <v>aceptable</v>
      </c>
      <c r="BA707" s="22" t="str">
        <f t="shared" si="4965"/>
        <v>aceptable</v>
      </c>
      <c r="BB707" s="25" t="str">
        <f t="shared" si="4934"/>
        <v>NO CONFORME</v>
      </c>
      <c r="BC707" s="5" t="str">
        <f t="shared" si="4935"/>
        <v>NO CONFORME</v>
      </c>
      <c r="BD707" s="15">
        <f t="shared" si="4936"/>
        <v>-1</v>
      </c>
      <c r="BE707" s="15">
        <f t="shared" si="4937"/>
        <v>-1</v>
      </c>
      <c r="BF707" s="15">
        <f t="shared" si="4938"/>
        <v>-1</v>
      </c>
      <c r="BG707" s="15" t="str">
        <f t="shared" si="4939"/>
        <v>-1-1-1</v>
      </c>
      <c r="BH707" s="15" t="str">
        <f t="shared" si="4940"/>
        <v>SD</v>
      </c>
      <c r="BI707" s="15" t="str">
        <f t="shared" si="4941"/>
        <v>SI</v>
      </c>
      <c r="BJ707" s="15" t="b">
        <f t="shared" si="4942"/>
        <v>1</v>
      </c>
      <c r="BK707" s="15" t="str">
        <f t="shared" si="4943"/>
        <v>SIGIGUALES</v>
      </c>
      <c r="BL707" s="22" t="str">
        <f t="shared" si="4944"/>
        <v>NO CONFORME</v>
      </c>
    </row>
    <row r="708" spans="1:64" ht="15.75" thickBot="1" x14ac:dyDescent="0.3">
      <c r="A708" s="37">
        <v>700</v>
      </c>
      <c r="B708" s="93">
        <f t="shared" ref="B708:E708" si="4987">B707</f>
        <v>45919</v>
      </c>
      <c r="C708" s="93">
        <f t="shared" si="4987"/>
        <v>45919</v>
      </c>
      <c r="D708" s="94">
        <f t="shared" si="4987"/>
        <v>6</v>
      </c>
      <c r="E708" s="95">
        <f t="shared" si="4987"/>
        <v>15</v>
      </c>
      <c r="F708" s="13"/>
      <c r="G708" s="90"/>
      <c r="H708" s="97">
        <f t="shared" ref="H708:L708" si="4988">H707</f>
        <v>25.6</v>
      </c>
      <c r="I708" s="98">
        <f t="shared" si="4988"/>
        <v>0</v>
      </c>
      <c r="J708" s="99">
        <f t="shared" si="4988"/>
        <v>20.9</v>
      </c>
      <c r="K708" s="99">
        <f t="shared" si="4988"/>
        <v>7.883</v>
      </c>
      <c r="L708" s="99">
        <f t="shared" si="4988"/>
        <v>0.55400000000000005</v>
      </c>
      <c r="M708" s="45"/>
      <c r="N708" s="45"/>
      <c r="O708" s="100">
        <f t="shared" ref="O708:P708" si="4989">O707</f>
        <v>100.62</v>
      </c>
      <c r="P708" s="101" t="str">
        <f t="shared" si="4989"/>
        <v>2,29,560</v>
      </c>
      <c r="Q708" s="11" t="str">
        <f t="shared" si="4948"/>
        <v>2</v>
      </c>
      <c r="R708" s="11" t="str">
        <f t="shared" si="4949"/>
        <v>29,560</v>
      </c>
      <c r="S708" s="11">
        <f t="shared" si="4950"/>
        <v>4.1544444444444446E-2</v>
      </c>
      <c r="T708" s="14">
        <f t="shared" si="4951"/>
        <v>2421.9844878309709</v>
      </c>
      <c r="U708" s="39">
        <f t="shared" si="4922"/>
        <v>-100</v>
      </c>
      <c r="V708" s="105">
        <f t="shared" ref="V708:X708" si="4990">V707</f>
        <v>20.399999999999999</v>
      </c>
      <c r="W708" s="105">
        <f t="shared" si="4990"/>
        <v>1.5069999999999999</v>
      </c>
      <c r="X708" s="106">
        <f t="shared" si="4990"/>
        <v>1.504</v>
      </c>
      <c r="Y708" s="45"/>
      <c r="Z708" s="45"/>
      <c r="AA708" s="107">
        <f t="shared" ref="AA708:AB708" si="4991">AA707</f>
        <v>10.015000000000001</v>
      </c>
      <c r="AB708" s="108" t="str">
        <f t="shared" si="4991"/>
        <v>22,10,090</v>
      </c>
      <c r="AC708" s="11" t="str">
        <f t="shared" si="4954"/>
        <v>22</v>
      </c>
      <c r="AD708" s="11" t="str">
        <f t="shared" si="4955"/>
        <v>10,090</v>
      </c>
      <c r="AE708" s="11">
        <f t="shared" si="4956"/>
        <v>0.36946944444444441</v>
      </c>
      <c r="AF708" s="14">
        <f t="shared" si="4925"/>
        <v>27.106436406558959</v>
      </c>
      <c r="AG708" s="41">
        <f t="shared" si="4926"/>
        <v>-100</v>
      </c>
      <c r="AH708" s="105">
        <f t="shared" ref="AH708:AJ708" si="4992">AH707</f>
        <v>20.3</v>
      </c>
      <c r="AI708" s="105">
        <f t="shared" si="4992"/>
        <v>1.5089999999999999</v>
      </c>
      <c r="AJ708" s="105">
        <f t="shared" si="4992"/>
        <v>1.504</v>
      </c>
      <c r="AK708" s="53">
        <f t="shared" si="4854"/>
        <v>0</v>
      </c>
      <c r="AL708" s="45"/>
      <c r="AM708" s="54">
        <f t="shared" ref="AM708:AN708" si="4993">AM707</f>
        <v>5.0129999999999999</v>
      </c>
      <c r="AN708" s="101" t="str">
        <f t="shared" si="4993"/>
        <v>17,59,050</v>
      </c>
      <c r="AO708" s="11" t="str">
        <f t="shared" si="4959"/>
        <v>17</v>
      </c>
      <c r="AP708" s="11" t="str">
        <f t="shared" si="4960"/>
        <v>59,050</v>
      </c>
      <c r="AQ708" s="11">
        <f t="shared" si="4961"/>
        <v>0.29973611111111109</v>
      </c>
      <c r="AR708" s="14">
        <f t="shared" si="4929"/>
        <v>16.724711551827998</v>
      </c>
      <c r="AS708" s="41">
        <f t="shared" si="4930"/>
        <v>-100</v>
      </c>
      <c r="AT708" s="43" t="str">
        <f t="shared" si="4931"/>
        <v>NO CONFORME</v>
      </c>
      <c r="AU708" s="8" t="b">
        <f t="shared" si="4553"/>
        <v>1</v>
      </c>
      <c r="AV708" s="8" t="b">
        <f t="shared" si="4962"/>
        <v>0</v>
      </c>
      <c r="AW708" s="8" t="b">
        <f t="shared" si="4963"/>
        <v>1</v>
      </c>
      <c r="AX708" s="8" t="str">
        <f t="shared" si="4964"/>
        <v>Qcorrecto</v>
      </c>
      <c r="AY708" s="22" t="str">
        <f t="shared" si="4932"/>
        <v>aceptable</v>
      </c>
      <c r="AZ708" s="22" t="str">
        <f t="shared" si="4933"/>
        <v>aceptable</v>
      </c>
      <c r="BA708" s="22" t="str">
        <f t="shared" si="4965"/>
        <v>aceptable</v>
      </c>
      <c r="BB708" s="25" t="str">
        <f t="shared" si="4934"/>
        <v>NO CONFORME</v>
      </c>
      <c r="BC708" s="5" t="str">
        <f t="shared" si="4935"/>
        <v>NO CONFORME</v>
      </c>
      <c r="BD708" s="15">
        <f t="shared" si="4936"/>
        <v>-1</v>
      </c>
      <c r="BE708" s="15">
        <f t="shared" si="4937"/>
        <v>-1</v>
      </c>
      <c r="BF708" s="15">
        <f t="shared" si="4938"/>
        <v>-1</v>
      </c>
      <c r="BG708" s="15" t="str">
        <f t="shared" si="4939"/>
        <v>-1-1-1</v>
      </c>
      <c r="BH708" s="15" t="str">
        <f t="shared" si="4940"/>
        <v>SD</v>
      </c>
      <c r="BI708" s="15" t="str">
        <f t="shared" si="4941"/>
        <v>SI</v>
      </c>
      <c r="BJ708" s="15" t="b">
        <f t="shared" si="4942"/>
        <v>1</v>
      </c>
      <c r="BK708" s="15" t="str">
        <f t="shared" si="4943"/>
        <v>SIGIGUALES</v>
      </c>
      <c r="BL708" s="22" t="str">
        <f t="shared" si="4944"/>
        <v>NO CONFORME</v>
      </c>
    </row>
    <row r="709" spans="1:64" ht="15.75" thickBot="1" x14ac:dyDescent="0.3">
      <c r="A709" s="37">
        <v>701</v>
      </c>
      <c r="B709" s="93">
        <f t="shared" ref="B709:E709" si="4994">B708</f>
        <v>45919</v>
      </c>
      <c r="C709" s="93">
        <f t="shared" si="4994"/>
        <v>45919</v>
      </c>
      <c r="D709" s="94">
        <f t="shared" si="4994"/>
        <v>6</v>
      </c>
      <c r="E709" s="95">
        <f t="shared" si="4994"/>
        <v>15</v>
      </c>
      <c r="F709" s="13"/>
      <c r="G709" s="90"/>
      <c r="H709" s="97">
        <f t="shared" ref="H709:L709" si="4995">H708</f>
        <v>25.6</v>
      </c>
      <c r="I709" s="98">
        <f t="shared" si="4995"/>
        <v>0</v>
      </c>
      <c r="J709" s="99">
        <f t="shared" si="4995"/>
        <v>20.9</v>
      </c>
      <c r="K709" s="99">
        <f t="shared" si="4995"/>
        <v>7.883</v>
      </c>
      <c r="L709" s="99">
        <f t="shared" si="4995"/>
        <v>0.55400000000000005</v>
      </c>
      <c r="M709" s="45"/>
      <c r="N709" s="45"/>
      <c r="O709" s="100">
        <f t="shared" ref="O709:P709" si="4996">O708</f>
        <v>100.62</v>
      </c>
      <c r="P709" s="101" t="str">
        <f t="shared" si="4996"/>
        <v>2,29,560</v>
      </c>
      <c r="Q709" s="11" t="str">
        <f t="shared" si="4948"/>
        <v>2</v>
      </c>
      <c r="R709" s="11" t="str">
        <f t="shared" si="4949"/>
        <v>29,560</v>
      </c>
      <c r="S709" s="11">
        <f t="shared" si="4950"/>
        <v>4.1544444444444446E-2</v>
      </c>
      <c r="T709" s="14">
        <f t="shared" si="4951"/>
        <v>2421.9844878309709</v>
      </c>
      <c r="U709" s="39">
        <f t="shared" si="4922"/>
        <v>-100</v>
      </c>
      <c r="V709" s="105">
        <f t="shared" ref="V709:X709" si="4997">V708</f>
        <v>20.399999999999999</v>
      </c>
      <c r="W709" s="105">
        <f t="shared" si="4997"/>
        <v>1.5069999999999999</v>
      </c>
      <c r="X709" s="106">
        <f t="shared" si="4997"/>
        <v>1.504</v>
      </c>
      <c r="Y709" s="45"/>
      <c r="Z709" s="45"/>
      <c r="AA709" s="107">
        <f t="shared" ref="AA709:AB709" si="4998">AA708</f>
        <v>10.015000000000001</v>
      </c>
      <c r="AB709" s="108" t="str">
        <f t="shared" si="4998"/>
        <v>22,10,090</v>
      </c>
      <c r="AC709" s="11" t="str">
        <f t="shared" si="4954"/>
        <v>22</v>
      </c>
      <c r="AD709" s="11" t="str">
        <f t="shared" si="4955"/>
        <v>10,090</v>
      </c>
      <c r="AE709" s="11">
        <f t="shared" si="4956"/>
        <v>0.36946944444444441</v>
      </c>
      <c r="AF709" s="14">
        <f t="shared" si="4925"/>
        <v>27.106436406558959</v>
      </c>
      <c r="AG709" s="41">
        <f t="shared" si="4926"/>
        <v>-100</v>
      </c>
      <c r="AH709" s="105">
        <f t="shared" ref="AH709:AJ709" si="4999">AH708</f>
        <v>20.3</v>
      </c>
      <c r="AI709" s="105">
        <f t="shared" si="4999"/>
        <v>1.5089999999999999</v>
      </c>
      <c r="AJ709" s="105">
        <f t="shared" si="4999"/>
        <v>1.504</v>
      </c>
      <c r="AK709" s="53">
        <f t="shared" si="4854"/>
        <v>0</v>
      </c>
      <c r="AL709" s="45"/>
      <c r="AM709" s="54">
        <f t="shared" ref="AM709:AN709" si="5000">AM708</f>
        <v>5.0129999999999999</v>
      </c>
      <c r="AN709" s="101" t="str">
        <f t="shared" si="5000"/>
        <v>17,59,050</v>
      </c>
      <c r="AO709" s="11" t="str">
        <f t="shared" si="4959"/>
        <v>17</v>
      </c>
      <c r="AP709" s="11" t="str">
        <f t="shared" si="4960"/>
        <v>59,050</v>
      </c>
      <c r="AQ709" s="11">
        <f t="shared" si="4961"/>
        <v>0.29973611111111109</v>
      </c>
      <c r="AR709" s="14">
        <f t="shared" si="4929"/>
        <v>16.724711551827998</v>
      </c>
      <c r="AS709" s="41">
        <f t="shared" si="4930"/>
        <v>-100</v>
      </c>
      <c r="AT709" s="43" t="str">
        <f t="shared" si="4931"/>
        <v>NO CONFORME</v>
      </c>
      <c r="AU709" s="8" t="b">
        <f t="shared" si="4553"/>
        <v>1</v>
      </c>
      <c r="AV709" s="8" t="b">
        <f t="shared" si="4962"/>
        <v>0</v>
      </c>
      <c r="AW709" s="8" t="b">
        <f t="shared" si="4963"/>
        <v>1</v>
      </c>
      <c r="AX709" s="8" t="str">
        <f t="shared" si="4964"/>
        <v>Qcorrecto</v>
      </c>
      <c r="AY709" s="22" t="str">
        <f t="shared" si="4932"/>
        <v>aceptable</v>
      </c>
      <c r="AZ709" s="22" t="str">
        <f t="shared" si="4933"/>
        <v>aceptable</v>
      </c>
      <c r="BA709" s="22" t="str">
        <f t="shared" si="4965"/>
        <v>aceptable</v>
      </c>
      <c r="BB709" s="25" t="str">
        <f t="shared" si="4934"/>
        <v>NO CONFORME</v>
      </c>
      <c r="BC709" s="5" t="str">
        <f t="shared" si="4935"/>
        <v>NO CONFORME</v>
      </c>
      <c r="BD709" s="15">
        <f t="shared" si="4936"/>
        <v>-1</v>
      </c>
      <c r="BE709" s="15">
        <f t="shared" si="4937"/>
        <v>-1</v>
      </c>
      <c r="BF709" s="15">
        <f t="shared" si="4938"/>
        <v>-1</v>
      </c>
      <c r="BG709" s="15" t="str">
        <f t="shared" si="4939"/>
        <v>-1-1-1</v>
      </c>
      <c r="BH709" s="15" t="str">
        <f t="shared" si="4940"/>
        <v>SD</v>
      </c>
      <c r="BI709" s="15" t="str">
        <f t="shared" si="4941"/>
        <v>SI</v>
      </c>
      <c r="BJ709" s="15" t="b">
        <f t="shared" si="4942"/>
        <v>1</v>
      </c>
      <c r="BK709" s="15" t="str">
        <f t="shared" si="4943"/>
        <v>SIGIGUALES</v>
      </c>
      <c r="BL709" s="22" t="str">
        <f t="shared" si="4944"/>
        <v>NO CONFORME</v>
      </c>
    </row>
    <row r="710" spans="1:64" ht="15.75" thickBot="1" x14ac:dyDescent="0.3">
      <c r="A710" s="37">
        <v>702</v>
      </c>
      <c r="B710" s="93">
        <f t="shared" ref="B710:E710" si="5001">B709</f>
        <v>45919</v>
      </c>
      <c r="C710" s="93">
        <f t="shared" si="5001"/>
        <v>45919</v>
      </c>
      <c r="D710" s="94">
        <f t="shared" si="5001"/>
        <v>6</v>
      </c>
      <c r="E710" s="95">
        <f t="shared" si="5001"/>
        <v>15</v>
      </c>
      <c r="F710" s="13"/>
      <c r="G710" s="90"/>
      <c r="H710" s="97">
        <f t="shared" ref="H710:L710" si="5002">H709</f>
        <v>25.6</v>
      </c>
      <c r="I710" s="98">
        <f t="shared" si="5002"/>
        <v>0</v>
      </c>
      <c r="J710" s="99">
        <f t="shared" si="5002"/>
        <v>20.9</v>
      </c>
      <c r="K710" s="99">
        <f t="shared" si="5002"/>
        <v>7.883</v>
      </c>
      <c r="L710" s="99">
        <f t="shared" si="5002"/>
        <v>0.55400000000000005</v>
      </c>
      <c r="M710" s="45"/>
      <c r="N710" s="45"/>
      <c r="O710" s="100">
        <f t="shared" ref="O710:P710" si="5003">O709</f>
        <v>100.62</v>
      </c>
      <c r="P710" s="101" t="str">
        <f t="shared" si="5003"/>
        <v>2,29,560</v>
      </c>
      <c r="Q710" s="11" t="str">
        <f t="shared" si="4948"/>
        <v>2</v>
      </c>
      <c r="R710" s="11" t="str">
        <f t="shared" si="4949"/>
        <v>29,560</v>
      </c>
      <c r="S710" s="11">
        <f t="shared" si="4950"/>
        <v>4.1544444444444446E-2</v>
      </c>
      <c r="T710" s="14">
        <f t="shared" si="4951"/>
        <v>2421.9844878309709</v>
      </c>
      <c r="U710" s="39">
        <f t="shared" si="4922"/>
        <v>-100</v>
      </c>
      <c r="V710" s="105">
        <f t="shared" ref="V710:X710" si="5004">V709</f>
        <v>20.399999999999999</v>
      </c>
      <c r="W710" s="105">
        <f t="shared" si="5004"/>
        <v>1.5069999999999999</v>
      </c>
      <c r="X710" s="106">
        <f t="shared" si="5004"/>
        <v>1.504</v>
      </c>
      <c r="Y710" s="45"/>
      <c r="Z710" s="45"/>
      <c r="AA710" s="107">
        <f t="shared" ref="AA710:AB710" si="5005">AA709</f>
        <v>10.015000000000001</v>
      </c>
      <c r="AB710" s="108" t="str">
        <f t="shared" si="5005"/>
        <v>22,10,090</v>
      </c>
      <c r="AC710" s="11" t="str">
        <f t="shared" si="4954"/>
        <v>22</v>
      </c>
      <c r="AD710" s="11" t="str">
        <f t="shared" si="4955"/>
        <v>10,090</v>
      </c>
      <c r="AE710" s="11">
        <f t="shared" si="4956"/>
        <v>0.36946944444444441</v>
      </c>
      <c r="AF710" s="14">
        <f t="shared" si="4925"/>
        <v>27.106436406558959</v>
      </c>
      <c r="AG710" s="41">
        <f t="shared" si="4926"/>
        <v>-100</v>
      </c>
      <c r="AH710" s="105">
        <f t="shared" ref="AH710:AJ710" si="5006">AH709</f>
        <v>20.3</v>
      </c>
      <c r="AI710" s="105">
        <f t="shared" si="5006"/>
        <v>1.5089999999999999</v>
      </c>
      <c r="AJ710" s="105">
        <f t="shared" si="5006"/>
        <v>1.504</v>
      </c>
      <c r="AK710" s="53">
        <f t="shared" si="4854"/>
        <v>0</v>
      </c>
      <c r="AL710" s="45"/>
      <c r="AM710" s="54">
        <f t="shared" ref="AM710:AN710" si="5007">AM709</f>
        <v>5.0129999999999999</v>
      </c>
      <c r="AN710" s="101" t="str">
        <f t="shared" si="5007"/>
        <v>17,59,050</v>
      </c>
      <c r="AO710" s="11" t="str">
        <f t="shared" si="4959"/>
        <v>17</v>
      </c>
      <c r="AP710" s="11" t="str">
        <f t="shared" si="4960"/>
        <v>59,050</v>
      </c>
      <c r="AQ710" s="11">
        <f t="shared" si="4961"/>
        <v>0.29973611111111109</v>
      </c>
      <c r="AR710" s="14">
        <f t="shared" si="4929"/>
        <v>16.724711551827998</v>
      </c>
      <c r="AS710" s="41">
        <f t="shared" si="4930"/>
        <v>-100</v>
      </c>
      <c r="AT710" s="43" t="str">
        <f t="shared" si="4931"/>
        <v>NO CONFORME</v>
      </c>
      <c r="AU710" s="8" t="b">
        <f t="shared" si="4553"/>
        <v>1</v>
      </c>
      <c r="AV710" s="8" t="b">
        <f t="shared" si="4962"/>
        <v>0</v>
      </c>
      <c r="AW710" s="8" t="b">
        <f t="shared" si="4963"/>
        <v>1</v>
      </c>
      <c r="AX710" s="8" t="str">
        <f t="shared" si="4964"/>
        <v>Qcorrecto</v>
      </c>
      <c r="AY710" s="22" t="str">
        <f t="shared" si="4932"/>
        <v>aceptable</v>
      </c>
      <c r="AZ710" s="22" t="str">
        <f t="shared" si="4933"/>
        <v>aceptable</v>
      </c>
      <c r="BA710" s="22" t="str">
        <f t="shared" si="4965"/>
        <v>aceptable</v>
      </c>
      <c r="BB710" s="25" t="str">
        <f t="shared" si="4934"/>
        <v>NO CONFORME</v>
      </c>
      <c r="BC710" s="5" t="str">
        <f t="shared" si="4935"/>
        <v>NO CONFORME</v>
      </c>
      <c r="BD710" s="15">
        <f t="shared" si="4936"/>
        <v>-1</v>
      </c>
      <c r="BE710" s="15">
        <f t="shared" si="4937"/>
        <v>-1</v>
      </c>
      <c r="BF710" s="15">
        <f t="shared" si="4938"/>
        <v>-1</v>
      </c>
      <c r="BG710" s="15" t="str">
        <f t="shared" si="4939"/>
        <v>-1-1-1</v>
      </c>
      <c r="BH710" s="15" t="str">
        <f t="shared" si="4940"/>
        <v>SD</v>
      </c>
      <c r="BI710" s="15" t="str">
        <f t="shared" si="4941"/>
        <v>SI</v>
      </c>
      <c r="BJ710" s="15" t="b">
        <f t="shared" si="4942"/>
        <v>1</v>
      </c>
      <c r="BK710" s="15" t="str">
        <f t="shared" si="4943"/>
        <v>SIGIGUALES</v>
      </c>
      <c r="BL710" s="22" t="str">
        <f t="shared" si="4944"/>
        <v>NO CONFORME</v>
      </c>
    </row>
    <row r="711" spans="1:64" ht="15.75" thickBot="1" x14ac:dyDescent="0.3">
      <c r="A711" s="37">
        <v>703</v>
      </c>
      <c r="B711" s="93">
        <f t="shared" ref="B711:E711" si="5008">B710</f>
        <v>45919</v>
      </c>
      <c r="C711" s="93">
        <f t="shared" si="5008"/>
        <v>45919</v>
      </c>
      <c r="D711" s="94">
        <f t="shared" si="5008"/>
        <v>6</v>
      </c>
      <c r="E711" s="95">
        <f t="shared" si="5008"/>
        <v>15</v>
      </c>
      <c r="F711" s="13"/>
      <c r="G711" s="90"/>
      <c r="H711" s="97">
        <f t="shared" ref="H711:L711" si="5009">H710</f>
        <v>25.6</v>
      </c>
      <c r="I711" s="98">
        <f t="shared" si="5009"/>
        <v>0</v>
      </c>
      <c r="J711" s="99">
        <f t="shared" si="5009"/>
        <v>20.9</v>
      </c>
      <c r="K711" s="99">
        <f t="shared" si="5009"/>
        <v>7.883</v>
      </c>
      <c r="L711" s="99">
        <f t="shared" si="5009"/>
        <v>0.55400000000000005</v>
      </c>
      <c r="M711" s="45"/>
      <c r="N711" s="45"/>
      <c r="O711" s="100">
        <f t="shared" ref="O711:P711" si="5010">O710</f>
        <v>100.62</v>
      </c>
      <c r="P711" s="101" t="str">
        <f t="shared" si="5010"/>
        <v>2,29,560</v>
      </c>
      <c r="Q711" s="11" t="str">
        <f t="shared" si="4948"/>
        <v>2</v>
      </c>
      <c r="R711" s="11" t="str">
        <f t="shared" si="4949"/>
        <v>29,560</v>
      </c>
      <c r="S711" s="11">
        <f t="shared" si="4950"/>
        <v>4.1544444444444446E-2</v>
      </c>
      <c r="T711" s="14">
        <f t="shared" si="4951"/>
        <v>2421.9844878309709</v>
      </c>
      <c r="U711" s="39">
        <f t="shared" si="4922"/>
        <v>-100</v>
      </c>
      <c r="V711" s="105">
        <f t="shared" ref="V711:X711" si="5011">V710</f>
        <v>20.399999999999999</v>
      </c>
      <c r="W711" s="105">
        <f t="shared" si="5011"/>
        <v>1.5069999999999999</v>
      </c>
      <c r="X711" s="106">
        <f t="shared" si="5011"/>
        <v>1.504</v>
      </c>
      <c r="Y711" s="45"/>
      <c r="Z711" s="45"/>
      <c r="AA711" s="107">
        <f t="shared" ref="AA711:AB711" si="5012">AA710</f>
        <v>10.015000000000001</v>
      </c>
      <c r="AB711" s="108" t="str">
        <f t="shared" si="5012"/>
        <v>22,10,090</v>
      </c>
      <c r="AC711" s="11" t="str">
        <f t="shared" si="4954"/>
        <v>22</v>
      </c>
      <c r="AD711" s="11" t="str">
        <f t="shared" si="4955"/>
        <v>10,090</v>
      </c>
      <c r="AE711" s="11">
        <f t="shared" si="4956"/>
        <v>0.36946944444444441</v>
      </c>
      <c r="AF711" s="14">
        <f t="shared" si="4925"/>
        <v>27.106436406558959</v>
      </c>
      <c r="AG711" s="41">
        <f t="shared" si="4926"/>
        <v>-100</v>
      </c>
      <c r="AH711" s="105">
        <f t="shared" ref="AH711:AJ711" si="5013">AH710</f>
        <v>20.3</v>
      </c>
      <c r="AI711" s="105">
        <f t="shared" si="5013"/>
        <v>1.5089999999999999</v>
      </c>
      <c r="AJ711" s="105">
        <f t="shared" si="5013"/>
        <v>1.504</v>
      </c>
      <c r="AK711" s="53">
        <f t="shared" si="4854"/>
        <v>0</v>
      </c>
      <c r="AL711" s="45"/>
      <c r="AM711" s="54">
        <f t="shared" ref="AM711:AN711" si="5014">AM710</f>
        <v>5.0129999999999999</v>
      </c>
      <c r="AN711" s="101" t="str">
        <f t="shared" si="5014"/>
        <v>17,59,050</v>
      </c>
      <c r="AO711" s="11" t="str">
        <f t="shared" si="4959"/>
        <v>17</v>
      </c>
      <c r="AP711" s="11" t="str">
        <f t="shared" si="4960"/>
        <v>59,050</v>
      </c>
      <c r="AQ711" s="11">
        <f t="shared" si="4961"/>
        <v>0.29973611111111109</v>
      </c>
      <c r="AR711" s="14">
        <f t="shared" si="4929"/>
        <v>16.724711551827998</v>
      </c>
      <c r="AS711" s="41">
        <f t="shared" si="4930"/>
        <v>-100</v>
      </c>
      <c r="AT711" s="43" t="str">
        <f t="shared" si="4931"/>
        <v>NO CONFORME</v>
      </c>
      <c r="AU711" s="8" t="b">
        <f t="shared" si="4553"/>
        <v>1</v>
      </c>
      <c r="AV711" s="8" t="b">
        <f t="shared" si="4962"/>
        <v>0</v>
      </c>
      <c r="AW711" s="8" t="b">
        <f t="shared" si="4963"/>
        <v>1</v>
      </c>
      <c r="AX711" s="8" t="str">
        <f t="shared" si="4964"/>
        <v>Qcorrecto</v>
      </c>
      <c r="AY711" s="22" t="str">
        <f t="shared" si="4932"/>
        <v>aceptable</v>
      </c>
      <c r="AZ711" s="22" t="str">
        <f t="shared" si="4933"/>
        <v>aceptable</v>
      </c>
      <c r="BA711" s="22" t="str">
        <f t="shared" si="4965"/>
        <v>aceptable</v>
      </c>
      <c r="BB711" s="25" t="str">
        <f t="shared" si="4934"/>
        <v>NO CONFORME</v>
      </c>
      <c r="BC711" s="5" t="str">
        <f t="shared" si="4935"/>
        <v>NO CONFORME</v>
      </c>
      <c r="BD711" s="15">
        <f t="shared" si="4936"/>
        <v>-1</v>
      </c>
      <c r="BE711" s="15">
        <f t="shared" si="4937"/>
        <v>-1</v>
      </c>
      <c r="BF711" s="15">
        <f t="shared" si="4938"/>
        <v>-1</v>
      </c>
      <c r="BG711" s="15" t="str">
        <f t="shared" si="4939"/>
        <v>-1-1-1</v>
      </c>
      <c r="BH711" s="15" t="str">
        <f t="shared" si="4940"/>
        <v>SD</v>
      </c>
      <c r="BI711" s="15" t="str">
        <f t="shared" si="4941"/>
        <v>SI</v>
      </c>
      <c r="BJ711" s="15" t="b">
        <f t="shared" si="4942"/>
        <v>1</v>
      </c>
      <c r="BK711" s="15" t="str">
        <f t="shared" si="4943"/>
        <v>SIGIGUALES</v>
      </c>
      <c r="BL711" s="22" t="str">
        <f t="shared" si="4944"/>
        <v>NO CONFORME</v>
      </c>
    </row>
    <row r="712" spans="1:64" ht="15.75" thickBot="1" x14ac:dyDescent="0.3">
      <c r="A712" s="37">
        <v>704</v>
      </c>
      <c r="B712" s="93">
        <f t="shared" ref="B712:E712" si="5015">B711</f>
        <v>45919</v>
      </c>
      <c r="C712" s="93">
        <f t="shared" si="5015"/>
        <v>45919</v>
      </c>
      <c r="D712" s="94">
        <f t="shared" si="5015"/>
        <v>6</v>
      </c>
      <c r="E712" s="95">
        <f t="shared" si="5015"/>
        <v>15</v>
      </c>
      <c r="F712" s="13"/>
      <c r="G712" s="90"/>
      <c r="H712" s="97">
        <f t="shared" ref="H712:L712" si="5016">H711</f>
        <v>25.6</v>
      </c>
      <c r="I712" s="98">
        <f t="shared" si="5016"/>
        <v>0</v>
      </c>
      <c r="J712" s="99">
        <f t="shared" si="5016"/>
        <v>20.9</v>
      </c>
      <c r="K712" s="99">
        <f t="shared" si="5016"/>
        <v>7.883</v>
      </c>
      <c r="L712" s="99">
        <f t="shared" si="5016"/>
        <v>0.55400000000000005</v>
      </c>
      <c r="M712" s="45"/>
      <c r="N712" s="45"/>
      <c r="O712" s="100">
        <f t="shared" ref="O712:P712" si="5017">O711</f>
        <v>100.62</v>
      </c>
      <c r="P712" s="101" t="str">
        <f t="shared" si="5017"/>
        <v>2,29,560</v>
      </c>
      <c r="Q712" s="11" t="str">
        <f t="shared" si="4948"/>
        <v>2</v>
      </c>
      <c r="R712" s="11" t="str">
        <f t="shared" si="4949"/>
        <v>29,560</v>
      </c>
      <c r="S712" s="11">
        <f t="shared" si="4950"/>
        <v>4.1544444444444446E-2</v>
      </c>
      <c r="T712" s="14">
        <f t="shared" si="4951"/>
        <v>2421.9844878309709</v>
      </c>
      <c r="U712" s="39">
        <f t="shared" si="4922"/>
        <v>-100</v>
      </c>
      <c r="V712" s="105">
        <f t="shared" ref="V712:X712" si="5018">V711</f>
        <v>20.399999999999999</v>
      </c>
      <c r="W712" s="105">
        <f t="shared" si="5018"/>
        <v>1.5069999999999999</v>
      </c>
      <c r="X712" s="106">
        <f t="shared" si="5018"/>
        <v>1.504</v>
      </c>
      <c r="Y712" s="45"/>
      <c r="Z712" s="45"/>
      <c r="AA712" s="107">
        <f t="shared" ref="AA712:AB712" si="5019">AA711</f>
        <v>10.015000000000001</v>
      </c>
      <c r="AB712" s="108" t="str">
        <f t="shared" si="5019"/>
        <v>22,10,090</v>
      </c>
      <c r="AC712" s="11" t="str">
        <f t="shared" si="4954"/>
        <v>22</v>
      </c>
      <c r="AD712" s="11" t="str">
        <f t="shared" si="4955"/>
        <v>10,090</v>
      </c>
      <c r="AE712" s="11">
        <f t="shared" si="4956"/>
        <v>0.36946944444444441</v>
      </c>
      <c r="AF712" s="14">
        <f t="shared" si="4925"/>
        <v>27.106436406558959</v>
      </c>
      <c r="AG712" s="41">
        <f t="shared" si="4926"/>
        <v>-100</v>
      </c>
      <c r="AH712" s="105">
        <f t="shared" ref="AH712:AJ712" si="5020">AH711</f>
        <v>20.3</v>
      </c>
      <c r="AI712" s="105">
        <f t="shared" si="5020"/>
        <v>1.5089999999999999</v>
      </c>
      <c r="AJ712" s="105">
        <f t="shared" si="5020"/>
        <v>1.504</v>
      </c>
      <c r="AK712" s="53">
        <f t="shared" si="4854"/>
        <v>0</v>
      </c>
      <c r="AL712" s="45"/>
      <c r="AM712" s="54">
        <f t="shared" ref="AM712:AN712" si="5021">AM711</f>
        <v>5.0129999999999999</v>
      </c>
      <c r="AN712" s="101" t="str">
        <f t="shared" si="5021"/>
        <v>17,59,050</v>
      </c>
      <c r="AO712" s="11" t="str">
        <f t="shared" si="4959"/>
        <v>17</v>
      </c>
      <c r="AP712" s="11" t="str">
        <f t="shared" si="4960"/>
        <v>59,050</v>
      </c>
      <c r="AQ712" s="11">
        <f t="shared" si="4961"/>
        <v>0.29973611111111109</v>
      </c>
      <c r="AR712" s="14">
        <f t="shared" si="4929"/>
        <v>16.724711551827998</v>
      </c>
      <c r="AS712" s="41">
        <f t="shared" si="4930"/>
        <v>-100</v>
      </c>
      <c r="AT712" s="43" t="str">
        <f t="shared" si="4931"/>
        <v>NO CONFORME</v>
      </c>
      <c r="AU712" s="8" t="b">
        <f t="shared" si="4553"/>
        <v>1</v>
      </c>
      <c r="AV712" s="8" t="b">
        <f t="shared" si="4962"/>
        <v>0</v>
      </c>
      <c r="AW712" s="8" t="b">
        <f t="shared" si="4963"/>
        <v>1</v>
      </c>
      <c r="AX712" s="8" t="str">
        <f t="shared" si="4964"/>
        <v>Qcorrecto</v>
      </c>
      <c r="AY712" s="22" t="str">
        <f t="shared" si="4932"/>
        <v>aceptable</v>
      </c>
      <c r="AZ712" s="22" t="str">
        <f t="shared" si="4933"/>
        <v>aceptable</v>
      </c>
      <c r="BA712" s="22" t="str">
        <f t="shared" si="4965"/>
        <v>aceptable</v>
      </c>
      <c r="BB712" s="25" t="str">
        <f t="shared" si="4934"/>
        <v>NO CONFORME</v>
      </c>
      <c r="BC712" s="5" t="str">
        <f t="shared" si="4935"/>
        <v>NO CONFORME</v>
      </c>
      <c r="BD712" s="15">
        <f t="shared" si="4936"/>
        <v>-1</v>
      </c>
      <c r="BE712" s="15">
        <f t="shared" si="4937"/>
        <v>-1</v>
      </c>
      <c r="BF712" s="15">
        <f t="shared" si="4938"/>
        <v>-1</v>
      </c>
      <c r="BG712" s="15" t="str">
        <f t="shared" si="4939"/>
        <v>-1-1-1</v>
      </c>
      <c r="BH712" s="15" t="str">
        <f t="shared" si="4940"/>
        <v>SD</v>
      </c>
      <c r="BI712" s="15" t="str">
        <f t="shared" si="4941"/>
        <v>SI</v>
      </c>
      <c r="BJ712" s="15" t="b">
        <f t="shared" si="4942"/>
        <v>1</v>
      </c>
      <c r="BK712" s="15" t="str">
        <f t="shared" si="4943"/>
        <v>SIGIGUALES</v>
      </c>
      <c r="BL712" s="22" t="str">
        <f t="shared" si="4944"/>
        <v>NO CONFORME</v>
      </c>
    </row>
    <row r="713" spans="1:64" ht="15.75" thickBot="1" x14ac:dyDescent="0.3">
      <c r="A713" s="37">
        <v>705</v>
      </c>
      <c r="B713" s="93">
        <f t="shared" ref="B713:E713" si="5022">B712</f>
        <v>45919</v>
      </c>
      <c r="C713" s="93">
        <f t="shared" si="5022"/>
        <v>45919</v>
      </c>
      <c r="D713" s="94">
        <f t="shared" si="5022"/>
        <v>6</v>
      </c>
      <c r="E713" s="95">
        <f t="shared" si="5022"/>
        <v>15</v>
      </c>
      <c r="F713" s="52"/>
      <c r="G713" s="96"/>
      <c r="H713" s="97">
        <f t="shared" ref="H713:L713" si="5023">H712</f>
        <v>25.6</v>
      </c>
      <c r="I713" s="98">
        <f t="shared" si="5023"/>
        <v>0</v>
      </c>
      <c r="J713" s="99">
        <f t="shared" si="5023"/>
        <v>20.9</v>
      </c>
      <c r="K713" s="99">
        <f t="shared" si="5023"/>
        <v>7.883</v>
      </c>
      <c r="L713" s="99">
        <f t="shared" si="5023"/>
        <v>0.55400000000000005</v>
      </c>
      <c r="M713" s="53"/>
      <c r="N713" s="53"/>
      <c r="O713" s="100">
        <f t="shared" ref="O713:P713" si="5024">O712</f>
        <v>100.62</v>
      </c>
      <c r="P713" s="101" t="str">
        <f t="shared" si="5024"/>
        <v>2,29,560</v>
      </c>
      <c r="Q713" s="11" t="str">
        <f t="shared" si="4948"/>
        <v>2</v>
      </c>
      <c r="R713" s="11" t="str">
        <f t="shared" si="4949"/>
        <v>29,560</v>
      </c>
      <c r="S713" s="11">
        <f t="shared" si="4950"/>
        <v>4.1544444444444446E-2</v>
      </c>
      <c r="T713" s="14">
        <f t="shared" si="4951"/>
        <v>2421.9844878309709</v>
      </c>
      <c r="U713" s="39">
        <f t="shared" si="4922"/>
        <v>-100</v>
      </c>
      <c r="V713" s="105">
        <f t="shared" ref="V713:X713" si="5025">V712</f>
        <v>20.399999999999999</v>
      </c>
      <c r="W713" s="105">
        <f t="shared" si="5025"/>
        <v>1.5069999999999999</v>
      </c>
      <c r="X713" s="106">
        <f t="shared" si="5025"/>
        <v>1.504</v>
      </c>
      <c r="Y713" s="53"/>
      <c r="Z713" s="53"/>
      <c r="AA713" s="107">
        <f t="shared" ref="AA713:AB713" si="5026">AA712</f>
        <v>10.015000000000001</v>
      </c>
      <c r="AB713" s="108" t="str">
        <f t="shared" si="5026"/>
        <v>22,10,090</v>
      </c>
      <c r="AC713" s="11" t="str">
        <f t="shared" si="4954"/>
        <v>22</v>
      </c>
      <c r="AD713" s="11" t="str">
        <f t="shared" si="4955"/>
        <v>10,090</v>
      </c>
      <c r="AE713" s="11">
        <f t="shared" si="4956"/>
        <v>0.36946944444444441</v>
      </c>
      <c r="AF713" s="14">
        <f t="shared" si="4925"/>
        <v>27.106436406558959</v>
      </c>
      <c r="AG713" s="41">
        <f t="shared" si="4926"/>
        <v>-100</v>
      </c>
      <c r="AH713" s="105">
        <f t="shared" ref="AH713:AJ713" si="5027">AH712</f>
        <v>20.3</v>
      </c>
      <c r="AI713" s="105">
        <f t="shared" si="5027"/>
        <v>1.5089999999999999</v>
      </c>
      <c r="AJ713" s="105">
        <f t="shared" si="5027"/>
        <v>1.504</v>
      </c>
      <c r="AK713" s="53">
        <f t="shared" si="4854"/>
        <v>0</v>
      </c>
      <c r="AL713" s="53"/>
      <c r="AM713" s="54">
        <f t="shared" ref="AM713:AN713" si="5028">AM712</f>
        <v>5.0129999999999999</v>
      </c>
      <c r="AN713" s="101" t="str">
        <f t="shared" si="5028"/>
        <v>17,59,050</v>
      </c>
      <c r="AO713" s="11" t="str">
        <f t="shared" si="4959"/>
        <v>17</v>
      </c>
      <c r="AP713" s="11" t="str">
        <f t="shared" si="4960"/>
        <v>59,050</v>
      </c>
      <c r="AQ713" s="11">
        <f t="shared" si="4961"/>
        <v>0.29973611111111109</v>
      </c>
      <c r="AR713" s="14">
        <f t="shared" si="4929"/>
        <v>16.724711551827998</v>
      </c>
      <c r="AS713" s="41">
        <f t="shared" si="4930"/>
        <v>-100</v>
      </c>
      <c r="AT713" s="43" t="str">
        <f t="shared" si="4931"/>
        <v>NO CONFORME</v>
      </c>
      <c r="AU713" s="8" t="b">
        <f t="shared" si="4553"/>
        <v>1</v>
      </c>
      <c r="AV713" s="8" t="b">
        <f t="shared" si="4962"/>
        <v>0</v>
      </c>
      <c r="AW713" s="8" t="b">
        <f t="shared" si="4963"/>
        <v>1</v>
      </c>
      <c r="AX713" s="8" t="str">
        <f t="shared" si="4964"/>
        <v>Qcorrecto</v>
      </c>
      <c r="AY713" s="22" t="str">
        <f t="shared" si="4932"/>
        <v>aceptable</v>
      </c>
      <c r="AZ713" s="22" t="str">
        <f t="shared" si="4933"/>
        <v>aceptable</v>
      </c>
      <c r="BA713" s="22" t="str">
        <f t="shared" si="4965"/>
        <v>aceptable</v>
      </c>
      <c r="BB713" s="25" t="str">
        <f t="shared" si="4934"/>
        <v>NO CONFORME</v>
      </c>
      <c r="BC713" s="5" t="str">
        <f t="shared" si="4935"/>
        <v>NO CONFORME</v>
      </c>
      <c r="BD713" s="15">
        <f t="shared" si="4936"/>
        <v>-1</v>
      </c>
      <c r="BE713" s="15">
        <f t="shared" si="4937"/>
        <v>-1</v>
      </c>
      <c r="BF713" s="15">
        <f t="shared" si="4938"/>
        <v>-1</v>
      </c>
      <c r="BG713" s="15" t="str">
        <f t="shared" si="4939"/>
        <v>-1-1-1</v>
      </c>
      <c r="BH713" s="15" t="str">
        <f t="shared" si="4940"/>
        <v>SD</v>
      </c>
      <c r="BI713" s="15" t="str">
        <f t="shared" si="4941"/>
        <v>SI</v>
      </c>
      <c r="BJ713" s="15" t="b">
        <f t="shared" si="4942"/>
        <v>1</v>
      </c>
      <c r="BK713" s="15" t="str">
        <f t="shared" si="4943"/>
        <v>SIGIGUALES</v>
      </c>
      <c r="BL713" s="22" t="str">
        <f t="shared" si="4944"/>
        <v>NO CONFORME</v>
      </c>
    </row>
    <row r="714" spans="1:64" ht="15.75" thickBot="1" x14ac:dyDescent="0.3">
      <c r="A714" s="37">
        <v>706</v>
      </c>
      <c r="B714" s="93">
        <f t="shared" ref="B714:E714" si="5029">B713</f>
        <v>45919</v>
      </c>
      <c r="C714" s="93">
        <f t="shared" si="5029"/>
        <v>45919</v>
      </c>
      <c r="D714" s="94">
        <f t="shared" si="5029"/>
        <v>6</v>
      </c>
      <c r="E714" s="95">
        <f t="shared" si="5029"/>
        <v>15</v>
      </c>
      <c r="F714" s="58"/>
      <c r="G714" s="111"/>
      <c r="H714" s="97">
        <f t="shared" ref="H714:L714" si="5030">H713</f>
        <v>25.6</v>
      </c>
      <c r="I714" s="98">
        <f t="shared" si="5030"/>
        <v>0</v>
      </c>
      <c r="J714" s="99">
        <f t="shared" si="5030"/>
        <v>20.9</v>
      </c>
      <c r="K714" s="99">
        <f t="shared" si="5030"/>
        <v>7.883</v>
      </c>
      <c r="L714" s="99">
        <f t="shared" si="5030"/>
        <v>0.55400000000000005</v>
      </c>
      <c r="M714" s="59"/>
      <c r="N714" s="59"/>
      <c r="O714" s="100">
        <f t="shared" ref="O714:P714" si="5031">O713</f>
        <v>100.62</v>
      </c>
      <c r="P714" s="101" t="str">
        <f t="shared" si="5031"/>
        <v>2,29,560</v>
      </c>
      <c r="Q714" s="11" t="str">
        <f t="shared" si="4948"/>
        <v>2</v>
      </c>
      <c r="R714" s="11" t="str">
        <f t="shared" si="4949"/>
        <v>29,560</v>
      </c>
      <c r="S714" s="11">
        <f t="shared" si="4950"/>
        <v>4.1544444444444446E-2</v>
      </c>
      <c r="T714" s="14">
        <f t="shared" si="4951"/>
        <v>2421.9844878309709</v>
      </c>
      <c r="U714" s="39">
        <f t="shared" si="4922"/>
        <v>-100</v>
      </c>
      <c r="V714" s="105">
        <f t="shared" ref="V714:X714" si="5032">V713</f>
        <v>20.399999999999999</v>
      </c>
      <c r="W714" s="105">
        <f t="shared" si="5032"/>
        <v>1.5069999999999999</v>
      </c>
      <c r="X714" s="106">
        <f t="shared" si="5032"/>
        <v>1.504</v>
      </c>
      <c r="Y714" s="59"/>
      <c r="Z714" s="59"/>
      <c r="AA714" s="107">
        <f t="shared" ref="AA714:AB714" si="5033">AA713</f>
        <v>10.015000000000001</v>
      </c>
      <c r="AB714" s="108" t="str">
        <f t="shared" si="5033"/>
        <v>22,10,090</v>
      </c>
      <c r="AC714" s="11" t="str">
        <f t="shared" si="4954"/>
        <v>22</v>
      </c>
      <c r="AD714" s="11" t="str">
        <f t="shared" si="4955"/>
        <v>10,090</v>
      </c>
      <c r="AE714" s="11">
        <f t="shared" si="4956"/>
        <v>0.36946944444444441</v>
      </c>
      <c r="AF714" s="14">
        <f t="shared" si="4925"/>
        <v>27.106436406558959</v>
      </c>
      <c r="AG714" s="41">
        <f t="shared" si="4926"/>
        <v>-100</v>
      </c>
      <c r="AH714" s="105">
        <f t="shared" ref="AH714:AJ714" si="5034">AH713</f>
        <v>20.3</v>
      </c>
      <c r="AI714" s="105">
        <f t="shared" si="5034"/>
        <v>1.5089999999999999</v>
      </c>
      <c r="AJ714" s="105">
        <f t="shared" si="5034"/>
        <v>1.504</v>
      </c>
      <c r="AK714" s="53">
        <f t="shared" si="4854"/>
        <v>0</v>
      </c>
      <c r="AL714" s="59"/>
      <c r="AM714" s="54">
        <f t="shared" ref="AM714:AN714" si="5035">AM713</f>
        <v>5.0129999999999999</v>
      </c>
      <c r="AN714" s="101" t="str">
        <f t="shared" si="5035"/>
        <v>17,59,050</v>
      </c>
      <c r="AO714" s="11" t="str">
        <f t="shared" si="4959"/>
        <v>17</v>
      </c>
      <c r="AP714" s="11" t="str">
        <f t="shared" si="4960"/>
        <v>59,050</v>
      </c>
      <c r="AQ714" s="11">
        <f t="shared" si="4961"/>
        <v>0.29973611111111109</v>
      </c>
      <c r="AR714" s="14">
        <f t="shared" si="4929"/>
        <v>16.724711551827998</v>
      </c>
      <c r="AS714" s="41">
        <f t="shared" si="4930"/>
        <v>-100</v>
      </c>
      <c r="AT714" s="43" t="str">
        <f t="shared" si="4931"/>
        <v>NO CONFORME</v>
      </c>
      <c r="AU714" s="8" t="b">
        <f t="shared" ref="AU714:AU728" si="5036">B714=C714</f>
        <v>1</v>
      </c>
      <c r="AV714" s="8" t="b">
        <f t="shared" si="4962"/>
        <v>0</v>
      </c>
      <c r="AW714" s="8" t="b">
        <f t="shared" si="4963"/>
        <v>1</v>
      </c>
      <c r="AX714" s="8" t="str">
        <f t="shared" si="4964"/>
        <v>Qcorrecto</v>
      </c>
      <c r="AY714" s="22" t="str">
        <f t="shared" si="4932"/>
        <v>aceptable</v>
      </c>
      <c r="AZ714" s="22" t="str">
        <f t="shared" si="4933"/>
        <v>aceptable</v>
      </c>
      <c r="BA714" s="22" t="str">
        <f t="shared" si="4965"/>
        <v>aceptable</v>
      </c>
      <c r="BB714" s="25" t="str">
        <f t="shared" si="4934"/>
        <v>NO CONFORME</v>
      </c>
      <c r="BC714" s="5" t="str">
        <f t="shared" si="4935"/>
        <v>NO CONFORME</v>
      </c>
      <c r="BD714" s="15">
        <f t="shared" si="4936"/>
        <v>-1</v>
      </c>
      <c r="BE714" s="15">
        <f t="shared" si="4937"/>
        <v>-1</v>
      </c>
      <c r="BF714" s="15">
        <f t="shared" si="4938"/>
        <v>-1</v>
      </c>
      <c r="BG714" s="15" t="str">
        <f t="shared" si="4939"/>
        <v>-1-1-1</v>
      </c>
      <c r="BH714" s="15" t="str">
        <f t="shared" si="4940"/>
        <v>SD</v>
      </c>
      <c r="BI714" s="15" t="str">
        <f t="shared" si="4941"/>
        <v>SI</v>
      </c>
      <c r="BJ714" s="15" t="b">
        <f t="shared" si="4942"/>
        <v>1</v>
      </c>
      <c r="BK714" s="15" t="str">
        <f t="shared" si="4943"/>
        <v>SIGIGUALES</v>
      </c>
      <c r="BL714" s="22" t="str">
        <f t="shared" si="4944"/>
        <v>NO CONFORME</v>
      </c>
    </row>
    <row r="715" spans="1:64" ht="15.75" thickBot="1" x14ac:dyDescent="0.3">
      <c r="A715" s="37">
        <v>707</v>
      </c>
      <c r="B715" s="93">
        <f t="shared" ref="B715:E715" si="5037">B714</f>
        <v>45919</v>
      </c>
      <c r="C715" s="93">
        <f t="shared" si="5037"/>
        <v>45919</v>
      </c>
      <c r="D715" s="94">
        <f t="shared" si="5037"/>
        <v>6</v>
      </c>
      <c r="E715" s="95">
        <f t="shared" si="5037"/>
        <v>15</v>
      </c>
      <c r="F715" s="13"/>
      <c r="G715" s="90"/>
      <c r="H715" s="97">
        <f t="shared" ref="H715:L715" si="5038">H714</f>
        <v>25.6</v>
      </c>
      <c r="I715" s="98">
        <f t="shared" si="5038"/>
        <v>0</v>
      </c>
      <c r="J715" s="99">
        <f t="shared" si="5038"/>
        <v>20.9</v>
      </c>
      <c r="K715" s="99">
        <f t="shared" si="5038"/>
        <v>7.883</v>
      </c>
      <c r="L715" s="99">
        <f t="shared" si="5038"/>
        <v>0.55400000000000005</v>
      </c>
      <c r="M715" s="45"/>
      <c r="N715" s="45"/>
      <c r="O715" s="100">
        <f t="shared" ref="O715:P715" si="5039">O714</f>
        <v>100.62</v>
      </c>
      <c r="P715" s="101" t="str">
        <f t="shared" si="5039"/>
        <v>2,29,560</v>
      </c>
      <c r="Q715" s="11" t="str">
        <f t="shared" si="4948"/>
        <v>2</v>
      </c>
      <c r="R715" s="11" t="str">
        <f t="shared" si="4949"/>
        <v>29,560</v>
      </c>
      <c r="S715" s="11">
        <f t="shared" si="4950"/>
        <v>4.1544444444444446E-2</v>
      </c>
      <c r="T715" s="14">
        <f t="shared" si="4951"/>
        <v>2421.9844878309709</v>
      </c>
      <c r="U715" s="39">
        <f t="shared" si="4922"/>
        <v>-100</v>
      </c>
      <c r="V715" s="105">
        <f t="shared" ref="V715:X715" si="5040">V714</f>
        <v>20.399999999999999</v>
      </c>
      <c r="W715" s="105">
        <f t="shared" si="5040"/>
        <v>1.5069999999999999</v>
      </c>
      <c r="X715" s="106">
        <f t="shared" si="5040"/>
        <v>1.504</v>
      </c>
      <c r="Y715" s="45"/>
      <c r="Z715" s="45"/>
      <c r="AA715" s="107">
        <f t="shared" ref="AA715:AB715" si="5041">AA714</f>
        <v>10.015000000000001</v>
      </c>
      <c r="AB715" s="108" t="str">
        <f t="shared" si="5041"/>
        <v>22,10,090</v>
      </c>
      <c r="AC715" s="11" t="str">
        <f t="shared" si="4954"/>
        <v>22</v>
      </c>
      <c r="AD715" s="11" t="str">
        <f t="shared" si="4955"/>
        <v>10,090</v>
      </c>
      <c r="AE715" s="11">
        <f t="shared" si="4956"/>
        <v>0.36946944444444441</v>
      </c>
      <c r="AF715" s="14">
        <f t="shared" si="4925"/>
        <v>27.106436406558959</v>
      </c>
      <c r="AG715" s="41">
        <f t="shared" si="4926"/>
        <v>-100</v>
      </c>
      <c r="AH715" s="105">
        <f t="shared" ref="AH715:AJ715" si="5042">AH714</f>
        <v>20.3</v>
      </c>
      <c r="AI715" s="105">
        <f t="shared" si="5042"/>
        <v>1.5089999999999999</v>
      </c>
      <c r="AJ715" s="105">
        <f t="shared" si="5042"/>
        <v>1.504</v>
      </c>
      <c r="AK715" s="53">
        <f t="shared" si="4854"/>
        <v>0</v>
      </c>
      <c r="AL715" s="45"/>
      <c r="AM715" s="54">
        <f t="shared" ref="AM715:AN715" si="5043">AM714</f>
        <v>5.0129999999999999</v>
      </c>
      <c r="AN715" s="101" t="str">
        <f t="shared" si="5043"/>
        <v>17,59,050</v>
      </c>
      <c r="AO715" s="11" t="str">
        <f t="shared" si="4959"/>
        <v>17</v>
      </c>
      <c r="AP715" s="11" t="str">
        <f t="shared" si="4960"/>
        <v>59,050</v>
      </c>
      <c r="AQ715" s="11">
        <f t="shared" si="4961"/>
        <v>0.29973611111111109</v>
      </c>
      <c r="AR715" s="14">
        <f t="shared" si="4929"/>
        <v>16.724711551827998</v>
      </c>
      <c r="AS715" s="41">
        <f t="shared" si="4930"/>
        <v>-100</v>
      </c>
      <c r="AT715" s="43" t="str">
        <f t="shared" si="4931"/>
        <v>NO CONFORME</v>
      </c>
      <c r="AU715" s="8" t="b">
        <f t="shared" si="5036"/>
        <v>1</v>
      </c>
      <c r="AV715" s="8" t="b">
        <f t="shared" si="4962"/>
        <v>0</v>
      </c>
      <c r="AW715" s="8" t="b">
        <f t="shared" si="4963"/>
        <v>1</v>
      </c>
      <c r="AX715" s="8" t="str">
        <f t="shared" si="4964"/>
        <v>Qcorrecto</v>
      </c>
      <c r="AY715" s="22" t="str">
        <f t="shared" si="4932"/>
        <v>aceptable</v>
      </c>
      <c r="AZ715" s="22" t="str">
        <f t="shared" si="4933"/>
        <v>aceptable</v>
      </c>
      <c r="BA715" s="22" t="str">
        <f t="shared" si="4965"/>
        <v>aceptable</v>
      </c>
      <c r="BB715" s="25" t="str">
        <f t="shared" si="4934"/>
        <v>NO CONFORME</v>
      </c>
      <c r="BC715" s="5" t="str">
        <f t="shared" si="4935"/>
        <v>NO CONFORME</v>
      </c>
      <c r="BD715" s="15">
        <f t="shared" si="4936"/>
        <v>-1</v>
      </c>
      <c r="BE715" s="15">
        <f t="shared" si="4937"/>
        <v>-1</v>
      </c>
      <c r="BF715" s="15">
        <f t="shared" si="4938"/>
        <v>-1</v>
      </c>
      <c r="BG715" s="15" t="str">
        <f t="shared" si="4939"/>
        <v>-1-1-1</v>
      </c>
      <c r="BH715" s="15" t="str">
        <f t="shared" si="4940"/>
        <v>SD</v>
      </c>
      <c r="BI715" s="15" t="str">
        <f t="shared" si="4941"/>
        <v>SI</v>
      </c>
      <c r="BJ715" s="15" t="b">
        <f t="shared" si="4942"/>
        <v>1</v>
      </c>
      <c r="BK715" s="15" t="str">
        <f t="shared" si="4943"/>
        <v>SIGIGUALES</v>
      </c>
      <c r="BL715" s="22" t="str">
        <f t="shared" si="4944"/>
        <v>NO CONFORME</v>
      </c>
    </row>
    <row r="716" spans="1:64" ht="15.75" thickBot="1" x14ac:dyDescent="0.3">
      <c r="A716" s="37">
        <v>708</v>
      </c>
      <c r="B716" s="93">
        <f t="shared" ref="B716:E716" si="5044">B715</f>
        <v>45919</v>
      </c>
      <c r="C716" s="93">
        <f t="shared" si="5044"/>
        <v>45919</v>
      </c>
      <c r="D716" s="94">
        <f t="shared" si="5044"/>
        <v>6</v>
      </c>
      <c r="E716" s="95">
        <f t="shared" si="5044"/>
        <v>15</v>
      </c>
      <c r="F716" s="13"/>
      <c r="G716" s="90"/>
      <c r="H716" s="97">
        <f t="shared" ref="H716:L716" si="5045">H715</f>
        <v>25.6</v>
      </c>
      <c r="I716" s="98">
        <f t="shared" si="5045"/>
        <v>0</v>
      </c>
      <c r="J716" s="99">
        <f t="shared" si="5045"/>
        <v>20.9</v>
      </c>
      <c r="K716" s="99">
        <f t="shared" si="5045"/>
        <v>7.883</v>
      </c>
      <c r="L716" s="99">
        <f t="shared" si="5045"/>
        <v>0.55400000000000005</v>
      </c>
      <c r="M716" s="45"/>
      <c r="N716" s="45"/>
      <c r="O716" s="100">
        <f t="shared" ref="O716:P716" si="5046">O715</f>
        <v>100.62</v>
      </c>
      <c r="P716" s="101" t="str">
        <f t="shared" si="5046"/>
        <v>2,29,560</v>
      </c>
      <c r="Q716" s="11" t="str">
        <f t="shared" si="4948"/>
        <v>2</v>
      </c>
      <c r="R716" s="11" t="str">
        <f t="shared" si="4949"/>
        <v>29,560</v>
      </c>
      <c r="S716" s="11">
        <f t="shared" si="4950"/>
        <v>4.1544444444444446E-2</v>
      </c>
      <c r="T716" s="14">
        <f t="shared" si="4951"/>
        <v>2421.9844878309709</v>
      </c>
      <c r="U716" s="39">
        <f t="shared" si="4922"/>
        <v>-100</v>
      </c>
      <c r="V716" s="105">
        <f t="shared" ref="V716:X716" si="5047">V715</f>
        <v>20.399999999999999</v>
      </c>
      <c r="W716" s="105">
        <f t="shared" si="5047"/>
        <v>1.5069999999999999</v>
      </c>
      <c r="X716" s="106">
        <f t="shared" si="5047"/>
        <v>1.504</v>
      </c>
      <c r="Y716" s="45"/>
      <c r="Z716" s="45"/>
      <c r="AA716" s="107">
        <f t="shared" ref="AA716:AB716" si="5048">AA715</f>
        <v>10.015000000000001</v>
      </c>
      <c r="AB716" s="108" t="str">
        <f t="shared" si="5048"/>
        <v>22,10,090</v>
      </c>
      <c r="AC716" s="11" t="str">
        <f t="shared" si="4954"/>
        <v>22</v>
      </c>
      <c r="AD716" s="11" t="str">
        <f t="shared" si="4955"/>
        <v>10,090</v>
      </c>
      <c r="AE716" s="11">
        <f t="shared" si="4956"/>
        <v>0.36946944444444441</v>
      </c>
      <c r="AF716" s="14">
        <f t="shared" si="4925"/>
        <v>27.106436406558959</v>
      </c>
      <c r="AG716" s="41">
        <f t="shared" si="4926"/>
        <v>-100</v>
      </c>
      <c r="AH716" s="105">
        <f t="shared" ref="AH716:AJ716" si="5049">AH715</f>
        <v>20.3</v>
      </c>
      <c r="AI716" s="105">
        <f t="shared" si="5049"/>
        <v>1.5089999999999999</v>
      </c>
      <c r="AJ716" s="105">
        <f t="shared" si="5049"/>
        <v>1.504</v>
      </c>
      <c r="AK716" s="53">
        <f t="shared" si="4854"/>
        <v>0</v>
      </c>
      <c r="AL716" s="45"/>
      <c r="AM716" s="54">
        <f t="shared" ref="AM716:AN716" si="5050">AM715</f>
        <v>5.0129999999999999</v>
      </c>
      <c r="AN716" s="101" t="str">
        <f t="shared" si="5050"/>
        <v>17,59,050</v>
      </c>
      <c r="AO716" s="11" t="str">
        <f t="shared" si="4959"/>
        <v>17</v>
      </c>
      <c r="AP716" s="11" t="str">
        <f t="shared" si="4960"/>
        <v>59,050</v>
      </c>
      <c r="AQ716" s="11">
        <f t="shared" si="4961"/>
        <v>0.29973611111111109</v>
      </c>
      <c r="AR716" s="14">
        <f t="shared" si="4929"/>
        <v>16.724711551827998</v>
      </c>
      <c r="AS716" s="41">
        <f t="shared" si="4930"/>
        <v>-100</v>
      </c>
      <c r="AT716" s="43" t="str">
        <f t="shared" si="4931"/>
        <v>NO CONFORME</v>
      </c>
      <c r="AU716" s="8" t="b">
        <f t="shared" si="5036"/>
        <v>1</v>
      </c>
      <c r="AV716" s="8" t="b">
        <f t="shared" si="4962"/>
        <v>0</v>
      </c>
      <c r="AW716" s="8" t="b">
        <f t="shared" si="4963"/>
        <v>1</v>
      </c>
      <c r="AX716" s="8" t="str">
        <f t="shared" si="4964"/>
        <v>Qcorrecto</v>
      </c>
      <c r="AY716" s="22" t="str">
        <f t="shared" si="4932"/>
        <v>aceptable</v>
      </c>
      <c r="AZ716" s="22" t="str">
        <f t="shared" si="4933"/>
        <v>aceptable</v>
      </c>
      <c r="BA716" s="22" t="str">
        <f t="shared" si="4965"/>
        <v>aceptable</v>
      </c>
      <c r="BB716" s="25" t="str">
        <f t="shared" si="4934"/>
        <v>NO CONFORME</v>
      </c>
      <c r="BC716" s="5" t="str">
        <f t="shared" si="4935"/>
        <v>NO CONFORME</v>
      </c>
      <c r="BD716" s="15">
        <f t="shared" si="4936"/>
        <v>-1</v>
      </c>
      <c r="BE716" s="15">
        <f t="shared" si="4937"/>
        <v>-1</v>
      </c>
      <c r="BF716" s="15">
        <f t="shared" si="4938"/>
        <v>-1</v>
      </c>
      <c r="BG716" s="15" t="str">
        <f t="shared" si="4939"/>
        <v>-1-1-1</v>
      </c>
      <c r="BH716" s="15" t="str">
        <f t="shared" si="4940"/>
        <v>SD</v>
      </c>
      <c r="BI716" s="15" t="str">
        <f t="shared" si="4941"/>
        <v>SI</v>
      </c>
      <c r="BJ716" s="15" t="b">
        <f t="shared" si="4942"/>
        <v>1</v>
      </c>
      <c r="BK716" s="15" t="str">
        <f t="shared" si="4943"/>
        <v>SIGIGUALES</v>
      </c>
      <c r="BL716" s="22" t="str">
        <f t="shared" si="4944"/>
        <v>NO CONFORME</v>
      </c>
    </row>
    <row r="717" spans="1:64" ht="15.75" thickBot="1" x14ac:dyDescent="0.3">
      <c r="A717" s="37">
        <v>709</v>
      </c>
      <c r="B717" s="93">
        <f t="shared" ref="B717:E717" si="5051">B716</f>
        <v>45919</v>
      </c>
      <c r="C717" s="93">
        <f t="shared" si="5051"/>
        <v>45919</v>
      </c>
      <c r="D717" s="94">
        <f t="shared" si="5051"/>
        <v>6</v>
      </c>
      <c r="E717" s="95">
        <f t="shared" si="5051"/>
        <v>15</v>
      </c>
      <c r="F717" s="13"/>
      <c r="G717" s="90"/>
      <c r="H717" s="97">
        <f t="shared" ref="H717:L717" si="5052">H716</f>
        <v>25.6</v>
      </c>
      <c r="I717" s="98">
        <f t="shared" si="5052"/>
        <v>0</v>
      </c>
      <c r="J717" s="99">
        <f t="shared" si="5052"/>
        <v>20.9</v>
      </c>
      <c r="K717" s="99">
        <f t="shared" si="5052"/>
        <v>7.883</v>
      </c>
      <c r="L717" s="99">
        <f t="shared" si="5052"/>
        <v>0.55400000000000005</v>
      </c>
      <c r="M717" s="45"/>
      <c r="N717" s="45"/>
      <c r="O717" s="100">
        <f t="shared" ref="O717:P717" si="5053">O716</f>
        <v>100.62</v>
      </c>
      <c r="P717" s="101" t="str">
        <f t="shared" si="5053"/>
        <v>2,29,560</v>
      </c>
      <c r="Q717" s="11" t="str">
        <f t="shared" si="4948"/>
        <v>2</v>
      </c>
      <c r="R717" s="11" t="str">
        <f t="shared" si="4949"/>
        <v>29,560</v>
      </c>
      <c r="S717" s="11">
        <f t="shared" si="4950"/>
        <v>4.1544444444444446E-2</v>
      </c>
      <c r="T717" s="14">
        <f t="shared" si="4951"/>
        <v>2421.9844878309709</v>
      </c>
      <c r="U717" s="39">
        <f t="shared" si="4922"/>
        <v>-100</v>
      </c>
      <c r="V717" s="105">
        <f t="shared" ref="V717:X717" si="5054">V716</f>
        <v>20.399999999999999</v>
      </c>
      <c r="W717" s="105">
        <f t="shared" si="5054"/>
        <v>1.5069999999999999</v>
      </c>
      <c r="X717" s="106">
        <f t="shared" si="5054"/>
        <v>1.504</v>
      </c>
      <c r="Y717" s="45"/>
      <c r="Z717" s="45"/>
      <c r="AA717" s="107">
        <f t="shared" ref="AA717:AB717" si="5055">AA716</f>
        <v>10.015000000000001</v>
      </c>
      <c r="AB717" s="108" t="str">
        <f t="shared" si="5055"/>
        <v>22,10,090</v>
      </c>
      <c r="AC717" s="11" t="str">
        <f t="shared" si="4954"/>
        <v>22</v>
      </c>
      <c r="AD717" s="11" t="str">
        <f t="shared" si="4955"/>
        <v>10,090</v>
      </c>
      <c r="AE717" s="11">
        <f t="shared" si="4956"/>
        <v>0.36946944444444441</v>
      </c>
      <c r="AF717" s="14">
        <f t="shared" si="4925"/>
        <v>27.106436406558959</v>
      </c>
      <c r="AG717" s="41">
        <f t="shared" si="4926"/>
        <v>-100</v>
      </c>
      <c r="AH717" s="105">
        <f t="shared" ref="AH717:AJ717" si="5056">AH716</f>
        <v>20.3</v>
      </c>
      <c r="AI717" s="105">
        <f t="shared" si="5056"/>
        <v>1.5089999999999999</v>
      </c>
      <c r="AJ717" s="105">
        <f t="shared" si="5056"/>
        <v>1.504</v>
      </c>
      <c r="AK717" s="53">
        <f t="shared" si="4854"/>
        <v>0</v>
      </c>
      <c r="AL717" s="45"/>
      <c r="AM717" s="54">
        <f t="shared" ref="AM717:AN717" si="5057">AM716</f>
        <v>5.0129999999999999</v>
      </c>
      <c r="AN717" s="101" t="str">
        <f t="shared" si="5057"/>
        <v>17,59,050</v>
      </c>
      <c r="AO717" s="11" t="str">
        <f t="shared" si="4959"/>
        <v>17</v>
      </c>
      <c r="AP717" s="11" t="str">
        <f t="shared" si="4960"/>
        <v>59,050</v>
      </c>
      <c r="AQ717" s="11">
        <f t="shared" si="4961"/>
        <v>0.29973611111111109</v>
      </c>
      <c r="AR717" s="14">
        <f t="shared" si="4929"/>
        <v>16.724711551827998</v>
      </c>
      <c r="AS717" s="41">
        <f t="shared" si="4930"/>
        <v>-100</v>
      </c>
      <c r="AT717" s="43" t="str">
        <f t="shared" si="4931"/>
        <v>NO CONFORME</v>
      </c>
      <c r="AU717" s="8" t="b">
        <f t="shared" si="5036"/>
        <v>1</v>
      </c>
      <c r="AV717" s="8" t="b">
        <f t="shared" si="4962"/>
        <v>0</v>
      </c>
      <c r="AW717" s="8" t="b">
        <f t="shared" si="4963"/>
        <v>1</v>
      </c>
      <c r="AX717" s="8" t="str">
        <f t="shared" si="4964"/>
        <v>Qcorrecto</v>
      </c>
      <c r="AY717" s="22" t="str">
        <f t="shared" si="4932"/>
        <v>aceptable</v>
      </c>
      <c r="AZ717" s="22" t="str">
        <f t="shared" si="4933"/>
        <v>aceptable</v>
      </c>
      <c r="BA717" s="22" t="str">
        <f t="shared" si="4965"/>
        <v>aceptable</v>
      </c>
      <c r="BB717" s="25" t="str">
        <f t="shared" si="4934"/>
        <v>NO CONFORME</v>
      </c>
      <c r="BC717" s="5" t="str">
        <f t="shared" si="4935"/>
        <v>NO CONFORME</v>
      </c>
      <c r="BD717" s="15">
        <f t="shared" si="4936"/>
        <v>-1</v>
      </c>
      <c r="BE717" s="15">
        <f t="shared" si="4937"/>
        <v>-1</v>
      </c>
      <c r="BF717" s="15">
        <f t="shared" si="4938"/>
        <v>-1</v>
      </c>
      <c r="BG717" s="15" t="str">
        <f t="shared" si="4939"/>
        <v>-1-1-1</v>
      </c>
      <c r="BH717" s="15" t="str">
        <f t="shared" si="4940"/>
        <v>SD</v>
      </c>
      <c r="BI717" s="15" t="str">
        <f t="shared" si="4941"/>
        <v>SI</v>
      </c>
      <c r="BJ717" s="15" t="b">
        <f t="shared" si="4942"/>
        <v>1</v>
      </c>
      <c r="BK717" s="15" t="str">
        <f t="shared" si="4943"/>
        <v>SIGIGUALES</v>
      </c>
      <c r="BL717" s="22" t="str">
        <f t="shared" si="4944"/>
        <v>NO CONFORME</v>
      </c>
    </row>
    <row r="718" spans="1:64" ht="15.75" thickBot="1" x14ac:dyDescent="0.3">
      <c r="A718" s="37">
        <v>710</v>
      </c>
      <c r="B718" s="93">
        <f t="shared" ref="B718:E718" si="5058">B717</f>
        <v>45919</v>
      </c>
      <c r="C718" s="93">
        <f t="shared" si="5058"/>
        <v>45919</v>
      </c>
      <c r="D718" s="94">
        <f t="shared" si="5058"/>
        <v>6</v>
      </c>
      <c r="E718" s="95">
        <f t="shared" si="5058"/>
        <v>15</v>
      </c>
      <c r="F718" s="13"/>
      <c r="G718" s="90"/>
      <c r="H718" s="97">
        <f t="shared" ref="H718:L718" si="5059">H717</f>
        <v>25.6</v>
      </c>
      <c r="I718" s="98">
        <f t="shared" si="5059"/>
        <v>0</v>
      </c>
      <c r="J718" s="99">
        <f t="shared" si="5059"/>
        <v>20.9</v>
      </c>
      <c r="K718" s="99">
        <f t="shared" si="5059"/>
        <v>7.883</v>
      </c>
      <c r="L718" s="99">
        <f t="shared" si="5059"/>
        <v>0.55400000000000005</v>
      </c>
      <c r="M718" s="45"/>
      <c r="N718" s="45"/>
      <c r="O718" s="100">
        <f t="shared" ref="O718:P718" si="5060">O717</f>
        <v>100.62</v>
      </c>
      <c r="P718" s="101" t="str">
        <f t="shared" si="5060"/>
        <v>2,29,560</v>
      </c>
      <c r="Q718" s="11" t="str">
        <f t="shared" si="4948"/>
        <v>2</v>
      </c>
      <c r="R718" s="11" t="str">
        <f t="shared" si="4949"/>
        <v>29,560</v>
      </c>
      <c r="S718" s="11">
        <f t="shared" si="4950"/>
        <v>4.1544444444444446E-2</v>
      </c>
      <c r="T718" s="14">
        <f t="shared" si="4951"/>
        <v>2421.9844878309709</v>
      </c>
      <c r="U718" s="39">
        <f t="shared" si="4922"/>
        <v>-100</v>
      </c>
      <c r="V718" s="105">
        <f t="shared" ref="V718:X718" si="5061">V717</f>
        <v>20.399999999999999</v>
      </c>
      <c r="W718" s="105">
        <f t="shared" si="5061"/>
        <v>1.5069999999999999</v>
      </c>
      <c r="X718" s="106">
        <f t="shared" si="5061"/>
        <v>1.504</v>
      </c>
      <c r="Y718" s="45"/>
      <c r="Z718" s="45"/>
      <c r="AA718" s="107">
        <f t="shared" ref="AA718:AB718" si="5062">AA717</f>
        <v>10.015000000000001</v>
      </c>
      <c r="AB718" s="108" t="str">
        <f t="shared" si="5062"/>
        <v>22,10,090</v>
      </c>
      <c r="AC718" s="11" t="str">
        <f t="shared" si="4954"/>
        <v>22</v>
      </c>
      <c r="AD718" s="11" t="str">
        <f t="shared" si="4955"/>
        <v>10,090</v>
      </c>
      <c r="AE718" s="11">
        <f t="shared" si="4956"/>
        <v>0.36946944444444441</v>
      </c>
      <c r="AF718" s="14">
        <f t="shared" si="4925"/>
        <v>27.106436406558959</v>
      </c>
      <c r="AG718" s="41">
        <f t="shared" si="4926"/>
        <v>-100</v>
      </c>
      <c r="AH718" s="105">
        <f t="shared" ref="AH718:AJ718" si="5063">AH717</f>
        <v>20.3</v>
      </c>
      <c r="AI718" s="105">
        <f t="shared" si="5063"/>
        <v>1.5089999999999999</v>
      </c>
      <c r="AJ718" s="105">
        <f t="shared" si="5063"/>
        <v>1.504</v>
      </c>
      <c r="AK718" s="53">
        <f t="shared" si="4854"/>
        <v>0</v>
      </c>
      <c r="AL718" s="45"/>
      <c r="AM718" s="54">
        <f t="shared" ref="AM718:AN718" si="5064">AM717</f>
        <v>5.0129999999999999</v>
      </c>
      <c r="AN718" s="101" t="str">
        <f t="shared" si="5064"/>
        <v>17,59,050</v>
      </c>
      <c r="AO718" s="11" t="str">
        <f t="shared" si="4959"/>
        <v>17</v>
      </c>
      <c r="AP718" s="11" t="str">
        <f t="shared" si="4960"/>
        <v>59,050</v>
      </c>
      <c r="AQ718" s="11">
        <f t="shared" si="4961"/>
        <v>0.29973611111111109</v>
      </c>
      <c r="AR718" s="14">
        <f t="shared" si="4929"/>
        <v>16.724711551827998</v>
      </c>
      <c r="AS718" s="41">
        <f t="shared" si="4930"/>
        <v>-100</v>
      </c>
      <c r="AT718" s="43" t="str">
        <f t="shared" si="4931"/>
        <v>NO CONFORME</v>
      </c>
      <c r="AU718" s="8" t="b">
        <f t="shared" si="5036"/>
        <v>1</v>
      </c>
      <c r="AV718" s="8" t="b">
        <f t="shared" si="4962"/>
        <v>0</v>
      </c>
      <c r="AW718" s="8" t="b">
        <f t="shared" si="4963"/>
        <v>1</v>
      </c>
      <c r="AX718" s="8" t="str">
        <f t="shared" si="4964"/>
        <v>Qcorrecto</v>
      </c>
      <c r="AY718" s="22" t="str">
        <f t="shared" si="4932"/>
        <v>aceptable</v>
      </c>
      <c r="AZ718" s="22" t="str">
        <f t="shared" si="4933"/>
        <v>aceptable</v>
      </c>
      <c r="BA718" s="22" t="str">
        <f t="shared" si="4965"/>
        <v>aceptable</v>
      </c>
      <c r="BB718" s="25" t="str">
        <f t="shared" si="4934"/>
        <v>NO CONFORME</v>
      </c>
      <c r="BC718" s="5" t="str">
        <f t="shared" si="4935"/>
        <v>NO CONFORME</v>
      </c>
      <c r="BD718" s="15">
        <f t="shared" si="4936"/>
        <v>-1</v>
      </c>
      <c r="BE718" s="15">
        <f t="shared" si="4937"/>
        <v>-1</v>
      </c>
      <c r="BF718" s="15">
        <f t="shared" si="4938"/>
        <v>-1</v>
      </c>
      <c r="BG718" s="15" t="str">
        <f t="shared" si="4939"/>
        <v>-1-1-1</v>
      </c>
      <c r="BH718" s="15" t="str">
        <f t="shared" si="4940"/>
        <v>SD</v>
      </c>
      <c r="BI718" s="15" t="str">
        <f t="shared" si="4941"/>
        <v>SI</v>
      </c>
      <c r="BJ718" s="15" t="b">
        <f t="shared" si="4942"/>
        <v>1</v>
      </c>
      <c r="BK718" s="15" t="str">
        <f t="shared" si="4943"/>
        <v>SIGIGUALES</v>
      </c>
      <c r="BL718" s="22" t="str">
        <f t="shared" si="4944"/>
        <v>NO CONFORME</v>
      </c>
    </row>
    <row r="719" spans="1:64" ht="15.75" thickBot="1" x14ac:dyDescent="0.3">
      <c r="A719" s="37">
        <v>711</v>
      </c>
      <c r="B719" s="93">
        <f t="shared" ref="B719:E719" si="5065">B718</f>
        <v>45919</v>
      </c>
      <c r="C719" s="93">
        <f t="shared" si="5065"/>
        <v>45919</v>
      </c>
      <c r="D719" s="94">
        <f t="shared" si="5065"/>
        <v>6</v>
      </c>
      <c r="E719" s="95">
        <f t="shared" si="5065"/>
        <v>15</v>
      </c>
      <c r="F719" s="13"/>
      <c r="G719" s="90"/>
      <c r="H719" s="97">
        <f t="shared" ref="H719:L719" si="5066">H718</f>
        <v>25.6</v>
      </c>
      <c r="I719" s="98">
        <f t="shared" si="5066"/>
        <v>0</v>
      </c>
      <c r="J719" s="99">
        <f t="shared" si="5066"/>
        <v>20.9</v>
      </c>
      <c r="K719" s="99">
        <f t="shared" si="5066"/>
        <v>7.883</v>
      </c>
      <c r="L719" s="99">
        <f t="shared" si="5066"/>
        <v>0.55400000000000005</v>
      </c>
      <c r="M719" s="45"/>
      <c r="N719" s="45"/>
      <c r="O719" s="100">
        <f t="shared" ref="O719:P719" si="5067">O718</f>
        <v>100.62</v>
      </c>
      <c r="P719" s="101" t="str">
        <f t="shared" si="5067"/>
        <v>2,29,560</v>
      </c>
      <c r="Q719" s="11" t="str">
        <f t="shared" si="4948"/>
        <v>2</v>
      </c>
      <c r="R719" s="11" t="str">
        <f t="shared" si="4949"/>
        <v>29,560</v>
      </c>
      <c r="S719" s="11">
        <f t="shared" si="4950"/>
        <v>4.1544444444444446E-2</v>
      </c>
      <c r="T719" s="14">
        <f t="shared" si="4951"/>
        <v>2421.9844878309709</v>
      </c>
      <c r="U719" s="39">
        <f t="shared" si="4922"/>
        <v>-100</v>
      </c>
      <c r="V719" s="105">
        <f t="shared" ref="V719:X719" si="5068">V718</f>
        <v>20.399999999999999</v>
      </c>
      <c r="W719" s="105">
        <f t="shared" si="5068"/>
        <v>1.5069999999999999</v>
      </c>
      <c r="X719" s="106">
        <f t="shared" si="5068"/>
        <v>1.504</v>
      </c>
      <c r="Y719" s="45"/>
      <c r="Z719" s="45"/>
      <c r="AA719" s="107">
        <f t="shared" ref="AA719:AB719" si="5069">AA718</f>
        <v>10.015000000000001</v>
      </c>
      <c r="AB719" s="108" t="str">
        <f t="shared" si="5069"/>
        <v>22,10,090</v>
      </c>
      <c r="AC719" s="11" t="str">
        <f t="shared" si="4954"/>
        <v>22</v>
      </c>
      <c r="AD719" s="11" t="str">
        <f t="shared" si="4955"/>
        <v>10,090</v>
      </c>
      <c r="AE719" s="11">
        <f t="shared" si="4956"/>
        <v>0.36946944444444441</v>
      </c>
      <c r="AF719" s="14">
        <f t="shared" si="4925"/>
        <v>27.106436406558959</v>
      </c>
      <c r="AG719" s="41">
        <f t="shared" si="4926"/>
        <v>-100</v>
      </c>
      <c r="AH719" s="105">
        <f t="shared" ref="AH719:AJ719" si="5070">AH718</f>
        <v>20.3</v>
      </c>
      <c r="AI719" s="105">
        <f t="shared" si="5070"/>
        <v>1.5089999999999999</v>
      </c>
      <c r="AJ719" s="105">
        <f t="shared" si="5070"/>
        <v>1.504</v>
      </c>
      <c r="AK719" s="53">
        <f t="shared" si="4854"/>
        <v>0</v>
      </c>
      <c r="AL719" s="45"/>
      <c r="AM719" s="54">
        <f t="shared" ref="AM719:AN719" si="5071">AM718</f>
        <v>5.0129999999999999</v>
      </c>
      <c r="AN719" s="101" t="str">
        <f t="shared" si="5071"/>
        <v>17,59,050</v>
      </c>
      <c r="AO719" s="11" t="str">
        <f t="shared" si="4959"/>
        <v>17</v>
      </c>
      <c r="AP719" s="11" t="str">
        <f t="shared" si="4960"/>
        <v>59,050</v>
      </c>
      <c r="AQ719" s="11">
        <f t="shared" si="4961"/>
        <v>0.29973611111111109</v>
      </c>
      <c r="AR719" s="14">
        <f t="shared" si="4929"/>
        <v>16.724711551827998</v>
      </c>
      <c r="AS719" s="41">
        <f t="shared" si="4930"/>
        <v>-100</v>
      </c>
      <c r="AT719" s="43" t="str">
        <f t="shared" si="4931"/>
        <v>NO CONFORME</v>
      </c>
      <c r="AU719" s="8" t="b">
        <f t="shared" si="5036"/>
        <v>1</v>
      </c>
      <c r="AV719" s="8" t="b">
        <f t="shared" si="4962"/>
        <v>0</v>
      </c>
      <c r="AW719" s="8" t="b">
        <f t="shared" si="4963"/>
        <v>1</v>
      </c>
      <c r="AX719" s="8" t="str">
        <f t="shared" si="4964"/>
        <v>Qcorrecto</v>
      </c>
      <c r="AY719" s="22" t="str">
        <f t="shared" si="4932"/>
        <v>aceptable</v>
      </c>
      <c r="AZ719" s="22" t="str">
        <f t="shared" si="4933"/>
        <v>aceptable</v>
      </c>
      <c r="BA719" s="22" t="str">
        <f t="shared" si="4965"/>
        <v>aceptable</v>
      </c>
      <c r="BB719" s="25" t="str">
        <f t="shared" si="4934"/>
        <v>NO CONFORME</v>
      </c>
      <c r="BC719" s="5" t="str">
        <f t="shared" si="4935"/>
        <v>NO CONFORME</v>
      </c>
      <c r="BD719" s="15">
        <f t="shared" si="4936"/>
        <v>-1</v>
      </c>
      <c r="BE719" s="15">
        <f t="shared" si="4937"/>
        <v>-1</v>
      </c>
      <c r="BF719" s="15">
        <f t="shared" si="4938"/>
        <v>-1</v>
      </c>
      <c r="BG719" s="15" t="str">
        <f t="shared" si="4939"/>
        <v>-1-1-1</v>
      </c>
      <c r="BH719" s="15" t="str">
        <f t="shared" si="4940"/>
        <v>SD</v>
      </c>
      <c r="BI719" s="15" t="str">
        <f t="shared" si="4941"/>
        <v>SI</v>
      </c>
      <c r="BJ719" s="15" t="b">
        <f t="shared" si="4942"/>
        <v>1</v>
      </c>
      <c r="BK719" s="15" t="str">
        <f t="shared" si="4943"/>
        <v>SIGIGUALES</v>
      </c>
      <c r="BL719" s="22" t="str">
        <f t="shared" si="4944"/>
        <v>NO CONFORME</v>
      </c>
    </row>
    <row r="720" spans="1:64" ht="15.75" thickBot="1" x14ac:dyDescent="0.3">
      <c r="A720" s="37">
        <v>712</v>
      </c>
      <c r="B720" s="93">
        <f t="shared" ref="B720:E720" si="5072">B719</f>
        <v>45919</v>
      </c>
      <c r="C720" s="93">
        <f t="shared" si="5072"/>
        <v>45919</v>
      </c>
      <c r="D720" s="94">
        <f t="shared" si="5072"/>
        <v>6</v>
      </c>
      <c r="E720" s="95">
        <f t="shared" si="5072"/>
        <v>15</v>
      </c>
      <c r="F720" s="13"/>
      <c r="G720" s="90"/>
      <c r="H720" s="97">
        <f t="shared" ref="H720:L720" si="5073">H719</f>
        <v>25.6</v>
      </c>
      <c r="I720" s="98">
        <f t="shared" si="5073"/>
        <v>0</v>
      </c>
      <c r="J720" s="99">
        <f t="shared" si="5073"/>
        <v>20.9</v>
      </c>
      <c r="K720" s="99">
        <f t="shared" si="5073"/>
        <v>7.883</v>
      </c>
      <c r="L720" s="99">
        <f t="shared" si="5073"/>
        <v>0.55400000000000005</v>
      </c>
      <c r="M720" s="45"/>
      <c r="N720" s="45"/>
      <c r="O720" s="100">
        <f t="shared" ref="O720:P720" si="5074">O719</f>
        <v>100.62</v>
      </c>
      <c r="P720" s="101" t="str">
        <f t="shared" si="5074"/>
        <v>2,29,560</v>
      </c>
      <c r="Q720" s="11" t="str">
        <f t="shared" si="4948"/>
        <v>2</v>
      </c>
      <c r="R720" s="11" t="str">
        <f t="shared" si="4949"/>
        <v>29,560</v>
      </c>
      <c r="S720" s="11">
        <f t="shared" si="4950"/>
        <v>4.1544444444444446E-2</v>
      </c>
      <c r="T720" s="14">
        <f t="shared" si="4951"/>
        <v>2421.9844878309709</v>
      </c>
      <c r="U720" s="39">
        <f t="shared" si="4922"/>
        <v>-100</v>
      </c>
      <c r="V720" s="105">
        <f t="shared" ref="V720:X720" si="5075">V719</f>
        <v>20.399999999999999</v>
      </c>
      <c r="W720" s="105">
        <f t="shared" si="5075"/>
        <v>1.5069999999999999</v>
      </c>
      <c r="X720" s="106">
        <f t="shared" si="5075"/>
        <v>1.504</v>
      </c>
      <c r="Y720" s="45"/>
      <c r="Z720" s="45"/>
      <c r="AA720" s="107">
        <f t="shared" ref="AA720:AB720" si="5076">AA719</f>
        <v>10.015000000000001</v>
      </c>
      <c r="AB720" s="108" t="str">
        <f t="shared" si="5076"/>
        <v>22,10,090</v>
      </c>
      <c r="AC720" s="11" t="str">
        <f t="shared" si="4954"/>
        <v>22</v>
      </c>
      <c r="AD720" s="11" t="str">
        <f t="shared" si="4955"/>
        <v>10,090</v>
      </c>
      <c r="AE720" s="11">
        <f t="shared" si="4956"/>
        <v>0.36946944444444441</v>
      </c>
      <c r="AF720" s="14">
        <f t="shared" si="4925"/>
        <v>27.106436406558959</v>
      </c>
      <c r="AG720" s="41">
        <f t="shared" si="4926"/>
        <v>-100</v>
      </c>
      <c r="AH720" s="105">
        <f t="shared" ref="AH720:AJ720" si="5077">AH719</f>
        <v>20.3</v>
      </c>
      <c r="AI720" s="105">
        <f t="shared" si="5077"/>
        <v>1.5089999999999999</v>
      </c>
      <c r="AJ720" s="105">
        <f t="shared" si="5077"/>
        <v>1.504</v>
      </c>
      <c r="AK720" s="53">
        <f t="shared" si="4854"/>
        <v>0</v>
      </c>
      <c r="AL720" s="45"/>
      <c r="AM720" s="54">
        <f t="shared" ref="AM720:AN720" si="5078">AM719</f>
        <v>5.0129999999999999</v>
      </c>
      <c r="AN720" s="101" t="str">
        <f t="shared" si="5078"/>
        <v>17,59,050</v>
      </c>
      <c r="AO720" s="11" t="str">
        <f t="shared" si="4959"/>
        <v>17</v>
      </c>
      <c r="AP720" s="11" t="str">
        <f t="shared" si="4960"/>
        <v>59,050</v>
      </c>
      <c r="AQ720" s="11">
        <f t="shared" si="4961"/>
        <v>0.29973611111111109</v>
      </c>
      <c r="AR720" s="14">
        <f t="shared" si="4929"/>
        <v>16.724711551827998</v>
      </c>
      <c r="AS720" s="41">
        <f t="shared" si="4930"/>
        <v>-100</v>
      </c>
      <c r="AT720" s="43" t="str">
        <f t="shared" si="4931"/>
        <v>NO CONFORME</v>
      </c>
      <c r="AU720" s="8" t="b">
        <f t="shared" si="5036"/>
        <v>1</v>
      </c>
      <c r="AV720" s="8" t="b">
        <f t="shared" si="4962"/>
        <v>0</v>
      </c>
      <c r="AW720" s="8" t="b">
        <f t="shared" si="4963"/>
        <v>1</v>
      </c>
      <c r="AX720" s="8" t="str">
        <f t="shared" si="4964"/>
        <v>Qcorrecto</v>
      </c>
      <c r="AY720" s="22" t="str">
        <f t="shared" si="4932"/>
        <v>aceptable</v>
      </c>
      <c r="AZ720" s="22" t="str">
        <f t="shared" si="4933"/>
        <v>aceptable</v>
      </c>
      <c r="BA720" s="22" t="str">
        <f t="shared" si="4965"/>
        <v>aceptable</v>
      </c>
      <c r="BB720" s="25" t="str">
        <f t="shared" si="4934"/>
        <v>NO CONFORME</v>
      </c>
      <c r="BC720" s="5" t="str">
        <f t="shared" si="4935"/>
        <v>NO CONFORME</v>
      </c>
      <c r="BD720" s="15">
        <f t="shared" si="4936"/>
        <v>-1</v>
      </c>
      <c r="BE720" s="15">
        <f t="shared" si="4937"/>
        <v>-1</v>
      </c>
      <c r="BF720" s="15">
        <f t="shared" si="4938"/>
        <v>-1</v>
      </c>
      <c r="BG720" s="15" t="str">
        <f t="shared" si="4939"/>
        <v>-1-1-1</v>
      </c>
      <c r="BH720" s="15" t="str">
        <f t="shared" si="4940"/>
        <v>SD</v>
      </c>
      <c r="BI720" s="15" t="str">
        <f t="shared" si="4941"/>
        <v>SI</v>
      </c>
      <c r="BJ720" s="15" t="b">
        <f t="shared" si="4942"/>
        <v>1</v>
      </c>
      <c r="BK720" s="15" t="str">
        <f t="shared" si="4943"/>
        <v>SIGIGUALES</v>
      </c>
      <c r="BL720" s="22" t="str">
        <f t="shared" si="4944"/>
        <v>NO CONFORME</v>
      </c>
    </row>
    <row r="721" spans="1:64" ht="15.75" thickBot="1" x14ac:dyDescent="0.3">
      <c r="A721" s="37">
        <v>713</v>
      </c>
      <c r="B721" s="93">
        <f t="shared" ref="B721:E721" si="5079">B720</f>
        <v>45919</v>
      </c>
      <c r="C721" s="93">
        <f t="shared" si="5079"/>
        <v>45919</v>
      </c>
      <c r="D721" s="94">
        <f t="shared" si="5079"/>
        <v>6</v>
      </c>
      <c r="E721" s="95">
        <f t="shared" si="5079"/>
        <v>15</v>
      </c>
      <c r="F721" s="13"/>
      <c r="G721" s="90"/>
      <c r="H721" s="97">
        <f t="shared" ref="H721:L721" si="5080">H720</f>
        <v>25.6</v>
      </c>
      <c r="I721" s="98">
        <f t="shared" si="5080"/>
        <v>0</v>
      </c>
      <c r="J721" s="99">
        <f t="shared" si="5080"/>
        <v>20.9</v>
      </c>
      <c r="K721" s="99">
        <f t="shared" si="5080"/>
        <v>7.883</v>
      </c>
      <c r="L721" s="99">
        <f t="shared" si="5080"/>
        <v>0.55400000000000005</v>
      </c>
      <c r="M721" s="45"/>
      <c r="N721" s="45"/>
      <c r="O721" s="100">
        <f t="shared" ref="O721:P721" si="5081">O720</f>
        <v>100.62</v>
      </c>
      <c r="P721" s="101" t="str">
        <f t="shared" si="5081"/>
        <v>2,29,560</v>
      </c>
      <c r="Q721" s="11" t="str">
        <f t="shared" si="4948"/>
        <v>2</v>
      </c>
      <c r="R721" s="11" t="str">
        <f t="shared" si="4949"/>
        <v>29,560</v>
      </c>
      <c r="S721" s="11">
        <f t="shared" si="4950"/>
        <v>4.1544444444444446E-2</v>
      </c>
      <c r="T721" s="14">
        <f t="shared" si="4951"/>
        <v>2421.9844878309709</v>
      </c>
      <c r="U721" s="39">
        <f t="shared" si="4922"/>
        <v>-100</v>
      </c>
      <c r="V721" s="105">
        <f t="shared" ref="V721:X721" si="5082">V720</f>
        <v>20.399999999999999</v>
      </c>
      <c r="W721" s="105">
        <f t="shared" si="5082"/>
        <v>1.5069999999999999</v>
      </c>
      <c r="X721" s="106">
        <f t="shared" si="5082"/>
        <v>1.504</v>
      </c>
      <c r="Y721" s="45"/>
      <c r="Z721" s="45"/>
      <c r="AA721" s="107">
        <f t="shared" ref="AA721:AB721" si="5083">AA720</f>
        <v>10.015000000000001</v>
      </c>
      <c r="AB721" s="108" t="str">
        <f t="shared" si="5083"/>
        <v>22,10,090</v>
      </c>
      <c r="AC721" s="11" t="str">
        <f t="shared" si="4954"/>
        <v>22</v>
      </c>
      <c r="AD721" s="11" t="str">
        <f t="shared" si="4955"/>
        <v>10,090</v>
      </c>
      <c r="AE721" s="11">
        <f t="shared" si="4956"/>
        <v>0.36946944444444441</v>
      </c>
      <c r="AF721" s="14">
        <f t="shared" si="4925"/>
        <v>27.106436406558959</v>
      </c>
      <c r="AG721" s="41">
        <f t="shared" si="4926"/>
        <v>-100</v>
      </c>
      <c r="AH721" s="105">
        <f t="shared" ref="AH721:AJ721" si="5084">AH720</f>
        <v>20.3</v>
      </c>
      <c r="AI721" s="105">
        <f t="shared" si="5084"/>
        <v>1.5089999999999999</v>
      </c>
      <c r="AJ721" s="105">
        <f t="shared" si="5084"/>
        <v>1.504</v>
      </c>
      <c r="AK721" s="53">
        <f t="shared" si="4854"/>
        <v>0</v>
      </c>
      <c r="AL721" s="45"/>
      <c r="AM721" s="54">
        <f t="shared" ref="AM721:AN721" si="5085">AM720</f>
        <v>5.0129999999999999</v>
      </c>
      <c r="AN721" s="101" t="str">
        <f t="shared" si="5085"/>
        <v>17,59,050</v>
      </c>
      <c r="AO721" s="11" t="str">
        <f t="shared" si="4959"/>
        <v>17</v>
      </c>
      <c r="AP721" s="11" t="str">
        <f t="shared" si="4960"/>
        <v>59,050</v>
      </c>
      <c r="AQ721" s="11">
        <f t="shared" si="4961"/>
        <v>0.29973611111111109</v>
      </c>
      <c r="AR721" s="14">
        <f t="shared" si="4929"/>
        <v>16.724711551827998</v>
      </c>
      <c r="AS721" s="41">
        <f t="shared" si="4930"/>
        <v>-100</v>
      </c>
      <c r="AT721" s="43" t="str">
        <f t="shared" si="4931"/>
        <v>NO CONFORME</v>
      </c>
      <c r="AU721" s="8" t="b">
        <f t="shared" si="5036"/>
        <v>1</v>
      </c>
      <c r="AV721" s="8" t="b">
        <f t="shared" si="4962"/>
        <v>0</v>
      </c>
      <c r="AW721" s="8" t="b">
        <f t="shared" si="4963"/>
        <v>1</v>
      </c>
      <c r="AX721" s="8" t="str">
        <f t="shared" si="4964"/>
        <v>Qcorrecto</v>
      </c>
      <c r="AY721" s="22" t="str">
        <f t="shared" si="4932"/>
        <v>aceptable</v>
      </c>
      <c r="AZ721" s="22" t="str">
        <f t="shared" si="4933"/>
        <v>aceptable</v>
      </c>
      <c r="BA721" s="22" t="str">
        <f t="shared" si="4965"/>
        <v>aceptable</v>
      </c>
      <c r="BB721" s="25" t="str">
        <f t="shared" si="4934"/>
        <v>NO CONFORME</v>
      </c>
      <c r="BC721" s="5" t="str">
        <f t="shared" si="4935"/>
        <v>NO CONFORME</v>
      </c>
      <c r="BD721" s="15">
        <f t="shared" si="4936"/>
        <v>-1</v>
      </c>
      <c r="BE721" s="15">
        <f t="shared" si="4937"/>
        <v>-1</v>
      </c>
      <c r="BF721" s="15">
        <f t="shared" si="4938"/>
        <v>-1</v>
      </c>
      <c r="BG721" s="15" t="str">
        <f t="shared" si="4939"/>
        <v>-1-1-1</v>
      </c>
      <c r="BH721" s="15" t="str">
        <f t="shared" si="4940"/>
        <v>SD</v>
      </c>
      <c r="BI721" s="15" t="str">
        <f t="shared" si="4941"/>
        <v>SI</v>
      </c>
      <c r="BJ721" s="15" t="b">
        <f t="shared" si="4942"/>
        <v>1</v>
      </c>
      <c r="BK721" s="15" t="str">
        <f t="shared" si="4943"/>
        <v>SIGIGUALES</v>
      </c>
      <c r="BL721" s="22" t="str">
        <f t="shared" si="4944"/>
        <v>NO CONFORME</v>
      </c>
    </row>
    <row r="722" spans="1:64" ht="15.75" thickBot="1" x14ac:dyDescent="0.3">
      <c r="A722" s="37">
        <v>714</v>
      </c>
      <c r="B722" s="93">
        <f t="shared" ref="B722:E722" si="5086">B721</f>
        <v>45919</v>
      </c>
      <c r="C722" s="93">
        <f t="shared" si="5086"/>
        <v>45919</v>
      </c>
      <c r="D722" s="94">
        <f t="shared" si="5086"/>
        <v>6</v>
      </c>
      <c r="E722" s="95">
        <f t="shared" si="5086"/>
        <v>15</v>
      </c>
      <c r="F722" s="13"/>
      <c r="G722" s="90"/>
      <c r="H722" s="97">
        <f t="shared" ref="H722:L722" si="5087">H721</f>
        <v>25.6</v>
      </c>
      <c r="I722" s="98">
        <f t="shared" si="5087"/>
        <v>0</v>
      </c>
      <c r="J722" s="99">
        <f t="shared" si="5087"/>
        <v>20.9</v>
      </c>
      <c r="K722" s="99">
        <f t="shared" si="5087"/>
        <v>7.883</v>
      </c>
      <c r="L722" s="99">
        <f t="shared" si="5087"/>
        <v>0.55400000000000005</v>
      </c>
      <c r="M722" s="45"/>
      <c r="N722" s="45"/>
      <c r="O722" s="100">
        <f t="shared" ref="O722:P722" si="5088">O721</f>
        <v>100.62</v>
      </c>
      <c r="P722" s="101" t="str">
        <f t="shared" si="5088"/>
        <v>2,29,560</v>
      </c>
      <c r="Q722" s="11" t="str">
        <f t="shared" si="4948"/>
        <v>2</v>
      </c>
      <c r="R722" s="11" t="str">
        <f t="shared" si="4949"/>
        <v>29,560</v>
      </c>
      <c r="S722" s="11">
        <f t="shared" si="4950"/>
        <v>4.1544444444444446E-2</v>
      </c>
      <c r="T722" s="14">
        <f t="shared" si="4951"/>
        <v>2421.9844878309709</v>
      </c>
      <c r="U722" s="39">
        <f t="shared" si="4922"/>
        <v>-100</v>
      </c>
      <c r="V722" s="105">
        <f t="shared" ref="V722:X722" si="5089">V721</f>
        <v>20.399999999999999</v>
      </c>
      <c r="W722" s="105">
        <f t="shared" si="5089"/>
        <v>1.5069999999999999</v>
      </c>
      <c r="X722" s="106">
        <f t="shared" si="5089"/>
        <v>1.504</v>
      </c>
      <c r="Y722" s="45"/>
      <c r="Z722" s="45"/>
      <c r="AA722" s="107">
        <f t="shared" ref="AA722:AB722" si="5090">AA721</f>
        <v>10.015000000000001</v>
      </c>
      <c r="AB722" s="108" t="str">
        <f t="shared" si="5090"/>
        <v>22,10,090</v>
      </c>
      <c r="AC722" s="11" t="str">
        <f t="shared" si="4954"/>
        <v>22</v>
      </c>
      <c r="AD722" s="11" t="str">
        <f t="shared" si="4955"/>
        <v>10,090</v>
      </c>
      <c r="AE722" s="11">
        <f t="shared" si="4956"/>
        <v>0.36946944444444441</v>
      </c>
      <c r="AF722" s="14">
        <f t="shared" si="4925"/>
        <v>27.106436406558959</v>
      </c>
      <c r="AG722" s="41">
        <f t="shared" si="4926"/>
        <v>-100</v>
      </c>
      <c r="AH722" s="105">
        <f t="shared" ref="AH722:AJ722" si="5091">AH721</f>
        <v>20.3</v>
      </c>
      <c r="AI722" s="105">
        <f t="shared" si="5091"/>
        <v>1.5089999999999999</v>
      </c>
      <c r="AJ722" s="105">
        <f t="shared" si="5091"/>
        <v>1.504</v>
      </c>
      <c r="AK722" s="53">
        <f t="shared" si="4854"/>
        <v>0</v>
      </c>
      <c r="AL722" s="45"/>
      <c r="AM722" s="54">
        <f t="shared" ref="AM722:AN722" si="5092">AM721</f>
        <v>5.0129999999999999</v>
      </c>
      <c r="AN722" s="101" t="str">
        <f t="shared" si="5092"/>
        <v>17,59,050</v>
      </c>
      <c r="AO722" s="11" t="str">
        <f t="shared" si="4959"/>
        <v>17</v>
      </c>
      <c r="AP722" s="11" t="str">
        <f t="shared" si="4960"/>
        <v>59,050</v>
      </c>
      <c r="AQ722" s="11">
        <f t="shared" si="4961"/>
        <v>0.29973611111111109</v>
      </c>
      <c r="AR722" s="14">
        <f t="shared" si="4929"/>
        <v>16.724711551827998</v>
      </c>
      <c r="AS722" s="41">
        <f t="shared" si="4930"/>
        <v>-100</v>
      </c>
      <c r="AT722" s="43" t="str">
        <f t="shared" si="4931"/>
        <v>NO CONFORME</v>
      </c>
      <c r="AU722" s="8" t="b">
        <f t="shared" si="5036"/>
        <v>1</v>
      </c>
      <c r="AV722" s="8" t="b">
        <f t="shared" si="4962"/>
        <v>0</v>
      </c>
      <c r="AW722" s="8" t="b">
        <f t="shared" si="4963"/>
        <v>1</v>
      </c>
      <c r="AX722" s="8" t="str">
        <f t="shared" si="4964"/>
        <v>Qcorrecto</v>
      </c>
      <c r="AY722" s="22" t="str">
        <f t="shared" si="4932"/>
        <v>aceptable</v>
      </c>
      <c r="AZ722" s="22" t="str">
        <f t="shared" si="4933"/>
        <v>aceptable</v>
      </c>
      <c r="BA722" s="22" t="str">
        <f t="shared" si="4965"/>
        <v>aceptable</v>
      </c>
      <c r="BB722" s="25" t="str">
        <f t="shared" si="4934"/>
        <v>NO CONFORME</v>
      </c>
      <c r="BC722" s="5" t="str">
        <f t="shared" si="4935"/>
        <v>NO CONFORME</v>
      </c>
      <c r="BD722" s="15">
        <f t="shared" si="4936"/>
        <v>-1</v>
      </c>
      <c r="BE722" s="15">
        <f t="shared" si="4937"/>
        <v>-1</v>
      </c>
      <c r="BF722" s="15">
        <f t="shared" si="4938"/>
        <v>-1</v>
      </c>
      <c r="BG722" s="15" t="str">
        <f t="shared" si="4939"/>
        <v>-1-1-1</v>
      </c>
      <c r="BH722" s="15" t="str">
        <f t="shared" si="4940"/>
        <v>SD</v>
      </c>
      <c r="BI722" s="15" t="str">
        <f t="shared" si="4941"/>
        <v>SI</v>
      </c>
      <c r="BJ722" s="15" t="b">
        <f t="shared" si="4942"/>
        <v>1</v>
      </c>
      <c r="BK722" s="15" t="str">
        <f t="shared" si="4943"/>
        <v>SIGIGUALES</v>
      </c>
      <c r="BL722" s="22" t="str">
        <f t="shared" si="4944"/>
        <v>NO CONFORME</v>
      </c>
    </row>
    <row r="723" spans="1:64" ht="15.75" thickBot="1" x14ac:dyDescent="0.3">
      <c r="A723" s="37">
        <v>715</v>
      </c>
      <c r="B723" s="93">
        <f t="shared" ref="B723:E723" si="5093">B722</f>
        <v>45919</v>
      </c>
      <c r="C723" s="93">
        <f t="shared" si="5093"/>
        <v>45919</v>
      </c>
      <c r="D723" s="94">
        <f t="shared" si="5093"/>
        <v>6</v>
      </c>
      <c r="E723" s="95">
        <f t="shared" si="5093"/>
        <v>15</v>
      </c>
      <c r="F723" s="13"/>
      <c r="G723" s="90"/>
      <c r="H723" s="97">
        <f t="shared" ref="H723:L723" si="5094">H722</f>
        <v>25.6</v>
      </c>
      <c r="I723" s="98">
        <f t="shared" si="5094"/>
        <v>0</v>
      </c>
      <c r="J723" s="99">
        <f t="shared" si="5094"/>
        <v>20.9</v>
      </c>
      <c r="K723" s="99">
        <f t="shared" si="5094"/>
        <v>7.883</v>
      </c>
      <c r="L723" s="99">
        <f t="shared" si="5094"/>
        <v>0.55400000000000005</v>
      </c>
      <c r="M723" s="45"/>
      <c r="N723" s="45"/>
      <c r="O723" s="100">
        <f t="shared" ref="O723:P723" si="5095">O722</f>
        <v>100.62</v>
      </c>
      <c r="P723" s="101" t="str">
        <f t="shared" si="5095"/>
        <v>2,29,560</v>
      </c>
      <c r="Q723" s="11" t="str">
        <f t="shared" si="4948"/>
        <v>2</v>
      </c>
      <c r="R723" s="11" t="str">
        <f t="shared" si="4949"/>
        <v>29,560</v>
      </c>
      <c r="S723" s="11">
        <f t="shared" si="4950"/>
        <v>4.1544444444444446E-2</v>
      </c>
      <c r="T723" s="14">
        <f t="shared" si="4951"/>
        <v>2421.9844878309709</v>
      </c>
      <c r="U723" s="39">
        <f t="shared" si="4922"/>
        <v>-100</v>
      </c>
      <c r="V723" s="105">
        <f t="shared" ref="V723:X723" si="5096">V722</f>
        <v>20.399999999999999</v>
      </c>
      <c r="W723" s="105">
        <f t="shared" si="5096"/>
        <v>1.5069999999999999</v>
      </c>
      <c r="X723" s="106">
        <f t="shared" si="5096"/>
        <v>1.504</v>
      </c>
      <c r="Y723" s="45"/>
      <c r="Z723" s="45"/>
      <c r="AA723" s="107">
        <f t="shared" ref="AA723:AB723" si="5097">AA722</f>
        <v>10.015000000000001</v>
      </c>
      <c r="AB723" s="108" t="str">
        <f t="shared" si="5097"/>
        <v>22,10,090</v>
      </c>
      <c r="AC723" s="11" t="str">
        <f t="shared" si="4954"/>
        <v>22</v>
      </c>
      <c r="AD723" s="11" t="str">
        <f t="shared" si="4955"/>
        <v>10,090</v>
      </c>
      <c r="AE723" s="11">
        <f t="shared" si="4956"/>
        <v>0.36946944444444441</v>
      </c>
      <c r="AF723" s="14">
        <f t="shared" si="4925"/>
        <v>27.106436406558959</v>
      </c>
      <c r="AG723" s="41">
        <f t="shared" si="4926"/>
        <v>-100</v>
      </c>
      <c r="AH723" s="105">
        <f t="shared" ref="AH723:AJ723" si="5098">AH722</f>
        <v>20.3</v>
      </c>
      <c r="AI723" s="105">
        <f t="shared" si="5098"/>
        <v>1.5089999999999999</v>
      </c>
      <c r="AJ723" s="105">
        <f t="shared" si="5098"/>
        <v>1.504</v>
      </c>
      <c r="AK723" s="53">
        <f t="shared" si="4854"/>
        <v>0</v>
      </c>
      <c r="AL723" s="45"/>
      <c r="AM723" s="54">
        <f t="shared" ref="AM723:AN723" si="5099">AM722</f>
        <v>5.0129999999999999</v>
      </c>
      <c r="AN723" s="101" t="str">
        <f t="shared" si="5099"/>
        <v>17,59,050</v>
      </c>
      <c r="AO723" s="11" t="str">
        <f t="shared" si="4959"/>
        <v>17</v>
      </c>
      <c r="AP723" s="11" t="str">
        <f t="shared" si="4960"/>
        <v>59,050</v>
      </c>
      <c r="AQ723" s="11">
        <f t="shared" si="4961"/>
        <v>0.29973611111111109</v>
      </c>
      <c r="AR723" s="14">
        <f t="shared" si="4929"/>
        <v>16.724711551827998</v>
      </c>
      <c r="AS723" s="41">
        <f t="shared" si="4930"/>
        <v>-100</v>
      </c>
      <c r="AT723" s="43" t="str">
        <f t="shared" si="4931"/>
        <v>NO CONFORME</v>
      </c>
      <c r="AU723" s="8" t="b">
        <f t="shared" si="5036"/>
        <v>1</v>
      </c>
      <c r="AV723" s="8" t="b">
        <f t="shared" si="4962"/>
        <v>0</v>
      </c>
      <c r="AW723" s="8" t="b">
        <f t="shared" si="4963"/>
        <v>1</v>
      </c>
      <c r="AX723" s="8" t="str">
        <f t="shared" si="4964"/>
        <v>Qcorrecto</v>
      </c>
      <c r="AY723" s="22" t="str">
        <f t="shared" si="4932"/>
        <v>aceptable</v>
      </c>
      <c r="AZ723" s="22" t="str">
        <f t="shared" si="4933"/>
        <v>aceptable</v>
      </c>
      <c r="BA723" s="22" t="str">
        <f t="shared" si="4965"/>
        <v>aceptable</v>
      </c>
      <c r="BB723" s="25" t="str">
        <f t="shared" si="4934"/>
        <v>NO CONFORME</v>
      </c>
      <c r="BC723" s="5" t="str">
        <f t="shared" si="4935"/>
        <v>NO CONFORME</v>
      </c>
      <c r="BD723" s="15">
        <f t="shared" si="4936"/>
        <v>-1</v>
      </c>
      <c r="BE723" s="15">
        <f t="shared" si="4937"/>
        <v>-1</v>
      </c>
      <c r="BF723" s="15">
        <f t="shared" si="4938"/>
        <v>-1</v>
      </c>
      <c r="BG723" s="15" t="str">
        <f t="shared" si="4939"/>
        <v>-1-1-1</v>
      </c>
      <c r="BH723" s="15" t="str">
        <f t="shared" si="4940"/>
        <v>SD</v>
      </c>
      <c r="BI723" s="15" t="str">
        <f t="shared" si="4941"/>
        <v>SI</v>
      </c>
      <c r="BJ723" s="15" t="b">
        <f t="shared" si="4942"/>
        <v>1</v>
      </c>
      <c r="BK723" s="15" t="str">
        <f t="shared" si="4943"/>
        <v>SIGIGUALES</v>
      </c>
      <c r="BL723" s="22" t="str">
        <f t="shared" si="4944"/>
        <v>NO CONFORME</v>
      </c>
    </row>
    <row r="724" spans="1:64" ht="15.75" thickBot="1" x14ac:dyDescent="0.3">
      <c r="A724" s="37">
        <v>716</v>
      </c>
      <c r="B724" s="93">
        <f t="shared" ref="B724:E724" si="5100">B723</f>
        <v>45919</v>
      </c>
      <c r="C724" s="93">
        <f t="shared" si="5100"/>
        <v>45919</v>
      </c>
      <c r="D724" s="94">
        <f t="shared" si="5100"/>
        <v>6</v>
      </c>
      <c r="E724" s="95">
        <f t="shared" si="5100"/>
        <v>15</v>
      </c>
      <c r="F724" s="13"/>
      <c r="G724" s="90"/>
      <c r="H724" s="97">
        <f t="shared" ref="H724:L724" si="5101">H723</f>
        <v>25.6</v>
      </c>
      <c r="I724" s="98">
        <f t="shared" si="5101"/>
        <v>0</v>
      </c>
      <c r="J724" s="99">
        <f t="shared" si="5101"/>
        <v>20.9</v>
      </c>
      <c r="K724" s="99">
        <f t="shared" si="5101"/>
        <v>7.883</v>
      </c>
      <c r="L724" s="99">
        <f t="shared" si="5101"/>
        <v>0.55400000000000005</v>
      </c>
      <c r="M724" s="45"/>
      <c r="N724" s="45"/>
      <c r="O724" s="100">
        <f t="shared" ref="O724:P724" si="5102">O723</f>
        <v>100.62</v>
      </c>
      <c r="P724" s="101" t="str">
        <f t="shared" si="5102"/>
        <v>2,29,560</v>
      </c>
      <c r="Q724" s="11" t="str">
        <f t="shared" si="4948"/>
        <v>2</v>
      </c>
      <c r="R724" s="11" t="str">
        <f t="shared" si="4949"/>
        <v>29,560</v>
      </c>
      <c r="S724" s="11">
        <f t="shared" si="4950"/>
        <v>4.1544444444444446E-2</v>
      </c>
      <c r="T724" s="14">
        <f t="shared" si="4951"/>
        <v>2421.9844878309709</v>
      </c>
      <c r="U724" s="39">
        <f t="shared" si="4922"/>
        <v>-100</v>
      </c>
      <c r="V724" s="105">
        <f t="shared" ref="V724:X724" si="5103">V723</f>
        <v>20.399999999999999</v>
      </c>
      <c r="W724" s="105">
        <f t="shared" si="5103"/>
        <v>1.5069999999999999</v>
      </c>
      <c r="X724" s="106">
        <f t="shared" si="5103"/>
        <v>1.504</v>
      </c>
      <c r="Y724" s="45"/>
      <c r="Z724" s="45"/>
      <c r="AA724" s="107">
        <f t="shared" ref="AA724:AB724" si="5104">AA723</f>
        <v>10.015000000000001</v>
      </c>
      <c r="AB724" s="108" t="str">
        <f t="shared" si="5104"/>
        <v>22,10,090</v>
      </c>
      <c r="AC724" s="11" t="str">
        <f t="shared" si="4954"/>
        <v>22</v>
      </c>
      <c r="AD724" s="11" t="str">
        <f t="shared" si="4955"/>
        <v>10,090</v>
      </c>
      <c r="AE724" s="11">
        <f t="shared" si="4956"/>
        <v>0.36946944444444441</v>
      </c>
      <c r="AF724" s="14">
        <f t="shared" si="4925"/>
        <v>27.106436406558959</v>
      </c>
      <c r="AG724" s="41">
        <f t="shared" si="4926"/>
        <v>-100</v>
      </c>
      <c r="AH724" s="105">
        <f t="shared" ref="AH724:AJ724" si="5105">AH723</f>
        <v>20.3</v>
      </c>
      <c r="AI724" s="105">
        <f t="shared" si="5105"/>
        <v>1.5089999999999999</v>
      </c>
      <c r="AJ724" s="105">
        <f t="shared" si="5105"/>
        <v>1.504</v>
      </c>
      <c r="AK724" s="53">
        <f t="shared" si="4854"/>
        <v>0</v>
      </c>
      <c r="AL724" s="45"/>
      <c r="AM724" s="54">
        <f t="shared" ref="AM724:AN724" si="5106">AM723</f>
        <v>5.0129999999999999</v>
      </c>
      <c r="AN724" s="101" t="str">
        <f t="shared" si="5106"/>
        <v>17,59,050</v>
      </c>
      <c r="AO724" s="11" t="str">
        <f t="shared" si="4959"/>
        <v>17</v>
      </c>
      <c r="AP724" s="11" t="str">
        <f t="shared" si="4960"/>
        <v>59,050</v>
      </c>
      <c r="AQ724" s="11">
        <f t="shared" si="4961"/>
        <v>0.29973611111111109</v>
      </c>
      <c r="AR724" s="14">
        <f t="shared" si="4929"/>
        <v>16.724711551827998</v>
      </c>
      <c r="AS724" s="41">
        <f t="shared" si="4930"/>
        <v>-100</v>
      </c>
      <c r="AT724" s="43" t="str">
        <f t="shared" si="4931"/>
        <v>NO CONFORME</v>
      </c>
      <c r="AU724" s="8" t="b">
        <f t="shared" si="5036"/>
        <v>1</v>
      </c>
      <c r="AV724" s="8" t="b">
        <f t="shared" si="4962"/>
        <v>0</v>
      </c>
      <c r="AW724" s="8" t="b">
        <f t="shared" si="4963"/>
        <v>1</v>
      </c>
      <c r="AX724" s="8" t="str">
        <f t="shared" si="4964"/>
        <v>Qcorrecto</v>
      </c>
      <c r="AY724" s="22" t="str">
        <f t="shared" si="4932"/>
        <v>aceptable</v>
      </c>
      <c r="AZ724" s="22" t="str">
        <f t="shared" si="4933"/>
        <v>aceptable</v>
      </c>
      <c r="BA724" s="22" t="str">
        <f t="shared" si="4965"/>
        <v>aceptable</v>
      </c>
      <c r="BB724" s="25" t="str">
        <f t="shared" si="4934"/>
        <v>NO CONFORME</v>
      </c>
      <c r="BC724" s="5" t="str">
        <f t="shared" si="4935"/>
        <v>NO CONFORME</v>
      </c>
      <c r="BD724" s="15">
        <f t="shared" si="4936"/>
        <v>-1</v>
      </c>
      <c r="BE724" s="15">
        <f t="shared" si="4937"/>
        <v>-1</v>
      </c>
      <c r="BF724" s="15">
        <f t="shared" si="4938"/>
        <v>-1</v>
      </c>
      <c r="BG724" s="15" t="str">
        <f t="shared" si="4939"/>
        <v>-1-1-1</v>
      </c>
      <c r="BH724" s="15" t="str">
        <f t="shared" si="4940"/>
        <v>SD</v>
      </c>
      <c r="BI724" s="15" t="str">
        <f t="shared" si="4941"/>
        <v>SI</v>
      </c>
      <c r="BJ724" s="15" t="b">
        <f t="shared" si="4942"/>
        <v>1</v>
      </c>
      <c r="BK724" s="15" t="str">
        <f t="shared" si="4943"/>
        <v>SIGIGUALES</v>
      </c>
      <c r="BL724" s="22" t="str">
        <f t="shared" si="4944"/>
        <v>NO CONFORME</v>
      </c>
    </row>
    <row r="725" spans="1:64" ht="15.75" thickBot="1" x14ac:dyDescent="0.3">
      <c r="A725" s="37">
        <v>717</v>
      </c>
      <c r="B725" s="93">
        <f t="shared" ref="B725:E725" si="5107">B724</f>
        <v>45919</v>
      </c>
      <c r="C725" s="93">
        <f t="shared" si="5107"/>
        <v>45919</v>
      </c>
      <c r="D725" s="94">
        <f t="shared" si="5107"/>
        <v>6</v>
      </c>
      <c r="E725" s="95">
        <f t="shared" si="5107"/>
        <v>15</v>
      </c>
      <c r="F725" s="13"/>
      <c r="G725" s="90"/>
      <c r="H725" s="97">
        <f t="shared" ref="H725:L725" si="5108">H724</f>
        <v>25.6</v>
      </c>
      <c r="I725" s="98">
        <f t="shared" si="5108"/>
        <v>0</v>
      </c>
      <c r="J725" s="99">
        <f t="shared" si="5108"/>
        <v>20.9</v>
      </c>
      <c r="K725" s="99">
        <f t="shared" si="5108"/>
        <v>7.883</v>
      </c>
      <c r="L725" s="99">
        <f t="shared" si="5108"/>
        <v>0.55400000000000005</v>
      </c>
      <c r="M725" s="45"/>
      <c r="N725" s="45"/>
      <c r="O725" s="100">
        <f t="shared" ref="O725:P725" si="5109">O724</f>
        <v>100.62</v>
      </c>
      <c r="P725" s="101" t="str">
        <f t="shared" si="5109"/>
        <v>2,29,560</v>
      </c>
      <c r="Q725" s="11" t="str">
        <f t="shared" si="4948"/>
        <v>2</v>
      </c>
      <c r="R725" s="11" t="str">
        <f t="shared" si="4949"/>
        <v>29,560</v>
      </c>
      <c r="S725" s="11">
        <f t="shared" si="4950"/>
        <v>4.1544444444444446E-2</v>
      </c>
      <c r="T725" s="14">
        <f t="shared" si="4951"/>
        <v>2421.9844878309709</v>
      </c>
      <c r="U725" s="39">
        <f t="shared" si="4922"/>
        <v>-100</v>
      </c>
      <c r="V725" s="105">
        <f t="shared" ref="V725:X725" si="5110">V724</f>
        <v>20.399999999999999</v>
      </c>
      <c r="W725" s="105">
        <f t="shared" si="5110"/>
        <v>1.5069999999999999</v>
      </c>
      <c r="X725" s="106">
        <f t="shared" si="5110"/>
        <v>1.504</v>
      </c>
      <c r="Y725" s="45"/>
      <c r="Z725" s="45"/>
      <c r="AA725" s="107">
        <f t="shared" ref="AA725:AB725" si="5111">AA724</f>
        <v>10.015000000000001</v>
      </c>
      <c r="AB725" s="108" t="str">
        <f t="shared" si="5111"/>
        <v>22,10,090</v>
      </c>
      <c r="AC725" s="11" t="str">
        <f t="shared" si="4954"/>
        <v>22</v>
      </c>
      <c r="AD725" s="11" t="str">
        <f t="shared" si="4955"/>
        <v>10,090</v>
      </c>
      <c r="AE725" s="11">
        <f t="shared" si="4956"/>
        <v>0.36946944444444441</v>
      </c>
      <c r="AF725" s="14">
        <f t="shared" si="4925"/>
        <v>27.106436406558959</v>
      </c>
      <c r="AG725" s="41">
        <f t="shared" si="4926"/>
        <v>-100</v>
      </c>
      <c r="AH725" s="105">
        <f t="shared" ref="AH725:AJ725" si="5112">AH724</f>
        <v>20.3</v>
      </c>
      <c r="AI725" s="105">
        <f t="shared" si="5112"/>
        <v>1.5089999999999999</v>
      </c>
      <c r="AJ725" s="105">
        <f t="shared" si="5112"/>
        <v>1.504</v>
      </c>
      <c r="AK725" s="53">
        <f t="shared" si="4854"/>
        <v>0</v>
      </c>
      <c r="AL725" s="45"/>
      <c r="AM725" s="54">
        <f t="shared" ref="AM725:AN725" si="5113">AM724</f>
        <v>5.0129999999999999</v>
      </c>
      <c r="AN725" s="101" t="str">
        <f t="shared" si="5113"/>
        <v>17,59,050</v>
      </c>
      <c r="AO725" s="11" t="str">
        <f t="shared" si="4959"/>
        <v>17</v>
      </c>
      <c r="AP725" s="11" t="str">
        <f t="shared" si="4960"/>
        <v>59,050</v>
      </c>
      <c r="AQ725" s="11">
        <f t="shared" si="4961"/>
        <v>0.29973611111111109</v>
      </c>
      <c r="AR725" s="14">
        <f t="shared" si="4929"/>
        <v>16.724711551827998</v>
      </c>
      <c r="AS725" s="41">
        <f t="shared" si="4930"/>
        <v>-100</v>
      </c>
      <c r="AT725" s="43" t="str">
        <f t="shared" si="4931"/>
        <v>NO CONFORME</v>
      </c>
      <c r="AU725" s="8" t="b">
        <f t="shared" si="5036"/>
        <v>1</v>
      </c>
      <c r="AV725" s="8" t="b">
        <f t="shared" si="4962"/>
        <v>0</v>
      </c>
      <c r="AW725" s="8" t="b">
        <f t="shared" si="4963"/>
        <v>1</v>
      </c>
      <c r="AX725" s="8" t="str">
        <f t="shared" si="4964"/>
        <v>Qcorrecto</v>
      </c>
      <c r="AY725" s="22" t="str">
        <f t="shared" si="4932"/>
        <v>aceptable</v>
      </c>
      <c r="AZ725" s="22" t="str">
        <f t="shared" si="4933"/>
        <v>aceptable</v>
      </c>
      <c r="BA725" s="22" t="str">
        <f t="shared" si="4965"/>
        <v>aceptable</v>
      </c>
      <c r="BB725" s="25" t="str">
        <f t="shared" si="4934"/>
        <v>NO CONFORME</v>
      </c>
      <c r="BC725" s="5" t="str">
        <f t="shared" si="4935"/>
        <v>NO CONFORME</v>
      </c>
      <c r="BD725" s="15">
        <f t="shared" si="4936"/>
        <v>-1</v>
      </c>
      <c r="BE725" s="15">
        <f t="shared" si="4937"/>
        <v>-1</v>
      </c>
      <c r="BF725" s="15">
        <f t="shared" si="4938"/>
        <v>-1</v>
      </c>
      <c r="BG725" s="15" t="str">
        <f t="shared" si="4939"/>
        <v>-1-1-1</v>
      </c>
      <c r="BH725" s="15" t="str">
        <f t="shared" si="4940"/>
        <v>SD</v>
      </c>
      <c r="BI725" s="15" t="str">
        <f t="shared" si="4941"/>
        <v>SI</v>
      </c>
      <c r="BJ725" s="15" t="b">
        <f t="shared" si="4942"/>
        <v>1</v>
      </c>
      <c r="BK725" s="15" t="str">
        <f t="shared" si="4943"/>
        <v>SIGIGUALES</v>
      </c>
      <c r="BL725" s="22" t="str">
        <f t="shared" si="4944"/>
        <v>NO CONFORME</v>
      </c>
    </row>
    <row r="726" spans="1:64" ht="15.75" thickBot="1" x14ac:dyDescent="0.3">
      <c r="A726" s="37">
        <v>718</v>
      </c>
      <c r="B726" s="93">
        <f t="shared" ref="B726:E726" si="5114">B725</f>
        <v>45919</v>
      </c>
      <c r="C726" s="93">
        <f t="shared" si="5114"/>
        <v>45919</v>
      </c>
      <c r="D726" s="94">
        <f t="shared" si="5114"/>
        <v>6</v>
      </c>
      <c r="E726" s="95">
        <f t="shared" si="5114"/>
        <v>15</v>
      </c>
      <c r="F726" s="13"/>
      <c r="G726" s="90"/>
      <c r="H726" s="97">
        <f t="shared" ref="H726:L726" si="5115">H725</f>
        <v>25.6</v>
      </c>
      <c r="I726" s="98">
        <f t="shared" si="5115"/>
        <v>0</v>
      </c>
      <c r="J726" s="99">
        <f t="shared" si="5115"/>
        <v>20.9</v>
      </c>
      <c r="K726" s="99">
        <f t="shared" si="5115"/>
        <v>7.883</v>
      </c>
      <c r="L726" s="99">
        <f t="shared" si="5115"/>
        <v>0.55400000000000005</v>
      </c>
      <c r="M726" s="45"/>
      <c r="N726" s="45"/>
      <c r="O726" s="100">
        <f t="shared" ref="O726:P726" si="5116">O725</f>
        <v>100.62</v>
      </c>
      <c r="P726" s="101" t="str">
        <f t="shared" si="5116"/>
        <v>2,29,560</v>
      </c>
      <c r="Q726" s="11" t="str">
        <f t="shared" si="4948"/>
        <v>2</v>
      </c>
      <c r="R726" s="11" t="str">
        <f t="shared" si="4949"/>
        <v>29,560</v>
      </c>
      <c r="S726" s="11">
        <f t="shared" si="4950"/>
        <v>4.1544444444444446E-2</v>
      </c>
      <c r="T726" s="14">
        <f t="shared" si="4951"/>
        <v>2421.9844878309709</v>
      </c>
      <c r="U726" s="39">
        <f t="shared" si="4922"/>
        <v>-100</v>
      </c>
      <c r="V726" s="105">
        <f t="shared" ref="V726:X726" si="5117">V725</f>
        <v>20.399999999999999</v>
      </c>
      <c r="W726" s="105">
        <f t="shared" si="5117"/>
        <v>1.5069999999999999</v>
      </c>
      <c r="X726" s="106">
        <f t="shared" si="5117"/>
        <v>1.504</v>
      </c>
      <c r="Y726" s="45"/>
      <c r="Z726" s="45"/>
      <c r="AA726" s="107">
        <f t="shared" ref="AA726:AB726" si="5118">AA725</f>
        <v>10.015000000000001</v>
      </c>
      <c r="AB726" s="108" t="str">
        <f t="shared" si="5118"/>
        <v>22,10,090</v>
      </c>
      <c r="AC726" s="11" t="str">
        <f t="shared" si="4954"/>
        <v>22</v>
      </c>
      <c r="AD726" s="11" t="str">
        <f t="shared" si="4955"/>
        <v>10,090</v>
      </c>
      <c r="AE726" s="11">
        <f t="shared" si="4956"/>
        <v>0.36946944444444441</v>
      </c>
      <c r="AF726" s="14">
        <f t="shared" si="4925"/>
        <v>27.106436406558959</v>
      </c>
      <c r="AG726" s="41">
        <f t="shared" si="4926"/>
        <v>-100</v>
      </c>
      <c r="AH726" s="105">
        <f t="shared" ref="AH726:AJ726" si="5119">AH725</f>
        <v>20.3</v>
      </c>
      <c r="AI726" s="105">
        <f t="shared" si="5119"/>
        <v>1.5089999999999999</v>
      </c>
      <c r="AJ726" s="105">
        <f t="shared" si="5119"/>
        <v>1.504</v>
      </c>
      <c r="AK726" s="53">
        <f t="shared" si="4854"/>
        <v>0</v>
      </c>
      <c r="AL726" s="45"/>
      <c r="AM726" s="54">
        <f t="shared" ref="AM726:AN726" si="5120">AM725</f>
        <v>5.0129999999999999</v>
      </c>
      <c r="AN726" s="101" t="str">
        <f t="shared" si="5120"/>
        <v>17,59,050</v>
      </c>
      <c r="AO726" s="11" t="str">
        <f t="shared" si="4959"/>
        <v>17</v>
      </c>
      <c r="AP726" s="11" t="str">
        <f t="shared" si="4960"/>
        <v>59,050</v>
      </c>
      <c r="AQ726" s="11">
        <f t="shared" si="4961"/>
        <v>0.29973611111111109</v>
      </c>
      <c r="AR726" s="14">
        <f t="shared" si="4929"/>
        <v>16.724711551827998</v>
      </c>
      <c r="AS726" s="41">
        <f t="shared" si="4930"/>
        <v>-100</v>
      </c>
      <c r="AT726" s="43" t="str">
        <f t="shared" si="4931"/>
        <v>NO CONFORME</v>
      </c>
      <c r="AU726" s="8" t="b">
        <f t="shared" si="5036"/>
        <v>1</v>
      </c>
      <c r="AV726" s="8" t="b">
        <f t="shared" si="4962"/>
        <v>0</v>
      </c>
      <c r="AW726" s="8" t="b">
        <f t="shared" si="4963"/>
        <v>1</v>
      </c>
      <c r="AX726" s="8" t="str">
        <f t="shared" si="4964"/>
        <v>Qcorrecto</v>
      </c>
      <c r="AY726" s="22" t="str">
        <f t="shared" si="4932"/>
        <v>aceptable</v>
      </c>
      <c r="AZ726" s="22" t="str">
        <f t="shared" si="4933"/>
        <v>aceptable</v>
      </c>
      <c r="BA726" s="22" t="str">
        <f t="shared" si="4965"/>
        <v>aceptable</v>
      </c>
      <c r="BB726" s="25" t="str">
        <f t="shared" si="4934"/>
        <v>NO CONFORME</v>
      </c>
      <c r="BC726" s="5" t="str">
        <f t="shared" si="4935"/>
        <v>NO CONFORME</v>
      </c>
      <c r="BD726" s="15">
        <f t="shared" si="4936"/>
        <v>-1</v>
      </c>
      <c r="BE726" s="15">
        <f t="shared" si="4937"/>
        <v>-1</v>
      </c>
      <c r="BF726" s="15">
        <f t="shared" si="4938"/>
        <v>-1</v>
      </c>
      <c r="BG726" s="15" t="str">
        <f t="shared" si="4939"/>
        <v>-1-1-1</v>
      </c>
      <c r="BH726" s="15" t="str">
        <f t="shared" si="4940"/>
        <v>SD</v>
      </c>
      <c r="BI726" s="15" t="str">
        <f t="shared" si="4941"/>
        <v>SI</v>
      </c>
      <c r="BJ726" s="15" t="b">
        <f t="shared" si="4942"/>
        <v>1</v>
      </c>
      <c r="BK726" s="15" t="str">
        <f t="shared" si="4943"/>
        <v>SIGIGUALES</v>
      </c>
      <c r="BL726" s="22" t="str">
        <f t="shared" si="4944"/>
        <v>NO CONFORME</v>
      </c>
    </row>
    <row r="727" spans="1:64" ht="15.75" thickBot="1" x14ac:dyDescent="0.3">
      <c r="A727" s="37">
        <v>719</v>
      </c>
      <c r="B727" s="93">
        <f t="shared" ref="B727:E727" si="5121">B726</f>
        <v>45919</v>
      </c>
      <c r="C727" s="93">
        <f t="shared" si="5121"/>
        <v>45919</v>
      </c>
      <c r="D727" s="94">
        <f t="shared" si="5121"/>
        <v>6</v>
      </c>
      <c r="E727" s="95">
        <f t="shared" si="5121"/>
        <v>15</v>
      </c>
      <c r="F727" s="13"/>
      <c r="G727" s="90"/>
      <c r="H727" s="97">
        <f t="shared" ref="H727:L727" si="5122">H726</f>
        <v>25.6</v>
      </c>
      <c r="I727" s="98">
        <f t="shared" si="5122"/>
        <v>0</v>
      </c>
      <c r="J727" s="99">
        <f t="shared" si="5122"/>
        <v>20.9</v>
      </c>
      <c r="K727" s="99">
        <f t="shared" si="5122"/>
        <v>7.883</v>
      </c>
      <c r="L727" s="99">
        <f t="shared" si="5122"/>
        <v>0.55400000000000005</v>
      </c>
      <c r="M727" s="45"/>
      <c r="N727" s="45"/>
      <c r="O727" s="100">
        <f t="shared" ref="O727:P727" si="5123">O726</f>
        <v>100.62</v>
      </c>
      <c r="P727" s="101" t="str">
        <f t="shared" si="5123"/>
        <v>2,29,560</v>
      </c>
      <c r="Q727" s="11" t="str">
        <f t="shared" si="4948"/>
        <v>2</v>
      </c>
      <c r="R727" s="11" t="str">
        <f t="shared" si="4949"/>
        <v>29,560</v>
      </c>
      <c r="S727" s="11">
        <f t="shared" si="4950"/>
        <v>4.1544444444444446E-2</v>
      </c>
      <c r="T727" s="14">
        <f t="shared" si="4951"/>
        <v>2421.9844878309709</v>
      </c>
      <c r="U727" s="39">
        <f t="shared" si="4922"/>
        <v>-100</v>
      </c>
      <c r="V727" s="105">
        <f t="shared" ref="V727:X727" si="5124">V726</f>
        <v>20.399999999999999</v>
      </c>
      <c r="W727" s="105">
        <f t="shared" si="5124"/>
        <v>1.5069999999999999</v>
      </c>
      <c r="X727" s="106">
        <f t="shared" si="5124"/>
        <v>1.504</v>
      </c>
      <c r="Y727" s="45"/>
      <c r="Z727" s="45"/>
      <c r="AA727" s="107">
        <f t="shared" ref="AA727:AB727" si="5125">AA726</f>
        <v>10.015000000000001</v>
      </c>
      <c r="AB727" s="108" t="str">
        <f t="shared" si="5125"/>
        <v>22,10,090</v>
      </c>
      <c r="AC727" s="11" t="str">
        <f t="shared" si="4954"/>
        <v>22</v>
      </c>
      <c r="AD727" s="11" t="str">
        <f t="shared" si="4955"/>
        <v>10,090</v>
      </c>
      <c r="AE727" s="11">
        <f t="shared" si="4956"/>
        <v>0.36946944444444441</v>
      </c>
      <c r="AF727" s="14">
        <f t="shared" si="4925"/>
        <v>27.106436406558959</v>
      </c>
      <c r="AG727" s="41">
        <f t="shared" si="4926"/>
        <v>-100</v>
      </c>
      <c r="AH727" s="105">
        <f t="shared" ref="AH727:AJ727" si="5126">AH726</f>
        <v>20.3</v>
      </c>
      <c r="AI727" s="105">
        <f t="shared" si="5126"/>
        <v>1.5089999999999999</v>
      </c>
      <c r="AJ727" s="105">
        <f t="shared" si="5126"/>
        <v>1.504</v>
      </c>
      <c r="AK727" s="53">
        <f t="shared" si="4854"/>
        <v>0</v>
      </c>
      <c r="AL727" s="45"/>
      <c r="AM727" s="54">
        <f t="shared" ref="AM727:AN727" si="5127">AM726</f>
        <v>5.0129999999999999</v>
      </c>
      <c r="AN727" s="101" t="str">
        <f t="shared" si="5127"/>
        <v>17,59,050</v>
      </c>
      <c r="AO727" s="11" t="str">
        <f t="shared" si="4959"/>
        <v>17</v>
      </c>
      <c r="AP727" s="11" t="str">
        <f t="shared" si="4960"/>
        <v>59,050</v>
      </c>
      <c r="AQ727" s="11">
        <f t="shared" si="4961"/>
        <v>0.29973611111111109</v>
      </c>
      <c r="AR727" s="14">
        <f t="shared" si="4929"/>
        <v>16.724711551827998</v>
      </c>
      <c r="AS727" s="41">
        <f t="shared" si="4930"/>
        <v>-100</v>
      </c>
      <c r="AT727" s="43" t="str">
        <f t="shared" si="4931"/>
        <v>NO CONFORME</v>
      </c>
      <c r="AU727" s="8" t="b">
        <f t="shared" si="5036"/>
        <v>1</v>
      </c>
      <c r="AV727" s="8" t="b">
        <f t="shared" si="4962"/>
        <v>0</v>
      </c>
      <c r="AW727" s="8" t="b">
        <f t="shared" si="4963"/>
        <v>1</v>
      </c>
      <c r="AX727" s="8" t="str">
        <f t="shared" si="4964"/>
        <v>Qcorrecto</v>
      </c>
      <c r="AY727" s="22" t="str">
        <f t="shared" si="4932"/>
        <v>aceptable</v>
      </c>
      <c r="AZ727" s="22" t="str">
        <f t="shared" si="4933"/>
        <v>aceptable</v>
      </c>
      <c r="BA727" s="22" t="str">
        <f t="shared" si="4965"/>
        <v>aceptable</v>
      </c>
      <c r="BB727" s="25" t="str">
        <f t="shared" si="4934"/>
        <v>NO CONFORME</v>
      </c>
      <c r="BC727" s="5" t="str">
        <f t="shared" si="4935"/>
        <v>NO CONFORME</v>
      </c>
      <c r="BD727" s="15">
        <f t="shared" si="4936"/>
        <v>-1</v>
      </c>
      <c r="BE727" s="15">
        <f t="shared" si="4937"/>
        <v>-1</v>
      </c>
      <c r="BF727" s="15">
        <f t="shared" si="4938"/>
        <v>-1</v>
      </c>
      <c r="BG727" s="15" t="str">
        <f t="shared" si="4939"/>
        <v>-1-1-1</v>
      </c>
      <c r="BH727" s="15" t="str">
        <f t="shared" si="4940"/>
        <v>SD</v>
      </c>
      <c r="BI727" s="15" t="str">
        <f t="shared" si="4941"/>
        <v>SI</v>
      </c>
      <c r="BJ727" s="15" t="b">
        <f t="shared" si="4942"/>
        <v>1</v>
      </c>
      <c r="BK727" s="15" t="str">
        <f t="shared" si="4943"/>
        <v>SIGIGUALES</v>
      </c>
      <c r="BL727" s="22" t="str">
        <f t="shared" si="4944"/>
        <v>NO CONFORME</v>
      </c>
    </row>
    <row r="728" spans="1:64" ht="15.75" thickBot="1" x14ac:dyDescent="0.3">
      <c r="A728" s="37">
        <v>720</v>
      </c>
      <c r="B728" s="93">
        <f t="shared" ref="B728:E728" si="5128">B727</f>
        <v>45919</v>
      </c>
      <c r="C728" s="93">
        <f t="shared" si="5128"/>
        <v>45919</v>
      </c>
      <c r="D728" s="94">
        <f t="shared" si="5128"/>
        <v>6</v>
      </c>
      <c r="E728" s="95">
        <f t="shared" si="5128"/>
        <v>15</v>
      </c>
      <c r="F728" s="13"/>
      <c r="G728" s="90"/>
      <c r="H728" s="97">
        <f t="shared" ref="H728:L728" si="5129">H727</f>
        <v>25.6</v>
      </c>
      <c r="I728" s="98">
        <f t="shared" si="5129"/>
        <v>0</v>
      </c>
      <c r="J728" s="99">
        <f t="shared" si="5129"/>
        <v>20.9</v>
      </c>
      <c r="K728" s="99">
        <f t="shared" si="5129"/>
        <v>7.883</v>
      </c>
      <c r="L728" s="99">
        <f t="shared" si="5129"/>
        <v>0.55400000000000005</v>
      </c>
      <c r="M728" s="45"/>
      <c r="N728" s="45"/>
      <c r="O728" s="100">
        <f t="shared" ref="O728:P728" si="5130">O727</f>
        <v>100.62</v>
      </c>
      <c r="P728" s="101" t="str">
        <f t="shared" si="5130"/>
        <v>2,29,560</v>
      </c>
      <c r="Q728" s="11" t="str">
        <f t="shared" si="4948"/>
        <v>2</v>
      </c>
      <c r="R728" s="11" t="str">
        <f t="shared" si="4949"/>
        <v>29,560</v>
      </c>
      <c r="S728" s="11">
        <f t="shared" si="4950"/>
        <v>4.1544444444444446E-2</v>
      </c>
      <c r="T728" s="14">
        <f t="shared" si="4951"/>
        <v>2421.9844878309709</v>
      </c>
      <c r="U728" s="39">
        <f t="shared" si="4922"/>
        <v>-100</v>
      </c>
      <c r="V728" s="105">
        <f t="shared" ref="V728:X728" si="5131">V727</f>
        <v>20.399999999999999</v>
      </c>
      <c r="W728" s="105">
        <f t="shared" si="5131"/>
        <v>1.5069999999999999</v>
      </c>
      <c r="X728" s="106">
        <f t="shared" si="5131"/>
        <v>1.504</v>
      </c>
      <c r="Y728" s="45"/>
      <c r="Z728" s="45"/>
      <c r="AA728" s="107">
        <f t="shared" ref="AA728:AB728" si="5132">AA727</f>
        <v>10.015000000000001</v>
      </c>
      <c r="AB728" s="108" t="str">
        <f t="shared" si="5132"/>
        <v>22,10,090</v>
      </c>
      <c r="AC728" s="11" t="str">
        <f t="shared" si="4954"/>
        <v>22</v>
      </c>
      <c r="AD728" s="11" t="str">
        <f t="shared" si="4955"/>
        <v>10,090</v>
      </c>
      <c r="AE728" s="11">
        <f t="shared" si="4956"/>
        <v>0.36946944444444441</v>
      </c>
      <c r="AF728" s="14">
        <f t="shared" si="4925"/>
        <v>27.106436406558959</v>
      </c>
      <c r="AG728" s="41">
        <f t="shared" si="4926"/>
        <v>-100</v>
      </c>
      <c r="AH728" s="105">
        <f t="shared" ref="AH728:AJ728" si="5133">AH727</f>
        <v>20.3</v>
      </c>
      <c r="AI728" s="105">
        <f t="shared" si="5133"/>
        <v>1.5089999999999999</v>
      </c>
      <c r="AJ728" s="105">
        <f t="shared" si="5133"/>
        <v>1.504</v>
      </c>
      <c r="AK728" s="53">
        <f t="shared" si="4854"/>
        <v>0</v>
      </c>
      <c r="AL728" s="45"/>
      <c r="AM728" s="54">
        <f t="shared" ref="AM728:AN728" si="5134">AM727</f>
        <v>5.0129999999999999</v>
      </c>
      <c r="AN728" s="101" t="str">
        <f t="shared" si="5134"/>
        <v>17,59,050</v>
      </c>
      <c r="AO728" s="11" t="str">
        <f t="shared" si="4959"/>
        <v>17</v>
      </c>
      <c r="AP728" s="11" t="str">
        <f t="shared" si="4960"/>
        <v>59,050</v>
      </c>
      <c r="AQ728" s="11">
        <f t="shared" si="4961"/>
        <v>0.29973611111111109</v>
      </c>
      <c r="AR728" s="14">
        <f t="shared" si="4929"/>
        <v>16.724711551827998</v>
      </c>
      <c r="AS728" s="41">
        <f t="shared" si="4930"/>
        <v>-100</v>
      </c>
      <c r="AT728" s="43" t="str">
        <f t="shared" si="4931"/>
        <v>NO CONFORME</v>
      </c>
      <c r="AU728" s="8" t="b">
        <f t="shared" si="5036"/>
        <v>1</v>
      </c>
      <c r="AV728" s="8" t="b">
        <f t="shared" si="4962"/>
        <v>0</v>
      </c>
      <c r="AW728" s="8" t="b">
        <f t="shared" si="4963"/>
        <v>1</v>
      </c>
      <c r="AX728" s="8" t="str">
        <f t="shared" si="4964"/>
        <v>Qcorrecto</v>
      </c>
      <c r="AY728" s="22" t="str">
        <f t="shared" si="4932"/>
        <v>aceptable</v>
      </c>
      <c r="AZ728" s="22" t="str">
        <f t="shared" si="4933"/>
        <v>aceptable</v>
      </c>
      <c r="BA728" s="22" t="str">
        <f t="shared" si="4965"/>
        <v>aceptable</v>
      </c>
      <c r="BB728" s="25" t="str">
        <f t="shared" si="4934"/>
        <v>NO CONFORME</v>
      </c>
      <c r="BC728" s="5" t="str">
        <f t="shared" si="4935"/>
        <v>NO CONFORME</v>
      </c>
      <c r="BD728" s="15">
        <f t="shared" si="4936"/>
        <v>-1</v>
      </c>
      <c r="BE728" s="15">
        <f t="shared" si="4937"/>
        <v>-1</v>
      </c>
      <c r="BF728" s="15">
        <f t="shared" si="4938"/>
        <v>-1</v>
      </c>
      <c r="BG728" s="15" t="str">
        <f t="shared" si="4939"/>
        <v>-1-1-1</v>
      </c>
      <c r="BH728" s="15" t="str">
        <f t="shared" si="4940"/>
        <v>SD</v>
      </c>
      <c r="BI728" s="15" t="str">
        <f t="shared" si="4941"/>
        <v>SI</v>
      </c>
      <c r="BJ728" s="15" t="b">
        <f t="shared" si="4942"/>
        <v>1</v>
      </c>
      <c r="BK728" s="15" t="str">
        <f t="shared" si="4943"/>
        <v>SIGIGUALES</v>
      </c>
      <c r="BL728" s="22" t="str">
        <f t="shared" si="4944"/>
        <v>NO CONFORME</v>
      </c>
    </row>
    <row r="730" spans="1:64" ht="27" x14ac:dyDescent="0.35">
      <c r="AT730" s="79">
        <f>COUNTIF(AT9:AT728,"NO CONFORME")</f>
        <v>719</v>
      </c>
    </row>
    <row r="731" spans="1:64" ht="27" x14ac:dyDescent="0.35">
      <c r="AT731" s="80">
        <f>AT730/A728</f>
        <v>0.99861111111111112</v>
      </c>
    </row>
  </sheetData>
  <sheetProtection formatCells="0" formatColumns="0" formatRows="0" insertColumns="0" insertRows="0" insertHyperlinks="0" deleteColumns="0" deleteRows="0" autoFilter="0"/>
  <autoFilter ref="A8:BL728" xr:uid="{00000000-0001-0000-0000-000000000000}">
    <filterColumn colId="15" showButton="0"/>
    <filterColumn colId="16" showButton="0"/>
    <filterColumn colId="17" showButton="0"/>
    <filterColumn colId="27" showButton="0"/>
    <filterColumn colId="28" showButton="0"/>
    <filterColumn colId="29" showButton="0"/>
    <filterColumn colId="39" showButton="0"/>
    <filterColumn colId="40" showButton="0"/>
    <filterColumn colId="41" showButton="0"/>
    <filterColumn colId="53" showButton="0"/>
    <filterColumn colId="54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</autoFilter>
  <mergeCells count="43">
    <mergeCell ref="A5:Z5"/>
    <mergeCell ref="E6:E8"/>
    <mergeCell ref="G6:G8"/>
    <mergeCell ref="C6:C8"/>
    <mergeCell ref="A6:A8"/>
    <mergeCell ref="B6:B8"/>
    <mergeCell ref="D6:D8"/>
    <mergeCell ref="V7:AG7"/>
    <mergeCell ref="F6:F8"/>
    <mergeCell ref="J6:U6"/>
    <mergeCell ref="J7:U7"/>
    <mergeCell ref="H6:I7"/>
    <mergeCell ref="AP1:AT1"/>
    <mergeCell ref="AP2:AT2"/>
    <mergeCell ref="E1:AO1"/>
    <mergeCell ref="E2:AO3"/>
    <mergeCell ref="BB8:BL8"/>
    <mergeCell ref="AT6:AT8"/>
    <mergeCell ref="AY7:BA7"/>
    <mergeCell ref="AA5:AB5"/>
    <mergeCell ref="AF5:AH5"/>
    <mergeCell ref="AC5:AE5"/>
    <mergeCell ref="AN8:AQ8"/>
    <mergeCell ref="AB8:AE8"/>
    <mergeCell ref="AH6:AS6"/>
    <mergeCell ref="P8:S8"/>
    <mergeCell ref="AH7:AS7"/>
    <mergeCell ref="V6:AG6"/>
    <mergeCell ref="A4:D4"/>
    <mergeCell ref="E4:I4"/>
    <mergeCell ref="J4:N4"/>
    <mergeCell ref="O4:R4"/>
    <mergeCell ref="AP3:AT3"/>
    <mergeCell ref="AA4:AB4"/>
    <mergeCell ref="S4:Z4"/>
    <mergeCell ref="AF4:AH4"/>
    <mergeCell ref="AC4:AE4"/>
    <mergeCell ref="AR5:AS5"/>
    <mergeCell ref="AP4:AQ4"/>
    <mergeCell ref="AP5:AQ5"/>
    <mergeCell ref="AN4:AO4"/>
    <mergeCell ref="AN5:AO5"/>
    <mergeCell ref="AR4:AS4"/>
  </mergeCells>
  <phoneticPr fontId="23" type="noConversion"/>
  <conditionalFormatting sqref="U9:U728 AG9:AG728 AS9:AS728">
    <cfRule type="cellIs" dxfId="26" priority="3" operator="between">
      <formula>100.01</formula>
      <formula>100000000</formula>
    </cfRule>
    <cfRule type="cellIs" dxfId="25" priority="4" operator="lessThanOrEqual">
      <formula>-100.01</formula>
    </cfRule>
  </conditionalFormatting>
  <conditionalFormatting sqref="U9:U728 AG9:AG728">
    <cfRule type="cellIs" dxfId="24" priority="1" operator="between">
      <formula>-2.044</formula>
      <formula>-100</formula>
    </cfRule>
    <cfRule type="cellIs" dxfId="23" priority="2" operator="between">
      <formula>2.044</formula>
      <formula>100</formula>
    </cfRule>
  </conditionalFormatting>
  <conditionalFormatting sqref="AS9:AS728">
    <cfRule type="cellIs" dxfId="22" priority="5" operator="between">
      <formula>-5.044</formula>
      <formula>-100</formula>
    </cfRule>
    <cfRule type="cellIs" dxfId="21" priority="6" operator="between">
      <formula>5.044</formula>
      <formula>100</formula>
    </cfRule>
  </conditionalFormatting>
  <conditionalFormatting sqref="AT9:AT728">
    <cfRule type="cellIs" dxfId="20" priority="7" operator="equal">
      <formula>"NO CONFORME"</formula>
    </cfRule>
  </conditionalFormatting>
  <conditionalFormatting sqref="AU8:AW8">
    <cfRule type="cellIs" dxfId="19" priority="10" operator="equal">
      <formula>"NO CONFORME"</formula>
    </cfRule>
  </conditionalFormatting>
  <conditionalFormatting sqref="AX9:AX728">
    <cfRule type="expression" dxfId="18" priority="11">
      <formula>AX9="Qincorrecto"</formula>
    </cfRule>
    <cfRule type="expression" dxfId="17" priority="12">
      <formula>AX9="Qcorrecto"</formula>
    </cfRule>
  </conditionalFormatting>
  <conditionalFormatting sqref="AY9:BA728">
    <cfRule type="cellIs" dxfId="16" priority="8" operator="equal">
      <formula>"error"</formula>
    </cfRule>
    <cfRule type="cellIs" dxfId="15" priority="9" operator="equal">
      <formula>#REF!</formula>
    </cfRule>
  </conditionalFormatting>
  <conditionalFormatting sqref="BB9:BC728">
    <cfRule type="cellIs" dxfId="14" priority="13" stopIfTrue="1" operator="notBetween">
      <formula>"APROBADO"</formula>
      <formula>"APROBADO"</formula>
    </cfRule>
  </conditionalFormatting>
  <dataValidations count="2">
    <dataValidation type="list" allowBlank="1" showInputMessage="1" showErrorMessage="1" sqref="E4:I4" xr:uid="{D6BBD11B-05C1-4FAB-8683-80E1D3446725}">
      <formula1>$AY$2:$BB$2</formula1>
    </dataValidation>
    <dataValidation type="list" allowBlank="1" showInputMessage="1" showErrorMessage="1" sqref="O4:R4" xr:uid="{971EE6FB-00DF-402A-B2A8-B88608FC5771}">
      <formula1>$AY$1:$BD$1</formula1>
    </dataValidation>
  </dataValidations>
  <pageMargins left="0.70866141732283472" right="0.70866141732283472" top="0.35433070866141736" bottom="0.27559055118110237" header="0.27559055118110237" footer="0.15748031496062992"/>
  <pageSetup paperSize="9" orientation="portrait" r:id="rId1"/>
  <headerFooter>
    <oddFooter>&amp;R&amp;8Página &amp;P de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6CE58-EF31-4DE3-BCAD-094E0FF3BD30}">
  <dimension ref="B1:H723"/>
  <sheetViews>
    <sheetView workbookViewId="0">
      <selection activeCell="E6" sqref="E6"/>
    </sheetView>
  </sheetViews>
  <sheetFormatPr baseColWidth="10" defaultRowHeight="12.75" x14ac:dyDescent="0.2"/>
  <cols>
    <col min="4" max="4" width="13.5703125" customWidth="1"/>
    <col min="6" max="6" width="20.7109375" customWidth="1"/>
    <col min="8" max="8" width="13.42578125" customWidth="1"/>
  </cols>
  <sheetData>
    <row r="1" spans="2:8" ht="15" x14ac:dyDescent="0.25">
      <c r="F1" s="114"/>
      <c r="G1" s="115"/>
    </row>
    <row r="2" spans="2:8" x14ac:dyDescent="0.2">
      <c r="B2" s="61" t="s">
        <v>41</v>
      </c>
      <c r="C2" s="61" t="s">
        <v>42</v>
      </c>
    </row>
    <row r="4" spans="2:8" x14ac:dyDescent="0.2">
      <c r="B4" s="90"/>
      <c r="C4" s="61"/>
      <c r="D4" t="b">
        <f>B4=C4</f>
        <v>1</v>
      </c>
      <c r="F4" t="str">
        <f>"VI-"&amp;TEXT(E4,"000000")&amp;"-2025"</f>
        <v>VI-000000-2025</v>
      </c>
      <c r="G4" s="13"/>
      <c r="H4" t="b">
        <f>F4=G4</f>
        <v>0</v>
      </c>
    </row>
    <row r="5" spans="2:8" x14ac:dyDescent="0.2">
      <c r="B5" s="90"/>
      <c r="C5" s="61"/>
      <c r="D5" t="b">
        <f t="shared" ref="D5:D68" si="0">B5=C5</f>
        <v>1</v>
      </c>
      <c r="F5" t="str">
        <f t="shared" ref="F5:F68" si="1">"VI-"&amp;TEXT(E5,"000000")&amp;"-2025"</f>
        <v>VI-000000-2025</v>
      </c>
      <c r="G5" s="13"/>
      <c r="H5" t="b">
        <f t="shared" ref="H5:H68" si="2">F5=G5</f>
        <v>0</v>
      </c>
    </row>
    <row r="6" spans="2:8" x14ac:dyDescent="0.2">
      <c r="B6" s="92"/>
      <c r="C6" s="61"/>
      <c r="D6" t="b">
        <f t="shared" si="0"/>
        <v>1</v>
      </c>
      <c r="F6" t="str">
        <f t="shared" si="1"/>
        <v>VI-000000-2025</v>
      </c>
      <c r="G6" s="13"/>
      <c r="H6" t="b">
        <f t="shared" si="2"/>
        <v>0</v>
      </c>
    </row>
    <row r="7" spans="2:8" x14ac:dyDescent="0.2">
      <c r="B7" s="90"/>
      <c r="C7" s="61"/>
      <c r="D7" t="b">
        <f t="shared" si="0"/>
        <v>1</v>
      </c>
      <c r="F7" t="str">
        <f t="shared" si="1"/>
        <v>VI-000000-2025</v>
      </c>
      <c r="G7" s="13"/>
      <c r="H7" t="b">
        <f t="shared" si="2"/>
        <v>0</v>
      </c>
    </row>
    <row r="8" spans="2:8" x14ac:dyDescent="0.2">
      <c r="B8" s="90"/>
      <c r="C8" s="61"/>
      <c r="D8" t="b">
        <f t="shared" si="0"/>
        <v>1</v>
      </c>
      <c r="F8" t="str">
        <f t="shared" si="1"/>
        <v>VI-000000-2025</v>
      </c>
      <c r="G8" s="13"/>
      <c r="H8" t="b">
        <f t="shared" si="2"/>
        <v>0</v>
      </c>
    </row>
    <row r="9" spans="2:8" x14ac:dyDescent="0.2">
      <c r="B9" s="92"/>
      <c r="C9" s="61"/>
      <c r="D9" t="b">
        <f t="shared" si="0"/>
        <v>1</v>
      </c>
      <c r="F9" t="str">
        <f t="shared" si="1"/>
        <v>VI-000000-2025</v>
      </c>
      <c r="G9" s="13"/>
      <c r="H9" t="b">
        <f t="shared" si="2"/>
        <v>0</v>
      </c>
    </row>
    <row r="10" spans="2:8" x14ac:dyDescent="0.2">
      <c r="B10" s="92"/>
      <c r="C10" s="61"/>
      <c r="D10" t="b">
        <f t="shared" si="0"/>
        <v>1</v>
      </c>
      <c r="F10" t="str">
        <f t="shared" si="1"/>
        <v>VI-000000-2025</v>
      </c>
      <c r="G10" s="13"/>
      <c r="H10" t="b">
        <f t="shared" si="2"/>
        <v>0</v>
      </c>
    </row>
    <row r="11" spans="2:8" x14ac:dyDescent="0.2">
      <c r="B11" s="90"/>
      <c r="C11" s="61"/>
      <c r="D11" t="b">
        <f t="shared" si="0"/>
        <v>1</v>
      </c>
      <c r="F11" t="str">
        <f t="shared" si="1"/>
        <v>VI-000000-2025</v>
      </c>
      <c r="G11" s="13"/>
      <c r="H11" t="b">
        <f t="shared" si="2"/>
        <v>0</v>
      </c>
    </row>
    <row r="12" spans="2:8" x14ac:dyDescent="0.2">
      <c r="B12" s="90"/>
      <c r="C12" s="61"/>
      <c r="D12" t="b">
        <f t="shared" si="0"/>
        <v>1</v>
      </c>
      <c r="F12" t="str">
        <f t="shared" si="1"/>
        <v>VI-000000-2025</v>
      </c>
      <c r="G12" s="13"/>
      <c r="H12" t="b">
        <f t="shared" si="2"/>
        <v>0</v>
      </c>
    </row>
    <row r="13" spans="2:8" ht="13.5" thickBot="1" x14ac:dyDescent="0.25">
      <c r="B13" s="96"/>
      <c r="C13" s="61"/>
      <c r="D13" t="b">
        <f t="shared" si="0"/>
        <v>1</v>
      </c>
      <c r="F13" t="str">
        <f t="shared" si="1"/>
        <v>VI-000000-2025</v>
      </c>
      <c r="G13" s="52"/>
      <c r="H13" t="b">
        <f t="shared" si="2"/>
        <v>0</v>
      </c>
    </row>
    <row r="14" spans="2:8" x14ac:dyDescent="0.2">
      <c r="B14" s="90"/>
      <c r="C14" s="61"/>
      <c r="D14" t="b">
        <f t="shared" si="0"/>
        <v>1</v>
      </c>
      <c r="F14" t="str">
        <f t="shared" si="1"/>
        <v>VI-000000-2025</v>
      </c>
      <c r="G14" s="13"/>
      <c r="H14" t="b">
        <f t="shared" si="2"/>
        <v>0</v>
      </c>
    </row>
    <row r="15" spans="2:8" x14ac:dyDescent="0.2">
      <c r="B15" s="109"/>
      <c r="C15" s="61"/>
      <c r="D15" t="b">
        <f t="shared" si="0"/>
        <v>1</v>
      </c>
      <c r="F15" t="str">
        <f t="shared" si="1"/>
        <v>VI-000000-2025</v>
      </c>
      <c r="G15" s="13"/>
      <c r="H15" t="b">
        <f t="shared" si="2"/>
        <v>0</v>
      </c>
    </row>
    <row r="16" spans="2:8" x14ac:dyDescent="0.2">
      <c r="B16" s="90"/>
      <c r="C16" s="61"/>
      <c r="D16" t="b">
        <f t="shared" si="0"/>
        <v>1</v>
      </c>
      <c r="F16" t="str">
        <f t="shared" si="1"/>
        <v>VI-000000-2025</v>
      </c>
      <c r="G16" s="13"/>
      <c r="H16" t="b">
        <f t="shared" si="2"/>
        <v>0</v>
      </c>
    </row>
    <row r="17" spans="2:8" x14ac:dyDescent="0.2">
      <c r="B17" s="90"/>
      <c r="C17" s="61"/>
      <c r="D17" t="b">
        <f t="shared" si="0"/>
        <v>1</v>
      </c>
      <c r="F17" t="str">
        <f t="shared" si="1"/>
        <v>VI-000000-2025</v>
      </c>
      <c r="G17" s="13"/>
      <c r="H17" t="b">
        <f t="shared" si="2"/>
        <v>0</v>
      </c>
    </row>
    <row r="18" spans="2:8" x14ac:dyDescent="0.2">
      <c r="B18" s="90"/>
      <c r="C18" s="61"/>
      <c r="D18" t="b">
        <f t="shared" si="0"/>
        <v>1</v>
      </c>
      <c r="F18" t="str">
        <f t="shared" si="1"/>
        <v>VI-000000-2025</v>
      </c>
      <c r="G18" s="13"/>
      <c r="H18" t="b">
        <f t="shared" si="2"/>
        <v>0</v>
      </c>
    </row>
    <row r="19" spans="2:8" x14ac:dyDescent="0.2">
      <c r="B19" s="109"/>
      <c r="C19" s="61"/>
      <c r="D19" t="b">
        <f t="shared" si="0"/>
        <v>1</v>
      </c>
      <c r="F19" t="str">
        <f t="shared" si="1"/>
        <v>VI-000000-2025</v>
      </c>
      <c r="G19" s="13"/>
      <c r="H19" t="b">
        <f t="shared" si="2"/>
        <v>0</v>
      </c>
    </row>
    <row r="20" spans="2:8" x14ac:dyDescent="0.2">
      <c r="B20" s="90"/>
      <c r="C20" s="61"/>
      <c r="D20" t="b">
        <f t="shared" si="0"/>
        <v>1</v>
      </c>
      <c r="F20" t="str">
        <f t="shared" si="1"/>
        <v>VI-000000-2025</v>
      </c>
      <c r="G20" s="13"/>
      <c r="H20" t="b">
        <f t="shared" si="2"/>
        <v>0</v>
      </c>
    </row>
    <row r="21" spans="2:8" x14ac:dyDescent="0.2">
      <c r="B21" s="90"/>
      <c r="C21" s="61"/>
      <c r="D21" t="b">
        <f t="shared" si="0"/>
        <v>1</v>
      </c>
      <c r="F21" t="str">
        <f t="shared" si="1"/>
        <v>VI-000000-2025</v>
      </c>
      <c r="G21" s="13"/>
      <c r="H21" t="b">
        <f t="shared" si="2"/>
        <v>0</v>
      </c>
    </row>
    <row r="22" spans="2:8" x14ac:dyDescent="0.2">
      <c r="B22" s="90"/>
      <c r="C22" s="61"/>
      <c r="D22" t="b">
        <f t="shared" si="0"/>
        <v>1</v>
      </c>
      <c r="F22" t="str">
        <f t="shared" si="1"/>
        <v>VI-000000-2025</v>
      </c>
      <c r="G22" s="13"/>
      <c r="H22" t="b">
        <f t="shared" si="2"/>
        <v>0</v>
      </c>
    </row>
    <row r="23" spans="2:8" x14ac:dyDescent="0.2">
      <c r="B23" s="90"/>
      <c r="C23" s="61"/>
      <c r="D23" t="b">
        <f t="shared" si="0"/>
        <v>1</v>
      </c>
      <c r="F23" t="str">
        <f t="shared" si="1"/>
        <v>VI-000000-2025</v>
      </c>
      <c r="G23" s="13"/>
      <c r="H23" t="b">
        <f t="shared" si="2"/>
        <v>0</v>
      </c>
    </row>
    <row r="24" spans="2:8" ht="13.5" thickBot="1" x14ac:dyDescent="0.25">
      <c r="B24" s="60"/>
      <c r="C24" s="61"/>
      <c r="D24" t="b">
        <f t="shared" si="0"/>
        <v>1</v>
      </c>
      <c r="F24" t="str">
        <f t="shared" si="1"/>
        <v>VI-000000-2025</v>
      </c>
      <c r="G24" s="52"/>
      <c r="H24" t="b">
        <f t="shared" si="2"/>
        <v>0</v>
      </c>
    </row>
    <row r="25" spans="2:8" x14ac:dyDescent="0.2">
      <c r="B25" s="110"/>
      <c r="C25" s="61"/>
      <c r="D25" t="b">
        <f t="shared" si="0"/>
        <v>1</v>
      </c>
      <c r="F25" t="str">
        <f t="shared" si="1"/>
        <v>VI-000000-2025</v>
      </c>
      <c r="G25" s="46"/>
      <c r="H25" t="b">
        <f t="shared" si="2"/>
        <v>0</v>
      </c>
    </row>
    <row r="26" spans="2:8" x14ac:dyDescent="0.2">
      <c r="B26" s="90"/>
      <c r="C26" s="61"/>
      <c r="D26" t="b">
        <f t="shared" si="0"/>
        <v>1</v>
      </c>
      <c r="F26" t="str">
        <f t="shared" si="1"/>
        <v>VI-000000-2025</v>
      </c>
      <c r="G26" s="13"/>
      <c r="H26" t="b">
        <f t="shared" si="2"/>
        <v>0</v>
      </c>
    </row>
    <row r="27" spans="2:8" x14ac:dyDescent="0.2">
      <c r="B27" s="90"/>
      <c r="C27" s="61"/>
      <c r="D27" t="b">
        <f t="shared" si="0"/>
        <v>1</v>
      </c>
      <c r="F27" t="str">
        <f t="shared" si="1"/>
        <v>VI-000000-2025</v>
      </c>
      <c r="G27" s="13"/>
      <c r="H27" t="b">
        <f t="shared" si="2"/>
        <v>0</v>
      </c>
    </row>
    <row r="28" spans="2:8" x14ac:dyDescent="0.2">
      <c r="B28" s="90"/>
      <c r="C28" s="61"/>
      <c r="D28" t="b">
        <f t="shared" si="0"/>
        <v>1</v>
      </c>
      <c r="F28" t="str">
        <f t="shared" si="1"/>
        <v>VI-000000-2025</v>
      </c>
      <c r="G28" s="13"/>
      <c r="H28" t="b">
        <f t="shared" si="2"/>
        <v>0</v>
      </c>
    </row>
    <row r="29" spans="2:8" x14ac:dyDescent="0.2">
      <c r="B29" s="90"/>
      <c r="C29" s="61"/>
      <c r="D29" t="b">
        <f t="shared" si="0"/>
        <v>1</v>
      </c>
      <c r="F29" t="str">
        <f t="shared" si="1"/>
        <v>VI-000000-2025</v>
      </c>
      <c r="G29" s="13"/>
      <c r="H29" t="b">
        <f t="shared" si="2"/>
        <v>0</v>
      </c>
    </row>
    <row r="30" spans="2:8" x14ac:dyDescent="0.2">
      <c r="B30" s="90"/>
      <c r="C30" s="61"/>
      <c r="D30" t="b">
        <f t="shared" si="0"/>
        <v>1</v>
      </c>
      <c r="F30" t="str">
        <f t="shared" si="1"/>
        <v>VI-000000-2025</v>
      </c>
      <c r="G30" s="13"/>
      <c r="H30" t="b">
        <f t="shared" si="2"/>
        <v>0</v>
      </c>
    </row>
    <row r="31" spans="2:8" x14ac:dyDescent="0.2">
      <c r="B31" s="90"/>
      <c r="C31" s="61"/>
      <c r="D31" t="b">
        <f t="shared" si="0"/>
        <v>1</v>
      </c>
      <c r="F31" t="str">
        <f t="shared" si="1"/>
        <v>VI-000000-2025</v>
      </c>
      <c r="G31" s="13"/>
      <c r="H31" t="b">
        <f t="shared" si="2"/>
        <v>0</v>
      </c>
    </row>
    <row r="32" spans="2:8" x14ac:dyDescent="0.2">
      <c r="B32" s="90"/>
      <c r="C32" s="61"/>
      <c r="D32" t="b">
        <f t="shared" si="0"/>
        <v>1</v>
      </c>
      <c r="F32" t="str">
        <f t="shared" si="1"/>
        <v>VI-000000-2025</v>
      </c>
      <c r="G32" s="13"/>
      <c r="H32" t="b">
        <f t="shared" si="2"/>
        <v>0</v>
      </c>
    </row>
    <row r="33" spans="2:8" x14ac:dyDescent="0.2">
      <c r="B33" s="90"/>
      <c r="C33" s="61"/>
      <c r="D33" t="b">
        <f t="shared" si="0"/>
        <v>1</v>
      </c>
      <c r="F33" t="str">
        <f t="shared" si="1"/>
        <v>VI-000000-2025</v>
      </c>
      <c r="G33" s="13"/>
      <c r="H33" t="b">
        <f t="shared" si="2"/>
        <v>0</v>
      </c>
    </row>
    <row r="34" spans="2:8" x14ac:dyDescent="0.2">
      <c r="B34" s="90"/>
      <c r="C34" s="61"/>
      <c r="D34" t="b">
        <f t="shared" si="0"/>
        <v>1</v>
      </c>
      <c r="F34" t="str">
        <f t="shared" si="1"/>
        <v>VI-000000-2025</v>
      </c>
      <c r="G34" s="13"/>
      <c r="H34" t="b">
        <f t="shared" si="2"/>
        <v>0</v>
      </c>
    </row>
    <row r="35" spans="2:8" ht="13.5" thickBot="1" x14ac:dyDescent="0.25">
      <c r="B35" s="96"/>
      <c r="C35" s="61"/>
      <c r="D35" t="b">
        <f t="shared" si="0"/>
        <v>1</v>
      </c>
      <c r="F35" t="str">
        <f t="shared" si="1"/>
        <v>VI-000000-2025</v>
      </c>
      <c r="G35" s="52"/>
      <c r="H35" t="b">
        <f t="shared" si="2"/>
        <v>0</v>
      </c>
    </row>
    <row r="36" spans="2:8" x14ac:dyDescent="0.2">
      <c r="B36" s="110"/>
      <c r="C36" s="61"/>
      <c r="D36" t="b">
        <f t="shared" si="0"/>
        <v>1</v>
      </c>
      <c r="F36" t="str">
        <f t="shared" si="1"/>
        <v>VI-000000-2025</v>
      </c>
      <c r="G36" s="46"/>
      <c r="H36" t="b">
        <f t="shared" si="2"/>
        <v>0</v>
      </c>
    </row>
    <row r="37" spans="2:8" x14ac:dyDescent="0.2">
      <c r="B37" s="90"/>
      <c r="C37" s="61"/>
      <c r="D37" t="b">
        <f t="shared" si="0"/>
        <v>1</v>
      </c>
      <c r="F37" t="str">
        <f t="shared" si="1"/>
        <v>VI-000000-2025</v>
      </c>
      <c r="G37" s="13"/>
      <c r="H37" t="b">
        <f t="shared" si="2"/>
        <v>0</v>
      </c>
    </row>
    <row r="38" spans="2:8" x14ac:dyDescent="0.2">
      <c r="B38" s="90"/>
      <c r="C38" s="61"/>
      <c r="D38" t="b">
        <f t="shared" si="0"/>
        <v>1</v>
      </c>
      <c r="F38" t="str">
        <f t="shared" si="1"/>
        <v>VI-000000-2025</v>
      </c>
      <c r="G38" s="13"/>
      <c r="H38" t="b">
        <f t="shared" si="2"/>
        <v>0</v>
      </c>
    </row>
    <row r="39" spans="2:8" x14ac:dyDescent="0.2">
      <c r="B39" s="90"/>
      <c r="C39" s="61"/>
      <c r="D39" t="b">
        <f t="shared" si="0"/>
        <v>1</v>
      </c>
      <c r="F39" t="str">
        <f t="shared" si="1"/>
        <v>VI-000000-2025</v>
      </c>
      <c r="G39" s="13"/>
      <c r="H39" t="b">
        <f t="shared" si="2"/>
        <v>0</v>
      </c>
    </row>
    <row r="40" spans="2:8" x14ac:dyDescent="0.2">
      <c r="B40" s="90"/>
      <c r="C40" s="61"/>
      <c r="D40" t="b">
        <f t="shared" si="0"/>
        <v>1</v>
      </c>
      <c r="F40" t="str">
        <f t="shared" si="1"/>
        <v>VI-000000-2025</v>
      </c>
      <c r="G40" s="13"/>
      <c r="H40" t="b">
        <f t="shared" si="2"/>
        <v>0</v>
      </c>
    </row>
    <row r="41" spans="2:8" x14ac:dyDescent="0.2">
      <c r="B41" s="90"/>
      <c r="C41" s="61"/>
      <c r="D41" t="b">
        <f t="shared" si="0"/>
        <v>1</v>
      </c>
      <c r="F41" t="str">
        <f t="shared" si="1"/>
        <v>VI-000000-2025</v>
      </c>
      <c r="G41" s="13"/>
      <c r="H41" t="b">
        <f t="shared" si="2"/>
        <v>0</v>
      </c>
    </row>
    <row r="42" spans="2:8" x14ac:dyDescent="0.2">
      <c r="B42" s="90"/>
      <c r="C42" s="61"/>
      <c r="D42" t="b">
        <f t="shared" si="0"/>
        <v>1</v>
      </c>
      <c r="F42" t="str">
        <f t="shared" si="1"/>
        <v>VI-000000-2025</v>
      </c>
      <c r="G42" s="13"/>
      <c r="H42" t="b">
        <f t="shared" si="2"/>
        <v>0</v>
      </c>
    </row>
    <row r="43" spans="2:8" x14ac:dyDescent="0.2">
      <c r="B43" s="90"/>
      <c r="C43" s="61"/>
      <c r="D43" t="b">
        <f t="shared" si="0"/>
        <v>1</v>
      </c>
      <c r="F43" t="str">
        <f t="shared" si="1"/>
        <v>VI-000000-2025</v>
      </c>
      <c r="G43" s="13"/>
      <c r="H43" t="b">
        <f t="shared" si="2"/>
        <v>0</v>
      </c>
    </row>
    <row r="44" spans="2:8" x14ac:dyDescent="0.2">
      <c r="B44" s="90"/>
      <c r="C44" s="61"/>
      <c r="D44" t="b">
        <f t="shared" si="0"/>
        <v>1</v>
      </c>
      <c r="F44" t="str">
        <f t="shared" si="1"/>
        <v>VI-000000-2025</v>
      </c>
      <c r="G44" s="13"/>
      <c r="H44" t="b">
        <f t="shared" si="2"/>
        <v>0</v>
      </c>
    </row>
    <row r="45" spans="2:8" x14ac:dyDescent="0.2">
      <c r="B45" s="109"/>
      <c r="C45" s="61"/>
      <c r="D45" t="b">
        <f t="shared" si="0"/>
        <v>1</v>
      </c>
      <c r="F45" t="str">
        <f t="shared" si="1"/>
        <v>VI-000000-2025</v>
      </c>
      <c r="G45" s="13"/>
      <c r="H45" t="b">
        <f t="shared" si="2"/>
        <v>0</v>
      </c>
    </row>
    <row r="46" spans="2:8" ht="13.5" thickBot="1" x14ac:dyDescent="0.25">
      <c r="B46" s="96"/>
      <c r="C46" s="61"/>
      <c r="D46" t="b">
        <f t="shared" si="0"/>
        <v>1</v>
      </c>
      <c r="F46" t="str">
        <f t="shared" si="1"/>
        <v>VI-000000-2025</v>
      </c>
      <c r="G46" s="52"/>
      <c r="H46" t="b">
        <f t="shared" si="2"/>
        <v>0</v>
      </c>
    </row>
    <row r="47" spans="2:8" x14ac:dyDescent="0.2">
      <c r="B47" s="110"/>
      <c r="C47" s="61"/>
      <c r="D47" t="b">
        <f t="shared" si="0"/>
        <v>1</v>
      </c>
      <c r="F47" t="str">
        <f t="shared" si="1"/>
        <v>VI-000000-2025</v>
      </c>
      <c r="G47" s="46"/>
      <c r="H47" t="b">
        <f t="shared" si="2"/>
        <v>0</v>
      </c>
    </row>
    <row r="48" spans="2:8" x14ac:dyDescent="0.2">
      <c r="B48" s="90"/>
      <c r="C48" s="61"/>
      <c r="D48" t="b">
        <f t="shared" si="0"/>
        <v>1</v>
      </c>
      <c r="F48" t="str">
        <f t="shared" si="1"/>
        <v>VI-000000-2025</v>
      </c>
      <c r="G48" s="13"/>
      <c r="H48" t="b">
        <f t="shared" si="2"/>
        <v>0</v>
      </c>
    </row>
    <row r="49" spans="2:8" x14ac:dyDescent="0.2">
      <c r="B49" s="90"/>
      <c r="C49" s="61"/>
      <c r="D49" t="b">
        <f t="shared" si="0"/>
        <v>1</v>
      </c>
      <c r="F49" t="str">
        <f t="shared" si="1"/>
        <v>VI-000000-2025</v>
      </c>
      <c r="G49" s="13"/>
      <c r="H49" t="b">
        <f t="shared" si="2"/>
        <v>0</v>
      </c>
    </row>
    <row r="50" spans="2:8" x14ac:dyDescent="0.2">
      <c r="B50" s="90"/>
      <c r="C50" s="61"/>
      <c r="D50" t="b">
        <f t="shared" si="0"/>
        <v>1</v>
      </c>
      <c r="F50" t="str">
        <f t="shared" si="1"/>
        <v>VI-000000-2025</v>
      </c>
      <c r="G50" s="13"/>
      <c r="H50" t="b">
        <f t="shared" si="2"/>
        <v>0</v>
      </c>
    </row>
    <row r="51" spans="2:8" x14ac:dyDescent="0.2">
      <c r="B51" s="90"/>
      <c r="C51" s="61"/>
      <c r="D51" t="b">
        <f t="shared" si="0"/>
        <v>1</v>
      </c>
      <c r="F51" t="str">
        <f t="shared" si="1"/>
        <v>VI-000000-2025</v>
      </c>
      <c r="G51" s="13"/>
      <c r="H51" t="b">
        <f t="shared" si="2"/>
        <v>0</v>
      </c>
    </row>
    <row r="52" spans="2:8" x14ac:dyDescent="0.2">
      <c r="B52" s="90"/>
      <c r="C52" s="61"/>
      <c r="D52" t="b">
        <f t="shared" si="0"/>
        <v>1</v>
      </c>
      <c r="F52" t="str">
        <f t="shared" si="1"/>
        <v>VI-000000-2025</v>
      </c>
      <c r="G52" s="13"/>
      <c r="H52" t="b">
        <f t="shared" si="2"/>
        <v>0</v>
      </c>
    </row>
    <row r="53" spans="2:8" x14ac:dyDescent="0.2">
      <c r="B53" s="90"/>
      <c r="C53" s="61"/>
      <c r="D53" t="b">
        <f t="shared" si="0"/>
        <v>1</v>
      </c>
      <c r="F53" t="str">
        <f t="shared" si="1"/>
        <v>VI-000000-2025</v>
      </c>
      <c r="G53" s="13"/>
      <c r="H53" t="b">
        <f t="shared" si="2"/>
        <v>0</v>
      </c>
    </row>
    <row r="54" spans="2:8" x14ac:dyDescent="0.2">
      <c r="B54" s="90"/>
      <c r="C54" s="61"/>
      <c r="D54" t="b">
        <f t="shared" si="0"/>
        <v>1</v>
      </c>
      <c r="F54" t="str">
        <f t="shared" si="1"/>
        <v>VI-000000-2025</v>
      </c>
      <c r="G54" s="13"/>
      <c r="H54" t="b">
        <f t="shared" si="2"/>
        <v>0</v>
      </c>
    </row>
    <row r="55" spans="2:8" x14ac:dyDescent="0.2">
      <c r="B55" s="90"/>
      <c r="C55" s="61"/>
      <c r="D55" t="b">
        <f t="shared" si="0"/>
        <v>1</v>
      </c>
      <c r="F55" t="str">
        <f t="shared" si="1"/>
        <v>VI-000000-2025</v>
      </c>
      <c r="G55" s="13"/>
      <c r="H55" t="b">
        <f t="shared" si="2"/>
        <v>0</v>
      </c>
    </row>
    <row r="56" spans="2:8" x14ac:dyDescent="0.2">
      <c r="B56" s="90"/>
      <c r="C56" s="61"/>
      <c r="D56" t="b">
        <f t="shared" si="0"/>
        <v>1</v>
      </c>
      <c r="F56" t="str">
        <f t="shared" si="1"/>
        <v>VI-000000-2025</v>
      </c>
      <c r="G56" s="13"/>
      <c r="H56" t="b">
        <f t="shared" si="2"/>
        <v>0</v>
      </c>
    </row>
    <row r="57" spans="2:8" ht="13.5" thickBot="1" x14ac:dyDescent="0.25">
      <c r="B57" s="96"/>
      <c r="C57" s="61"/>
      <c r="D57" t="b">
        <f t="shared" si="0"/>
        <v>1</v>
      </c>
      <c r="F57" t="str">
        <f t="shared" si="1"/>
        <v>VI-000000-2025</v>
      </c>
      <c r="G57" s="52"/>
      <c r="H57" t="b">
        <f t="shared" si="2"/>
        <v>0</v>
      </c>
    </row>
    <row r="58" spans="2:8" x14ac:dyDescent="0.2">
      <c r="B58" s="110"/>
      <c r="C58" s="61"/>
      <c r="D58" t="b">
        <f t="shared" si="0"/>
        <v>1</v>
      </c>
      <c r="F58" t="str">
        <f t="shared" si="1"/>
        <v>VI-000000-2025</v>
      </c>
      <c r="G58" s="46"/>
      <c r="H58" t="b">
        <f t="shared" si="2"/>
        <v>0</v>
      </c>
    </row>
    <row r="59" spans="2:8" x14ac:dyDescent="0.2">
      <c r="B59" s="90"/>
      <c r="C59" s="61"/>
      <c r="D59" t="b">
        <f t="shared" si="0"/>
        <v>1</v>
      </c>
      <c r="F59" t="str">
        <f t="shared" si="1"/>
        <v>VI-000000-2025</v>
      </c>
      <c r="G59" s="13"/>
      <c r="H59" t="b">
        <f t="shared" si="2"/>
        <v>0</v>
      </c>
    </row>
    <row r="60" spans="2:8" x14ac:dyDescent="0.2">
      <c r="B60" s="90"/>
      <c r="C60" s="61"/>
      <c r="D60" t="b">
        <f t="shared" si="0"/>
        <v>1</v>
      </c>
      <c r="F60" t="str">
        <f t="shared" si="1"/>
        <v>VI-000000-2025</v>
      </c>
      <c r="G60" s="13"/>
      <c r="H60" t="b">
        <f t="shared" si="2"/>
        <v>0</v>
      </c>
    </row>
    <row r="61" spans="2:8" x14ac:dyDescent="0.2">
      <c r="B61" s="90"/>
      <c r="C61" s="61"/>
      <c r="D61" t="b">
        <f t="shared" si="0"/>
        <v>1</v>
      </c>
      <c r="F61" t="str">
        <f t="shared" si="1"/>
        <v>VI-000000-2025</v>
      </c>
      <c r="G61" s="13"/>
      <c r="H61" t="b">
        <f t="shared" si="2"/>
        <v>0</v>
      </c>
    </row>
    <row r="62" spans="2:8" x14ac:dyDescent="0.2">
      <c r="B62" s="90"/>
      <c r="C62" s="61"/>
      <c r="D62" t="b">
        <f t="shared" si="0"/>
        <v>1</v>
      </c>
      <c r="F62" t="str">
        <f t="shared" si="1"/>
        <v>VI-000000-2025</v>
      </c>
      <c r="G62" s="13"/>
      <c r="H62" t="b">
        <f t="shared" si="2"/>
        <v>0</v>
      </c>
    </row>
    <row r="63" spans="2:8" x14ac:dyDescent="0.2">
      <c r="B63" s="90"/>
      <c r="C63" s="61"/>
      <c r="D63" t="b">
        <f t="shared" si="0"/>
        <v>1</v>
      </c>
      <c r="F63" t="str">
        <f t="shared" si="1"/>
        <v>VI-000000-2025</v>
      </c>
      <c r="G63" s="13"/>
      <c r="H63" t="b">
        <f t="shared" si="2"/>
        <v>0</v>
      </c>
    </row>
    <row r="64" spans="2:8" x14ac:dyDescent="0.2">
      <c r="B64" s="90"/>
      <c r="C64" s="61"/>
      <c r="D64" t="b">
        <f t="shared" si="0"/>
        <v>1</v>
      </c>
      <c r="F64" t="str">
        <f t="shared" si="1"/>
        <v>VI-000000-2025</v>
      </c>
      <c r="G64" s="13"/>
      <c r="H64" t="b">
        <f t="shared" si="2"/>
        <v>0</v>
      </c>
    </row>
    <row r="65" spans="2:8" x14ac:dyDescent="0.2">
      <c r="B65" s="109"/>
      <c r="C65" s="61"/>
      <c r="D65" t="b">
        <f t="shared" si="0"/>
        <v>1</v>
      </c>
      <c r="F65" t="str">
        <f t="shared" si="1"/>
        <v>VI-000000-2025</v>
      </c>
      <c r="G65" s="13"/>
      <c r="H65" t="b">
        <f t="shared" si="2"/>
        <v>0</v>
      </c>
    </row>
    <row r="66" spans="2:8" x14ac:dyDescent="0.2">
      <c r="B66" s="90"/>
      <c r="C66" s="61"/>
      <c r="D66" t="b">
        <f t="shared" si="0"/>
        <v>1</v>
      </c>
      <c r="F66" t="str">
        <f t="shared" si="1"/>
        <v>VI-000000-2025</v>
      </c>
      <c r="G66" s="13"/>
      <c r="H66" t="b">
        <f t="shared" si="2"/>
        <v>0</v>
      </c>
    </row>
    <row r="67" spans="2:8" x14ac:dyDescent="0.2">
      <c r="B67" s="90"/>
      <c r="C67" s="61"/>
      <c r="D67" t="b">
        <f t="shared" si="0"/>
        <v>1</v>
      </c>
      <c r="F67" t="str">
        <f t="shared" si="1"/>
        <v>VI-000000-2025</v>
      </c>
      <c r="G67" s="13"/>
      <c r="H67" t="b">
        <f t="shared" si="2"/>
        <v>0</v>
      </c>
    </row>
    <row r="68" spans="2:8" ht="13.5" thickBot="1" x14ac:dyDescent="0.25">
      <c r="B68" s="60"/>
      <c r="C68" s="61"/>
      <c r="D68" t="b">
        <f t="shared" si="0"/>
        <v>1</v>
      </c>
      <c r="F68" t="str">
        <f t="shared" si="1"/>
        <v>VI-000000-2025</v>
      </c>
      <c r="G68" s="52"/>
      <c r="H68" t="b">
        <f t="shared" si="2"/>
        <v>0</v>
      </c>
    </row>
    <row r="69" spans="2:8" x14ac:dyDescent="0.2">
      <c r="B69" s="110"/>
      <c r="C69" s="61"/>
      <c r="D69" t="b">
        <f t="shared" ref="D69:D132" si="3">B69=C69</f>
        <v>1</v>
      </c>
      <c r="F69" t="str">
        <f t="shared" ref="F69:F132" si="4">"VI-"&amp;TEXT(E69,"000000")&amp;"-2025"</f>
        <v>VI-000000-2025</v>
      </c>
      <c r="G69" s="46"/>
      <c r="H69" t="b">
        <f t="shared" ref="H69:H132" si="5">F69=G69</f>
        <v>0</v>
      </c>
    </row>
    <row r="70" spans="2:8" x14ac:dyDescent="0.2">
      <c r="B70" s="90"/>
      <c r="C70" s="61"/>
      <c r="D70" t="b">
        <f t="shared" si="3"/>
        <v>1</v>
      </c>
      <c r="F70" t="str">
        <f t="shared" si="4"/>
        <v>VI-000000-2025</v>
      </c>
      <c r="G70" s="13"/>
      <c r="H70" t="b">
        <f t="shared" si="5"/>
        <v>0</v>
      </c>
    </row>
    <row r="71" spans="2:8" x14ac:dyDescent="0.2">
      <c r="B71" s="90"/>
      <c r="C71" s="61"/>
      <c r="D71" t="b">
        <f t="shared" si="3"/>
        <v>1</v>
      </c>
      <c r="F71" t="str">
        <f t="shared" si="4"/>
        <v>VI-000000-2025</v>
      </c>
      <c r="G71" s="13"/>
      <c r="H71" t="b">
        <f t="shared" si="5"/>
        <v>0</v>
      </c>
    </row>
    <row r="72" spans="2:8" x14ac:dyDescent="0.2">
      <c r="B72" s="90"/>
      <c r="C72" s="61"/>
      <c r="D72" t="b">
        <f t="shared" si="3"/>
        <v>1</v>
      </c>
      <c r="F72" t="str">
        <f t="shared" si="4"/>
        <v>VI-000000-2025</v>
      </c>
      <c r="G72" s="13"/>
      <c r="H72" t="b">
        <f t="shared" si="5"/>
        <v>0</v>
      </c>
    </row>
    <row r="73" spans="2:8" x14ac:dyDescent="0.2">
      <c r="B73" s="90"/>
      <c r="C73" s="61"/>
      <c r="D73" t="b">
        <f t="shared" si="3"/>
        <v>1</v>
      </c>
      <c r="F73" t="str">
        <f t="shared" si="4"/>
        <v>VI-000000-2025</v>
      </c>
      <c r="G73" s="13"/>
      <c r="H73" t="b">
        <f t="shared" si="5"/>
        <v>0</v>
      </c>
    </row>
    <row r="74" spans="2:8" x14ac:dyDescent="0.2">
      <c r="B74" s="90"/>
      <c r="C74" s="61"/>
      <c r="D74" t="b">
        <f t="shared" si="3"/>
        <v>1</v>
      </c>
      <c r="F74" t="str">
        <f t="shared" si="4"/>
        <v>VI-000000-2025</v>
      </c>
      <c r="G74" s="13"/>
      <c r="H74" t="b">
        <f t="shared" si="5"/>
        <v>0</v>
      </c>
    </row>
    <row r="75" spans="2:8" x14ac:dyDescent="0.2">
      <c r="B75" s="90"/>
      <c r="C75" s="61"/>
      <c r="D75" t="b">
        <f t="shared" si="3"/>
        <v>1</v>
      </c>
      <c r="F75" t="str">
        <f t="shared" si="4"/>
        <v>VI-000000-2025</v>
      </c>
      <c r="G75" s="13"/>
      <c r="H75" t="b">
        <f t="shared" si="5"/>
        <v>0</v>
      </c>
    </row>
    <row r="76" spans="2:8" x14ac:dyDescent="0.2">
      <c r="B76" s="90"/>
      <c r="C76" s="61"/>
      <c r="D76" t="b">
        <f t="shared" si="3"/>
        <v>1</v>
      </c>
      <c r="F76" t="str">
        <f t="shared" si="4"/>
        <v>VI-000000-2025</v>
      </c>
      <c r="G76" s="13"/>
      <c r="H76" t="b">
        <f t="shared" si="5"/>
        <v>0</v>
      </c>
    </row>
    <row r="77" spans="2:8" x14ac:dyDescent="0.2">
      <c r="B77" s="90"/>
      <c r="C77" s="61"/>
      <c r="D77" t="b">
        <f t="shared" si="3"/>
        <v>1</v>
      </c>
      <c r="F77" t="str">
        <f t="shared" si="4"/>
        <v>VI-000000-2025</v>
      </c>
      <c r="G77" s="13"/>
      <c r="H77" t="b">
        <f t="shared" si="5"/>
        <v>0</v>
      </c>
    </row>
    <row r="78" spans="2:8" x14ac:dyDescent="0.2">
      <c r="B78" s="90"/>
      <c r="C78" s="61"/>
      <c r="D78" t="b">
        <f t="shared" si="3"/>
        <v>1</v>
      </c>
      <c r="F78" t="str">
        <f t="shared" si="4"/>
        <v>VI-000000-2025</v>
      </c>
      <c r="G78" s="13"/>
      <c r="H78" t="b">
        <f t="shared" si="5"/>
        <v>0</v>
      </c>
    </row>
    <row r="79" spans="2:8" ht="13.5" thickBot="1" x14ac:dyDescent="0.25">
      <c r="B79" s="60"/>
      <c r="C79" s="61"/>
      <c r="D79" t="b">
        <f t="shared" si="3"/>
        <v>1</v>
      </c>
      <c r="F79" t="str">
        <f t="shared" si="4"/>
        <v>VI-000000-2025</v>
      </c>
      <c r="G79" s="52"/>
      <c r="H79" t="b">
        <f t="shared" si="5"/>
        <v>0</v>
      </c>
    </row>
    <row r="80" spans="2:8" x14ac:dyDescent="0.2">
      <c r="B80" s="110"/>
      <c r="C80" s="61"/>
      <c r="D80" t="b">
        <f t="shared" si="3"/>
        <v>1</v>
      </c>
      <c r="F80" t="str">
        <f t="shared" si="4"/>
        <v>VI-000000-2025</v>
      </c>
      <c r="G80" s="46"/>
      <c r="H80" t="b">
        <f t="shared" si="5"/>
        <v>0</v>
      </c>
    </row>
    <row r="81" spans="2:8" x14ac:dyDescent="0.2">
      <c r="B81" s="90"/>
      <c r="C81" s="61"/>
      <c r="D81" t="b">
        <f t="shared" si="3"/>
        <v>1</v>
      </c>
      <c r="F81" t="str">
        <f t="shared" si="4"/>
        <v>VI-000000-2025</v>
      </c>
      <c r="G81" s="13"/>
      <c r="H81" t="b">
        <f t="shared" si="5"/>
        <v>0</v>
      </c>
    </row>
    <row r="82" spans="2:8" x14ac:dyDescent="0.2">
      <c r="B82" s="90"/>
      <c r="C82" s="61"/>
      <c r="D82" t="b">
        <f t="shared" si="3"/>
        <v>1</v>
      </c>
      <c r="F82" t="str">
        <f t="shared" si="4"/>
        <v>VI-000000-2025</v>
      </c>
      <c r="G82" s="13"/>
      <c r="H82" t="b">
        <f t="shared" si="5"/>
        <v>0</v>
      </c>
    </row>
    <row r="83" spans="2:8" x14ac:dyDescent="0.2">
      <c r="B83" s="90"/>
      <c r="C83" s="61"/>
      <c r="D83" t="b">
        <f t="shared" si="3"/>
        <v>1</v>
      </c>
      <c r="F83" t="str">
        <f t="shared" si="4"/>
        <v>VI-000000-2025</v>
      </c>
      <c r="G83" s="13"/>
      <c r="H83" t="b">
        <f t="shared" si="5"/>
        <v>0</v>
      </c>
    </row>
    <row r="84" spans="2:8" x14ac:dyDescent="0.2">
      <c r="B84" s="90"/>
      <c r="C84" s="61"/>
      <c r="D84" t="b">
        <f t="shared" si="3"/>
        <v>1</v>
      </c>
      <c r="F84" t="str">
        <f t="shared" si="4"/>
        <v>VI-000000-2025</v>
      </c>
      <c r="G84" s="13"/>
      <c r="H84" t="b">
        <f t="shared" si="5"/>
        <v>0</v>
      </c>
    </row>
    <row r="85" spans="2:8" x14ac:dyDescent="0.2">
      <c r="B85" s="90"/>
      <c r="C85" s="61"/>
      <c r="D85" t="b">
        <f t="shared" si="3"/>
        <v>1</v>
      </c>
      <c r="F85" t="str">
        <f t="shared" si="4"/>
        <v>VI-000000-2025</v>
      </c>
      <c r="G85" s="13"/>
      <c r="H85" t="b">
        <f t="shared" si="5"/>
        <v>0</v>
      </c>
    </row>
    <row r="86" spans="2:8" x14ac:dyDescent="0.2">
      <c r="B86" s="90"/>
      <c r="C86" s="61"/>
      <c r="D86" t="b">
        <f t="shared" si="3"/>
        <v>1</v>
      </c>
      <c r="F86" t="str">
        <f t="shared" si="4"/>
        <v>VI-000000-2025</v>
      </c>
      <c r="G86" s="13"/>
      <c r="H86" t="b">
        <f t="shared" si="5"/>
        <v>0</v>
      </c>
    </row>
    <row r="87" spans="2:8" x14ac:dyDescent="0.2">
      <c r="B87" s="90"/>
      <c r="C87" s="61"/>
      <c r="D87" t="b">
        <f t="shared" si="3"/>
        <v>1</v>
      </c>
      <c r="F87" t="str">
        <f t="shared" si="4"/>
        <v>VI-000000-2025</v>
      </c>
      <c r="G87" s="13"/>
      <c r="H87" t="b">
        <f t="shared" si="5"/>
        <v>0</v>
      </c>
    </row>
    <row r="88" spans="2:8" x14ac:dyDescent="0.2">
      <c r="B88" s="90"/>
      <c r="C88" s="61"/>
      <c r="D88" t="b">
        <f t="shared" si="3"/>
        <v>1</v>
      </c>
      <c r="F88" t="str">
        <f t="shared" si="4"/>
        <v>VI-000000-2025</v>
      </c>
      <c r="G88" s="13"/>
      <c r="H88" t="b">
        <f t="shared" si="5"/>
        <v>0</v>
      </c>
    </row>
    <row r="89" spans="2:8" x14ac:dyDescent="0.2">
      <c r="B89" s="109"/>
      <c r="C89" s="61"/>
      <c r="D89" t="b">
        <f t="shared" si="3"/>
        <v>1</v>
      </c>
      <c r="F89" t="str">
        <f t="shared" si="4"/>
        <v>VI-000000-2025</v>
      </c>
      <c r="G89" s="13"/>
      <c r="H89" t="b">
        <f t="shared" si="5"/>
        <v>0</v>
      </c>
    </row>
    <row r="90" spans="2:8" ht="13.5" thickBot="1" x14ac:dyDescent="0.25">
      <c r="B90" s="96"/>
      <c r="C90" s="61"/>
      <c r="D90" t="b">
        <f t="shared" si="3"/>
        <v>1</v>
      </c>
      <c r="F90" t="str">
        <f t="shared" si="4"/>
        <v>VI-000000-2025</v>
      </c>
      <c r="G90" s="52"/>
      <c r="H90" t="b">
        <f t="shared" si="5"/>
        <v>0</v>
      </c>
    </row>
    <row r="91" spans="2:8" x14ac:dyDescent="0.2">
      <c r="B91" s="110"/>
      <c r="C91" s="61"/>
      <c r="D91" t="b">
        <f t="shared" si="3"/>
        <v>1</v>
      </c>
      <c r="F91" t="str">
        <f t="shared" si="4"/>
        <v>VI-000000-2025</v>
      </c>
      <c r="G91" s="46"/>
      <c r="H91" t="b">
        <f t="shared" si="5"/>
        <v>0</v>
      </c>
    </row>
    <row r="92" spans="2:8" x14ac:dyDescent="0.2">
      <c r="B92" s="90"/>
      <c r="C92" s="61"/>
      <c r="D92" t="b">
        <f t="shared" si="3"/>
        <v>1</v>
      </c>
      <c r="F92" t="str">
        <f t="shared" si="4"/>
        <v>VI-000000-2025</v>
      </c>
      <c r="G92" s="13"/>
      <c r="H92" t="b">
        <f t="shared" si="5"/>
        <v>0</v>
      </c>
    </row>
    <row r="93" spans="2:8" x14ac:dyDescent="0.2">
      <c r="B93" s="90"/>
      <c r="C93" s="61"/>
      <c r="D93" t="b">
        <f t="shared" si="3"/>
        <v>1</v>
      </c>
      <c r="F93" t="str">
        <f t="shared" si="4"/>
        <v>VI-000000-2025</v>
      </c>
      <c r="G93" s="13"/>
      <c r="H93" t="b">
        <f t="shared" si="5"/>
        <v>0</v>
      </c>
    </row>
    <row r="94" spans="2:8" x14ac:dyDescent="0.2">
      <c r="B94" s="90"/>
      <c r="C94" s="61"/>
      <c r="D94" t="b">
        <f t="shared" si="3"/>
        <v>1</v>
      </c>
      <c r="F94" t="str">
        <f t="shared" si="4"/>
        <v>VI-000000-2025</v>
      </c>
      <c r="G94" s="13"/>
      <c r="H94" t="b">
        <f t="shared" si="5"/>
        <v>0</v>
      </c>
    </row>
    <row r="95" spans="2:8" x14ac:dyDescent="0.2">
      <c r="B95" s="90"/>
      <c r="C95" s="61"/>
      <c r="D95" t="b">
        <f t="shared" si="3"/>
        <v>1</v>
      </c>
      <c r="F95" t="str">
        <f t="shared" si="4"/>
        <v>VI-000000-2025</v>
      </c>
      <c r="G95" s="13"/>
      <c r="H95" t="b">
        <f t="shared" si="5"/>
        <v>0</v>
      </c>
    </row>
    <row r="96" spans="2:8" x14ac:dyDescent="0.2">
      <c r="B96" s="90"/>
      <c r="C96" s="61"/>
      <c r="D96" t="b">
        <f t="shared" si="3"/>
        <v>1</v>
      </c>
      <c r="F96" t="str">
        <f t="shared" si="4"/>
        <v>VI-000000-2025</v>
      </c>
      <c r="G96" s="13"/>
      <c r="H96" t="b">
        <f t="shared" si="5"/>
        <v>0</v>
      </c>
    </row>
    <row r="97" spans="2:8" x14ac:dyDescent="0.2">
      <c r="B97" s="90"/>
      <c r="C97" s="61"/>
      <c r="D97" t="b">
        <f t="shared" si="3"/>
        <v>1</v>
      </c>
      <c r="F97" t="str">
        <f t="shared" si="4"/>
        <v>VI-000000-2025</v>
      </c>
      <c r="G97" s="13"/>
      <c r="H97" t="b">
        <f t="shared" si="5"/>
        <v>0</v>
      </c>
    </row>
    <row r="98" spans="2:8" x14ac:dyDescent="0.2">
      <c r="B98" s="90"/>
      <c r="C98" s="61"/>
      <c r="D98" t="b">
        <f t="shared" si="3"/>
        <v>1</v>
      </c>
      <c r="F98" t="str">
        <f t="shared" si="4"/>
        <v>VI-000000-2025</v>
      </c>
      <c r="G98" s="13"/>
      <c r="H98" t="b">
        <f t="shared" si="5"/>
        <v>0</v>
      </c>
    </row>
    <row r="99" spans="2:8" x14ac:dyDescent="0.2">
      <c r="B99" s="90"/>
      <c r="C99" s="61"/>
      <c r="D99" t="b">
        <f t="shared" si="3"/>
        <v>1</v>
      </c>
      <c r="F99" t="str">
        <f t="shared" si="4"/>
        <v>VI-000000-2025</v>
      </c>
      <c r="G99" s="13"/>
      <c r="H99" t="b">
        <f t="shared" si="5"/>
        <v>0</v>
      </c>
    </row>
    <row r="100" spans="2:8" x14ac:dyDescent="0.2">
      <c r="B100" s="90"/>
      <c r="C100" s="61"/>
      <c r="D100" t="b">
        <f t="shared" si="3"/>
        <v>1</v>
      </c>
      <c r="F100" t="str">
        <f t="shared" si="4"/>
        <v>VI-000000-2025</v>
      </c>
      <c r="G100" s="13"/>
      <c r="H100" t="b">
        <f t="shared" si="5"/>
        <v>0</v>
      </c>
    </row>
    <row r="101" spans="2:8" ht="13.5" thickBot="1" x14ac:dyDescent="0.25">
      <c r="B101" s="96"/>
      <c r="C101" s="61"/>
      <c r="D101" t="b">
        <f t="shared" si="3"/>
        <v>1</v>
      </c>
      <c r="F101" t="str">
        <f t="shared" si="4"/>
        <v>VI-000000-2025</v>
      </c>
      <c r="G101" s="52"/>
      <c r="H101" t="b">
        <f t="shared" si="5"/>
        <v>0</v>
      </c>
    </row>
    <row r="102" spans="2:8" x14ac:dyDescent="0.2">
      <c r="B102" s="55"/>
      <c r="C102" s="61"/>
      <c r="D102" t="b">
        <f t="shared" si="3"/>
        <v>1</v>
      </c>
      <c r="F102" t="str">
        <f t="shared" si="4"/>
        <v>VI-000000-2025</v>
      </c>
      <c r="G102" s="46"/>
      <c r="H102" t="b">
        <f t="shared" si="5"/>
        <v>0</v>
      </c>
    </row>
    <row r="103" spans="2:8" x14ac:dyDescent="0.2">
      <c r="B103" s="90"/>
      <c r="C103" s="61"/>
      <c r="D103" t="b">
        <f t="shared" si="3"/>
        <v>1</v>
      </c>
      <c r="F103" t="str">
        <f t="shared" si="4"/>
        <v>VI-000000-2025</v>
      </c>
      <c r="G103" s="13"/>
      <c r="H103" t="b">
        <f t="shared" si="5"/>
        <v>0</v>
      </c>
    </row>
    <row r="104" spans="2:8" x14ac:dyDescent="0.2">
      <c r="B104" s="90"/>
      <c r="C104" s="61"/>
      <c r="D104" t="b">
        <f t="shared" si="3"/>
        <v>1</v>
      </c>
      <c r="F104" t="str">
        <f t="shared" si="4"/>
        <v>VI-000000-2025</v>
      </c>
      <c r="G104" s="13"/>
      <c r="H104" t="b">
        <f t="shared" si="5"/>
        <v>0</v>
      </c>
    </row>
    <row r="105" spans="2:8" x14ac:dyDescent="0.2">
      <c r="B105" s="90"/>
      <c r="C105" s="61"/>
      <c r="D105" t="b">
        <f t="shared" si="3"/>
        <v>1</v>
      </c>
      <c r="F105" t="str">
        <f t="shared" si="4"/>
        <v>VI-000000-2025</v>
      </c>
      <c r="G105" s="13"/>
      <c r="H105" t="b">
        <f t="shared" si="5"/>
        <v>0</v>
      </c>
    </row>
    <row r="106" spans="2:8" x14ac:dyDescent="0.2">
      <c r="B106" s="90"/>
      <c r="C106" s="61"/>
      <c r="D106" t="b">
        <f t="shared" si="3"/>
        <v>1</v>
      </c>
      <c r="F106" t="str">
        <f t="shared" si="4"/>
        <v>VI-000000-2025</v>
      </c>
      <c r="G106" s="13"/>
      <c r="H106" t="b">
        <f t="shared" si="5"/>
        <v>0</v>
      </c>
    </row>
    <row r="107" spans="2:8" x14ac:dyDescent="0.2">
      <c r="B107" s="90"/>
      <c r="C107" s="61"/>
      <c r="D107" t="b">
        <f t="shared" si="3"/>
        <v>1</v>
      </c>
      <c r="F107" t="str">
        <f t="shared" si="4"/>
        <v>VI-000000-2025</v>
      </c>
      <c r="G107" s="13"/>
      <c r="H107" t="b">
        <f t="shared" si="5"/>
        <v>0</v>
      </c>
    </row>
    <row r="108" spans="2:8" x14ac:dyDescent="0.2">
      <c r="B108" s="109"/>
      <c r="C108" s="61"/>
      <c r="D108" t="b">
        <f t="shared" si="3"/>
        <v>1</v>
      </c>
      <c r="F108" t="str">
        <f t="shared" si="4"/>
        <v>VI-000000-2025</v>
      </c>
      <c r="G108" s="13"/>
      <c r="H108" t="b">
        <f t="shared" si="5"/>
        <v>0</v>
      </c>
    </row>
    <row r="109" spans="2:8" x14ac:dyDescent="0.2">
      <c r="B109" s="90"/>
      <c r="C109" s="61"/>
      <c r="D109" t="b">
        <f t="shared" si="3"/>
        <v>1</v>
      </c>
      <c r="F109" t="str">
        <f t="shared" si="4"/>
        <v>VI-000000-2025</v>
      </c>
      <c r="G109" s="13"/>
      <c r="H109" t="b">
        <f t="shared" si="5"/>
        <v>0</v>
      </c>
    </row>
    <row r="110" spans="2:8" x14ac:dyDescent="0.2">
      <c r="B110" s="90"/>
      <c r="C110" s="61"/>
      <c r="D110" t="b">
        <f t="shared" si="3"/>
        <v>1</v>
      </c>
      <c r="F110" t="str">
        <f t="shared" si="4"/>
        <v>VI-000000-2025</v>
      </c>
      <c r="G110" s="13"/>
      <c r="H110" t="b">
        <f t="shared" si="5"/>
        <v>0</v>
      </c>
    </row>
    <row r="111" spans="2:8" x14ac:dyDescent="0.2">
      <c r="B111" s="90"/>
      <c r="C111" s="61"/>
      <c r="D111" t="b">
        <f t="shared" si="3"/>
        <v>1</v>
      </c>
      <c r="F111" t="str">
        <f t="shared" si="4"/>
        <v>VI-000000-2025</v>
      </c>
      <c r="G111" s="13"/>
      <c r="H111" t="b">
        <f t="shared" si="5"/>
        <v>0</v>
      </c>
    </row>
    <row r="112" spans="2:8" ht="13.5" thickBot="1" x14ac:dyDescent="0.25">
      <c r="B112" s="96"/>
      <c r="C112" s="61"/>
      <c r="D112" t="b">
        <f t="shared" si="3"/>
        <v>1</v>
      </c>
      <c r="F112" t="str">
        <f t="shared" si="4"/>
        <v>VI-000000-2025</v>
      </c>
      <c r="G112" s="52"/>
      <c r="H112" t="b">
        <f t="shared" si="5"/>
        <v>0</v>
      </c>
    </row>
    <row r="113" spans="2:8" x14ac:dyDescent="0.2">
      <c r="B113" s="110"/>
      <c r="C113" s="61"/>
      <c r="D113" t="b">
        <f t="shared" si="3"/>
        <v>1</v>
      </c>
      <c r="F113" t="str">
        <f t="shared" si="4"/>
        <v>VI-000000-2025</v>
      </c>
      <c r="G113" s="46"/>
      <c r="H113" t="b">
        <f t="shared" si="5"/>
        <v>0</v>
      </c>
    </row>
    <row r="114" spans="2:8" x14ac:dyDescent="0.2">
      <c r="B114" s="90"/>
      <c r="C114" s="61"/>
      <c r="D114" t="b">
        <f t="shared" si="3"/>
        <v>1</v>
      </c>
      <c r="F114" t="str">
        <f t="shared" si="4"/>
        <v>VI-000000-2025</v>
      </c>
      <c r="G114" s="13"/>
      <c r="H114" t="b">
        <f t="shared" si="5"/>
        <v>0</v>
      </c>
    </row>
    <row r="115" spans="2:8" x14ac:dyDescent="0.2">
      <c r="B115" s="90"/>
      <c r="C115" s="61"/>
      <c r="D115" t="b">
        <f t="shared" si="3"/>
        <v>1</v>
      </c>
      <c r="F115" t="str">
        <f t="shared" si="4"/>
        <v>VI-000000-2025</v>
      </c>
      <c r="G115" s="13"/>
      <c r="H115" t="b">
        <f t="shared" si="5"/>
        <v>0</v>
      </c>
    </row>
    <row r="116" spans="2:8" x14ac:dyDescent="0.2">
      <c r="B116" s="90"/>
      <c r="C116" s="61"/>
      <c r="D116" t="b">
        <f t="shared" si="3"/>
        <v>1</v>
      </c>
      <c r="F116" t="str">
        <f t="shared" si="4"/>
        <v>VI-000000-2025</v>
      </c>
      <c r="G116" s="13"/>
      <c r="H116" t="b">
        <f t="shared" si="5"/>
        <v>0</v>
      </c>
    </row>
    <row r="117" spans="2:8" x14ac:dyDescent="0.2">
      <c r="B117" s="90"/>
      <c r="C117" s="61"/>
      <c r="D117" t="b">
        <f t="shared" si="3"/>
        <v>1</v>
      </c>
      <c r="F117" t="str">
        <f t="shared" si="4"/>
        <v>VI-000000-2025</v>
      </c>
      <c r="G117" s="13"/>
      <c r="H117" t="b">
        <f t="shared" si="5"/>
        <v>0</v>
      </c>
    </row>
    <row r="118" spans="2:8" x14ac:dyDescent="0.2">
      <c r="B118" s="90"/>
      <c r="C118" s="61"/>
      <c r="D118" t="b">
        <f t="shared" si="3"/>
        <v>1</v>
      </c>
      <c r="F118" t="str">
        <f t="shared" si="4"/>
        <v>VI-000000-2025</v>
      </c>
      <c r="G118" s="13"/>
      <c r="H118" t="b">
        <f t="shared" si="5"/>
        <v>0</v>
      </c>
    </row>
    <row r="119" spans="2:8" x14ac:dyDescent="0.2">
      <c r="B119" s="90"/>
      <c r="C119" s="61"/>
      <c r="D119" t="b">
        <f t="shared" si="3"/>
        <v>1</v>
      </c>
      <c r="F119" t="str">
        <f t="shared" si="4"/>
        <v>VI-000000-2025</v>
      </c>
      <c r="G119" s="13"/>
      <c r="H119" t="b">
        <f t="shared" si="5"/>
        <v>0</v>
      </c>
    </row>
    <row r="120" spans="2:8" x14ac:dyDescent="0.2">
      <c r="B120" s="90"/>
      <c r="C120" s="61"/>
      <c r="D120" t="b">
        <f t="shared" si="3"/>
        <v>1</v>
      </c>
      <c r="F120" t="str">
        <f t="shared" si="4"/>
        <v>VI-000000-2025</v>
      </c>
      <c r="G120" s="13"/>
      <c r="H120" t="b">
        <f t="shared" si="5"/>
        <v>0</v>
      </c>
    </row>
    <row r="121" spans="2:8" x14ac:dyDescent="0.2">
      <c r="B121" s="90"/>
      <c r="C121" s="61"/>
      <c r="D121" t="b">
        <f t="shared" si="3"/>
        <v>1</v>
      </c>
      <c r="F121" t="str">
        <f t="shared" si="4"/>
        <v>VI-000000-2025</v>
      </c>
      <c r="G121" s="13"/>
      <c r="H121" t="b">
        <f t="shared" si="5"/>
        <v>0</v>
      </c>
    </row>
    <row r="122" spans="2:8" x14ac:dyDescent="0.2">
      <c r="B122" s="90"/>
      <c r="C122" s="61"/>
      <c r="D122" t="b">
        <f t="shared" si="3"/>
        <v>1</v>
      </c>
      <c r="F122" t="str">
        <f t="shared" si="4"/>
        <v>VI-000000-2025</v>
      </c>
      <c r="G122" s="13"/>
      <c r="H122" t="b">
        <f t="shared" si="5"/>
        <v>0</v>
      </c>
    </row>
    <row r="123" spans="2:8" ht="13.5" thickBot="1" x14ac:dyDescent="0.25">
      <c r="B123" s="96"/>
      <c r="C123" s="61"/>
      <c r="D123" t="b">
        <f t="shared" si="3"/>
        <v>1</v>
      </c>
      <c r="F123" t="str">
        <f t="shared" si="4"/>
        <v>VI-000000-2025</v>
      </c>
      <c r="G123" s="52"/>
      <c r="H123" t="b">
        <f t="shared" si="5"/>
        <v>0</v>
      </c>
    </row>
    <row r="124" spans="2:8" x14ac:dyDescent="0.2">
      <c r="B124" s="110"/>
      <c r="C124" s="61"/>
      <c r="D124" t="b">
        <f t="shared" si="3"/>
        <v>1</v>
      </c>
      <c r="F124" t="str">
        <f t="shared" si="4"/>
        <v>VI-000000-2025</v>
      </c>
      <c r="G124" s="46"/>
      <c r="H124" t="b">
        <f t="shared" si="5"/>
        <v>0</v>
      </c>
    </row>
    <row r="125" spans="2:8" x14ac:dyDescent="0.2">
      <c r="B125" s="90"/>
      <c r="C125" s="61"/>
      <c r="D125" t="b">
        <f t="shared" si="3"/>
        <v>1</v>
      </c>
      <c r="F125" t="str">
        <f t="shared" si="4"/>
        <v>VI-000000-2025</v>
      </c>
      <c r="G125" s="13"/>
      <c r="H125" t="b">
        <f t="shared" si="5"/>
        <v>0</v>
      </c>
    </row>
    <row r="126" spans="2:8" x14ac:dyDescent="0.2">
      <c r="B126" s="90"/>
      <c r="C126" s="61"/>
      <c r="D126" t="b">
        <f t="shared" si="3"/>
        <v>1</v>
      </c>
      <c r="F126" t="str">
        <f t="shared" si="4"/>
        <v>VI-000000-2025</v>
      </c>
      <c r="G126" s="13"/>
      <c r="H126" t="b">
        <f t="shared" si="5"/>
        <v>0</v>
      </c>
    </row>
    <row r="127" spans="2:8" x14ac:dyDescent="0.2">
      <c r="B127" s="90"/>
      <c r="C127" s="61"/>
      <c r="D127" t="b">
        <f t="shared" si="3"/>
        <v>1</v>
      </c>
      <c r="F127" t="str">
        <f t="shared" si="4"/>
        <v>VI-000000-2025</v>
      </c>
      <c r="G127" s="13"/>
      <c r="H127" t="b">
        <f t="shared" si="5"/>
        <v>0</v>
      </c>
    </row>
    <row r="128" spans="2:8" x14ac:dyDescent="0.2">
      <c r="B128" s="90"/>
      <c r="C128" s="61"/>
      <c r="D128" t="b">
        <f t="shared" si="3"/>
        <v>1</v>
      </c>
      <c r="F128" t="str">
        <f t="shared" si="4"/>
        <v>VI-000000-2025</v>
      </c>
      <c r="G128" s="13"/>
      <c r="H128" t="b">
        <f t="shared" si="5"/>
        <v>0</v>
      </c>
    </row>
    <row r="129" spans="2:8" x14ac:dyDescent="0.2">
      <c r="B129" s="90"/>
      <c r="C129" s="61"/>
      <c r="D129" t="b">
        <f t="shared" si="3"/>
        <v>1</v>
      </c>
      <c r="F129" t="str">
        <f t="shared" si="4"/>
        <v>VI-000000-2025</v>
      </c>
      <c r="G129" s="13"/>
      <c r="H129" t="b">
        <f t="shared" si="5"/>
        <v>0</v>
      </c>
    </row>
    <row r="130" spans="2:8" x14ac:dyDescent="0.2">
      <c r="B130" s="90"/>
      <c r="C130" s="61"/>
      <c r="D130" t="b">
        <f t="shared" si="3"/>
        <v>1</v>
      </c>
      <c r="F130" t="str">
        <f t="shared" si="4"/>
        <v>VI-000000-2025</v>
      </c>
      <c r="G130" s="13"/>
      <c r="H130" t="b">
        <f t="shared" si="5"/>
        <v>0</v>
      </c>
    </row>
    <row r="131" spans="2:8" x14ac:dyDescent="0.2">
      <c r="B131" s="109"/>
      <c r="C131" s="61"/>
      <c r="D131" t="b">
        <f t="shared" si="3"/>
        <v>1</v>
      </c>
      <c r="F131" t="str">
        <f t="shared" si="4"/>
        <v>VI-000000-2025</v>
      </c>
      <c r="G131" s="13"/>
      <c r="H131" t="b">
        <f t="shared" si="5"/>
        <v>0</v>
      </c>
    </row>
    <row r="132" spans="2:8" x14ac:dyDescent="0.2">
      <c r="B132" s="90"/>
      <c r="C132" s="61"/>
      <c r="D132" t="b">
        <f t="shared" si="3"/>
        <v>1</v>
      </c>
      <c r="F132" t="str">
        <f t="shared" si="4"/>
        <v>VI-000000-2025</v>
      </c>
      <c r="G132" s="13"/>
      <c r="H132" t="b">
        <f t="shared" si="5"/>
        <v>0</v>
      </c>
    </row>
    <row r="133" spans="2:8" x14ac:dyDescent="0.2">
      <c r="B133" s="90"/>
      <c r="C133" s="61"/>
      <c r="D133" t="b">
        <f t="shared" ref="D133:D196" si="6">B133=C133</f>
        <v>1</v>
      </c>
      <c r="F133" t="str">
        <f t="shared" ref="F133:F196" si="7">"VI-"&amp;TEXT(E133,"000000")&amp;"-2025"</f>
        <v>VI-000000-2025</v>
      </c>
      <c r="G133" s="13"/>
      <c r="H133" t="b">
        <f t="shared" ref="H133:H196" si="8">F133=G133</f>
        <v>0</v>
      </c>
    </row>
    <row r="134" spans="2:8" ht="13.5" thickBot="1" x14ac:dyDescent="0.25">
      <c r="B134" s="96"/>
      <c r="C134" s="61"/>
      <c r="D134" t="b">
        <f t="shared" si="6"/>
        <v>1</v>
      </c>
      <c r="F134" t="str">
        <f t="shared" si="7"/>
        <v>VI-000000-2025</v>
      </c>
      <c r="G134" s="52"/>
      <c r="H134" t="b">
        <f t="shared" si="8"/>
        <v>0</v>
      </c>
    </row>
    <row r="135" spans="2:8" x14ac:dyDescent="0.2">
      <c r="B135" s="90"/>
      <c r="C135" s="61"/>
      <c r="D135" t="b">
        <f t="shared" si="6"/>
        <v>1</v>
      </c>
      <c r="F135" t="str">
        <f t="shared" si="7"/>
        <v>VI-000000-2025</v>
      </c>
      <c r="G135" s="13"/>
      <c r="H135" t="b">
        <f t="shared" si="8"/>
        <v>0</v>
      </c>
    </row>
    <row r="136" spans="2:8" x14ac:dyDescent="0.2">
      <c r="B136" s="90"/>
      <c r="C136" s="61"/>
      <c r="D136" t="b">
        <f t="shared" si="6"/>
        <v>1</v>
      </c>
      <c r="F136" t="str">
        <f t="shared" si="7"/>
        <v>VI-000000-2025</v>
      </c>
      <c r="G136" s="13"/>
      <c r="H136" t="b">
        <f t="shared" si="8"/>
        <v>0</v>
      </c>
    </row>
    <row r="137" spans="2:8" x14ac:dyDescent="0.2">
      <c r="B137" s="90"/>
      <c r="C137" s="61"/>
      <c r="D137" t="b">
        <f t="shared" si="6"/>
        <v>1</v>
      </c>
      <c r="F137" t="str">
        <f t="shared" si="7"/>
        <v>VI-000000-2025</v>
      </c>
      <c r="G137" s="13"/>
      <c r="H137" t="b">
        <f t="shared" si="8"/>
        <v>0</v>
      </c>
    </row>
    <row r="138" spans="2:8" x14ac:dyDescent="0.2">
      <c r="B138" s="90"/>
      <c r="C138" s="61"/>
      <c r="D138" t="b">
        <f t="shared" si="6"/>
        <v>1</v>
      </c>
      <c r="F138" t="str">
        <f t="shared" si="7"/>
        <v>VI-000000-2025</v>
      </c>
      <c r="G138" s="13"/>
      <c r="H138" t="b">
        <f t="shared" si="8"/>
        <v>0</v>
      </c>
    </row>
    <row r="139" spans="2:8" x14ac:dyDescent="0.2">
      <c r="B139" s="90"/>
      <c r="C139" s="61"/>
      <c r="D139" t="b">
        <f t="shared" si="6"/>
        <v>1</v>
      </c>
      <c r="F139" t="str">
        <f t="shared" si="7"/>
        <v>VI-000000-2025</v>
      </c>
      <c r="G139" s="13"/>
      <c r="H139" t="b">
        <f t="shared" si="8"/>
        <v>0</v>
      </c>
    </row>
    <row r="140" spans="2:8" x14ac:dyDescent="0.2">
      <c r="B140" s="90"/>
      <c r="C140" s="61"/>
      <c r="D140" t="b">
        <f t="shared" si="6"/>
        <v>1</v>
      </c>
      <c r="F140" t="str">
        <f t="shared" si="7"/>
        <v>VI-000000-2025</v>
      </c>
      <c r="G140" s="13"/>
      <c r="H140" t="b">
        <f t="shared" si="8"/>
        <v>0</v>
      </c>
    </row>
    <row r="141" spans="2:8" x14ac:dyDescent="0.2">
      <c r="B141" s="90"/>
      <c r="C141" s="61"/>
      <c r="D141" t="b">
        <f t="shared" si="6"/>
        <v>1</v>
      </c>
      <c r="F141" t="str">
        <f t="shared" si="7"/>
        <v>VI-000000-2025</v>
      </c>
      <c r="G141" s="13"/>
      <c r="H141" t="b">
        <f t="shared" si="8"/>
        <v>0</v>
      </c>
    </row>
    <row r="142" spans="2:8" x14ac:dyDescent="0.2">
      <c r="B142" s="90"/>
      <c r="C142" s="61"/>
      <c r="D142" t="b">
        <f t="shared" si="6"/>
        <v>1</v>
      </c>
      <c r="F142" t="str">
        <f t="shared" si="7"/>
        <v>VI-000000-2025</v>
      </c>
      <c r="G142" s="13"/>
      <c r="H142" t="b">
        <f t="shared" si="8"/>
        <v>0</v>
      </c>
    </row>
    <row r="143" spans="2:8" ht="13.5" thickBot="1" x14ac:dyDescent="0.25">
      <c r="B143" s="96"/>
      <c r="C143" s="61"/>
      <c r="D143" t="b">
        <f t="shared" si="6"/>
        <v>1</v>
      </c>
      <c r="F143" t="str">
        <f t="shared" si="7"/>
        <v>VI-000000-2025</v>
      </c>
      <c r="G143" s="52"/>
      <c r="H143" t="b">
        <f t="shared" si="8"/>
        <v>0</v>
      </c>
    </row>
    <row r="144" spans="2:8" x14ac:dyDescent="0.2">
      <c r="B144" s="110"/>
      <c r="C144" s="61"/>
      <c r="D144" t="b">
        <f t="shared" si="6"/>
        <v>1</v>
      </c>
      <c r="F144" t="str">
        <f t="shared" si="7"/>
        <v>VI-000000-2025</v>
      </c>
      <c r="G144" s="46"/>
      <c r="H144" t="b">
        <f t="shared" si="8"/>
        <v>0</v>
      </c>
    </row>
    <row r="145" spans="2:8" x14ac:dyDescent="0.2">
      <c r="B145" s="90"/>
      <c r="C145" s="61"/>
      <c r="D145" t="b">
        <f t="shared" si="6"/>
        <v>1</v>
      </c>
      <c r="F145" t="str">
        <f t="shared" si="7"/>
        <v>VI-000000-2025</v>
      </c>
      <c r="G145" s="13"/>
      <c r="H145" t="b">
        <f t="shared" si="8"/>
        <v>0</v>
      </c>
    </row>
    <row r="146" spans="2:8" x14ac:dyDescent="0.2">
      <c r="B146" s="90"/>
      <c r="C146" s="61"/>
      <c r="D146" t="b">
        <f t="shared" si="6"/>
        <v>1</v>
      </c>
      <c r="F146" t="str">
        <f t="shared" si="7"/>
        <v>VI-000000-2025</v>
      </c>
      <c r="G146" s="13"/>
      <c r="H146" t="b">
        <f t="shared" si="8"/>
        <v>0</v>
      </c>
    </row>
    <row r="147" spans="2:8" x14ac:dyDescent="0.2">
      <c r="B147" s="90"/>
      <c r="C147" s="61"/>
      <c r="D147" t="b">
        <f t="shared" si="6"/>
        <v>1</v>
      </c>
      <c r="F147" t="str">
        <f t="shared" si="7"/>
        <v>VI-000000-2025</v>
      </c>
      <c r="G147" s="56"/>
      <c r="H147" t="b">
        <f t="shared" si="8"/>
        <v>0</v>
      </c>
    </row>
    <row r="148" spans="2:8" x14ac:dyDescent="0.2">
      <c r="B148" s="90"/>
      <c r="C148" s="61"/>
      <c r="D148" t="b">
        <f t="shared" si="6"/>
        <v>1</v>
      </c>
      <c r="F148" t="str">
        <f t="shared" si="7"/>
        <v>VI-000000-2025</v>
      </c>
      <c r="G148" s="13"/>
      <c r="H148" t="b">
        <f t="shared" si="8"/>
        <v>0</v>
      </c>
    </row>
    <row r="149" spans="2:8" x14ac:dyDescent="0.2">
      <c r="B149" s="90"/>
      <c r="C149" s="61"/>
      <c r="D149" t="b">
        <f t="shared" si="6"/>
        <v>1</v>
      </c>
      <c r="F149" t="str">
        <f t="shared" si="7"/>
        <v>VI-000000-2025</v>
      </c>
      <c r="G149" s="58"/>
      <c r="H149" t="b">
        <f t="shared" si="8"/>
        <v>0</v>
      </c>
    </row>
    <row r="150" spans="2:8" x14ac:dyDescent="0.2">
      <c r="B150" s="90"/>
      <c r="C150" s="61"/>
      <c r="D150" t="b">
        <f t="shared" si="6"/>
        <v>1</v>
      </c>
      <c r="F150" t="str">
        <f t="shared" si="7"/>
        <v>VI-000000-2025</v>
      </c>
      <c r="G150" s="13"/>
      <c r="H150" t="b">
        <f t="shared" si="8"/>
        <v>0</v>
      </c>
    </row>
    <row r="151" spans="2:8" x14ac:dyDescent="0.2">
      <c r="B151" s="90"/>
      <c r="C151" s="61"/>
      <c r="D151" t="b">
        <f t="shared" si="6"/>
        <v>1</v>
      </c>
      <c r="F151" t="str">
        <f t="shared" si="7"/>
        <v>VI-000000-2025</v>
      </c>
      <c r="G151" s="13"/>
      <c r="H151" t="b">
        <f t="shared" si="8"/>
        <v>0</v>
      </c>
    </row>
    <row r="152" spans="2:8" x14ac:dyDescent="0.2">
      <c r="B152" s="90"/>
      <c r="C152" s="61"/>
      <c r="D152" t="b">
        <f t="shared" si="6"/>
        <v>1</v>
      </c>
      <c r="F152" t="str">
        <f t="shared" si="7"/>
        <v>VI-000000-2025</v>
      </c>
      <c r="G152" s="13"/>
      <c r="H152" t="b">
        <f t="shared" si="8"/>
        <v>0</v>
      </c>
    </row>
    <row r="153" spans="2:8" ht="13.5" thickBot="1" x14ac:dyDescent="0.25">
      <c r="B153" s="96"/>
      <c r="C153" s="61"/>
      <c r="D153" t="b">
        <f t="shared" si="6"/>
        <v>1</v>
      </c>
      <c r="F153" t="str">
        <f t="shared" si="7"/>
        <v>VI-000000-2025</v>
      </c>
      <c r="G153" s="52"/>
      <c r="H153" t="b">
        <f t="shared" si="8"/>
        <v>0</v>
      </c>
    </row>
    <row r="154" spans="2:8" x14ac:dyDescent="0.2">
      <c r="B154" s="110"/>
      <c r="C154" s="61"/>
      <c r="D154" t="b">
        <f t="shared" si="6"/>
        <v>1</v>
      </c>
      <c r="F154" t="str">
        <f t="shared" si="7"/>
        <v>VI-000000-2025</v>
      </c>
      <c r="G154" s="46"/>
      <c r="H154" t="b">
        <f t="shared" si="8"/>
        <v>0</v>
      </c>
    </row>
    <row r="155" spans="2:8" x14ac:dyDescent="0.2">
      <c r="B155" s="90"/>
      <c r="C155" s="61"/>
      <c r="D155" t="b">
        <f t="shared" si="6"/>
        <v>1</v>
      </c>
      <c r="F155" t="str">
        <f t="shared" si="7"/>
        <v>VI-000000-2025</v>
      </c>
      <c r="G155" s="13"/>
      <c r="H155" t="b">
        <f t="shared" si="8"/>
        <v>0</v>
      </c>
    </row>
    <row r="156" spans="2:8" x14ac:dyDescent="0.2">
      <c r="B156" s="90"/>
      <c r="C156" s="61"/>
      <c r="D156" t="b">
        <f t="shared" si="6"/>
        <v>1</v>
      </c>
      <c r="F156" t="str">
        <f t="shared" si="7"/>
        <v>VI-000000-2025</v>
      </c>
      <c r="G156" s="13"/>
      <c r="H156" t="b">
        <f t="shared" si="8"/>
        <v>0</v>
      </c>
    </row>
    <row r="157" spans="2:8" x14ac:dyDescent="0.2">
      <c r="B157" s="90"/>
      <c r="C157" s="61"/>
      <c r="D157" t="b">
        <f t="shared" si="6"/>
        <v>1</v>
      </c>
      <c r="F157" t="str">
        <f t="shared" si="7"/>
        <v>VI-000000-2025</v>
      </c>
      <c r="G157" s="13"/>
      <c r="H157" t="b">
        <f t="shared" si="8"/>
        <v>0</v>
      </c>
    </row>
    <row r="158" spans="2:8" x14ac:dyDescent="0.2">
      <c r="B158" s="90"/>
      <c r="C158" s="61"/>
      <c r="D158" t="b">
        <f t="shared" si="6"/>
        <v>1</v>
      </c>
      <c r="F158" t="str">
        <f t="shared" si="7"/>
        <v>VI-000000-2025</v>
      </c>
      <c r="G158" s="13"/>
      <c r="H158" t="b">
        <f t="shared" si="8"/>
        <v>0</v>
      </c>
    </row>
    <row r="159" spans="2:8" x14ac:dyDescent="0.2">
      <c r="B159" s="90"/>
      <c r="C159" s="61"/>
      <c r="D159" t="b">
        <f t="shared" si="6"/>
        <v>1</v>
      </c>
      <c r="F159" t="str">
        <f t="shared" si="7"/>
        <v>VI-000000-2025</v>
      </c>
      <c r="G159" s="13"/>
      <c r="H159" t="b">
        <f t="shared" si="8"/>
        <v>0</v>
      </c>
    </row>
    <row r="160" spans="2:8" x14ac:dyDescent="0.2">
      <c r="B160" s="90"/>
      <c r="C160" s="61"/>
      <c r="D160" t="b">
        <f t="shared" si="6"/>
        <v>1</v>
      </c>
      <c r="F160" t="str">
        <f t="shared" si="7"/>
        <v>VI-000000-2025</v>
      </c>
      <c r="G160" s="13"/>
      <c r="H160" t="b">
        <f t="shared" si="8"/>
        <v>0</v>
      </c>
    </row>
    <row r="161" spans="2:8" x14ac:dyDescent="0.2">
      <c r="B161" s="90"/>
      <c r="C161" s="61"/>
      <c r="D161" t="b">
        <f t="shared" si="6"/>
        <v>1</v>
      </c>
      <c r="F161" t="str">
        <f t="shared" si="7"/>
        <v>VI-000000-2025</v>
      </c>
      <c r="G161" s="13"/>
      <c r="H161" t="b">
        <f t="shared" si="8"/>
        <v>0</v>
      </c>
    </row>
    <row r="162" spans="2:8" x14ac:dyDescent="0.2">
      <c r="B162" s="90"/>
      <c r="C162" s="61"/>
      <c r="D162" t="b">
        <f t="shared" si="6"/>
        <v>1</v>
      </c>
      <c r="F162" t="str">
        <f t="shared" si="7"/>
        <v>VI-000000-2025</v>
      </c>
      <c r="G162" s="13"/>
      <c r="H162" t="b">
        <f t="shared" si="8"/>
        <v>0</v>
      </c>
    </row>
    <row r="163" spans="2:8" x14ac:dyDescent="0.2">
      <c r="B163" s="90"/>
      <c r="C163" s="61"/>
      <c r="D163" t="b">
        <f t="shared" si="6"/>
        <v>1</v>
      </c>
      <c r="F163" t="str">
        <f t="shared" si="7"/>
        <v>VI-000000-2025</v>
      </c>
      <c r="G163" s="13"/>
      <c r="H163" t="b">
        <f t="shared" si="8"/>
        <v>0</v>
      </c>
    </row>
    <row r="164" spans="2:8" ht="13.5" thickBot="1" x14ac:dyDescent="0.25">
      <c r="B164" s="96"/>
      <c r="C164" s="61"/>
      <c r="D164" t="b">
        <f t="shared" si="6"/>
        <v>1</v>
      </c>
      <c r="F164" t="str">
        <f t="shared" si="7"/>
        <v>VI-000000-2025</v>
      </c>
      <c r="G164" s="52"/>
      <c r="H164" t="b">
        <f t="shared" si="8"/>
        <v>0</v>
      </c>
    </row>
    <row r="165" spans="2:8" x14ac:dyDescent="0.2">
      <c r="B165" s="110"/>
      <c r="C165" s="61"/>
      <c r="D165" t="b">
        <f t="shared" si="6"/>
        <v>1</v>
      </c>
      <c r="F165" t="str">
        <f t="shared" si="7"/>
        <v>VI-000000-2025</v>
      </c>
      <c r="G165" s="46"/>
      <c r="H165" t="b">
        <f t="shared" si="8"/>
        <v>0</v>
      </c>
    </row>
    <row r="166" spans="2:8" x14ac:dyDescent="0.2">
      <c r="B166" s="90"/>
      <c r="C166" s="61"/>
      <c r="D166" t="b">
        <f t="shared" si="6"/>
        <v>1</v>
      </c>
      <c r="F166" t="str">
        <f t="shared" si="7"/>
        <v>VI-000000-2025</v>
      </c>
      <c r="G166" s="13"/>
      <c r="H166" t="b">
        <f t="shared" si="8"/>
        <v>0</v>
      </c>
    </row>
    <row r="167" spans="2:8" x14ac:dyDescent="0.2">
      <c r="B167" s="90"/>
      <c r="C167" s="61"/>
      <c r="D167" t="b">
        <f t="shared" si="6"/>
        <v>1</v>
      </c>
      <c r="F167" t="str">
        <f t="shared" si="7"/>
        <v>VI-000000-2025</v>
      </c>
      <c r="G167" s="13"/>
      <c r="H167" t="b">
        <f t="shared" si="8"/>
        <v>0</v>
      </c>
    </row>
    <row r="168" spans="2:8" x14ac:dyDescent="0.2">
      <c r="B168" s="90"/>
      <c r="C168" s="61"/>
      <c r="D168" t="b">
        <f t="shared" si="6"/>
        <v>1</v>
      </c>
      <c r="F168" t="str">
        <f t="shared" si="7"/>
        <v>VI-000000-2025</v>
      </c>
      <c r="G168" s="13"/>
      <c r="H168" t="b">
        <f t="shared" si="8"/>
        <v>0</v>
      </c>
    </row>
    <row r="169" spans="2:8" x14ac:dyDescent="0.2">
      <c r="B169" s="90"/>
      <c r="C169" s="61"/>
      <c r="D169" t="b">
        <f t="shared" si="6"/>
        <v>1</v>
      </c>
      <c r="F169" t="str">
        <f t="shared" si="7"/>
        <v>VI-000000-2025</v>
      </c>
      <c r="G169" s="13"/>
      <c r="H169" t="b">
        <f t="shared" si="8"/>
        <v>0</v>
      </c>
    </row>
    <row r="170" spans="2:8" x14ac:dyDescent="0.2">
      <c r="B170" s="90"/>
      <c r="C170" s="61"/>
      <c r="D170" t="b">
        <f t="shared" si="6"/>
        <v>1</v>
      </c>
      <c r="F170" t="str">
        <f t="shared" si="7"/>
        <v>VI-000000-2025</v>
      </c>
      <c r="G170" s="13"/>
      <c r="H170" t="b">
        <f t="shared" si="8"/>
        <v>0</v>
      </c>
    </row>
    <row r="171" spans="2:8" x14ac:dyDescent="0.2">
      <c r="B171" s="90"/>
      <c r="C171" s="61"/>
      <c r="D171" t="b">
        <f t="shared" si="6"/>
        <v>1</v>
      </c>
      <c r="F171" t="str">
        <f t="shared" si="7"/>
        <v>VI-000000-2025</v>
      </c>
      <c r="G171" s="13"/>
      <c r="H171" t="b">
        <f t="shared" si="8"/>
        <v>0</v>
      </c>
    </row>
    <row r="172" spans="2:8" x14ac:dyDescent="0.2">
      <c r="B172" s="90"/>
      <c r="C172" s="61"/>
      <c r="D172" t="b">
        <f t="shared" si="6"/>
        <v>1</v>
      </c>
      <c r="F172" t="str">
        <f t="shared" si="7"/>
        <v>VI-000000-2025</v>
      </c>
      <c r="G172" s="13"/>
      <c r="H172" t="b">
        <f t="shared" si="8"/>
        <v>0</v>
      </c>
    </row>
    <row r="173" spans="2:8" x14ac:dyDescent="0.2">
      <c r="B173" s="90"/>
      <c r="C173" s="61"/>
      <c r="D173" t="b">
        <f t="shared" si="6"/>
        <v>1</v>
      </c>
      <c r="F173" t="str">
        <f t="shared" si="7"/>
        <v>VI-000000-2025</v>
      </c>
      <c r="G173" s="13"/>
      <c r="H173" t="b">
        <f t="shared" si="8"/>
        <v>0</v>
      </c>
    </row>
    <row r="174" spans="2:8" x14ac:dyDescent="0.2">
      <c r="B174" s="90"/>
      <c r="C174" s="61"/>
      <c r="D174" t="b">
        <f t="shared" si="6"/>
        <v>1</v>
      </c>
      <c r="F174" t="str">
        <f t="shared" si="7"/>
        <v>VI-000000-2025</v>
      </c>
      <c r="G174" s="13"/>
      <c r="H174" t="b">
        <f t="shared" si="8"/>
        <v>0</v>
      </c>
    </row>
    <row r="175" spans="2:8" ht="13.5" thickBot="1" x14ac:dyDescent="0.25">
      <c r="B175" s="96"/>
      <c r="C175" s="61"/>
      <c r="D175" t="b">
        <f t="shared" si="6"/>
        <v>1</v>
      </c>
      <c r="F175" t="str">
        <f t="shared" si="7"/>
        <v>VI-000000-2025</v>
      </c>
      <c r="G175" s="52"/>
      <c r="H175" t="b">
        <f t="shared" si="8"/>
        <v>0</v>
      </c>
    </row>
    <row r="176" spans="2:8" x14ac:dyDescent="0.2">
      <c r="B176" s="110"/>
      <c r="C176" s="61"/>
      <c r="D176" t="b">
        <f t="shared" si="6"/>
        <v>1</v>
      </c>
      <c r="F176" t="str">
        <f t="shared" si="7"/>
        <v>VI-000000-2025</v>
      </c>
      <c r="G176" s="46"/>
      <c r="H176" t="b">
        <f t="shared" si="8"/>
        <v>0</v>
      </c>
    </row>
    <row r="177" spans="2:8" x14ac:dyDescent="0.2">
      <c r="B177" s="90"/>
      <c r="C177" s="61"/>
      <c r="D177" t="b">
        <f t="shared" si="6"/>
        <v>1</v>
      </c>
      <c r="F177" t="str">
        <f t="shared" si="7"/>
        <v>VI-000000-2025</v>
      </c>
      <c r="G177" s="13"/>
      <c r="H177" t="b">
        <f t="shared" si="8"/>
        <v>0</v>
      </c>
    </row>
    <row r="178" spans="2:8" x14ac:dyDescent="0.2">
      <c r="B178" s="90"/>
      <c r="C178" s="61"/>
      <c r="D178" t="b">
        <f t="shared" si="6"/>
        <v>1</v>
      </c>
      <c r="F178" t="str">
        <f t="shared" si="7"/>
        <v>VI-000000-2025</v>
      </c>
      <c r="G178" s="13"/>
      <c r="H178" t="b">
        <f t="shared" si="8"/>
        <v>0</v>
      </c>
    </row>
    <row r="179" spans="2:8" x14ac:dyDescent="0.2">
      <c r="B179" s="90"/>
      <c r="C179" s="61"/>
      <c r="D179" t="b">
        <f t="shared" si="6"/>
        <v>1</v>
      </c>
      <c r="F179" t="str">
        <f t="shared" si="7"/>
        <v>VI-000000-2025</v>
      </c>
      <c r="G179" s="13"/>
      <c r="H179" t="b">
        <f t="shared" si="8"/>
        <v>0</v>
      </c>
    </row>
    <row r="180" spans="2:8" x14ac:dyDescent="0.2">
      <c r="B180" s="90"/>
      <c r="C180" s="61"/>
      <c r="D180" t="b">
        <f t="shared" si="6"/>
        <v>1</v>
      </c>
      <c r="F180" t="str">
        <f t="shared" si="7"/>
        <v>VI-000000-2025</v>
      </c>
      <c r="G180" s="13"/>
      <c r="H180" t="b">
        <f t="shared" si="8"/>
        <v>0</v>
      </c>
    </row>
    <row r="181" spans="2:8" x14ac:dyDescent="0.2">
      <c r="B181" s="90"/>
      <c r="C181" s="61"/>
      <c r="D181" t="b">
        <f t="shared" si="6"/>
        <v>1</v>
      </c>
      <c r="F181" t="str">
        <f t="shared" si="7"/>
        <v>VI-000000-2025</v>
      </c>
      <c r="G181" s="13"/>
      <c r="H181" t="b">
        <f t="shared" si="8"/>
        <v>0</v>
      </c>
    </row>
    <row r="182" spans="2:8" x14ac:dyDescent="0.2">
      <c r="B182" s="90"/>
      <c r="C182" s="61"/>
      <c r="D182" t="b">
        <f t="shared" si="6"/>
        <v>1</v>
      </c>
      <c r="F182" t="str">
        <f t="shared" si="7"/>
        <v>VI-000000-2025</v>
      </c>
      <c r="G182" s="13"/>
      <c r="H182" t="b">
        <f t="shared" si="8"/>
        <v>0</v>
      </c>
    </row>
    <row r="183" spans="2:8" x14ac:dyDescent="0.2">
      <c r="B183" s="90"/>
      <c r="C183" s="61"/>
      <c r="D183" t="b">
        <f t="shared" si="6"/>
        <v>1</v>
      </c>
      <c r="F183" t="str">
        <f t="shared" si="7"/>
        <v>VI-000000-2025</v>
      </c>
      <c r="G183" s="13"/>
      <c r="H183" t="b">
        <f t="shared" si="8"/>
        <v>0</v>
      </c>
    </row>
    <row r="184" spans="2:8" x14ac:dyDescent="0.2">
      <c r="B184" s="90"/>
      <c r="C184" s="61"/>
      <c r="D184" t="b">
        <f t="shared" si="6"/>
        <v>1</v>
      </c>
      <c r="F184" t="str">
        <f t="shared" si="7"/>
        <v>VI-000000-2025</v>
      </c>
      <c r="G184" s="13"/>
      <c r="H184" t="b">
        <f t="shared" si="8"/>
        <v>0</v>
      </c>
    </row>
    <row r="185" spans="2:8" x14ac:dyDescent="0.2">
      <c r="B185" s="90"/>
      <c r="C185" s="61"/>
      <c r="D185" t="b">
        <f t="shared" si="6"/>
        <v>1</v>
      </c>
      <c r="F185" t="str">
        <f t="shared" si="7"/>
        <v>VI-000000-2025</v>
      </c>
      <c r="G185" s="13"/>
      <c r="H185" t="b">
        <f t="shared" si="8"/>
        <v>0</v>
      </c>
    </row>
    <row r="186" spans="2:8" ht="13.5" thickBot="1" x14ac:dyDescent="0.25">
      <c r="B186" s="96"/>
      <c r="C186" s="61"/>
      <c r="D186" t="b">
        <f t="shared" si="6"/>
        <v>1</v>
      </c>
      <c r="F186" t="str">
        <f t="shared" si="7"/>
        <v>VI-000000-2025</v>
      </c>
      <c r="G186" s="52"/>
      <c r="H186" t="b">
        <f t="shared" si="8"/>
        <v>0</v>
      </c>
    </row>
    <row r="187" spans="2:8" x14ac:dyDescent="0.2">
      <c r="B187" s="110"/>
      <c r="C187" s="61"/>
      <c r="D187" t="b">
        <f t="shared" si="6"/>
        <v>1</v>
      </c>
      <c r="F187" t="str">
        <f t="shared" si="7"/>
        <v>VI-000000-2025</v>
      </c>
      <c r="G187" s="46"/>
      <c r="H187" t="b">
        <f t="shared" si="8"/>
        <v>0</v>
      </c>
    </row>
    <row r="188" spans="2:8" x14ac:dyDescent="0.2">
      <c r="B188" s="90"/>
      <c r="C188" s="61"/>
      <c r="D188" t="b">
        <f t="shared" si="6"/>
        <v>1</v>
      </c>
      <c r="F188" t="str">
        <f t="shared" si="7"/>
        <v>VI-000000-2025</v>
      </c>
      <c r="G188" s="13"/>
      <c r="H188" t="b">
        <f t="shared" si="8"/>
        <v>0</v>
      </c>
    </row>
    <row r="189" spans="2:8" x14ac:dyDescent="0.2">
      <c r="B189" s="90"/>
      <c r="C189" s="61"/>
      <c r="D189" t="b">
        <f t="shared" si="6"/>
        <v>1</v>
      </c>
      <c r="F189" t="str">
        <f t="shared" si="7"/>
        <v>VI-000000-2025</v>
      </c>
      <c r="G189" s="13"/>
      <c r="H189" t="b">
        <f t="shared" si="8"/>
        <v>0</v>
      </c>
    </row>
    <row r="190" spans="2:8" x14ac:dyDescent="0.2">
      <c r="B190" s="90"/>
      <c r="C190" s="61"/>
      <c r="D190" t="b">
        <f t="shared" si="6"/>
        <v>1</v>
      </c>
      <c r="F190" t="str">
        <f t="shared" si="7"/>
        <v>VI-000000-2025</v>
      </c>
      <c r="G190" s="13"/>
      <c r="H190" t="b">
        <f t="shared" si="8"/>
        <v>0</v>
      </c>
    </row>
    <row r="191" spans="2:8" x14ac:dyDescent="0.2">
      <c r="B191" s="90"/>
      <c r="C191" s="61"/>
      <c r="D191" t="b">
        <f t="shared" si="6"/>
        <v>1</v>
      </c>
      <c r="F191" t="str">
        <f t="shared" si="7"/>
        <v>VI-000000-2025</v>
      </c>
      <c r="G191" s="13"/>
      <c r="H191" t="b">
        <f t="shared" si="8"/>
        <v>0</v>
      </c>
    </row>
    <row r="192" spans="2:8" x14ac:dyDescent="0.2">
      <c r="B192" s="90"/>
      <c r="C192" s="61"/>
      <c r="D192" t="b">
        <f t="shared" si="6"/>
        <v>1</v>
      </c>
      <c r="F192" t="str">
        <f t="shared" si="7"/>
        <v>VI-000000-2025</v>
      </c>
      <c r="G192" s="13"/>
      <c r="H192" t="b">
        <f t="shared" si="8"/>
        <v>0</v>
      </c>
    </row>
    <row r="193" spans="2:8" x14ac:dyDescent="0.2">
      <c r="B193" s="90"/>
      <c r="C193" s="61"/>
      <c r="D193" t="b">
        <f t="shared" si="6"/>
        <v>1</v>
      </c>
      <c r="F193" t="str">
        <f t="shared" si="7"/>
        <v>VI-000000-2025</v>
      </c>
      <c r="G193" s="13"/>
      <c r="H193" t="b">
        <f t="shared" si="8"/>
        <v>0</v>
      </c>
    </row>
    <row r="194" spans="2:8" x14ac:dyDescent="0.2">
      <c r="B194" s="90"/>
      <c r="C194" s="61"/>
      <c r="D194" t="b">
        <f t="shared" si="6"/>
        <v>1</v>
      </c>
      <c r="F194" t="str">
        <f t="shared" si="7"/>
        <v>VI-000000-2025</v>
      </c>
      <c r="G194" s="13"/>
      <c r="H194" t="b">
        <f t="shared" si="8"/>
        <v>0</v>
      </c>
    </row>
    <row r="195" spans="2:8" x14ac:dyDescent="0.2">
      <c r="B195" s="90"/>
      <c r="C195" s="61"/>
      <c r="D195" t="b">
        <f t="shared" si="6"/>
        <v>1</v>
      </c>
      <c r="F195" t="str">
        <f t="shared" si="7"/>
        <v>VI-000000-2025</v>
      </c>
      <c r="G195" s="13"/>
      <c r="H195" t="b">
        <f t="shared" si="8"/>
        <v>0</v>
      </c>
    </row>
    <row r="196" spans="2:8" x14ac:dyDescent="0.2">
      <c r="B196" s="90"/>
      <c r="C196" s="61"/>
      <c r="D196" t="b">
        <f t="shared" si="6"/>
        <v>1</v>
      </c>
      <c r="F196" t="str">
        <f t="shared" si="7"/>
        <v>VI-000000-2025</v>
      </c>
      <c r="G196" s="13"/>
      <c r="H196" t="b">
        <f t="shared" si="8"/>
        <v>0</v>
      </c>
    </row>
    <row r="197" spans="2:8" ht="13.5" thickBot="1" x14ac:dyDescent="0.25">
      <c r="B197" s="96"/>
      <c r="C197" s="61"/>
      <c r="D197" t="b">
        <f t="shared" ref="D197:D260" si="9">B197=C197</f>
        <v>1</v>
      </c>
      <c r="F197" t="str">
        <f t="shared" ref="F197:F260" si="10">"VI-"&amp;TEXT(E197,"000000")&amp;"-2025"</f>
        <v>VI-000000-2025</v>
      </c>
      <c r="G197" s="52"/>
      <c r="H197" t="b">
        <f t="shared" ref="H197:H260" si="11">F197=G197</f>
        <v>0</v>
      </c>
    </row>
    <row r="198" spans="2:8" x14ac:dyDescent="0.2">
      <c r="B198" s="110"/>
      <c r="C198" s="61"/>
      <c r="D198" t="b">
        <f t="shared" si="9"/>
        <v>1</v>
      </c>
      <c r="F198" t="str">
        <f t="shared" si="10"/>
        <v>VI-000000-2025</v>
      </c>
      <c r="G198" s="46"/>
      <c r="H198" t="b">
        <f t="shared" si="11"/>
        <v>0</v>
      </c>
    </row>
    <row r="199" spans="2:8" x14ac:dyDescent="0.2">
      <c r="B199" s="90"/>
      <c r="C199" s="61"/>
      <c r="D199" t="b">
        <f t="shared" si="9"/>
        <v>1</v>
      </c>
      <c r="F199" t="str">
        <f t="shared" si="10"/>
        <v>VI-000000-2025</v>
      </c>
      <c r="G199" s="13"/>
      <c r="H199" t="b">
        <f t="shared" si="11"/>
        <v>0</v>
      </c>
    </row>
    <row r="200" spans="2:8" x14ac:dyDescent="0.2">
      <c r="B200" s="90"/>
      <c r="C200" s="61"/>
      <c r="D200" t="b">
        <f t="shared" si="9"/>
        <v>1</v>
      </c>
      <c r="F200" t="str">
        <f t="shared" si="10"/>
        <v>VI-000000-2025</v>
      </c>
      <c r="G200" s="13"/>
      <c r="H200" t="b">
        <f t="shared" si="11"/>
        <v>0</v>
      </c>
    </row>
    <row r="201" spans="2:8" x14ac:dyDescent="0.2">
      <c r="B201" s="90"/>
      <c r="C201" s="61"/>
      <c r="D201" t="b">
        <f t="shared" si="9"/>
        <v>1</v>
      </c>
      <c r="F201" t="str">
        <f t="shared" si="10"/>
        <v>VI-000000-2025</v>
      </c>
      <c r="G201" s="13"/>
      <c r="H201" t="b">
        <f t="shared" si="11"/>
        <v>0</v>
      </c>
    </row>
    <row r="202" spans="2:8" x14ac:dyDescent="0.2">
      <c r="B202" s="90"/>
      <c r="C202" s="61"/>
      <c r="D202" t="b">
        <f t="shared" si="9"/>
        <v>1</v>
      </c>
      <c r="F202" t="str">
        <f t="shared" si="10"/>
        <v>VI-000000-2025</v>
      </c>
      <c r="G202" s="13"/>
      <c r="H202" t="b">
        <f t="shared" si="11"/>
        <v>0</v>
      </c>
    </row>
    <row r="203" spans="2:8" x14ac:dyDescent="0.2">
      <c r="B203" s="90"/>
      <c r="C203" s="61"/>
      <c r="D203" t="b">
        <f t="shared" si="9"/>
        <v>1</v>
      </c>
      <c r="F203" t="str">
        <f t="shared" si="10"/>
        <v>VI-000000-2025</v>
      </c>
      <c r="G203" s="13"/>
      <c r="H203" t="b">
        <f t="shared" si="11"/>
        <v>0</v>
      </c>
    </row>
    <row r="204" spans="2:8" x14ac:dyDescent="0.2">
      <c r="B204" s="90"/>
      <c r="C204" s="61"/>
      <c r="D204" t="b">
        <f t="shared" si="9"/>
        <v>1</v>
      </c>
      <c r="F204" t="str">
        <f t="shared" si="10"/>
        <v>VI-000000-2025</v>
      </c>
      <c r="G204" s="13"/>
      <c r="H204" t="b">
        <f t="shared" si="11"/>
        <v>0</v>
      </c>
    </row>
    <row r="205" spans="2:8" x14ac:dyDescent="0.2">
      <c r="B205" s="90"/>
      <c r="C205" s="61"/>
      <c r="D205" t="b">
        <f t="shared" si="9"/>
        <v>1</v>
      </c>
      <c r="F205" t="str">
        <f t="shared" si="10"/>
        <v>VI-000000-2025</v>
      </c>
      <c r="G205" s="13"/>
      <c r="H205" t="b">
        <f t="shared" si="11"/>
        <v>0</v>
      </c>
    </row>
    <row r="206" spans="2:8" x14ac:dyDescent="0.2">
      <c r="B206" s="90"/>
      <c r="C206" s="61"/>
      <c r="D206" t="b">
        <f t="shared" si="9"/>
        <v>1</v>
      </c>
      <c r="F206" t="str">
        <f t="shared" si="10"/>
        <v>VI-000000-2025</v>
      </c>
      <c r="G206" s="13"/>
      <c r="H206" t="b">
        <f t="shared" si="11"/>
        <v>0</v>
      </c>
    </row>
    <row r="207" spans="2:8" x14ac:dyDescent="0.2">
      <c r="B207" s="90"/>
      <c r="C207" s="61"/>
      <c r="D207" t="b">
        <f t="shared" si="9"/>
        <v>1</v>
      </c>
      <c r="F207" t="str">
        <f t="shared" si="10"/>
        <v>VI-000000-2025</v>
      </c>
      <c r="G207" s="13"/>
      <c r="H207" t="b">
        <f t="shared" si="11"/>
        <v>0</v>
      </c>
    </row>
    <row r="208" spans="2:8" ht="13.5" thickBot="1" x14ac:dyDescent="0.25">
      <c r="B208" s="96"/>
      <c r="C208" s="61"/>
      <c r="D208" t="b">
        <f t="shared" si="9"/>
        <v>1</v>
      </c>
      <c r="F208" t="str">
        <f t="shared" si="10"/>
        <v>VI-000000-2025</v>
      </c>
      <c r="G208" s="52"/>
      <c r="H208" t="b">
        <f t="shared" si="11"/>
        <v>0</v>
      </c>
    </row>
    <row r="209" spans="2:8" x14ac:dyDescent="0.2">
      <c r="B209" s="110"/>
      <c r="C209" s="61"/>
      <c r="D209" t="b">
        <f t="shared" si="9"/>
        <v>1</v>
      </c>
      <c r="F209" t="str">
        <f t="shared" si="10"/>
        <v>VI-000000-2025</v>
      </c>
      <c r="G209" s="46"/>
      <c r="H209" t="b">
        <f t="shared" si="11"/>
        <v>0</v>
      </c>
    </row>
    <row r="210" spans="2:8" x14ac:dyDescent="0.2">
      <c r="B210" s="90"/>
      <c r="C210" s="61"/>
      <c r="D210" t="b">
        <f t="shared" si="9"/>
        <v>1</v>
      </c>
      <c r="F210" t="str">
        <f t="shared" si="10"/>
        <v>VI-000000-2025</v>
      </c>
      <c r="G210" s="13"/>
      <c r="H210" t="b">
        <f t="shared" si="11"/>
        <v>0</v>
      </c>
    </row>
    <row r="211" spans="2:8" x14ac:dyDescent="0.2">
      <c r="B211" s="90"/>
      <c r="C211" s="61"/>
      <c r="D211" t="b">
        <f t="shared" si="9"/>
        <v>1</v>
      </c>
      <c r="F211" t="str">
        <f t="shared" si="10"/>
        <v>VI-000000-2025</v>
      </c>
      <c r="G211" s="13"/>
      <c r="H211" t="b">
        <f t="shared" si="11"/>
        <v>0</v>
      </c>
    </row>
    <row r="212" spans="2:8" x14ac:dyDescent="0.2">
      <c r="B212" s="90"/>
      <c r="C212" s="61"/>
      <c r="D212" t="b">
        <f t="shared" si="9"/>
        <v>1</v>
      </c>
      <c r="F212" t="str">
        <f t="shared" si="10"/>
        <v>VI-000000-2025</v>
      </c>
      <c r="G212" s="13"/>
      <c r="H212" t="b">
        <f t="shared" si="11"/>
        <v>0</v>
      </c>
    </row>
    <row r="213" spans="2:8" x14ac:dyDescent="0.2">
      <c r="B213" s="90"/>
      <c r="C213" s="61"/>
      <c r="D213" t="b">
        <f t="shared" si="9"/>
        <v>1</v>
      </c>
      <c r="F213" t="str">
        <f t="shared" si="10"/>
        <v>VI-000000-2025</v>
      </c>
      <c r="G213" s="13"/>
      <c r="H213" t="b">
        <f t="shared" si="11"/>
        <v>0</v>
      </c>
    </row>
    <row r="214" spans="2:8" x14ac:dyDescent="0.2">
      <c r="B214" s="90"/>
      <c r="C214" s="61"/>
      <c r="D214" t="b">
        <f t="shared" si="9"/>
        <v>1</v>
      </c>
      <c r="F214" t="str">
        <f t="shared" si="10"/>
        <v>VI-000000-2025</v>
      </c>
      <c r="G214" s="13"/>
      <c r="H214" t="b">
        <f t="shared" si="11"/>
        <v>0</v>
      </c>
    </row>
    <row r="215" spans="2:8" x14ac:dyDescent="0.2">
      <c r="B215" s="90"/>
      <c r="C215" s="61"/>
      <c r="D215" t="b">
        <f t="shared" si="9"/>
        <v>1</v>
      </c>
      <c r="F215" t="str">
        <f t="shared" si="10"/>
        <v>VI-000000-2025</v>
      </c>
      <c r="G215" s="13"/>
      <c r="H215" t="b">
        <f t="shared" si="11"/>
        <v>0</v>
      </c>
    </row>
    <row r="216" spans="2:8" x14ac:dyDescent="0.2">
      <c r="B216" s="90"/>
      <c r="C216" s="61"/>
      <c r="D216" t="b">
        <f t="shared" si="9"/>
        <v>1</v>
      </c>
      <c r="F216" t="str">
        <f t="shared" si="10"/>
        <v>VI-000000-2025</v>
      </c>
      <c r="G216" s="13"/>
      <c r="H216" t="b">
        <f t="shared" si="11"/>
        <v>0</v>
      </c>
    </row>
    <row r="217" spans="2:8" x14ac:dyDescent="0.2">
      <c r="B217" s="90"/>
      <c r="C217" s="61"/>
      <c r="D217" t="b">
        <f t="shared" si="9"/>
        <v>1</v>
      </c>
      <c r="F217" t="str">
        <f t="shared" si="10"/>
        <v>VI-000000-2025</v>
      </c>
      <c r="G217" s="13"/>
      <c r="H217" t="b">
        <f t="shared" si="11"/>
        <v>0</v>
      </c>
    </row>
    <row r="218" spans="2:8" x14ac:dyDescent="0.2">
      <c r="B218" s="90"/>
      <c r="C218" s="61"/>
      <c r="D218" t="b">
        <f t="shared" si="9"/>
        <v>1</v>
      </c>
      <c r="F218" t="str">
        <f t="shared" si="10"/>
        <v>VI-000000-2025</v>
      </c>
      <c r="G218" s="13"/>
      <c r="H218" t="b">
        <f t="shared" si="11"/>
        <v>0</v>
      </c>
    </row>
    <row r="219" spans="2:8" ht="13.5" thickBot="1" x14ac:dyDescent="0.25">
      <c r="B219" s="96"/>
      <c r="C219" s="61"/>
      <c r="D219" t="b">
        <f t="shared" si="9"/>
        <v>1</v>
      </c>
      <c r="F219" t="str">
        <f t="shared" si="10"/>
        <v>VI-000000-2025</v>
      </c>
      <c r="G219" s="52"/>
      <c r="H219" t="b">
        <f t="shared" si="11"/>
        <v>0</v>
      </c>
    </row>
    <row r="220" spans="2:8" x14ac:dyDescent="0.2">
      <c r="B220" s="110"/>
      <c r="C220" s="61"/>
      <c r="D220" t="b">
        <f t="shared" si="9"/>
        <v>1</v>
      </c>
      <c r="F220" t="str">
        <f t="shared" si="10"/>
        <v>VI-000000-2025</v>
      </c>
      <c r="G220" s="46"/>
      <c r="H220" t="b">
        <f t="shared" si="11"/>
        <v>0</v>
      </c>
    </row>
    <row r="221" spans="2:8" x14ac:dyDescent="0.2">
      <c r="B221" s="90"/>
      <c r="C221" s="61"/>
      <c r="D221" t="b">
        <f t="shared" si="9"/>
        <v>1</v>
      </c>
      <c r="F221" t="str">
        <f t="shared" si="10"/>
        <v>VI-000000-2025</v>
      </c>
      <c r="G221" s="13"/>
      <c r="H221" t="b">
        <f t="shared" si="11"/>
        <v>0</v>
      </c>
    </row>
    <row r="222" spans="2:8" x14ac:dyDescent="0.2">
      <c r="B222" s="90"/>
      <c r="C222" s="61"/>
      <c r="D222" t="b">
        <f t="shared" si="9"/>
        <v>1</v>
      </c>
      <c r="F222" t="str">
        <f t="shared" si="10"/>
        <v>VI-000000-2025</v>
      </c>
      <c r="G222" s="13"/>
      <c r="H222" t="b">
        <f t="shared" si="11"/>
        <v>0</v>
      </c>
    </row>
    <row r="223" spans="2:8" x14ac:dyDescent="0.2">
      <c r="B223" s="90"/>
      <c r="C223" s="61"/>
      <c r="D223" t="b">
        <f t="shared" si="9"/>
        <v>1</v>
      </c>
      <c r="F223" t="str">
        <f t="shared" si="10"/>
        <v>VI-000000-2025</v>
      </c>
      <c r="G223" s="13"/>
      <c r="H223" t="b">
        <f t="shared" si="11"/>
        <v>0</v>
      </c>
    </row>
    <row r="224" spans="2:8" x14ac:dyDescent="0.2">
      <c r="B224" s="90"/>
      <c r="C224" s="61"/>
      <c r="D224" t="b">
        <f t="shared" si="9"/>
        <v>1</v>
      </c>
      <c r="F224" t="str">
        <f t="shared" si="10"/>
        <v>VI-000000-2025</v>
      </c>
      <c r="G224" s="13"/>
      <c r="H224" t="b">
        <f t="shared" si="11"/>
        <v>0</v>
      </c>
    </row>
    <row r="225" spans="2:8" x14ac:dyDescent="0.2">
      <c r="B225" s="90"/>
      <c r="C225" s="61"/>
      <c r="D225" t="b">
        <f t="shared" si="9"/>
        <v>1</v>
      </c>
      <c r="F225" t="str">
        <f t="shared" si="10"/>
        <v>VI-000000-2025</v>
      </c>
      <c r="G225" s="13"/>
      <c r="H225" t="b">
        <f t="shared" si="11"/>
        <v>0</v>
      </c>
    </row>
    <row r="226" spans="2:8" x14ac:dyDescent="0.2">
      <c r="B226" s="90"/>
      <c r="C226" s="61"/>
      <c r="D226" t="b">
        <f t="shared" si="9"/>
        <v>1</v>
      </c>
      <c r="F226" t="str">
        <f t="shared" si="10"/>
        <v>VI-000000-2025</v>
      </c>
      <c r="G226" s="13"/>
      <c r="H226" t="b">
        <f t="shared" si="11"/>
        <v>0</v>
      </c>
    </row>
    <row r="227" spans="2:8" x14ac:dyDescent="0.2">
      <c r="B227" s="90"/>
      <c r="C227" s="61"/>
      <c r="D227" t="b">
        <f t="shared" si="9"/>
        <v>1</v>
      </c>
      <c r="F227" t="str">
        <f t="shared" si="10"/>
        <v>VI-000000-2025</v>
      </c>
      <c r="G227" s="13"/>
      <c r="H227" t="b">
        <f t="shared" si="11"/>
        <v>0</v>
      </c>
    </row>
    <row r="228" spans="2:8" x14ac:dyDescent="0.2">
      <c r="B228" s="90"/>
      <c r="C228" s="61"/>
      <c r="D228" t="b">
        <f t="shared" si="9"/>
        <v>1</v>
      </c>
      <c r="F228" t="str">
        <f t="shared" si="10"/>
        <v>VI-000000-2025</v>
      </c>
      <c r="G228" s="13"/>
      <c r="H228" t="b">
        <f t="shared" si="11"/>
        <v>0</v>
      </c>
    </row>
    <row r="229" spans="2:8" x14ac:dyDescent="0.2">
      <c r="B229" s="90"/>
      <c r="C229" s="61"/>
      <c r="D229" t="b">
        <f t="shared" si="9"/>
        <v>1</v>
      </c>
      <c r="F229" t="str">
        <f t="shared" si="10"/>
        <v>VI-000000-2025</v>
      </c>
      <c r="G229" s="13"/>
      <c r="H229" t="b">
        <f t="shared" si="11"/>
        <v>0</v>
      </c>
    </row>
    <row r="230" spans="2:8" ht="13.5" thickBot="1" x14ac:dyDescent="0.25">
      <c r="B230" s="96"/>
      <c r="C230" s="61"/>
      <c r="D230" t="b">
        <f t="shared" si="9"/>
        <v>1</v>
      </c>
      <c r="F230" t="str">
        <f t="shared" si="10"/>
        <v>VI-000000-2025</v>
      </c>
      <c r="G230" s="52"/>
      <c r="H230" t="b">
        <f t="shared" si="11"/>
        <v>0</v>
      </c>
    </row>
    <row r="231" spans="2:8" x14ac:dyDescent="0.2">
      <c r="B231" s="110"/>
      <c r="C231" s="61"/>
      <c r="D231" t="b">
        <f t="shared" si="9"/>
        <v>1</v>
      </c>
      <c r="F231" t="str">
        <f t="shared" si="10"/>
        <v>VI-000000-2025</v>
      </c>
      <c r="G231" s="46"/>
      <c r="H231" t="b">
        <f t="shared" si="11"/>
        <v>0</v>
      </c>
    </row>
    <row r="232" spans="2:8" x14ac:dyDescent="0.2">
      <c r="B232" s="90"/>
      <c r="C232" s="61"/>
      <c r="D232" t="b">
        <f t="shared" si="9"/>
        <v>1</v>
      </c>
      <c r="F232" t="str">
        <f t="shared" si="10"/>
        <v>VI-000000-2025</v>
      </c>
      <c r="G232" s="13"/>
      <c r="H232" t="b">
        <f t="shared" si="11"/>
        <v>0</v>
      </c>
    </row>
    <row r="233" spans="2:8" x14ac:dyDescent="0.2">
      <c r="B233" s="90"/>
      <c r="C233" s="61"/>
      <c r="D233" t="b">
        <f t="shared" si="9"/>
        <v>1</v>
      </c>
      <c r="F233" t="str">
        <f t="shared" si="10"/>
        <v>VI-000000-2025</v>
      </c>
      <c r="G233" s="13"/>
      <c r="H233" t="b">
        <f t="shared" si="11"/>
        <v>0</v>
      </c>
    </row>
    <row r="234" spans="2:8" x14ac:dyDescent="0.2">
      <c r="B234" s="90"/>
      <c r="C234" s="61"/>
      <c r="D234" t="b">
        <f t="shared" si="9"/>
        <v>1</v>
      </c>
      <c r="F234" t="str">
        <f t="shared" si="10"/>
        <v>VI-000000-2025</v>
      </c>
      <c r="G234" s="13"/>
      <c r="H234" t="b">
        <f t="shared" si="11"/>
        <v>0</v>
      </c>
    </row>
    <row r="235" spans="2:8" x14ac:dyDescent="0.2">
      <c r="B235" s="90"/>
      <c r="C235" s="61"/>
      <c r="D235" t="b">
        <f t="shared" si="9"/>
        <v>1</v>
      </c>
      <c r="F235" t="str">
        <f t="shared" si="10"/>
        <v>VI-000000-2025</v>
      </c>
      <c r="G235" s="13"/>
      <c r="H235" t="b">
        <f t="shared" si="11"/>
        <v>0</v>
      </c>
    </row>
    <row r="236" spans="2:8" x14ac:dyDescent="0.2">
      <c r="B236" s="90"/>
      <c r="C236" s="61"/>
      <c r="D236" t="b">
        <f t="shared" si="9"/>
        <v>1</v>
      </c>
      <c r="F236" t="str">
        <f t="shared" si="10"/>
        <v>VI-000000-2025</v>
      </c>
      <c r="G236" s="13"/>
      <c r="H236" t="b">
        <f t="shared" si="11"/>
        <v>0</v>
      </c>
    </row>
    <row r="237" spans="2:8" x14ac:dyDescent="0.2">
      <c r="B237" s="90"/>
      <c r="C237" s="61"/>
      <c r="D237" t="b">
        <f t="shared" si="9"/>
        <v>1</v>
      </c>
      <c r="F237" t="str">
        <f t="shared" si="10"/>
        <v>VI-000000-2025</v>
      </c>
      <c r="G237" s="13"/>
      <c r="H237" t="b">
        <f t="shared" si="11"/>
        <v>0</v>
      </c>
    </row>
    <row r="238" spans="2:8" x14ac:dyDescent="0.2">
      <c r="B238" s="90"/>
      <c r="C238" s="61"/>
      <c r="D238" t="b">
        <f t="shared" si="9"/>
        <v>1</v>
      </c>
      <c r="F238" t="str">
        <f t="shared" si="10"/>
        <v>VI-000000-2025</v>
      </c>
      <c r="G238" s="13"/>
      <c r="H238" t="b">
        <f t="shared" si="11"/>
        <v>0</v>
      </c>
    </row>
    <row r="239" spans="2:8" x14ac:dyDescent="0.2">
      <c r="B239" s="90"/>
      <c r="C239" s="61"/>
      <c r="D239" t="b">
        <f t="shared" si="9"/>
        <v>1</v>
      </c>
      <c r="F239" t="str">
        <f t="shared" si="10"/>
        <v>VI-000000-2025</v>
      </c>
      <c r="G239" s="13"/>
      <c r="H239" t="b">
        <f t="shared" si="11"/>
        <v>0</v>
      </c>
    </row>
    <row r="240" spans="2:8" x14ac:dyDescent="0.2">
      <c r="B240" s="90"/>
      <c r="C240" s="61"/>
      <c r="D240" t="b">
        <f t="shared" si="9"/>
        <v>1</v>
      </c>
      <c r="F240" t="str">
        <f t="shared" si="10"/>
        <v>VI-000000-2025</v>
      </c>
      <c r="G240" s="13"/>
      <c r="H240" t="b">
        <f t="shared" si="11"/>
        <v>0</v>
      </c>
    </row>
    <row r="241" spans="2:8" ht="13.5" thickBot="1" x14ac:dyDescent="0.25">
      <c r="B241" s="96"/>
      <c r="C241" s="61"/>
      <c r="D241" t="b">
        <f t="shared" si="9"/>
        <v>1</v>
      </c>
      <c r="F241" t="str">
        <f t="shared" si="10"/>
        <v>VI-000000-2025</v>
      </c>
      <c r="G241" s="52"/>
      <c r="H241" t="b">
        <f t="shared" si="11"/>
        <v>0</v>
      </c>
    </row>
    <row r="242" spans="2:8" x14ac:dyDescent="0.2">
      <c r="B242" s="110"/>
      <c r="C242" s="61"/>
      <c r="D242" t="b">
        <f t="shared" si="9"/>
        <v>1</v>
      </c>
      <c r="F242" t="str">
        <f t="shared" si="10"/>
        <v>VI-000000-2025</v>
      </c>
      <c r="G242" s="46"/>
      <c r="H242" t="b">
        <f t="shared" si="11"/>
        <v>0</v>
      </c>
    </row>
    <row r="243" spans="2:8" x14ac:dyDescent="0.2">
      <c r="B243" s="90"/>
      <c r="C243" s="61"/>
      <c r="D243" t="b">
        <f t="shared" si="9"/>
        <v>1</v>
      </c>
      <c r="F243" t="str">
        <f t="shared" si="10"/>
        <v>VI-000000-2025</v>
      </c>
      <c r="G243" s="13"/>
      <c r="H243" t="b">
        <f t="shared" si="11"/>
        <v>0</v>
      </c>
    </row>
    <row r="244" spans="2:8" x14ac:dyDescent="0.2">
      <c r="B244" s="90"/>
      <c r="C244" s="61"/>
      <c r="D244" t="b">
        <f t="shared" si="9"/>
        <v>1</v>
      </c>
      <c r="F244" t="str">
        <f t="shared" si="10"/>
        <v>VI-000000-2025</v>
      </c>
      <c r="G244" s="13"/>
      <c r="H244" t="b">
        <f t="shared" si="11"/>
        <v>0</v>
      </c>
    </row>
    <row r="245" spans="2:8" x14ac:dyDescent="0.2">
      <c r="B245" s="90"/>
      <c r="C245" s="61"/>
      <c r="D245" t="b">
        <f t="shared" si="9"/>
        <v>1</v>
      </c>
      <c r="F245" t="str">
        <f t="shared" si="10"/>
        <v>VI-000000-2025</v>
      </c>
      <c r="G245" s="13"/>
      <c r="H245" t="b">
        <f t="shared" si="11"/>
        <v>0</v>
      </c>
    </row>
    <row r="246" spans="2:8" x14ac:dyDescent="0.2">
      <c r="B246" s="90"/>
      <c r="C246" s="61"/>
      <c r="D246" t="b">
        <f t="shared" si="9"/>
        <v>1</v>
      </c>
      <c r="F246" t="str">
        <f t="shared" si="10"/>
        <v>VI-000000-2025</v>
      </c>
      <c r="G246" s="13"/>
      <c r="H246" t="b">
        <f t="shared" si="11"/>
        <v>0</v>
      </c>
    </row>
    <row r="247" spans="2:8" x14ac:dyDescent="0.2">
      <c r="B247" s="90"/>
      <c r="C247" s="61"/>
      <c r="D247" t="b">
        <f t="shared" si="9"/>
        <v>1</v>
      </c>
      <c r="F247" t="str">
        <f t="shared" si="10"/>
        <v>VI-000000-2025</v>
      </c>
      <c r="G247" s="13"/>
      <c r="H247" t="b">
        <f t="shared" si="11"/>
        <v>0</v>
      </c>
    </row>
    <row r="248" spans="2:8" x14ac:dyDescent="0.2">
      <c r="B248" s="90"/>
      <c r="C248" s="61"/>
      <c r="D248" t="b">
        <f t="shared" si="9"/>
        <v>1</v>
      </c>
      <c r="F248" t="str">
        <f t="shared" si="10"/>
        <v>VI-000000-2025</v>
      </c>
      <c r="G248" s="13"/>
      <c r="H248" t="b">
        <f t="shared" si="11"/>
        <v>0</v>
      </c>
    </row>
    <row r="249" spans="2:8" x14ac:dyDescent="0.2">
      <c r="B249" s="90"/>
      <c r="C249" s="61"/>
      <c r="D249" t="b">
        <f t="shared" si="9"/>
        <v>1</v>
      </c>
      <c r="F249" t="str">
        <f t="shared" si="10"/>
        <v>VI-000000-2025</v>
      </c>
      <c r="G249" s="13"/>
      <c r="H249" t="b">
        <f t="shared" si="11"/>
        <v>0</v>
      </c>
    </row>
    <row r="250" spans="2:8" x14ac:dyDescent="0.2">
      <c r="B250" s="90"/>
      <c r="C250" s="61"/>
      <c r="D250" t="b">
        <f t="shared" si="9"/>
        <v>1</v>
      </c>
      <c r="F250" t="str">
        <f t="shared" si="10"/>
        <v>VI-000000-2025</v>
      </c>
      <c r="G250" s="13"/>
      <c r="H250" t="b">
        <f t="shared" si="11"/>
        <v>0</v>
      </c>
    </row>
    <row r="251" spans="2:8" x14ac:dyDescent="0.2">
      <c r="B251" s="90"/>
      <c r="C251" s="61"/>
      <c r="D251" t="b">
        <f t="shared" si="9"/>
        <v>1</v>
      </c>
      <c r="F251" t="str">
        <f t="shared" si="10"/>
        <v>VI-000000-2025</v>
      </c>
      <c r="G251" s="13"/>
      <c r="H251" t="b">
        <f t="shared" si="11"/>
        <v>0</v>
      </c>
    </row>
    <row r="252" spans="2:8" ht="13.5" thickBot="1" x14ac:dyDescent="0.25">
      <c r="B252" s="96"/>
      <c r="C252" s="61"/>
      <c r="D252" t="b">
        <f t="shared" si="9"/>
        <v>1</v>
      </c>
      <c r="F252" t="str">
        <f t="shared" si="10"/>
        <v>VI-000000-2025</v>
      </c>
      <c r="G252" s="52"/>
      <c r="H252" t="b">
        <f t="shared" si="11"/>
        <v>0</v>
      </c>
    </row>
    <row r="253" spans="2:8" x14ac:dyDescent="0.2">
      <c r="B253" s="110"/>
      <c r="C253" s="61"/>
      <c r="D253" t="b">
        <f t="shared" si="9"/>
        <v>1</v>
      </c>
      <c r="F253" t="str">
        <f t="shared" si="10"/>
        <v>VI-000000-2025</v>
      </c>
      <c r="G253" s="46"/>
      <c r="H253" t="b">
        <f t="shared" si="11"/>
        <v>0</v>
      </c>
    </row>
    <row r="254" spans="2:8" x14ac:dyDescent="0.2">
      <c r="B254" s="90"/>
      <c r="C254" s="61"/>
      <c r="D254" t="b">
        <f t="shared" si="9"/>
        <v>1</v>
      </c>
      <c r="F254" t="str">
        <f t="shared" si="10"/>
        <v>VI-000000-2025</v>
      </c>
      <c r="G254" s="13"/>
      <c r="H254" t="b">
        <f t="shared" si="11"/>
        <v>0</v>
      </c>
    </row>
    <row r="255" spans="2:8" x14ac:dyDescent="0.2">
      <c r="B255" s="90"/>
      <c r="C255" s="61"/>
      <c r="D255" t="b">
        <f t="shared" si="9"/>
        <v>1</v>
      </c>
      <c r="F255" t="str">
        <f t="shared" si="10"/>
        <v>VI-000000-2025</v>
      </c>
      <c r="G255" s="13"/>
      <c r="H255" t="b">
        <f t="shared" si="11"/>
        <v>0</v>
      </c>
    </row>
    <row r="256" spans="2:8" x14ac:dyDescent="0.2">
      <c r="B256" s="90"/>
      <c r="C256" s="61"/>
      <c r="D256" t="b">
        <f t="shared" si="9"/>
        <v>1</v>
      </c>
      <c r="F256" t="str">
        <f t="shared" si="10"/>
        <v>VI-000000-2025</v>
      </c>
      <c r="G256" s="13"/>
      <c r="H256" t="b">
        <f t="shared" si="11"/>
        <v>0</v>
      </c>
    </row>
    <row r="257" spans="2:8" x14ac:dyDescent="0.2">
      <c r="B257" s="90"/>
      <c r="C257" s="61"/>
      <c r="D257" t="b">
        <f t="shared" si="9"/>
        <v>1</v>
      </c>
      <c r="F257" t="str">
        <f t="shared" si="10"/>
        <v>VI-000000-2025</v>
      </c>
      <c r="G257" s="13"/>
      <c r="H257" t="b">
        <f t="shared" si="11"/>
        <v>0</v>
      </c>
    </row>
    <row r="258" spans="2:8" x14ac:dyDescent="0.2">
      <c r="B258" s="90"/>
      <c r="C258" s="61"/>
      <c r="D258" t="b">
        <f t="shared" si="9"/>
        <v>1</v>
      </c>
      <c r="F258" t="str">
        <f t="shared" si="10"/>
        <v>VI-000000-2025</v>
      </c>
      <c r="G258" s="13"/>
      <c r="H258" t="b">
        <f t="shared" si="11"/>
        <v>0</v>
      </c>
    </row>
    <row r="259" spans="2:8" x14ac:dyDescent="0.2">
      <c r="B259" s="90"/>
      <c r="C259" s="61"/>
      <c r="D259" t="b">
        <f t="shared" si="9"/>
        <v>1</v>
      </c>
      <c r="F259" t="str">
        <f t="shared" si="10"/>
        <v>VI-000000-2025</v>
      </c>
      <c r="G259" s="13"/>
      <c r="H259" t="b">
        <f t="shared" si="11"/>
        <v>0</v>
      </c>
    </row>
    <row r="260" spans="2:8" x14ac:dyDescent="0.2">
      <c r="B260" s="90"/>
      <c r="C260" s="61"/>
      <c r="D260" t="b">
        <f t="shared" si="9"/>
        <v>1</v>
      </c>
      <c r="F260" t="str">
        <f t="shared" si="10"/>
        <v>VI-000000-2025</v>
      </c>
      <c r="G260" s="13"/>
      <c r="H260" t="b">
        <f t="shared" si="11"/>
        <v>0</v>
      </c>
    </row>
    <row r="261" spans="2:8" x14ac:dyDescent="0.2">
      <c r="B261" s="90"/>
      <c r="C261" s="61"/>
      <c r="D261" t="b">
        <f t="shared" ref="D261:D324" si="12">B261=C261</f>
        <v>1</v>
      </c>
      <c r="F261" t="str">
        <f t="shared" ref="F261:F324" si="13">"VI-"&amp;TEXT(E261,"000000")&amp;"-2025"</f>
        <v>VI-000000-2025</v>
      </c>
      <c r="G261" s="13"/>
      <c r="H261" t="b">
        <f t="shared" ref="H261:H324" si="14">F261=G261</f>
        <v>0</v>
      </c>
    </row>
    <row r="262" spans="2:8" x14ac:dyDescent="0.2">
      <c r="B262" s="90"/>
      <c r="C262" s="61"/>
      <c r="D262" t="b">
        <f t="shared" si="12"/>
        <v>1</v>
      </c>
      <c r="F262" t="str">
        <f t="shared" si="13"/>
        <v>VI-000000-2025</v>
      </c>
      <c r="G262" s="13"/>
      <c r="H262" t="b">
        <f t="shared" si="14"/>
        <v>0</v>
      </c>
    </row>
    <row r="263" spans="2:8" ht="13.5" thickBot="1" x14ac:dyDescent="0.25">
      <c r="B263" s="96"/>
      <c r="C263" s="61"/>
      <c r="D263" t="b">
        <f t="shared" si="12"/>
        <v>1</v>
      </c>
      <c r="F263" t="str">
        <f t="shared" si="13"/>
        <v>VI-000000-2025</v>
      </c>
      <c r="G263" s="52"/>
      <c r="H263" t="b">
        <f t="shared" si="14"/>
        <v>0</v>
      </c>
    </row>
    <row r="264" spans="2:8" x14ac:dyDescent="0.2">
      <c r="B264" s="110"/>
      <c r="C264" s="61"/>
      <c r="D264" t="b">
        <f t="shared" si="12"/>
        <v>1</v>
      </c>
      <c r="F264" t="str">
        <f t="shared" si="13"/>
        <v>VI-000000-2025</v>
      </c>
      <c r="G264" s="46"/>
      <c r="H264" t="b">
        <f t="shared" si="14"/>
        <v>0</v>
      </c>
    </row>
    <row r="265" spans="2:8" x14ac:dyDescent="0.2">
      <c r="B265" s="90"/>
      <c r="C265" s="61"/>
      <c r="D265" t="b">
        <f t="shared" si="12"/>
        <v>1</v>
      </c>
      <c r="F265" t="str">
        <f t="shared" si="13"/>
        <v>VI-000000-2025</v>
      </c>
      <c r="G265" s="13"/>
      <c r="H265" t="b">
        <f t="shared" si="14"/>
        <v>0</v>
      </c>
    </row>
    <row r="266" spans="2:8" x14ac:dyDescent="0.2">
      <c r="B266" s="90"/>
      <c r="C266" s="61"/>
      <c r="D266" t="b">
        <f t="shared" si="12"/>
        <v>1</v>
      </c>
      <c r="F266" t="str">
        <f t="shared" si="13"/>
        <v>VI-000000-2025</v>
      </c>
      <c r="G266" s="13"/>
      <c r="H266" t="b">
        <f t="shared" si="14"/>
        <v>0</v>
      </c>
    </row>
    <row r="267" spans="2:8" x14ac:dyDescent="0.2">
      <c r="B267" s="90"/>
      <c r="C267" s="61"/>
      <c r="D267" t="b">
        <f t="shared" si="12"/>
        <v>1</v>
      </c>
      <c r="F267" t="str">
        <f t="shared" si="13"/>
        <v>VI-000000-2025</v>
      </c>
      <c r="G267" s="13"/>
      <c r="H267" t="b">
        <f t="shared" si="14"/>
        <v>0</v>
      </c>
    </row>
    <row r="268" spans="2:8" x14ac:dyDescent="0.2">
      <c r="B268" s="90"/>
      <c r="C268" s="61"/>
      <c r="D268" t="b">
        <f t="shared" si="12"/>
        <v>1</v>
      </c>
      <c r="F268" t="str">
        <f t="shared" si="13"/>
        <v>VI-000000-2025</v>
      </c>
      <c r="G268" s="13"/>
      <c r="H268" t="b">
        <f t="shared" si="14"/>
        <v>0</v>
      </c>
    </row>
    <row r="269" spans="2:8" x14ac:dyDescent="0.2">
      <c r="B269" s="90"/>
      <c r="C269" s="61"/>
      <c r="D269" t="b">
        <f t="shared" si="12"/>
        <v>1</v>
      </c>
      <c r="F269" t="str">
        <f t="shared" si="13"/>
        <v>VI-000000-2025</v>
      </c>
      <c r="G269" s="13"/>
      <c r="H269" t="b">
        <f t="shared" si="14"/>
        <v>0</v>
      </c>
    </row>
    <row r="270" spans="2:8" x14ac:dyDescent="0.2">
      <c r="B270" s="90"/>
      <c r="C270" s="61"/>
      <c r="D270" t="b">
        <f t="shared" si="12"/>
        <v>1</v>
      </c>
      <c r="F270" t="str">
        <f t="shared" si="13"/>
        <v>VI-000000-2025</v>
      </c>
      <c r="G270" s="13"/>
      <c r="H270" t="b">
        <f t="shared" si="14"/>
        <v>0</v>
      </c>
    </row>
    <row r="271" spans="2:8" x14ac:dyDescent="0.2">
      <c r="B271" s="90"/>
      <c r="C271" s="61"/>
      <c r="D271" t="b">
        <f t="shared" si="12"/>
        <v>1</v>
      </c>
      <c r="F271" t="str">
        <f t="shared" si="13"/>
        <v>VI-000000-2025</v>
      </c>
      <c r="G271" s="13"/>
      <c r="H271" t="b">
        <f t="shared" si="14"/>
        <v>0</v>
      </c>
    </row>
    <row r="272" spans="2:8" x14ac:dyDescent="0.2">
      <c r="B272" s="90"/>
      <c r="C272" s="61"/>
      <c r="D272" t="b">
        <f t="shared" si="12"/>
        <v>1</v>
      </c>
      <c r="F272" t="str">
        <f t="shared" si="13"/>
        <v>VI-000000-2025</v>
      </c>
      <c r="G272" s="13"/>
      <c r="H272" t="b">
        <f t="shared" si="14"/>
        <v>0</v>
      </c>
    </row>
    <row r="273" spans="2:8" x14ac:dyDescent="0.2">
      <c r="B273" s="90"/>
      <c r="C273" s="61"/>
      <c r="D273" t="b">
        <f t="shared" si="12"/>
        <v>1</v>
      </c>
      <c r="F273" t="str">
        <f t="shared" si="13"/>
        <v>VI-000000-2025</v>
      </c>
      <c r="G273" s="13"/>
      <c r="H273" t="b">
        <f t="shared" si="14"/>
        <v>0</v>
      </c>
    </row>
    <row r="274" spans="2:8" ht="13.5" thickBot="1" x14ac:dyDescent="0.25">
      <c r="B274" s="96"/>
      <c r="C274" s="61"/>
      <c r="D274" t="b">
        <f t="shared" si="12"/>
        <v>1</v>
      </c>
      <c r="F274" t="str">
        <f t="shared" si="13"/>
        <v>VI-000000-2025</v>
      </c>
      <c r="G274" s="52"/>
      <c r="H274" t="b">
        <f t="shared" si="14"/>
        <v>0</v>
      </c>
    </row>
    <row r="275" spans="2:8" x14ac:dyDescent="0.2">
      <c r="B275" s="111"/>
      <c r="C275" s="61"/>
      <c r="D275" t="b">
        <f t="shared" si="12"/>
        <v>1</v>
      </c>
      <c r="F275" t="str">
        <f t="shared" si="13"/>
        <v>VI-000000-2025</v>
      </c>
      <c r="G275" s="58"/>
      <c r="H275" t="b">
        <f t="shared" si="14"/>
        <v>0</v>
      </c>
    </row>
    <row r="276" spans="2:8" x14ac:dyDescent="0.2">
      <c r="B276" s="90"/>
      <c r="C276" s="61"/>
      <c r="D276" t="b">
        <f t="shared" si="12"/>
        <v>1</v>
      </c>
      <c r="F276" t="str">
        <f t="shared" si="13"/>
        <v>VI-000000-2025</v>
      </c>
      <c r="G276" s="13"/>
      <c r="H276" t="b">
        <f t="shared" si="14"/>
        <v>0</v>
      </c>
    </row>
    <row r="277" spans="2:8" x14ac:dyDescent="0.2">
      <c r="B277" s="90"/>
      <c r="C277" s="61"/>
      <c r="D277" t="b">
        <f t="shared" si="12"/>
        <v>1</v>
      </c>
      <c r="F277" t="str">
        <f t="shared" si="13"/>
        <v>VI-000000-2025</v>
      </c>
      <c r="G277" s="13"/>
      <c r="H277" t="b">
        <f t="shared" si="14"/>
        <v>0</v>
      </c>
    </row>
    <row r="278" spans="2:8" x14ac:dyDescent="0.2">
      <c r="B278" s="90"/>
      <c r="C278" s="61"/>
      <c r="D278" t="b">
        <f t="shared" si="12"/>
        <v>1</v>
      </c>
      <c r="F278" t="str">
        <f t="shared" si="13"/>
        <v>VI-000000-2025</v>
      </c>
      <c r="G278" s="13"/>
      <c r="H278" t="b">
        <f t="shared" si="14"/>
        <v>0</v>
      </c>
    </row>
    <row r="279" spans="2:8" x14ac:dyDescent="0.2">
      <c r="B279" s="90"/>
      <c r="C279" s="61"/>
      <c r="D279" t="b">
        <f t="shared" si="12"/>
        <v>1</v>
      </c>
      <c r="F279" t="str">
        <f t="shared" si="13"/>
        <v>VI-000000-2025</v>
      </c>
      <c r="G279" s="13"/>
      <c r="H279" t="b">
        <f t="shared" si="14"/>
        <v>0</v>
      </c>
    </row>
    <row r="280" spans="2:8" x14ac:dyDescent="0.2">
      <c r="B280" s="90"/>
      <c r="C280" s="61"/>
      <c r="D280" t="b">
        <f t="shared" si="12"/>
        <v>1</v>
      </c>
      <c r="F280" t="str">
        <f t="shared" si="13"/>
        <v>VI-000000-2025</v>
      </c>
      <c r="G280" s="13"/>
      <c r="H280" t="b">
        <f t="shared" si="14"/>
        <v>0</v>
      </c>
    </row>
    <row r="281" spans="2:8" x14ac:dyDescent="0.2">
      <c r="B281" s="90"/>
      <c r="C281" s="61"/>
      <c r="D281" t="b">
        <f t="shared" si="12"/>
        <v>1</v>
      </c>
      <c r="F281" t="str">
        <f t="shared" si="13"/>
        <v>VI-000000-2025</v>
      </c>
      <c r="G281" s="13"/>
      <c r="H281" t="b">
        <f t="shared" si="14"/>
        <v>0</v>
      </c>
    </row>
    <row r="282" spans="2:8" x14ac:dyDescent="0.2">
      <c r="B282" s="90"/>
      <c r="C282" s="61"/>
      <c r="D282" t="b">
        <f t="shared" si="12"/>
        <v>1</v>
      </c>
      <c r="F282" t="str">
        <f t="shared" si="13"/>
        <v>VI-000000-2025</v>
      </c>
      <c r="G282" s="13"/>
      <c r="H282" t="b">
        <f t="shared" si="14"/>
        <v>0</v>
      </c>
    </row>
    <row r="283" spans="2:8" ht="13.5" thickBot="1" x14ac:dyDescent="0.25">
      <c r="B283" s="90"/>
      <c r="C283" s="61"/>
      <c r="D283" t="b">
        <f t="shared" si="12"/>
        <v>1</v>
      </c>
      <c r="F283" t="str">
        <f t="shared" si="13"/>
        <v>VI-000000-2025</v>
      </c>
      <c r="G283" s="13"/>
      <c r="H283" t="b">
        <f t="shared" si="14"/>
        <v>0</v>
      </c>
    </row>
    <row r="284" spans="2:8" x14ac:dyDescent="0.2">
      <c r="B284" s="110"/>
      <c r="C284" s="61"/>
      <c r="D284" t="b">
        <f t="shared" si="12"/>
        <v>1</v>
      </c>
      <c r="F284" t="str">
        <f t="shared" si="13"/>
        <v>VI-000000-2025</v>
      </c>
      <c r="G284" s="46"/>
      <c r="H284" t="b">
        <f t="shared" si="14"/>
        <v>0</v>
      </c>
    </row>
    <row r="285" spans="2:8" x14ac:dyDescent="0.2">
      <c r="B285" s="90"/>
      <c r="C285" s="61"/>
      <c r="D285" t="b">
        <f t="shared" si="12"/>
        <v>1</v>
      </c>
      <c r="F285" t="str">
        <f t="shared" si="13"/>
        <v>VI-000000-2025</v>
      </c>
      <c r="G285" s="13"/>
      <c r="H285" t="b">
        <f t="shared" si="14"/>
        <v>0</v>
      </c>
    </row>
    <row r="286" spans="2:8" x14ac:dyDescent="0.2">
      <c r="B286" s="90"/>
      <c r="C286" s="61"/>
      <c r="D286" t="b">
        <f t="shared" si="12"/>
        <v>1</v>
      </c>
      <c r="F286" t="str">
        <f t="shared" si="13"/>
        <v>VI-000000-2025</v>
      </c>
      <c r="G286" s="13"/>
      <c r="H286" t="b">
        <f t="shared" si="14"/>
        <v>0</v>
      </c>
    </row>
    <row r="287" spans="2:8" x14ac:dyDescent="0.2">
      <c r="B287" s="90"/>
      <c r="C287" s="61"/>
      <c r="D287" t="b">
        <f t="shared" si="12"/>
        <v>1</v>
      </c>
      <c r="F287" t="str">
        <f t="shared" si="13"/>
        <v>VI-000000-2025</v>
      </c>
      <c r="G287" s="13"/>
      <c r="H287" t="b">
        <f t="shared" si="14"/>
        <v>0</v>
      </c>
    </row>
    <row r="288" spans="2:8" ht="13.5" thickBot="1" x14ac:dyDescent="0.25">
      <c r="B288" s="96"/>
      <c r="C288" s="61"/>
      <c r="D288" t="b">
        <f t="shared" si="12"/>
        <v>1</v>
      </c>
      <c r="F288" t="str">
        <f t="shared" si="13"/>
        <v>VI-000000-2025</v>
      </c>
      <c r="G288" s="52"/>
      <c r="H288" t="b">
        <f t="shared" si="14"/>
        <v>0</v>
      </c>
    </row>
    <row r="289" spans="2:8" x14ac:dyDescent="0.2">
      <c r="B289" s="110"/>
      <c r="C289" s="61"/>
      <c r="D289" t="b">
        <f t="shared" si="12"/>
        <v>1</v>
      </c>
      <c r="F289" t="str">
        <f t="shared" si="13"/>
        <v>VI-000000-2025</v>
      </c>
      <c r="G289" s="46"/>
      <c r="H289" t="b">
        <f t="shared" si="14"/>
        <v>0</v>
      </c>
    </row>
    <row r="290" spans="2:8" x14ac:dyDescent="0.2">
      <c r="B290" s="90"/>
      <c r="C290" s="61"/>
      <c r="D290" t="b">
        <f t="shared" si="12"/>
        <v>1</v>
      </c>
      <c r="F290" t="str">
        <f t="shared" si="13"/>
        <v>VI-000000-2025</v>
      </c>
      <c r="G290" s="13"/>
      <c r="H290" t="b">
        <f t="shared" si="14"/>
        <v>0</v>
      </c>
    </row>
    <row r="291" spans="2:8" x14ac:dyDescent="0.2">
      <c r="B291" s="90"/>
      <c r="C291" s="61"/>
      <c r="D291" t="b">
        <f t="shared" si="12"/>
        <v>1</v>
      </c>
      <c r="F291" t="str">
        <f t="shared" si="13"/>
        <v>VI-000000-2025</v>
      </c>
      <c r="G291" s="13"/>
      <c r="H291" t="b">
        <f t="shared" si="14"/>
        <v>0</v>
      </c>
    </row>
    <row r="292" spans="2:8" x14ac:dyDescent="0.2">
      <c r="B292" s="90"/>
      <c r="C292" s="61"/>
      <c r="D292" t="b">
        <f t="shared" si="12"/>
        <v>1</v>
      </c>
      <c r="F292" t="str">
        <f t="shared" si="13"/>
        <v>VI-000000-2025</v>
      </c>
      <c r="G292" s="13"/>
      <c r="H292" t="b">
        <f t="shared" si="14"/>
        <v>0</v>
      </c>
    </row>
    <row r="293" spans="2:8" x14ac:dyDescent="0.2">
      <c r="B293" s="90"/>
      <c r="C293" s="61"/>
      <c r="D293" t="b">
        <f t="shared" si="12"/>
        <v>1</v>
      </c>
      <c r="F293" t="str">
        <f t="shared" si="13"/>
        <v>VI-000000-2025</v>
      </c>
      <c r="G293" s="13"/>
      <c r="H293" t="b">
        <f t="shared" si="14"/>
        <v>0</v>
      </c>
    </row>
    <row r="294" spans="2:8" x14ac:dyDescent="0.2">
      <c r="B294" s="90"/>
      <c r="C294" s="61"/>
      <c r="D294" t="b">
        <f t="shared" si="12"/>
        <v>1</v>
      </c>
      <c r="F294" t="str">
        <f t="shared" si="13"/>
        <v>VI-000000-2025</v>
      </c>
      <c r="G294" s="13"/>
      <c r="H294" t="b">
        <f t="shared" si="14"/>
        <v>0</v>
      </c>
    </row>
    <row r="295" spans="2:8" x14ac:dyDescent="0.2">
      <c r="B295" s="90"/>
      <c r="C295" s="61"/>
      <c r="D295" t="b">
        <f t="shared" si="12"/>
        <v>1</v>
      </c>
      <c r="F295" t="str">
        <f t="shared" si="13"/>
        <v>VI-000000-2025</v>
      </c>
      <c r="G295" s="13"/>
      <c r="H295" t="b">
        <f t="shared" si="14"/>
        <v>0</v>
      </c>
    </row>
    <row r="296" spans="2:8" x14ac:dyDescent="0.2">
      <c r="B296" s="90"/>
      <c r="C296" s="61"/>
      <c r="D296" t="b">
        <f t="shared" si="12"/>
        <v>1</v>
      </c>
      <c r="F296" t="str">
        <f t="shared" si="13"/>
        <v>VI-000000-2025</v>
      </c>
      <c r="G296" s="13"/>
      <c r="H296" t="b">
        <f t="shared" si="14"/>
        <v>0</v>
      </c>
    </row>
    <row r="297" spans="2:8" x14ac:dyDescent="0.2">
      <c r="B297" s="90"/>
      <c r="C297" s="61"/>
      <c r="D297" t="b">
        <f t="shared" si="12"/>
        <v>1</v>
      </c>
      <c r="F297" t="str">
        <f t="shared" si="13"/>
        <v>VI-000000-2025</v>
      </c>
      <c r="G297" s="13"/>
      <c r="H297" t="b">
        <f t="shared" si="14"/>
        <v>0</v>
      </c>
    </row>
    <row r="298" spans="2:8" x14ac:dyDescent="0.2">
      <c r="B298" s="90"/>
      <c r="C298" s="61"/>
      <c r="D298" t="b">
        <f t="shared" si="12"/>
        <v>1</v>
      </c>
      <c r="F298" t="str">
        <f t="shared" si="13"/>
        <v>VI-000000-2025</v>
      </c>
      <c r="G298" s="13"/>
      <c r="H298" t="b">
        <f t="shared" si="14"/>
        <v>0</v>
      </c>
    </row>
    <row r="299" spans="2:8" x14ac:dyDescent="0.2">
      <c r="B299" s="90"/>
      <c r="C299" s="61"/>
      <c r="D299" t="b">
        <f t="shared" si="12"/>
        <v>1</v>
      </c>
      <c r="F299" t="str">
        <f t="shared" si="13"/>
        <v>VI-000000-2025</v>
      </c>
      <c r="G299" s="13"/>
      <c r="H299" t="b">
        <f t="shared" si="14"/>
        <v>0</v>
      </c>
    </row>
    <row r="300" spans="2:8" x14ac:dyDescent="0.2">
      <c r="B300" s="90"/>
      <c r="C300" s="61"/>
      <c r="D300" t="b">
        <f t="shared" si="12"/>
        <v>1</v>
      </c>
      <c r="F300" t="str">
        <f t="shared" si="13"/>
        <v>VI-000000-2025</v>
      </c>
      <c r="G300" s="13"/>
      <c r="H300" t="b">
        <f t="shared" si="14"/>
        <v>0</v>
      </c>
    </row>
    <row r="301" spans="2:8" x14ac:dyDescent="0.2">
      <c r="B301" s="90"/>
      <c r="C301" s="61"/>
      <c r="D301" t="b">
        <f t="shared" si="12"/>
        <v>1</v>
      </c>
      <c r="F301" t="str">
        <f t="shared" si="13"/>
        <v>VI-000000-2025</v>
      </c>
      <c r="G301" s="13"/>
      <c r="H301" t="b">
        <f t="shared" si="14"/>
        <v>0</v>
      </c>
    </row>
    <row r="302" spans="2:8" x14ac:dyDescent="0.2">
      <c r="B302" s="90"/>
      <c r="C302" s="61"/>
      <c r="D302" t="b">
        <f t="shared" si="12"/>
        <v>1</v>
      </c>
      <c r="F302" t="str">
        <f t="shared" si="13"/>
        <v>VI-000000-2025</v>
      </c>
      <c r="G302" s="13"/>
      <c r="H302" t="b">
        <f t="shared" si="14"/>
        <v>0</v>
      </c>
    </row>
    <row r="303" spans="2:8" ht="13.5" thickBot="1" x14ac:dyDescent="0.25">
      <c r="B303" s="96"/>
      <c r="C303" s="61"/>
      <c r="D303" t="b">
        <f t="shared" si="12"/>
        <v>1</v>
      </c>
      <c r="F303" t="str">
        <f t="shared" si="13"/>
        <v>VI-000000-2025</v>
      </c>
      <c r="G303" s="52"/>
      <c r="H303" t="b">
        <f t="shared" si="14"/>
        <v>0</v>
      </c>
    </row>
    <row r="304" spans="2:8" x14ac:dyDescent="0.2">
      <c r="B304" s="110"/>
      <c r="C304" s="61"/>
      <c r="D304" t="b">
        <f t="shared" si="12"/>
        <v>1</v>
      </c>
      <c r="F304" t="str">
        <f t="shared" si="13"/>
        <v>VI-000000-2025</v>
      </c>
      <c r="G304" s="46"/>
      <c r="H304" t="b">
        <f t="shared" si="14"/>
        <v>0</v>
      </c>
    </row>
    <row r="305" spans="2:8" x14ac:dyDescent="0.2">
      <c r="B305" s="90"/>
      <c r="C305" s="61"/>
      <c r="D305" t="b">
        <f t="shared" si="12"/>
        <v>1</v>
      </c>
      <c r="F305" t="str">
        <f t="shared" si="13"/>
        <v>VI-000000-2025</v>
      </c>
      <c r="G305" s="13"/>
      <c r="H305" t="b">
        <f t="shared" si="14"/>
        <v>0</v>
      </c>
    </row>
    <row r="306" spans="2:8" x14ac:dyDescent="0.2">
      <c r="B306" s="90"/>
      <c r="C306" s="61"/>
      <c r="D306" t="b">
        <f t="shared" si="12"/>
        <v>1</v>
      </c>
      <c r="F306" t="str">
        <f t="shared" si="13"/>
        <v>VI-000000-2025</v>
      </c>
      <c r="G306" s="13"/>
      <c r="H306" t="b">
        <f t="shared" si="14"/>
        <v>0</v>
      </c>
    </row>
    <row r="307" spans="2:8" x14ac:dyDescent="0.2">
      <c r="B307" s="90"/>
      <c r="C307" s="61"/>
      <c r="D307" t="b">
        <f t="shared" si="12"/>
        <v>1</v>
      </c>
      <c r="F307" t="str">
        <f t="shared" si="13"/>
        <v>VI-000000-2025</v>
      </c>
      <c r="G307" s="13"/>
      <c r="H307" t="b">
        <f t="shared" si="14"/>
        <v>0</v>
      </c>
    </row>
    <row r="308" spans="2:8" x14ac:dyDescent="0.2">
      <c r="B308" s="90"/>
      <c r="C308" s="61"/>
      <c r="D308" t="b">
        <f t="shared" si="12"/>
        <v>1</v>
      </c>
      <c r="F308" t="str">
        <f t="shared" si="13"/>
        <v>VI-000000-2025</v>
      </c>
      <c r="G308" s="13"/>
      <c r="H308" t="b">
        <f t="shared" si="14"/>
        <v>0</v>
      </c>
    </row>
    <row r="309" spans="2:8" x14ac:dyDescent="0.2">
      <c r="B309" s="90"/>
      <c r="C309" s="61"/>
      <c r="D309" t="b">
        <f t="shared" si="12"/>
        <v>1</v>
      </c>
      <c r="F309" t="str">
        <f t="shared" si="13"/>
        <v>VI-000000-2025</v>
      </c>
      <c r="G309" s="13"/>
      <c r="H309" t="b">
        <f t="shared" si="14"/>
        <v>0</v>
      </c>
    </row>
    <row r="310" spans="2:8" x14ac:dyDescent="0.2">
      <c r="B310" s="90"/>
      <c r="C310" s="61"/>
      <c r="D310" t="b">
        <f t="shared" si="12"/>
        <v>1</v>
      </c>
      <c r="F310" t="str">
        <f t="shared" si="13"/>
        <v>VI-000000-2025</v>
      </c>
      <c r="G310" s="13"/>
      <c r="H310" t="b">
        <f t="shared" si="14"/>
        <v>0</v>
      </c>
    </row>
    <row r="311" spans="2:8" x14ac:dyDescent="0.2">
      <c r="B311" s="90"/>
      <c r="C311" s="61"/>
      <c r="D311" t="b">
        <f t="shared" si="12"/>
        <v>1</v>
      </c>
      <c r="F311" t="str">
        <f t="shared" si="13"/>
        <v>VI-000000-2025</v>
      </c>
      <c r="G311" s="13"/>
      <c r="H311" t="b">
        <f t="shared" si="14"/>
        <v>0</v>
      </c>
    </row>
    <row r="312" spans="2:8" x14ac:dyDescent="0.2">
      <c r="B312" s="90"/>
      <c r="C312" s="61"/>
      <c r="D312" t="b">
        <f t="shared" si="12"/>
        <v>1</v>
      </c>
      <c r="F312" t="str">
        <f t="shared" si="13"/>
        <v>VI-000000-2025</v>
      </c>
      <c r="G312" s="13"/>
      <c r="H312" t="b">
        <f t="shared" si="14"/>
        <v>0</v>
      </c>
    </row>
    <row r="313" spans="2:8" x14ac:dyDescent="0.2">
      <c r="B313" s="90"/>
      <c r="C313" s="61"/>
      <c r="D313" t="b">
        <f t="shared" si="12"/>
        <v>1</v>
      </c>
      <c r="F313" t="str">
        <f t="shared" si="13"/>
        <v>VI-000000-2025</v>
      </c>
      <c r="G313" s="13"/>
      <c r="H313" t="b">
        <f t="shared" si="14"/>
        <v>0</v>
      </c>
    </row>
    <row r="314" spans="2:8" x14ac:dyDescent="0.2">
      <c r="B314" s="90"/>
      <c r="C314" s="61"/>
      <c r="D314" t="b">
        <f t="shared" si="12"/>
        <v>1</v>
      </c>
      <c r="F314" t="str">
        <f t="shared" si="13"/>
        <v>VI-000000-2025</v>
      </c>
      <c r="G314" s="13"/>
      <c r="H314" t="b">
        <f t="shared" si="14"/>
        <v>0</v>
      </c>
    </row>
    <row r="315" spans="2:8" x14ac:dyDescent="0.2">
      <c r="B315" s="90"/>
      <c r="C315" s="61"/>
      <c r="D315" t="b">
        <f t="shared" si="12"/>
        <v>1</v>
      </c>
      <c r="F315" t="str">
        <f t="shared" si="13"/>
        <v>VI-000000-2025</v>
      </c>
      <c r="G315" s="13"/>
      <c r="H315" t="b">
        <f t="shared" si="14"/>
        <v>0</v>
      </c>
    </row>
    <row r="316" spans="2:8" x14ac:dyDescent="0.2">
      <c r="B316" s="90"/>
      <c r="C316" s="61"/>
      <c r="D316" t="b">
        <f t="shared" si="12"/>
        <v>1</v>
      </c>
      <c r="F316" t="str">
        <f t="shared" si="13"/>
        <v>VI-000000-2025</v>
      </c>
      <c r="G316" s="13"/>
      <c r="H316" t="b">
        <f t="shared" si="14"/>
        <v>0</v>
      </c>
    </row>
    <row r="317" spans="2:8" x14ac:dyDescent="0.2">
      <c r="B317" s="90"/>
      <c r="C317" s="61"/>
      <c r="D317" t="b">
        <f t="shared" si="12"/>
        <v>1</v>
      </c>
      <c r="F317" t="str">
        <f t="shared" si="13"/>
        <v>VI-000000-2025</v>
      </c>
      <c r="G317" s="13"/>
      <c r="H317" t="b">
        <f t="shared" si="14"/>
        <v>0</v>
      </c>
    </row>
    <row r="318" spans="2:8" ht="13.5" thickBot="1" x14ac:dyDescent="0.25">
      <c r="B318" s="96"/>
      <c r="C318" s="61"/>
      <c r="D318" t="b">
        <f t="shared" si="12"/>
        <v>1</v>
      </c>
      <c r="F318" t="str">
        <f t="shared" si="13"/>
        <v>VI-000000-2025</v>
      </c>
      <c r="G318" s="52"/>
      <c r="H318" t="b">
        <f t="shared" si="14"/>
        <v>0</v>
      </c>
    </row>
    <row r="319" spans="2:8" x14ac:dyDescent="0.2">
      <c r="B319" s="110"/>
      <c r="C319" s="61"/>
      <c r="D319" t="b">
        <f t="shared" si="12"/>
        <v>1</v>
      </c>
      <c r="F319" t="str">
        <f t="shared" si="13"/>
        <v>VI-000000-2025</v>
      </c>
      <c r="G319" s="46"/>
      <c r="H319" t="b">
        <f t="shared" si="14"/>
        <v>0</v>
      </c>
    </row>
    <row r="320" spans="2:8" x14ac:dyDescent="0.2">
      <c r="B320" s="90"/>
      <c r="C320" s="61"/>
      <c r="D320" t="b">
        <f t="shared" si="12"/>
        <v>1</v>
      </c>
      <c r="F320" t="str">
        <f t="shared" si="13"/>
        <v>VI-000000-2025</v>
      </c>
      <c r="G320" s="13"/>
      <c r="H320" t="b">
        <f t="shared" si="14"/>
        <v>0</v>
      </c>
    </row>
    <row r="321" spans="2:8" x14ac:dyDescent="0.2">
      <c r="B321" s="90"/>
      <c r="C321" s="61"/>
      <c r="D321" t="b">
        <f t="shared" si="12"/>
        <v>1</v>
      </c>
      <c r="F321" t="str">
        <f t="shared" si="13"/>
        <v>VI-000000-2025</v>
      </c>
      <c r="G321" s="13"/>
      <c r="H321" t="b">
        <f t="shared" si="14"/>
        <v>0</v>
      </c>
    </row>
    <row r="322" spans="2:8" x14ac:dyDescent="0.2">
      <c r="B322" s="90"/>
      <c r="C322" s="61"/>
      <c r="D322" t="b">
        <f t="shared" si="12"/>
        <v>1</v>
      </c>
      <c r="F322" t="str">
        <f t="shared" si="13"/>
        <v>VI-000000-2025</v>
      </c>
      <c r="G322" s="13"/>
      <c r="H322" t="b">
        <f t="shared" si="14"/>
        <v>0</v>
      </c>
    </row>
    <row r="323" spans="2:8" x14ac:dyDescent="0.2">
      <c r="B323" s="90"/>
      <c r="C323" s="61"/>
      <c r="D323" t="b">
        <f t="shared" si="12"/>
        <v>1</v>
      </c>
      <c r="F323" t="str">
        <f t="shared" si="13"/>
        <v>VI-000000-2025</v>
      </c>
      <c r="G323" s="13"/>
      <c r="H323" t="b">
        <f t="shared" si="14"/>
        <v>0</v>
      </c>
    </row>
    <row r="324" spans="2:8" x14ac:dyDescent="0.2">
      <c r="B324" s="90"/>
      <c r="C324" s="61"/>
      <c r="D324" t="b">
        <f t="shared" si="12"/>
        <v>1</v>
      </c>
      <c r="F324" t="str">
        <f t="shared" si="13"/>
        <v>VI-000000-2025</v>
      </c>
      <c r="G324" s="13"/>
      <c r="H324" t="b">
        <f t="shared" si="14"/>
        <v>0</v>
      </c>
    </row>
    <row r="325" spans="2:8" x14ac:dyDescent="0.2">
      <c r="B325" s="90"/>
      <c r="C325" s="61"/>
      <c r="D325" t="b">
        <f t="shared" ref="D325:D388" si="15">B325=C325</f>
        <v>1</v>
      </c>
      <c r="F325" t="str">
        <f t="shared" ref="F325:F388" si="16">"VI-"&amp;TEXT(E325,"000000")&amp;"-2025"</f>
        <v>VI-000000-2025</v>
      </c>
      <c r="G325" s="13"/>
      <c r="H325" t="b">
        <f t="shared" ref="H325:H388" si="17">F325=G325</f>
        <v>0</v>
      </c>
    </row>
    <row r="326" spans="2:8" x14ac:dyDescent="0.2">
      <c r="B326" s="90"/>
      <c r="C326" s="61"/>
      <c r="D326" t="b">
        <f t="shared" si="15"/>
        <v>1</v>
      </c>
      <c r="F326" t="str">
        <f t="shared" si="16"/>
        <v>VI-000000-2025</v>
      </c>
      <c r="G326" s="13"/>
      <c r="H326" t="b">
        <f t="shared" si="17"/>
        <v>0</v>
      </c>
    </row>
    <row r="327" spans="2:8" x14ac:dyDescent="0.2">
      <c r="B327" s="90"/>
      <c r="C327" s="61"/>
      <c r="D327" t="b">
        <f t="shared" si="15"/>
        <v>1</v>
      </c>
      <c r="F327" t="str">
        <f t="shared" si="16"/>
        <v>VI-000000-2025</v>
      </c>
      <c r="G327" s="13"/>
      <c r="H327" t="b">
        <f t="shared" si="17"/>
        <v>0</v>
      </c>
    </row>
    <row r="328" spans="2:8" x14ac:dyDescent="0.2">
      <c r="B328" s="90"/>
      <c r="C328" s="61"/>
      <c r="D328" t="b">
        <f t="shared" si="15"/>
        <v>1</v>
      </c>
      <c r="F328" t="str">
        <f t="shared" si="16"/>
        <v>VI-000000-2025</v>
      </c>
      <c r="G328" s="13"/>
      <c r="H328" t="b">
        <f t="shared" si="17"/>
        <v>0</v>
      </c>
    </row>
    <row r="329" spans="2:8" x14ac:dyDescent="0.2">
      <c r="B329" s="90"/>
      <c r="C329" s="61"/>
      <c r="D329" t="b">
        <f t="shared" si="15"/>
        <v>1</v>
      </c>
      <c r="F329" t="str">
        <f t="shared" si="16"/>
        <v>VI-000000-2025</v>
      </c>
      <c r="G329" s="13"/>
      <c r="H329" t="b">
        <f t="shared" si="17"/>
        <v>0</v>
      </c>
    </row>
    <row r="330" spans="2:8" x14ac:dyDescent="0.2">
      <c r="B330" s="90"/>
      <c r="C330" s="61"/>
      <c r="D330" t="b">
        <f t="shared" si="15"/>
        <v>1</v>
      </c>
      <c r="F330" t="str">
        <f t="shared" si="16"/>
        <v>VI-000000-2025</v>
      </c>
      <c r="G330" s="13"/>
      <c r="H330" t="b">
        <f t="shared" si="17"/>
        <v>0</v>
      </c>
    </row>
    <row r="331" spans="2:8" x14ac:dyDescent="0.2">
      <c r="B331" s="90"/>
      <c r="C331" s="61"/>
      <c r="D331" t="b">
        <f t="shared" si="15"/>
        <v>1</v>
      </c>
      <c r="F331" t="str">
        <f t="shared" si="16"/>
        <v>VI-000000-2025</v>
      </c>
      <c r="G331" s="13"/>
      <c r="H331" t="b">
        <f t="shared" si="17"/>
        <v>0</v>
      </c>
    </row>
    <row r="332" spans="2:8" x14ac:dyDescent="0.2">
      <c r="B332" s="90"/>
      <c r="C332" s="61"/>
      <c r="D332" t="b">
        <f t="shared" si="15"/>
        <v>1</v>
      </c>
      <c r="F332" t="str">
        <f t="shared" si="16"/>
        <v>VI-000000-2025</v>
      </c>
      <c r="G332" s="13"/>
      <c r="H332" t="b">
        <f t="shared" si="17"/>
        <v>0</v>
      </c>
    </row>
    <row r="333" spans="2:8" ht="13.5" thickBot="1" x14ac:dyDescent="0.25">
      <c r="B333" s="96"/>
      <c r="C333" s="61"/>
      <c r="D333" t="b">
        <f t="shared" si="15"/>
        <v>1</v>
      </c>
      <c r="F333" t="str">
        <f t="shared" si="16"/>
        <v>VI-000000-2025</v>
      </c>
      <c r="G333" s="52"/>
      <c r="H333" t="b">
        <f t="shared" si="17"/>
        <v>0</v>
      </c>
    </row>
    <row r="334" spans="2:8" x14ac:dyDescent="0.2">
      <c r="B334" s="110"/>
      <c r="C334" s="61"/>
      <c r="D334" t="b">
        <f t="shared" si="15"/>
        <v>1</v>
      </c>
      <c r="F334" t="str">
        <f t="shared" si="16"/>
        <v>VI-000000-2025</v>
      </c>
      <c r="G334" s="46"/>
      <c r="H334" t="b">
        <f t="shared" si="17"/>
        <v>0</v>
      </c>
    </row>
    <row r="335" spans="2:8" x14ac:dyDescent="0.2">
      <c r="B335" s="90"/>
      <c r="C335" s="61"/>
      <c r="D335" t="b">
        <f t="shared" si="15"/>
        <v>1</v>
      </c>
      <c r="F335" t="str">
        <f t="shared" si="16"/>
        <v>VI-000000-2025</v>
      </c>
      <c r="G335" s="13"/>
      <c r="H335" t="b">
        <f t="shared" si="17"/>
        <v>0</v>
      </c>
    </row>
    <row r="336" spans="2:8" x14ac:dyDescent="0.2">
      <c r="B336" s="90"/>
      <c r="C336" s="61"/>
      <c r="D336" t="b">
        <f t="shared" si="15"/>
        <v>1</v>
      </c>
      <c r="F336" t="str">
        <f t="shared" si="16"/>
        <v>VI-000000-2025</v>
      </c>
      <c r="G336" s="13"/>
      <c r="H336" t="b">
        <f t="shared" si="17"/>
        <v>0</v>
      </c>
    </row>
    <row r="337" spans="2:8" x14ac:dyDescent="0.2">
      <c r="B337" s="112"/>
      <c r="C337" s="61"/>
      <c r="D337" t="b">
        <f t="shared" si="15"/>
        <v>1</v>
      </c>
      <c r="F337" t="str">
        <f t="shared" si="16"/>
        <v>VI-000000-2025</v>
      </c>
      <c r="G337" s="56"/>
      <c r="H337" t="b">
        <f t="shared" si="17"/>
        <v>0</v>
      </c>
    </row>
    <row r="338" spans="2:8" x14ac:dyDescent="0.2">
      <c r="B338" s="90"/>
      <c r="C338" s="61"/>
      <c r="D338" t="b">
        <f t="shared" si="15"/>
        <v>1</v>
      </c>
      <c r="F338" t="str">
        <f t="shared" si="16"/>
        <v>VI-000000-2025</v>
      </c>
      <c r="G338" s="13"/>
      <c r="H338" t="b">
        <f t="shared" si="17"/>
        <v>0</v>
      </c>
    </row>
    <row r="339" spans="2:8" x14ac:dyDescent="0.2">
      <c r="B339" s="111"/>
      <c r="C339" s="61"/>
      <c r="D339" t="b">
        <f t="shared" si="15"/>
        <v>1</v>
      </c>
      <c r="F339" t="str">
        <f t="shared" si="16"/>
        <v>VI-000000-2025</v>
      </c>
      <c r="G339" s="58"/>
      <c r="H339" t="b">
        <f t="shared" si="17"/>
        <v>0</v>
      </c>
    </row>
    <row r="340" spans="2:8" x14ac:dyDescent="0.2">
      <c r="B340" s="90"/>
      <c r="C340" s="61"/>
      <c r="D340" t="b">
        <f t="shared" si="15"/>
        <v>1</v>
      </c>
      <c r="F340" t="str">
        <f t="shared" si="16"/>
        <v>VI-000000-2025</v>
      </c>
      <c r="G340" s="13"/>
      <c r="H340" t="b">
        <f t="shared" si="17"/>
        <v>0</v>
      </c>
    </row>
    <row r="341" spans="2:8" x14ac:dyDescent="0.2">
      <c r="B341" s="90"/>
      <c r="C341" s="61"/>
      <c r="D341" t="b">
        <f t="shared" si="15"/>
        <v>1</v>
      </c>
      <c r="F341" t="str">
        <f t="shared" si="16"/>
        <v>VI-000000-2025</v>
      </c>
      <c r="G341" s="13"/>
      <c r="H341" t="b">
        <f t="shared" si="17"/>
        <v>0</v>
      </c>
    </row>
    <row r="342" spans="2:8" x14ac:dyDescent="0.2">
      <c r="B342" s="90"/>
      <c r="C342" s="61"/>
      <c r="D342" t="b">
        <f t="shared" si="15"/>
        <v>1</v>
      </c>
      <c r="F342" t="str">
        <f t="shared" si="16"/>
        <v>VI-000000-2025</v>
      </c>
      <c r="G342" s="13"/>
      <c r="H342" t="b">
        <f t="shared" si="17"/>
        <v>0</v>
      </c>
    </row>
    <row r="343" spans="2:8" x14ac:dyDescent="0.2">
      <c r="B343" s="90"/>
      <c r="C343" s="61"/>
      <c r="D343" t="b">
        <f t="shared" si="15"/>
        <v>1</v>
      </c>
      <c r="F343" t="str">
        <f t="shared" si="16"/>
        <v>VI-000000-2025</v>
      </c>
      <c r="G343" s="13"/>
      <c r="H343" t="b">
        <f t="shared" si="17"/>
        <v>0</v>
      </c>
    </row>
    <row r="344" spans="2:8" x14ac:dyDescent="0.2">
      <c r="B344" s="90"/>
      <c r="C344" s="61"/>
      <c r="D344" t="b">
        <f t="shared" si="15"/>
        <v>1</v>
      </c>
      <c r="F344" t="str">
        <f t="shared" si="16"/>
        <v>VI-000000-2025</v>
      </c>
      <c r="G344" s="13"/>
      <c r="H344" t="b">
        <f t="shared" si="17"/>
        <v>0</v>
      </c>
    </row>
    <row r="345" spans="2:8" x14ac:dyDescent="0.2">
      <c r="B345" s="90"/>
      <c r="C345" s="61"/>
      <c r="D345" t="b">
        <f t="shared" si="15"/>
        <v>1</v>
      </c>
      <c r="F345" t="str">
        <f t="shared" si="16"/>
        <v>VI-000000-2025</v>
      </c>
      <c r="G345" s="13"/>
      <c r="H345" t="b">
        <f t="shared" si="17"/>
        <v>0</v>
      </c>
    </row>
    <row r="346" spans="2:8" x14ac:dyDescent="0.2">
      <c r="B346" s="90"/>
      <c r="C346" s="61"/>
      <c r="D346" t="b">
        <f t="shared" si="15"/>
        <v>1</v>
      </c>
      <c r="F346" t="str">
        <f t="shared" si="16"/>
        <v>VI-000000-2025</v>
      </c>
      <c r="G346" s="13"/>
      <c r="H346" t="b">
        <f t="shared" si="17"/>
        <v>0</v>
      </c>
    </row>
    <row r="347" spans="2:8" x14ac:dyDescent="0.2">
      <c r="B347" s="90"/>
      <c r="C347" s="61"/>
      <c r="D347" t="b">
        <f t="shared" si="15"/>
        <v>1</v>
      </c>
      <c r="F347" t="str">
        <f t="shared" si="16"/>
        <v>VI-000000-2025</v>
      </c>
      <c r="G347" s="13"/>
      <c r="H347" t="b">
        <f t="shared" si="17"/>
        <v>0</v>
      </c>
    </row>
    <row r="348" spans="2:8" ht="13.5" thickBot="1" x14ac:dyDescent="0.25">
      <c r="B348" s="96"/>
      <c r="C348" s="61"/>
      <c r="D348" t="b">
        <f t="shared" si="15"/>
        <v>1</v>
      </c>
      <c r="F348" t="str">
        <f t="shared" si="16"/>
        <v>VI-000000-2025</v>
      </c>
      <c r="G348" s="52"/>
      <c r="H348" t="b">
        <f t="shared" si="17"/>
        <v>0</v>
      </c>
    </row>
    <row r="349" spans="2:8" x14ac:dyDescent="0.2">
      <c r="B349" s="110"/>
      <c r="C349" s="61"/>
      <c r="D349" t="b">
        <f t="shared" si="15"/>
        <v>1</v>
      </c>
      <c r="F349" t="str">
        <f t="shared" si="16"/>
        <v>VI-000000-2025</v>
      </c>
      <c r="G349" s="46"/>
      <c r="H349" t="b">
        <f t="shared" si="17"/>
        <v>0</v>
      </c>
    </row>
    <row r="350" spans="2:8" x14ac:dyDescent="0.2">
      <c r="B350" s="90"/>
      <c r="C350" s="61"/>
      <c r="D350" t="b">
        <f t="shared" si="15"/>
        <v>1</v>
      </c>
      <c r="F350" t="str">
        <f t="shared" si="16"/>
        <v>VI-000000-2025</v>
      </c>
      <c r="G350" s="13"/>
      <c r="H350" t="b">
        <f t="shared" si="17"/>
        <v>0</v>
      </c>
    </row>
    <row r="351" spans="2:8" x14ac:dyDescent="0.2">
      <c r="B351" s="90"/>
      <c r="C351" s="61"/>
      <c r="D351" t="b">
        <f t="shared" si="15"/>
        <v>1</v>
      </c>
      <c r="F351" t="str">
        <f t="shared" si="16"/>
        <v>VI-000000-2025</v>
      </c>
      <c r="G351" s="13"/>
      <c r="H351" t="b">
        <f t="shared" si="17"/>
        <v>0</v>
      </c>
    </row>
    <row r="352" spans="2:8" x14ac:dyDescent="0.2">
      <c r="B352" s="90"/>
      <c r="C352" s="61"/>
      <c r="D352" t="b">
        <f t="shared" si="15"/>
        <v>1</v>
      </c>
      <c r="F352" t="str">
        <f t="shared" si="16"/>
        <v>VI-000000-2025</v>
      </c>
      <c r="G352" s="13"/>
      <c r="H352" t="b">
        <f t="shared" si="17"/>
        <v>0</v>
      </c>
    </row>
    <row r="353" spans="2:8" x14ac:dyDescent="0.2">
      <c r="B353" s="90"/>
      <c r="C353" s="61"/>
      <c r="D353" t="b">
        <f t="shared" si="15"/>
        <v>1</v>
      </c>
      <c r="F353" t="str">
        <f t="shared" si="16"/>
        <v>VI-000000-2025</v>
      </c>
      <c r="G353" s="13"/>
      <c r="H353" t="b">
        <f t="shared" si="17"/>
        <v>0</v>
      </c>
    </row>
    <row r="354" spans="2:8" x14ac:dyDescent="0.2">
      <c r="B354" s="90"/>
      <c r="C354" s="61"/>
      <c r="D354" t="b">
        <f t="shared" si="15"/>
        <v>1</v>
      </c>
      <c r="F354" t="str">
        <f t="shared" si="16"/>
        <v>VI-000000-2025</v>
      </c>
      <c r="G354" s="13"/>
      <c r="H354" t="b">
        <f t="shared" si="17"/>
        <v>0</v>
      </c>
    </row>
    <row r="355" spans="2:8" x14ac:dyDescent="0.2">
      <c r="B355" s="90"/>
      <c r="C355" s="61"/>
      <c r="D355" t="b">
        <f t="shared" si="15"/>
        <v>1</v>
      </c>
      <c r="F355" t="str">
        <f t="shared" si="16"/>
        <v>VI-000000-2025</v>
      </c>
      <c r="G355" s="13"/>
      <c r="H355" t="b">
        <f t="shared" si="17"/>
        <v>0</v>
      </c>
    </row>
    <row r="356" spans="2:8" x14ac:dyDescent="0.2">
      <c r="B356" s="90"/>
      <c r="C356" s="61"/>
      <c r="D356" t="b">
        <f t="shared" si="15"/>
        <v>1</v>
      </c>
      <c r="F356" t="str">
        <f t="shared" si="16"/>
        <v>VI-000000-2025</v>
      </c>
      <c r="G356" s="13"/>
      <c r="H356" t="b">
        <f t="shared" si="17"/>
        <v>0</v>
      </c>
    </row>
    <row r="357" spans="2:8" x14ac:dyDescent="0.2">
      <c r="B357" s="90"/>
      <c r="C357" s="61"/>
      <c r="D357" t="b">
        <f t="shared" si="15"/>
        <v>1</v>
      </c>
      <c r="F357" t="str">
        <f t="shared" si="16"/>
        <v>VI-000000-2025</v>
      </c>
      <c r="G357" s="13"/>
      <c r="H357" t="b">
        <f t="shared" si="17"/>
        <v>0</v>
      </c>
    </row>
    <row r="358" spans="2:8" x14ac:dyDescent="0.2">
      <c r="B358" s="90"/>
      <c r="C358" s="61"/>
      <c r="D358" t="b">
        <f t="shared" si="15"/>
        <v>1</v>
      </c>
      <c r="F358" t="str">
        <f t="shared" si="16"/>
        <v>VI-000000-2025</v>
      </c>
      <c r="G358" s="13"/>
      <c r="H358" t="b">
        <f t="shared" si="17"/>
        <v>0</v>
      </c>
    </row>
    <row r="359" spans="2:8" x14ac:dyDescent="0.2">
      <c r="B359" s="90"/>
      <c r="C359" s="61"/>
      <c r="D359" t="b">
        <f t="shared" si="15"/>
        <v>1</v>
      </c>
      <c r="F359" t="str">
        <f t="shared" si="16"/>
        <v>VI-000000-2025</v>
      </c>
      <c r="G359" s="13"/>
      <c r="H359" t="b">
        <f t="shared" si="17"/>
        <v>0</v>
      </c>
    </row>
    <row r="360" spans="2:8" x14ac:dyDescent="0.2">
      <c r="B360" s="90"/>
      <c r="C360" s="61"/>
      <c r="D360" t="b">
        <f t="shared" si="15"/>
        <v>1</v>
      </c>
      <c r="F360" t="str">
        <f t="shared" si="16"/>
        <v>VI-000000-2025</v>
      </c>
      <c r="G360" s="13"/>
      <c r="H360" t="b">
        <f t="shared" si="17"/>
        <v>0</v>
      </c>
    </row>
    <row r="361" spans="2:8" x14ac:dyDescent="0.2">
      <c r="B361" s="90"/>
      <c r="C361" s="61"/>
      <c r="D361" t="b">
        <f t="shared" si="15"/>
        <v>1</v>
      </c>
      <c r="F361" t="str">
        <f t="shared" si="16"/>
        <v>VI-000000-2025</v>
      </c>
      <c r="G361" s="13"/>
      <c r="H361" t="b">
        <f t="shared" si="17"/>
        <v>0</v>
      </c>
    </row>
    <row r="362" spans="2:8" x14ac:dyDescent="0.2">
      <c r="B362" s="90"/>
      <c r="C362" s="61"/>
      <c r="D362" t="b">
        <f t="shared" si="15"/>
        <v>1</v>
      </c>
      <c r="F362" t="str">
        <f t="shared" si="16"/>
        <v>VI-000000-2025</v>
      </c>
      <c r="G362" s="13"/>
      <c r="H362" t="b">
        <f t="shared" si="17"/>
        <v>0</v>
      </c>
    </row>
    <row r="363" spans="2:8" ht="13.5" thickBot="1" x14ac:dyDescent="0.25">
      <c r="B363" s="96"/>
      <c r="C363" s="61"/>
      <c r="D363" t="b">
        <f t="shared" si="15"/>
        <v>1</v>
      </c>
      <c r="F363" t="str">
        <f t="shared" si="16"/>
        <v>VI-000000-2025</v>
      </c>
      <c r="G363" s="52"/>
      <c r="H363" t="b">
        <f t="shared" si="17"/>
        <v>0</v>
      </c>
    </row>
    <row r="364" spans="2:8" x14ac:dyDescent="0.2">
      <c r="B364" s="109"/>
      <c r="C364" s="61"/>
      <c r="D364" t="b">
        <f t="shared" si="15"/>
        <v>1</v>
      </c>
      <c r="F364" t="str">
        <f t="shared" si="16"/>
        <v>VI-000000-2025</v>
      </c>
      <c r="G364" s="13"/>
      <c r="H364" t="b">
        <f t="shared" si="17"/>
        <v>0</v>
      </c>
    </row>
    <row r="365" spans="2:8" x14ac:dyDescent="0.2">
      <c r="B365" s="90"/>
      <c r="C365" s="61"/>
      <c r="D365" t="b">
        <f t="shared" si="15"/>
        <v>1</v>
      </c>
      <c r="F365" t="str">
        <f t="shared" si="16"/>
        <v>VI-000000-2025</v>
      </c>
      <c r="G365" s="13"/>
      <c r="H365" t="b">
        <f t="shared" si="17"/>
        <v>0</v>
      </c>
    </row>
    <row r="366" spans="2:8" x14ac:dyDescent="0.2">
      <c r="B366" s="90"/>
      <c r="C366" s="61"/>
      <c r="D366" t="b">
        <f t="shared" si="15"/>
        <v>1</v>
      </c>
      <c r="F366" t="str">
        <f t="shared" si="16"/>
        <v>VI-000000-2025</v>
      </c>
      <c r="G366" s="13"/>
      <c r="H366" t="b">
        <f t="shared" si="17"/>
        <v>0</v>
      </c>
    </row>
    <row r="367" spans="2:8" x14ac:dyDescent="0.2">
      <c r="B367" s="90"/>
      <c r="C367" s="61"/>
      <c r="D367" t="b">
        <f t="shared" si="15"/>
        <v>1</v>
      </c>
      <c r="F367" t="str">
        <f t="shared" si="16"/>
        <v>VI-000000-2025</v>
      </c>
      <c r="G367" s="56"/>
      <c r="H367" t="b">
        <f t="shared" si="17"/>
        <v>0</v>
      </c>
    </row>
    <row r="368" spans="2:8" x14ac:dyDescent="0.2">
      <c r="B368" s="90"/>
      <c r="C368" s="61"/>
      <c r="D368" t="b">
        <f t="shared" si="15"/>
        <v>1</v>
      </c>
      <c r="F368" t="str">
        <f t="shared" si="16"/>
        <v>VI-000000-2025</v>
      </c>
      <c r="G368" s="13"/>
      <c r="H368" t="b">
        <f t="shared" si="17"/>
        <v>0</v>
      </c>
    </row>
    <row r="369" spans="2:8" x14ac:dyDescent="0.2">
      <c r="B369" s="90"/>
      <c r="C369" s="61"/>
      <c r="D369" t="b">
        <f t="shared" si="15"/>
        <v>1</v>
      </c>
      <c r="F369" t="str">
        <f t="shared" si="16"/>
        <v>VI-000000-2025</v>
      </c>
      <c r="G369" s="58"/>
      <c r="H369" t="b">
        <f t="shared" si="17"/>
        <v>0</v>
      </c>
    </row>
    <row r="370" spans="2:8" x14ac:dyDescent="0.2">
      <c r="B370" s="90"/>
      <c r="C370" s="61"/>
      <c r="D370" t="b">
        <f t="shared" si="15"/>
        <v>1</v>
      </c>
      <c r="F370" t="str">
        <f t="shared" si="16"/>
        <v>VI-000000-2025</v>
      </c>
      <c r="G370" s="13"/>
      <c r="H370" t="b">
        <f t="shared" si="17"/>
        <v>0</v>
      </c>
    </row>
    <row r="371" spans="2:8" ht="13.5" thickBot="1" x14ac:dyDescent="0.25">
      <c r="B371" s="96"/>
      <c r="C371" s="61"/>
      <c r="D371" t="b">
        <f t="shared" si="15"/>
        <v>1</v>
      </c>
      <c r="F371" t="str">
        <f t="shared" si="16"/>
        <v>VI-000000-2025</v>
      </c>
      <c r="G371" s="52"/>
      <c r="H371" t="b">
        <f t="shared" si="17"/>
        <v>0</v>
      </c>
    </row>
    <row r="372" spans="2:8" x14ac:dyDescent="0.2">
      <c r="B372" s="110"/>
      <c r="C372" s="61"/>
      <c r="D372" t="b">
        <f t="shared" si="15"/>
        <v>1</v>
      </c>
      <c r="F372" t="str">
        <f t="shared" si="16"/>
        <v>VI-000000-2025</v>
      </c>
      <c r="G372" s="46"/>
      <c r="H372" t="b">
        <f t="shared" si="17"/>
        <v>0</v>
      </c>
    </row>
    <row r="373" spans="2:8" x14ac:dyDescent="0.2">
      <c r="B373" s="90"/>
      <c r="C373" s="61"/>
      <c r="D373" t="b">
        <f t="shared" si="15"/>
        <v>1</v>
      </c>
      <c r="F373" t="str">
        <f t="shared" si="16"/>
        <v>VI-000000-2025</v>
      </c>
      <c r="G373" s="13"/>
      <c r="H373" t="b">
        <f t="shared" si="17"/>
        <v>0</v>
      </c>
    </row>
    <row r="374" spans="2:8" x14ac:dyDescent="0.2">
      <c r="B374" s="90"/>
      <c r="C374" s="61"/>
      <c r="D374" t="b">
        <f t="shared" si="15"/>
        <v>1</v>
      </c>
      <c r="F374" t="str">
        <f t="shared" si="16"/>
        <v>VI-000000-2025</v>
      </c>
      <c r="G374" s="13"/>
      <c r="H374" t="b">
        <f t="shared" si="17"/>
        <v>0</v>
      </c>
    </row>
    <row r="375" spans="2:8" x14ac:dyDescent="0.2">
      <c r="B375" s="90"/>
      <c r="C375" s="61"/>
      <c r="D375" t="b">
        <f t="shared" si="15"/>
        <v>1</v>
      </c>
      <c r="F375" t="str">
        <f t="shared" si="16"/>
        <v>VI-000000-2025</v>
      </c>
      <c r="G375" s="13"/>
      <c r="H375" t="b">
        <f t="shared" si="17"/>
        <v>0</v>
      </c>
    </row>
    <row r="376" spans="2:8" x14ac:dyDescent="0.2">
      <c r="B376" s="90"/>
      <c r="C376" s="61"/>
      <c r="D376" t="b">
        <f t="shared" si="15"/>
        <v>1</v>
      </c>
      <c r="F376" t="str">
        <f t="shared" si="16"/>
        <v>VI-000000-2025</v>
      </c>
      <c r="G376" s="13"/>
      <c r="H376" t="b">
        <f t="shared" si="17"/>
        <v>0</v>
      </c>
    </row>
    <row r="377" spans="2:8" x14ac:dyDescent="0.2">
      <c r="B377" s="90"/>
      <c r="C377" s="61"/>
      <c r="D377" t="b">
        <f t="shared" si="15"/>
        <v>1</v>
      </c>
      <c r="F377" t="str">
        <f t="shared" si="16"/>
        <v>VI-000000-2025</v>
      </c>
      <c r="G377" s="13"/>
      <c r="H377" t="b">
        <f t="shared" si="17"/>
        <v>0</v>
      </c>
    </row>
    <row r="378" spans="2:8" x14ac:dyDescent="0.2">
      <c r="B378" s="90"/>
      <c r="C378" s="61"/>
      <c r="D378" t="b">
        <f t="shared" si="15"/>
        <v>1</v>
      </c>
      <c r="F378" t="str">
        <f t="shared" si="16"/>
        <v>VI-000000-2025</v>
      </c>
      <c r="G378" s="13"/>
      <c r="H378" t="b">
        <f t="shared" si="17"/>
        <v>0</v>
      </c>
    </row>
    <row r="379" spans="2:8" x14ac:dyDescent="0.2">
      <c r="B379" s="90"/>
      <c r="C379" s="61"/>
      <c r="D379" t="b">
        <f t="shared" si="15"/>
        <v>1</v>
      </c>
      <c r="F379" t="str">
        <f t="shared" si="16"/>
        <v>VI-000000-2025</v>
      </c>
      <c r="G379" s="13"/>
      <c r="H379" t="b">
        <f t="shared" si="17"/>
        <v>0</v>
      </c>
    </row>
    <row r="380" spans="2:8" x14ac:dyDescent="0.2">
      <c r="B380" s="90"/>
      <c r="C380" s="61"/>
      <c r="D380" t="b">
        <f t="shared" si="15"/>
        <v>1</v>
      </c>
      <c r="F380" t="str">
        <f t="shared" si="16"/>
        <v>VI-000000-2025</v>
      </c>
      <c r="G380" s="13"/>
      <c r="H380" t="b">
        <f t="shared" si="17"/>
        <v>0</v>
      </c>
    </row>
    <row r="381" spans="2:8" x14ac:dyDescent="0.2">
      <c r="B381" s="90"/>
      <c r="C381" s="61"/>
      <c r="D381" t="b">
        <f t="shared" si="15"/>
        <v>1</v>
      </c>
      <c r="F381" t="str">
        <f t="shared" si="16"/>
        <v>VI-000000-2025</v>
      </c>
      <c r="G381" s="13"/>
      <c r="H381" t="b">
        <f t="shared" si="17"/>
        <v>0</v>
      </c>
    </row>
    <row r="382" spans="2:8" x14ac:dyDescent="0.2">
      <c r="B382" s="90"/>
      <c r="C382" s="61"/>
      <c r="D382" t="b">
        <f t="shared" si="15"/>
        <v>1</v>
      </c>
      <c r="F382" t="str">
        <f t="shared" si="16"/>
        <v>VI-000000-2025</v>
      </c>
      <c r="G382" s="13"/>
      <c r="H382" t="b">
        <f t="shared" si="17"/>
        <v>0</v>
      </c>
    </row>
    <row r="383" spans="2:8" x14ac:dyDescent="0.2">
      <c r="B383" s="90"/>
      <c r="C383" s="61"/>
      <c r="D383" t="b">
        <f t="shared" si="15"/>
        <v>1</v>
      </c>
      <c r="F383" t="str">
        <f t="shared" si="16"/>
        <v>VI-000000-2025</v>
      </c>
      <c r="G383" s="13"/>
      <c r="H383" t="b">
        <f t="shared" si="17"/>
        <v>0</v>
      </c>
    </row>
    <row r="384" spans="2:8" x14ac:dyDescent="0.2">
      <c r="B384" s="90"/>
      <c r="C384" s="61"/>
      <c r="D384" t="b">
        <f t="shared" si="15"/>
        <v>1</v>
      </c>
      <c r="F384" t="str">
        <f t="shared" si="16"/>
        <v>VI-000000-2025</v>
      </c>
      <c r="G384" s="13"/>
      <c r="H384" t="b">
        <f t="shared" si="17"/>
        <v>0</v>
      </c>
    </row>
    <row r="385" spans="2:8" x14ac:dyDescent="0.2">
      <c r="B385" s="90"/>
      <c r="C385" s="61"/>
      <c r="D385" t="b">
        <f t="shared" si="15"/>
        <v>1</v>
      </c>
      <c r="F385" t="str">
        <f t="shared" si="16"/>
        <v>VI-000000-2025</v>
      </c>
      <c r="G385" s="13"/>
      <c r="H385" t="b">
        <f t="shared" si="17"/>
        <v>0</v>
      </c>
    </row>
    <row r="386" spans="2:8" x14ac:dyDescent="0.2">
      <c r="B386" s="90"/>
      <c r="C386" s="61"/>
      <c r="D386" t="b">
        <f t="shared" si="15"/>
        <v>1</v>
      </c>
      <c r="F386" t="str">
        <f t="shared" si="16"/>
        <v>VI-000000-2025</v>
      </c>
      <c r="G386" s="13"/>
      <c r="H386" t="b">
        <f t="shared" si="17"/>
        <v>0</v>
      </c>
    </row>
    <row r="387" spans="2:8" ht="13.5" thickBot="1" x14ac:dyDescent="0.25">
      <c r="B387" s="96"/>
      <c r="C387" s="61"/>
      <c r="D387" t="b">
        <f t="shared" si="15"/>
        <v>1</v>
      </c>
      <c r="F387" t="str">
        <f t="shared" si="16"/>
        <v>VI-000000-2025</v>
      </c>
      <c r="G387" s="52"/>
      <c r="H387" t="b">
        <f t="shared" si="17"/>
        <v>0</v>
      </c>
    </row>
    <row r="388" spans="2:8" x14ac:dyDescent="0.2">
      <c r="B388" s="110"/>
      <c r="C388" s="61"/>
      <c r="D388" t="b">
        <f t="shared" si="15"/>
        <v>1</v>
      </c>
      <c r="F388" t="str">
        <f t="shared" si="16"/>
        <v>VI-000000-2025</v>
      </c>
      <c r="G388" s="46"/>
      <c r="H388" t="b">
        <f t="shared" si="17"/>
        <v>0</v>
      </c>
    </row>
    <row r="389" spans="2:8" x14ac:dyDescent="0.2">
      <c r="B389" s="90"/>
      <c r="C389" s="61"/>
      <c r="D389" t="b">
        <f t="shared" ref="D389:D452" si="18">B389=C389</f>
        <v>1</v>
      </c>
      <c r="F389" t="str">
        <f t="shared" ref="F389:F452" si="19">"VI-"&amp;TEXT(E389,"000000")&amp;"-2025"</f>
        <v>VI-000000-2025</v>
      </c>
      <c r="G389" s="13"/>
      <c r="H389" t="b">
        <f t="shared" ref="H389:H452" si="20">F389=G389</f>
        <v>0</v>
      </c>
    </row>
    <row r="390" spans="2:8" x14ac:dyDescent="0.2">
      <c r="B390" s="90"/>
      <c r="C390" s="61"/>
      <c r="D390" t="b">
        <f t="shared" si="18"/>
        <v>1</v>
      </c>
      <c r="F390" t="str">
        <f t="shared" si="19"/>
        <v>VI-000000-2025</v>
      </c>
      <c r="G390" s="13"/>
      <c r="H390" t="b">
        <f t="shared" si="20"/>
        <v>0</v>
      </c>
    </row>
    <row r="391" spans="2:8" x14ac:dyDescent="0.2">
      <c r="B391" s="90"/>
      <c r="C391" s="61"/>
      <c r="D391" t="b">
        <f t="shared" si="18"/>
        <v>1</v>
      </c>
      <c r="F391" t="str">
        <f t="shared" si="19"/>
        <v>VI-000000-2025</v>
      </c>
      <c r="G391" s="13"/>
      <c r="H391" t="b">
        <f t="shared" si="20"/>
        <v>0</v>
      </c>
    </row>
    <row r="392" spans="2:8" x14ac:dyDescent="0.2">
      <c r="B392" s="90"/>
      <c r="C392" s="61"/>
      <c r="D392" t="b">
        <f t="shared" si="18"/>
        <v>1</v>
      </c>
      <c r="F392" t="str">
        <f t="shared" si="19"/>
        <v>VI-000000-2025</v>
      </c>
      <c r="G392" s="13"/>
      <c r="H392" t="b">
        <f t="shared" si="20"/>
        <v>0</v>
      </c>
    </row>
    <row r="393" spans="2:8" x14ac:dyDescent="0.2">
      <c r="B393" s="90"/>
      <c r="C393" s="61"/>
      <c r="D393" t="b">
        <f t="shared" si="18"/>
        <v>1</v>
      </c>
      <c r="F393" t="str">
        <f t="shared" si="19"/>
        <v>VI-000000-2025</v>
      </c>
      <c r="G393" s="13"/>
      <c r="H393" t="b">
        <f t="shared" si="20"/>
        <v>0</v>
      </c>
    </row>
    <row r="394" spans="2:8" x14ac:dyDescent="0.2">
      <c r="B394" s="90"/>
      <c r="C394" s="61"/>
      <c r="D394" t="b">
        <f t="shared" si="18"/>
        <v>1</v>
      </c>
      <c r="F394" t="str">
        <f t="shared" si="19"/>
        <v>VI-000000-2025</v>
      </c>
      <c r="G394" s="13"/>
      <c r="H394" t="b">
        <f t="shared" si="20"/>
        <v>0</v>
      </c>
    </row>
    <row r="395" spans="2:8" x14ac:dyDescent="0.2">
      <c r="B395" s="90"/>
      <c r="C395" s="61"/>
      <c r="D395" t="b">
        <f t="shared" si="18"/>
        <v>1</v>
      </c>
      <c r="F395" t="str">
        <f t="shared" si="19"/>
        <v>VI-000000-2025</v>
      </c>
      <c r="G395" s="13"/>
      <c r="H395" t="b">
        <f t="shared" si="20"/>
        <v>0</v>
      </c>
    </row>
    <row r="396" spans="2:8" x14ac:dyDescent="0.2">
      <c r="B396" s="90"/>
      <c r="C396" s="61"/>
      <c r="D396" t="b">
        <f t="shared" si="18"/>
        <v>1</v>
      </c>
      <c r="F396" t="str">
        <f t="shared" si="19"/>
        <v>VI-000000-2025</v>
      </c>
      <c r="G396" s="13"/>
      <c r="H396" t="b">
        <f t="shared" si="20"/>
        <v>0</v>
      </c>
    </row>
    <row r="397" spans="2:8" x14ac:dyDescent="0.2">
      <c r="B397" s="90"/>
      <c r="C397" s="61"/>
      <c r="D397" t="b">
        <f t="shared" si="18"/>
        <v>1</v>
      </c>
      <c r="F397" t="str">
        <f t="shared" si="19"/>
        <v>VI-000000-2025</v>
      </c>
      <c r="G397" s="13"/>
      <c r="H397" t="b">
        <f t="shared" si="20"/>
        <v>0</v>
      </c>
    </row>
    <row r="398" spans="2:8" x14ac:dyDescent="0.2">
      <c r="B398" s="90"/>
      <c r="C398" s="61"/>
      <c r="D398" t="b">
        <f t="shared" si="18"/>
        <v>1</v>
      </c>
      <c r="F398" t="str">
        <f t="shared" si="19"/>
        <v>VI-000000-2025</v>
      </c>
      <c r="G398" s="13"/>
      <c r="H398" t="b">
        <f t="shared" si="20"/>
        <v>0</v>
      </c>
    </row>
    <row r="399" spans="2:8" x14ac:dyDescent="0.2">
      <c r="B399" s="90"/>
      <c r="C399" s="61"/>
      <c r="D399" t="b">
        <f t="shared" si="18"/>
        <v>1</v>
      </c>
      <c r="F399" t="str">
        <f t="shared" si="19"/>
        <v>VI-000000-2025</v>
      </c>
      <c r="G399" s="13"/>
      <c r="H399" t="b">
        <f t="shared" si="20"/>
        <v>0</v>
      </c>
    </row>
    <row r="400" spans="2:8" x14ac:dyDescent="0.2">
      <c r="B400" s="90"/>
      <c r="C400" s="61"/>
      <c r="D400" t="b">
        <f t="shared" si="18"/>
        <v>1</v>
      </c>
      <c r="F400" t="str">
        <f t="shared" si="19"/>
        <v>VI-000000-2025</v>
      </c>
      <c r="G400" s="13"/>
      <c r="H400" t="b">
        <f t="shared" si="20"/>
        <v>0</v>
      </c>
    </row>
    <row r="401" spans="2:8" x14ac:dyDescent="0.2">
      <c r="B401" s="90"/>
      <c r="C401" s="61"/>
      <c r="D401" t="b">
        <f t="shared" si="18"/>
        <v>1</v>
      </c>
      <c r="F401" t="str">
        <f t="shared" si="19"/>
        <v>VI-000000-2025</v>
      </c>
      <c r="G401" s="13"/>
      <c r="H401" t="b">
        <f t="shared" si="20"/>
        <v>0</v>
      </c>
    </row>
    <row r="402" spans="2:8" x14ac:dyDescent="0.2">
      <c r="B402" s="90"/>
      <c r="C402" s="61"/>
      <c r="D402" t="b">
        <f t="shared" si="18"/>
        <v>1</v>
      </c>
      <c r="F402" t="str">
        <f t="shared" si="19"/>
        <v>VI-000000-2025</v>
      </c>
      <c r="G402" s="13"/>
      <c r="H402" t="b">
        <f t="shared" si="20"/>
        <v>0</v>
      </c>
    </row>
    <row r="403" spans="2:8" ht="13.5" thickBot="1" x14ac:dyDescent="0.25">
      <c r="B403" s="96"/>
      <c r="C403" s="61"/>
      <c r="D403" t="b">
        <f t="shared" si="18"/>
        <v>1</v>
      </c>
      <c r="F403" t="str">
        <f t="shared" si="19"/>
        <v>VI-000000-2025</v>
      </c>
      <c r="G403" s="52"/>
      <c r="H403" t="b">
        <f t="shared" si="20"/>
        <v>0</v>
      </c>
    </row>
    <row r="404" spans="2:8" x14ac:dyDescent="0.2">
      <c r="B404" s="110"/>
      <c r="C404" s="61"/>
      <c r="D404" t="b">
        <f t="shared" si="18"/>
        <v>1</v>
      </c>
      <c r="F404" t="str">
        <f t="shared" si="19"/>
        <v>VI-000000-2025</v>
      </c>
      <c r="G404" s="46"/>
      <c r="H404" t="b">
        <f t="shared" si="20"/>
        <v>0</v>
      </c>
    </row>
    <row r="405" spans="2:8" x14ac:dyDescent="0.2">
      <c r="B405" s="90"/>
      <c r="C405" s="61"/>
      <c r="D405" t="b">
        <f t="shared" si="18"/>
        <v>1</v>
      </c>
      <c r="F405" t="str">
        <f t="shared" si="19"/>
        <v>VI-000000-2025</v>
      </c>
      <c r="G405" s="13"/>
      <c r="H405" t="b">
        <f t="shared" si="20"/>
        <v>0</v>
      </c>
    </row>
    <row r="406" spans="2:8" x14ac:dyDescent="0.2">
      <c r="B406" s="90"/>
      <c r="C406" s="61"/>
      <c r="D406" t="b">
        <f t="shared" si="18"/>
        <v>1</v>
      </c>
      <c r="F406" t="str">
        <f t="shared" si="19"/>
        <v>VI-000000-2025</v>
      </c>
      <c r="G406" s="13"/>
      <c r="H406" t="b">
        <f t="shared" si="20"/>
        <v>0</v>
      </c>
    </row>
    <row r="407" spans="2:8" x14ac:dyDescent="0.2">
      <c r="B407" s="90"/>
      <c r="C407" s="61"/>
      <c r="D407" t="b">
        <f t="shared" si="18"/>
        <v>1</v>
      </c>
      <c r="F407" t="str">
        <f t="shared" si="19"/>
        <v>VI-000000-2025</v>
      </c>
      <c r="G407" s="13"/>
      <c r="H407" t="b">
        <f t="shared" si="20"/>
        <v>0</v>
      </c>
    </row>
    <row r="408" spans="2:8" x14ac:dyDescent="0.2">
      <c r="B408" s="90"/>
      <c r="C408" s="61"/>
      <c r="D408" t="b">
        <f t="shared" si="18"/>
        <v>1</v>
      </c>
      <c r="F408" t="str">
        <f t="shared" si="19"/>
        <v>VI-000000-2025</v>
      </c>
      <c r="G408" s="13"/>
      <c r="H408" t="b">
        <f t="shared" si="20"/>
        <v>0</v>
      </c>
    </row>
    <row r="409" spans="2:8" x14ac:dyDescent="0.2">
      <c r="B409" s="90"/>
      <c r="C409" s="61"/>
      <c r="D409" t="b">
        <f t="shared" si="18"/>
        <v>1</v>
      </c>
      <c r="F409" t="str">
        <f t="shared" si="19"/>
        <v>VI-000000-2025</v>
      </c>
      <c r="G409" s="13"/>
      <c r="H409" t="b">
        <f t="shared" si="20"/>
        <v>0</v>
      </c>
    </row>
    <row r="410" spans="2:8" x14ac:dyDescent="0.2">
      <c r="B410" s="90"/>
      <c r="C410" s="61"/>
      <c r="D410" t="b">
        <f t="shared" si="18"/>
        <v>1</v>
      </c>
      <c r="F410" t="str">
        <f t="shared" si="19"/>
        <v>VI-000000-2025</v>
      </c>
      <c r="G410" s="13"/>
      <c r="H410" t="b">
        <f t="shared" si="20"/>
        <v>0</v>
      </c>
    </row>
    <row r="411" spans="2:8" x14ac:dyDescent="0.2">
      <c r="B411" s="90"/>
      <c r="C411" s="61"/>
      <c r="D411" t="b">
        <f t="shared" si="18"/>
        <v>1</v>
      </c>
      <c r="F411" t="str">
        <f t="shared" si="19"/>
        <v>VI-000000-2025</v>
      </c>
      <c r="G411" s="13"/>
      <c r="H411" t="b">
        <f t="shared" si="20"/>
        <v>0</v>
      </c>
    </row>
    <row r="412" spans="2:8" x14ac:dyDescent="0.2">
      <c r="B412" s="90"/>
      <c r="C412" s="61"/>
      <c r="D412" t="b">
        <f t="shared" si="18"/>
        <v>1</v>
      </c>
      <c r="F412" t="str">
        <f t="shared" si="19"/>
        <v>VI-000000-2025</v>
      </c>
      <c r="G412" s="13"/>
      <c r="H412" t="b">
        <f t="shared" si="20"/>
        <v>0</v>
      </c>
    </row>
    <row r="413" spans="2:8" x14ac:dyDescent="0.2">
      <c r="B413" s="90"/>
      <c r="C413" s="61"/>
      <c r="D413" t="b">
        <f t="shared" si="18"/>
        <v>1</v>
      </c>
      <c r="F413" t="str">
        <f t="shared" si="19"/>
        <v>VI-000000-2025</v>
      </c>
      <c r="G413" s="13"/>
      <c r="H413" t="b">
        <f t="shared" si="20"/>
        <v>0</v>
      </c>
    </row>
    <row r="414" spans="2:8" x14ac:dyDescent="0.2">
      <c r="B414" s="90"/>
      <c r="C414" s="61"/>
      <c r="D414" t="b">
        <f t="shared" si="18"/>
        <v>1</v>
      </c>
      <c r="F414" t="str">
        <f t="shared" si="19"/>
        <v>VI-000000-2025</v>
      </c>
      <c r="G414" s="13"/>
      <c r="H414" t="b">
        <f t="shared" si="20"/>
        <v>0</v>
      </c>
    </row>
    <row r="415" spans="2:8" x14ac:dyDescent="0.2">
      <c r="B415" s="90"/>
      <c r="C415" s="61"/>
      <c r="D415" t="b">
        <f t="shared" si="18"/>
        <v>1</v>
      </c>
      <c r="F415" t="str">
        <f t="shared" si="19"/>
        <v>VI-000000-2025</v>
      </c>
      <c r="G415" s="13"/>
      <c r="H415" t="b">
        <f t="shared" si="20"/>
        <v>0</v>
      </c>
    </row>
    <row r="416" spans="2:8" x14ac:dyDescent="0.2">
      <c r="B416" s="90"/>
      <c r="C416" s="61"/>
      <c r="D416" t="b">
        <f t="shared" si="18"/>
        <v>1</v>
      </c>
      <c r="F416" t="str">
        <f t="shared" si="19"/>
        <v>VI-000000-2025</v>
      </c>
      <c r="G416" s="13"/>
      <c r="H416" t="b">
        <f t="shared" si="20"/>
        <v>0</v>
      </c>
    </row>
    <row r="417" spans="2:8" x14ac:dyDescent="0.2">
      <c r="B417" s="90"/>
      <c r="C417" s="61"/>
      <c r="D417" t="b">
        <f t="shared" si="18"/>
        <v>1</v>
      </c>
      <c r="F417" t="str">
        <f t="shared" si="19"/>
        <v>VI-000000-2025</v>
      </c>
      <c r="G417" s="13"/>
      <c r="H417" t="b">
        <f t="shared" si="20"/>
        <v>0</v>
      </c>
    </row>
    <row r="418" spans="2:8" x14ac:dyDescent="0.2">
      <c r="B418" s="90"/>
      <c r="C418" s="61"/>
      <c r="D418" t="b">
        <f t="shared" si="18"/>
        <v>1</v>
      </c>
      <c r="F418" t="str">
        <f t="shared" si="19"/>
        <v>VI-000000-2025</v>
      </c>
      <c r="G418" s="13"/>
      <c r="H418" t="b">
        <f t="shared" si="20"/>
        <v>0</v>
      </c>
    </row>
    <row r="419" spans="2:8" ht="13.5" thickBot="1" x14ac:dyDescent="0.25">
      <c r="B419" s="96"/>
      <c r="C419" s="61"/>
      <c r="D419" t="b">
        <f t="shared" si="18"/>
        <v>1</v>
      </c>
      <c r="F419" t="str">
        <f t="shared" si="19"/>
        <v>VI-000000-2025</v>
      </c>
      <c r="G419" s="52"/>
      <c r="H419" t="b">
        <f t="shared" si="20"/>
        <v>0</v>
      </c>
    </row>
    <row r="420" spans="2:8" x14ac:dyDescent="0.2">
      <c r="B420" s="110"/>
      <c r="C420" s="61"/>
      <c r="D420" t="b">
        <f t="shared" si="18"/>
        <v>1</v>
      </c>
      <c r="F420" t="str">
        <f t="shared" si="19"/>
        <v>VI-000000-2025</v>
      </c>
      <c r="G420" s="46"/>
      <c r="H420" t="b">
        <f t="shared" si="20"/>
        <v>0</v>
      </c>
    </row>
    <row r="421" spans="2:8" x14ac:dyDescent="0.2">
      <c r="B421" s="90"/>
      <c r="C421" s="61"/>
      <c r="D421" t="b">
        <f t="shared" si="18"/>
        <v>1</v>
      </c>
      <c r="F421" t="str">
        <f t="shared" si="19"/>
        <v>VI-000000-2025</v>
      </c>
      <c r="G421" s="13"/>
      <c r="H421" t="b">
        <f t="shared" si="20"/>
        <v>0</v>
      </c>
    </row>
    <row r="422" spans="2:8" x14ac:dyDescent="0.2">
      <c r="B422" s="90"/>
      <c r="C422" s="61"/>
      <c r="D422" t="b">
        <f t="shared" si="18"/>
        <v>1</v>
      </c>
      <c r="F422" t="str">
        <f t="shared" si="19"/>
        <v>VI-000000-2025</v>
      </c>
      <c r="G422" s="13"/>
      <c r="H422" t="b">
        <f t="shared" si="20"/>
        <v>0</v>
      </c>
    </row>
    <row r="423" spans="2:8" x14ac:dyDescent="0.2">
      <c r="B423" s="90"/>
      <c r="C423" s="61"/>
      <c r="D423" t="b">
        <f t="shared" si="18"/>
        <v>1</v>
      </c>
      <c r="F423" t="str">
        <f t="shared" si="19"/>
        <v>VI-000000-2025</v>
      </c>
      <c r="G423" s="13"/>
      <c r="H423" t="b">
        <f t="shared" si="20"/>
        <v>0</v>
      </c>
    </row>
    <row r="424" spans="2:8" x14ac:dyDescent="0.2">
      <c r="B424" s="109"/>
      <c r="C424" s="61"/>
      <c r="D424" t="b">
        <f t="shared" si="18"/>
        <v>1</v>
      </c>
      <c r="F424" t="str">
        <f t="shared" si="19"/>
        <v>VI-000000-2025</v>
      </c>
      <c r="G424" s="13"/>
      <c r="H424" t="b">
        <f t="shared" si="20"/>
        <v>0</v>
      </c>
    </row>
    <row r="425" spans="2:8" x14ac:dyDescent="0.2">
      <c r="B425" s="90"/>
      <c r="C425" s="61"/>
      <c r="D425" t="b">
        <f t="shared" si="18"/>
        <v>1</v>
      </c>
      <c r="F425" t="str">
        <f t="shared" si="19"/>
        <v>VI-000000-2025</v>
      </c>
      <c r="G425" s="13"/>
      <c r="H425" t="b">
        <f t="shared" si="20"/>
        <v>0</v>
      </c>
    </row>
    <row r="426" spans="2:8" x14ac:dyDescent="0.2">
      <c r="B426" s="90"/>
      <c r="C426" s="61"/>
      <c r="D426" t="b">
        <f t="shared" si="18"/>
        <v>1</v>
      </c>
      <c r="F426" t="str">
        <f t="shared" si="19"/>
        <v>VI-000000-2025</v>
      </c>
      <c r="G426" s="13"/>
      <c r="H426" t="b">
        <f t="shared" si="20"/>
        <v>0</v>
      </c>
    </row>
    <row r="427" spans="2:8" x14ac:dyDescent="0.2">
      <c r="B427" s="90"/>
      <c r="C427" s="61"/>
      <c r="D427" t="b">
        <f t="shared" si="18"/>
        <v>1</v>
      </c>
      <c r="F427" t="str">
        <f t="shared" si="19"/>
        <v>VI-000000-2025</v>
      </c>
      <c r="G427" s="13"/>
      <c r="H427" t="b">
        <f t="shared" si="20"/>
        <v>0</v>
      </c>
    </row>
    <row r="428" spans="2:8" x14ac:dyDescent="0.2">
      <c r="B428" s="90"/>
      <c r="C428" s="61"/>
      <c r="D428" t="b">
        <f t="shared" si="18"/>
        <v>1</v>
      </c>
      <c r="F428" t="str">
        <f t="shared" si="19"/>
        <v>VI-000000-2025</v>
      </c>
      <c r="G428" s="13"/>
      <c r="H428" t="b">
        <f t="shared" si="20"/>
        <v>0</v>
      </c>
    </row>
    <row r="429" spans="2:8" x14ac:dyDescent="0.2">
      <c r="B429" s="90"/>
      <c r="C429" s="61"/>
      <c r="D429" t="b">
        <f t="shared" si="18"/>
        <v>1</v>
      </c>
      <c r="F429" t="str">
        <f t="shared" si="19"/>
        <v>VI-000000-2025</v>
      </c>
      <c r="G429" s="13"/>
      <c r="H429" t="b">
        <f t="shared" si="20"/>
        <v>0</v>
      </c>
    </row>
    <row r="430" spans="2:8" x14ac:dyDescent="0.2">
      <c r="B430" s="90"/>
      <c r="C430" s="61"/>
      <c r="D430" t="b">
        <f t="shared" si="18"/>
        <v>1</v>
      </c>
      <c r="F430" t="str">
        <f t="shared" si="19"/>
        <v>VI-000000-2025</v>
      </c>
      <c r="G430" s="13"/>
      <c r="H430" t="b">
        <f t="shared" si="20"/>
        <v>0</v>
      </c>
    </row>
    <row r="431" spans="2:8" x14ac:dyDescent="0.2">
      <c r="B431" s="90"/>
      <c r="C431" s="61"/>
      <c r="D431" t="b">
        <f t="shared" si="18"/>
        <v>1</v>
      </c>
      <c r="F431" t="str">
        <f t="shared" si="19"/>
        <v>VI-000000-2025</v>
      </c>
      <c r="G431" s="13"/>
      <c r="H431" t="b">
        <f t="shared" si="20"/>
        <v>0</v>
      </c>
    </row>
    <row r="432" spans="2:8" x14ac:dyDescent="0.2">
      <c r="B432" s="90"/>
      <c r="C432" s="61"/>
      <c r="D432" t="b">
        <f t="shared" si="18"/>
        <v>1</v>
      </c>
      <c r="F432" t="str">
        <f t="shared" si="19"/>
        <v>VI-000000-2025</v>
      </c>
      <c r="G432" s="13"/>
      <c r="H432" t="b">
        <f t="shared" si="20"/>
        <v>0</v>
      </c>
    </row>
    <row r="433" spans="2:8" x14ac:dyDescent="0.2">
      <c r="B433" s="90"/>
      <c r="C433" s="61"/>
      <c r="D433" t="b">
        <f t="shared" si="18"/>
        <v>1</v>
      </c>
      <c r="F433" t="str">
        <f t="shared" si="19"/>
        <v>VI-000000-2025</v>
      </c>
      <c r="G433" s="13"/>
      <c r="H433" t="b">
        <f t="shared" si="20"/>
        <v>0</v>
      </c>
    </row>
    <row r="434" spans="2:8" x14ac:dyDescent="0.2">
      <c r="B434" s="90"/>
      <c r="C434" s="61"/>
      <c r="D434" t="b">
        <f t="shared" si="18"/>
        <v>1</v>
      </c>
      <c r="F434" t="str">
        <f t="shared" si="19"/>
        <v>VI-000000-2025</v>
      </c>
      <c r="G434" s="13"/>
      <c r="H434" t="b">
        <f t="shared" si="20"/>
        <v>0</v>
      </c>
    </row>
    <row r="435" spans="2:8" ht="13.5" thickBot="1" x14ac:dyDescent="0.25">
      <c r="B435" s="60"/>
      <c r="C435" s="61"/>
      <c r="D435" t="b">
        <f t="shared" si="18"/>
        <v>1</v>
      </c>
      <c r="F435" t="str">
        <f t="shared" si="19"/>
        <v>VI-000000-2025</v>
      </c>
      <c r="G435" s="52"/>
      <c r="H435" t="b">
        <f t="shared" si="20"/>
        <v>0</v>
      </c>
    </row>
    <row r="436" spans="2:8" x14ac:dyDescent="0.2">
      <c r="B436" s="110"/>
      <c r="C436" s="61"/>
      <c r="D436" t="b">
        <f t="shared" si="18"/>
        <v>1</v>
      </c>
      <c r="F436" t="str">
        <f t="shared" si="19"/>
        <v>VI-000000-2025</v>
      </c>
      <c r="G436" s="46"/>
      <c r="H436" t="b">
        <f t="shared" si="20"/>
        <v>0</v>
      </c>
    </row>
    <row r="437" spans="2:8" x14ac:dyDescent="0.2">
      <c r="B437" s="90"/>
      <c r="C437" s="61"/>
      <c r="D437" t="b">
        <f t="shared" si="18"/>
        <v>1</v>
      </c>
      <c r="F437" t="str">
        <f t="shared" si="19"/>
        <v>VI-000000-2025</v>
      </c>
      <c r="G437" s="13"/>
      <c r="H437" t="b">
        <f t="shared" si="20"/>
        <v>0</v>
      </c>
    </row>
    <row r="438" spans="2:8" x14ac:dyDescent="0.2">
      <c r="B438" s="90"/>
      <c r="C438" s="61"/>
      <c r="D438" t="b">
        <f t="shared" si="18"/>
        <v>1</v>
      </c>
      <c r="F438" t="str">
        <f t="shared" si="19"/>
        <v>VI-000000-2025</v>
      </c>
      <c r="G438" s="13"/>
      <c r="H438" t="b">
        <f t="shared" si="20"/>
        <v>0</v>
      </c>
    </row>
    <row r="439" spans="2:8" x14ac:dyDescent="0.2">
      <c r="B439" s="90"/>
      <c r="C439" s="61"/>
      <c r="D439" t="b">
        <f t="shared" si="18"/>
        <v>1</v>
      </c>
      <c r="F439" t="str">
        <f t="shared" si="19"/>
        <v>VI-000000-2025</v>
      </c>
      <c r="G439" s="13"/>
      <c r="H439" t="b">
        <f t="shared" si="20"/>
        <v>0</v>
      </c>
    </row>
    <row r="440" spans="2:8" x14ac:dyDescent="0.2">
      <c r="B440" s="90"/>
      <c r="C440" s="61"/>
      <c r="D440" t="b">
        <f t="shared" si="18"/>
        <v>1</v>
      </c>
      <c r="F440" t="str">
        <f t="shared" si="19"/>
        <v>VI-000000-2025</v>
      </c>
      <c r="G440" s="13"/>
      <c r="H440" t="b">
        <f t="shared" si="20"/>
        <v>0</v>
      </c>
    </row>
    <row r="441" spans="2:8" x14ac:dyDescent="0.2">
      <c r="B441" s="90"/>
      <c r="C441" s="61"/>
      <c r="D441" t="b">
        <f t="shared" si="18"/>
        <v>1</v>
      </c>
      <c r="F441" t="str">
        <f t="shared" si="19"/>
        <v>VI-000000-2025</v>
      </c>
      <c r="G441" s="13"/>
      <c r="H441" t="b">
        <f t="shared" si="20"/>
        <v>0</v>
      </c>
    </row>
    <row r="442" spans="2:8" x14ac:dyDescent="0.2">
      <c r="B442" s="90"/>
      <c r="C442" s="61"/>
      <c r="D442" t="b">
        <f t="shared" si="18"/>
        <v>1</v>
      </c>
      <c r="F442" t="str">
        <f t="shared" si="19"/>
        <v>VI-000000-2025</v>
      </c>
      <c r="G442" s="13"/>
      <c r="H442" t="b">
        <f t="shared" si="20"/>
        <v>0</v>
      </c>
    </row>
    <row r="443" spans="2:8" x14ac:dyDescent="0.2">
      <c r="B443" s="90"/>
      <c r="C443" s="61"/>
      <c r="D443" t="b">
        <f t="shared" si="18"/>
        <v>1</v>
      </c>
      <c r="F443" t="str">
        <f t="shared" si="19"/>
        <v>VI-000000-2025</v>
      </c>
      <c r="G443" s="13"/>
      <c r="H443" t="b">
        <f t="shared" si="20"/>
        <v>0</v>
      </c>
    </row>
    <row r="444" spans="2:8" x14ac:dyDescent="0.2">
      <c r="B444" s="90"/>
      <c r="C444" s="61"/>
      <c r="D444" t="b">
        <f t="shared" si="18"/>
        <v>1</v>
      </c>
      <c r="F444" t="str">
        <f t="shared" si="19"/>
        <v>VI-000000-2025</v>
      </c>
      <c r="G444" s="13"/>
      <c r="H444" t="b">
        <f t="shared" si="20"/>
        <v>0</v>
      </c>
    </row>
    <row r="445" spans="2:8" x14ac:dyDescent="0.2">
      <c r="B445" s="90"/>
      <c r="C445" s="61"/>
      <c r="D445" t="b">
        <f t="shared" si="18"/>
        <v>1</v>
      </c>
      <c r="F445" t="str">
        <f t="shared" si="19"/>
        <v>VI-000000-2025</v>
      </c>
      <c r="G445" s="13"/>
      <c r="H445" t="b">
        <f t="shared" si="20"/>
        <v>0</v>
      </c>
    </row>
    <row r="446" spans="2:8" x14ac:dyDescent="0.2">
      <c r="B446" s="90"/>
      <c r="C446" s="61"/>
      <c r="D446" t="b">
        <f t="shared" si="18"/>
        <v>1</v>
      </c>
      <c r="F446" t="str">
        <f t="shared" si="19"/>
        <v>VI-000000-2025</v>
      </c>
      <c r="G446" s="13"/>
      <c r="H446" t="b">
        <f t="shared" si="20"/>
        <v>0</v>
      </c>
    </row>
    <row r="447" spans="2:8" x14ac:dyDescent="0.2">
      <c r="B447" s="90"/>
      <c r="C447" s="61"/>
      <c r="D447" t="b">
        <f t="shared" si="18"/>
        <v>1</v>
      </c>
      <c r="F447" t="str">
        <f t="shared" si="19"/>
        <v>VI-000000-2025</v>
      </c>
      <c r="G447" s="13"/>
      <c r="H447" t="b">
        <f t="shared" si="20"/>
        <v>0</v>
      </c>
    </row>
    <row r="448" spans="2:8" x14ac:dyDescent="0.2">
      <c r="B448" s="90"/>
      <c r="C448" s="61"/>
      <c r="D448" t="b">
        <f t="shared" si="18"/>
        <v>1</v>
      </c>
      <c r="F448" t="str">
        <f t="shared" si="19"/>
        <v>VI-000000-2025</v>
      </c>
      <c r="G448" s="13"/>
      <c r="H448" t="b">
        <f t="shared" si="20"/>
        <v>0</v>
      </c>
    </row>
    <row r="449" spans="2:8" x14ac:dyDescent="0.2">
      <c r="B449" s="90"/>
      <c r="C449" s="61"/>
      <c r="D449" t="b">
        <f t="shared" si="18"/>
        <v>1</v>
      </c>
      <c r="F449" t="str">
        <f t="shared" si="19"/>
        <v>VI-000000-2025</v>
      </c>
      <c r="G449" s="13"/>
      <c r="H449" t="b">
        <f t="shared" si="20"/>
        <v>0</v>
      </c>
    </row>
    <row r="450" spans="2:8" x14ac:dyDescent="0.2">
      <c r="B450" s="90"/>
      <c r="C450" s="61"/>
      <c r="D450" t="b">
        <f t="shared" si="18"/>
        <v>1</v>
      </c>
      <c r="F450" t="str">
        <f t="shared" si="19"/>
        <v>VI-000000-2025</v>
      </c>
      <c r="G450" s="13"/>
      <c r="H450" t="b">
        <f t="shared" si="20"/>
        <v>0</v>
      </c>
    </row>
    <row r="451" spans="2:8" ht="13.5" thickBot="1" x14ac:dyDescent="0.25">
      <c r="B451" s="96"/>
      <c r="C451" s="61"/>
      <c r="D451" t="b">
        <f t="shared" si="18"/>
        <v>1</v>
      </c>
      <c r="F451" t="str">
        <f t="shared" si="19"/>
        <v>VI-000000-2025</v>
      </c>
      <c r="G451" s="52"/>
      <c r="H451" t="b">
        <f t="shared" si="20"/>
        <v>0</v>
      </c>
    </row>
    <row r="452" spans="2:8" x14ac:dyDescent="0.2">
      <c r="B452" s="110"/>
      <c r="C452" s="61"/>
      <c r="D452" t="b">
        <f t="shared" si="18"/>
        <v>1</v>
      </c>
      <c r="F452" t="str">
        <f t="shared" si="19"/>
        <v>VI-000000-2025</v>
      </c>
      <c r="G452" s="46"/>
      <c r="H452" t="b">
        <f t="shared" si="20"/>
        <v>0</v>
      </c>
    </row>
    <row r="453" spans="2:8" x14ac:dyDescent="0.2">
      <c r="B453" s="90"/>
      <c r="C453" s="61"/>
      <c r="D453" t="b">
        <f t="shared" ref="D453:D516" si="21">B453=C453</f>
        <v>1</v>
      </c>
      <c r="F453" t="str">
        <f t="shared" ref="F453:F516" si="22">"VI-"&amp;TEXT(E453,"000000")&amp;"-2025"</f>
        <v>VI-000000-2025</v>
      </c>
      <c r="G453" s="13"/>
      <c r="H453" t="b">
        <f t="shared" ref="H453:H516" si="23">F453=G453</f>
        <v>0</v>
      </c>
    </row>
    <row r="454" spans="2:8" x14ac:dyDescent="0.2">
      <c r="B454" s="90"/>
      <c r="C454" s="61"/>
      <c r="D454" t="b">
        <f t="shared" si="21"/>
        <v>1</v>
      </c>
      <c r="F454" t="str">
        <f t="shared" si="22"/>
        <v>VI-000000-2025</v>
      </c>
      <c r="G454" s="13"/>
      <c r="H454" t="b">
        <f t="shared" si="23"/>
        <v>0</v>
      </c>
    </row>
    <row r="455" spans="2:8" x14ac:dyDescent="0.2">
      <c r="B455" s="90"/>
      <c r="C455" s="61"/>
      <c r="D455" t="b">
        <f t="shared" si="21"/>
        <v>1</v>
      </c>
      <c r="F455" t="str">
        <f t="shared" si="22"/>
        <v>VI-000000-2025</v>
      </c>
      <c r="G455" s="13"/>
      <c r="H455" t="b">
        <f t="shared" si="23"/>
        <v>0</v>
      </c>
    </row>
    <row r="456" spans="2:8" x14ac:dyDescent="0.2">
      <c r="B456" s="90"/>
      <c r="C456" s="61"/>
      <c r="D456" t="b">
        <f t="shared" si="21"/>
        <v>1</v>
      </c>
      <c r="F456" t="str">
        <f t="shared" si="22"/>
        <v>VI-000000-2025</v>
      </c>
      <c r="G456" s="13"/>
      <c r="H456" t="b">
        <f t="shared" si="23"/>
        <v>0</v>
      </c>
    </row>
    <row r="457" spans="2:8" x14ac:dyDescent="0.2">
      <c r="B457" s="90"/>
      <c r="C457" s="61"/>
      <c r="D457" t="b">
        <f t="shared" si="21"/>
        <v>1</v>
      </c>
      <c r="F457" t="str">
        <f t="shared" si="22"/>
        <v>VI-000000-2025</v>
      </c>
      <c r="G457" s="13"/>
      <c r="H457" t="b">
        <f t="shared" si="23"/>
        <v>0</v>
      </c>
    </row>
    <row r="458" spans="2:8" x14ac:dyDescent="0.2">
      <c r="B458" s="90"/>
      <c r="C458" s="61"/>
      <c r="D458" t="b">
        <f t="shared" si="21"/>
        <v>1</v>
      </c>
      <c r="F458" t="str">
        <f t="shared" si="22"/>
        <v>VI-000000-2025</v>
      </c>
      <c r="G458" s="13"/>
      <c r="H458" t="b">
        <f t="shared" si="23"/>
        <v>0</v>
      </c>
    </row>
    <row r="459" spans="2:8" x14ac:dyDescent="0.2">
      <c r="B459" s="90"/>
      <c r="C459" s="61"/>
      <c r="D459" t="b">
        <f t="shared" si="21"/>
        <v>1</v>
      </c>
      <c r="F459" t="str">
        <f t="shared" si="22"/>
        <v>VI-000000-2025</v>
      </c>
      <c r="G459" s="13"/>
      <c r="H459" t="b">
        <f t="shared" si="23"/>
        <v>0</v>
      </c>
    </row>
    <row r="460" spans="2:8" x14ac:dyDescent="0.2">
      <c r="B460" s="90"/>
      <c r="C460" s="61"/>
      <c r="D460" t="b">
        <f t="shared" si="21"/>
        <v>1</v>
      </c>
      <c r="F460" t="str">
        <f t="shared" si="22"/>
        <v>VI-000000-2025</v>
      </c>
      <c r="G460" s="13"/>
      <c r="H460" t="b">
        <f t="shared" si="23"/>
        <v>0</v>
      </c>
    </row>
    <row r="461" spans="2:8" x14ac:dyDescent="0.2">
      <c r="B461" s="90"/>
      <c r="C461" s="61"/>
      <c r="D461" t="b">
        <f t="shared" si="21"/>
        <v>1</v>
      </c>
      <c r="F461" t="str">
        <f t="shared" si="22"/>
        <v>VI-000000-2025</v>
      </c>
      <c r="G461" s="13"/>
      <c r="H461" t="b">
        <f t="shared" si="23"/>
        <v>0</v>
      </c>
    </row>
    <row r="462" spans="2:8" x14ac:dyDescent="0.2">
      <c r="B462" s="90"/>
      <c r="C462" s="61"/>
      <c r="D462" t="b">
        <f t="shared" si="21"/>
        <v>1</v>
      </c>
      <c r="F462" t="str">
        <f t="shared" si="22"/>
        <v>VI-000000-2025</v>
      </c>
      <c r="G462" s="13"/>
      <c r="H462" t="b">
        <f t="shared" si="23"/>
        <v>0</v>
      </c>
    </row>
    <row r="463" spans="2:8" x14ac:dyDescent="0.2">
      <c r="B463" s="90"/>
      <c r="C463" s="61"/>
      <c r="D463" t="b">
        <f t="shared" si="21"/>
        <v>1</v>
      </c>
      <c r="F463" t="str">
        <f t="shared" si="22"/>
        <v>VI-000000-2025</v>
      </c>
      <c r="G463" s="13"/>
      <c r="H463" t="b">
        <f t="shared" si="23"/>
        <v>0</v>
      </c>
    </row>
    <row r="464" spans="2:8" x14ac:dyDescent="0.2">
      <c r="B464" s="90"/>
      <c r="C464" s="61"/>
      <c r="D464" t="b">
        <f t="shared" si="21"/>
        <v>1</v>
      </c>
      <c r="F464" t="str">
        <f t="shared" si="22"/>
        <v>VI-000000-2025</v>
      </c>
      <c r="G464" s="13"/>
      <c r="H464" t="b">
        <f t="shared" si="23"/>
        <v>0</v>
      </c>
    </row>
    <row r="465" spans="2:8" x14ac:dyDescent="0.2">
      <c r="B465" s="90"/>
      <c r="C465" s="61"/>
      <c r="D465" t="b">
        <f t="shared" si="21"/>
        <v>1</v>
      </c>
      <c r="F465" t="str">
        <f t="shared" si="22"/>
        <v>VI-000000-2025</v>
      </c>
      <c r="G465" s="13"/>
      <c r="H465" t="b">
        <f t="shared" si="23"/>
        <v>0</v>
      </c>
    </row>
    <row r="466" spans="2:8" x14ac:dyDescent="0.2">
      <c r="B466" s="90"/>
      <c r="C466" s="61"/>
      <c r="D466" t="b">
        <f t="shared" si="21"/>
        <v>1</v>
      </c>
      <c r="F466" t="str">
        <f t="shared" si="22"/>
        <v>VI-000000-2025</v>
      </c>
      <c r="G466" s="13"/>
      <c r="H466" t="b">
        <f t="shared" si="23"/>
        <v>0</v>
      </c>
    </row>
    <row r="467" spans="2:8" ht="13.5" thickBot="1" x14ac:dyDescent="0.25">
      <c r="B467" s="96"/>
      <c r="C467" s="61"/>
      <c r="D467" t="b">
        <f t="shared" si="21"/>
        <v>1</v>
      </c>
      <c r="F467" t="str">
        <f t="shared" si="22"/>
        <v>VI-000000-2025</v>
      </c>
      <c r="G467" s="52"/>
      <c r="H467" t="b">
        <f t="shared" si="23"/>
        <v>0</v>
      </c>
    </row>
    <row r="468" spans="2:8" x14ac:dyDescent="0.2">
      <c r="B468" s="110"/>
      <c r="C468" s="61"/>
      <c r="D468" t="b">
        <f t="shared" si="21"/>
        <v>1</v>
      </c>
      <c r="F468" t="str">
        <f t="shared" si="22"/>
        <v>VI-000000-2025</v>
      </c>
      <c r="G468" s="46"/>
      <c r="H468" t="b">
        <f t="shared" si="23"/>
        <v>0</v>
      </c>
    </row>
    <row r="469" spans="2:8" x14ac:dyDescent="0.2">
      <c r="B469" s="90"/>
      <c r="C469" s="61"/>
      <c r="D469" t="b">
        <f t="shared" si="21"/>
        <v>1</v>
      </c>
      <c r="F469" t="str">
        <f t="shared" si="22"/>
        <v>VI-000000-2025</v>
      </c>
      <c r="G469" s="13"/>
      <c r="H469" t="b">
        <f t="shared" si="23"/>
        <v>0</v>
      </c>
    </row>
    <row r="470" spans="2:8" x14ac:dyDescent="0.2">
      <c r="B470" s="90"/>
      <c r="C470" s="61"/>
      <c r="D470" t="b">
        <f t="shared" si="21"/>
        <v>1</v>
      </c>
      <c r="F470" t="str">
        <f t="shared" si="22"/>
        <v>VI-000000-2025</v>
      </c>
      <c r="G470" s="13"/>
      <c r="H470" t="b">
        <f t="shared" si="23"/>
        <v>0</v>
      </c>
    </row>
    <row r="471" spans="2:8" x14ac:dyDescent="0.2">
      <c r="B471" s="90"/>
      <c r="C471" s="61"/>
      <c r="D471" t="b">
        <f t="shared" si="21"/>
        <v>1</v>
      </c>
      <c r="F471" t="str">
        <f t="shared" si="22"/>
        <v>VI-000000-2025</v>
      </c>
      <c r="G471" s="13"/>
      <c r="H471" t="b">
        <f t="shared" si="23"/>
        <v>0</v>
      </c>
    </row>
    <row r="472" spans="2:8" x14ac:dyDescent="0.2">
      <c r="B472" s="109"/>
      <c r="C472" s="61"/>
      <c r="D472" t="b">
        <f t="shared" si="21"/>
        <v>1</v>
      </c>
      <c r="F472" t="str">
        <f t="shared" si="22"/>
        <v>VI-000000-2025</v>
      </c>
      <c r="G472" s="13"/>
      <c r="H472" t="b">
        <f t="shared" si="23"/>
        <v>0</v>
      </c>
    </row>
    <row r="473" spans="2:8" x14ac:dyDescent="0.2">
      <c r="B473" s="90"/>
      <c r="C473" s="61"/>
      <c r="D473" t="b">
        <f t="shared" si="21"/>
        <v>1</v>
      </c>
      <c r="F473" t="str">
        <f t="shared" si="22"/>
        <v>VI-000000-2025</v>
      </c>
      <c r="G473" s="13"/>
      <c r="H473" t="b">
        <f t="shared" si="23"/>
        <v>0</v>
      </c>
    </row>
    <row r="474" spans="2:8" x14ac:dyDescent="0.2">
      <c r="B474" s="90"/>
      <c r="C474" s="61"/>
      <c r="D474" t="b">
        <f t="shared" si="21"/>
        <v>1</v>
      </c>
      <c r="F474" t="str">
        <f t="shared" si="22"/>
        <v>VI-000000-2025</v>
      </c>
      <c r="G474" s="13"/>
      <c r="H474" t="b">
        <f t="shared" si="23"/>
        <v>0</v>
      </c>
    </row>
    <row r="475" spans="2:8" x14ac:dyDescent="0.2">
      <c r="B475" s="90"/>
      <c r="C475" s="61"/>
      <c r="D475" t="b">
        <f t="shared" si="21"/>
        <v>1</v>
      </c>
      <c r="F475" t="str">
        <f t="shared" si="22"/>
        <v>VI-000000-2025</v>
      </c>
      <c r="G475" s="13"/>
      <c r="H475" t="b">
        <f t="shared" si="23"/>
        <v>0</v>
      </c>
    </row>
    <row r="476" spans="2:8" x14ac:dyDescent="0.2">
      <c r="B476" s="90"/>
      <c r="C476" s="61"/>
      <c r="D476" t="b">
        <f t="shared" si="21"/>
        <v>1</v>
      </c>
      <c r="F476" t="str">
        <f t="shared" si="22"/>
        <v>VI-000000-2025</v>
      </c>
      <c r="G476" s="13"/>
      <c r="H476" t="b">
        <f t="shared" si="23"/>
        <v>0</v>
      </c>
    </row>
    <row r="477" spans="2:8" x14ac:dyDescent="0.2">
      <c r="B477" s="90"/>
      <c r="C477" s="61"/>
      <c r="D477" t="b">
        <f t="shared" si="21"/>
        <v>1</v>
      </c>
      <c r="F477" t="str">
        <f t="shared" si="22"/>
        <v>VI-000000-2025</v>
      </c>
      <c r="G477" s="13"/>
      <c r="H477" t="b">
        <f t="shared" si="23"/>
        <v>0</v>
      </c>
    </row>
    <row r="478" spans="2:8" x14ac:dyDescent="0.2">
      <c r="B478" s="90"/>
      <c r="C478" s="61"/>
      <c r="D478" t="b">
        <f t="shared" si="21"/>
        <v>1</v>
      </c>
      <c r="F478" t="str">
        <f t="shared" si="22"/>
        <v>VI-000000-2025</v>
      </c>
      <c r="G478" s="13"/>
      <c r="H478" t="b">
        <f t="shared" si="23"/>
        <v>0</v>
      </c>
    </row>
    <row r="479" spans="2:8" x14ac:dyDescent="0.2">
      <c r="B479" s="90"/>
      <c r="C479" s="61"/>
      <c r="D479" t="b">
        <f t="shared" si="21"/>
        <v>1</v>
      </c>
      <c r="F479" t="str">
        <f t="shared" si="22"/>
        <v>VI-000000-2025</v>
      </c>
      <c r="G479" s="13"/>
      <c r="H479" t="b">
        <f t="shared" si="23"/>
        <v>0</v>
      </c>
    </row>
    <row r="480" spans="2:8" x14ac:dyDescent="0.2">
      <c r="B480" s="90"/>
      <c r="C480" s="61"/>
      <c r="D480" t="b">
        <f t="shared" si="21"/>
        <v>1</v>
      </c>
      <c r="F480" t="str">
        <f t="shared" si="22"/>
        <v>VI-000000-2025</v>
      </c>
      <c r="G480" s="13"/>
      <c r="H480" t="b">
        <f t="shared" si="23"/>
        <v>0</v>
      </c>
    </row>
    <row r="481" spans="2:8" x14ac:dyDescent="0.2">
      <c r="B481" s="90"/>
      <c r="C481" s="61"/>
      <c r="D481" t="b">
        <f t="shared" si="21"/>
        <v>1</v>
      </c>
      <c r="F481" t="str">
        <f t="shared" si="22"/>
        <v>VI-000000-2025</v>
      </c>
      <c r="G481" s="13"/>
      <c r="H481" t="b">
        <f t="shared" si="23"/>
        <v>0</v>
      </c>
    </row>
    <row r="482" spans="2:8" x14ac:dyDescent="0.2">
      <c r="B482" s="90"/>
      <c r="C482" s="61"/>
      <c r="D482" t="b">
        <f t="shared" si="21"/>
        <v>1</v>
      </c>
      <c r="F482" t="str">
        <f t="shared" si="22"/>
        <v>VI-000000-2025</v>
      </c>
      <c r="G482" s="13"/>
      <c r="H482" t="b">
        <f t="shared" si="23"/>
        <v>0</v>
      </c>
    </row>
    <row r="483" spans="2:8" ht="13.5" thickBot="1" x14ac:dyDescent="0.25">
      <c r="B483" s="96"/>
      <c r="C483" s="61"/>
      <c r="D483" t="b">
        <f t="shared" si="21"/>
        <v>1</v>
      </c>
      <c r="F483" t="str">
        <f t="shared" si="22"/>
        <v>VI-000000-2025</v>
      </c>
      <c r="G483" s="52"/>
      <c r="H483" t="b">
        <f t="shared" si="23"/>
        <v>0</v>
      </c>
    </row>
    <row r="484" spans="2:8" x14ac:dyDescent="0.2">
      <c r="B484" s="110"/>
      <c r="C484" s="61"/>
      <c r="D484" t="b">
        <f t="shared" si="21"/>
        <v>1</v>
      </c>
      <c r="F484" t="str">
        <f t="shared" si="22"/>
        <v>VI-000000-2025</v>
      </c>
      <c r="G484" s="46"/>
      <c r="H484" t="b">
        <f t="shared" si="23"/>
        <v>0</v>
      </c>
    </row>
    <row r="485" spans="2:8" x14ac:dyDescent="0.2">
      <c r="B485" s="90"/>
      <c r="C485" s="61"/>
      <c r="D485" t="b">
        <f t="shared" si="21"/>
        <v>1</v>
      </c>
      <c r="F485" t="str">
        <f t="shared" si="22"/>
        <v>VI-000000-2025</v>
      </c>
      <c r="G485" s="13"/>
      <c r="H485" t="b">
        <f t="shared" si="23"/>
        <v>0</v>
      </c>
    </row>
    <row r="486" spans="2:8" x14ac:dyDescent="0.2">
      <c r="B486" s="90"/>
      <c r="C486" s="61"/>
      <c r="D486" t="b">
        <f t="shared" si="21"/>
        <v>1</v>
      </c>
      <c r="F486" t="str">
        <f t="shared" si="22"/>
        <v>VI-000000-2025</v>
      </c>
      <c r="G486" s="13"/>
      <c r="H486" t="b">
        <f t="shared" si="23"/>
        <v>0</v>
      </c>
    </row>
    <row r="487" spans="2:8" x14ac:dyDescent="0.2">
      <c r="B487" s="90"/>
      <c r="C487" s="61"/>
      <c r="D487" t="b">
        <f t="shared" si="21"/>
        <v>1</v>
      </c>
      <c r="F487" t="str">
        <f t="shared" si="22"/>
        <v>VI-000000-2025</v>
      </c>
      <c r="G487" s="13"/>
      <c r="H487" t="b">
        <f t="shared" si="23"/>
        <v>0</v>
      </c>
    </row>
    <row r="488" spans="2:8" x14ac:dyDescent="0.2">
      <c r="B488" s="90"/>
      <c r="C488" s="61"/>
      <c r="D488" t="b">
        <f t="shared" si="21"/>
        <v>1</v>
      </c>
      <c r="F488" t="str">
        <f t="shared" si="22"/>
        <v>VI-000000-2025</v>
      </c>
      <c r="G488" s="13"/>
      <c r="H488" t="b">
        <f t="shared" si="23"/>
        <v>0</v>
      </c>
    </row>
    <row r="489" spans="2:8" x14ac:dyDescent="0.2">
      <c r="B489" s="90"/>
      <c r="C489" s="61"/>
      <c r="D489" t="b">
        <f t="shared" si="21"/>
        <v>1</v>
      </c>
      <c r="F489" t="str">
        <f t="shared" si="22"/>
        <v>VI-000000-2025</v>
      </c>
      <c r="G489" s="13"/>
      <c r="H489" t="b">
        <f t="shared" si="23"/>
        <v>0</v>
      </c>
    </row>
    <row r="490" spans="2:8" x14ac:dyDescent="0.2">
      <c r="B490" s="90"/>
      <c r="C490" s="61"/>
      <c r="D490" t="b">
        <f t="shared" si="21"/>
        <v>1</v>
      </c>
      <c r="F490" t="str">
        <f t="shared" si="22"/>
        <v>VI-000000-2025</v>
      </c>
      <c r="G490" s="13"/>
      <c r="H490" t="b">
        <f t="shared" si="23"/>
        <v>0</v>
      </c>
    </row>
    <row r="491" spans="2:8" x14ac:dyDescent="0.2">
      <c r="B491" s="109"/>
      <c r="C491" s="61"/>
      <c r="D491" t="b">
        <f t="shared" si="21"/>
        <v>1</v>
      </c>
      <c r="F491" t="str">
        <f t="shared" si="22"/>
        <v>VI-000000-2025</v>
      </c>
      <c r="G491" s="13"/>
      <c r="H491" t="b">
        <f t="shared" si="23"/>
        <v>0</v>
      </c>
    </row>
    <row r="492" spans="2:8" x14ac:dyDescent="0.2">
      <c r="B492" s="90"/>
      <c r="C492" s="61"/>
      <c r="D492" t="b">
        <f t="shared" si="21"/>
        <v>1</v>
      </c>
      <c r="F492" t="str">
        <f t="shared" si="22"/>
        <v>VI-000000-2025</v>
      </c>
      <c r="G492" s="13"/>
      <c r="H492" t="b">
        <f t="shared" si="23"/>
        <v>0</v>
      </c>
    </row>
    <row r="493" spans="2:8" x14ac:dyDescent="0.2">
      <c r="B493" s="90"/>
      <c r="C493" s="61"/>
      <c r="D493" t="b">
        <f t="shared" si="21"/>
        <v>1</v>
      </c>
      <c r="F493" t="str">
        <f t="shared" si="22"/>
        <v>VI-000000-2025</v>
      </c>
      <c r="G493" s="13"/>
      <c r="H493" t="b">
        <f t="shared" si="23"/>
        <v>0</v>
      </c>
    </row>
    <row r="494" spans="2:8" x14ac:dyDescent="0.2">
      <c r="B494" s="90"/>
      <c r="C494" s="61"/>
      <c r="D494" t="b">
        <f t="shared" si="21"/>
        <v>1</v>
      </c>
      <c r="F494" t="str">
        <f t="shared" si="22"/>
        <v>VI-000000-2025</v>
      </c>
      <c r="G494" s="13"/>
      <c r="H494" t="b">
        <f t="shared" si="23"/>
        <v>0</v>
      </c>
    </row>
    <row r="495" spans="2:8" x14ac:dyDescent="0.2">
      <c r="B495" s="109"/>
      <c r="C495" s="61"/>
      <c r="D495" t="b">
        <f t="shared" si="21"/>
        <v>1</v>
      </c>
      <c r="F495" t="str">
        <f t="shared" si="22"/>
        <v>VI-000000-2025</v>
      </c>
      <c r="G495" s="13"/>
      <c r="H495" t="b">
        <f t="shared" si="23"/>
        <v>0</v>
      </c>
    </row>
    <row r="496" spans="2:8" x14ac:dyDescent="0.2">
      <c r="B496" s="90"/>
      <c r="C496" s="61"/>
      <c r="D496" t="b">
        <f t="shared" si="21"/>
        <v>1</v>
      </c>
      <c r="F496" t="str">
        <f t="shared" si="22"/>
        <v>VI-000000-2025</v>
      </c>
      <c r="G496" s="13"/>
      <c r="H496" t="b">
        <f t="shared" si="23"/>
        <v>0</v>
      </c>
    </row>
    <row r="497" spans="2:8" x14ac:dyDescent="0.2">
      <c r="B497" s="90"/>
      <c r="C497" s="61"/>
      <c r="D497" t="b">
        <f t="shared" si="21"/>
        <v>1</v>
      </c>
      <c r="F497" t="str">
        <f t="shared" si="22"/>
        <v>VI-000000-2025</v>
      </c>
      <c r="G497" s="13"/>
      <c r="H497" t="b">
        <f t="shared" si="23"/>
        <v>0</v>
      </c>
    </row>
    <row r="498" spans="2:8" x14ac:dyDescent="0.2">
      <c r="B498" s="109"/>
      <c r="C498" s="61"/>
      <c r="D498" t="b">
        <f t="shared" si="21"/>
        <v>1</v>
      </c>
      <c r="F498" t="str">
        <f t="shared" si="22"/>
        <v>VI-000000-2025</v>
      </c>
      <c r="G498" s="13"/>
      <c r="H498" t="b">
        <f t="shared" si="23"/>
        <v>0</v>
      </c>
    </row>
    <row r="499" spans="2:8" ht="13.5" thickBot="1" x14ac:dyDescent="0.25">
      <c r="B499" s="96"/>
      <c r="C499" s="61"/>
      <c r="D499" t="b">
        <f t="shared" si="21"/>
        <v>1</v>
      </c>
      <c r="F499" t="str">
        <f t="shared" si="22"/>
        <v>VI-000000-2025</v>
      </c>
      <c r="G499" s="52"/>
      <c r="H499" t="b">
        <f t="shared" si="23"/>
        <v>0</v>
      </c>
    </row>
    <row r="500" spans="2:8" x14ac:dyDescent="0.2">
      <c r="B500" s="90"/>
      <c r="C500" s="61"/>
      <c r="D500" t="b">
        <f t="shared" si="21"/>
        <v>1</v>
      </c>
      <c r="F500" t="str">
        <f t="shared" si="22"/>
        <v>VI-000000-2025</v>
      </c>
      <c r="G500" s="13"/>
      <c r="H500" t="b">
        <f t="shared" si="23"/>
        <v>0</v>
      </c>
    </row>
    <row r="501" spans="2:8" x14ac:dyDescent="0.2">
      <c r="B501" s="90"/>
      <c r="C501" s="61"/>
      <c r="D501" t="b">
        <f t="shared" si="21"/>
        <v>1</v>
      </c>
      <c r="F501" t="str">
        <f t="shared" si="22"/>
        <v>VI-000000-2025</v>
      </c>
      <c r="G501" s="13"/>
      <c r="H501" t="b">
        <f t="shared" si="23"/>
        <v>0</v>
      </c>
    </row>
    <row r="502" spans="2:8" x14ac:dyDescent="0.2">
      <c r="B502" s="90"/>
      <c r="C502" s="61"/>
      <c r="D502" t="b">
        <f t="shared" si="21"/>
        <v>1</v>
      </c>
      <c r="F502" t="str">
        <f t="shared" si="22"/>
        <v>VI-000000-2025</v>
      </c>
      <c r="G502" s="13"/>
      <c r="H502" t="b">
        <f t="shared" si="23"/>
        <v>0</v>
      </c>
    </row>
    <row r="503" spans="2:8" x14ac:dyDescent="0.2">
      <c r="B503" s="90"/>
      <c r="C503" s="61"/>
      <c r="D503" t="b">
        <f t="shared" si="21"/>
        <v>1</v>
      </c>
      <c r="F503" t="str">
        <f t="shared" si="22"/>
        <v>VI-000000-2025</v>
      </c>
      <c r="G503" s="56"/>
      <c r="H503" t="b">
        <f t="shared" si="23"/>
        <v>0</v>
      </c>
    </row>
    <row r="504" spans="2:8" x14ac:dyDescent="0.2">
      <c r="B504" s="90"/>
      <c r="C504" s="61"/>
      <c r="D504" t="b">
        <f t="shared" si="21"/>
        <v>1</v>
      </c>
      <c r="F504" t="str">
        <f t="shared" si="22"/>
        <v>VI-000000-2025</v>
      </c>
      <c r="G504" s="13"/>
      <c r="H504" t="b">
        <f t="shared" si="23"/>
        <v>0</v>
      </c>
    </row>
    <row r="505" spans="2:8" x14ac:dyDescent="0.2">
      <c r="B505" s="90"/>
      <c r="C505" s="61"/>
      <c r="D505" t="b">
        <f t="shared" si="21"/>
        <v>1</v>
      </c>
      <c r="F505" t="str">
        <f t="shared" si="22"/>
        <v>VI-000000-2025</v>
      </c>
      <c r="G505" s="58"/>
      <c r="H505" t="b">
        <f t="shared" si="23"/>
        <v>0</v>
      </c>
    </row>
    <row r="506" spans="2:8" x14ac:dyDescent="0.2">
      <c r="B506" s="90"/>
      <c r="C506" s="61"/>
      <c r="D506" t="b">
        <f t="shared" si="21"/>
        <v>1</v>
      </c>
      <c r="F506" t="str">
        <f t="shared" si="22"/>
        <v>VI-000000-2025</v>
      </c>
      <c r="G506" s="13"/>
      <c r="H506" t="b">
        <f t="shared" si="23"/>
        <v>0</v>
      </c>
    </row>
    <row r="507" spans="2:8" x14ac:dyDescent="0.2">
      <c r="B507" s="90"/>
      <c r="C507" s="61"/>
      <c r="D507" t="b">
        <f t="shared" si="21"/>
        <v>1</v>
      </c>
      <c r="F507" t="str">
        <f t="shared" si="22"/>
        <v>VI-000000-2025</v>
      </c>
      <c r="G507" s="13"/>
      <c r="H507" t="b">
        <f t="shared" si="23"/>
        <v>0</v>
      </c>
    </row>
    <row r="508" spans="2:8" x14ac:dyDescent="0.2">
      <c r="B508" s="90"/>
      <c r="C508" s="61"/>
      <c r="D508" t="b">
        <f t="shared" si="21"/>
        <v>1</v>
      </c>
      <c r="F508" t="str">
        <f t="shared" si="22"/>
        <v>VI-000000-2025</v>
      </c>
      <c r="G508" s="13"/>
      <c r="H508" t="b">
        <f t="shared" si="23"/>
        <v>0</v>
      </c>
    </row>
    <row r="509" spans="2:8" x14ac:dyDescent="0.2">
      <c r="B509" s="90"/>
      <c r="C509" s="61"/>
      <c r="D509" t="b">
        <f t="shared" si="21"/>
        <v>1</v>
      </c>
      <c r="F509" t="str">
        <f t="shared" si="22"/>
        <v>VI-000000-2025</v>
      </c>
      <c r="G509" s="13"/>
      <c r="H509" t="b">
        <f t="shared" si="23"/>
        <v>0</v>
      </c>
    </row>
    <row r="510" spans="2:8" x14ac:dyDescent="0.2">
      <c r="B510" s="90"/>
      <c r="C510" s="61"/>
      <c r="D510" t="b">
        <f t="shared" si="21"/>
        <v>1</v>
      </c>
      <c r="F510" t="str">
        <f t="shared" si="22"/>
        <v>VI-000000-2025</v>
      </c>
      <c r="G510" s="13"/>
      <c r="H510" t="b">
        <f t="shared" si="23"/>
        <v>0</v>
      </c>
    </row>
    <row r="511" spans="2:8" x14ac:dyDescent="0.2">
      <c r="B511" s="90"/>
      <c r="C511" s="61"/>
      <c r="D511" t="b">
        <f t="shared" si="21"/>
        <v>1</v>
      </c>
      <c r="F511" t="str">
        <f t="shared" si="22"/>
        <v>VI-000000-2025</v>
      </c>
      <c r="G511" s="13"/>
      <c r="H511" t="b">
        <f t="shared" si="23"/>
        <v>0</v>
      </c>
    </row>
    <row r="512" spans="2:8" x14ac:dyDescent="0.2">
      <c r="B512" s="90"/>
      <c r="C512" s="61"/>
      <c r="D512" t="b">
        <f t="shared" si="21"/>
        <v>1</v>
      </c>
      <c r="F512" t="str">
        <f t="shared" si="22"/>
        <v>VI-000000-2025</v>
      </c>
      <c r="G512" s="13"/>
      <c r="H512" t="b">
        <f t="shared" si="23"/>
        <v>0</v>
      </c>
    </row>
    <row r="513" spans="2:8" x14ac:dyDescent="0.2">
      <c r="B513" s="90"/>
      <c r="C513" s="61"/>
      <c r="D513" t="b">
        <f t="shared" si="21"/>
        <v>1</v>
      </c>
      <c r="F513" t="str">
        <f t="shared" si="22"/>
        <v>VI-000000-2025</v>
      </c>
      <c r="G513" s="13"/>
      <c r="H513" t="b">
        <f t="shared" si="23"/>
        <v>0</v>
      </c>
    </row>
    <row r="514" spans="2:8" x14ac:dyDescent="0.2">
      <c r="B514" s="90"/>
      <c r="C514" s="61"/>
      <c r="D514" t="b">
        <f t="shared" si="21"/>
        <v>1</v>
      </c>
      <c r="F514" t="str">
        <f t="shared" si="22"/>
        <v>VI-000000-2025</v>
      </c>
      <c r="G514" s="13"/>
      <c r="H514" t="b">
        <f t="shared" si="23"/>
        <v>0</v>
      </c>
    </row>
    <row r="515" spans="2:8" ht="13.5" thickBot="1" x14ac:dyDescent="0.25">
      <c r="B515" s="96"/>
      <c r="C515" s="61"/>
      <c r="D515" t="b">
        <f t="shared" si="21"/>
        <v>1</v>
      </c>
      <c r="F515" t="str">
        <f t="shared" si="22"/>
        <v>VI-000000-2025</v>
      </c>
      <c r="G515" s="52"/>
      <c r="H515" t="b">
        <f t="shared" si="23"/>
        <v>0</v>
      </c>
    </row>
    <row r="516" spans="2:8" x14ac:dyDescent="0.2">
      <c r="B516" s="111"/>
      <c r="C516" s="61"/>
      <c r="D516" t="b">
        <f t="shared" si="21"/>
        <v>1</v>
      </c>
      <c r="F516" t="str">
        <f t="shared" si="22"/>
        <v>VI-000000-2025</v>
      </c>
      <c r="G516" s="58"/>
      <c r="H516" t="b">
        <f t="shared" si="23"/>
        <v>0</v>
      </c>
    </row>
    <row r="517" spans="2:8" x14ac:dyDescent="0.2">
      <c r="B517" s="90"/>
      <c r="C517" s="61"/>
      <c r="D517" t="b">
        <f t="shared" ref="D517:D580" si="24">B517=C517</f>
        <v>1</v>
      </c>
      <c r="F517" t="str">
        <f t="shared" ref="F517:F580" si="25">"VI-"&amp;TEXT(E517,"000000")&amp;"-2025"</f>
        <v>VI-000000-2025</v>
      </c>
      <c r="G517" s="13"/>
      <c r="H517" t="b">
        <f t="shared" ref="H517:H580" si="26">F517=G517</f>
        <v>0</v>
      </c>
    </row>
    <row r="518" spans="2:8" x14ac:dyDescent="0.2">
      <c r="B518" s="90"/>
      <c r="C518" s="61"/>
      <c r="D518" t="b">
        <f t="shared" si="24"/>
        <v>1</v>
      </c>
      <c r="F518" t="str">
        <f t="shared" si="25"/>
        <v>VI-000000-2025</v>
      </c>
      <c r="G518" s="13"/>
      <c r="H518" t="b">
        <f t="shared" si="26"/>
        <v>0</v>
      </c>
    </row>
    <row r="519" spans="2:8" x14ac:dyDescent="0.2">
      <c r="B519" s="90"/>
      <c r="C519" s="61"/>
      <c r="D519" t="b">
        <f t="shared" si="24"/>
        <v>1</v>
      </c>
      <c r="F519" t="str">
        <f t="shared" si="25"/>
        <v>VI-000000-2025</v>
      </c>
      <c r="G519" s="13"/>
      <c r="H519" t="b">
        <f t="shared" si="26"/>
        <v>0</v>
      </c>
    </row>
    <row r="520" spans="2:8" x14ac:dyDescent="0.2">
      <c r="B520" s="90"/>
      <c r="C520" s="61"/>
      <c r="D520" t="b">
        <f t="shared" si="24"/>
        <v>1</v>
      </c>
      <c r="F520" t="str">
        <f t="shared" si="25"/>
        <v>VI-000000-2025</v>
      </c>
      <c r="G520" s="13"/>
      <c r="H520" t="b">
        <f t="shared" si="26"/>
        <v>0</v>
      </c>
    </row>
    <row r="521" spans="2:8" x14ac:dyDescent="0.2">
      <c r="B521" s="90"/>
      <c r="C521" s="61"/>
      <c r="D521" t="b">
        <f t="shared" si="24"/>
        <v>1</v>
      </c>
      <c r="F521" t="str">
        <f t="shared" si="25"/>
        <v>VI-000000-2025</v>
      </c>
      <c r="G521" s="13"/>
      <c r="H521" t="b">
        <f t="shared" si="26"/>
        <v>0</v>
      </c>
    </row>
    <row r="522" spans="2:8" x14ac:dyDescent="0.2">
      <c r="B522" s="90"/>
      <c r="C522" s="61"/>
      <c r="D522" t="b">
        <f t="shared" si="24"/>
        <v>1</v>
      </c>
      <c r="F522" t="str">
        <f t="shared" si="25"/>
        <v>VI-000000-2025</v>
      </c>
      <c r="G522" s="13"/>
      <c r="H522" t="b">
        <f t="shared" si="26"/>
        <v>0</v>
      </c>
    </row>
    <row r="523" spans="2:8" x14ac:dyDescent="0.2">
      <c r="B523" s="90"/>
      <c r="C523" s="61"/>
      <c r="D523" t="b">
        <f t="shared" si="24"/>
        <v>1</v>
      </c>
      <c r="F523" t="str">
        <f t="shared" si="25"/>
        <v>VI-000000-2025</v>
      </c>
      <c r="G523" s="13"/>
      <c r="H523" t="b">
        <f t="shared" si="26"/>
        <v>0</v>
      </c>
    </row>
    <row r="524" spans="2:8" x14ac:dyDescent="0.2">
      <c r="B524" s="90"/>
      <c r="C524" s="61"/>
      <c r="D524" t="b">
        <f t="shared" si="24"/>
        <v>1</v>
      </c>
      <c r="F524" t="str">
        <f t="shared" si="25"/>
        <v>VI-000000-2025</v>
      </c>
      <c r="G524" s="13"/>
      <c r="H524" t="b">
        <f t="shared" si="26"/>
        <v>0</v>
      </c>
    </row>
    <row r="525" spans="2:8" x14ac:dyDescent="0.2">
      <c r="B525" s="90"/>
      <c r="C525" s="61"/>
      <c r="D525" t="b">
        <f t="shared" si="24"/>
        <v>1</v>
      </c>
      <c r="F525" t="str">
        <f t="shared" si="25"/>
        <v>VI-000000-2025</v>
      </c>
      <c r="G525" s="13"/>
      <c r="H525" t="b">
        <f t="shared" si="26"/>
        <v>0</v>
      </c>
    </row>
    <row r="526" spans="2:8" x14ac:dyDescent="0.2">
      <c r="B526" s="109"/>
      <c r="C526" s="61"/>
      <c r="D526" t="b">
        <f t="shared" si="24"/>
        <v>1</v>
      </c>
      <c r="F526" t="str">
        <f t="shared" si="25"/>
        <v>VI-000000-2025</v>
      </c>
      <c r="G526" s="13"/>
      <c r="H526" t="b">
        <f t="shared" si="26"/>
        <v>0</v>
      </c>
    </row>
    <row r="527" spans="2:8" x14ac:dyDescent="0.2">
      <c r="B527" s="90"/>
      <c r="C527" s="61"/>
      <c r="D527" t="b">
        <f t="shared" si="24"/>
        <v>1</v>
      </c>
      <c r="F527" t="str">
        <f t="shared" si="25"/>
        <v>VI-000000-2025</v>
      </c>
      <c r="G527" s="13"/>
      <c r="H527" t="b">
        <f t="shared" si="26"/>
        <v>0</v>
      </c>
    </row>
    <row r="528" spans="2:8" x14ac:dyDescent="0.2">
      <c r="B528" s="90"/>
      <c r="C528" s="61"/>
      <c r="D528" t="b">
        <f t="shared" si="24"/>
        <v>1</v>
      </c>
      <c r="F528" t="str">
        <f t="shared" si="25"/>
        <v>VI-000000-2025</v>
      </c>
      <c r="G528" s="13"/>
      <c r="H528" t="b">
        <f t="shared" si="26"/>
        <v>0</v>
      </c>
    </row>
    <row r="529" spans="2:8" x14ac:dyDescent="0.2">
      <c r="B529" s="90"/>
      <c r="C529" s="61"/>
      <c r="D529" t="b">
        <f t="shared" si="24"/>
        <v>1</v>
      </c>
      <c r="F529" t="str">
        <f t="shared" si="25"/>
        <v>VI-000000-2025</v>
      </c>
      <c r="G529" s="13"/>
      <c r="H529" t="b">
        <f t="shared" si="26"/>
        <v>0</v>
      </c>
    </row>
    <row r="530" spans="2:8" x14ac:dyDescent="0.2">
      <c r="B530" s="90"/>
      <c r="C530" s="61"/>
      <c r="D530" t="b">
        <f t="shared" si="24"/>
        <v>1</v>
      </c>
      <c r="F530" t="str">
        <f t="shared" si="25"/>
        <v>VI-000000-2025</v>
      </c>
      <c r="G530" s="13"/>
      <c r="H530" t="b">
        <f t="shared" si="26"/>
        <v>0</v>
      </c>
    </row>
    <row r="531" spans="2:8" ht="13.5" thickBot="1" x14ac:dyDescent="0.25">
      <c r="B531" s="96"/>
      <c r="C531" s="61"/>
      <c r="D531" t="b">
        <f t="shared" si="24"/>
        <v>1</v>
      </c>
      <c r="F531" t="str">
        <f t="shared" si="25"/>
        <v>VI-000000-2025</v>
      </c>
      <c r="G531" s="52"/>
      <c r="H531" t="b">
        <f t="shared" si="26"/>
        <v>0</v>
      </c>
    </row>
    <row r="532" spans="2:8" x14ac:dyDescent="0.2">
      <c r="B532" s="111"/>
      <c r="C532" s="61"/>
      <c r="D532" t="b">
        <f t="shared" si="24"/>
        <v>1</v>
      </c>
      <c r="F532" t="str">
        <f t="shared" si="25"/>
        <v>VI-000000-2025</v>
      </c>
      <c r="G532" s="58"/>
      <c r="H532" t="b">
        <f t="shared" si="26"/>
        <v>0</v>
      </c>
    </row>
    <row r="533" spans="2:8" x14ac:dyDescent="0.2">
      <c r="B533" s="90"/>
      <c r="C533" s="61"/>
      <c r="D533" t="b">
        <f t="shared" si="24"/>
        <v>1</v>
      </c>
      <c r="F533" t="str">
        <f t="shared" si="25"/>
        <v>VI-000000-2025</v>
      </c>
      <c r="G533" s="13"/>
      <c r="H533" t="b">
        <f t="shared" si="26"/>
        <v>0</v>
      </c>
    </row>
    <row r="534" spans="2:8" x14ac:dyDescent="0.2">
      <c r="B534" s="90"/>
      <c r="C534" s="61"/>
      <c r="D534" t="b">
        <f t="shared" si="24"/>
        <v>1</v>
      </c>
      <c r="F534" t="str">
        <f t="shared" si="25"/>
        <v>VI-000000-2025</v>
      </c>
      <c r="G534" s="13"/>
      <c r="H534" t="b">
        <f t="shared" si="26"/>
        <v>0</v>
      </c>
    </row>
    <row r="535" spans="2:8" x14ac:dyDescent="0.2">
      <c r="B535" s="90"/>
      <c r="C535" s="61"/>
      <c r="D535" t="b">
        <f t="shared" si="24"/>
        <v>1</v>
      </c>
      <c r="F535" t="str">
        <f t="shared" si="25"/>
        <v>VI-000000-2025</v>
      </c>
      <c r="G535" s="13"/>
      <c r="H535" t="b">
        <f t="shared" si="26"/>
        <v>0</v>
      </c>
    </row>
    <row r="536" spans="2:8" x14ac:dyDescent="0.2">
      <c r="B536" s="109"/>
      <c r="C536" s="61"/>
      <c r="D536" t="b">
        <f t="shared" si="24"/>
        <v>1</v>
      </c>
      <c r="F536" t="str">
        <f t="shared" si="25"/>
        <v>VI-000000-2025</v>
      </c>
      <c r="G536" s="13"/>
      <c r="H536" t="b">
        <f t="shared" si="26"/>
        <v>0</v>
      </c>
    </row>
    <row r="537" spans="2:8" x14ac:dyDescent="0.2">
      <c r="B537" s="109"/>
      <c r="C537" s="61"/>
      <c r="D537" t="b">
        <f t="shared" si="24"/>
        <v>1</v>
      </c>
      <c r="F537" t="str">
        <f t="shared" si="25"/>
        <v>VI-000000-2025</v>
      </c>
      <c r="G537" s="13"/>
      <c r="H537" t="b">
        <f t="shared" si="26"/>
        <v>0</v>
      </c>
    </row>
    <row r="538" spans="2:8" x14ac:dyDescent="0.2">
      <c r="B538" s="109"/>
      <c r="C538" s="61"/>
      <c r="D538" t="b">
        <f t="shared" si="24"/>
        <v>1</v>
      </c>
      <c r="F538" t="str">
        <f t="shared" si="25"/>
        <v>VI-000000-2025</v>
      </c>
      <c r="G538" s="13"/>
      <c r="H538" t="b">
        <f t="shared" si="26"/>
        <v>0</v>
      </c>
    </row>
    <row r="539" spans="2:8" x14ac:dyDescent="0.2">
      <c r="B539" s="90"/>
      <c r="C539" s="61"/>
      <c r="D539" t="b">
        <f t="shared" si="24"/>
        <v>1</v>
      </c>
      <c r="F539" t="str">
        <f t="shared" si="25"/>
        <v>VI-000000-2025</v>
      </c>
      <c r="G539" s="13"/>
      <c r="H539" t="b">
        <f t="shared" si="26"/>
        <v>0</v>
      </c>
    </row>
    <row r="540" spans="2:8" x14ac:dyDescent="0.2">
      <c r="B540" s="90"/>
      <c r="C540" s="61"/>
      <c r="D540" t="b">
        <f t="shared" si="24"/>
        <v>1</v>
      </c>
      <c r="F540" t="str">
        <f t="shared" si="25"/>
        <v>VI-000000-2025</v>
      </c>
      <c r="G540" s="13"/>
      <c r="H540" t="b">
        <f t="shared" si="26"/>
        <v>0</v>
      </c>
    </row>
    <row r="541" spans="2:8" x14ac:dyDescent="0.2">
      <c r="B541" s="90"/>
      <c r="C541" s="61"/>
      <c r="D541" t="b">
        <f t="shared" si="24"/>
        <v>1</v>
      </c>
      <c r="F541" t="str">
        <f t="shared" si="25"/>
        <v>VI-000000-2025</v>
      </c>
      <c r="G541" s="13"/>
      <c r="H541" t="b">
        <f t="shared" si="26"/>
        <v>0</v>
      </c>
    </row>
    <row r="542" spans="2:8" x14ac:dyDescent="0.2">
      <c r="B542" s="90"/>
      <c r="C542" s="61"/>
      <c r="D542" t="b">
        <f t="shared" si="24"/>
        <v>1</v>
      </c>
      <c r="F542" t="str">
        <f t="shared" si="25"/>
        <v>VI-000000-2025</v>
      </c>
      <c r="G542" s="13"/>
      <c r="H542" t="b">
        <f t="shared" si="26"/>
        <v>0</v>
      </c>
    </row>
    <row r="543" spans="2:8" ht="13.5" thickBot="1" x14ac:dyDescent="0.25">
      <c r="B543" s="60"/>
      <c r="C543" s="61"/>
      <c r="D543" t="b">
        <f t="shared" si="24"/>
        <v>1</v>
      </c>
      <c r="F543" t="str">
        <f t="shared" si="25"/>
        <v>VI-000000-2025</v>
      </c>
      <c r="G543" s="52"/>
      <c r="H543" t="b">
        <f t="shared" si="26"/>
        <v>0</v>
      </c>
    </row>
    <row r="544" spans="2:8" x14ac:dyDescent="0.2">
      <c r="B544" s="110"/>
      <c r="C544" s="61"/>
      <c r="D544" t="b">
        <f t="shared" si="24"/>
        <v>1</v>
      </c>
      <c r="F544" t="str">
        <f t="shared" si="25"/>
        <v>VI-000000-2025</v>
      </c>
      <c r="G544" s="46"/>
      <c r="H544" t="b">
        <f t="shared" si="26"/>
        <v>0</v>
      </c>
    </row>
    <row r="545" spans="2:8" x14ac:dyDescent="0.2">
      <c r="B545" s="111"/>
      <c r="C545" s="61"/>
      <c r="D545" t="b">
        <f t="shared" si="24"/>
        <v>1</v>
      </c>
      <c r="F545" t="str">
        <f t="shared" si="25"/>
        <v>VI-000000-2025</v>
      </c>
      <c r="G545" s="13"/>
      <c r="H545" t="b">
        <f t="shared" si="26"/>
        <v>0</v>
      </c>
    </row>
    <row r="546" spans="2:8" x14ac:dyDescent="0.2">
      <c r="B546" s="111"/>
      <c r="C546" s="61"/>
      <c r="D546" t="b">
        <f t="shared" si="24"/>
        <v>1</v>
      </c>
      <c r="F546" t="str">
        <f t="shared" si="25"/>
        <v>VI-000000-2025</v>
      </c>
      <c r="G546" s="13"/>
      <c r="H546" t="b">
        <f t="shared" si="26"/>
        <v>0</v>
      </c>
    </row>
    <row r="547" spans="2:8" x14ac:dyDescent="0.2">
      <c r="B547" s="111"/>
      <c r="C547" s="61"/>
      <c r="D547" t="b">
        <f t="shared" si="24"/>
        <v>1</v>
      </c>
      <c r="F547" t="str">
        <f t="shared" si="25"/>
        <v>VI-000000-2025</v>
      </c>
      <c r="G547" s="13"/>
      <c r="H547" t="b">
        <f t="shared" si="26"/>
        <v>0</v>
      </c>
    </row>
    <row r="548" spans="2:8" x14ac:dyDescent="0.2">
      <c r="B548" s="111"/>
      <c r="C548" s="61"/>
      <c r="D548" t="b">
        <f t="shared" si="24"/>
        <v>1</v>
      </c>
      <c r="F548" t="str">
        <f t="shared" si="25"/>
        <v>VI-000000-2025</v>
      </c>
      <c r="G548" s="13"/>
      <c r="H548" t="b">
        <f t="shared" si="26"/>
        <v>0</v>
      </c>
    </row>
    <row r="549" spans="2:8" x14ac:dyDescent="0.2">
      <c r="B549" s="111"/>
      <c r="C549" s="61"/>
      <c r="D549" t="b">
        <f t="shared" si="24"/>
        <v>1</v>
      </c>
      <c r="F549" t="str">
        <f t="shared" si="25"/>
        <v>VI-000000-2025</v>
      </c>
      <c r="G549" s="13"/>
      <c r="H549" t="b">
        <f t="shared" si="26"/>
        <v>0</v>
      </c>
    </row>
    <row r="550" spans="2:8" x14ac:dyDescent="0.2">
      <c r="B550" s="111"/>
      <c r="C550" s="61"/>
      <c r="D550" t="b">
        <f t="shared" si="24"/>
        <v>1</v>
      </c>
      <c r="F550" t="str">
        <f t="shared" si="25"/>
        <v>VI-000000-2025</v>
      </c>
      <c r="G550" s="13"/>
      <c r="H550" t="b">
        <f t="shared" si="26"/>
        <v>0</v>
      </c>
    </row>
    <row r="551" spans="2:8" x14ac:dyDescent="0.2">
      <c r="B551" s="111"/>
      <c r="C551" s="61"/>
      <c r="D551" t="b">
        <f t="shared" si="24"/>
        <v>1</v>
      </c>
      <c r="F551" t="str">
        <f t="shared" si="25"/>
        <v>VI-000000-2025</v>
      </c>
      <c r="G551" s="13"/>
      <c r="H551" t="b">
        <f t="shared" si="26"/>
        <v>0</v>
      </c>
    </row>
    <row r="552" spans="2:8" x14ac:dyDescent="0.2">
      <c r="B552" s="111"/>
      <c r="C552" s="61"/>
      <c r="D552" t="b">
        <f t="shared" si="24"/>
        <v>1</v>
      </c>
      <c r="F552" t="str">
        <f t="shared" si="25"/>
        <v>VI-000000-2025</v>
      </c>
      <c r="G552" s="13"/>
      <c r="H552" t="b">
        <f t="shared" si="26"/>
        <v>0</v>
      </c>
    </row>
    <row r="553" spans="2:8" x14ac:dyDescent="0.2">
      <c r="B553" s="111"/>
      <c r="C553" s="61"/>
      <c r="D553" t="b">
        <f t="shared" si="24"/>
        <v>1</v>
      </c>
      <c r="F553" t="str">
        <f t="shared" si="25"/>
        <v>VI-000000-2025</v>
      </c>
      <c r="G553" s="13"/>
      <c r="H553" t="b">
        <f t="shared" si="26"/>
        <v>0</v>
      </c>
    </row>
    <row r="554" spans="2:8" x14ac:dyDescent="0.2">
      <c r="B554" s="111"/>
      <c r="C554" s="61"/>
      <c r="D554" t="b">
        <f t="shared" si="24"/>
        <v>1</v>
      </c>
      <c r="F554" t="str">
        <f t="shared" si="25"/>
        <v>VI-000000-2025</v>
      </c>
      <c r="G554" s="13"/>
      <c r="H554" t="b">
        <f t="shared" si="26"/>
        <v>0</v>
      </c>
    </row>
    <row r="555" spans="2:8" x14ac:dyDescent="0.2">
      <c r="B555" s="111"/>
      <c r="C555" s="61"/>
      <c r="D555" t="b">
        <f t="shared" si="24"/>
        <v>1</v>
      </c>
      <c r="F555" t="str">
        <f t="shared" si="25"/>
        <v>VI-000000-2025</v>
      </c>
      <c r="G555" s="13"/>
      <c r="H555" t="b">
        <f t="shared" si="26"/>
        <v>0</v>
      </c>
    </row>
    <row r="556" spans="2:8" x14ac:dyDescent="0.2">
      <c r="B556" s="111"/>
      <c r="C556" s="61"/>
      <c r="D556" t="b">
        <f t="shared" si="24"/>
        <v>1</v>
      </c>
      <c r="F556" t="str">
        <f t="shared" si="25"/>
        <v>VI-000000-2025</v>
      </c>
      <c r="G556" s="13"/>
      <c r="H556" t="b">
        <f t="shared" si="26"/>
        <v>0</v>
      </c>
    </row>
    <row r="557" spans="2:8" x14ac:dyDescent="0.2">
      <c r="B557" s="111"/>
      <c r="C557" s="61"/>
      <c r="D557" t="b">
        <f t="shared" si="24"/>
        <v>1</v>
      </c>
      <c r="F557" t="str">
        <f t="shared" si="25"/>
        <v>VI-000000-2025</v>
      </c>
      <c r="G557" s="13"/>
      <c r="H557" t="b">
        <f t="shared" si="26"/>
        <v>0</v>
      </c>
    </row>
    <row r="558" spans="2:8" ht="13.5" thickBot="1" x14ac:dyDescent="0.25">
      <c r="B558" s="113"/>
      <c r="C558" s="61"/>
      <c r="D558" t="b">
        <f t="shared" si="24"/>
        <v>1</v>
      </c>
      <c r="F558" t="str">
        <f t="shared" si="25"/>
        <v>VI-000000-2025</v>
      </c>
      <c r="G558" s="52"/>
      <c r="H558" t="b">
        <f t="shared" si="26"/>
        <v>0</v>
      </c>
    </row>
    <row r="559" spans="2:8" x14ac:dyDescent="0.2">
      <c r="B559" s="110"/>
      <c r="C559" s="61"/>
      <c r="D559" t="b">
        <f t="shared" si="24"/>
        <v>1</v>
      </c>
      <c r="F559" t="str">
        <f t="shared" si="25"/>
        <v>VI-000000-2025</v>
      </c>
      <c r="G559" s="46"/>
      <c r="H559" t="b">
        <f t="shared" si="26"/>
        <v>0</v>
      </c>
    </row>
    <row r="560" spans="2:8" x14ac:dyDescent="0.2">
      <c r="B560" s="111"/>
      <c r="C560" s="61"/>
      <c r="D560" t="b">
        <f t="shared" si="24"/>
        <v>1</v>
      </c>
      <c r="F560" t="str">
        <f t="shared" si="25"/>
        <v>VI-000000-2025</v>
      </c>
      <c r="G560" s="13"/>
      <c r="H560" t="b">
        <f t="shared" si="26"/>
        <v>0</v>
      </c>
    </row>
    <row r="561" spans="2:8" x14ac:dyDescent="0.2">
      <c r="B561" s="111"/>
      <c r="C561" s="61"/>
      <c r="D561" t="b">
        <f t="shared" si="24"/>
        <v>1</v>
      </c>
      <c r="F561" t="str">
        <f t="shared" si="25"/>
        <v>VI-000000-2025</v>
      </c>
      <c r="G561" s="13"/>
      <c r="H561" t="b">
        <f t="shared" si="26"/>
        <v>0</v>
      </c>
    </row>
    <row r="562" spans="2:8" x14ac:dyDescent="0.2">
      <c r="B562" s="111"/>
      <c r="C562" s="61"/>
      <c r="D562" t="b">
        <f t="shared" si="24"/>
        <v>1</v>
      </c>
      <c r="F562" t="str">
        <f t="shared" si="25"/>
        <v>VI-000000-2025</v>
      </c>
      <c r="G562" s="13"/>
      <c r="H562" t="b">
        <f t="shared" si="26"/>
        <v>0</v>
      </c>
    </row>
    <row r="563" spans="2:8" x14ac:dyDescent="0.2">
      <c r="B563" s="111"/>
      <c r="C563" s="61"/>
      <c r="D563" t="b">
        <f t="shared" si="24"/>
        <v>1</v>
      </c>
      <c r="F563" t="str">
        <f t="shared" si="25"/>
        <v>VI-000000-2025</v>
      </c>
      <c r="G563" s="13"/>
      <c r="H563" t="b">
        <f t="shared" si="26"/>
        <v>0</v>
      </c>
    </row>
    <row r="564" spans="2:8" x14ac:dyDescent="0.2">
      <c r="B564" s="111"/>
      <c r="C564" s="61"/>
      <c r="D564" t="b">
        <f t="shared" si="24"/>
        <v>1</v>
      </c>
      <c r="F564" t="str">
        <f t="shared" si="25"/>
        <v>VI-000000-2025</v>
      </c>
      <c r="G564" s="13"/>
      <c r="H564" t="b">
        <f t="shared" si="26"/>
        <v>0</v>
      </c>
    </row>
    <row r="565" spans="2:8" x14ac:dyDescent="0.2">
      <c r="B565" s="111"/>
      <c r="C565" s="61"/>
      <c r="D565" t="b">
        <f t="shared" si="24"/>
        <v>1</v>
      </c>
      <c r="F565" t="str">
        <f t="shared" si="25"/>
        <v>VI-000000-2025</v>
      </c>
      <c r="G565" s="13"/>
      <c r="H565" t="b">
        <f t="shared" si="26"/>
        <v>0</v>
      </c>
    </row>
    <row r="566" spans="2:8" x14ac:dyDescent="0.2">
      <c r="B566" s="111"/>
      <c r="C566" s="61"/>
      <c r="D566" t="b">
        <f t="shared" si="24"/>
        <v>1</v>
      </c>
      <c r="F566" t="str">
        <f t="shared" si="25"/>
        <v>VI-000000-2025</v>
      </c>
      <c r="G566" s="13"/>
      <c r="H566" t="b">
        <f t="shared" si="26"/>
        <v>0</v>
      </c>
    </row>
    <row r="567" spans="2:8" x14ac:dyDescent="0.2">
      <c r="B567" s="111"/>
      <c r="C567" s="61"/>
      <c r="D567" t="b">
        <f t="shared" si="24"/>
        <v>1</v>
      </c>
      <c r="F567" t="str">
        <f t="shared" si="25"/>
        <v>VI-000000-2025</v>
      </c>
      <c r="G567" s="13"/>
      <c r="H567" t="b">
        <f t="shared" si="26"/>
        <v>0</v>
      </c>
    </row>
    <row r="568" spans="2:8" x14ac:dyDescent="0.2">
      <c r="B568" s="111"/>
      <c r="C568" s="61"/>
      <c r="D568" t="b">
        <f t="shared" si="24"/>
        <v>1</v>
      </c>
      <c r="F568" t="str">
        <f t="shared" si="25"/>
        <v>VI-000000-2025</v>
      </c>
      <c r="G568" s="13"/>
      <c r="H568" t="b">
        <f t="shared" si="26"/>
        <v>0</v>
      </c>
    </row>
    <row r="569" spans="2:8" x14ac:dyDescent="0.2">
      <c r="B569" s="111"/>
      <c r="C569" s="61"/>
      <c r="D569" t="b">
        <f t="shared" si="24"/>
        <v>1</v>
      </c>
      <c r="F569" t="str">
        <f t="shared" si="25"/>
        <v>VI-000000-2025</v>
      </c>
      <c r="G569" s="13"/>
      <c r="H569" t="b">
        <f t="shared" si="26"/>
        <v>0</v>
      </c>
    </row>
    <row r="570" spans="2:8" x14ac:dyDescent="0.2">
      <c r="B570" s="111"/>
      <c r="C570" s="61"/>
      <c r="D570" t="b">
        <f t="shared" si="24"/>
        <v>1</v>
      </c>
      <c r="F570" t="str">
        <f t="shared" si="25"/>
        <v>VI-000000-2025</v>
      </c>
      <c r="G570" s="13"/>
      <c r="H570" t="b">
        <f t="shared" si="26"/>
        <v>0</v>
      </c>
    </row>
    <row r="571" spans="2:8" x14ac:dyDescent="0.2">
      <c r="B571" s="111"/>
      <c r="C571" s="61"/>
      <c r="D571" t="b">
        <f t="shared" si="24"/>
        <v>1</v>
      </c>
      <c r="F571" t="str">
        <f t="shared" si="25"/>
        <v>VI-000000-2025</v>
      </c>
      <c r="G571" s="13"/>
      <c r="H571" t="b">
        <f t="shared" si="26"/>
        <v>0</v>
      </c>
    </row>
    <row r="572" spans="2:8" x14ac:dyDescent="0.2">
      <c r="B572" s="111"/>
      <c r="C572" s="61"/>
      <c r="D572" t="b">
        <f t="shared" si="24"/>
        <v>1</v>
      </c>
      <c r="F572" t="str">
        <f t="shared" si="25"/>
        <v>VI-000000-2025</v>
      </c>
      <c r="G572" s="13"/>
      <c r="H572" t="b">
        <f t="shared" si="26"/>
        <v>0</v>
      </c>
    </row>
    <row r="573" spans="2:8" ht="13.5" thickBot="1" x14ac:dyDescent="0.25">
      <c r="B573" s="113"/>
      <c r="C573" s="61"/>
      <c r="D573" t="b">
        <f t="shared" si="24"/>
        <v>1</v>
      </c>
      <c r="F573" t="str">
        <f t="shared" si="25"/>
        <v>VI-000000-2025</v>
      </c>
      <c r="G573" s="52"/>
      <c r="H573" t="b">
        <f t="shared" si="26"/>
        <v>0</v>
      </c>
    </row>
    <row r="574" spans="2:8" x14ac:dyDescent="0.2">
      <c r="B574" s="110"/>
      <c r="C574" s="61"/>
      <c r="D574" t="b">
        <f t="shared" si="24"/>
        <v>1</v>
      </c>
      <c r="F574" t="str">
        <f t="shared" si="25"/>
        <v>VI-000000-2025</v>
      </c>
      <c r="G574" s="46"/>
      <c r="H574" t="b">
        <f t="shared" si="26"/>
        <v>0</v>
      </c>
    </row>
    <row r="575" spans="2:8" x14ac:dyDescent="0.2">
      <c r="B575" s="111"/>
      <c r="C575" s="61"/>
      <c r="D575" t="b">
        <f t="shared" si="24"/>
        <v>1</v>
      </c>
      <c r="F575" t="str">
        <f t="shared" si="25"/>
        <v>VI-000000-2025</v>
      </c>
      <c r="G575" s="13"/>
      <c r="H575" t="b">
        <f t="shared" si="26"/>
        <v>0</v>
      </c>
    </row>
    <row r="576" spans="2:8" x14ac:dyDescent="0.2">
      <c r="B576" s="111"/>
      <c r="C576" s="61"/>
      <c r="D576" t="b">
        <f t="shared" si="24"/>
        <v>1</v>
      </c>
      <c r="F576" t="str">
        <f t="shared" si="25"/>
        <v>VI-000000-2025</v>
      </c>
      <c r="G576" s="13"/>
      <c r="H576" t="b">
        <f t="shared" si="26"/>
        <v>0</v>
      </c>
    </row>
    <row r="577" spans="2:8" x14ac:dyDescent="0.2">
      <c r="B577" s="111"/>
      <c r="C577" s="61"/>
      <c r="D577" t="b">
        <f t="shared" si="24"/>
        <v>1</v>
      </c>
      <c r="F577" t="str">
        <f t="shared" si="25"/>
        <v>VI-000000-2025</v>
      </c>
      <c r="G577" s="13"/>
      <c r="H577" t="b">
        <f t="shared" si="26"/>
        <v>0</v>
      </c>
    </row>
    <row r="578" spans="2:8" x14ac:dyDescent="0.2">
      <c r="B578" s="111"/>
      <c r="C578" s="61"/>
      <c r="D578" t="b">
        <f t="shared" si="24"/>
        <v>1</v>
      </c>
      <c r="F578" t="str">
        <f t="shared" si="25"/>
        <v>VI-000000-2025</v>
      </c>
      <c r="G578" s="13"/>
      <c r="H578" t="b">
        <f t="shared" si="26"/>
        <v>0</v>
      </c>
    </row>
    <row r="579" spans="2:8" x14ac:dyDescent="0.2">
      <c r="B579" s="111"/>
      <c r="C579" s="61"/>
      <c r="D579" t="b">
        <f t="shared" si="24"/>
        <v>1</v>
      </c>
      <c r="F579" t="str">
        <f t="shared" si="25"/>
        <v>VI-000000-2025</v>
      </c>
      <c r="G579" s="13"/>
      <c r="H579" t="b">
        <f t="shared" si="26"/>
        <v>0</v>
      </c>
    </row>
    <row r="580" spans="2:8" x14ac:dyDescent="0.2">
      <c r="B580" s="111"/>
      <c r="C580" s="61"/>
      <c r="D580" t="b">
        <f t="shared" si="24"/>
        <v>1</v>
      </c>
      <c r="F580" t="str">
        <f t="shared" si="25"/>
        <v>VI-000000-2025</v>
      </c>
      <c r="G580" s="13"/>
      <c r="H580" t="b">
        <f t="shared" si="26"/>
        <v>0</v>
      </c>
    </row>
    <row r="581" spans="2:8" x14ac:dyDescent="0.2">
      <c r="B581" s="111"/>
      <c r="C581" s="61"/>
      <c r="D581" t="b">
        <f t="shared" ref="D581:D644" si="27">B581=C581</f>
        <v>1</v>
      </c>
      <c r="F581" t="str">
        <f t="shared" ref="F581:F644" si="28">"VI-"&amp;TEXT(E581,"000000")&amp;"-2025"</f>
        <v>VI-000000-2025</v>
      </c>
      <c r="G581" s="13"/>
      <c r="H581" t="b">
        <f t="shared" ref="H581:H644" si="29">F581=G581</f>
        <v>0</v>
      </c>
    </row>
    <row r="582" spans="2:8" x14ac:dyDescent="0.2">
      <c r="B582" s="111"/>
      <c r="C582" s="61"/>
      <c r="D582" t="b">
        <f t="shared" si="27"/>
        <v>1</v>
      </c>
      <c r="F582" t="str">
        <f t="shared" si="28"/>
        <v>VI-000000-2025</v>
      </c>
      <c r="G582" s="13"/>
      <c r="H582" t="b">
        <f t="shared" si="29"/>
        <v>0</v>
      </c>
    </row>
    <row r="583" spans="2:8" x14ac:dyDescent="0.2">
      <c r="B583" s="111"/>
      <c r="C583" s="61"/>
      <c r="D583" t="b">
        <f t="shared" si="27"/>
        <v>1</v>
      </c>
      <c r="F583" t="str">
        <f t="shared" si="28"/>
        <v>VI-000000-2025</v>
      </c>
      <c r="G583" s="13"/>
      <c r="H583" t="b">
        <f t="shared" si="29"/>
        <v>0</v>
      </c>
    </row>
    <row r="584" spans="2:8" x14ac:dyDescent="0.2">
      <c r="B584" s="111"/>
      <c r="C584" s="61"/>
      <c r="D584" t="b">
        <f t="shared" si="27"/>
        <v>1</v>
      </c>
      <c r="F584" t="str">
        <f t="shared" si="28"/>
        <v>VI-000000-2025</v>
      </c>
      <c r="G584" s="13"/>
      <c r="H584" t="b">
        <f t="shared" si="29"/>
        <v>0</v>
      </c>
    </row>
    <row r="585" spans="2:8" x14ac:dyDescent="0.2">
      <c r="B585" s="111"/>
      <c r="C585" s="61"/>
      <c r="D585" t="b">
        <f t="shared" si="27"/>
        <v>1</v>
      </c>
      <c r="F585" t="str">
        <f t="shared" si="28"/>
        <v>VI-000000-2025</v>
      </c>
      <c r="G585" s="13"/>
      <c r="H585" t="b">
        <f t="shared" si="29"/>
        <v>0</v>
      </c>
    </row>
    <row r="586" spans="2:8" x14ac:dyDescent="0.2">
      <c r="B586" s="111"/>
      <c r="C586" s="61"/>
      <c r="D586" t="b">
        <f t="shared" si="27"/>
        <v>1</v>
      </c>
      <c r="F586" t="str">
        <f t="shared" si="28"/>
        <v>VI-000000-2025</v>
      </c>
      <c r="G586" s="13"/>
      <c r="H586" t="b">
        <f t="shared" si="29"/>
        <v>0</v>
      </c>
    </row>
    <row r="587" spans="2:8" x14ac:dyDescent="0.2">
      <c r="B587" s="111"/>
      <c r="C587" s="61"/>
      <c r="D587" t="b">
        <f t="shared" si="27"/>
        <v>1</v>
      </c>
      <c r="F587" t="str">
        <f t="shared" si="28"/>
        <v>VI-000000-2025</v>
      </c>
      <c r="G587" s="13"/>
      <c r="H587" t="b">
        <f t="shared" si="29"/>
        <v>0</v>
      </c>
    </row>
    <row r="588" spans="2:8" ht="13.5" thickBot="1" x14ac:dyDescent="0.25">
      <c r="B588" s="113"/>
      <c r="C588" s="61"/>
      <c r="D588" t="b">
        <f t="shared" si="27"/>
        <v>1</v>
      </c>
      <c r="F588" t="str">
        <f t="shared" si="28"/>
        <v>VI-000000-2025</v>
      </c>
      <c r="G588" s="52"/>
      <c r="H588" t="b">
        <f t="shared" si="29"/>
        <v>0</v>
      </c>
    </row>
    <row r="589" spans="2:8" x14ac:dyDescent="0.2">
      <c r="B589" s="110"/>
      <c r="C589" s="61"/>
      <c r="D589" t="b">
        <f t="shared" si="27"/>
        <v>1</v>
      </c>
      <c r="F589" t="str">
        <f t="shared" si="28"/>
        <v>VI-000000-2025</v>
      </c>
      <c r="G589" s="46"/>
      <c r="H589" t="b">
        <f t="shared" si="29"/>
        <v>0</v>
      </c>
    </row>
    <row r="590" spans="2:8" x14ac:dyDescent="0.2">
      <c r="B590" s="111"/>
      <c r="C590" s="61"/>
      <c r="D590" t="b">
        <f t="shared" si="27"/>
        <v>1</v>
      </c>
      <c r="F590" t="str">
        <f t="shared" si="28"/>
        <v>VI-000000-2025</v>
      </c>
      <c r="G590" s="13"/>
      <c r="H590" t="b">
        <f t="shared" si="29"/>
        <v>0</v>
      </c>
    </row>
    <row r="591" spans="2:8" x14ac:dyDescent="0.2">
      <c r="B591" s="111"/>
      <c r="C591" s="61"/>
      <c r="D591" t="b">
        <f t="shared" si="27"/>
        <v>1</v>
      </c>
      <c r="F591" t="str">
        <f t="shared" si="28"/>
        <v>VI-000000-2025</v>
      </c>
      <c r="G591" s="13"/>
      <c r="H591" t="b">
        <f t="shared" si="29"/>
        <v>0</v>
      </c>
    </row>
    <row r="592" spans="2:8" x14ac:dyDescent="0.2">
      <c r="B592" s="111"/>
      <c r="C592" s="61"/>
      <c r="D592" t="b">
        <f t="shared" si="27"/>
        <v>1</v>
      </c>
      <c r="F592" t="str">
        <f t="shared" si="28"/>
        <v>VI-000000-2025</v>
      </c>
      <c r="G592" s="13"/>
      <c r="H592" t="b">
        <f t="shared" si="29"/>
        <v>0</v>
      </c>
    </row>
    <row r="593" spans="2:8" x14ac:dyDescent="0.2">
      <c r="B593" s="111"/>
      <c r="C593" s="61"/>
      <c r="D593" t="b">
        <f t="shared" si="27"/>
        <v>1</v>
      </c>
      <c r="F593" t="str">
        <f t="shared" si="28"/>
        <v>VI-000000-2025</v>
      </c>
      <c r="G593" s="13"/>
      <c r="H593" t="b">
        <f t="shared" si="29"/>
        <v>0</v>
      </c>
    </row>
    <row r="594" spans="2:8" x14ac:dyDescent="0.2">
      <c r="B594" s="111"/>
      <c r="C594" s="61"/>
      <c r="D594" t="b">
        <f t="shared" si="27"/>
        <v>1</v>
      </c>
      <c r="F594" t="str">
        <f t="shared" si="28"/>
        <v>VI-000000-2025</v>
      </c>
      <c r="G594" s="13"/>
      <c r="H594" t="b">
        <f t="shared" si="29"/>
        <v>0</v>
      </c>
    </row>
    <row r="595" spans="2:8" x14ac:dyDescent="0.2">
      <c r="B595" s="111"/>
      <c r="C595" s="61"/>
      <c r="D595" t="b">
        <f t="shared" si="27"/>
        <v>1</v>
      </c>
      <c r="F595" t="str">
        <f t="shared" si="28"/>
        <v>VI-000000-2025</v>
      </c>
      <c r="G595" s="13"/>
      <c r="H595" t="b">
        <f t="shared" si="29"/>
        <v>0</v>
      </c>
    </row>
    <row r="596" spans="2:8" x14ac:dyDescent="0.2">
      <c r="B596" s="111"/>
      <c r="C596" s="61"/>
      <c r="D596" t="b">
        <f t="shared" si="27"/>
        <v>1</v>
      </c>
      <c r="F596" t="str">
        <f t="shared" si="28"/>
        <v>VI-000000-2025</v>
      </c>
      <c r="G596" s="13"/>
      <c r="H596" t="b">
        <f t="shared" si="29"/>
        <v>0</v>
      </c>
    </row>
    <row r="597" spans="2:8" x14ac:dyDescent="0.2">
      <c r="B597" s="111"/>
      <c r="C597" s="61"/>
      <c r="D597" t="b">
        <f t="shared" si="27"/>
        <v>1</v>
      </c>
      <c r="F597" t="str">
        <f t="shared" si="28"/>
        <v>VI-000000-2025</v>
      </c>
      <c r="G597" s="13"/>
      <c r="H597" t="b">
        <f t="shared" si="29"/>
        <v>0</v>
      </c>
    </row>
    <row r="598" spans="2:8" x14ac:dyDescent="0.2">
      <c r="B598" s="111"/>
      <c r="C598" s="61"/>
      <c r="D598" t="b">
        <f t="shared" si="27"/>
        <v>1</v>
      </c>
      <c r="F598" t="str">
        <f t="shared" si="28"/>
        <v>VI-000000-2025</v>
      </c>
      <c r="G598" s="13"/>
      <c r="H598" t="b">
        <f t="shared" si="29"/>
        <v>0</v>
      </c>
    </row>
    <row r="599" spans="2:8" x14ac:dyDescent="0.2">
      <c r="B599" s="111"/>
      <c r="C599" s="61"/>
      <c r="D599" t="b">
        <f t="shared" si="27"/>
        <v>1</v>
      </c>
      <c r="F599" t="str">
        <f t="shared" si="28"/>
        <v>VI-000000-2025</v>
      </c>
      <c r="G599" s="13"/>
      <c r="H599" t="b">
        <f t="shared" si="29"/>
        <v>0</v>
      </c>
    </row>
    <row r="600" spans="2:8" x14ac:dyDescent="0.2">
      <c r="B600" s="111"/>
      <c r="C600" s="61"/>
      <c r="D600" t="b">
        <f t="shared" si="27"/>
        <v>1</v>
      </c>
      <c r="F600" t="str">
        <f t="shared" si="28"/>
        <v>VI-000000-2025</v>
      </c>
      <c r="G600" s="13"/>
      <c r="H600" t="b">
        <f t="shared" si="29"/>
        <v>0</v>
      </c>
    </row>
    <row r="601" spans="2:8" x14ac:dyDescent="0.2">
      <c r="B601" s="111"/>
      <c r="C601" s="61"/>
      <c r="D601" t="b">
        <f t="shared" si="27"/>
        <v>1</v>
      </c>
      <c r="F601" t="str">
        <f t="shared" si="28"/>
        <v>VI-000000-2025</v>
      </c>
      <c r="G601" s="13"/>
      <c r="H601" t="b">
        <f t="shared" si="29"/>
        <v>0</v>
      </c>
    </row>
    <row r="602" spans="2:8" x14ac:dyDescent="0.2">
      <c r="B602" s="111"/>
      <c r="C602" s="61"/>
      <c r="D602" t="b">
        <f t="shared" si="27"/>
        <v>1</v>
      </c>
      <c r="F602" t="str">
        <f t="shared" si="28"/>
        <v>VI-000000-2025</v>
      </c>
      <c r="G602" s="13"/>
      <c r="H602" t="b">
        <f t="shared" si="29"/>
        <v>0</v>
      </c>
    </row>
    <row r="603" spans="2:8" ht="13.5" thickBot="1" x14ac:dyDescent="0.25">
      <c r="B603" s="113"/>
      <c r="C603" s="61"/>
      <c r="D603" t="b">
        <f t="shared" si="27"/>
        <v>1</v>
      </c>
      <c r="F603" t="str">
        <f t="shared" si="28"/>
        <v>VI-000000-2025</v>
      </c>
      <c r="G603" s="52"/>
      <c r="H603" t="b">
        <f t="shared" si="29"/>
        <v>0</v>
      </c>
    </row>
    <row r="604" spans="2:8" x14ac:dyDescent="0.2">
      <c r="B604" s="90"/>
      <c r="C604" s="61"/>
      <c r="D604" t="b">
        <f t="shared" si="27"/>
        <v>1</v>
      </c>
      <c r="F604" t="str">
        <f t="shared" si="28"/>
        <v>VI-000000-2025</v>
      </c>
      <c r="G604" s="13"/>
      <c r="H604" t="b">
        <f t="shared" si="29"/>
        <v>0</v>
      </c>
    </row>
    <row r="605" spans="2:8" x14ac:dyDescent="0.2">
      <c r="B605" s="90"/>
      <c r="C605" s="61"/>
      <c r="D605" t="b">
        <f t="shared" si="27"/>
        <v>1</v>
      </c>
      <c r="F605" t="str">
        <f t="shared" si="28"/>
        <v>VI-000000-2025</v>
      </c>
      <c r="G605" s="13"/>
      <c r="H605" t="b">
        <f t="shared" si="29"/>
        <v>0</v>
      </c>
    </row>
    <row r="606" spans="2:8" x14ac:dyDescent="0.2">
      <c r="B606" s="90"/>
      <c r="C606" s="61"/>
      <c r="D606" t="b">
        <f t="shared" si="27"/>
        <v>1</v>
      </c>
      <c r="F606" t="str">
        <f t="shared" si="28"/>
        <v>VI-000000-2025</v>
      </c>
      <c r="G606" s="13"/>
      <c r="H606" t="b">
        <f t="shared" si="29"/>
        <v>0</v>
      </c>
    </row>
    <row r="607" spans="2:8" x14ac:dyDescent="0.2">
      <c r="B607" s="90"/>
      <c r="C607" s="61"/>
      <c r="D607" t="b">
        <f t="shared" si="27"/>
        <v>1</v>
      </c>
      <c r="F607" t="str">
        <f t="shared" si="28"/>
        <v>VI-000000-2025</v>
      </c>
      <c r="G607" s="13"/>
      <c r="H607" t="b">
        <f t="shared" si="29"/>
        <v>0</v>
      </c>
    </row>
    <row r="608" spans="2:8" x14ac:dyDescent="0.2">
      <c r="B608" s="90"/>
      <c r="C608" s="61"/>
      <c r="D608" t="b">
        <f t="shared" si="27"/>
        <v>1</v>
      </c>
      <c r="F608" t="str">
        <f t="shared" si="28"/>
        <v>VI-000000-2025</v>
      </c>
      <c r="G608" s="13"/>
      <c r="H608" t="b">
        <f t="shared" si="29"/>
        <v>0</v>
      </c>
    </row>
    <row r="609" spans="2:8" x14ac:dyDescent="0.2">
      <c r="B609" s="90"/>
      <c r="C609" s="61"/>
      <c r="D609" t="b">
        <f t="shared" si="27"/>
        <v>1</v>
      </c>
      <c r="F609" t="str">
        <f t="shared" si="28"/>
        <v>VI-000000-2025</v>
      </c>
      <c r="G609" s="13"/>
      <c r="H609" t="b">
        <f t="shared" si="29"/>
        <v>0</v>
      </c>
    </row>
    <row r="610" spans="2:8" x14ac:dyDescent="0.2">
      <c r="B610" s="90"/>
      <c r="C610" s="61"/>
      <c r="D610" t="b">
        <f t="shared" si="27"/>
        <v>1</v>
      </c>
      <c r="F610" t="str">
        <f t="shared" si="28"/>
        <v>VI-000000-2025</v>
      </c>
      <c r="G610" s="13"/>
      <c r="H610" t="b">
        <f t="shared" si="29"/>
        <v>0</v>
      </c>
    </row>
    <row r="611" spans="2:8" x14ac:dyDescent="0.2">
      <c r="B611" s="90"/>
      <c r="C611" s="61"/>
      <c r="D611" t="b">
        <f t="shared" si="27"/>
        <v>1</v>
      </c>
      <c r="F611" t="str">
        <f t="shared" si="28"/>
        <v>VI-000000-2025</v>
      </c>
      <c r="G611" s="13"/>
      <c r="H611" t="b">
        <f t="shared" si="29"/>
        <v>0</v>
      </c>
    </row>
    <row r="612" spans="2:8" x14ac:dyDescent="0.2">
      <c r="B612" s="90"/>
      <c r="C612" s="61"/>
      <c r="D612" t="b">
        <f t="shared" si="27"/>
        <v>1</v>
      </c>
      <c r="F612" t="str">
        <f t="shared" si="28"/>
        <v>VI-000000-2025</v>
      </c>
      <c r="G612" s="13"/>
      <c r="H612" t="b">
        <f t="shared" si="29"/>
        <v>0</v>
      </c>
    </row>
    <row r="613" spans="2:8" x14ac:dyDescent="0.2">
      <c r="B613" s="90"/>
      <c r="C613" s="61"/>
      <c r="D613" t="b">
        <f t="shared" si="27"/>
        <v>1</v>
      </c>
      <c r="F613" t="str">
        <f t="shared" si="28"/>
        <v>VI-000000-2025</v>
      </c>
      <c r="G613" s="13"/>
      <c r="H613" t="b">
        <f t="shared" si="29"/>
        <v>0</v>
      </c>
    </row>
    <row r="614" spans="2:8" x14ac:dyDescent="0.2">
      <c r="B614" s="90"/>
      <c r="C614" s="61"/>
      <c r="D614" t="b">
        <f t="shared" si="27"/>
        <v>1</v>
      </c>
      <c r="F614" t="str">
        <f t="shared" si="28"/>
        <v>VI-000000-2025</v>
      </c>
      <c r="G614" s="13"/>
      <c r="H614" t="b">
        <f t="shared" si="29"/>
        <v>0</v>
      </c>
    </row>
    <row r="615" spans="2:8" x14ac:dyDescent="0.2">
      <c r="B615" s="90"/>
      <c r="C615" s="61"/>
      <c r="D615" t="b">
        <f t="shared" si="27"/>
        <v>1</v>
      </c>
      <c r="F615" t="str">
        <f t="shared" si="28"/>
        <v>VI-000000-2025</v>
      </c>
      <c r="G615" s="13"/>
      <c r="H615" t="b">
        <f t="shared" si="29"/>
        <v>0</v>
      </c>
    </row>
    <row r="616" spans="2:8" x14ac:dyDescent="0.2">
      <c r="B616" s="90"/>
      <c r="C616" s="61"/>
      <c r="D616" t="b">
        <f t="shared" si="27"/>
        <v>1</v>
      </c>
      <c r="F616" t="str">
        <f t="shared" si="28"/>
        <v>VI-000000-2025</v>
      </c>
      <c r="G616" s="13"/>
      <c r="H616" t="b">
        <f t="shared" si="29"/>
        <v>0</v>
      </c>
    </row>
    <row r="617" spans="2:8" x14ac:dyDescent="0.2">
      <c r="B617" s="90"/>
      <c r="C617" s="61"/>
      <c r="D617" t="b">
        <f t="shared" si="27"/>
        <v>1</v>
      </c>
      <c r="F617" t="str">
        <f t="shared" si="28"/>
        <v>VI-000000-2025</v>
      </c>
      <c r="G617" s="13"/>
      <c r="H617" t="b">
        <f t="shared" si="29"/>
        <v>0</v>
      </c>
    </row>
    <row r="618" spans="2:8" ht="13.5" thickBot="1" x14ac:dyDescent="0.25">
      <c r="B618" s="90"/>
      <c r="C618" s="61"/>
      <c r="D618" t="b">
        <f t="shared" si="27"/>
        <v>1</v>
      </c>
      <c r="F618" t="str">
        <f t="shared" si="28"/>
        <v>VI-000000-2025</v>
      </c>
      <c r="G618" s="52"/>
      <c r="H618" t="b">
        <f t="shared" si="29"/>
        <v>0</v>
      </c>
    </row>
    <row r="619" spans="2:8" x14ac:dyDescent="0.2">
      <c r="B619" s="90"/>
      <c r="C619" s="61"/>
      <c r="D619" t="b">
        <f t="shared" si="27"/>
        <v>1</v>
      </c>
      <c r="F619" t="str">
        <f t="shared" si="28"/>
        <v>VI-000000-2025</v>
      </c>
      <c r="G619" s="58"/>
      <c r="H619" t="b">
        <f t="shared" si="29"/>
        <v>0</v>
      </c>
    </row>
    <row r="620" spans="2:8" x14ac:dyDescent="0.2">
      <c r="B620" s="90"/>
      <c r="C620" s="61"/>
      <c r="D620" t="b">
        <f t="shared" si="27"/>
        <v>1</v>
      </c>
      <c r="F620" t="str">
        <f t="shared" si="28"/>
        <v>VI-000000-2025</v>
      </c>
      <c r="G620" s="13"/>
      <c r="H620" t="b">
        <f t="shared" si="29"/>
        <v>0</v>
      </c>
    </row>
    <row r="621" spans="2:8" x14ac:dyDescent="0.2">
      <c r="B621" s="90"/>
      <c r="C621" s="61"/>
      <c r="D621" t="b">
        <f t="shared" si="27"/>
        <v>1</v>
      </c>
      <c r="F621" t="str">
        <f t="shared" si="28"/>
        <v>VI-000000-2025</v>
      </c>
      <c r="G621" s="13"/>
      <c r="H621" t="b">
        <f t="shared" si="29"/>
        <v>0</v>
      </c>
    </row>
    <row r="622" spans="2:8" x14ac:dyDescent="0.2">
      <c r="B622" s="90"/>
      <c r="C622" s="61"/>
      <c r="D622" t="b">
        <f t="shared" si="27"/>
        <v>1</v>
      </c>
      <c r="F622" t="str">
        <f t="shared" si="28"/>
        <v>VI-000000-2025</v>
      </c>
      <c r="G622" s="13"/>
      <c r="H622" t="b">
        <f t="shared" si="29"/>
        <v>0</v>
      </c>
    </row>
    <row r="623" spans="2:8" x14ac:dyDescent="0.2">
      <c r="B623" s="90"/>
      <c r="C623" s="61"/>
      <c r="D623" t="b">
        <f t="shared" si="27"/>
        <v>1</v>
      </c>
      <c r="F623" t="str">
        <f t="shared" si="28"/>
        <v>VI-000000-2025</v>
      </c>
      <c r="G623" s="13"/>
      <c r="H623" t="b">
        <f t="shared" si="29"/>
        <v>0</v>
      </c>
    </row>
    <row r="624" spans="2:8" x14ac:dyDescent="0.2">
      <c r="B624" s="90"/>
      <c r="C624" s="61"/>
      <c r="D624" t="b">
        <f t="shared" si="27"/>
        <v>1</v>
      </c>
      <c r="F624" t="str">
        <f t="shared" si="28"/>
        <v>VI-000000-2025</v>
      </c>
      <c r="G624" s="13"/>
      <c r="H624" t="b">
        <f t="shared" si="29"/>
        <v>0</v>
      </c>
    </row>
    <row r="625" spans="2:8" x14ac:dyDescent="0.2">
      <c r="B625" s="90"/>
      <c r="C625" s="61"/>
      <c r="D625" t="b">
        <f t="shared" si="27"/>
        <v>1</v>
      </c>
      <c r="F625" t="str">
        <f t="shared" si="28"/>
        <v>VI-000000-2025</v>
      </c>
      <c r="G625" s="13"/>
      <c r="H625" t="b">
        <f t="shared" si="29"/>
        <v>0</v>
      </c>
    </row>
    <row r="626" spans="2:8" x14ac:dyDescent="0.2">
      <c r="B626" s="90"/>
      <c r="C626" s="61"/>
      <c r="D626" t="b">
        <f t="shared" si="27"/>
        <v>1</v>
      </c>
      <c r="F626" t="str">
        <f t="shared" si="28"/>
        <v>VI-000000-2025</v>
      </c>
      <c r="G626" s="13"/>
      <c r="H626" t="b">
        <f t="shared" si="29"/>
        <v>0</v>
      </c>
    </row>
    <row r="627" spans="2:8" x14ac:dyDescent="0.2">
      <c r="B627" s="90"/>
      <c r="C627" s="61"/>
      <c r="D627" t="b">
        <f t="shared" si="27"/>
        <v>1</v>
      </c>
      <c r="F627" t="str">
        <f t="shared" si="28"/>
        <v>VI-000000-2025</v>
      </c>
      <c r="G627" s="13"/>
      <c r="H627" t="b">
        <f t="shared" si="29"/>
        <v>0</v>
      </c>
    </row>
    <row r="628" spans="2:8" x14ac:dyDescent="0.2">
      <c r="B628" s="90"/>
      <c r="C628" s="61"/>
      <c r="D628" t="b">
        <f t="shared" si="27"/>
        <v>1</v>
      </c>
      <c r="F628" t="str">
        <f t="shared" si="28"/>
        <v>VI-000000-2025</v>
      </c>
      <c r="G628" s="13"/>
      <c r="H628" t="b">
        <f t="shared" si="29"/>
        <v>0</v>
      </c>
    </row>
    <row r="629" spans="2:8" x14ac:dyDescent="0.2">
      <c r="B629" s="90"/>
      <c r="C629" s="61"/>
      <c r="D629" t="b">
        <f t="shared" si="27"/>
        <v>1</v>
      </c>
      <c r="F629" t="str">
        <f t="shared" si="28"/>
        <v>VI-000000-2025</v>
      </c>
      <c r="G629" s="13"/>
      <c r="H629" t="b">
        <f t="shared" si="29"/>
        <v>0</v>
      </c>
    </row>
    <row r="630" spans="2:8" x14ac:dyDescent="0.2">
      <c r="B630" s="90"/>
      <c r="C630" s="61"/>
      <c r="D630" t="b">
        <f t="shared" si="27"/>
        <v>1</v>
      </c>
      <c r="F630" t="str">
        <f t="shared" si="28"/>
        <v>VI-000000-2025</v>
      </c>
      <c r="G630" s="13"/>
      <c r="H630" t="b">
        <f t="shared" si="29"/>
        <v>0</v>
      </c>
    </row>
    <row r="631" spans="2:8" x14ac:dyDescent="0.2">
      <c r="B631" s="90"/>
      <c r="C631" s="61"/>
      <c r="D631" t="b">
        <f t="shared" si="27"/>
        <v>1</v>
      </c>
      <c r="F631" t="str">
        <f t="shared" si="28"/>
        <v>VI-000000-2025</v>
      </c>
      <c r="G631" s="13"/>
      <c r="H631" t="b">
        <f t="shared" si="29"/>
        <v>0</v>
      </c>
    </row>
    <row r="632" spans="2:8" x14ac:dyDescent="0.2">
      <c r="B632" s="90"/>
      <c r="C632" s="61"/>
      <c r="D632" t="b">
        <f t="shared" si="27"/>
        <v>1</v>
      </c>
      <c r="F632" t="str">
        <f t="shared" si="28"/>
        <v>VI-000000-2025</v>
      </c>
      <c r="G632" s="13"/>
      <c r="H632" t="b">
        <f t="shared" si="29"/>
        <v>0</v>
      </c>
    </row>
    <row r="633" spans="2:8" ht="13.5" thickBot="1" x14ac:dyDescent="0.25">
      <c r="B633" s="90"/>
      <c r="C633" s="61"/>
      <c r="D633" t="b">
        <f t="shared" si="27"/>
        <v>1</v>
      </c>
      <c r="F633" t="str">
        <f t="shared" si="28"/>
        <v>VI-000000-2025</v>
      </c>
      <c r="G633" s="52"/>
      <c r="H633" t="b">
        <f t="shared" si="29"/>
        <v>0</v>
      </c>
    </row>
    <row r="634" spans="2:8" x14ac:dyDescent="0.2">
      <c r="B634" s="90"/>
      <c r="C634" s="61"/>
      <c r="D634" t="b">
        <f t="shared" si="27"/>
        <v>1</v>
      </c>
      <c r="F634" t="str">
        <f t="shared" si="28"/>
        <v>VI-000000-2025</v>
      </c>
      <c r="G634" s="58"/>
      <c r="H634" t="b">
        <f t="shared" si="29"/>
        <v>0</v>
      </c>
    </row>
    <row r="635" spans="2:8" x14ac:dyDescent="0.2">
      <c r="B635" s="90"/>
      <c r="C635" s="61"/>
      <c r="D635" t="b">
        <f t="shared" si="27"/>
        <v>1</v>
      </c>
      <c r="F635" t="str">
        <f t="shared" si="28"/>
        <v>VI-000000-2025</v>
      </c>
      <c r="G635" s="13"/>
      <c r="H635" t="b">
        <f t="shared" si="29"/>
        <v>0</v>
      </c>
    </row>
    <row r="636" spans="2:8" x14ac:dyDescent="0.2">
      <c r="B636" s="90"/>
      <c r="C636" s="61"/>
      <c r="D636" t="b">
        <f t="shared" si="27"/>
        <v>1</v>
      </c>
      <c r="F636" t="str">
        <f t="shared" si="28"/>
        <v>VI-000000-2025</v>
      </c>
      <c r="G636" s="13"/>
      <c r="H636" t="b">
        <f t="shared" si="29"/>
        <v>0</v>
      </c>
    </row>
    <row r="637" spans="2:8" x14ac:dyDescent="0.2">
      <c r="B637" s="90"/>
      <c r="C637" s="61"/>
      <c r="D637" t="b">
        <f t="shared" si="27"/>
        <v>1</v>
      </c>
      <c r="F637" t="str">
        <f t="shared" si="28"/>
        <v>VI-000000-2025</v>
      </c>
      <c r="G637" s="13"/>
      <c r="H637" t="b">
        <f t="shared" si="29"/>
        <v>0</v>
      </c>
    </row>
    <row r="638" spans="2:8" x14ac:dyDescent="0.2">
      <c r="B638" s="90"/>
      <c r="C638" s="61"/>
      <c r="D638" t="b">
        <f t="shared" si="27"/>
        <v>1</v>
      </c>
      <c r="F638" t="str">
        <f t="shared" si="28"/>
        <v>VI-000000-2025</v>
      </c>
      <c r="G638" s="13"/>
      <c r="H638" t="b">
        <f t="shared" si="29"/>
        <v>0</v>
      </c>
    </row>
    <row r="639" spans="2:8" x14ac:dyDescent="0.2">
      <c r="B639" s="90"/>
      <c r="C639" s="61"/>
      <c r="D639" t="b">
        <f t="shared" si="27"/>
        <v>1</v>
      </c>
      <c r="F639" t="str">
        <f t="shared" si="28"/>
        <v>VI-000000-2025</v>
      </c>
      <c r="G639" s="13"/>
      <c r="H639" t="b">
        <f t="shared" si="29"/>
        <v>0</v>
      </c>
    </row>
    <row r="640" spans="2:8" x14ac:dyDescent="0.2">
      <c r="B640" s="90"/>
      <c r="C640" s="61"/>
      <c r="D640" t="b">
        <f t="shared" si="27"/>
        <v>1</v>
      </c>
      <c r="F640" t="str">
        <f t="shared" si="28"/>
        <v>VI-000000-2025</v>
      </c>
      <c r="G640" s="13"/>
      <c r="H640" t="b">
        <f t="shared" si="29"/>
        <v>0</v>
      </c>
    </row>
    <row r="641" spans="2:8" x14ac:dyDescent="0.2">
      <c r="B641" s="90"/>
      <c r="C641" s="61"/>
      <c r="D641" t="b">
        <f t="shared" si="27"/>
        <v>1</v>
      </c>
      <c r="F641" t="str">
        <f t="shared" si="28"/>
        <v>VI-000000-2025</v>
      </c>
      <c r="G641" s="13"/>
      <c r="H641" t="b">
        <f t="shared" si="29"/>
        <v>0</v>
      </c>
    </row>
    <row r="642" spans="2:8" x14ac:dyDescent="0.2">
      <c r="B642" s="90"/>
      <c r="C642" s="61"/>
      <c r="D642" t="b">
        <f t="shared" si="27"/>
        <v>1</v>
      </c>
      <c r="F642" t="str">
        <f t="shared" si="28"/>
        <v>VI-000000-2025</v>
      </c>
      <c r="G642" s="13"/>
      <c r="H642" t="b">
        <f t="shared" si="29"/>
        <v>0</v>
      </c>
    </row>
    <row r="643" spans="2:8" x14ac:dyDescent="0.2">
      <c r="B643" s="90"/>
      <c r="C643" s="61"/>
      <c r="D643" t="b">
        <f t="shared" si="27"/>
        <v>1</v>
      </c>
      <c r="F643" t="str">
        <f t="shared" si="28"/>
        <v>VI-000000-2025</v>
      </c>
      <c r="G643" s="13"/>
      <c r="H643" t="b">
        <f t="shared" si="29"/>
        <v>0</v>
      </c>
    </row>
    <row r="644" spans="2:8" x14ac:dyDescent="0.2">
      <c r="B644" s="90"/>
      <c r="C644" s="61"/>
      <c r="D644" t="b">
        <f t="shared" si="27"/>
        <v>1</v>
      </c>
      <c r="F644" t="str">
        <f t="shared" si="28"/>
        <v>VI-000000-2025</v>
      </c>
      <c r="G644" s="13"/>
      <c r="H644" t="b">
        <f t="shared" si="29"/>
        <v>0</v>
      </c>
    </row>
    <row r="645" spans="2:8" x14ac:dyDescent="0.2">
      <c r="B645" s="90"/>
      <c r="C645" s="61"/>
      <c r="D645" t="b">
        <f t="shared" ref="D645:D708" si="30">B645=C645</f>
        <v>1</v>
      </c>
      <c r="F645" t="str">
        <f t="shared" ref="F645:F708" si="31">"VI-"&amp;TEXT(E645,"000000")&amp;"-2025"</f>
        <v>VI-000000-2025</v>
      </c>
      <c r="G645" s="13"/>
      <c r="H645" t="b">
        <f t="shared" ref="H645:H708" si="32">F645=G645</f>
        <v>0</v>
      </c>
    </row>
    <row r="646" spans="2:8" x14ac:dyDescent="0.2">
      <c r="B646" s="90"/>
      <c r="C646" s="61"/>
      <c r="D646" t="b">
        <f t="shared" si="30"/>
        <v>1</v>
      </c>
      <c r="F646" t="str">
        <f t="shared" si="31"/>
        <v>VI-000000-2025</v>
      </c>
      <c r="G646" s="13"/>
      <c r="H646" t="b">
        <f t="shared" si="32"/>
        <v>0</v>
      </c>
    </row>
    <row r="647" spans="2:8" x14ac:dyDescent="0.2">
      <c r="B647" s="90"/>
      <c r="C647" s="61"/>
      <c r="D647" t="b">
        <f t="shared" si="30"/>
        <v>1</v>
      </c>
      <c r="F647" t="str">
        <f t="shared" si="31"/>
        <v>VI-000000-2025</v>
      </c>
      <c r="G647" s="13"/>
      <c r="H647" t="b">
        <f t="shared" si="32"/>
        <v>0</v>
      </c>
    </row>
    <row r="648" spans="2:8" ht="13.5" thickBot="1" x14ac:dyDescent="0.25">
      <c r="B648" s="90"/>
      <c r="C648" s="61"/>
      <c r="D648" t="b">
        <f t="shared" si="30"/>
        <v>1</v>
      </c>
      <c r="F648" t="str">
        <f t="shared" si="31"/>
        <v>VI-000000-2025</v>
      </c>
      <c r="G648" s="52"/>
      <c r="H648" t="b">
        <f t="shared" si="32"/>
        <v>0</v>
      </c>
    </row>
    <row r="649" spans="2:8" x14ac:dyDescent="0.2">
      <c r="B649" s="90"/>
      <c r="C649" s="61"/>
      <c r="D649" t="b">
        <f t="shared" si="30"/>
        <v>1</v>
      </c>
      <c r="F649" t="str">
        <f t="shared" si="31"/>
        <v>VI-000000-2025</v>
      </c>
      <c r="G649" s="58"/>
      <c r="H649" t="b">
        <f t="shared" si="32"/>
        <v>0</v>
      </c>
    </row>
    <row r="650" spans="2:8" x14ac:dyDescent="0.2">
      <c r="B650" s="90"/>
      <c r="C650" s="61"/>
      <c r="D650" t="b">
        <f t="shared" si="30"/>
        <v>1</v>
      </c>
      <c r="F650" t="str">
        <f t="shared" si="31"/>
        <v>VI-000000-2025</v>
      </c>
      <c r="G650" s="13"/>
      <c r="H650" t="b">
        <f t="shared" si="32"/>
        <v>0</v>
      </c>
    </row>
    <row r="651" spans="2:8" x14ac:dyDescent="0.2">
      <c r="B651" s="90"/>
      <c r="C651" s="61"/>
      <c r="D651" t="b">
        <f t="shared" si="30"/>
        <v>1</v>
      </c>
      <c r="F651" t="str">
        <f t="shared" si="31"/>
        <v>VI-000000-2025</v>
      </c>
      <c r="G651" s="13"/>
      <c r="H651" t="b">
        <f t="shared" si="32"/>
        <v>0</v>
      </c>
    </row>
    <row r="652" spans="2:8" x14ac:dyDescent="0.2">
      <c r="B652" s="90"/>
      <c r="C652" s="61"/>
      <c r="D652" t="b">
        <f t="shared" si="30"/>
        <v>1</v>
      </c>
      <c r="F652" t="str">
        <f t="shared" si="31"/>
        <v>VI-000000-2025</v>
      </c>
      <c r="G652" s="13"/>
      <c r="H652" t="b">
        <f t="shared" si="32"/>
        <v>0</v>
      </c>
    </row>
    <row r="653" spans="2:8" x14ac:dyDescent="0.2">
      <c r="B653" s="90"/>
      <c r="C653" s="61"/>
      <c r="D653" t="b">
        <f t="shared" si="30"/>
        <v>1</v>
      </c>
      <c r="F653" t="str">
        <f t="shared" si="31"/>
        <v>VI-000000-2025</v>
      </c>
      <c r="G653" s="13"/>
      <c r="H653" t="b">
        <f t="shared" si="32"/>
        <v>0</v>
      </c>
    </row>
    <row r="654" spans="2:8" x14ac:dyDescent="0.2">
      <c r="B654" s="90"/>
      <c r="C654" s="61"/>
      <c r="D654" t="b">
        <f t="shared" si="30"/>
        <v>1</v>
      </c>
      <c r="F654" t="str">
        <f t="shared" si="31"/>
        <v>VI-000000-2025</v>
      </c>
      <c r="G654" s="13"/>
      <c r="H654" t="b">
        <f t="shared" si="32"/>
        <v>0</v>
      </c>
    </row>
    <row r="655" spans="2:8" x14ac:dyDescent="0.2">
      <c r="B655" s="90"/>
      <c r="C655" s="61"/>
      <c r="D655" t="b">
        <f t="shared" si="30"/>
        <v>1</v>
      </c>
      <c r="F655" t="str">
        <f t="shared" si="31"/>
        <v>VI-000000-2025</v>
      </c>
      <c r="G655" s="13"/>
      <c r="H655" t="b">
        <f t="shared" si="32"/>
        <v>0</v>
      </c>
    </row>
    <row r="656" spans="2:8" x14ac:dyDescent="0.2">
      <c r="B656" s="90"/>
      <c r="C656" s="61"/>
      <c r="D656" t="b">
        <f t="shared" si="30"/>
        <v>1</v>
      </c>
      <c r="F656" t="str">
        <f t="shared" si="31"/>
        <v>VI-000000-2025</v>
      </c>
      <c r="G656" s="13"/>
      <c r="H656" t="b">
        <f t="shared" si="32"/>
        <v>0</v>
      </c>
    </row>
    <row r="657" spans="2:8" x14ac:dyDescent="0.2">
      <c r="B657" s="90"/>
      <c r="C657" s="61"/>
      <c r="D657" t="b">
        <f t="shared" si="30"/>
        <v>1</v>
      </c>
      <c r="F657" t="str">
        <f t="shared" si="31"/>
        <v>VI-000000-2025</v>
      </c>
      <c r="G657" s="13"/>
      <c r="H657" t="b">
        <f t="shared" si="32"/>
        <v>0</v>
      </c>
    </row>
    <row r="658" spans="2:8" x14ac:dyDescent="0.2">
      <c r="B658" s="90"/>
      <c r="C658" s="61"/>
      <c r="D658" t="b">
        <f t="shared" si="30"/>
        <v>1</v>
      </c>
      <c r="F658" t="str">
        <f t="shared" si="31"/>
        <v>VI-000000-2025</v>
      </c>
      <c r="G658" s="13"/>
      <c r="H658" t="b">
        <f t="shared" si="32"/>
        <v>0</v>
      </c>
    </row>
    <row r="659" spans="2:8" x14ac:dyDescent="0.2">
      <c r="B659" s="90"/>
      <c r="C659" s="61"/>
      <c r="D659" t="b">
        <f t="shared" si="30"/>
        <v>1</v>
      </c>
      <c r="F659" t="str">
        <f t="shared" si="31"/>
        <v>VI-000000-2025</v>
      </c>
      <c r="G659" s="13"/>
      <c r="H659" t="b">
        <f t="shared" si="32"/>
        <v>0</v>
      </c>
    </row>
    <row r="660" spans="2:8" x14ac:dyDescent="0.2">
      <c r="B660" s="90"/>
      <c r="C660" s="61"/>
      <c r="D660" t="b">
        <f t="shared" si="30"/>
        <v>1</v>
      </c>
      <c r="F660" t="str">
        <f t="shared" si="31"/>
        <v>VI-000000-2025</v>
      </c>
      <c r="G660" s="13"/>
      <c r="H660" t="b">
        <f t="shared" si="32"/>
        <v>0</v>
      </c>
    </row>
    <row r="661" spans="2:8" x14ac:dyDescent="0.2">
      <c r="B661" s="112"/>
      <c r="C661" s="61"/>
      <c r="D661" t="b">
        <f t="shared" si="30"/>
        <v>1</v>
      </c>
      <c r="F661" t="str">
        <f t="shared" si="31"/>
        <v>VI-000000-2025</v>
      </c>
      <c r="G661" s="56"/>
      <c r="H661" t="b">
        <f t="shared" si="32"/>
        <v>0</v>
      </c>
    </row>
    <row r="662" spans="2:8" x14ac:dyDescent="0.2">
      <c r="B662" s="90"/>
      <c r="C662" s="61"/>
      <c r="D662" t="b">
        <f t="shared" si="30"/>
        <v>1</v>
      </c>
      <c r="F662" t="str">
        <f t="shared" si="31"/>
        <v>VI-000000-2025</v>
      </c>
      <c r="G662" s="13"/>
      <c r="H662" t="b">
        <f t="shared" si="32"/>
        <v>0</v>
      </c>
    </row>
    <row r="663" spans="2:8" ht="13.5" thickBot="1" x14ac:dyDescent="0.25">
      <c r="B663" s="96"/>
      <c r="C663" s="61"/>
      <c r="D663" t="b">
        <f t="shared" si="30"/>
        <v>1</v>
      </c>
      <c r="F663" t="str">
        <f t="shared" si="31"/>
        <v>VI-000000-2025</v>
      </c>
      <c r="G663" s="52"/>
      <c r="H663" t="b">
        <f t="shared" si="32"/>
        <v>0</v>
      </c>
    </row>
    <row r="664" spans="2:8" x14ac:dyDescent="0.2">
      <c r="B664" s="111"/>
      <c r="C664" s="61"/>
      <c r="D664" t="b">
        <f t="shared" si="30"/>
        <v>1</v>
      </c>
      <c r="F664" t="str">
        <f t="shared" si="31"/>
        <v>VI-000000-2025</v>
      </c>
      <c r="G664" s="58"/>
      <c r="H664" t="b">
        <f t="shared" si="32"/>
        <v>0</v>
      </c>
    </row>
    <row r="665" spans="2:8" x14ac:dyDescent="0.2">
      <c r="B665" s="90"/>
      <c r="C665" s="61"/>
      <c r="D665" t="b">
        <f t="shared" si="30"/>
        <v>1</v>
      </c>
      <c r="F665" t="str">
        <f t="shared" si="31"/>
        <v>VI-000000-2025</v>
      </c>
      <c r="G665" s="13"/>
      <c r="H665" t="b">
        <f t="shared" si="32"/>
        <v>0</v>
      </c>
    </row>
    <row r="666" spans="2:8" x14ac:dyDescent="0.2">
      <c r="B666" s="90"/>
      <c r="C666" s="61"/>
      <c r="D666" t="b">
        <f t="shared" si="30"/>
        <v>1</v>
      </c>
      <c r="F666" t="str">
        <f t="shared" si="31"/>
        <v>VI-000000-2025</v>
      </c>
      <c r="G666" s="13"/>
      <c r="H666" t="b">
        <f t="shared" si="32"/>
        <v>0</v>
      </c>
    </row>
    <row r="667" spans="2:8" x14ac:dyDescent="0.2">
      <c r="B667" s="90"/>
      <c r="C667" s="61"/>
      <c r="D667" t="b">
        <f t="shared" si="30"/>
        <v>1</v>
      </c>
      <c r="F667" t="str">
        <f t="shared" si="31"/>
        <v>VI-000000-2025</v>
      </c>
      <c r="G667" s="13"/>
      <c r="H667" t="b">
        <f t="shared" si="32"/>
        <v>0</v>
      </c>
    </row>
    <row r="668" spans="2:8" x14ac:dyDescent="0.2">
      <c r="B668" s="90"/>
      <c r="C668" s="61"/>
      <c r="D668" t="b">
        <f t="shared" si="30"/>
        <v>1</v>
      </c>
      <c r="F668" t="str">
        <f t="shared" si="31"/>
        <v>VI-000000-2025</v>
      </c>
      <c r="G668" s="13"/>
      <c r="H668" t="b">
        <f t="shared" si="32"/>
        <v>0</v>
      </c>
    </row>
    <row r="669" spans="2:8" x14ac:dyDescent="0.2">
      <c r="B669" s="90"/>
      <c r="C669" s="61"/>
      <c r="D669" t="b">
        <f t="shared" si="30"/>
        <v>1</v>
      </c>
      <c r="F669" t="str">
        <f t="shared" si="31"/>
        <v>VI-000000-2025</v>
      </c>
      <c r="G669" s="13"/>
      <c r="H669" t="b">
        <f t="shared" si="32"/>
        <v>0</v>
      </c>
    </row>
    <row r="670" spans="2:8" x14ac:dyDescent="0.2">
      <c r="B670" s="90"/>
      <c r="C670" s="61"/>
      <c r="D670" t="b">
        <f t="shared" si="30"/>
        <v>1</v>
      </c>
      <c r="F670" t="str">
        <f t="shared" si="31"/>
        <v>VI-000000-2025</v>
      </c>
      <c r="G670" s="13"/>
      <c r="H670" t="b">
        <f t="shared" si="32"/>
        <v>0</v>
      </c>
    </row>
    <row r="671" spans="2:8" x14ac:dyDescent="0.2">
      <c r="B671" s="90"/>
      <c r="C671" s="61"/>
      <c r="D671" t="b">
        <f t="shared" si="30"/>
        <v>1</v>
      </c>
      <c r="F671" t="str">
        <f t="shared" si="31"/>
        <v>VI-000000-2025</v>
      </c>
      <c r="G671" s="13"/>
      <c r="H671" t="b">
        <f t="shared" si="32"/>
        <v>0</v>
      </c>
    </row>
    <row r="672" spans="2:8" x14ac:dyDescent="0.2">
      <c r="B672" s="90"/>
      <c r="C672" s="61"/>
      <c r="D672" t="b">
        <f t="shared" si="30"/>
        <v>1</v>
      </c>
      <c r="F672" t="str">
        <f t="shared" si="31"/>
        <v>VI-000000-2025</v>
      </c>
      <c r="G672" s="13"/>
      <c r="H672" t="b">
        <f t="shared" si="32"/>
        <v>0</v>
      </c>
    </row>
    <row r="673" spans="2:8" x14ac:dyDescent="0.2">
      <c r="B673" s="90"/>
      <c r="C673" s="61"/>
      <c r="D673" t="b">
        <f t="shared" si="30"/>
        <v>1</v>
      </c>
      <c r="F673" t="str">
        <f t="shared" si="31"/>
        <v>VI-000000-2025</v>
      </c>
      <c r="G673" s="13"/>
      <c r="H673" t="b">
        <f t="shared" si="32"/>
        <v>0</v>
      </c>
    </row>
    <row r="674" spans="2:8" x14ac:dyDescent="0.2">
      <c r="B674" s="90"/>
      <c r="C674" s="61"/>
      <c r="D674" t="b">
        <f t="shared" si="30"/>
        <v>1</v>
      </c>
      <c r="F674" t="str">
        <f t="shared" si="31"/>
        <v>VI-000000-2025</v>
      </c>
      <c r="G674" s="13"/>
      <c r="H674" t="b">
        <f t="shared" si="32"/>
        <v>0</v>
      </c>
    </row>
    <row r="675" spans="2:8" x14ac:dyDescent="0.2">
      <c r="B675" s="90"/>
      <c r="C675" s="61"/>
      <c r="D675" t="b">
        <f t="shared" si="30"/>
        <v>1</v>
      </c>
      <c r="F675" t="str">
        <f t="shared" si="31"/>
        <v>VI-000000-2025</v>
      </c>
      <c r="G675" s="13"/>
      <c r="H675" t="b">
        <f t="shared" si="32"/>
        <v>0</v>
      </c>
    </row>
    <row r="676" spans="2:8" x14ac:dyDescent="0.2">
      <c r="B676" s="90"/>
      <c r="C676" s="61"/>
      <c r="D676" t="b">
        <f t="shared" si="30"/>
        <v>1</v>
      </c>
      <c r="F676" t="str">
        <f t="shared" si="31"/>
        <v>VI-000000-2025</v>
      </c>
      <c r="G676" s="13"/>
      <c r="H676" t="b">
        <f t="shared" si="32"/>
        <v>0</v>
      </c>
    </row>
    <row r="677" spans="2:8" x14ac:dyDescent="0.2">
      <c r="B677" s="90"/>
      <c r="C677" s="61"/>
      <c r="D677" t="b">
        <f t="shared" si="30"/>
        <v>1</v>
      </c>
      <c r="F677" t="str">
        <f t="shared" si="31"/>
        <v>VI-000000-2025</v>
      </c>
      <c r="G677" s="13"/>
      <c r="H677" t="b">
        <f t="shared" si="32"/>
        <v>0</v>
      </c>
    </row>
    <row r="678" spans="2:8" ht="13.5" thickBot="1" x14ac:dyDescent="0.25">
      <c r="B678" s="96"/>
      <c r="C678" s="61"/>
      <c r="D678" t="b">
        <f t="shared" si="30"/>
        <v>1</v>
      </c>
      <c r="F678" t="str">
        <f t="shared" si="31"/>
        <v>VI-000000-2025</v>
      </c>
      <c r="G678" s="52"/>
      <c r="H678" t="b">
        <f t="shared" si="32"/>
        <v>0</v>
      </c>
    </row>
    <row r="679" spans="2:8" x14ac:dyDescent="0.2">
      <c r="B679" s="111"/>
      <c r="C679" s="61"/>
      <c r="D679" t="b">
        <f t="shared" si="30"/>
        <v>1</v>
      </c>
      <c r="F679" t="str">
        <f t="shared" si="31"/>
        <v>VI-000000-2025</v>
      </c>
      <c r="G679" s="58"/>
      <c r="H679" t="b">
        <f t="shared" si="32"/>
        <v>0</v>
      </c>
    </row>
    <row r="680" spans="2:8" x14ac:dyDescent="0.2">
      <c r="B680" s="90"/>
      <c r="C680" s="61"/>
      <c r="D680" t="b">
        <f t="shared" si="30"/>
        <v>1</v>
      </c>
      <c r="F680" t="str">
        <f t="shared" si="31"/>
        <v>VI-000000-2025</v>
      </c>
      <c r="G680" s="13"/>
      <c r="H680" t="b">
        <f t="shared" si="32"/>
        <v>0</v>
      </c>
    </row>
    <row r="681" spans="2:8" x14ac:dyDescent="0.2">
      <c r="B681" s="90"/>
      <c r="C681" s="61"/>
      <c r="D681" t="b">
        <f t="shared" si="30"/>
        <v>1</v>
      </c>
      <c r="F681" t="str">
        <f t="shared" si="31"/>
        <v>VI-000000-2025</v>
      </c>
      <c r="G681" s="13"/>
      <c r="H681" t="b">
        <f t="shared" si="32"/>
        <v>0</v>
      </c>
    </row>
    <row r="682" spans="2:8" x14ac:dyDescent="0.2">
      <c r="B682" s="90"/>
      <c r="C682" s="61"/>
      <c r="D682" t="b">
        <f t="shared" si="30"/>
        <v>1</v>
      </c>
      <c r="F682" t="str">
        <f t="shared" si="31"/>
        <v>VI-000000-2025</v>
      </c>
      <c r="G682" s="13"/>
      <c r="H682" t="b">
        <f t="shared" si="32"/>
        <v>0</v>
      </c>
    </row>
    <row r="683" spans="2:8" x14ac:dyDescent="0.2">
      <c r="B683" s="90"/>
      <c r="C683" s="61"/>
      <c r="D683" t="b">
        <f t="shared" si="30"/>
        <v>1</v>
      </c>
      <c r="F683" t="str">
        <f t="shared" si="31"/>
        <v>VI-000000-2025</v>
      </c>
      <c r="G683" s="13"/>
      <c r="H683" t="b">
        <f t="shared" si="32"/>
        <v>0</v>
      </c>
    </row>
    <row r="684" spans="2:8" x14ac:dyDescent="0.2">
      <c r="B684" s="90"/>
      <c r="C684" s="61"/>
      <c r="D684" t="b">
        <f t="shared" si="30"/>
        <v>1</v>
      </c>
      <c r="F684" t="str">
        <f t="shared" si="31"/>
        <v>VI-000000-2025</v>
      </c>
      <c r="G684" s="13"/>
      <c r="H684" t="b">
        <f t="shared" si="32"/>
        <v>0</v>
      </c>
    </row>
    <row r="685" spans="2:8" x14ac:dyDescent="0.2">
      <c r="B685" s="90"/>
      <c r="C685" s="61"/>
      <c r="D685" t="b">
        <f t="shared" si="30"/>
        <v>1</v>
      </c>
      <c r="F685" t="str">
        <f t="shared" si="31"/>
        <v>VI-000000-2025</v>
      </c>
      <c r="G685" s="13"/>
      <c r="H685" t="b">
        <f t="shared" si="32"/>
        <v>0</v>
      </c>
    </row>
    <row r="686" spans="2:8" x14ac:dyDescent="0.2">
      <c r="B686" s="90"/>
      <c r="C686" s="61"/>
      <c r="D686" t="b">
        <f t="shared" si="30"/>
        <v>1</v>
      </c>
      <c r="F686" t="str">
        <f t="shared" si="31"/>
        <v>VI-000000-2025</v>
      </c>
      <c r="G686" s="13"/>
      <c r="H686" t="b">
        <f t="shared" si="32"/>
        <v>0</v>
      </c>
    </row>
    <row r="687" spans="2:8" x14ac:dyDescent="0.2">
      <c r="B687" s="90"/>
      <c r="C687" s="61"/>
      <c r="D687" t="b">
        <f t="shared" si="30"/>
        <v>1</v>
      </c>
      <c r="F687" t="str">
        <f t="shared" si="31"/>
        <v>VI-000000-2025</v>
      </c>
      <c r="G687" s="13"/>
      <c r="H687" t="b">
        <f t="shared" si="32"/>
        <v>0</v>
      </c>
    </row>
    <row r="688" spans="2:8" x14ac:dyDescent="0.2">
      <c r="B688" s="90"/>
      <c r="C688" s="61"/>
      <c r="D688" t="b">
        <f t="shared" si="30"/>
        <v>1</v>
      </c>
      <c r="F688" t="str">
        <f t="shared" si="31"/>
        <v>VI-000000-2025</v>
      </c>
      <c r="G688" s="13"/>
      <c r="H688" t="b">
        <f t="shared" si="32"/>
        <v>0</v>
      </c>
    </row>
    <row r="689" spans="2:8" x14ac:dyDescent="0.2">
      <c r="B689" s="90"/>
      <c r="C689" s="61"/>
      <c r="D689" t="b">
        <f t="shared" si="30"/>
        <v>1</v>
      </c>
      <c r="F689" t="str">
        <f t="shared" si="31"/>
        <v>VI-000000-2025</v>
      </c>
      <c r="G689" s="13"/>
      <c r="H689" t="b">
        <f t="shared" si="32"/>
        <v>0</v>
      </c>
    </row>
    <row r="690" spans="2:8" x14ac:dyDescent="0.2">
      <c r="B690" s="90"/>
      <c r="C690" s="61"/>
      <c r="D690" t="b">
        <f t="shared" si="30"/>
        <v>1</v>
      </c>
      <c r="F690" t="str">
        <f t="shared" si="31"/>
        <v>VI-000000-2025</v>
      </c>
      <c r="G690" s="13"/>
      <c r="H690" t="b">
        <f t="shared" si="32"/>
        <v>0</v>
      </c>
    </row>
    <row r="691" spans="2:8" x14ac:dyDescent="0.2">
      <c r="B691" s="90"/>
      <c r="C691" s="61"/>
      <c r="D691" t="b">
        <f t="shared" si="30"/>
        <v>1</v>
      </c>
      <c r="F691" t="str">
        <f t="shared" si="31"/>
        <v>VI-000000-2025</v>
      </c>
      <c r="G691" s="13"/>
      <c r="H691" t="b">
        <f t="shared" si="32"/>
        <v>0</v>
      </c>
    </row>
    <row r="692" spans="2:8" x14ac:dyDescent="0.2">
      <c r="B692" s="90"/>
      <c r="C692" s="61"/>
      <c r="D692" t="b">
        <f t="shared" si="30"/>
        <v>1</v>
      </c>
      <c r="F692" t="str">
        <f t="shared" si="31"/>
        <v>VI-000000-2025</v>
      </c>
      <c r="G692" s="13"/>
      <c r="H692" t="b">
        <f t="shared" si="32"/>
        <v>0</v>
      </c>
    </row>
    <row r="693" spans="2:8" ht="13.5" thickBot="1" x14ac:dyDescent="0.25">
      <c r="B693" s="96"/>
      <c r="C693" s="61"/>
      <c r="D693" t="b">
        <f t="shared" si="30"/>
        <v>1</v>
      </c>
      <c r="F693" t="str">
        <f t="shared" si="31"/>
        <v>VI-000000-2025</v>
      </c>
      <c r="G693" s="52"/>
      <c r="H693" t="b">
        <f t="shared" si="32"/>
        <v>0</v>
      </c>
    </row>
    <row r="694" spans="2:8" x14ac:dyDescent="0.2">
      <c r="B694" s="111"/>
      <c r="C694" s="61"/>
      <c r="D694" t="b">
        <f t="shared" si="30"/>
        <v>1</v>
      </c>
      <c r="F694" t="str">
        <f t="shared" si="31"/>
        <v>VI-000000-2025</v>
      </c>
      <c r="G694" s="58"/>
      <c r="H694" t="b">
        <f t="shared" si="32"/>
        <v>0</v>
      </c>
    </row>
    <row r="695" spans="2:8" x14ac:dyDescent="0.2">
      <c r="B695" s="90"/>
      <c r="C695" s="61"/>
      <c r="D695" t="b">
        <f t="shared" si="30"/>
        <v>1</v>
      </c>
      <c r="F695" t="str">
        <f t="shared" si="31"/>
        <v>VI-000000-2025</v>
      </c>
      <c r="G695" s="13"/>
      <c r="H695" t="b">
        <f t="shared" si="32"/>
        <v>0</v>
      </c>
    </row>
    <row r="696" spans="2:8" x14ac:dyDescent="0.2">
      <c r="B696" s="90"/>
      <c r="C696" s="61"/>
      <c r="D696" t="b">
        <f t="shared" si="30"/>
        <v>1</v>
      </c>
      <c r="F696" t="str">
        <f t="shared" si="31"/>
        <v>VI-000000-2025</v>
      </c>
      <c r="G696" s="13"/>
      <c r="H696" t="b">
        <f t="shared" si="32"/>
        <v>0</v>
      </c>
    </row>
    <row r="697" spans="2:8" x14ac:dyDescent="0.2">
      <c r="B697" s="90"/>
      <c r="C697" s="61"/>
      <c r="D697" t="b">
        <f t="shared" si="30"/>
        <v>1</v>
      </c>
      <c r="F697" t="str">
        <f t="shared" si="31"/>
        <v>VI-000000-2025</v>
      </c>
      <c r="G697" s="13"/>
      <c r="H697" t="b">
        <f t="shared" si="32"/>
        <v>0</v>
      </c>
    </row>
    <row r="698" spans="2:8" x14ac:dyDescent="0.2">
      <c r="B698" s="90"/>
      <c r="C698" s="61"/>
      <c r="D698" t="b">
        <f t="shared" si="30"/>
        <v>1</v>
      </c>
      <c r="F698" t="str">
        <f t="shared" si="31"/>
        <v>VI-000000-2025</v>
      </c>
      <c r="G698" s="13"/>
      <c r="H698" t="b">
        <f t="shared" si="32"/>
        <v>0</v>
      </c>
    </row>
    <row r="699" spans="2:8" x14ac:dyDescent="0.2">
      <c r="B699" s="90"/>
      <c r="C699" s="61"/>
      <c r="D699" t="b">
        <f t="shared" si="30"/>
        <v>1</v>
      </c>
      <c r="F699" t="str">
        <f t="shared" si="31"/>
        <v>VI-000000-2025</v>
      </c>
      <c r="G699" s="13"/>
      <c r="H699" t="b">
        <f t="shared" si="32"/>
        <v>0</v>
      </c>
    </row>
    <row r="700" spans="2:8" x14ac:dyDescent="0.2">
      <c r="B700" s="90"/>
      <c r="C700" s="61"/>
      <c r="D700" t="b">
        <f t="shared" si="30"/>
        <v>1</v>
      </c>
      <c r="F700" t="str">
        <f t="shared" si="31"/>
        <v>VI-000000-2025</v>
      </c>
      <c r="G700" s="13"/>
      <c r="H700" t="b">
        <f t="shared" si="32"/>
        <v>0</v>
      </c>
    </row>
    <row r="701" spans="2:8" x14ac:dyDescent="0.2">
      <c r="B701" s="90"/>
      <c r="C701" s="61"/>
      <c r="D701" t="b">
        <f t="shared" si="30"/>
        <v>1</v>
      </c>
      <c r="F701" t="str">
        <f t="shared" si="31"/>
        <v>VI-000000-2025</v>
      </c>
      <c r="G701" s="13"/>
      <c r="H701" t="b">
        <f t="shared" si="32"/>
        <v>0</v>
      </c>
    </row>
    <row r="702" spans="2:8" x14ac:dyDescent="0.2">
      <c r="B702" s="90"/>
      <c r="C702" s="61"/>
      <c r="D702" t="b">
        <f t="shared" si="30"/>
        <v>1</v>
      </c>
      <c r="F702" t="str">
        <f t="shared" si="31"/>
        <v>VI-000000-2025</v>
      </c>
      <c r="G702" s="13"/>
      <c r="H702" t="b">
        <f t="shared" si="32"/>
        <v>0</v>
      </c>
    </row>
    <row r="703" spans="2:8" x14ac:dyDescent="0.2">
      <c r="B703" s="90"/>
      <c r="C703" s="61"/>
      <c r="D703" t="b">
        <f t="shared" si="30"/>
        <v>1</v>
      </c>
      <c r="F703" t="str">
        <f t="shared" si="31"/>
        <v>VI-000000-2025</v>
      </c>
      <c r="G703" s="13"/>
      <c r="H703" t="b">
        <f t="shared" si="32"/>
        <v>0</v>
      </c>
    </row>
    <row r="704" spans="2:8" x14ac:dyDescent="0.2">
      <c r="B704" s="90"/>
      <c r="C704" s="61"/>
      <c r="D704" t="b">
        <f t="shared" si="30"/>
        <v>1</v>
      </c>
      <c r="F704" t="str">
        <f t="shared" si="31"/>
        <v>VI-000000-2025</v>
      </c>
      <c r="G704" s="13"/>
      <c r="H704" t="b">
        <f t="shared" si="32"/>
        <v>0</v>
      </c>
    </row>
    <row r="705" spans="2:8" x14ac:dyDescent="0.2">
      <c r="B705" s="90"/>
      <c r="C705" s="61"/>
      <c r="D705" t="b">
        <f t="shared" si="30"/>
        <v>1</v>
      </c>
      <c r="F705" t="str">
        <f t="shared" si="31"/>
        <v>VI-000000-2025</v>
      </c>
      <c r="G705" s="13"/>
      <c r="H705" t="b">
        <f t="shared" si="32"/>
        <v>0</v>
      </c>
    </row>
    <row r="706" spans="2:8" x14ac:dyDescent="0.2">
      <c r="B706" s="90"/>
      <c r="C706" s="61"/>
      <c r="D706" t="b">
        <f t="shared" si="30"/>
        <v>1</v>
      </c>
      <c r="F706" t="str">
        <f t="shared" si="31"/>
        <v>VI-000000-2025</v>
      </c>
      <c r="G706" s="13"/>
      <c r="H706" t="b">
        <f t="shared" si="32"/>
        <v>0</v>
      </c>
    </row>
    <row r="707" spans="2:8" x14ac:dyDescent="0.2">
      <c r="B707" s="90"/>
      <c r="C707" s="61"/>
      <c r="D707" t="b">
        <f t="shared" si="30"/>
        <v>1</v>
      </c>
      <c r="F707" t="str">
        <f t="shared" si="31"/>
        <v>VI-000000-2025</v>
      </c>
      <c r="G707" s="13"/>
      <c r="H707" t="b">
        <f t="shared" si="32"/>
        <v>0</v>
      </c>
    </row>
    <row r="708" spans="2:8" ht="13.5" thickBot="1" x14ac:dyDescent="0.25">
      <c r="B708" s="96"/>
      <c r="C708" s="61"/>
      <c r="D708" t="b">
        <f t="shared" si="30"/>
        <v>1</v>
      </c>
      <c r="F708" t="str">
        <f t="shared" si="31"/>
        <v>VI-000000-2025</v>
      </c>
      <c r="G708" s="52"/>
      <c r="H708" t="b">
        <f t="shared" si="32"/>
        <v>0</v>
      </c>
    </row>
    <row r="709" spans="2:8" x14ac:dyDescent="0.2">
      <c r="B709" s="111"/>
      <c r="C709" s="61"/>
      <c r="D709" t="b">
        <f t="shared" ref="D709:D723" si="33">B709=C709</f>
        <v>1</v>
      </c>
      <c r="F709" t="str">
        <f t="shared" ref="F709:F723" si="34">"VI-"&amp;TEXT(E709,"000000")&amp;"-2025"</f>
        <v>VI-000000-2025</v>
      </c>
      <c r="G709" s="58"/>
      <c r="H709" t="b">
        <f t="shared" ref="H709:H723" si="35">F709=G709</f>
        <v>0</v>
      </c>
    </row>
    <row r="710" spans="2:8" x14ac:dyDescent="0.2">
      <c r="B710" s="90"/>
      <c r="C710" s="61"/>
      <c r="D710" t="b">
        <f t="shared" si="33"/>
        <v>1</v>
      </c>
      <c r="F710" t="str">
        <f t="shared" si="34"/>
        <v>VI-000000-2025</v>
      </c>
      <c r="G710" s="13"/>
      <c r="H710" t="b">
        <f t="shared" si="35"/>
        <v>0</v>
      </c>
    </row>
    <row r="711" spans="2:8" x14ac:dyDescent="0.2">
      <c r="B711" s="90"/>
      <c r="C711" s="61"/>
      <c r="D711" t="b">
        <f t="shared" si="33"/>
        <v>1</v>
      </c>
      <c r="F711" t="str">
        <f t="shared" si="34"/>
        <v>VI-000000-2025</v>
      </c>
      <c r="G711" s="13"/>
      <c r="H711" t="b">
        <f t="shared" si="35"/>
        <v>0</v>
      </c>
    </row>
    <row r="712" spans="2:8" x14ac:dyDescent="0.2">
      <c r="B712" s="90"/>
      <c r="C712" s="61"/>
      <c r="D712" t="b">
        <f t="shared" si="33"/>
        <v>1</v>
      </c>
      <c r="F712" t="str">
        <f t="shared" si="34"/>
        <v>VI-000000-2025</v>
      </c>
      <c r="G712" s="13"/>
      <c r="H712" t="b">
        <f t="shared" si="35"/>
        <v>0</v>
      </c>
    </row>
    <row r="713" spans="2:8" x14ac:dyDescent="0.2">
      <c r="B713" s="90"/>
      <c r="C713" s="61"/>
      <c r="D713" t="b">
        <f t="shared" si="33"/>
        <v>1</v>
      </c>
      <c r="F713" t="str">
        <f t="shared" si="34"/>
        <v>VI-000000-2025</v>
      </c>
      <c r="G713" s="13"/>
      <c r="H713" t="b">
        <f t="shared" si="35"/>
        <v>0</v>
      </c>
    </row>
    <row r="714" spans="2:8" x14ac:dyDescent="0.2">
      <c r="B714" s="90"/>
      <c r="C714" s="61"/>
      <c r="D714" t="b">
        <f t="shared" si="33"/>
        <v>1</v>
      </c>
      <c r="F714" t="str">
        <f t="shared" si="34"/>
        <v>VI-000000-2025</v>
      </c>
      <c r="G714" s="13"/>
      <c r="H714" t="b">
        <f t="shared" si="35"/>
        <v>0</v>
      </c>
    </row>
    <row r="715" spans="2:8" x14ac:dyDescent="0.2">
      <c r="B715" s="90"/>
      <c r="C715" s="61"/>
      <c r="D715" t="b">
        <f t="shared" si="33"/>
        <v>1</v>
      </c>
      <c r="F715" t="str">
        <f t="shared" si="34"/>
        <v>VI-000000-2025</v>
      </c>
      <c r="G715" s="13"/>
      <c r="H715" t="b">
        <f t="shared" si="35"/>
        <v>0</v>
      </c>
    </row>
    <row r="716" spans="2:8" x14ac:dyDescent="0.2">
      <c r="B716" s="90"/>
      <c r="C716" s="61"/>
      <c r="D716" t="b">
        <f t="shared" si="33"/>
        <v>1</v>
      </c>
      <c r="F716" t="str">
        <f t="shared" si="34"/>
        <v>VI-000000-2025</v>
      </c>
      <c r="G716" s="13"/>
      <c r="H716" t="b">
        <f t="shared" si="35"/>
        <v>0</v>
      </c>
    </row>
    <row r="717" spans="2:8" x14ac:dyDescent="0.2">
      <c r="B717" s="90"/>
      <c r="C717" s="61"/>
      <c r="D717" t="b">
        <f t="shared" si="33"/>
        <v>1</v>
      </c>
      <c r="F717" t="str">
        <f t="shared" si="34"/>
        <v>VI-000000-2025</v>
      </c>
      <c r="G717" s="13"/>
      <c r="H717" t="b">
        <f t="shared" si="35"/>
        <v>0</v>
      </c>
    </row>
    <row r="718" spans="2:8" x14ac:dyDescent="0.2">
      <c r="B718" s="90"/>
      <c r="C718" s="61"/>
      <c r="D718" t="b">
        <f t="shared" si="33"/>
        <v>1</v>
      </c>
      <c r="F718" t="str">
        <f t="shared" si="34"/>
        <v>VI-000000-2025</v>
      </c>
      <c r="G718" s="13"/>
      <c r="H718" t="b">
        <f t="shared" si="35"/>
        <v>0</v>
      </c>
    </row>
    <row r="719" spans="2:8" x14ac:dyDescent="0.2">
      <c r="B719" s="90"/>
      <c r="C719" s="61"/>
      <c r="D719" t="b">
        <f t="shared" si="33"/>
        <v>1</v>
      </c>
      <c r="F719" t="str">
        <f t="shared" si="34"/>
        <v>VI-000000-2025</v>
      </c>
      <c r="G719" s="13"/>
      <c r="H719" t="b">
        <f t="shared" si="35"/>
        <v>0</v>
      </c>
    </row>
    <row r="720" spans="2:8" x14ac:dyDescent="0.2">
      <c r="B720" s="90"/>
      <c r="C720" s="61"/>
      <c r="D720" t="b">
        <f t="shared" si="33"/>
        <v>1</v>
      </c>
      <c r="F720" t="str">
        <f t="shared" si="34"/>
        <v>VI-000000-2025</v>
      </c>
      <c r="G720" s="13"/>
      <c r="H720" t="b">
        <f t="shared" si="35"/>
        <v>0</v>
      </c>
    </row>
    <row r="721" spans="2:8" x14ac:dyDescent="0.2">
      <c r="B721" s="90"/>
      <c r="C721" s="61"/>
      <c r="D721" t="b">
        <f t="shared" si="33"/>
        <v>1</v>
      </c>
      <c r="F721" t="str">
        <f t="shared" si="34"/>
        <v>VI-000000-2025</v>
      </c>
      <c r="G721" s="13"/>
      <c r="H721" t="b">
        <f t="shared" si="35"/>
        <v>0</v>
      </c>
    </row>
    <row r="722" spans="2:8" x14ac:dyDescent="0.2">
      <c r="B722" s="90"/>
      <c r="C722" s="61"/>
      <c r="D722" t="b">
        <f t="shared" si="33"/>
        <v>1</v>
      </c>
      <c r="F722" t="str">
        <f t="shared" si="34"/>
        <v>VI-000000-2025</v>
      </c>
      <c r="G722" s="13"/>
      <c r="H722" t="b">
        <f t="shared" si="35"/>
        <v>0</v>
      </c>
    </row>
    <row r="723" spans="2:8" x14ac:dyDescent="0.2">
      <c r="B723" s="90"/>
      <c r="C723" s="61"/>
      <c r="D723" t="b">
        <f t="shared" si="33"/>
        <v>1</v>
      </c>
      <c r="F723" t="str">
        <f t="shared" si="34"/>
        <v>VI-000000-2025</v>
      </c>
      <c r="G723" s="13"/>
      <c r="H723" t="b">
        <f t="shared" si="35"/>
        <v>0</v>
      </c>
    </row>
  </sheetData>
  <autoFilter ref="B3:H3" xr:uid="{A7A6CE58-EF31-4DE3-BCAD-094E0FF3BD30}"/>
  <phoneticPr fontId="2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B28E4-5510-430B-81EF-64449EFA2A67}">
  <sheetPr>
    <pageSetUpPr fitToPage="1"/>
  </sheetPr>
  <dimension ref="A1:I725"/>
  <sheetViews>
    <sheetView workbookViewId="0">
      <selection activeCell="C1" sqref="C1:C1048576"/>
    </sheetView>
  </sheetViews>
  <sheetFormatPr baseColWidth="10" defaultRowHeight="12.75" x14ac:dyDescent="0.2"/>
  <cols>
    <col min="1" max="1" width="9.85546875" customWidth="1"/>
  </cols>
  <sheetData>
    <row r="1" spans="1:9" ht="20.25" x14ac:dyDescent="0.2">
      <c r="A1" s="219"/>
      <c r="B1" s="219"/>
      <c r="E1">
        <f>Hoja1!F1</f>
        <v>0</v>
      </c>
      <c r="F1">
        <f>Hoja1!G1</f>
        <v>0</v>
      </c>
    </row>
    <row r="2" spans="1:9" ht="12.75" customHeight="1" thickBot="1" x14ac:dyDescent="0.25"/>
    <row r="3" spans="1:9" ht="12.75" customHeight="1" x14ac:dyDescent="0.2">
      <c r="A3" s="220" t="s">
        <v>21</v>
      </c>
      <c r="B3" s="222" t="s">
        <v>26</v>
      </c>
      <c r="C3" s="224" t="s">
        <v>10</v>
      </c>
      <c r="D3" s="226" t="s">
        <v>40</v>
      </c>
      <c r="E3" s="215" t="s">
        <v>39</v>
      </c>
      <c r="F3" s="215" t="s">
        <v>38</v>
      </c>
      <c r="G3" s="215" t="s">
        <v>37</v>
      </c>
      <c r="H3" s="217" t="s">
        <v>4</v>
      </c>
      <c r="I3" s="217" t="s">
        <v>36</v>
      </c>
    </row>
    <row r="4" spans="1:9" ht="13.15" customHeight="1" x14ac:dyDescent="0.2">
      <c r="A4" s="221"/>
      <c r="B4" s="223"/>
      <c r="C4" s="225"/>
      <c r="D4" s="227"/>
      <c r="E4" s="216"/>
      <c r="F4" s="216"/>
      <c r="G4" s="216"/>
      <c r="H4" s="218"/>
      <c r="I4" s="218"/>
    </row>
    <row r="5" spans="1:9" ht="13.15" customHeight="1" x14ac:dyDescent="0.2">
      <c r="A5" s="221"/>
      <c r="B5" s="223"/>
      <c r="C5" s="225"/>
      <c r="D5" s="227"/>
      <c r="E5" s="216"/>
      <c r="F5" s="216"/>
      <c r="G5" s="216"/>
      <c r="H5" s="218"/>
      <c r="I5" s="218"/>
    </row>
    <row r="6" spans="1:9" x14ac:dyDescent="0.2">
      <c r="A6" s="82">
        <f>'ERROR FINAL'!A9</f>
        <v>1</v>
      </c>
      <c r="B6" s="83">
        <f>'ERROR FINAL'!D9</f>
        <v>6</v>
      </c>
      <c r="C6" s="84" t="str">
        <f>'ERROR FINAL'!G9</f>
        <v>PA25517181</v>
      </c>
      <c r="D6" s="85">
        <f>'ERROR FINAL'!I9</f>
        <v>0</v>
      </c>
      <c r="E6" s="86">
        <f>'ERROR FINAL'!U9</f>
        <v>-0.83482409063804741</v>
      </c>
      <c r="F6" s="87">
        <f>'ERROR FINAL'!AG9</f>
        <v>-0.94857713429868273</v>
      </c>
      <c r="G6" s="87">
        <f>'ERROR FINAL'!AS9</f>
        <v>0.53859964093341595</v>
      </c>
      <c r="H6" s="88" t="str">
        <f>IF('ERROR FINAL'!AT9="CONFORME","CONFORME","NO CONFORME")</f>
        <v>CONFORME</v>
      </c>
      <c r="I6" s="89" t="str">
        <f>IF(D6=0,"Medición",IF(D6=1,"Daño físico",IF(D6=2,"Fuga",IF(D6=3,"Picado",IF(D6=4,"Desfasado",IF(D6=5,"Paralizado","¿?"))))))</f>
        <v>Medición</v>
      </c>
    </row>
    <row r="7" spans="1:9" x14ac:dyDescent="0.2">
      <c r="A7" s="82">
        <f>'ERROR FINAL'!A10</f>
        <v>2</v>
      </c>
      <c r="B7" s="83">
        <f>'ERROR FINAL'!D10</f>
        <v>6</v>
      </c>
      <c r="C7" s="84">
        <f>'ERROR FINAL'!G10</f>
        <v>0</v>
      </c>
      <c r="D7" s="85">
        <f>'ERROR FINAL'!I10</f>
        <v>0</v>
      </c>
      <c r="E7" s="86">
        <f>'ERROR FINAL'!U10</f>
        <v>-100</v>
      </c>
      <c r="F7" s="87">
        <f>'ERROR FINAL'!AG10</f>
        <v>-100</v>
      </c>
      <c r="G7" s="87">
        <f>'ERROR FINAL'!AS10</f>
        <v>-100</v>
      </c>
      <c r="H7" s="88" t="str">
        <f>IF('ERROR FINAL'!AT10="CONFORME","CONFORME","NO CONFORME")</f>
        <v>NO CONFORME</v>
      </c>
      <c r="I7" s="89" t="str">
        <f t="shared" ref="I7:I70" si="0">IF(D7=0,"Medición",IF(D7=1,"Daño físico",IF(D7=2,"Fuga",IF(D7=3,"Picado",IF(D7=4,"Desfasado",IF(D7=5,"Paralizado","¿?"))))))</f>
        <v>Medición</v>
      </c>
    </row>
    <row r="8" spans="1:9" x14ac:dyDescent="0.2">
      <c r="A8" s="82">
        <f>'ERROR FINAL'!A11</f>
        <v>3</v>
      </c>
      <c r="B8" s="83">
        <f>'ERROR FINAL'!D11</f>
        <v>6</v>
      </c>
      <c r="C8" s="84">
        <f>'ERROR FINAL'!G11</f>
        <v>0</v>
      </c>
      <c r="D8" s="85">
        <f>'ERROR FINAL'!I11</f>
        <v>0</v>
      </c>
      <c r="E8" s="86">
        <f>'ERROR FINAL'!U11</f>
        <v>-100</v>
      </c>
      <c r="F8" s="87">
        <f>'ERROR FINAL'!AG11</f>
        <v>-100</v>
      </c>
      <c r="G8" s="87">
        <f>'ERROR FINAL'!AS11</f>
        <v>-100</v>
      </c>
      <c r="H8" s="88" t="str">
        <f>IF('ERROR FINAL'!AT11="CONFORME","CONFORME","NO CONFORME")</f>
        <v>NO CONFORME</v>
      </c>
      <c r="I8" s="89" t="str">
        <f t="shared" si="0"/>
        <v>Medición</v>
      </c>
    </row>
    <row r="9" spans="1:9" x14ac:dyDescent="0.2">
      <c r="A9" s="82">
        <f>'ERROR FINAL'!A12</f>
        <v>4</v>
      </c>
      <c r="B9" s="83">
        <f>'ERROR FINAL'!D12</f>
        <v>6</v>
      </c>
      <c r="C9" s="84">
        <f>'ERROR FINAL'!G12</f>
        <v>0</v>
      </c>
      <c r="D9" s="85">
        <f>'ERROR FINAL'!I12</f>
        <v>0</v>
      </c>
      <c r="E9" s="86">
        <f>'ERROR FINAL'!U12</f>
        <v>-100</v>
      </c>
      <c r="F9" s="87">
        <f>'ERROR FINAL'!AG12</f>
        <v>-100</v>
      </c>
      <c r="G9" s="87">
        <f>'ERROR FINAL'!AS12</f>
        <v>-100</v>
      </c>
      <c r="H9" s="88" t="str">
        <f>IF('ERROR FINAL'!AT12="CONFORME","CONFORME","NO CONFORME")</f>
        <v>NO CONFORME</v>
      </c>
      <c r="I9" s="89" t="str">
        <f t="shared" si="0"/>
        <v>Medición</v>
      </c>
    </row>
    <row r="10" spans="1:9" x14ac:dyDescent="0.2">
      <c r="A10" s="82">
        <f>'ERROR FINAL'!A13</f>
        <v>5</v>
      </c>
      <c r="B10" s="83">
        <f>'ERROR FINAL'!D13</f>
        <v>6</v>
      </c>
      <c r="C10" s="84">
        <f>'ERROR FINAL'!G13</f>
        <v>0</v>
      </c>
      <c r="D10" s="85">
        <f>'ERROR FINAL'!I13</f>
        <v>0</v>
      </c>
      <c r="E10" s="86">
        <f>'ERROR FINAL'!U13</f>
        <v>-100</v>
      </c>
      <c r="F10" s="87">
        <f>'ERROR FINAL'!AG13</f>
        <v>-100</v>
      </c>
      <c r="G10" s="87">
        <f>'ERROR FINAL'!AS13</f>
        <v>-100</v>
      </c>
      <c r="H10" s="88" t="str">
        <f>IF('ERROR FINAL'!AT13="CONFORME","CONFORME","NO CONFORME")</f>
        <v>NO CONFORME</v>
      </c>
      <c r="I10" s="89" t="str">
        <f t="shared" si="0"/>
        <v>Medición</v>
      </c>
    </row>
    <row r="11" spans="1:9" x14ac:dyDescent="0.2">
      <c r="A11" s="82">
        <f>'ERROR FINAL'!A14</f>
        <v>6</v>
      </c>
      <c r="B11" s="83">
        <f>'ERROR FINAL'!D14</f>
        <v>6</v>
      </c>
      <c r="C11" s="84">
        <f>'ERROR FINAL'!G14</f>
        <v>0</v>
      </c>
      <c r="D11" s="85">
        <f>'ERROR FINAL'!I14</f>
        <v>0</v>
      </c>
      <c r="E11" s="86">
        <f>'ERROR FINAL'!U14</f>
        <v>-100</v>
      </c>
      <c r="F11" s="87">
        <f>'ERROR FINAL'!AG14</f>
        <v>-100</v>
      </c>
      <c r="G11" s="87">
        <f>'ERROR FINAL'!AS14</f>
        <v>-100</v>
      </c>
      <c r="H11" s="88" t="str">
        <f>IF('ERROR FINAL'!AT14="CONFORME","CONFORME","NO CONFORME")</f>
        <v>NO CONFORME</v>
      </c>
      <c r="I11" s="89" t="str">
        <f t="shared" si="0"/>
        <v>Medición</v>
      </c>
    </row>
    <row r="12" spans="1:9" x14ac:dyDescent="0.2">
      <c r="A12" s="82">
        <f>'ERROR FINAL'!A15</f>
        <v>7</v>
      </c>
      <c r="B12" s="83">
        <f>'ERROR FINAL'!D15</f>
        <v>6</v>
      </c>
      <c r="C12" s="84">
        <f>'ERROR FINAL'!G15</f>
        <v>0</v>
      </c>
      <c r="D12" s="85">
        <f>'ERROR FINAL'!I15</f>
        <v>0</v>
      </c>
      <c r="E12" s="86">
        <f>'ERROR FINAL'!U15</f>
        <v>-100</v>
      </c>
      <c r="F12" s="87">
        <f>'ERROR FINAL'!AG15</f>
        <v>-100</v>
      </c>
      <c r="G12" s="87">
        <f>'ERROR FINAL'!AS15</f>
        <v>-100</v>
      </c>
      <c r="H12" s="88" t="str">
        <f>IF('ERROR FINAL'!AT15="CONFORME","CONFORME","NO CONFORME")</f>
        <v>NO CONFORME</v>
      </c>
      <c r="I12" s="89" t="str">
        <f t="shared" si="0"/>
        <v>Medición</v>
      </c>
    </row>
    <row r="13" spans="1:9" x14ac:dyDescent="0.2">
      <c r="A13" s="82">
        <f>'ERROR FINAL'!A16</f>
        <v>8</v>
      </c>
      <c r="B13" s="83">
        <f>'ERROR FINAL'!D16</f>
        <v>6</v>
      </c>
      <c r="C13" s="84">
        <f>'ERROR FINAL'!G16</f>
        <v>0</v>
      </c>
      <c r="D13" s="85">
        <f>'ERROR FINAL'!I16</f>
        <v>0</v>
      </c>
      <c r="E13" s="86">
        <f>'ERROR FINAL'!U16</f>
        <v>-100</v>
      </c>
      <c r="F13" s="87">
        <f>'ERROR FINAL'!AG16</f>
        <v>-100</v>
      </c>
      <c r="G13" s="87">
        <f>'ERROR FINAL'!AS16</f>
        <v>-100</v>
      </c>
      <c r="H13" s="88" t="str">
        <f>IF('ERROR FINAL'!AT16="CONFORME","CONFORME","NO CONFORME")</f>
        <v>NO CONFORME</v>
      </c>
      <c r="I13" s="89" t="str">
        <f t="shared" si="0"/>
        <v>Medición</v>
      </c>
    </row>
    <row r="14" spans="1:9" x14ac:dyDescent="0.2">
      <c r="A14" s="82">
        <f>'ERROR FINAL'!A17</f>
        <v>9</v>
      </c>
      <c r="B14" s="83">
        <f>'ERROR FINAL'!D17</f>
        <v>6</v>
      </c>
      <c r="C14" s="84">
        <f>'ERROR FINAL'!G17</f>
        <v>0</v>
      </c>
      <c r="D14" s="85">
        <f>'ERROR FINAL'!I17</f>
        <v>0</v>
      </c>
      <c r="E14" s="86">
        <f>'ERROR FINAL'!U17</f>
        <v>-100</v>
      </c>
      <c r="F14" s="87">
        <f>'ERROR FINAL'!AG17</f>
        <v>-100</v>
      </c>
      <c r="G14" s="87">
        <f>'ERROR FINAL'!AS17</f>
        <v>-100</v>
      </c>
      <c r="H14" s="88" t="str">
        <f>IF('ERROR FINAL'!AT17="CONFORME","CONFORME","NO CONFORME")</f>
        <v>NO CONFORME</v>
      </c>
      <c r="I14" s="89" t="str">
        <f t="shared" si="0"/>
        <v>Medición</v>
      </c>
    </row>
    <row r="15" spans="1:9" x14ac:dyDescent="0.2">
      <c r="A15" s="82">
        <f>'ERROR FINAL'!A18</f>
        <v>10</v>
      </c>
      <c r="B15" s="83">
        <f>'ERROR FINAL'!D18</f>
        <v>6</v>
      </c>
      <c r="C15" s="84">
        <f>'ERROR FINAL'!G18</f>
        <v>0</v>
      </c>
      <c r="D15" s="85">
        <f>'ERROR FINAL'!I18</f>
        <v>0</v>
      </c>
      <c r="E15" s="86">
        <f>'ERROR FINAL'!U18</f>
        <v>-100</v>
      </c>
      <c r="F15" s="87">
        <f>'ERROR FINAL'!AG18</f>
        <v>-100</v>
      </c>
      <c r="G15" s="87">
        <f>'ERROR FINAL'!AS18</f>
        <v>-100</v>
      </c>
      <c r="H15" s="88" t="str">
        <f>IF('ERROR FINAL'!AT18="CONFORME","CONFORME","NO CONFORME")</f>
        <v>NO CONFORME</v>
      </c>
      <c r="I15" s="89" t="str">
        <f t="shared" si="0"/>
        <v>Medición</v>
      </c>
    </row>
    <row r="16" spans="1:9" x14ac:dyDescent="0.2">
      <c r="A16" s="82">
        <f>'ERROR FINAL'!A19</f>
        <v>11</v>
      </c>
      <c r="B16" s="83">
        <f>'ERROR FINAL'!D19</f>
        <v>6</v>
      </c>
      <c r="C16" s="84">
        <f>'ERROR FINAL'!G19</f>
        <v>0</v>
      </c>
      <c r="D16" s="85">
        <f>'ERROR FINAL'!I19</f>
        <v>0</v>
      </c>
      <c r="E16" s="86">
        <f>'ERROR FINAL'!U19</f>
        <v>-100</v>
      </c>
      <c r="F16" s="87">
        <f>'ERROR FINAL'!AG19</f>
        <v>-100</v>
      </c>
      <c r="G16" s="87">
        <f>'ERROR FINAL'!AS19</f>
        <v>-100</v>
      </c>
      <c r="H16" s="88" t="str">
        <f>IF('ERROR FINAL'!AT19="CONFORME","CONFORME","NO CONFORME")</f>
        <v>NO CONFORME</v>
      </c>
      <c r="I16" s="89" t="str">
        <f t="shared" si="0"/>
        <v>Medición</v>
      </c>
    </row>
    <row r="17" spans="1:9" x14ac:dyDescent="0.2">
      <c r="A17" s="82">
        <f>'ERROR FINAL'!A20</f>
        <v>12</v>
      </c>
      <c r="B17" s="83">
        <f>'ERROR FINAL'!D20</f>
        <v>6</v>
      </c>
      <c r="C17" s="84">
        <f>'ERROR FINAL'!G20</f>
        <v>0</v>
      </c>
      <c r="D17" s="85">
        <f>'ERROR FINAL'!I20</f>
        <v>0</v>
      </c>
      <c r="E17" s="86">
        <f>'ERROR FINAL'!U20</f>
        <v>-100</v>
      </c>
      <c r="F17" s="87">
        <f>'ERROR FINAL'!AG20</f>
        <v>-100</v>
      </c>
      <c r="G17" s="87">
        <f>'ERROR FINAL'!AS20</f>
        <v>-100</v>
      </c>
      <c r="H17" s="88" t="str">
        <f>IF('ERROR FINAL'!AT20="CONFORME","CONFORME","NO CONFORME")</f>
        <v>NO CONFORME</v>
      </c>
      <c r="I17" s="89" t="str">
        <f t="shared" si="0"/>
        <v>Medición</v>
      </c>
    </row>
    <row r="18" spans="1:9" x14ac:dyDescent="0.2">
      <c r="A18" s="82">
        <f>'ERROR FINAL'!A21</f>
        <v>13</v>
      </c>
      <c r="B18" s="83">
        <f>'ERROR FINAL'!D21</f>
        <v>6</v>
      </c>
      <c r="C18" s="84">
        <f>'ERROR FINAL'!G21</f>
        <v>0</v>
      </c>
      <c r="D18" s="85">
        <f>'ERROR FINAL'!I21</f>
        <v>0</v>
      </c>
      <c r="E18" s="86">
        <f>'ERROR FINAL'!U21</f>
        <v>-100</v>
      </c>
      <c r="F18" s="87">
        <f>'ERROR FINAL'!AG21</f>
        <v>-100</v>
      </c>
      <c r="G18" s="87">
        <f>'ERROR FINAL'!AS21</f>
        <v>-100</v>
      </c>
      <c r="H18" s="88" t="str">
        <f>IF('ERROR FINAL'!AT21="CONFORME","CONFORME","NO CONFORME")</f>
        <v>NO CONFORME</v>
      </c>
      <c r="I18" s="89" t="str">
        <f t="shared" si="0"/>
        <v>Medición</v>
      </c>
    </row>
    <row r="19" spans="1:9" x14ac:dyDescent="0.2">
      <c r="A19" s="82">
        <f>'ERROR FINAL'!A22</f>
        <v>14</v>
      </c>
      <c r="B19" s="83">
        <f>'ERROR FINAL'!D22</f>
        <v>6</v>
      </c>
      <c r="C19" s="84">
        <f>'ERROR FINAL'!G22</f>
        <v>0</v>
      </c>
      <c r="D19" s="85">
        <f>'ERROR FINAL'!I22</f>
        <v>0</v>
      </c>
      <c r="E19" s="86">
        <f>'ERROR FINAL'!U22</f>
        <v>-100</v>
      </c>
      <c r="F19" s="87">
        <f>'ERROR FINAL'!AG22</f>
        <v>-100</v>
      </c>
      <c r="G19" s="87">
        <f>'ERROR FINAL'!AS22</f>
        <v>-100</v>
      </c>
      <c r="H19" s="88" t="str">
        <f>IF('ERROR FINAL'!AT22="CONFORME","CONFORME","NO CONFORME")</f>
        <v>NO CONFORME</v>
      </c>
      <c r="I19" s="89" t="str">
        <f t="shared" si="0"/>
        <v>Medición</v>
      </c>
    </row>
    <row r="20" spans="1:9" x14ac:dyDescent="0.2">
      <c r="A20" s="82">
        <f>'ERROR FINAL'!A23</f>
        <v>15</v>
      </c>
      <c r="B20" s="83">
        <f>'ERROR FINAL'!D23</f>
        <v>6</v>
      </c>
      <c r="C20" s="84">
        <f>'ERROR FINAL'!G23</f>
        <v>0</v>
      </c>
      <c r="D20" s="85">
        <f>'ERROR FINAL'!I23</f>
        <v>0</v>
      </c>
      <c r="E20" s="86">
        <f>'ERROR FINAL'!U23</f>
        <v>-100</v>
      </c>
      <c r="F20" s="87">
        <f>'ERROR FINAL'!AG23</f>
        <v>-100</v>
      </c>
      <c r="G20" s="87">
        <f>'ERROR FINAL'!AS23</f>
        <v>-100</v>
      </c>
      <c r="H20" s="88" t="str">
        <f>IF('ERROR FINAL'!AT23="CONFORME","CONFORME","NO CONFORME")</f>
        <v>NO CONFORME</v>
      </c>
      <c r="I20" s="89" t="str">
        <f t="shared" si="0"/>
        <v>Medición</v>
      </c>
    </row>
    <row r="21" spans="1:9" x14ac:dyDescent="0.2">
      <c r="A21" s="82">
        <f>'ERROR FINAL'!A24</f>
        <v>16</v>
      </c>
      <c r="B21" s="83">
        <f>'ERROR FINAL'!D24</f>
        <v>6</v>
      </c>
      <c r="C21" s="84">
        <f>'ERROR FINAL'!G24</f>
        <v>0</v>
      </c>
      <c r="D21" s="85">
        <f>'ERROR FINAL'!I24</f>
        <v>0</v>
      </c>
      <c r="E21" s="86">
        <f>'ERROR FINAL'!U24</f>
        <v>-100</v>
      </c>
      <c r="F21" s="87">
        <f>'ERROR FINAL'!AG24</f>
        <v>-100</v>
      </c>
      <c r="G21" s="87">
        <f>'ERROR FINAL'!AS24</f>
        <v>-100</v>
      </c>
      <c r="H21" s="88" t="str">
        <f>IF('ERROR FINAL'!AT24="CONFORME","CONFORME","NO CONFORME")</f>
        <v>NO CONFORME</v>
      </c>
      <c r="I21" s="89" t="str">
        <f t="shared" si="0"/>
        <v>Medición</v>
      </c>
    </row>
    <row r="22" spans="1:9" x14ac:dyDescent="0.2">
      <c r="A22" s="82">
        <f>'ERROR FINAL'!A25</f>
        <v>17</v>
      </c>
      <c r="B22" s="83">
        <f>'ERROR FINAL'!D25</f>
        <v>6</v>
      </c>
      <c r="C22" s="84">
        <f>'ERROR FINAL'!G25</f>
        <v>0</v>
      </c>
      <c r="D22" s="85">
        <f>'ERROR FINAL'!I25</f>
        <v>0</v>
      </c>
      <c r="E22" s="86">
        <f>'ERROR FINAL'!U25</f>
        <v>-100</v>
      </c>
      <c r="F22" s="87">
        <f>'ERROR FINAL'!AG25</f>
        <v>-100</v>
      </c>
      <c r="G22" s="87">
        <f>'ERROR FINAL'!AS25</f>
        <v>-100</v>
      </c>
      <c r="H22" s="88" t="str">
        <f>IF('ERROR FINAL'!AT25="CONFORME","CONFORME","NO CONFORME")</f>
        <v>NO CONFORME</v>
      </c>
      <c r="I22" s="89" t="str">
        <f t="shared" si="0"/>
        <v>Medición</v>
      </c>
    </row>
    <row r="23" spans="1:9" x14ac:dyDescent="0.2">
      <c r="A23" s="82">
        <f>'ERROR FINAL'!A26</f>
        <v>18</v>
      </c>
      <c r="B23" s="83">
        <f>'ERROR FINAL'!D26</f>
        <v>6</v>
      </c>
      <c r="C23" s="84">
        <f>'ERROR FINAL'!G26</f>
        <v>0</v>
      </c>
      <c r="D23" s="85">
        <f>'ERROR FINAL'!I26</f>
        <v>0</v>
      </c>
      <c r="E23" s="86">
        <f>'ERROR FINAL'!U26</f>
        <v>-100</v>
      </c>
      <c r="F23" s="87">
        <f>'ERROR FINAL'!AG26</f>
        <v>-100</v>
      </c>
      <c r="G23" s="87">
        <f>'ERROR FINAL'!AS26</f>
        <v>-100</v>
      </c>
      <c r="H23" s="88" t="str">
        <f>IF('ERROR FINAL'!AT26="CONFORME","CONFORME","NO CONFORME")</f>
        <v>NO CONFORME</v>
      </c>
      <c r="I23" s="89" t="str">
        <f t="shared" si="0"/>
        <v>Medición</v>
      </c>
    </row>
    <row r="24" spans="1:9" x14ac:dyDescent="0.2">
      <c r="A24" s="82">
        <f>'ERROR FINAL'!A27</f>
        <v>19</v>
      </c>
      <c r="B24" s="83">
        <f>'ERROR FINAL'!D27</f>
        <v>6</v>
      </c>
      <c r="C24" s="84">
        <f>'ERROR FINAL'!G27</f>
        <v>0</v>
      </c>
      <c r="D24" s="85">
        <f>'ERROR FINAL'!I27</f>
        <v>0</v>
      </c>
      <c r="E24" s="86">
        <f>'ERROR FINAL'!U27</f>
        <v>-100</v>
      </c>
      <c r="F24" s="87">
        <f>'ERROR FINAL'!AG27</f>
        <v>-100</v>
      </c>
      <c r="G24" s="87">
        <f>'ERROR FINAL'!AS27</f>
        <v>-100</v>
      </c>
      <c r="H24" s="88" t="str">
        <f>IF('ERROR FINAL'!AT27="CONFORME","CONFORME","NO CONFORME")</f>
        <v>NO CONFORME</v>
      </c>
      <c r="I24" s="89" t="str">
        <f t="shared" si="0"/>
        <v>Medición</v>
      </c>
    </row>
    <row r="25" spans="1:9" x14ac:dyDescent="0.2">
      <c r="A25" s="82">
        <f>'ERROR FINAL'!A28</f>
        <v>20</v>
      </c>
      <c r="B25" s="83">
        <f>'ERROR FINAL'!D28</f>
        <v>6</v>
      </c>
      <c r="C25" s="84">
        <f>'ERROR FINAL'!G28</f>
        <v>0</v>
      </c>
      <c r="D25" s="85">
        <f>'ERROR FINAL'!I28</f>
        <v>0</v>
      </c>
      <c r="E25" s="86">
        <f>'ERROR FINAL'!U28</f>
        <v>-100</v>
      </c>
      <c r="F25" s="87">
        <f>'ERROR FINAL'!AG28</f>
        <v>-100</v>
      </c>
      <c r="G25" s="87">
        <f>'ERROR FINAL'!AS28</f>
        <v>-100</v>
      </c>
      <c r="H25" s="88" t="str">
        <f>IF('ERROR FINAL'!AT28="CONFORME","CONFORME","NO CONFORME")</f>
        <v>NO CONFORME</v>
      </c>
      <c r="I25" s="89" t="str">
        <f t="shared" si="0"/>
        <v>Medición</v>
      </c>
    </row>
    <row r="26" spans="1:9" x14ac:dyDescent="0.2">
      <c r="A26" s="82">
        <f>'ERROR FINAL'!A29</f>
        <v>21</v>
      </c>
      <c r="B26" s="83">
        <f>'ERROR FINAL'!D29</f>
        <v>6</v>
      </c>
      <c r="C26" s="84">
        <f>'ERROR FINAL'!G29</f>
        <v>0</v>
      </c>
      <c r="D26" s="85">
        <f>'ERROR FINAL'!I29</f>
        <v>0</v>
      </c>
      <c r="E26" s="86">
        <f>'ERROR FINAL'!U29</f>
        <v>-100</v>
      </c>
      <c r="F26" s="87">
        <f>'ERROR FINAL'!AG29</f>
        <v>-100</v>
      </c>
      <c r="G26" s="87">
        <f>'ERROR FINAL'!AS29</f>
        <v>-100</v>
      </c>
      <c r="H26" s="88" t="str">
        <f>IF('ERROR FINAL'!AT29="CONFORME","CONFORME","NO CONFORME")</f>
        <v>NO CONFORME</v>
      </c>
      <c r="I26" s="89" t="str">
        <f t="shared" si="0"/>
        <v>Medición</v>
      </c>
    </row>
    <row r="27" spans="1:9" x14ac:dyDescent="0.2">
      <c r="A27" s="82">
        <f>'ERROR FINAL'!A30</f>
        <v>22</v>
      </c>
      <c r="B27" s="83">
        <f>'ERROR FINAL'!D30</f>
        <v>6</v>
      </c>
      <c r="C27" s="84">
        <f>'ERROR FINAL'!G30</f>
        <v>0</v>
      </c>
      <c r="D27" s="85">
        <f>'ERROR FINAL'!I30</f>
        <v>0</v>
      </c>
      <c r="E27" s="86">
        <f>'ERROR FINAL'!U30</f>
        <v>-100</v>
      </c>
      <c r="F27" s="87">
        <f>'ERROR FINAL'!AG30</f>
        <v>-100</v>
      </c>
      <c r="G27" s="87">
        <f>'ERROR FINAL'!AS30</f>
        <v>-100</v>
      </c>
      <c r="H27" s="88" t="str">
        <f>IF('ERROR FINAL'!AT30="CONFORME","CONFORME","NO CONFORME")</f>
        <v>NO CONFORME</v>
      </c>
      <c r="I27" s="89" t="str">
        <f t="shared" si="0"/>
        <v>Medición</v>
      </c>
    </row>
    <row r="28" spans="1:9" x14ac:dyDescent="0.2">
      <c r="A28" s="82">
        <f>'ERROR FINAL'!A31</f>
        <v>23</v>
      </c>
      <c r="B28" s="83">
        <f>'ERROR FINAL'!D31</f>
        <v>6</v>
      </c>
      <c r="C28" s="84">
        <f>'ERROR FINAL'!G31</f>
        <v>0</v>
      </c>
      <c r="D28" s="85">
        <f>'ERROR FINAL'!I31</f>
        <v>0</v>
      </c>
      <c r="E28" s="86">
        <f>'ERROR FINAL'!U31</f>
        <v>-100</v>
      </c>
      <c r="F28" s="87">
        <f>'ERROR FINAL'!AG31</f>
        <v>-100</v>
      </c>
      <c r="G28" s="87">
        <f>'ERROR FINAL'!AS31</f>
        <v>-100</v>
      </c>
      <c r="H28" s="88" t="str">
        <f>IF('ERROR FINAL'!AT31="CONFORME","CONFORME","NO CONFORME")</f>
        <v>NO CONFORME</v>
      </c>
      <c r="I28" s="89" t="str">
        <f t="shared" si="0"/>
        <v>Medición</v>
      </c>
    </row>
    <row r="29" spans="1:9" x14ac:dyDescent="0.2">
      <c r="A29" s="82">
        <f>'ERROR FINAL'!A32</f>
        <v>24</v>
      </c>
      <c r="B29" s="83">
        <f>'ERROR FINAL'!D32</f>
        <v>6</v>
      </c>
      <c r="C29" s="84">
        <f>'ERROR FINAL'!G32</f>
        <v>0</v>
      </c>
      <c r="D29" s="85">
        <f>'ERROR FINAL'!I32</f>
        <v>0</v>
      </c>
      <c r="E29" s="86">
        <f>'ERROR FINAL'!U32</f>
        <v>-100</v>
      </c>
      <c r="F29" s="87">
        <f>'ERROR FINAL'!AG32</f>
        <v>-100</v>
      </c>
      <c r="G29" s="87">
        <f>'ERROR FINAL'!AS32</f>
        <v>-100</v>
      </c>
      <c r="H29" s="88" t="str">
        <f>IF('ERROR FINAL'!AT32="CONFORME","CONFORME","NO CONFORME")</f>
        <v>NO CONFORME</v>
      </c>
      <c r="I29" s="89" t="str">
        <f t="shared" si="0"/>
        <v>Medición</v>
      </c>
    </row>
    <row r="30" spans="1:9" x14ac:dyDescent="0.2">
      <c r="A30" s="82">
        <f>'ERROR FINAL'!A33</f>
        <v>25</v>
      </c>
      <c r="B30" s="83">
        <f>'ERROR FINAL'!D33</f>
        <v>6</v>
      </c>
      <c r="C30" s="84">
        <f>'ERROR FINAL'!G33</f>
        <v>0</v>
      </c>
      <c r="D30" s="85">
        <f>'ERROR FINAL'!I33</f>
        <v>0</v>
      </c>
      <c r="E30" s="86">
        <f>'ERROR FINAL'!U33</f>
        <v>-100</v>
      </c>
      <c r="F30" s="87">
        <f>'ERROR FINAL'!AG33</f>
        <v>-100</v>
      </c>
      <c r="G30" s="87">
        <f>'ERROR FINAL'!AS33</f>
        <v>-100</v>
      </c>
      <c r="H30" s="88" t="str">
        <f>IF('ERROR FINAL'!AT33="CONFORME","CONFORME","NO CONFORME")</f>
        <v>NO CONFORME</v>
      </c>
      <c r="I30" s="89" t="str">
        <f t="shared" si="0"/>
        <v>Medición</v>
      </c>
    </row>
    <row r="31" spans="1:9" x14ac:dyDescent="0.2">
      <c r="A31" s="82">
        <f>'ERROR FINAL'!A34</f>
        <v>26</v>
      </c>
      <c r="B31" s="83">
        <f>'ERROR FINAL'!D34</f>
        <v>6</v>
      </c>
      <c r="C31" s="84">
        <f>'ERROR FINAL'!G34</f>
        <v>0</v>
      </c>
      <c r="D31" s="85">
        <f>'ERROR FINAL'!I34</f>
        <v>0</v>
      </c>
      <c r="E31" s="86">
        <f>'ERROR FINAL'!U34</f>
        <v>-100</v>
      </c>
      <c r="F31" s="87">
        <f>'ERROR FINAL'!AG34</f>
        <v>-100</v>
      </c>
      <c r="G31" s="87">
        <f>'ERROR FINAL'!AS34</f>
        <v>-100</v>
      </c>
      <c r="H31" s="88" t="str">
        <f>IF('ERROR FINAL'!AT34="CONFORME","CONFORME","NO CONFORME")</f>
        <v>NO CONFORME</v>
      </c>
      <c r="I31" s="89" t="str">
        <f t="shared" si="0"/>
        <v>Medición</v>
      </c>
    </row>
    <row r="32" spans="1:9" x14ac:dyDescent="0.2">
      <c r="A32" s="82">
        <f>'ERROR FINAL'!A35</f>
        <v>27</v>
      </c>
      <c r="B32" s="83">
        <f>'ERROR FINAL'!D35</f>
        <v>6</v>
      </c>
      <c r="C32" s="84">
        <f>'ERROR FINAL'!G35</f>
        <v>0</v>
      </c>
      <c r="D32" s="85">
        <f>'ERROR FINAL'!I35</f>
        <v>0</v>
      </c>
      <c r="E32" s="86">
        <f>'ERROR FINAL'!U35</f>
        <v>-100</v>
      </c>
      <c r="F32" s="87">
        <f>'ERROR FINAL'!AG35</f>
        <v>-100</v>
      </c>
      <c r="G32" s="87">
        <f>'ERROR FINAL'!AS35</f>
        <v>-100</v>
      </c>
      <c r="H32" s="88" t="str">
        <f>IF('ERROR FINAL'!AT35="CONFORME","CONFORME","NO CONFORME")</f>
        <v>NO CONFORME</v>
      </c>
      <c r="I32" s="89" t="str">
        <f t="shared" si="0"/>
        <v>Medición</v>
      </c>
    </row>
    <row r="33" spans="1:9" x14ac:dyDescent="0.2">
      <c r="A33" s="82">
        <f>'ERROR FINAL'!A36</f>
        <v>28</v>
      </c>
      <c r="B33" s="83">
        <f>'ERROR FINAL'!D36</f>
        <v>6</v>
      </c>
      <c r="C33" s="84">
        <f>'ERROR FINAL'!G36</f>
        <v>0</v>
      </c>
      <c r="D33" s="85">
        <f>'ERROR FINAL'!I36</f>
        <v>0</v>
      </c>
      <c r="E33" s="86">
        <f>'ERROR FINAL'!U36</f>
        <v>-100</v>
      </c>
      <c r="F33" s="87">
        <f>'ERROR FINAL'!AG36</f>
        <v>-100</v>
      </c>
      <c r="G33" s="87">
        <f>'ERROR FINAL'!AS36</f>
        <v>-100</v>
      </c>
      <c r="H33" s="88" t="str">
        <f>IF('ERROR FINAL'!AT36="CONFORME","CONFORME","NO CONFORME")</f>
        <v>NO CONFORME</v>
      </c>
      <c r="I33" s="89" t="str">
        <f t="shared" si="0"/>
        <v>Medición</v>
      </c>
    </row>
    <row r="34" spans="1:9" x14ac:dyDescent="0.2">
      <c r="A34" s="82">
        <f>'ERROR FINAL'!A37</f>
        <v>29</v>
      </c>
      <c r="B34" s="83">
        <f>'ERROR FINAL'!D37</f>
        <v>6</v>
      </c>
      <c r="C34" s="84">
        <f>'ERROR FINAL'!G37</f>
        <v>0</v>
      </c>
      <c r="D34" s="85">
        <f>'ERROR FINAL'!I37</f>
        <v>0</v>
      </c>
      <c r="E34" s="86">
        <f>'ERROR FINAL'!U37</f>
        <v>-100</v>
      </c>
      <c r="F34" s="87">
        <f>'ERROR FINAL'!AG37</f>
        <v>-100</v>
      </c>
      <c r="G34" s="87">
        <f>'ERROR FINAL'!AS37</f>
        <v>-100</v>
      </c>
      <c r="H34" s="88" t="str">
        <f>IF('ERROR FINAL'!AT37="CONFORME","CONFORME","NO CONFORME")</f>
        <v>NO CONFORME</v>
      </c>
      <c r="I34" s="89" t="str">
        <f t="shared" si="0"/>
        <v>Medición</v>
      </c>
    </row>
    <row r="35" spans="1:9" x14ac:dyDescent="0.2">
      <c r="A35" s="82">
        <f>'ERROR FINAL'!A38</f>
        <v>30</v>
      </c>
      <c r="B35" s="83">
        <f>'ERROR FINAL'!D38</f>
        <v>6</v>
      </c>
      <c r="C35" s="84">
        <f>'ERROR FINAL'!G38</f>
        <v>0</v>
      </c>
      <c r="D35" s="85">
        <f>'ERROR FINAL'!I38</f>
        <v>0</v>
      </c>
      <c r="E35" s="86">
        <f>'ERROR FINAL'!U38</f>
        <v>-100</v>
      </c>
      <c r="F35" s="87">
        <f>'ERROR FINAL'!AG38</f>
        <v>-100</v>
      </c>
      <c r="G35" s="87">
        <f>'ERROR FINAL'!AS38</f>
        <v>-100</v>
      </c>
      <c r="H35" s="88" t="str">
        <f>IF('ERROR FINAL'!AT38="CONFORME","CONFORME","NO CONFORME")</f>
        <v>NO CONFORME</v>
      </c>
      <c r="I35" s="89" t="str">
        <f t="shared" si="0"/>
        <v>Medición</v>
      </c>
    </row>
    <row r="36" spans="1:9" x14ac:dyDescent="0.2">
      <c r="A36" s="82">
        <f>'ERROR FINAL'!A39</f>
        <v>31</v>
      </c>
      <c r="B36" s="83">
        <f>'ERROR FINAL'!D39</f>
        <v>6</v>
      </c>
      <c r="C36" s="84">
        <f>'ERROR FINAL'!G39</f>
        <v>0</v>
      </c>
      <c r="D36" s="85">
        <f>'ERROR FINAL'!I39</f>
        <v>0</v>
      </c>
      <c r="E36" s="86">
        <f>'ERROR FINAL'!U39</f>
        <v>-100</v>
      </c>
      <c r="F36" s="87">
        <f>'ERROR FINAL'!AG39</f>
        <v>-100</v>
      </c>
      <c r="G36" s="87">
        <f>'ERROR FINAL'!AS39</f>
        <v>-100</v>
      </c>
      <c r="H36" s="88" t="str">
        <f>IF('ERROR FINAL'!AT39="CONFORME","CONFORME","NO CONFORME")</f>
        <v>NO CONFORME</v>
      </c>
      <c r="I36" s="89" t="str">
        <f t="shared" si="0"/>
        <v>Medición</v>
      </c>
    </row>
    <row r="37" spans="1:9" x14ac:dyDescent="0.2">
      <c r="A37" s="82">
        <f>'ERROR FINAL'!A40</f>
        <v>32</v>
      </c>
      <c r="B37" s="83">
        <f>'ERROR FINAL'!D40</f>
        <v>6</v>
      </c>
      <c r="C37" s="84">
        <f>'ERROR FINAL'!G40</f>
        <v>0</v>
      </c>
      <c r="D37" s="85">
        <f>'ERROR FINAL'!I40</f>
        <v>0</v>
      </c>
      <c r="E37" s="86">
        <f>'ERROR FINAL'!U40</f>
        <v>-100</v>
      </c>
      <c r="F37" s="87">
        <f>'ERROR FINAL'!AG40</f>
        <v>-100</v>
      </c>
      <c r="G37" s="87">
        <f>'ERROR FINAL'!AS40</f>
        <v>-100</v>
      </c>
      <c r="H37" s="88" t="str">
        <f>IF('ERROR FINAL'!AT40="CONFORME","CONFORME","NO CONFORME")</f>
        <v>NO CONFORME</v>
      </c>
      <c r="I37" s="89" t="str">
        <f t="shared" si="0"/>
        <v>Medición</v>
      </c>
    </row>
    <row r="38" spans="1:9" x14ac:dyDescent="0.2">
      <c r="A38" s="82">
        <f>'ERROR FINAL'!A41</f>
        <v>33</v>
      </c>
      <c r="B38" s="83">
        <f>'ERROR FINAL'!D41</f>
        <v>6</v>
      </c>
      <c r="C38" s="84">
        <f>'ERROR FINAL'!G41</f>
        <v>0</v>
      </c>
      <c r="D38" s="85">
        <f>'ERROR FINAL'!I41</f>
        <v>0</v>
      </c>
      <c r="E38" s="86">
        <f>'ERROR FINAL'!U41</f>
        <v>-100</v>
      </c>
      <c r="F38" s="87">
        <f>'ERROR FINAL'!AG41</f>
        <v>-100</v>
      </c>
      <c r="G38" s="87">
        <f>'ERROR FINAL'!AS41</f>
        <v>-100</v>
      </c>
      <c r="H38" s="88" t="str">
        <f>IF('ERROR FINAL'!AT41="CONFORME","CONFORME","NO CONFORME")</f>
        <v>NO CONFORME</v>
      </c>
      <c r="I38" s="89" t="str">
        <f t="shared" si="0"/>
        <v>Medición</v>
      </c>
    </row>
    <row r="39" spans="1:9" x14ac:dyDescent="0.2">
      <c r="A39" s="82">
        <f>'ERROR FINAL'!A42</f>
        <v>34</v>
      </c>
      <c r="B39" s="83">
        <f>'ERROR FINAL'!D42</f>
        <v>6</v>
      </c>
      <c r="C39" s="84">
        <f>'ERROR FINAL'!G42</f>
        <v>0</v>
      </c>
      <c r="D39" s="85">
        <f>'ERROR FINAL'!I42</f>
        <v>0</v>
      </c>
      <c r="E39" s="86">
        <f>'ERROR FINAL'!U42</f>
        <v>-100</v>
      </c>
      <c r="F39" s="87">
        <f>'ERROR FINAL'!AG42</f>
        <v>-100</v>
      </c>
      <c r="G39" s="87">
        <f>'ERROR FINAL'!AS42</f>
        <v>-100</v>
      </c>
      <c r="H39" s="88" t="str">
        <f>IF('ERROR FINAL'!AT42="CONFORME","CONFORME","NO CONFORME")</f>
        <v>NO CONFORME</v>
      </c>
      <c r="I39" s="89" t="str">
        <f t="shared" si="0"/>
        <v>Medición</v>
      </c>
    </row>
    <row r="40" spans="1:9" x14ac:dyDescent="0.2">
      <c r="A40" s="82">
        <f>'ERROR FINAL'!A43</f>
        <v>35</v>
      </c>
      <c r="B40" s="83">
        <f>'ERROR FINAL'!D43</f>
        <v>6</v>
      </c>
      <c r="C40" s="84">
        <f>'ERROR FINAL'!G43</f>
        <v>0</v>
      </c>
      <c r="D40" s="85">
        <f>'ERROR FINAL'!I43</f>
        <v>0</v>
      </c>
      <c r="E40" s="86">
        <f>'ERROR FINAL'!U43</f>
        <v>-100</v>
      </c>
      <c r="F40" s="87">
        <f>'ERROR FINAL'!AG43</f>
        <v>-100</v>
      </c>
      <c r="G40" s="87">
        <f>'ERROR FINAL'!AS43</f>
        <v>-100</v>
      </c>
      <c r="H40" s="88" t="str">
        <f>IF('ERROR FINAL'!AT43="CONFORME","CONFORME","NO CONFORME")</f>
        <v>NO CONFORME</v>
      </c>
      <c r="I40" s="89" t="str">
        <f t="shared" si="0"/>
        <v>Medición</v>
      </c>
    </row>
    <row r="41" spans="1:9" x14ac:dyDescent="0.2">
      <c r="A41" s="82">
        <f>'ERROR FINAL'!A44</f>
        <v>36</v>
      </c>
      <c r="B41" s="83">
        <f>'ERROR FINAL'!D44</f>
        <v>6</v>
      </c>
      <c r="C41" s="84">
        <f>'ERROR FINAL'!G44</f>
        <v>0</v>
      </c>
      <c r="D41" s="85">
        <f>'ERROR FINAL'!I44</f>
        <v>0</v>
      </c>
      <c r="E41" s="86">
        <f>'ERROR FINAL'!U44</f>
        <v>-100</v>
      </c>
      <c r="F41" s="87">
        <f>'ERROR FINAL'!AG44</f>
        <v>-100</v>
      </c>
      <c r="G41" s="87">
        <f>'ERROR FINAL'!AS44</f>
        <v>-100</v>
      </c>
      <c r="H41" s="88" t="str">
        <f>IF('ERROR FINAL'!AT44="CONFORME","CONFORME","NO CONFORME")</f>
        <v>NO CONFORME</v>
      </c>
      <c r="I41" s="89" t="str">
        <f t="shared" si="0"/>
        <v>Medición</v>
      </c>
    </row>
    <row r="42" spans="1:9" x14ac:dyDescent="0.2">
      <c r="A42" s="82">
        <f>'ERROR FINAL'!A45</f>
        <v>37</v>
      </c>
      <c r="B42" s="83">
        <f>'ERROR FINAL'!D45</f>
        <v>6</v>
      </c>
      <c r="C42" s="84">
        <f>'ERROR FINAL'!G45</f>
        <v>0</v>
      </c>
      <c r="D42" s="85">
        <f>'ERROR FINAL'!I45</f>
        <v>0</v>
      </c>
      <c r="E42" s="86">
        <f>'ERROR FINAL'!U45</f>
        <v>-100</v>
      </c>
      <c r="F42" s="87">
        <f>'ERROR FINAL'!AG45</f>
        <v>-100</v>
      </c>
      <c r="G42" s="87">
        <f>'ERROR FINAL'!AS45</f>
        <v>-100</v>
      </c>
      <c r="H42" s="88" t="str">
        <f>IF('ERROR FINAL'!AT45="CONFORME","CONFORME","NO CONFORME")</f>
        <v>NO CONFORME</v>
      </c>
      <c r="I42" s="89" t="str">
        <f t="shared" si="0"/>
        <v>Medición</v>
      </c>
    </row>
    <row r="43" spans="1:9" x14ac:dyDescent="0.2">
      <c r="A43" s="82">
        <f>'ERROR FINAL'!A46</f>
        <v>38</v>
      </c>
      <c r="B43" s="83">
        <f>'ERROR FINAL'!D46</f>
        <v>6</v>
      </c>
      <c r="C43" s="84">
        <f>'ERROR FINAL'!G46</f>
        <v>0</v>
      </c>
      <c r="D43" s="85">
        <f>'ERROR FINAL'!I46</f>
        <v>0</v>
      </c>
      <c r="E43" s="86">
        <f>'ERROR FINAL'!U46</f>
        <v>-100</v>
      </c>
      <c r="F43" s="87">
        <f>'ERROR FINAL'!AG46</f>
        <v>-100</v>
      </c>
      <c r="G43" s="87">
        <f>'ERROR FINAL'!AS46</f>
        <v>-100</v>
      </c>
      <c r="H43" s="88" t="str">
        <f>IF('ERROR FINAL'!AT46="CONFORME","CONFORME","NO CONFORME")</f>
        <v>NO CONFORME</v>
      </c>
      <c r="I43" s="89" t="str">
        <f t="shared" si="0"/>
        <v>Medición</v>
      </c>
    </row>
    <row r="44" spans="1:9" x14ac:dyDescent="0.2">
      <c r="A44" s="82">
        <f>'ERROR FINAL'!A47</f>
        <v>39</v>
      </c>
      <c r="B44" s="83">
        <f>'ERROR FINAL'!D47</f>
        <v>6</v>
      </c>
      <c r="C44" s="84">
        <f>'ERROR FINAL'!G47</f>
        <v>0</v>
      </c>
      <c r="D44" s="85">
        <f>'ERROR FINAL'!I47</f>
        <v>0</v>
      </c>
      <c r="E44" s="86">
        <f>'ERROR FINAL'!U47</f>
        <v>-100</v>
      </c>
      <c r="F44" s="87">
        <f>'ERROR FINAL'!AG47</f>
        <v>-100</v>
      </c>
      <c r="G44" s="87">
        <f>'ERROR FINAL'!AS47</f>
        <v>-100</v>
      </c>
      <c r="H44" s="88" t="str">
        <f>IF('ERROR FINAL'!AT47="CONFORME","CONFORME","NO CONFORME")</f>
        <v>NO CONFORME</v>
      </c>
      <c r="I44" s="89" t="str">
        <f t="shared" si="0"/>
        <v>Medición</v>
      </c>
    </row>
    <row r="45" spans="1:9" x14ac:dyDescent="0.2">
      <c r="A45" s="82">
        <f>'ERROR FINAL'!A48</f>
        <v>40</v>
      </c>
      <c r="B45" s="83">
        <f>'ERROR FINAL'!D48</f>
        <v>6</v>
      </c>
      <c r="C45" s="84">
        <f>'ERROR FINAL'!G48</f>
        <v>0</v>
      </c>
      <c r="D45" s="85">
        <f>'ERROR FINAL'!I48</f>
        <v>0</v>
      </c>
      <c r="E45" s="86">
        <f>'ERROR FINAL'!U48</f>
        <v>-100</v>
      </c>
      <c r="F45" s="87">
        <f>'ERROR FINAL'!AG48</f>
        <v>-100</v>
      </c>
      <c r="G45" s="87">
        <f>'ERROR FINAL'!AS48</f>
        <v>-100</v>
      </c>
      <c r="H45" s="88" t="str">
        <f>IF('ERROR FINAL'!AT48="CONFORME","CONFORME","NO CONFORME")</f>
        <v>NO CONFORME</v>
      </c>
      <c r="I45" s="89" t="str">
        <f t="shared" si="0"/>
        <v>Medición</v>
      </c>
    </row>
    <row r="46" spans="1:9" x14ac:dyDescent="0.2">
      <c r="A46" s="82">
        <f>'ERROR FINAL'!A49</f>
        <v>41</v>
      </c>
      <c r="B46" s="83">
        <f>'ERROR FINAL'!D49</f>
        <v>6</v>
      </c>
      <c r="C46" s="84">
        <f>'ERROR FINAL'!G49</f>
        <v>0</v>
      </c>
      <c r="D46" s="85">
        <f>'ERROR FINAL'!I49</f>
        <v>0</v>
      </c>
      <c r="E46" s="86">
        <f>'ERROR FINAL'!U49</f>
        <v>-100</v>
      </c>
      <c r="F46" s="87">
        <f>'ERROR FINAL'!AG49</f>
        <v>-100</v>
      </c>
      <c r="G46" s="87">
        <f>'ERROR FINAL'!AS49</f>
        <v>-100</v>
      </c>
      <c r="H46" s="88" t="str">
        <f>IF('ERROR FINAL'!AT49="CONFORME","CONFORME","NO CONFORME")</f>
        <v>NO CONFORME</v>
      </c>
      <c r="I46" s="89" t="str">
        <f t="shared" si="0"/>
        <v>Medición</v>
      </c>
    </row>
    <row r="47" spans="1:9" x14ac:dyDescent="0.2">
      <c r="A47" s="82">
        <f>'ERROR FINAL'!A50</f>
        <v>42</v>
      </c>
      <c r="B47" s="83">
        <f>'ERROR FINAL'!D50</f>
        <v>6</v>
      </c>
      <c r="C47" s="84">
        <f>'ERROR FINAL'!G50</f>
        <v>0</v>
      </c>
      <c r="D47" s="85">
        <f>'ERROR FINAL'!I50</f>
        <v>0</v>
      </c>
      <c r="E47" s="86">
        <f>'ERROR FINAL'!U50</f>
        <v>-100</v>
      </c>
      <c r="F47" s="87">
        <f>'ERROR FINAL'!AG50</f>
        <v>-100</v>
      </c>
      <c r="G47" s="87">
        <f>'ERROR FINAL'!AS50</f>
        <v>-100</v>
      </c>
      <c r="H47" s="88" t="str">
        <f>IF('ERROR FINAL'!AT50="CONFORME","CONFORME","NO CONFORME")</f>
        <v>NO CONFORME</v>
      </c>
      <c r="I47" s="89" t="str">
        <f t="shared" si="0"/>
        <v>Medición</v>
      </c>
    </row>
    <row r="48" spans="1:9" x14ac:dyDescent="0.2">
      <c r="A48" s="82">
        <f>'ERROR FINAL'!A51</f>
        <v>43</v>
      </c>
      <c r="B48" s="83">
        <f>'ERROR FINAL'!D51</f>
        <v>6</v>
      </c>
      <c r="C48" s="84">
        <f>'ERROR FINAL'!G51</f>
        <v>0</v>
      </c>
      <c r="D48" s="85">
        <f>'ERROR FINAL'!I51</f>
        <v>0</v>
      </c>
      <c r="E48" s="86">
        <f>'ERROR FINAL'!U51</f>
        <v>-100</v>
      </c>
      <c r="F48" s="87">
        <f>'ERROR FINAL'!AG51</f>
        <v>-100</v>
      </c>
      <c r="G48" s="87">
        <f>'ERROR FINAL'!AS51</f>
        <v>-100</v>
      </c>
      <c r="H48" s="88" t="str">
        <f>IF('ERROR FINAL'!AT51="CONFORME","CONFORME","NO CONFORME")</f>
        <v>NO CONFORME</v>
      </c>
      <c r="I48" s="89" t="str">
        <f t="shared" si="0"/>
        <v>Medición</v>
      </c>
    </row>
    <row r="49" spans="1:9" x14ac:dyDescent="0.2">
      <c r="A49" s="82">
        <f>'ERROR FINAL'!A52</f>
        <v>44</v>
      </c>
      <c r="B49" s="83">
        <f>'ERROR FINAL'!D52</f>
        <v>6</v>
      </c>
      <c r="C49" s="84">
        <f>'ERROR FINAL'!G52</f>
        <v>0</v>
      </c>
      <c r="D49" s="85">
        <f>'ERROR FINAL'!I52</f>
        <v>0</v>
      </c>
      <c r="E49" s="86">
        <f>'ERROR FINAL'!U52</f>
        <v>-100</v>
      </c>
      <c r="F49" s="87">
        <f>'ERROR FINAL'!AG52</f>
        <v>-100</v>
      </c>
      <c r="G49" s="87">
        <f>'ERROR FINAL'!AS52</f>
        <v>-100</v>
      </c>
      <c r="H49" s="88" t="str">
        <f>IF('ERROR FINAL'!AT52="CONFORME","CONFORME","NO CONFORME")</f>
        <v>NO CONFORME</v>
      </c>
      <c r="I49" s="89" t="str">
        <f t="shared" si="0"/>
        <v>Medición</v>
      </c>
    </row>
    <row r="50" spans="1:9" x14ac:dyDescent="0.2">
      <c r="A50" s="82">
        <f>'ERROR FINAL'!A53</f>
        <v>45</v>
      </c>
      <c r="B50" s="83">
        <f>'ERROR FINAL'!D53</f>
        <v>6</v>
      </c>
      <c r="C50" s="84">
        <f>'ERROR FINAL'!G53</f>
        <v>0</v>
      </c>
      <c r="D50" s="85">
        <f>'ERROR FINAL'!I53</f>
        <v>0</v>
      </c>
      <c r="E50" s="86">
        <f>'ERROR FINAL'!U53</f>
        <v>-100</v>
      </c>
      <c r="F50" s="87">
        <f>'ERROR FINAL'!AG53</f>
        <v>-100</v>
      </c>
      <c r="G50" s="87">
        <f>'ERROR FINAL'!AS53</f>
        <v>-100</v>
      </c>
      <c r="H50" s="88" t="str">
        <f>IF('ERROR FINAL'!AT53="CONFORME","CONFORME","NO CONFORME")</f>
        <v>NO CONFORME</v>
      </c>
      <c r="I50" s="89" t="str">
        <f t="shared" si="0"/>
        <v>Medición</v>
      </c>
    </row>
    <row r="51" spans="1:9" x14ac:dyDescent="0.2">
      <c r="A51" s="82">
        <f>'ERROR FINAL'!A54</f>
        <v>46</v>
      </c>
      <c r="B51" s="83">
        <f>'ERROR FINAL'!D54</f>
        <v>6</v>
      </c>
      <c r="C51" s="84">
        <f>'ERROR FINAL'!G54</f>
        <v>0</v>
      </c>
      <c r="D51" s="85">
        <f>'ERROR FINAL'!I54</f>
        <v>0</v>
      </c>
      <c r="E51" s="86">
        <f>'ERROR FINAL'!U54</f>
        <v>-100</v>
      </c>
      <c r="F51" s="87">
        <f>'ERROR FINAL'!AG54</f>
        <v>-100</v>
      </c>
      <c r="G51" s="87">
        <f>'ERROR FINAL'!AS54</f>
        <v>-100</v>
      </c>
      <c r="H51" s="88" t="str">
        <f>IF('ERROR FINAL'!AT54="CONFORME","CONFORME","NO CONFORME")</f>
        <v>NO CONFORME</v>
      </c>
      <c r="I51" s="89" t="str">
        <f t="shared" si="0"/>
        <v>Medición</v>
      </c>
    </row>
    <row r="52" spans="1:9" x14ac:dyDescent="0.2">
      <c r="A52" s="82">
        <f>'ERROR FINAL'!A55</f>
        <v>47</v>
      </c>
      <c r="B52" s="83">
        <f>'ERROR FINAL'!D55</f>
        <v>6</v>
      </c>
      <c r="C52" s="84">
        <f>'ERROR FINAL'!G55</f>
        <v>0</v>
      </c>
      <c r="D52" s="85">
        <f>'ERROR FINAL'!I55</f>
        <v>0</v>
      </c>
      <c r="E52" s="86">
        <f>'ERROR FINAL'!U55</f>
        <v>-100</v>
      </c>
      <c r="F52" s="87">
        <f>'ERROR FINAL'!AG55</f>
        <v>-100</v>
      </c>
      <c r="G52" s="87">
        <f>'ERROR FINAL'!AS55</f>
        <v>-100</v>
      </c>
      <c r="H52" s="88" t="str">
        <f>IF('ERROR FINAL'!AT55="CONFORME","CONFORME","NO CONFORME")</f>
        <v>NO CONFORME</v>
      </c>
      <c r="I52" s="89" t="str">
        <f t="shared" si="0"/>
        <v>Medición</v>
      </c>
    </row>
    <row r="53" spans="1:9" x14ac:dyDescent="0.2">
      <c r="A53" s="82">
        <f>'ERROR FINAL'!A56</f>
        <v>48</v>
      </c>
      <c r="B53" s="83">
        <f>'ERROR FINAL'!D56</f>
        <v>6</v>
      </c>
      <c r="C53" s="84">
        <f>'ERROR FINAL'!G56</f>
        <v>0</v>
      </c>
      <c r="D53" s="85">
        <f>'ERROR FINAL'!I56</f>
        <v>0</v>
      </c>
      <c r="E53" s="86">
        <f>'ERROR FINAL'!U56</f>
        <v>-100</v>
      </c>
      <c r="F53" s="87">
        <f>'ERROR FINAL'!AG56</f>
        <v>-100</v>
      </c>
      <c r="G53" s="87">
        <f>'ERROR FINAL'!AS56</f>
        <v>-100</v>
      </c>
      <c r="H53" s="88" t="str">
        <f>IF('ERROR FINAL'!AT56="CONFORME","CONFORME","NO CONFORME")</f>
        <v>NO CONFORME</v>
      </c>
      <c r="I53" s="89" t="str">
        <f t="shared" si="0"/>
        <v>Medición</v>
      </c>
    </row>
    <row r="54" spans="1:9" x14ac:dyDescent="0.2">
      <c r="A54" s="82">
        <f>'ERROR FINAL'!A57</f>
        <v>49</v>
      </c>
      <c r="B54" s="83">
        <f>'ERROR FINAL'!D57</f>
        <v>6</v>
      </c>
      <c r="C54" s="84">
        <f>'ERROR FINAL'!G57</f>
        <v>0</v>
      </c>
      <c r="D54" s="85">
        <f>'ERROR FINAL'!I57</f>
        <v>0</v>
      </c>
      <c r="E54" s="86">
        <f>'ERROR FINAL'!U57</f>
        <v>-100</v>
      </c>
      <c r="F54" s="87">
        <f>'ERROR FINAL'!AG57</f>
        <v>-100</v>
      </c>
      <c r="G54" s="87">
        <f>'ERROR FINAL'!AS57</f>
        <v>-100</v>
      </c>
      <c r="H54" s="88" t="str">
        <f>IF('ERROR FINAL'!AT57="CONFORME","CONFORME","NO CONFORME")</f>
        <v>NO CONFORME</v>
      </c>
      <c r="I54" s="89" t="str">
        <f t="shared" si="0"/>
        <v>Medición</v>
      </c>
    </row>
    <row r="55" spans="1:9" x14ac:dyDescent="0.2">
      <c r="A55" s="82">
        <f>'ERROR FINAL'!A58</f>
        <v>50</v>
      </c>
      <c r="B55" s="83">
        <f>'ERROR FINAL'!D58</f>
        <v>6</v>
      </c>
      <c r="C55" s="84">
        <f>'ERROR FINAL'!G58</f>
        <v>0</v>
      </c>
      <c r="D55" s="85">
        <f>'ERROR FINAL'!I58</f>
        <v>0</v>
      </c>
      <c r="E55" s="86">
        <f>'ERROR FINAL'!U58</f>
        <v>-100</v>
      </c>
      <c r="F55" s="87">
        <f>'ERROR FINAL'!AG58</f>
        <v>-100</v>
      </c>
      <c r="G55" s="87">
        <f>'ERROR FINAL'!AS58</f>
        <v>-100</v>
      </c>
      <c r="H55" s="88" t="str">
        <f>IF('ERROR FINAL'!AT58="CONFORME","CONFORME","NO CONFORME")</f>
        <v>NO CONFORME</v>
      </c>
      <c r="I55" s="89" t="str">
        <f t="shared" si="0"/>
        <v>Medición</v>
      </c>
    </row>
    <row r="56" spans="1:9" x14ac:dyDescent="0.2">
      <c r="A56" s="82">
        <f>'ERROR FINAL'!A59</f>
        <v>51</v>
      </c>
      <c r="B56" s="83">
        <f>'ERROR FINAL'!D59</f>
        <v>6</v>
      </c>
      <c r="C56" s="84">
        <f>'ERROR FINAL'!G59</f>
        <v>0</v>
      </c>
      <c r="D56" s="85">
        <f>'ERROR FINAL'!I59</f>
        <v>0</v>
      </c>
      <c r="E56" s="86">
        <f>'ERROR FINAL'!U59</f>
        <v>-100</v>
      </c>
      <c r="F56" s="87">
        <f>'ERROR FINAL'!AG59</f>
        <v>-100</v>
      </c>
      <c r="G56" s="87">
        <f>'ERROR FINAL'!AS59</f>
        <v>-100</v>
      </c>
      <c r="H56" s="88" t="str">
        <f>IF('ERROR FINAL'!AT59="CONFORME","CONFORME","NO CONFORME")</f>
        <v>NO CONFORME</v>
      </c>
      <c r="I56" s="89" t="str">
        <f t="shared" si="0"/>
        <v>Medición</v>
      </c>
    </row>
    <row r="57" spans="1:9" x14ac:dyDescent="0.2">
      <c r="A57" s="82">
        <f>'ERROR FINAL'!A60</f>
        <v>52</v>
      </c>
      <c r="B57" s="83">
        <f>'ERROR FINAL'!D60</f>
        <v>6</v>
      </c>
      <c r="C57" s="84">
        <f>'ERROR FINAL'!G60</f>
        <v>0</v>
      </c>
      <c r="D57" s="85">
        <f>'ERROR FINAL'!I60</f>
        <v>0</v>
      </c>
      <c r="E57" s="86">
        <f>'ERROR FINAL'!U60</f>
        <v>-100</v>
      </c>
      <c r="F57" s="87">
        <f>'ERROR FINAL'!AG60</f>
        <v>-100</v>
      </c>
      <c r="G57" s="87">
        <f>'ERROR FINAL'!AS60</f>
        <v>-100</v>
      </c>
      <c r="H57" s="88" t="str">
        <f>IF('ERROR FINAL'!AT60="CONFORME","CONFORME","NO CONFORME")</f>
        <v>NO CONFORME</v>
      </c>
      <c r="I57" s="89" t="str">
        <f t="shared" si="0"/>
        <v>Medición</v>
      </c>
    </row>
    <row r="58" spans="1:9" x14ac:dyDescent="0.2">
      <c r="A58" s="82">
        <f>'ERROR FINAL'!A61</f>
        <v>53</v>
      </c>
      <c r="B58" s="83">
        <f>'ERROR FINAL'!D61</f>
        <v>6</v>
      </c>
      <c r="C58" s="84">
        <f>'ERROR FINAL'!G61</f>
        <v>0</v>
      </c>
      <c r="D58" s="85">
        <f>'ERROR FINAL'!I61</f>
        <v>0</v>
      </c>
      <c r="E58" s="86">
        <f>'ERROR FINAL'!U61</f>
        <v>-100</v>
      </c>
      <c r="F58" s="87">
        <f>'ERROR FINAL'!AG61</f>
        <v>-100</v>
      </c>
      <c r="G58" s="87">
        <f>'ERROR FINAL'!AS61</f>
        <v>-100</v>
      </c>
      <c r="H58" s="88" t="str">
        <f>IF('ERROR FINAL'!AT61="CONFORME","CONFORME","NO CONFORME")</f>
        <v>NO CONFORME</v>
      </c>
      <c r="I58" s="89" t="str">
        <f t="shared" si="0"/>
        <v>Medición</v>
      </c>
    </row>
    <row r="59" spans="1:9" x14ac:dyDescent="0.2">
      <c r="A59" s="82">
        <f>'ERROR FINAL'!A62</f>
        <v>54</v>
      </c>
      <c r="B59" s="83">
        <f>'ERROR FINAL'!D62</f>
        <v>6</v>
      </c>
      <c r="C59" s="84">
        <f>'ERROR FINAL'!G62</f>
        <v>0</v>
      </c>
      <c r="D59" s="85">
        <f>'ERROR FINAL'!I62</f>
        <v>0</v>
      </c>
      <c r="E59" s="86">
        <f>'ERROR FINAL'!U62</f>
        <v>-100</v>
      </c>
      <c r="F59" s="87">
        <f>'ERROR FINAL'!AG62</f>
        <v>-100</v>
      </c>
      <c r="G59" s="87">
        <f>'ERROR FINAL'!AS62</f>
        <v>-100</v>
      </c>
      <c r="H59" s="88" t="str">
        <f>IF('ERROR FINAL'!AT62="CONFORME","CONFORME","NO CONFORME")</f>
        <v>NO CONFORME</v>
      </c>
      <c r="I59" s="89" t="str">
        <f t="shared" si="0"/>
        <v>Medición</v>
      </c>
    </row>
    <row r="60" spans="1:9" x14ac:dyDescent="0.2">
      <c r="A60" s="82">
        <f>'ERROR FINAL'!A63</f>
        <v>55</v>
      </c>
      <c r="B60" s="83">
        <f>'ERROR FINAL'!D63</f>
        <v>6</v>
      </c>
      <c r="C60" s="84">
        <f>'ERROR FINAL'!G63</f>
        <v>0</v>
      </c>
      <c r="D60" s="85">
        <f>'ERROR FINAL'!I63</f>
        <v>0</v>
      </c>
      <c r="E60" s="86">
        <f>'ERROR FINAL'!U63</f>
        <v>-100</v>
      </c>
      <c r="F60" s="87">
        <f>'ERROR FINAL'!AG63</f>
        <v>-100</v>
      </c>
      <c r="G60" s="87">
        <f>'ERROR FINAL'!AS63</f>
        <v>-100</v>
      </c>
      <c r="H60" s="88" t="str">
        <f>IF('ERROR FINAL'!AT63="CONFORME","CONFORME","NO CONFORME")</f>
        <v>NO CONFORME</v>
      </c>
      <c r="I60" s="89" t="str">
        <f t="shared" si="0"/>
        <v>Medición</v>
      </c>
    </row>
    <row r="61" spans="1:9" x14ac:dyDescent="0.2">
      <c r="A61" s="82">
        <f>'ERROR FINAL'!A64</f>
        <v>56</v>
      </c>
      <c r="B61" s="83">
        <f>'ERROR FINAL'!D64</f>
        <v>6</v>
      </c>
      <c r="C61" s="84">
        <f>'ERROR FINAL'!G64</f>
        <v>0</v>
      </c>
      <c r="D61" s="85">
        <f>'ERROR FINAL'!I64</f>
        <v>0</v>
      </c>
      <c r="E61" s="86">
        <f>'ERROR FINAL'!U64</f>
        <v>-100</v>
      </c>
      <c r="F61" s="87">
        <f>'ERROR FINAL'!AG64</f>
        <v>-100</v>
      </c>
      <c r="G61" s="87">
        <f>'ERROR FINAL'!AS64</f>
        <v>-100</v>
      </c>
      <c r="H61" s="88" t="str">
        <f>IF('ERROR FINAL'!AT64="CONFORME","CONFORME","NO CONFORME")</f>
        <v>NO CONFORME</v>
      </c>
      <c r="I61" s="89" t="str">
        <f t="shared" si="0"/>
        <v>Medición</v>
      </c>
    </row>
    <row r="62" spans="1:9" x14ac:dyDescent="0.2">
      <c r="A62" s="82">
        <f>'ERROR FINAL'!A65</f>
        <v>57</v>
      </c>
      <c r="B62" s="83">
        <f>'ERROR FINAL'!D65</f>
        <v>6</v>
      </c>
      <c r="C62" s="84">
        <f>'ERROR FINAL'!G65</f>
        <v>0</v>
      </c>
      <c r="D62" s="85">
        <f>'ERROR FINAL'!I65</f>
        <v>0</v>
      </c>
      <c r="E62" s="86">
        <f>'ERROR FINAL'!U65</f>
        <v>-100</v>
      </c>
      <c r="F62" s="87">
        <f>'ERROR FINAL'!AG65</f>
        <v>-100</v>
      </c>
      <c r="G62" s="87">
        <f>'ERROR FINAL'!AS65</f>
        <v>-100</v>
      </c>
      <c r="H62" s="88" t="str">
        <f>IF('ERROR FINAL'!AT65="CONFORME","CONFORME","NO CONFORME")</f>
        <v>NO CONFORME</v>
      </c>
      <c r="I62" s="89" t="str">
        <f t="shared" si="0"/>
        <v>Medición</v>
      </c>
    </row>
    <row r="63" spans="1:9" x14ac:dyDescent="0.2">
      <c r="A63" s="82">
        <f>'ERROR FINAL'!A66</f>
        <v>58</v>
      </c>
      <c r="B63" s="83">
        <f>'ERROR FINAL'!D66</f>
        <v>6</v>
      </c>
      <c r="C63" s="84">
        <f>'ERROR FINAL'!G66</f>
        <v>0</v>
      </c>
      <c r="D63" s="85">
        <f>'ERROR FINAL'!I66</f>
        <v>0</v>
      </c>
      <c r="E63" s="86">
        <f>'ERROR FINAL'!U66</f>
        <v>-100</v>
      </c>
      <c r="F63" s="87">
        <f>'ERROR FINAL'!AG66</f>
        <v>-100</v>
      </c>
      <c r="G63" s="87">
        <f>'ERROR FINAL'!AS66</f>
        <v>-100</v>
      </c>
      <c r="H63" s="88" t="str">
        <f>IF('ERROR FINAL'!AT66="CONFORME","CONFORME","NO CONFORME")</f>
        <v>NO CONFORME</v>
      </c>
      <c r="I63" s="89" t="str">
        <f t="shared" si="0"/>
        <v>Medición</v>
      </c>
    </row>
    <row r="64" spans="1:9" x14ac:dyDescent="0.2">
      <c r="A64" s="82">
        <f>'ERROR FINAL'!A67</f>
        <v>59</v>
      </c>
      <c r="B64" s="83">
        <f>'ERROR FINAL'!D67</f>
        <v>6</v>
      </c>
      <c r="C64" s="84">
        <f>'ERROR FINAL'!G67</f>
        <v>0</v>
      </c>
      <c r="D64" s="85">
        <f>'ERROR FINAL'!I67</f>
        <v>0</v>
      </c>
      <c r="E64" s="86">
        <f>'ERROR FINAL'!U67</f>
        <v>-100</v>
      </c>
      <c r="F64" s="87">
        <f>'ERROR FINAL'!AG67</f>
        <v>-100</v>
      </c>
      <c r="G64" s="87">
        <f>'ERROR FINAL'!AS67</f>
        <v>-100</v>
      </c>
      <c r="H64" s="88" t="str">
        <f>IF('ERROR FINAL'!AT67="CONFORME","CONFORME","NO CONFORME")</f>
        <v>NO CONFORME</v>
      </c>
      <c r="I64" s="89" t="str">
        <f t="shared" si="0"/>
        <v>Medición</v>
      </c>
    </row>
    <row r="65" spans="1:9" x14ac:dyDescent="0.2">
      <c r="A65" s="82">
        <f>'ERROR FINAL'!A68</f>
        <v>60</v>
      </c>
      <c r="B65" s="83">
        <f>'ERROR FINAL'!D68</f>
        <v>6</v>
      </c>
      <c r="C65" s="84">
        <f>'ERROR FINAL'!G68</f>
        <v>0</v>
      </c>
      <c r="D65" s="85">
        <f>'ERROR FINAL'!I68</f>
        <v>0</v>
      </c>
      <c r="E65" s="86">
        <f>'ERROR FINAL'!U68</f>
        <v>-100</v>
      </c>
      <c r="F65" s="87">
        <f>'ERROR FINAL'!AG68</f>
        <v>-100</v>
      </c>
      <c r="G65" s="87">
        <f>'ERROR FINAL'!AS68</f>
        <v>-100</v>
      </c>
      <c r="H65" s="88" t="str">
        <f>IF('ERROR FINAL'!AT68="CONFORME","CONFORME","NO CONFORME")</f>
        <v>NO CONFORME</v>
      </c>
      <c r="I65" s="89" t="str">
        <f t="shared" si="0"/>
        <v>Medición</v>
      </c>
    </row>
    <row r="66" spans="1:9" x14ac:dyDescent="0.2">
      <c r="A66" s="82">
        <f>'ERROR FINAL'!A69</f>
        <v>61</v>
      </c>
      <c r="B66" s="83">
        <f>'ERROR FINAL'!D69</f>
        <v>6</v>
      </c>
      <c r="C66" s="84">
        <f>'ERROR FINAL'!G69</f>
        <v>0</v>
      </c>
      <c r="D66" s="85">
        <f>'ERROR FINAL'!I69</f>
        <v>0</v>
      </c>
      <c r="E66" s="86">
        <f>'ERROR FINAL'!U69</f>
        <v>-100</v>
      </c>
      <c r="F66" s="87">
        <f>'ERROR FINAL'!AG69</f>
        <v>-100</v>
      </c>
      <c r="G66" s="87">
        <f>'ERROR FINAL'!AS69</f>
        <v>-100</v>
      </c>
      <c r="H66" s="88" t="str">
        <f>IF('ERROR FINAL'!AT69="CONFORME","CONFORME","NO CONFORME")</f>
        <v>NO CONFORME</v>
      </c>
      <c r="I66" s="89" t="str">
        <f t="shared" si="0"/>
        <v>Medición</v>
      </c>
    </row>
    <row r="67" spans="1:9" x14ac:dyDescent="0.2">
      <c r="A67" s="82">
        <f>'ERROR FINAL'!A70</f>
        <v>62</v>
      </c>
      <c r="B67" s="83">
        <f>'ERROR FINAL'!D70</f>
        <v>6</v>
      </c>
      <c r="C67" s="84">
        <f>'ERROR FINAL'!G70</f>
        <v>0</v>
      </c>
      <c r="D67" s="85">
        <f>'ERROR FINAL'!I70</f>
        <v>0</v>
      </c>
      <c r="E67" s="86">
        <f>'ERROR FINAL'!U70</f>
        <v>-100</v>
      </c>
      <c r="F67" s="87">
        <f>'ERROR FINAL'!AG70</f>
        <v>-100</v>
      </c>
      <c r="G67" s="87">
        <f>'ERROR FINAL'!AS70</f>
        <v>-100</v>
      </c>
      <c r="H67" s="88" t="str">
        <f>IF('ERROR FINAL'!AT70="CONFORME","CONFORME","NO CONFORME")</f>
        <v>NO CONFORME</v>
      </c>
      <c r="I67" s="89" t="str">
        <f t="shared" si="0"/>
        <v>Medición</v>
      </c>
    </row>
    <row r="68" spans="1:9" x14ac:dyDescent="0.2">
      <c r="A68" s="82">
        <f>'ERROR FINAL'!A71</f>
        <v>63</v>
      </c>
      <c r="B68" s="83">
        <f>'ERROR FINAL'!D71</f>
        <v>6</v>
      </c>
      <c r="C68" s="84">
        <f>'ERROR FINAL'!G71</f>
        <v>0</v>
      </c>
      <c r="D68" s="85">
        <f>'ERROR FINAL'!I71</f>
        <v>0</v>
      </c>
      <c r="E68" s="86">
        <f>'ERROR FINAL'!U71</f>
        <v>-100</v>
      </c>
      <c r="F68" s="87">
        <f>'ERROR FINAL'!AG71</f>
        <v>-100</v>
      </c>
      <c r="G68" s="87">
        <f>'ERROR FINAL'!AS71</f>
        <v>-100</v>
      </c>
      <c r="H68" s="88" t="str">
        <f>IF('ERROR FINAL'!AT71="CONFORME","CONFORME","NO CONFORME")</f>
        <v>NO CONFORME</v>
      </c>
      <c r="I68" s="89" t="str">
        <f t="shared" si="0"/>
        <v>Medición</v>
      </c>
    </row>
    <row r="69" spans="1:9" x14ac:dyDescent="0.2">
      <c r="A69" s="82">
        <f>'ERROR FINAL'!A72</f>
        <v>64</v>
      </c>
      <c r="B69" s="83">
        <f>'ERROR FINAL'!D72</f>
        <v>6</v>
      </c>
      <c r="C69" s="84">
        <f>'ERROR FINAL'!G72</f>
        <v>0</v>
      </c>
      <c r="D69" s="85">
        <f>'ERROR FINAL'!I72</f>
        <v>0</v>
      </c>
      <c r="E69" s="86">
        <f>'ERROR FINAL'!U72</f>
        <v>-100</v>
      </c>
      <c r="F69" s="87">
        <f>'ERROR FINAL'!AG72</f>
        <v>-100</v>
      </c>
      <c r="G69" s="87">
        <f>'ERROR FINAL'!AS72</f>
        <v>-100</v>
      </c>
      <c r="H69" s="88" t="str">
        <f>IF('ERROR FINAL'!AT72="CONFORME","CONFORME","NO CONFORME")</f>
        <v>NO CONFORME</v>
      </c>
      <c r="I69" s="89" t="str">
        <f t="shared" si="0"/>
        <v>Medición</v>
      </c>
    </row>
    <row r="70" spans="1:9" x14ac:dyDescent="0.2">
      <c r="A70" s="82">
        <f>'ERROR FINAL'!A73</f>
        <v>65</v>
      </c>
      <c r="B70" s="83">
        <f>'ERROR FINAL'!D73</f>
        <v>6</v>
      </c>
      <c r="C70" s="84">
        <f>'ERROR FINAL'!G73</f>
        <v>0</v>
      </c>
      <c r="D70" s="85">
        <f>'ERROR FINAL'!I73</f>
        <v>0</v>
      </c>
      <c r="E70" s="86">
        <f>'ERROR FINAL'!U73</f>
        <v>-100</v>
      </c>
      <c r="F70" s="87">
        <f>'ERROR FINAL'!AG73</f>
        <v>-100</v>
      </c>
      <c r="G70" s="87">
        <f>'ERROR FINAL'!AS73</f>
        <v>-100</v>
      </c>
      <c r="H70" s="88" t="str">
        <f>IF('ERROR FINAL'!AT73="CONFORME","CONFORME","NO CONFORME")</f>
        <v>NO CONFORME</v>
      </c>
      <c r="I70" s="89" t="str">
        <f t="shared" si="0"/>
        <v>Medición</v>
      </c>
    </row>
    <row r="71" spans="1:9" x14ac:dyDescent="0.2">
      <c r="A71" s="82">
        <f>'ERROR FINAL'!A74</f>
        <v>66</v>
      </c>
      <c r="B71" s="83">
        <f>'ERROR FINAL'!D74</f>
        <v>6</v>
      </c>
      <c r="C71" s="84">
        <f>'ERROR FINAL'!G74</f>
        <v>0</v>
      </c>
      <c r="D71" s="85">
        <f>'ERROR FINAL'!I74</f>
        <v>0</v>
      </c>
      <c r="E71" s="86">
        <f>'ERROR FINAL'!U74</f>
        <v>-100</v>
      </c>
      <c r="F71" s="87">
        <f>'ERROR FINAL'!AG74</f>
        <v>-100</v>
      </c>
      <c r="G71" s="87">
        <f>'ERROR FINAL'!AS74</f>
        <v>-100</v>
      </c>
      <c r="H71" s="88" t="str">
        <f>IF('ERROR FINAL'!AT74="CONFORME","CONFORME","NO CONFORME")</f>
        <v>NO CONFORME</v>
      </c>
      <c r="I71" s="89" t="str">
        <f t="shared" ref="I71:I134" si="1">IF(D71=0,"Medición",IF(D71=1,"Daño físico",IF(D71=2,"Fuga",IF(D71=3,"Picado",IF(D71=4,"Desfasado",IF(D71=5,"Paralizado","¿?"))))))</f>
        <v>Medición</v>
      </c>
    </row>
    <row r="72" spans="1:9" x14ac:dyDescent="0.2">
      <c r="A72" s="82">
        <f>'ERROR FINAL'!A75</f>
        <v>67</v>
      </c>
      <c r="B72" s="83">
        <f>'ERROR FINAL'!D75</f>
        <v>6</v>
      </c>
      <c r="C72" s="84">
        <f>'ERROR FINAL'!G75</f>
        <v>0</v>
      </c>
      <c r="D72" s="85">
        <f>'ERROR FINAL'!I75</f>
        <v>0</v>
      </c>
      <c r="E72" s="86">
        <f>'ERROR FINAL'!U75</f>
        <v>-100</v>
      </c>
      <c r="F72" s="87">
        <f>'ERROR FINAL'!AG75</f>
        <v>-100</v>
      </c>
      <c r="G72" s="87">
        <f>'ERROR FINAL'!AS75</f>
        <v>-100</v>
      </c>
      <c r="H72" s="88" t="str">
        <f>IF('ERROR FINAL'!AT75="CONFORME","CONFORME","NO CONFORME")</f>
        <v>NO CONFORME</v>
      </c>
      <c r="I72" s="89" t="str">
        <f t="shared" si="1"/>
        <v>Medición</v>
      </c>
    </row>
    <row r="73" spans="1:9" x14ac:dyDescent="0.2">
      <c r="A73" s="82">
        <f>'ERROR FINAL'!A76</f>
        <v>68</v>
      </c>
      <c r="B73" s="83">
        <f>'ERROR FINAL'!D76</f>
        <v>6</v>
      </c>
      <c r="C73" s="84">
        <f>'ERROR FINAL'!G76</f>
        <v>0</v>
      </c>
      <c r="D73" s="85">
        <f>'ERROR FINAL'!I76</f>
        <v>0</v>
      </c>
      <c r="E73" s="86">
        <f>'ERROR FINAL'!U76</f>
        <v>-100</v>
      </c>
      <c r="F73" s="87">
        <f>'ERROR FINAL'!AG76</f>
        <v>-100</v>
      </c>
      <c r="G73" s="87">
        <f>'ERROR FINAL'!AS76</f>
        <v>-100</v>
      </c>
      <c r="H73" s="88" t="str">
        <f>IF('ERROR FINAL'!AT76="CONFORME","CONFORME","NO CONFORME")</f>
        <v>NO CONFORME</v>
      </c>
      <c r="I73" s="89" t="str">
        <f t="shared" si="1"/>
        <v>Medición</v>
      </c>
    </row>
    <row r="74" spans="1:9" x14ac:dyDescent="0.2">
      <c r="A74" s="82">
        <f>'ERROR FINAL'!A77</f>
        <v>69</v>
      </c>
      <c r="B74" s="83">
        <f>'ERROR FINAL'!D77</f>
        <v>6</v>
      </c>
      <c r="C74" s="84">
        <f>'ERROR FINAL'!G77</f>
        <v>0</v>
      </c>
      <c r="D74" s="85">
        <f>'ERROR FINAL'!I77</f>
        <v>0</v>
      </c>
      <c r="E74" s="86">
        <f>'ERROR FINAL'!U77</f>
        <v>-100</v>
      </c>
      <c r="F74" s="87">
        <f>'ERROR FINAL'!AG77</f>
        <v>-100</v>
      </c>
      <c r="G74" s="87">
        <f>'ERROR FINAL'!AS77</f>
        <v>-100</v>
      </c>
      <c r="H74" s="88" t="str">
        <f>IF('ERROR FINAL'!AT77="CONFORME","CONFORME","NO CONFORME")</f>
        <v>NO CONFORME</v>
      </c>
      <c r="I74" s="89" t="str">
        <f t="shared" si="1"/>
        <v>Medición</v>
      </c>
    </row>
    <row r="75" spans="1:9" x14ac:dyDescent="0.2">
      <c r="A75" s="82">
        <f>'ERROR FINAL'!A78</f>
        <v>70</v>
      </c>
      <c r="B75" s="83">
        <f>'ERROR FINAL'!D78</f>
        <v>6</v>
      </c>
      <c r="C75" s="84">
        <f>'ERROR FINAL'!G78</f>
        <v>0</v>
      </c>
      <c r="D75" s="85">
        <f>'ERROR FINAL'!I78</f>
        <v>0</v>
      </c>
      <c r="E75" s="86">
        <f>'ERROR FINAL'!U78</f>
        <v>-100</v>
      </c>
      <c r="F75" s="87">
        <f>'ERROR FINAL'!AG78</f>
        <v>-100</v>
      </c>
      <c r="G75" s="87">
        <f>'ERROR FINAL'!AS78</f>
        <v>-100</v>
      </c>
      <c r="H75" s="88" t="str">
        <f>IF('ERROR FINAL'!AT78="CONFORME","CONFORME","NO CONFORME")</f>
        <v>NO CONFORME</v>
      </c>
      <c r="I75" s="89" t="str">
        <f t="shared" si="1"/>
        <v>Medición</v>
      </c>
    </row>
    <row r="76" spans="1:9" x14ac:dyDescent="0.2">
      <c r="A76" s="82">
        <f>'ERROR FINAL'!A79</f>
        <v>71</v>
      </c>
      <c r="B76" s="83">
        <f>'ERROR FINAL'!D79</f>
        <v>6</v>
      </c>
      <c r="C76" s="84">
        <f>'ERROR FINAL'!G79</f>
        <v>0</v>
      </c>
      <c r="D76" s="85">
        <f>'ERROR FINAL'!I79</f>
        <v>0</v>
      </c>
      <c r="E76" s="86">
        <f>'ERROR FINAL'!U79</f>
        <v>-100</v>
      </c>
      <c r="F76" s="87">
        <f>'ERROR FINAL'!AG79</f>
        <v>-100</v>
      </c>
      <c r="G76" s="87">
        <f>'ERROR FINAL'!AS79</f>
        <v>-100</v>
      </c>
      <c r="H76" s="88" t="str">
        <f>IF('ERROR FINAL'!AT79="CONFORME","CONFORME","NO CONFORME")</f>
        <v>NO CONFORME</v>
      </c>
      <c r="I76" s="89" t="str">
        <f t="shared" si="1"/>
        <v>Medición</v>
      </c>
    </row>
    <row r="77" spans="1:9" x14ac:dyDescent="0.2">
      <c r="A77" s="82">
        <f>'ERROR FINAL'!A80</f>
        <v>72</v>
      </c>
      <c r="B77" s="83">
        <f>'ERROR FINAL'!D80</f>
        <v>6</v>
      </c>
      <c r="C77" s="84">
        <f>'ERROR FINAL'!G80</f>
        <v>0</v>
      </c>
      <c r="D77" s="85">
        <f>'ERROR FINAL'!I80</f>
        <v>0</v>
      </c>
      <c r="E77" s="86">
        <f>'ERROR FINAL'!U80</f>
        <v>-100</v>
      </c>
      <c r="F77" s="87">
        <f>'ERROR FINAL'!AG80</f>
        <v>-100</v>
      </c>
      <c r="G77" s="87">
        <f>'ERROR FINAL'!AS80</f>
        <v>-100</v>
      </c>
      <c r="H77" s="88" t="str">
        <f>IF('ERROR FINAL'!AT80="CONFORME","CONFORME","NO CONFORME")</f>
        <v>NO CONFORME</v>
      </c>
      <c r="I77" s="89" t="str">
        <f t="shared" si="1"/>
        <v>Medición</v>
      </c>
    </row>
    <row r="78" spans="1:9" x14ac:dyDescent="0.2">
      <c r="A78" s="82">
        <f>'ERROR FINAL'!A81</f>
        <v>73</v>
      </c>
      <c r="B78" s="83">
        <f>'ERROR FINAL'!D81</f>
        <v>6</v>
      </c>
      <c r="C78" s="84">
        <f>'ERROR FINAL'!G81</f>
        <v>0</v>
      </c>
      <c r="D78" s="85">
        <f>'ERROR FINAL'!I81</f>
        <v>0</v>
      </c>
      <c r="E78" s="86">
        <f>'ERROR FINAL'!U81</f>
        <v>-100</v>
      </c>
      <c r="F78" s="87">
        <f>'ERROR FINAL'!AG81</f>
        <v>-100</v>
      </c>
      <c r="G78" s="87">
        <f>'ERROR FINAL'!AS81</f>
        <v>-100</v>
      </c>
      <c r="H78" s="88" t="str">
        <f>IF('ERROR FINAL'!AT81="CONFORME","CONFORME","NO CONFORME")</f>
        <v>NO CONFORME</v>
      </c>
      <c r="I78" s="89" t="str">
        <f t="shared" si="1"/>
        <v>Medición</v>
      </c>
    </row>
    <row r="79" spans="1:9" x14ac:dyDescent="0.2">
      <c r="A79" s="82">
        <f>'ERROR FINAL'!A82</f>
        <v>74</v>
      </c>
      <c r="B79" s="83">
        <f>'ERROR FINAL'!D82</f>
        <v>6</v>
      </c>
      <c r="C79" s="84">
        <f>'ERROR FINAL'!G82</f>
        <v>0</v>
      </c>
      <c r="D79" s="85">
        <f>'ERROR FINAL'!I82</f>
        <v>0</v>
      </c>
      <c r="E79" s="86">
        <f>'ERROR FINAL'!U82</f>
        <v>-100</v>
      </c>
      <c r="F79" s="87">
        <f>'ERROR FINAL'!AG82</f>
        <v>-100</v>
      </c>
      <c r="G79" s="87">
        <f>'ERROR FINAL'!AS82</f>
        <v>-100</v>
      </c>
      <c r="H79" s="88" t="str">
        <f>IF('ERROR FINAL'!AT82="CONFORME","CONFORME","NO CONFORME")</f>
        <v>NO CONFORME</v>
      </c>
      <c r="I79" s="89" t="str">
        <f t="shared" si="1"/>
        <v>Medición</v>
      </c>
    </row>
    <row r="80" spans="1:9" x14ac:dyDescent="0.2">
      <c r="A80" s="82">
        <f>'ERROR FINAL'!A83</f>
        <v>75</v>
      </c>
      <c r="B80" s="83">
        <f>'ERROR FINAL'!D83</f>
        <v>6</v>
      </c>
      <c r="C80" s="84">
        <f>'ERROR FINAL'!G83</f>
        <v>0</v>
      </c>
      <c r="D80" s="85">
        <f>'ERROR FINAL'!I83</f>
        <v>0</v>
      </c>
      <c r="E80" s="86">
        <f>'ERROR FINAL'!U83</f>
        <v>-100</v>
      </c>
      <c r="F80" s="87">
        <f>'ERROR FINAL'!AG83</f>
        <v>-100</v>
      </c>
      <c r="G80" s="87">
        <f>'ERROR FINAL'!AS83</f>
        <v>-100</v>
      </c>
      <c r="H80" s="88" t="str">
        <f>IF('ERROR FINAL'!AT83="CONFORME","CONFORME","NO CONFORME")</f>
        <v>NO CONFORME</v>
      </c>
      <c r="I80" s="89" t="str">
        <f t="shared" si="1"/>
        <v>Medición</v>
      </c>
    </row>
    <row r="81" spans="1:9" x14ac:dyDescent="0.2">
      <c r="A81" s="82">
        <f>'ERROR FINAL'!A84</f>
        <v>76</v>
      </c>
      <c r="B81" s="83">
        <f>'ERROR FINAL'!D84</f>
        <v>6</v>
      </c>
      <c r="C81" s="84">
        <f>'ERROR FINAL'!G84</f>
        <v>0</v>
      </c>
      <c r="D81" s="85">
        <f>'ERROR FINAL'!I84</f>
        <v>0</v>
      </c>
      <c r="E81" s="86">
        <f>'ERROR FINAL'!U84</f>
        <v>-100</v>
      </c>
      <c r="F81" s="87">
        <f>'ERROR FINAL'!AG84</f>
        <v>-100</v>
      </c>
      <c r="G81" s="87">
        <f>'ERROR FINAL'!AS84</f>
        <v>-100</v>
      </c>
      <c r="H81" s="88" t="str">
        <f>IF('ERROR FINAL'!AT84="CONFORME","CONFORME","NO CONFORME")</f>
        <v>NO CONFORME</v>
      </c>
      <c r="I81" s="89" t="str">
        <f t="shared" si="1"/>
        <v>Medición</v>
      </c>
    </row>
    <row r="82" spans="1:9" x14ac:dyDescent="0.2">
      <c r="A82" s="82">
        <f>'ERROR FINAL'!A85</f>
        <v>77</v>
      </c>
      <c r="B82" s="83">
        <f>'ERROR FINAL'!D85</f>
        <v>6</v>
      </c>
      <c r="C82" s="84">
        <f>'ERROR FINAL'!G85</f>
        <v>0</v>
      </c>
      <c r="D82" s="85">
        <f>'ERROR FINAL'!I85</f>
        <v>0</v>
      </c>
      <c r="E82" s="86">
        <f>'ERROR FINAL'!U85</f>
        <v>-100</v>
      </c>
      <c r="F82" s="87">
        <f>'ERROR FINAL'!AG85</f>
        <v>-100</v>
      </c>
      <c r="G82" s="87">
        <f>'ERROR FINAL'!AS85</f>
        <v>-100</v>
      </c>
      <c r="H82" s="88" t="str">
        <f>IF('ERROR FINAL'!AT85="CONFORME","CONFORME","NO CONFORME")</f>
        <v>NO CONFORME</v>
      </c>
      <c r="I82" s="89" t="str">
        <f t="shared" si="1"/>
        <v>Medición</v>
      </c>
    </row>
    <row r="83" spans="1:9" x14ac:dyDescent="0.2">
      <c r="A83" s="82">
        <f>'ERROR FINAL'!A86</f>
        <v>78</v>
      </c>
      <c r="B83" s="83">
        <f>'ERROR FINAL'!D86</f>
        <v>6</v>
      </c>
      <c r="C83" s="84">
        <f>'ERROR FINAL'!G86</f>
        <v>0</v>
      </c>
      <c r="D83" s="85">
        <f>'ERROR FINAL'!I86</f>
        <v>0</v>
      </c>
      <c r="E83" s="86">
        <f>'ERROR FINAL'!U86</f>
        <v>-100</v>
      </c>
      <c r="F83" s="87">
        <f>'ERROR FINAL'!AG86</f>
        <v>-100</v>
      </c>
      <c r="G83" s="87">
        <f>'ERROR FINAL'!AS86</f>
        <v>-100</v>
      </c>
      <c r="H83" s="88" t="str">
        <f>IF('ERROR FINAL'!AT86="CONFORME","CONFORME","NO CONFORME")</f>
        <v>NO CONFORME</v>
      </c>
      <c r="I83" s="89" t="str">
        <f t="shared" si="1"/>
        <v>Medición</v>
      </c>
    </row>
    <row r="84" spans="1:9" x14ac:dyDescent="0.2">
      <c r="A84" s="82">
        <f>'ERROR FINAL'!A87</f>
        <v>79</v>
      </c>
      <c r="B84" s="83">
        <f>'ERROR FINAL'!D87</f>
        <v>6</v>
      </c>
      <c r="C84" s="84">
        <f>'ERROR FINAL'!G87</f>
        <v>0</v>
      </c>
      <c r="D84" s="85">
        <f>'ERROR FINAL'!I87</f>
        <v>0</v>
      </c>
      <c r="E84" s="86">
        <f>'ERROR FINAL'!U87</f>
        <v>-100</v>
      </c>
      <c r="F84" s="87">
        <f>'ERROR FINAL'!AG87</f>
        <v>-100</v>
      </c>
      <c r="G84" s="87">
        <f>'ERROR FINAL'!AS87</f>
        <v>-100</v>
      </c>
      <c r="H84" s="88" t="str">
        <f>IF('ERROR FINAL'!AT87="CONFORME","CONFORME","NO CONFORME")</f>
        <v>NO CONFORME</v>
      </c>
      <c r="I84" s="89" t="str">
        <f t="shared" si="1"/>
        <v>Medición</v>
      </c>
    </row>
    <row r="85" spans="1:9" x14ac:dyDescent="0.2">
      <c r="A85" s="82">
        <f>'ERROR FINAL'!A88</f>
        <v>80</v>
      </c>
      <c r="B85" s="83">
        <f>'ERROR FINAL'!D88</f>
        <v>6</v>
      </c>
      <c r="C85" s="84">
        <f>'ERROR FINAL'!G88</f>
        <v>0</v>
      </c>
      <c r="D85" s="85">
        <f>'ERROR FINAL'!I88</f>
        <v>0</v>
      </c>
      <c r="E85" s="86">
        <f>'ERROR FINAL'!U88</f>
        <v>-100</v>
      </c>
      <c r="F85" s="87">
        <f>'ERROR FINAL'!AG88</f>
        <v>-100</v>
      </c>
      <c r="G85" s="87">
        <f>'ERROR FINAL'!AS88</f>
        <v>-100</v>
      </c>
      <c r="H85" s="88" t="str">
        <f>IF('ERROR FINAL'!AT88="CONFORME","CONFORME","NO CONFORME")</f>
        <v>NO CONFORME</v>
      </c>
      <c r="I85" s="89" t="str">
        <f t="shared" si="1"/>
        <v>Medición</v>
      </c>
    </row>
    <row r="86" spans="1:9" x14ac:dyDescent="0.2">
      <c r="A86" s="82">
        <f>'ERROR FINAL'!A89</f>
        <v>81</v>
      </c>
      <c r="B86" s="83">
        <f>'ERROR FINAL'!D89</f>
        <v>6</v>
      </c>
      <c r="C86" s="84">
        <f>'ERROR FINAL'!G89</f>
        <v>0</v>
      </c>
      <c r="D86" s="85">
        <f>'ERROR FINAL'!I89</f>
        <v>0</v>
      </c>
      <c r="E86" s="86">
        <f>'ERROR FINAL'!U89</f>
        <v>-100</v>
      </c>
      <c r="F86" s="87">
        <f>'ERROR FINAL'!AG89</f>
        <v>-100</v>
      </c>
      <c r="G86" s="87">
        <f>'ERROR FINAL'!AS89</f>
        <v>-100</v>
      </c>
      <c r="H86" s="88" t="str">
        <f>IF('ERROR FINAL'!AT89="CONFORME","CONFORME","NO CONFORME")</f>
        <v>NO CONFORME</v>
      </c>
      <c r="I86" s="89" t="str">
        <f t="shared" si="1"/>
        <v>Medición</v>
      </c>
    </row>
    <row r="87" spans="1:9" x14ac:dyDescent="0.2">
      <c r="A87" s="82">
        <f>'ERROR FINAL'!A90</f>
        <v>82</v>
      </c>
      <c r="B87" s="83">
        <f>'ERROR FINAL'!D90</f>
        <v>6</v>
      </c>
      <c r="C87" s="84">
        <f>'ERROR FINAL'!G90</f>
        <v>0</v>
      </c>
      <c r="D87" s="85">
        <f>'ERROR FINAL'!I90</f>
        <v>0</v>
      </c>
      <c r="E87" s="86">
        <f>'ERROR FINAL'!U90</f>
        <v>-100</v>
      </c>
      <c r="F87" s="87">
        <f>'ERROR FINAL'!AG90</f>
        <v>-100</v>
      </c>
      <c r="G87" s="87">
        <f>'ERROR FINAL'!AS90</f>
        <v>-100</v>
      </c>
      <c r="H87" s="88" t="str">
        <f>IF('ERROR FINAL'!AT90="CONFORME","CONFORME","NO CONFORME")</f>
        <v>NO CONFORME</v>
      </c>
      <c r="I87" s="89" t="str">
        <f t="shared" si="1"/>
        <v>Medición</v>
      </c>
    </row>
    <row r="88" spans="1:9" x14ac:dyDescent="0.2">
      <c r="A88" s="82">
        <f>'ERROR FINAL'!A91</f>
        <v>83</v>
      </c>
      <c r="B88" s="83">
        <f>'ERROR FINAL'!D91</f>
        <v>6</v>
      </c>
      <c r="C88" s="84">
        <f>'ERROR FINAL'!G91</f>
        <v>0</v>
      </c>
      <c r="D88" s="85">
        <f>'ERROR FINAL'!I91</f>
        <v>0</v>
      </c>
      <c r="E88" s="86">
        <f>'ERROR FINAL'!U91</f>
        <v>-100</v>
      </c>
      <c r="F88" s="87">
        <f>'ERROR FINAL'!AG91</f>
        <v>-100</v>
      </c>
      <c r="G88" s="87">
        <f>'ERROR FINAL'!AS91</f>
        <v>-100</v>
      </c>
      <c r="H88" s="88" t="str">
        <f>IF('ERROR FINAL'!AT91="CONFORME","CONFORME","NO CONFORME")</f>
        <v>NO CONFORME</v>
      </c>
      <c r="I88" s="89" t="str">
        <f t="shared" si="1"/>
        <v>Medición</v>
      </c>
    </row>
    <row r="89" spans="1:9" x14ac:dyDescent="0.2">
      <c r="A89" s="82">
        <f>'ERROR FINAL'!A92</f>
        <v>84</v>
      </c>
      <c r="B89" s="83">
        <f>'ERROR FINAL'!D92</f>
        <v>6</v>
      </c>
      <c r="C89" s="84">
        <f>'ERROR FINAL'!G92</f>
        <v>0</v>
      </c>
      <c r="D89" s="85">
        <f>'ERROR FINAL'!I92</f>
        <v>0</v>
      </c>
      <c r="E89" s="86">
        <f>'ERROR FINAL'!U92</f>
        <v>-100</v>
      </c>
      <c r="F89" s="87">
        <f>'ERROR FINAL'!AG92</f>
        <v>-100</v>
      </c>
      <c r="G89" s="87">
        <f>'ERROR FINAL'!AS92</f>
        <v>-100</v>
      </c>
      <c r="H89" s="88" t="str">
        <f>IF('ERROR FINAL'!AT92="CONFORME","CONFORME","NO CONFORME")</f>
        <v>NO CONFORME</v>
      </c>
      <c r="I89" s="89" t="str">
        <f t="shared" si="1"/>
        <v>Medición</v>
      </c>
    </row>
    <row r="90" spans="1:9" x14ac:dyDescent="0.2">
      <c r="A90" s="82">
        <f>'ERROR FINAL'!A93</f>
        <v>85</v>
      </c>
      <c r="B90" s="83">
        <f>'ERROR FINAL'!D93</f>
        <v>6</v>
      </c>
      <c r="C90" s="84">
        <f>'ERROR FINAL'!G93</f>
        <v>0</v>
      </c>
      <c r="D90" s="85">
        <f>'ERROR FINAL'!I93</f>
        <v>0</v>
      </c>
      <c r="E90" s="86">
        <f>'ERROR FINAL'!U93</f>
        <v>-100</v>
      </c>
      <c r="F90" s="87">
        <f>'ERROR FINAL'!AG93</f>
        <v>-100</v>
      </c>
      <c r="G90" s="87">
        <f>'ERROR FINAL'!AS93</f>
        <v>-100</v>
      </c>
      <c r="H90" s="88" t="str">
        <f>IF('ERROR FINAL'!AT93="CONFORME","CONFORME","NO CONFORME")</f>
        <v>NO CONFORME</v>
      </c>
      <c r="I90" s="89" t="str">
        <f t="shared" si="1"/>
        <v>Medición</v>
      </c>
    </row>
    <row r="91" spans="1:9" x14ac:dyDescent="0.2">
      <c r="A91" s="82">
        <f>'ERROR FINAL'!A94</f>
        <v>86</v>
      </c>
      <c r="B91" s="83">
        <f>'ERROR FINAL'!D94</f>
        <v>6</v>
      </c>
      <c r="C91" s="84">
        <f>'ERROR FINAL'!G94</f>
        <v>0</v>
      </c>
      <c r="D91" s="85">
        <f>'ERROR FINAL'!I94</f>
        <v>0</v>
      </c>
      <c r="E91" s="86">
        <f>'ERROR FINAL'!U94</f>
        <v>-100</v>
      </c>
      <c r="F91" s="87">
        <f>'ERROR FINAL'!AG94</f>
        <v>-100</v>
      </c>
      <c r="G91" s="87">
        <f>'ERROR FINAL'!AS94</f>
        <v>-100</v>
      </c>
      <c r="H91" s="88" t="str">
        <f>IF('ERROR FINAL'!AT94="CONFORME","CONFORME","NO CONFORME")</f>
        <v>NO CONFORME</v>
      </c>
      <c r="I91" s="89" t="str">
        <f t="shared" si="1"/>
        <v>Medición</v>
      </c>
    </row>
    <row r="92" spans="1:9" x14ac:dyDescent="0.2">
      <c r="A92" s="82">
        <f>'ERROR FINAL'!A95</f>
        <v>87</v>
      </c>
      <c r="B92" s="83">
        <f>'ERROR FINAL'!D95</f>
        <v>6</v>
      </c>
      <c r="C92" s="84">
        <f>'ERROR FINAL'!G95</f>
        <v>0</v>
      </c>
      <c r="D92" s="85">
        <f>'ERROR FINAL'!I95</f>
        <v>0</v>
      </c>
      <c r="E92" s="86">
        <f>'ERROR FINAL'!U95</f>
        <v>-100</v>
      </c>
      <c r="F92" s="87">
        <f>'ERROR FINAL'!AG95</f>
        <v>-100</v>
      </c>
      <c r="G92" s="87">
        <f>'ERROR FINAL'!AS95</f>
        <v>-100</v>
      </c>
      <c r="H92" s="88" t="str">
        <f>IF('ERROR FINAL'!AT95="CONFORME","CONFORME","NO CONFORME")</f>
        <v>NO CONFORME</v>
      </c>
      <c r="I92" s="89" t="str">
        <f t="shared" si="1"/>
        <v>Medición</v>
      </c>
    </row>
    <row r="93" spans="1:9" x14ac:dyDescent="0.2">
      <c r="A93" s="82">
        <f>'ERROR FINAL'!A96</f>
        <v>88</v>
      </c>
      <c r="B93" s="83">
        <f>'ERROR FINAL'!D96</f>
        <v>6</v>
      </c>
      <c r="C93" s="84">
        <f>'ERROR FINAL'!G96</f>
        <v>0</v>
      </c>
      <c r="D93" s="85">
        <f>'ERROR FINAL'!I96</f>
        <v>0</v>
      </c>
      <c r="E93" s="86">
        <f>'ERROR FINAL'!U96</f>
        <v>-100</v>
      </c>
      <c r="F93" s="87">
        <f>'ERROR FINAL'!AG96</f>
        <v>-100</v>
      </c>
      <c r="G93" s="87">
        <f>'ERROR FINAL'!AS96</f>
        <v>-100</v>
      </c>
      <c r="H93" s="88" t="str">
        <f>IF('ERROR FINAL'!AT96="CONFORME","CONFORME","NO CONFORME")</f>
        <v>NO CONFORME</v>
      </c>
      <c r="I93" s="89" t="str">
        <f t="shared" si="1"/>
        <v>Medición</v>
      </c>
    </row>
    <row r="94" spans="1:9" x14ac:dyDescent="0.2">
      <c r="A94" s="82">
        <f>'ERROR FINAL'!A97</f>
        <v>89</v>
      </c>
      <c r="B94" s="83">
        <f>'ERROR FINAL'!D97</f>
        <v>6</v>
      </c>
      <c r="C94" s="84">
        <f>'ERROR FINAL'!G97</f>
        <v>0</v>
      </c>
      <c r="D94" s="85">
        <f>'ERROR FINAL'!I97</f>
        <v>0</v>
      </c>
      <c r="E94" s="86">
        <f>'ERROR FINAL'!U97</f>
        <v>-100</v>
      </c>
      <c r="F94" s="87">
        <f>'ERROR FINAL'!AG97</f>
        <v>-100</v>
      </c>
      <c r="G94" s="87">
        <f>'ERROR FINAL'!AS97</f>
        <v>-100</v>
      </c>
      <c r="H94" s="88" t="str">
        <f>IF('ERROR FINAL'!AT97="CONFORME","CONFORME","NO CONFORME")</f>
        <v>NO CONFORME</v>
      </c>
      <c r="I94" s="89" t="str">
        <f t="shared" si="1"/>
        <v>Medición</v>
      </c>
    </row>
    <row r="95" spans="1:9" x14ac:dyDescent="0.2">
      <c r="A95" s="82">
        <f>'ERROR FINAL'!A98</f>
        <v>90</v>
      </c>
      <c r="B95" s="83">
        <f>'ERROR FINAL'!D98</f>
        <v>6</v>
      </c>
      <c r="C95" s="84">
        <f>'ERROR FINAL'!G98</f>
        <v>0</v>
      </c>
      <c r="D95" s="85">
        <f>'ERROR FINAL'!I98</f>
        <v>0</v>
      </c>
      <c r="E95" s="86">
        <f>'ERROR FINAL'!U98</f>
        <v>-100</v>
      </c>
      <c r="F95" s="87">
        <f>'ERROR FINAL'!AG98</f>
        <v>-100</v>
      </c>
      <c r="G95" s="87">
        <f>'ERROR FINAL'!AS98</f>
        <v>-100</v>
      </c>
      <c r="H95" s="88" t="str">
        <f>IF('ERROR FINAL'!AT98="CONFORME","CONFORME","NO CONFORME")</f>
        <v>NO CONFORME</v>
      </c>
      <c r="I95" s="89" t="str">
        <f t="shared" si="1"/>
        <v>Medición</v>
      </c>
    </row>
    <row r="96" spans="1:9" x14ac:dyDescent="0.2">
      <c r="A96" s="82">
        <f>'ERROR FINAL'!A99</f>
        <v>91</v>
      </c>
      <c r="B96" s="83">
        <f>'ERROR FINAL'!D99</f>
        <v>6</v>
      </c>
      <c r="C96" s="84">
        <f>'ERROR FINAL'!G99</f>
        <v>0</v>
      </c>
      <c r="D96" s="85">
        <f>'ERROR FINAL'!I99</f>
        <v>0</v>
      </c>
      <c r="E96" s="86">
        <f>'ERROR FINAL'!U99</f>
        <v>-100</v>
      </c>
      <c r="F96" s="87">
        <f>'ERROR FINAL'!AG99</f>
        <v>-100</v>
      </c>
      <c r="G96" s="87">
        <f>'ERROR FINAL'!AS99</f>
        <v>-100</v>
      </c>
      <c r="H96" s="88" t="str">
        <f>IF('ERROR FINAL'!AT99="CONFORME","CONFORME","NO CONFORME")</f>
        <v>NO CONFORME</v>
      </c>
      <c r="I96" s="89" t="str">
        <f t="shared" si="1"/>
        <v>Medición</v>
      </c>
    </row>
    <row r="97" spans="1:9" x14ac:dyDescent="0.2">
      <c r="A97" s="82">
        <f>'ERROR FINAL'!A100</f>
        <v>92</v>
      </c>
      <c r="B97" s="83">
        <f>'ERROR FINAL'!D100</f>
        <v>6</v>
      </c>
      <c r="C97" s="84">
        <f>'ERROR FINAL'!G100</f>
        <v>0</v>
      </c>
      <c r="D97" s="85">
        <f>'ERROR FINAL'!I100</f>
        <v>0</v>
      </c>
      <c r="E97" s="86">
        <f>'ERROR FINAL'!U100</f>
        <v>-100</v>
      </c>
      <c r="F97" s="87">
        <f>'ERROR FINAL'!AG100</f>
        <v>-100</v>
      </c>
      <c r="G97" s="87">
        <f>'ERROR FINAL'!AS100</f>
        <v>-100</v>
      </c>
      <c r="H97" s="88" t="str">
        <f>IF('ERROR FINAL'!AT100="CONFORME","CONFORME","NO CONFORME")</f>
        <v>NO CONFORME</v>
      </c>
      <c r="I97" s="89" t="str">
        <f t="shared" si="1"/>
        <v>Medición</v>
      </c>
    </row>
    <row r="98" spans="1:9" x14ac:dyDescent="0.2">
      <c r="A98" s="82">
        <f>'ERROR FINAL'!A101</f>
        <v>93</v>
      </c>
      <c r="B98" s="83">
        <f>'ERROR FINAL'!D101</f>
        <v>6</v>
      </c>
      <c r="C98" s="84">
        <f>'ERROR FINAL'!G101</f>
        <v>0</v>
      </c>
      <c r="D98" s="85">
        <f>'ERROR FINAL'!I101</f>
        <v>0</v>
      </c>
      <c r="E98" s="86">
        <f>'ERROR FINAL'!U101</f>
        <v>-100</v>
      </c>
      <c r="F98" s="87">
        <f>'ERROR FINAL'!AG101</f>
        <v>-100</v>
      </c>
      <c r="G98" s="87">
        <f>'ERROR FINAL'!AS101</f>
        <v>-100</v>
      </c>
      <c r="H98" s="88" t="str">
        <f>IF('ERROR FINAL'!AT101="CONFORME","CONFORME","NO CONFORME")</f>
        <v>NO CONFORME</v>
      </c>
      <c r="I98" s="89" t="str">
        <f t="shared" si="1"/>
        <v>Medición</v>
      </c>
    </row>
    <row r="99" spans="1:9" x14ac:dyDescent="0.2">
      <c r="A99" s="82">
        <f>'ERROR FINAL'!A102</f>
        <v>94</v>
      </c>
      <c r="B99" s="83">
        <f>'ERROR FINAL'!D102</f>
        <v>6</v>
      </c>
      <c r="C99" s="84">
        <f>'ERROR FINAL'!G102</f>
        <v>0</v>
      </c>
      <c r="D99" s="85">
        <f>'ERROR FINAL'!I102</f>
        <v>0</v>
      </c>
      <c r="E99" s="86">
        <f>'ERROR FINAL'!U102</f>
        <v>-100</v>
      </c>
      <c r="F99" s="87">
        <f>'ERROR FINAL'!AG102</f>
        <v>-100</v>
      </c>
      <c r="G99" s="87">
        <f>'ERROR FINAL'!AS102</f>
        <v>-100</v>
      </c>
      <c r="H99" s="88" t="str">
        <f>IF('ERROR FINAL'!AT102="CONFORME","CONFORME","NO CONFORME")</f>
        <v>NO CONFORME</v>
      </c>
      <c r="I99" s="89" t="str">
        <f t="shared" si="1"/>
        <v>Medición</v>
      </c>
    </row>
    <row r="100" spans="1:9" x14ac:dyDescent="0.2">
      <c r="A100" s="82">
        <f>'ERROR FINAL'!A103</f>
        <v>95</v>
      </c>
      <c r="B100" s="83">
        <f>'ERROR FINAL'!D103</f>
        <v>6</v>
      </c>
      <c r="C100" s="84">
        <f>'ERROR FINAL'!G103</f>
        <v>0</v>
      </c>
      <c r="D100" s="85">
        <f>'ERROR FINAL'!I103</f>
        <v>0</v>
      </c>
      <c r="E100" s="86">
        <f>'ERROR FINAL'!U103</f>
        <v>-100</v>
      </c>
      <c r="F100" s="87">
        <f>'ERROR FINAL'!AG103</f>
        <v>-100</v>
      </c>
      <c r="G100" s="87">
        <f>'ERROR FINAL'!AS103</f>
        <v>-100</v>
      </c>
      <c r="H100" s="88" t="str">
        <f>IF('ERROR FINAL'!AT103="CONFORME","CONFORME","NO CONFORME")</f>
        <v>NO CONFORME</v>
      </c>
      <c r="I100" s="89" t="str">
        <f t="shared" si="1"/>
        <v>Medición</v>
      </c>
    </row>
    <row r="101" spans="1:9" x14ac:dyDescent="0.2">
      <c r="A101" s="82">
        <f>'ERROR FINAL'!A104</f>
        <v>96</v>
      </c>
      <c r="B101" s="83">
        <f>'ERROR FINAL'!D104</f>
        <v>6</v>
      </c>
      <c r="C101" s="84">
        <f>'ERROR FINAL'!G104</f>
        <v>0</v>
      </c>
      <c r="D101" s="85">
        <f>'ERROR FINAL'!I104</f>
        <v>0</v>
      </c>
      <c r="E101" s="86">
        <f>'ERROR FINAL'!U104</f>
        <v>-100</v>
      </c>
      <c r="F101" s="87">
        <f>'ERROR FINAL'!AG104</f>
        <v>-100</v>
      </c>
      <c r="G101" s="87">
        <f>'ERROR FINAL'!AS104</f>
        <v>-100</v>
      </c>
      <c r="H101" s="88" t="str">
        <f>IF('ERROR FINAL'!AT104="CONFORME","CONFORME","NO CONFORME")</f>
        <v>NO CONFORME</v>
      </c>
      <c r="I101" s="89" t="str">
        <f t="shared" si="1"/>
        <v>Medición</v>
      </c>
    </row>
    <row r="102" spans="1:9" x14ac:dyDescent="0.2">
      <c r="A102" s="82">
        <f>'ERROR FINAL'!A105</f>
        <v>97</v>
      </c>
      <c r="B102" s="83">
        <f>'ERROR FINAL'!D105</f>
        <v>6</v>
      </c>
      <c r="C102" s="84">
        <f>'ERROR FINAL'!G105</f>
        <v>0</v>
      </c>
      <c r="D102" s="85">
        <f>'ERROR FINAL'!I105</f>
        <v>0</v>
      </c>
      <c r="E102" s="86">
        <f>'ERROR FINAL'!U105</f>
        <v>-100</v>
      </c>
      <c r="F102" s="87">
        <f>'ERROR FINAL'!AG105</f>
        <v>-100</v>
      </c>
      <c r="G102" s="87">
        <f>'ERROR FINAL'!AS105</f>
        <v>-100</v>
      </c>
      <c r="H102" s="88" t="str">
        <f>IF('ERROR FINAL'!AT105="CONFORME","CONFORME","NO CONFORME")</f>
        <v>NO CONFORME</v>
      </c>
      <c r="I102" s="89" t="str">
        <f t="shared" si="1"/>
        <v>Medición</v>
      </c>
    </row>
    <row r="103" spans="1:9" x14ac:dyDescent="0.2">
      <c r="A103" s="82">
        <f>'ERROR FINAL'!A106</f>
        <v>98</v>
      </c>
      <c r="B103" s="83">
        <f>'ERROR FINAL'!D106</f>
        <v>6</v>
      </c>
      <c r="C103" s="84">
        <f>'ERROR FINAL'!G106</f>
        <v>0</v>
      </c>
      <c r="D103" s="85">
        <f>'ERROR FINAL'!I106</f>
        <v>0</v>
      </c>
      <c r="E103" s="86">
        <f>'ERROR FINAL'!U106</f>
        <v>-100</v>
      </c>
      <c r="F103" s="87">
        <f>'ERROR FINAL'!AG106</f>
        <v>-100</v>
      </c>
      <c r="G103" s="87">
        <f>'ERROR FINAL'!AS106</f>
        <v>-100</v>
      </c>
      <c r="H103" s="88" t="str">
        <f>IF('ERROR FINAL'!AT106="CONFORME","CONFORME","NO CONFORME")</f>
        <v>NO CONFORME</v>
      </c>
      <c r="I103" s="89" t="str">
        <f t="shared" si="1"/>
        <v>Medición</v>
      </c>
    </row>
    <row r="104" spans="1:9" x14ac:dyDescent="0.2">
      <c r="A104" s="82">
        <f>'ERROR FINAL'!A107</f>
        <v>99</v>
      </c>
      <c r="B104" s="83">
        <f>'ERROR FINAL'!D107</f>
        <v>6</v>
      </c>
      <c r="C104" s="84">
        <f>'ERROR FINAL'!G107</f>
        <v>0</v>
      </c>
      <c r="D104" s="85">
        <f>'ERROR FINAL'!I107</f>
        <v>0</v>
      </c>
      <c r="E104" s="86">
        <f>'ERROR FINAL'!U107</f>
        <v>-100</v>
      </c>
      <c r="F104" s="87">
        <f>'ERROR FINAL'!AG107</f>
        <v>-100</v>
      </c>
      <c r="G104" s="87">
        <f>'ERROR FINAL'!AS107</f>
        <v>-100</v>
      </c>
      <c r="H104" s="88" t="str">
        <f>IF('ERROR FINAL'!AT107="CONFORME","CONFORME","NO CONFORME")</f>
        <v>NO CONFORME</v>
      </c>
      <c r="I104" s="89" t="str">
        <f t="shared" si="1"/>
        <v>Medición</v>
      </c>
    </row>
    <row r="105" spans="1:9" x14ac:dyDescent="0.2">
      <c r="A105" s="82">
        <f>'ERROR FINAL'!A108</f>
        <v>100</v>
      </c>
      <c r="B105" s="83">
        <f>'ERROR FINAL'!D108</f>
        <v>6</v>
      </c>
      <c r="C105" s="84">
        <f>'ERROR FINAL'!G108</f>
        <v>0</v>
      </c>
      <c r="D105" s="85">
        <f>'ERROR FINAL'!I108</f>
        <v>0</v>
      </c>
      <c r="E105" s="86">
        <f>'ERROR FINAL'!U108</f>
        <v>-100</v>
      </c>
      <c r="F105" s="87">
        <f>'ERROR FINAL'!AG108</f>
        <v>-100</v>
      </c>
      <c r="G105" s="87">
        <f>'ERROR FINAL'!AS108</f>
        <v>-100</v>
      </c>
      <c r="H105" s="88" t="str">
        <f>IF('ERROR FINAL'!AT108="CONFORME","CONFORME","NO CONFORME")</f>
        <v>NO CONFORME</v>
      </c>
      <c r="I105" s="89" t="str">
        <f t="shared" si="1"/>
        <v>Medición</v>
      </c>
    </row>
    <row r="106" spans="1:9" x14ac:dyDescent="0.2">
      <c r="A106" s="82">
        <f>'ERROR FINAL'!A109</f>
        <v>101</v>
      </c>
      <c r="B106" s="83">
        <f>'ERROR FINAL'!D109</f>
        <v>6</v>
      </c>
      <c r="C106" s="84">
        <f>'ERROR FINAL'!G109</f>
        <v>0</v>
      </c>
      <c r="D106" s="85">
        <f>'ERROR FINAL'!I109</f>
        <v>0</v>
      </c>
      <c r="E106" s="86">
        <f>'ERROR FINAL'!U109</f>
        <v>-100</v>
      </c>
      <c r="F106" s="87">
        <f>'ERROR FINAL'!AG109</f>
        <v>-100</v>
      </c>
      <c r="G106" s="87">
        <f>'ERROR FINAL'!AS109</f>
        <v>-100</v>
      </c>
      <c r="H106" s="88" t="str">
        <f>IF('ERROR FINAL'!AT109="CONFORME","CONFORME","NO CONFORME")</f>
        <v>NO CONFORME</v>
      </c>
      <c r="I106" s="89" t="str">
        <f t="shared" si="1"/>
        <v>Medición</v>
      </c>
    </row>
    <row r="107" spans="1:9" x14ac:dyDescent="0.2">
      <c r="A107" s="82">
        <f>'ERROR FINAL'!A110</f>
        <v>102</v>
      </c>
      <c r="B107" s="83">
        <f>'ERROR FINAL'!D110</f>
        <v>6</v>
      </c>
      <c r="C107" s="84">
        <f>'ERROR FINAL'!G110</f>
        <v>0</v>
      </c>
      <c r="D107" s="85">
        <f>'ERROR FINAL'!I110</f>
        <v>0</v>
      </c>
      <c r="E107" s="86">
        <f>'ERROR FINAL'!U110</f>
        <v>-100</v>
      </c>
      <c r="F107" s="87">
        <f>'ERROR FINAL'!AG110</f>
        <v>-100</v>
      </c>
      <c r="G107" s="87">
        <f>'ERROR FINAL'!AS110</f>
        <v>-100</v>
      </c>
      <c r="H107" s="88" t="str">
        <f>IF('ERROR FINAL'!AT110="CONFORME","CONFORME","NO CONFORME")</f>
        <v>NO CONFORME</v>
      </c>
      <c r="I107" s="89" t="str">
        <f t="shared" si="1"/>
        <v>Medición</v>
      </c>
    </row>
    <row r="108" spans="1:9" x14ac:dyDescent="0.2">
      <c r="A108" s="82">
        <f>'ERROR FINAL'!A111</f>
        <v>103</v>
      </c>
      <c r="B108" s="83">
        <f>'ERROR FINAL'!D111</f>
        <v>6</v>
      </c>
      <c r="C108" s="84">
        <f>'ERROR FINAL'!G111</f>
        <v>0</v>
      </c>
      <c r="D108" s="85">
        <f>'ERROR FINAL'!I111</f>
        <v>0</v>
      </c>
      <c r="E108" s="86">
        <f>'ERROR FINAL'!U111</f>
        <v>-100</v>
      </c>
      <c r="F108" s="87">
        <f>'ERROR FINAL'!AG111</f>
        <v>-100</v>
      </c>
      <c r="G108" s="87">
        <f>'ERROR FINAL'!AS111</f>
        <v>-100</v>
      </c>
      <c r="H108" s="88" t="str">
        <f>IF('ERROR FINAL'!AT111="CONFORME","CONFORME","NO CONFORME")</f>
        <v>NO CONFORME</v>
      </c>
      <c r="I108" s="89" t="str">
        <f t="shared" si="1"/>
        <v>Medición</v>
      </c>
    </row>
    <row r="109" spans="1:9" x14ac:dyDescent="0.2">
      <c r="A109" s="82">
        <f>'ERROR FINAL'!A112</f>
        <v>104</v>
      </c>
      <c r="B109" s="83">
        <f>'ERROR FINAL'!D112</f>
        <v>6</v>
      </c>
      <c r="C109" s="84">
        <f>'ERROR FINAL'!G112</f>
        <v>0</v>
      </c>
      <c r="D109" s="85">
        <f>'ERROR FINAL'!I112</f>
        <v>0</v>
      </c>
      <c r="E109" s="86">
        <f>'ERROR FINAL'!U112</f>
        <v>-100</v>
      </c>
      <c r="F109" s="87">
        <f>'ERROR FINAL'!AG112</f>
        <v>-100</v>
      </c>
      <c r="G109" s="87">
        <f>'ERROR FINAL'!AS112</f>
        <v>-100</v>
      </c>
      <c r="H109" s="88" t="str">
        <f>IF('ERROR FINAL'!AT112="CONFORME","CONFORME","NO CONFORME")</f>
        <v>NO CONFORME</v>
      </c>
      <c r="I109" s="89" t="str">
        <f t="shared" si="1"/>
        <v>Medición</v>
      </c>
    </row>
    <row r="110" spans="1:9" x14ac:dyDescent="0.2">
      <c r="A110" s="82">
        <f>'ERROR FINAL'!A113</f>
        <v>105</v>
      </c>
      <c r="B110" s="83">
        <f>'ERROR FINAL'!D113</f>
        <v>6</v>
      </c>
      <c r="C110" s="84">
        <f>'ERROR FINAL'!G113</f>
        <v>0</v>
      </c>
      <c r="D110" s="85">
        <f>'ERROR FINAL'!I113</f>
        <v>0</v>
      </c>
      <c r="E110" s="86">
        <f>'ERROR FINAL'!U113</f>
        <v>-100</v>
      </c>
      <c r="F110" s="87">
        <f>'ERROR FINAL'!AG113</f>
        <v>-100</v>
      </c>
      <c r="G110" s="87">
        <f>'ERROR FINAL'!AS113</f>
        <v>-100</v>
      </c>
      <c r="H110" s="88" t="str">
        <f>IF('ERROR FINAL'!AT113="CONFORME","CONFORME","NO CONFORME")</f>
        <v>NO CONFORME</v>
      </c>
      <c r="I110" s="89" t="str">
        <f t="shared" si="1"/>
        <v>Medición</v>
      </c>
    </row>
    <row r="111" spans="1:9" x14ac:dyDescent="0.2">
      <c r="A111" s="82">
        <f>'ERROR FINAL'!A114</f>
        <v>106</v>
      </c>
      <c r="B111" s="83">
        <f>'ERROR FINAL'!D114</f>
        <v>6</v>
      </c>
      <c r="C111" s="84">
        <f>'ERROR FINAL'!G114</f>
        <v>0</v>
      </c>
      <c r="D111" s="85">
        <f>'ERROR FINAL'!I114</f>
        <v>0</v>
      </c>
      <c r="E111" s="86">
        <f>'ERROR FINAL'!U114</f>
        <v>-100</v>
      </c>
      <c r="F111" s="87">
        <f>'ERROR FINAL'!AG114</f>
        <v>-100</v>
      </c>
      <c r="G111" s="87">
        <f>'ERROR FINAL'!AS114</f>
        <v>-100</v>
      </c>
      <c r="H111" s="88" t="str">
        <f>IF('ERROR FINAL'!AT114="CONFORME","CONFORME","NO CONFORME")</f>
        <v>NO CONFORME</v>
      </c>
      <c r="I111" s="89" t="str">
        <f t="shared" si="1"/>
        <v>Medición</v>
      </c>
    </row>
    <row r="112" spans="1:9" x14ac:dyDescent="0.2">
      <c r="A112" s="82">
        <f>'ERROR FINAL'!A115</f>
        <v>107</v>
      </c>
      <c r="B112" s="83">
        <f>'ERROR FINAL'!D115</f>
        <v>6</v>
      </c>
      <c r="C112" s="84">
        <f>'ERROR FINAL'!G115</f>
        <v>0</v>
      </c>
      <c r="D112" s="85">
        <f>'ERROR FINAL'!I115</f>
        <v>0</v>
      </c>
      <c r="E112" s="86">
        <f>'ERROR FINAL'!U115</f>
        <v>-100</v>
      </c>
      <c r="F112" s="87">
        <f>'ERROR FINAL'!AG115</f>
        <v>-100</v>
      </c>
      <c r="G112" s="87">
        <f>'ERROR FINAL'!AS115</f>
        <v>-100</v>
      </c>
      <c r="H112" s="88" t="str">
        <f>IF('ERROR FINAL'!AT115="CONFORME","CONFORME","NO CONFORME")</f>
        <v>NO CONFORME</v>
      </c>
      <c r="I112" s="89" t="str">
        <f t="shared" si="1"/>
        <v>Medición</v>
      </c>
    </row>
    <row r="113" spans="1:9" x14ac:dyDescent="0.2">
      <c r="A113" s="82">
        <f>'ERROR FINAL'!A116</f>
        <v>108</v>
      </c>
      <c r="B113" s="83">
        <f>'ERROR FINAL'!D116</f>
        <v>6</v>
      </c>
      <c r="C113" s="84">
        <f>'ERROR FINAL'!G116</f>
        <v>0</v>
      </c>
      <c r="D113" s="85">
        <f>'ERROR FINAL'!I116</f>
        <v>0</v>
      </c>
      <c r="E113" s="86">
        <f>'ERROR FINAL'!U116</f>
        <v>-100</v>
      </c>
      <c r="F113" s="87">
        <f>'ERROR FINAL'!AG116</f>
        <v>-100</v>
      </c>
      <c r="G113" s="87">
        <f>'ERROR FINAL'!AS116</f>
        <v>-100</v>
      </c>
      <c r="H113" s="88" t="str">
        <f>IF('ERROR FINAL'!AT116="CONFORME","CONFORME","NO CONFORME")</f>
        <v>NO CONFORME</v>
      </c>
      <c r="I113" s="89" t="str">
        <f t="shared" si="1"/>
        <v>Medición</v>
      </c>
    </row>
    <row r="114" spans="1:9" x14ac:dyDescent="0.2">
      <c r="A114" s="82">
        <f>'ERROR FINAL'!A117</f>
        <v>109</v>
      </c>
      <c r="B114" s="83">
        <f>'ERROR FINAL'!D117</f>
        <v>6</v>
      </c>
      <c r="C114" s="84">
        <f>'ERROR FINAL'!G117</f>
        <v>0</v>
      </c>
      <c r="D114" s="85">
        <f>'ERROR FINAL'!I117</f>
        <v>0</v>
      </c>
      <c r="E114" s="86">
        <f>'ERROR FINAL'!U117</f>
        <v>-100</v>
      </c>
      <c r="F114" s="87">
        <f>'ERROR FINAL'!AG117</f>
        <v>-100</v>
      </c>
      <c r="G114" s="87">
        <f>'ERROR FINAL'!AS117</f>
        <v>-100</v>
      </c>
      <c r="H114" s="88" t="str">
        <f>IF('ERROR FINAL'!AT117="CONFORME","CONFORME","NO CONFORME")</f>
        <v>NO CONFORME</v>
      </c>
      <c r="I114" s="89" t="str">
        <f t="shared" si="1"/>
        <v>Medición</v>
      </c>
    </row>
    <row r="115" spans="1:9" x14ac:dyDescent="0.2">
      <c r="A115" s="82">
        <f>'ERROR FINAL'!A118</f>
        <v>110</v>
      </c>
      <c r="B115" s="83">
        <f>'ERROR FINAL'!D118</f>
        <v>6</v>
      </c>
      <c r="C115" s="84">
        <f>'ERROR FINAL'!G118</f>
        <v>0</v>
      </c>
      <c r="D115" s="85">
        <f>'ERROR FINAL'!I118</f>
        <v>0</v>
      </c>
      <c r="E115" s="86">
        <f>'ERROR FINAL'!U118</f>
        <v>-100</v>
      </c>
      <c r="F115" s="87">
        <f>'ERROR FINAL'!AG118</f>
        <v>-100</v>
      </c>
      <c r="G115" s="87">
        <f>'ERROR FINAL'!AS118</f>
        <v>-100</v>
      </c>
      <c r="H115" s="88" t="str">
        <f>IF('ERROR FINAL'!AT118="CONFORME","CONFORME","NO CONFORME")</f>
        <v>NO CONFORME</v>
      </c>
      <c r="I115" s="89" t="str">
        <f t="shared" si="1"/>
        <v>Medición</v>
      </c>
    </row>
    <row r="116" spans="1:9" x14ac:dyDescent="0.2">
      <c r="A116" s="82">
        <f>'ERROR FINAL'!A119</f>
        <v>111</v>
      </c>
      <c r="B116" s="83">
        <f>'ERROR FINAL'!D119</f>
        <v>6</v>
      </c>
      <c r="C116" s="84">
        <f>'ERROR FINAL'!G119</f>
        <v>0</v>
      </c>
      <c r="D116" s="85">
        <f>'ERROR FINAL'!I119</f>
        <v>0</v>
      </c>
      <c r="E116" s="86">
        <f>'ERROR FINAL'!U119</f>
        <v>-100</v>
      </c>
      <c r="F116" s="87">
        <f>'ERROR FINAL'!AG119</f>
        <v>-100</v>
      </c>
      <c r="G116" s="87">
        <f>'ERROR FINAL'!AS119</f>
        <v>-100</v>
      </c>
      <c r="H116" s="88" t="str">
        <f>IF('ERROR FINAL'!AT119="CONFORME","CONFORME","NO CONFORME")</f>
        <v>NO CONFORME</v>
      </c>
      <c r="I116" s="89" t="str">
        <f t="shared" si="1"/>
        <v>Medición</v>
      </c>
    </row>
    <row r="117" spans="1:9" x14ac:dyDescent="0.2">
      <c r="A117" s="82">
        <f>'ERROR FINAL'!A120</f>
        <v>112</v>
      </c>
      <c r="B117" s="83">
        <f>'ERROR FINAL'!D120</f>
        <v>6</v>
      </c>
      <c r="C117" s="84">
        <f>'ERROR FINAL'!G120</f>
        <v>0</v>
      </c>
      <c r="D117" s="85">
        <f>'ERROR FINAL'!I120</f>
        <v>0</v>
      </c>
      <c r="E117" s="86">
        <f>'ERROR FINAL'!U120</f>
        <v>-100</v>
      </c>
      <c r="F117" s="87">
        <f>'ERROR FINAL'!AG120</f>
        <v>-100</v>
      </c>
      <c r="G117" s="87">
        <f>'ERROR FINAL'!AS120</f>
        <v>-100</v>
      </c>
      <c r="H117" s="88" t="str">
        <f>IF('ERROR FINAL'!AT120="CONFORME","CONFORME","NO CONFORME")</f>
        <v>NO CONFORME</v>
      </c>
      <c r="I117" s="89" t="str">
        <f t="shared" si="1"/>
        <v>Medición</v>
      </c>
    </row>
    <row r="118" spans="1:9" x14ac:dyDescent="0.2">
      <c r="A118" s="82">
        <f>'ERROR FINAL'!A121</f>
        <v>113</v>
      </c>
      <c r="B118" s="83">
        <f>'ERROR FINAL'!D121</f>
        <v>6</v>
      </c>
      <c r="C118" s="84">
        <f>'ERROR FINAL'!G121</f>
        <v>0</v>
      </c>
      <c r="D118" s="85">
        <f>'ERROR FINAL'!I121</f>
        <v>0</v>
      </c>
      <c r="E118" s="86">
        <f>'ERROR FINAL'!U121</f>
        <v>-100</v>
      </c>
      <c r="F118" s="87">
        <f>'ERROR FINAL'!AG121</f>
        <v>-100</v>
      </c>
      <c r="G118" s="87">
        <f>'ERROR FINAL'!AS121</f>
        <v>-100</v>
      </c>
      <c r="H118" s="88" t="str">
        <f>IF('ERROR FINAL'!AT121="CONFORME","CONFORME","NO CONFORME")</f>
        <v>NO CONFORME</v>
      </c>
      <c r="I118" s="89" t="str">
        <f t="shared" si="1"/>
        <v>Medición</v>
      </c>
    </row>
    <row r="119" spans="1:9" x14ac:dyDescent="0.2">
      <c r="A119" s="82">
        <f>'ERROR FINAL'!A122</f>
        <v>114</v>
      </c>
      <c r="B119" s="83">
        <f>'ERROR FINAL'!D122</f>
        <v>6</v>
      </c>
      <c r="C119" s="84">
        <f>'ERROR FINAL'!G122</f>
        <v>0</v>
      </c>
      <c r="D119" s="85">
        <f>'ERROR FINAL'!I122</f>
        <v>0</v>
      </c>
      <c r="E119" s="86">
        <f>'ERROR FINAL'!U122</f>
        <v>-100</v>
      </c>
      <c r="F119" s="87">
        <f>'ERROR FINAL'!AG122</f>
        <v>-100</v>
      </c>
      <c r="G119" s="87">
        <f>'ERROR FINAL'!AS122</f>
        <v>-100</v>
      </c>
      <c r="H119" s="88" t="str">
        <f>IF('ERROR FINAL'!AT122="CONFORME","CONFORME","NO CONFORME")</f>
        <v>NO CONFORME</v>
      </c>
      <c r="I119" s="89" t="str">
        <f t="shared" si="1"/>
        <v>Medición</v>
      </c>
    </row>
    <row r="120" spans="1:9" x14ac:dyDescent="0.2">
      <c r="A120" s="82">
        <f>'ERROR FINAL'!A123</f>
        <v>115</v>
      </c>
      <c r="B120" s="83">
        <f>'ERROR FINAL'!D123</f>
        <v>6</v>
      </c>
      <c r="C120" s="84">
        <f>'ERROR FINAL'!G123</f>
        <v>0</v>
      </c>
      <c r="D120" s="85">
        <f>'ERROR FINAL'!I123</f>
        <v>0</v>
      </c>
      <c r="E120" s="86">
        <f>'ERROR FINAL'!U123</f>
        <v>-100</v>
      </c>
      <c r="F120" s="87">
        <f>'ERROR FINAL'!AG123</f>
        <v>-100</v>
      </c>
      <c r="G120" s="87">
        <f>'ERROR FINAL'!AS123</f>
        <v>-100</v>
      </c>
      <c r="H120" s="88" t="str">
        <f>IF('ERROR FINAL'!AT123="CONFORME","CONFORME","NO CONFORME")</f>
        <v>NO CONFORME</v>
      </c>
      <c r="I120" s="89" t="str">
        <f t="shared" si="1"/>
        <v>Medición</v>
      </c>
    </row>
    <row r="121" spans="1:9" x14ac:dyDescent="0.2">
      <c r="A121" s="82">
        <f>'ERROR FINAL'!A124</f>
        <v>116</v>
      </c>
      <c r="B121" s="83">
        <f>'ERROR FINAL'!D124</f>
        <v>6</v>
      </c>
      <c r="C121" s="84">
        <f>'ERROR FINAL'!G124</f>
        <v>0</v>
      </c>
      <c r="D121" s="85">
        <f>'ERROR FINAL'!I124</f>
        <v>0</v>
      </c>
      <c r="E121" s="86">
        <f>'ERROR FINAL'!U124</f>
        <v>-100</v>
      </c>
      <c r="F121" s="87">
        <f>'ERROR FINAL'!AG124</f>
        <v>-100</v>
      </c>
      <c r="G121" s="87">
        <f>'ERROR FINAL'!AS124</f>
        <v>-100</v>
      </c>
      <c r="H121" s="88" t="str">
        <f>IF('ERROR FINAL'!AT124="CONFORME","CONFORME","NO CONFORME")</f>
        <v>NO CONFORME</v>
      </c>
      <c r="I121" s="89" t="str">
        <f t="shared" si="1"/>
        <v>Medición</v>
      </c>
    </row>
    <row r="122" spans="1:9" x14ac:dyDescent="0.2">
      <c r="A122" s="82">
        <f>'ERROR FINAL'!A125</f>
        <v>117</v>
      </c>
      <c r="B122" s="83">
        <f>'ERROR FINAL'!D125</f>
        <v>6</v>
      </c>
      <c r="C122" s="84">
        <f>'ERROR FINAL'!G125</f>
        <v>0</v>
      </c>
      <c r="D122" s="85">
        <f>'ERROR FINAL'!I125</f>
        <v>0</v>
      </c>
      <c r="E122" s="86">
        <f>'ERROR FINAL'!U125</f>
        <v>-100</v>
      </c>
      <c r="F122" s="87">
        <f>'ERROR FINAL'!AG125</f>
        <v>-100</v>
      </c>
      <c r="G122" s="87">
        <f>'ERROR FINAL'!AS125</f>
        <v>-100</v>
      </c>
      <c r="H122" s="88" t="str">
        <f>IF('ERROR FINAL'!AT125="CONFORME","CONFORME","NO CONFORME")</f>
        <v>NO CONFORME</v>
      </c>
      <c r="I122" s="89" t="str">
        <f t="shared" si="1"/>
        <v>Medición</v>
      </c>
    </row>
    <row r="123" spans="1:9" x14ac:dyDescent="0.2">
      <c r="A123" s="82">
        <f>'ERROR FINAL'!A126</f>
        <v>118</v>
      </c>
      <c r="B123" s="83">
        <f>'ERROR FINAL'!D126</f>
        <v>6</v>
      </c>
      <c r="C123" s="84">
        <f>'ERROR FINAL'!G126</f>
        <v>0</v>
      </c>
      <c r="D123" s="85">
        <f>'ERROR FINAL'!I126</f>
        <v>0</v>
      </c>
      <c r="E123" s="86">
        <f>'ERROR FINAL'!U126</f>
        <v>-100</v>
      </c>
      <c r="F123" s="87">
        <f>'ERROR FINAL'!AG126</f>
        <v>-100</v>
      </c>
      <c r="G123" s="87">
        <f>'ERROR FINAL'!AS126</f>
        <v>-100</v>
      </c>
      <c r="H123" s="88" t="str">
        <f>IF('ERROR FINAL'!AT126="CONFORME","CONFORME","NO CONFORME")</f>
        <v>NO CONFORME</v>
      </c>
      <c r="I123" s="89" t="str">
        <f t="shared" si="1"/>
        <v>Medición</v>
      </c>
    </row>
    <row r="124" spans="1:9" x14ac:dyDescent="0.2">
      <c r="A124" s="82">
        <f>'ERROR FINAL'!A127</f>
        <v>119</v>
      </c>
      <c r="B124" s="83">
        <f>'ERROR FINAL'!D127</f>
        <v>6</v>
      </c>
      <c r="C124" s="84">
        <f>'ERROR FINAL'!G127</f>
        <v>0</v>
      </c>
      <c r="D124" s="85">
        <f>'ERROR FINAL'!I127</f>
        <v>0</v>
      </c>
      <c r="E124" s="86">
        <f>'ERROR FINAL'!U127</f>
        <v>-100</v>
      </c>
      <c r="F124" s="87">
        <f>'ERROR FINAL'!AG127</f>
        <v>-100</v>
      </c>
      <c r="G124" s="87">
        <f>'ERROR FINAL'!AS127</f>
        <v>-100</v>
      </c>
      <c r="H124" s="88" t="str">
        <f>IF('ERROR FINAL'!AT127="CONFORME","CONFORME","NO CONFORME")</f>
        <v>NO CONFORME</v>
      </c>
      <c r="I124" s="89" t="str">
        <f t="shared" si="1"/>
        <v>Medición</v>
      </c>
    </row>
    <row r="125" spans="1:9" x14ac:dyDescent="0.2">
      <c r="A125" s="82">
        <f>'ERROR FINAL'!A128</f>
        <v>120</v>
      </c>
      <c r="B125" s="83">
        <f>'ERROR FINAL'!D128</f>
        <v>6</v>
      </c>
      <c r="C125" s="84">
        <f>'ERROR FINAL'!G128</f>
        <v>0</v>
      </c>
      <c r="D125" s="85">
        <f>'ERROR FINAL'!I128</f>
        <v>0</v>
      </c>
      <c r="E125" s="86">
        <f>'ERROR FINAL'!U128</f>
        <v>-100</v>
      </c>
      <c r="F125" s="87">
        <f>'ERROR FINAL'!AG128</f>
        <v>-100</v>
      </c>
      <c r="G125" s="87">
        <f>'ERROR FINAL'!AS128</f>
        <v>-100</v>
      </c>
      <c r="H125" s="88" t="str">
        <f>IF('ERROR FINAL'!AT128="CONFORME","CONFORME","NO CONFORME")</f>
        <v>NO CONFORME</v>
      </c>
      <c r="I125" s="89" t="str">
        <f t="shared" si="1"/>
        <v>Medición</v>
      </c>
    </row>
    <row r="126" spans="1:9" x14ac:dyDescent="0.2">
      <c r="A126" s="82">
        <f>'ERROR FINAL'!A129</f>
        <v>121</v>
      </c>
      <c r="B126" s="83">
        <f>'ERROR FINAL'!D129</f>
        <v>6</v>
      </c>
      <c r="C126" s="84">
        <f>'ERROR FINAL'!G129</f>
        <v>0</v>
      </c>
      <c r="D126" s="85">
        <f>'ERROR FINAL'!I129</f>
        <v>0</v>
      </c>
      <c r="E126" s="86">
        <f>'ERROR FINAL'!U129</f>
        <v>-100</v>
      </c>
      <c r="F126" s="87">
        <f>'ERROR FINAL'!AG129</f>
        <v>-100</v>
      </c>
      <c r="G126" s="87">
        <f>'ERROR FINAL'!AS129</f>
        <v>-100</v>
      </c>
      <c r="H126" s="88" t="str">
        <f>IF('ERROR FINAL'!AT129="CONFORME","CONFORME","NO CONFORME")</f>
        <v>NO CONFORME</v>
      </c>
      <c r="I126" s="89" t="str">
        <f t="shared" si="1"/>
        <v>Medición</v>
      </c>
    </row>
    <row r="127" spans="1:9" x14ac:dyDescent="0.2">
      <c r="A127" s="82">
        <f>'ERROR FINAL'!A130</f>
        <v>122</v>
      </c>
      <c r="B127" s="83">
        <f>'ERROR FINAL'!D130</f>
        <v>6</v>
      </c>
      <c r="C127" s="84">
        <f>'ERROR FINAL'!G130</f>
        <v>0</v>
      </c>
      <c r="D127" s="85">
        <f>'ERROR FINAL'!I130</f>
        <v>0</v>
      </c>
      <c r="E127" s="86">
        <f>'ERROR FINAL'!U130</f>
        <v>-100</v>
      </c>
      <c r="F127" s="87">
        <f>'ERROR FINAL'!AG130</f>
        <v>-100</v>
      </c>
      <c r="G127" s="87">
        <f>'ERROR FINAL'!AS130</f>
        <v>-100</v>
      </c>
      <c r="H127" s="88" t="str">
        <f>IF('ERROR FINAL'!AT130="CONFORME","CONFORME","NO CONFORME")</f>
        <v>NO CONFORME</v>
      </c>
      <c r="I127" s="89" t="str">
        <f t="shared" si="1"/>
        <v>Medición</v>
      </c>
    </row>
    <row r="128" spans="1:9" x14ac:dyDescent="0.2">
      <c r="A128" s="82">
        <f>'ERROR FINAL'!A131</f>
        <v>123</v>
      </c>
      <c r="B128" s="83">
        <f>'ERROR FINAL'!D131</f>
        <v>6</v>
      </c>
      <c r="C128" s="84">
        <f>'ERROR FINAL'!G131</f>
        <v>0</v>
      </c>
      <c r="D128" s="85">
        <f>'ERROR FINAL'!I131</f>
        <v>0</v>
      </c>
      <c r="E128" s="86">
        <f>'ERROR FINAL'!U131</f>
        <v>-100</v>
      </c>
      <c r="F128" s="87">
        <f>'ERROR FINAL'!AG131</f>
        <v>-100</v>
      </c>
      <c r="G128" s="87">
        <f>'ERROR FINAL'!AS131</f>
        <v>-100</v>
      </c>
      <c r="H128" s="88" t="str">
        <f>IF('ERROR FINAL'!AT131="CONFORME","CONFORME","NO CONFORME")</f>
        <v>NO CONFORME</v>
      </c>
      <c r="I128" s="89" t="str">
        <f t="shared" si="1"/>
        <v>Medición</v>
      </c>
    </row>
    <row r="129" spans="1:9" x14ac:dyDescent="0.2">
      <c r="A129" s="82">
        <f>'ERROR FINAL'!A132</f>
        <v>124</v>
      </c>
      <c r="B129" s="83">
        <f>'ERROR FINAL'!D132</f>
        <v>6</v>
      </c>
      <c r="C129" s="84">
        <f>'ERROR FINAL'!G132</f>
        <v>0</v>
      </c>
      <c r="D129" s="85">
        <f>'ERROR FINAL'!I132</f>
        <v>0</v>
      </c>
      <c r="E129" s="86">
        <f>'ERROR FINAL'!U132</f>
        <v>-100</v>
      </c>
      <c r="F129" s="87">
        <f>'ERROR FINAL'!AG132</f>
        <v>-100</v>
      </c>
      <c r="G129" s="87">
        <f>'ERROR FINAL'!AS132</f>
        <v>-100</v>
      </c>
      <c r="H129" s="88" t="str">
        <f>IF('ERROR FINAL'!AT132="CONFORME","CONFORME","NO CONFORME")</f>
        <v>NO CONFORME</v>
      </c>
      <c r="I129" s="89" t="str">
        <f t="shared" si="1"/>
        <v>Medición</v>
      </c>
    </row>
    <row r="130" spans="1:9" x14ac:dyDescent="0.2">
      <c r="A130" s="82">
        <f>'ERROR FINAL'!A133</f>
        <v>125</v>
      </c>
      <c r="B130" s="83">
        <f>'ERROR FINAL'!D133</f>
        <v>6</v>
      </c>
      <c r="C130" s="84">
        <f>'ERROR FINAL'!G133</f>
        <v>0</v>
      </c>
      <c r="D130" s="85">
        <f>'ERROR FINAL'!I133</f>
        <v>0</v>
      </c>
      <c r="E130" s="86">
        <f>'ERROR FINAL'!U133</f>
        <v>-100</v>
      </c>
      <c r="F130" s="87">
        <f>'ERROR FINAL'!AG133</f>
        <v>-100</v>
      </c>
      <c r="G130" s="87">
        <f>'ERROR FINAL'!AS133</f>
        <v>-100</v>
      </c>
      <c r="H130" s="88" t="str">
        <f>IF('ERROR FINAL'!AT133="CONFORME","CONFORME","NO CONFORME")</f>
        <v>NO CONFORME</v>
      </c>
      <c r="I130" s="89" t="str">
        <f t="shared" si="1"/>
        <v>Medición</v>
      </c>
    </row>
    <row r="131" spans="1:9" x14ac:dyDescent="0.2">
      <c r="A131" s="82">
        <f>'ERROR FINAL'!A134</f>
        <v>126</v>
      </c>
      <c r="B131" s="83">
        <f>'ERROR FINAL'!D134</f>
        <v>6</v>
      </c>
      <c r="C131" s="84">
        <f>'ERROR FINAL'!G134</f>
        <v>0</v>
      </c>
      <c r="D131" s="85">
        <f>'ERROR FINAL'!I134</f>
        <v>0</v>
      </c>
      <c r="E131" s="86">
        <f>'ERROR FINAL'!U134</f>
        <v>-100</v>
      </c>
      <c r="F131" s="87">
        <f>'ERROR FINAL'!AG134</f>
        <v>-100</v>
      </c>
      <c r="G131" s="87">
        <f>'ERROR FINAL'!AS134</f>
        <v>-100</v>
      </c>
      <c r="H131" s="88" t="str">
        <f>IF('ERROR FINAL'!AT134="CONFORME","CONFORME","NO CONFORME")</f>
        <v>NO CONFORME</v>
      </c>
      <c r="I131" s="89" t="str">
        <f t="shared" si="1"/>
        <v>Medición</v>
      </c>
    </row>
    <row r="132" spans="1:9" x14ac:dyDescent="0.2">
      <c r="A132" s="82">
        <f>'ERROR FINAL'!A135</f>
        <v>127</v>
      </c>
      <c r="B132" s="83">
        <f>'ERROR FINAL'!D135</f>
        <v>6</v>
      </c>
      <c r="C132" s="84">
        <f>'ERROR FINAL'!G135</f>
        <v>0</v>
      </c>
      <c r="D132" s="85">
        <f>'ERROR FINAL'!I135</f>
        <v>0</v>
      </c>
      <c r="E132" s="86">
        <f>'ERROR FINAL'!U135</f>
        <v>-100</v>
      </c>
      <c r="F132" s="87">
        <f>'ERROR FINAL'!AG135</f>
        <v>-100</v>
      </c>
      <c r="G132" s="87">
        <f>'ERROR FINAL'!AS135</f>
        <v>-100</v>
      </c>
      <c r="H132" s="88" t="str">
        <f>IF('ERROR FINAL'!AT135="CONFORME","CONFORME","NO CONFORME")</f>
        <v>NO CONFORME</v>
      </c>
      <c r="I132" s="89" t="str">
        <f t="shared" si="1"/>
        <v>Medición</v>
      </c>
    </row>
    <row r="133" spans="1:9" x14ac:dyDescent="0.2">
      <c r="A133" s="82">
        <f>'ERROR FINAL'!A136</f>
        <v>128</v>
      </c>
      <c r="B133" s="83">
        <f>'ERROR FINAL'!D136</f>
        <v>6</v>
      </c>
      <c r="C133" s="84">
        <f>'ERROR FINAL'!G136</f>
        <v>0</v>
      </c>
      <c r="D133" s="85">
        <f>'ERROR FINAL'!I136</f>
        <v>0</v>
      </c>
      <c r="E133" s="86">
        <f>'ERROR FINAL'!U136</f>
        <v>-100</v>
      </c>
      <c r="F133" s="87">
        <f>'ERROR FINAL'!AG136</f>
        <v>-100</v>
      </c>
      <c r="G133" s="87">
        <f>'ERROR FINAL'!AS136</f>
        <v>-100</v>
      </c>
      <c r="H133" s="88" t="str">
        <f>IF('ERROR FINAL'!AT136="CONFORME","CONFORME","NO CONFORME")</f>
        <v>NO CONFORME</v>
      </c>
      <c r="I133" s="89" t="str">
        <f t="shared" si="1"/>
        <v>Medición</v>
      </c>
    </row>
    <row r="134" spans="1:9" x14ac:dyDescent="0.2">
      <c r="A134" s="82">
        <f>'ERROR FINAL'!A137</f>
        <v>129</v>
      </c>
      <c r="B134" s="83">
        <f>'ERROR FINAL'!D137</f>
        <v>6</v>
      </c>
      <c r="C134" s="84">
        <f>'ERROR FINAL'!G137</f>
        <v>0</v>
      </c>
      <c r="D134" s="85">
        <f>'ERROR FINAL'!I137</f>
        <v>0</v>
      </c>
      <c r="E134" s="86">
        <f>'ERROR FINAL'!U137</f>
        <v>-100</v>
      </c>
      <c r="F134" s="87">
        <f>'ERROR FINAL'!AG137</f>
        <v>-100</v>
      </c>
      <c r="G134" s="87">
        <f>'ERROR FINAL'!AS137</f>
        <v>-100</v>
      </c>
      <c r="H134" s="88" t="str">
        <f>IF('ERROR FINAL'!AT137="CONFORME","CONFORME","NO CONFORME")</f>
        <v>NO CONFORME</v>
      </c>
      <c r="I134" s="89" t="str">
        <f t="shared" si="1"/>
        <v>Medición</v>
      </c>
    </row>
    <row r="135" spans="1:9" x14ac:dyDescent="0.2">
      <c r="A135" s="82">
        <f>'ERROR FINAL'!A138</f>
        <v>130</v>
      </c>
      <c r="B135" s="83">
        <f>'ERROR FINAL'!D138</f>
        <v>6</v>
      </c>
      <c r="C135" s="84">
        <f>'ERROR FINAL'!G138</f>
        <v>0</v>
      </c>
      <c r="D135" s="85">
        <f>'ERROR FINAL'!I138</f>
        <v>0</v>
      </c>
      <c r="E135" s="86">
        <f>'ERROR FINAL'!U138</f>
        <v>-100</v>
      </c>
      <c r="F135" s="87">
        <f>'ERROR FINAL'!AG138</f>
        <v>-100</v>
      </c>
      <c r="G135" s="87">
        <f>'ERROR FINAL'!AS138</f>
        <v>-100</v>
      </c>
      <c r="H135" s="88" t="str">
        <f>IF('ERROR FINAL'!AT138="CONFORME","CONFORME","NO CONFORME")</f>
        <v>NO CONFORME</v>
      </c>
      <c r="I135" s="89" t="str">
        <f t="shared" ref="I135:I198" si="2">IF(D135=0,"Medición",IF(D135=1,"Daño físico",IF(D135=2,"Fuga",IF(D135=3,"Picado",IF(D135=4,"Desfasado",IF(D135=5,"Paralizado","¿?"))))))</f>
        <v>Medición</v>
      </c>
    </row>
    <row r="136" spans="1:9" x14ac:dyDescent="0.2">
      <c r="A136" s="82">
        <f>'ERROR FINAL'!A139</f>
        <v>131</v>
      </c>
      <c r="B136" s="83">
        <f>'ERROR FINAL'!D139</f>
        <v>6</v>
      </c>
      <c r="C136" s="84">
        <f>'ERROR FINAL'!G139</f>
        <v>0</v>
      </c>
      <c r="D136" s="85">
        <f>'ERROR FINAL'!I139</f>
        <v>0</v>
      </c>
      <c r="E136" s="86">
        <f>'ERROR FINAL'!U139</f>
        <v>-100</v>
      </c>
      <c r="F136" s="87">
        <f>'ERROR FINAL'!AG139</f>
        <v>-100</v>
      </c>
      <c r="G136" s="87">
        <f>'ERROR FINAL'!AS139</f>
        <v>-100</v>
      </c>
      <c r="H136" s="88" t="str">
        <f>IF('ERROR FINAL'!AT139="CONFORME","CONFORME","NO CONFORME")</f>
        <v>NO CONFORME</v>
      </c>
      <c r="I136" s="89" t="str">
        <f t="shared" si="2"/>
        <v>Medición</v>
      </c>
    </row>
    <row r="137" spans="1:9" x14ac:dyDescent="0.2">
      <c r="A137" s="82">
        <f>'ERROR FINAL'!A140</f>
        <v>132</v>
      </c>
      <c r="B137" s="83">
        <f>'ERROR FINAL'!D140</f>
        <v>6</v>
      </c>
      <c r="C137" s="84">
        <f>'ERROR FINAL'!G140</f>
        <v>0</v>
      </c>
      <c r="D137" s="85">
        <f>'ERROR FINAL'!I140</f>
        <v>0</v>
      </c>
      <c r="E137" s="86">
        <f>'ERROR FINAL'!U140</f>
        <v>-100</v>
      </c>
      <c r="F137" s="87">
        <f>'ERROR FINAL'!AG140</f>
        <v>-100</v>
      </c>
      <c r="G137" s="87">
        <f>'ERROR FINAL'!AS140</f>
        <v>-100</v>
      </c>
      <c r="H137" s="88" t="str">
        <f>IF('ERROR FINAL'!AT140="CONFORME","CONFORME","NO CONFORME")</f>
        <v>NO CONFORME</v>
      </c>
      <c r="I137" s="89" t="str">
        <f t="shared" si="2"/>
        <v>Medición</v>
      </c>
    </row>
    <row r="138" spans="1:9" x14ac:dyDescent="0.2">
      <c r="A138" s="82">
        <f>'ERROR FINAL'!A141</f>
        <v>133</v>
      </c>
      <c r="B138" s="83">
        <f>'ERROR FINAL'!D141</f>
        <v>6</v>
      </c>
      <c r="C138" s="84">
        <f>'ERROR FINAL'!G141</f>
        <v>0</v>
      </c>
      <c r="D138" s="85">
        <f>'ERROR FINAL'!I141</f>
        <v>0</v>
      </c>
      <c r="E138" s="86">
        <f>'ERROR FINAL'!U141</f>
        <v>-100</v>
      </c>
      <c r="F138" s="87">
        <f>'ERROR FINAL'!AG141</f>
        <v>-100</v>
      </c>
      <c r="G138" s="87">
        <f>'ERROR FINAL'!AS141</f>
        <v>-100</v>
      </c>
      <c r="H138" s="88" t="str">
        <f>IF('ERROR FINAL'!AT141="CONFORME","CONFORME","NO CONFORME")</f>
        <v>NO CONFORME</v>
      </c>
      <c r="I138" s="89" t="str">
        <f t="shared" si="2"/>
        <v>Medición</v>
      </c>
    </row>
    <row r="139" spans="1:9" x14ac:dyDescent="0.2">
      <c r="A139" s="82">
        <f>'ERROR FINAL'!A142</f>
        <v>134</v>
      </c>
      <c r="B139" s="83">
        <f>'ERROR FINAL'!D142</f>
        <v>6</v>
      </c>
      <c r="C139" s="84">
        <f>'ERROR FINAL'!G142</f>
        <v>0</v>
      </c>
      <c r="D139" s="85">
        <f>'ERROR FINAL'!I142</f>
        <v>0</v>
      </c>
      <c r="E139" s="86">
        <f>'ERROR FINAL'!U142</f>
        <v>-100</v>
      </c>
      <c r="F139" s="87">
        <f>'ERROR FINAL'!AG142</f>
        <v>-100</v>
      </c>
      <c r="G139" s="87">
        <f>'ERROR FINAL'!AS142</f>
        <v>-100</v>
      </c>
      <c r="H139" s="88" t="str">
        <f>IF('ERROR FINAL'!AT142="CONFORME","CONFORME","NO CONFORME")</f>
        <v>NO CONFORME</v>
      </c>
      <c r="I139" s="89" t="str">
        <f t="shared" si="2"/>
        <v>Medición</v>
      </c>
    </row>
    <row r="140" spans="1:9" x14ac:dyDescent="0.2">
      <c r="A140" s="82">
        <f>'ERROR FINAL'!A143</f>
        <v>135</v>
      </c>
      <c r="B140" s="83">
        <f>'ERROR FINAL'!D143</f>
        <v>6</v>
      </c>
      <c r="C140" s="84">
        <f>'ERROR FINAL'!G143</f>
        <v>0</v>
      </c>
      <c r="D140" s="85">
        <f>'ERROR FINAL'!I143</f>
        <v>0</v>
      </c>
      <c r="E140" s="86">
        <f>'ERROR FINAL'!U143</f>
        <v>-100</v>
      </c>
      <c r="F140" s="87">
        <f>'ERROR FINAL'!AG143</f>
        <v>-100</v>
      </c>
      <c r="G140" s="87">
        <f>'ERROR FINAL'!AS143</f>
        <v>-100</v>
      </c>
      <c r="H140" s="88" t="str">
        <f>IF('ERROR FINAL'!AT143="CONFORME","CONFORME","NO CONFORME")</f>
        <v>NO CONFORME</v>
      </c>
      <c r="I140" s="89" t="str">
        <f t="shared" si="2"/>
        <v>Medición</v>
      </c>
    </row>
    <row r="141" spans="1:9" x14ac:dyDescent="0.2">
      <c r="A141" s="82">
        <f>'ERROR FINAL'!A144</f>
        <v>136</v>
      </c>
      <c r="B141" s="83">
        <f>'ERROR FINAL'!D144</f>
        <v>6</v>
      </c>
      <c r="C141" s="84">
        <f>'ERROR FINAL'!G144</f>
        <v>0</v>
      </c>
      <c r="D141" s="85">
        <f>'ERROR FINAL'!I144</f>
        <v>0</v>
      </c>
      <c r="E141" s="86">
        <f>'ERROR FINAL'!U144</f>
        <v>-100</v>
      </c>
      <c r="F141" s="87">
        <f>'ERROR FINAL'!AG144</f>
        <v>-100</v>
      </c>
      <c r="G141" s="87">
        <f>'ERROR FINAL'!AS144</f>
        <v>-100</v>
      </c>
      <c r="H141" s="88" t="str">
        <f>IF('ERROR FINAL'!AT144="CONFORME","CONFORME","NO CONFORME")</f>
        <v>NO CONFORME</v>
      </c>
      <c r="I141" s="89" t="str">
        <f t="shared" si="2"/>
        <v>Medición</v>
      </c>
    </row>
    <row r="142" spans="1:9" x14ac:dyDescent="0.2">
      <c r="A142" s="82">
        <f>'ERROR FINAL'!A145</f>
        <v>137</v>
      </c>
      <c r="B142" s="83">
        <f>'ERROR FINAL'!D145</f>
        <v>6</v>
      </c>
      <c r="C142" s="84">
        <f>'ERROR FINAL'!G145</f>
        <v>0</v>
      </c>
      <c r="D142" s="85">
        <f>'ERROR FINAL'!I145</f>
        <v>0</v>
      </c>
      <c r="E142" s="86">
        <f>'ERROR FINAL'!U145</f>
        <v>-100</v>
      </c>
      <c r="F142" s="87">
        <f>'ERROR FINAL'!AG145</f>
        <v>-100</v>
      </c>
      <c r="G142" s="87">
        <f>'ERROR FINAL'!AS145</f>
        <v>-100</v>
      </c>
      <c r="H142" s="88" t="str">
        <f>IF('ERROR FINAL'!AT145="CONFORME","CONFORME","NO CONFORME")</f>
        <v>NO CONFORME</v>
      </c>
      <c r="I142" s="89" t="str">
        <f t="shared" si="2"/>
        <v>Medición</v>
      </c>
    </row>
    <row r="143" spans="1:9" x14ac:dyDescent="0.2">
      <c r="A143" s="82">
        <f>'ERROR FINAL'!A146</f>
        <v>138</v>
      </c>
      <c r="B143" s="83">
        <f>'ERROR FINAL'!D146</f>
        <v>6</v>
      </c>
      <c r="C143" s="84">
        <f>'ERROR FINAL'!G146</f>
        <v>0</v>
      </c>
      <c r="D143" s="85">
        <f>'ERROR FINAL'!I146</f>
        <v>0</v>
      </c>
      <c r="E143" s="86">
        <f>'ERROR FINAL'!U146</f>
        <v>-100</v>
      </c>
      <c r="F143" s="87">
        <f>'ERROR FINAL'!AG146</f>
        <v>-100</v>
      </c>
      <c r="G143" s="87">
        <f>'ERROR FINAL'!AS146</f>
        <v>-100</v>
      </c>
      <c r="H143" s="88" t="str">
        <f>IF('ERROR FINAL'!AT146="CONFORME","CONFORME","NO CONFORME")</f>
        <v>NO CONFORME</v>
      </c>
      <c r="I143" s="89" t="str">
        <f t="shared" si="2"/>
        <v>Medición</v>
      </c>
    </row>
    <row r="144" spans="1:9" x14ac:dyDescent="0.2">
      <c r="A144" s="82">
        <f>'ERROR FINAL'!A147</f>
        <v>139</v>
      </c>
      <c r="B144" s="83">
        <f>'ERROR FINAL'!D147</f>
        <v>6</v>
      </c>
      <c r="C144" s="84">
        <f>'ERROR FINAL'!G147</f>
        <v>0</v>
      </c>
      <c r="D144" s="85">
        <f>'ERROR FINAL'!I147</f>
        <v>0</v>
      </c>
      <c r="E144" s="86">
        <f>'ERROR FINAL'!U147</f>
        <v>-100</v>
      </c>
      <c r="F144" s="87">
        <f>'ERROR FINAL'!AG147</f>
        <v>-100</v>
      </c>
      <c r="G144" s="87">
        <f>'ERROR FINAL'!AS147</f>
        <v>-100</v>
      </c>
      <c r="H144" s="88" t="str">
        <f>IF('ERROR FINAL'!AT147="CONFORME","CONFORME","NO CONFORME")</f>
        <v>NO CONFORME</v>
      </c>
      <c r="I144" s="89" t="str">
        <f t="shared" si="2"/>
        <v>Medición</v>
      </c>
    </row>
    <row r="145" spans="1:9" x14ac:dyDescent="0.2">
      <c r="A145" s="82">
        <f>'ERROR FINAL'!A148</f>
        <v>140</v>
      </c>
      <c r="B145" s="83">
        <f>'ERROR FINAL'!D148</f>
        <v>6</v>
      </c>
      <c r="C145" s="84">
        <f>'ERROR FINAL'!G148</f>
        <v>0</v>
      </c>
      <c r="D145" s="85">
        <f>'ERROR FINAL'!I148</f>
        <v>0</v>
      </c>
      <c r="E145" s="86">
        <f>'ERROR FINAL'!U148</f>
        <v>-100</v>
      </c>
      <c r="F145" s="87">
        <f>'ERROR FINAL'!AG148</f>
        <v>-100</v>
      </c>
      <c r="G145" s="87">
        <f>'ERROR FINAL'!AS148</f>
        <v>-100</v>
      </c>
      <c r="H145" s="88" t="str">
        <f>IF('ERROR FINAL'!AT148="CONFORME","CONFORME","NO CONFORME")</f>
        <v>NO CONFORME</v>
      </c>
      <c r="I145" s="89" t="str">
        <f t="shared" si="2"/>
        <v>Medición</v>
      </c>
    </row>
    <row r="146" spans="1:9" x14ac:dyDescent="0.2">
      <c r="A146" s="82">
        <f>'ERROR FINAL'!A149</f>
        <v>141</v>
      </c>
      <c r="B146" s="83">
        <f>'ERROR FINAL'!D149</f>
        <v>6</v>
      </c>
      <c r="C146" s="84">
        <f>'ERROR FINAL'!G149</f>
        <v>0</v>
      </c>
      <c r="D146" s="85">
        <f>'ERROR FINAL'!I149</f>
        <v>0</v>
      </c>
      <c r="E146" s="86">
        <f>'ERROR FINAL'!U149</f>
        <v>-100</v>
      </c>
      <c r="F146" s="87">
        <f>'ERROR FINAL'!AG149</f>
        <v>-100</v>
      </c>
      <c r="G146" s="87">
        <f>'ERROR FINAL'!AS149</f>
        <v>-100</v>
      </c>
      <c r="H146" s="88" t="str">
        <f>IF('ERROR FINAL'!AT149="CONFORME","CONFORME","NO CONFORME")</f>
        <v>NO CONFORME</v>
      </c>
      <c r="I146" s="89" t="str">
        <f t="shared" si="2"/>
        <v>Medición</v>
      </c>
    </row>
    <row r="147" spans="1:9" x14ac:dyDescent="0.2">
      <c r="A147" s="82">
        <f>'ERROR FINAL'!A150</f>
        <v>142</v>
      </c>
      <c r="B147" s="83">
        <f>'ERROR FINAL'!D150</f>
        <v>6</v>
      </c>
      <c r="C147" s="84">
        <f>'ERROR FINAL'!G150</f>
        <v>0</v>
      </c>
      <c r="D147" s="85">
        <f>'ERROR FINAL'!I150</f>
        <v>0</v>
      </c>
      <c r="E147" s="86">
        <f>'ERROR FINAL'!U150</f>
        <v>-100</v>
      </c>
      <c r="F147" s="87">
        <f>'ERROR FINAL'!AG150</f>
        <v>-100</v>
      </c>
      <c r="G147" s="87">
        <f>'ERROR FINAL'!AS150</f>
        <v>-100</v>
      </c>
      <c r="H147" s="88" t="str">
        <f>IF('ERROR FINAL'!AT150="CONFORME","CONFORME","NO CONFORME")</f>
        <v>NO CONFORME</v>
      </c>
      <c r="I147" s="89" t="str">
        <f t="shared" si="2"/>
        <v>Medición</v>
      </c>
    </row>
    <row r="148" spans="1:9" x14ac:dyDescent="0.2">
      <c r="A148" s="82">
        <f>'ERROR FINAL'!A151</f>
        <v>143</v>
      </c>
      <c r="B148" s="83">
        <f>'ERROR FINAL'!D151</f>
        <v>6</v>
      </c>
      <c r="C148" s="84">
        <f>'ERROR FINAL'!G151</f>
        <v>0</v>
      </c>
      <c r="D148" s="85">
        <f>'ERROR FINAL'!I151</f>
        <v>0</v>
      </c>
      <c r="E148" s="86">
        <f>'ERROR FINAL'!U151</f>
        <v>-100</v>
      </c>
      <c r="F148" s="87">
        <f>'ERROR FINAL'!AG151</f>
        <v>-100</v>
      </c>
      <c r="G148" s="87">
        <f>'ERROR FINAL'!AS151</f>
        <v>-100</v>
      </c>
      <c r="H148" s="88" t="str">
        <f>IF('ERROR FINAL'!AT151="CONFORME","CONFORME","NO CONFORME")</f>
        <v>NO CONFORME</v>
      </c>
      <c r="I148" s="89" t="str">
        <f t="shared" si="2"/>
        <v>Medición</v>
      </c>
    </row>
    <row r="149" spans="1:9" x14ac:dyDescent="0.2">
      <c r="A149" s="82">
        <f>'ERROR FINAL'!A152</f>
        <v>144</v>
      </c>
      <c r="B149" s="83">
        <f>'ERROR FINAL'!D152</f>
        <v>6</v>
      </c>
      <c r="C149" s="84">
        <f>'ERROR FINAL'!G152</f>
        <v>0</v>
      </c>
      <c r="D149" s="85">
        <f>'ERROR FINAL'!I152</f>
        <v>0</v>
      </c>
      <c r="E149" s="86">
        <f>'ERROR FINAL'!U152</f>
        <v>-100</v>
      </c>
      <c r="F149" s="87">
        <f>'ERROR FINAL'!AG152</f>
        <v>-100</v>
      </c>
      <c r="G149" s="87">
        <f>'ERROR FINAL'!AS152</f>
        <v>-100</v>
      </c>
      <c r="H149" s="88" t="str">
        <f>IF('ERROR FINAL'!AT152="CONFORME","CONFORME","NO CONFORME")</f>
        <v>NO CONFORME</v>
      </c>
      <c r="I149" s="89" t="str">
        <f t="shared" si="2"/>
        <v>Medición</v>
      </c>
    </row>
    <row r="150" spans="1:9" x14ac:dyDescent="0.2">
      <c r="A150" s="82">
        <f>'ERROR FINAL'!A153</f>
        <v>145</v>
      </c>
      <c r="B150" s="83">
        <f>'ERROR FINAL'!D153</f>
        <v>6</v>
      </c>
      <c r="C150" s="84">
        <f>'ERROR FINAL'!G153</f>
        <v>0</v>
      </c>
      <c r="D150" s="85">
        <f>'ERROR FINAL'!I153</f>
        <v>0</v>
      </c>
      <c r="E150" s="86">
        <f>'ERROR FINAL'!U153</f>
        <v>-100</v>
      </c>
      <c r="F150" s="87">
        <f>'ERROR FINAL'!AG153</f>
        <v>-100</v>
      </c>
      <c r="G150" s="87">
        <f>'ERROR FINAL'!AS153</f>
        <v>-100</v>
      </c>
      <c r="H150" s="88" t="str">
        <f>IF('ERROR FINAL'!AT153="CONFORME","CONFORME","NO CONFORME")</f>
        <v>NO CONFORME</v>
      </c>
      <c r="I150" s="89" t="str">
        <f t="shared" si="2"/>
        <v>Medición</v>
      </c>
    </row>
    <row r="151" spans="1:9" x14ac:dyDescent="0.2">
      <c r="A151" s="82">
        <f>'ERROR FINAL'!A154</f>
        <v>146</v>
      </c>
      <c r="B151" s="83">
        <f>'ERROR FINAL'!D154</f>
        <v>6</v>
      </c>
      <c r="C151" s="84">
        <f>'ERROR FINAL'!G154</f>
        <v>0</v>
      </c>
      <c r="D151" s="85">
        <f>'ERROR FINAL'!I154</f>
        <v>0</v>
      </c>
      <c r="E151" s="86">
        <f>'ERROR FINAL'!U154</f>
        <v>-100</v>
      </c>
      <c r="F151" s="87">
        <f>'ERROR FINAL'!AG154</f>
        <v>-100</v>
      </c>
      <c r="G151" s="87">
        <f>'ERROR FINAL'!AS154</f>
        <v>-100</v>
      </c>
      <c r="H151" s="88" t="str">
        <f>IF('ERROR FINAL'!AT154="CONFORME","CONFORME","NO CONFORME")</f>
        <v>NO CONFORME</v>
      </c>
      <c r="I151" s="89" t="str">
        <f t="shared" si="2"/>
        <v>Medición</v>
      </c>
    </row>
    <row r="152" spans="1:9" x14ac:dyDescent="0.2">
      <c r="A152" s="82">
        <f>'ERROR FINAL'!A155</f>
        <v>147</v>
      </c>
      <c r="B152" s="83">
        <f>'ERROR FINAL'!D155</f>
        <v>6</v>
      </c>
      <c r="C152" s="84">
        <f>'ERROR FINAL'!G155</f>
        <v>0</v>
      </c>
      <c r="D152" s="85">
        <f>'ERROR FINAL'!I155</f>
        <v>0</v>
      </c>
      <c r="E152" s="86">
        <f>'ERROR FINAL'!U155</f>
        <v>-100</v>
      </c>
      <c r="F152" s="87">
        <f>'ERROR FINAL'!AG155</f>
        <v>-100</v>
      </c>
      <c r="G152" s="87">
        <f>'ERROR FINAL'!AS155</f>
        <v>-100</v>
      </c>
      <c r="H152" s="88" t="str">
        <f>IF('ERROR FINAL'!AT155="CONFORME","CONFORME","NO CONFORME")</f>
        <v>NO CONFORME</v>
      </c>
      <c r="I152" s="89" t="str">
        <f t="shared" si="2"/>
        <v>Medición</v>
      </c>
    </row>
    <row r="153" spans="1:9" x14ac:dyDescent="0.2">
      <c r="A153" s="82">
        <f>'ERROR FINAL'!A156</f>
        <v>148</v>
      </c>
      <c r="B153" s="83">
        <f>'ERROR FINAL'!D156</f>
        <v>6</v>
      </c>
      <c r="C153" s="84">
        <f>'ERROR FINAL'!G156</f>
        <v>0</v>
      </c>
      <c r="D153" s="85">
        <f>'ERROR FINAL'!I156</f>
        <v>0</v>
      </c>
      <c r="E153" s="86">
        <f>'ERROR FINAL'!U156</f>
        <v>-100</v>
      </c>
      <c r="F153" s="87">
        <f>'ERROR FINAL'!AG156</f>
        <v>-100</v>
      </c>
      <c r="G153" s="87">
        <f>'ERROR FINAL'!AS156</f>
        <v>-100</v>
      </c>
      <c r="H153" s="88" t="str">
        <f>IF('ERROR FINAL'!AT156="CONFORME","CONFORME","NO CONFORME")</f>
        <v>NO CONFORME</v>
      </c>
      <c r="I153" s="89" t="str">
        <f t="shared" si="2"/>
        <v>Medición</v>
      </c>
    </row>
    <row r="154" spans="1:9" x14ac:dyDescent="0.2">
      <c r="A154" s="82">
        <f>'ERROR FINAL'!A157</f>
        <v>149</v>
      </c>
      <c r="B154" s="83">
        <f>'ERROR FINAL'!D157</f>
        <v>6</v>
      </c>
      <c r="C154" s="84">
        <f>'ERROR FINAL'!G157</f>
        <v>0</v>
      </c>
      <c r="D154" s="85">
        <f>'ERROR FINAL'!I157</f>
        <v>0</v>
      </c>
      <c r="E154" s="86">
        <f>'ERROR FINAL'!U157</f>
        <v>-100</v>
      </c>
      <c r="F154" s="87">
        <f>'ERROR FINAL'!AG157</f>
        <v>-100</v>
      </c>
      <c r="G154" s="87">
        <f>'ERROR FINAL'!AS157</f>
        <v>-100</v>
      </c>
      <c r="H154" s="88" t="str">
        <f>IF('ERROR FINAL'!AT157="CONFORME","CONFORME","NO CONFORME")</f>
        <v>NO CONFORME</v>
      </c>
      <c r="I154" s="89" t="str">
        <f t="shared" si="2"/>
        <v>Medición</v>
      </c>
    </row>
    <row r="155" spans="1:9" x14ac:dyDescent="0.2">
      <c r="A155" s="82">
        <f>'ERROR FINAL'!A158</f>
        <v>150</v>
      </c>
      <c r="B155" s="83">
        <f>'ERROR FINAL'!D158</f>
        <v>6</v>
      </c>
      <c r="C155" s="84">
        <f>'ERROR FINAL'!G158</f>
        <v>0</v>
      </c>
      <c r="D155" s="85">
        <f>'ERROR FINAL'!I158</f>
        <v>0</v>
      </c>
      <c r="E155" s="86">
        <f>'ERROR FINAL'!U158</f>
        <v>-100</v>
      </c>
      <c r="F155" s="87">
        <f>'ERROR FINAL'!AG158</f>
        <v>-100</v>
      </c>
      <c r="G155" s="87">
        <f>'ERROR FINAL'!AS158</f>
        <v>-100</v>
      </c>
      <c r="H155" s="88" t="str">
        <f>IF('ERROR FINAL'!AT158="CONFORME","CONFORME","NO CONFORME")</f>
        <v>NO CONFORME</v>
      </c>
      <c r="I155" s="89" t="str">
        <f t="shared" si="2"/>
        <v>Medición</v>
      </c>
    </row>
    <row r="156" spans="1:9" x14ac:dyDescent="0.2">
      <c r="A156" s="82">
        <f>'ERROR FINAL'!A159</f>
        <v>151</v>
      </c>
      <c r="B156" s="83">
        <f>'ERROR FINAL'!D159</f>
        <v>6</v>
      </c>
      <c r="C156" s="84">
        <f>'ERROR FINAL'!G159</f>
        <v>0</v>
      </c>
      <c r="D156" s="85">
        <f>'ERROR FINAL'!I159</f>
        <v>0</v>
      </c>
      <c r="E156" s="86">
        <f>'ERROR FINAL'!U159</f>
        <v>-100</v>
      </c>
      <c r="F156" s="87">
        <f>'ERROR FINAL'!AG159</f>
        <v>-100</v>
      </c>
      <c r="G156" s="87">
        <f>'ERROR FINAL'!AS159</f>
        <v>-100</v>
      </c>
      <c r="H156" s="88" t="str">
        <f>IF('ERROR FINAL'!AT159="CONFORME","CONFORME","NO CONFORME")</f>
        <v>NO CONFORME</v>
      </c>
      <c r="I156" s="89" t="str">
        <f t="shared" si="2"/>
        <v>Medición</v>
      </c>
    </row>
    <row r="157" spans="1:9" x14ac:dyDescent="0.2">
      <c r="A157" s="82">
        <f>'ERROR FINAL'!A160</f>
        <v>152</v>
      </c>
      <c r="B157" s="83">
        <f>'ERROR FINAL'!D160</f>
        <v>6</v>
      </c>
      <c r="C157" s="84">
        <f>'ERROR FINAL'!G160</f>
        <v>0</v>
      </c>
      <c r="D157" s="85">
        <f>'ERROR FINAL'!I160</f>
        <v>0</v>
      </c>
      <c r="E157" s="86">
        <f>'ERROR FINAL'!U160</f>
        <v>-100</v>
      </c>
      <c r="F157" s="87">
        <f>'ERROR FINAL'!AG160</f>
        <v>-100</v>
      </c>
      <c r="G157" s="87">
        <f>'ERROR FINAL'!AS160</f>
        <v>-100</v>
      </c>
      <c r="H157" s="88" t="str">
        <f>IF('ERROR FINAL'!AT160="CONFORME","CONFORME","NO CONFORME")</f>
        <v>NO CONFORME</v>
      </c>
      <c r="I157" s="89" t="str">
        <f t="shared" si="2"/>
        <v>Medición</v>
      </c>
    </row>
    <row r="158" spans="1:9" x14ac:dyDescent="0.2">
      <c r="A158" s="82">
        <f>'ERROR FINAL'!A161</f>
        <v>153</v>
      </c>
      <c r="B158" s="83">
        <f>'ERROR FINAL'!D161</f>
        <v>6</v>
      </c>
      <c r="C158" s="84">
        <f>'ERROR FINAL'!G161</f>
        <v>0</v>
      </c>
      <c r="D158" s="85">
        <f>'ERROR FINAL'!I161</f>
        <v>0</v>
      </c>
      <c r="E158" s="86">
        <f>'ERROR FINAL'!U161</f>
        <v>-100</v>
      </c>
      <c r="F158" s="87">
        <f>'ERROR FINAL'!AG161</f>
        <v>-100</v>
      </c>
      <c r="G158" s="87">
        <f>'ERROR FINAL'!AS161</f>
        <v>-100</v>
      </c>
      <c r="H158" s="88" t="str">
        <f>IF('ERROR FINAL'!AT161="CONFORME","CONFORME","NO CONFORME")</f>
        <v>NO CONFORME</v>
      </c>
      <c r="I158" s="89" t="str">
        <f t="shared" si="2"/>
        <v>Medición</v>
      </c>
    </row>
    <row r="159" spans="1:9" x14ac:dyDescent="0.2">
      <c r="A159" s="82">
        <f>'ERROR FINAL'!A162</f>
        <v>154</v>
      </c>
      <c r="B159" s="83">
        <f>'ERROR FINAL'!D162</f>
        <v>6</v>
      </c>
      <c r="C159" s="84">
        <f>'ERROR FINAL'!G162</f>
        <v>0</v>
      </c>
      <c r="D159" s="85">
        <f>'ERROR FINAL'!I162</f>
        <v>0</v>
      </c>
      <c r="E159" s="86">
        <f>'ERROR FINAL'!U162</f>
        <v>-100</v>
      </c>
      <c r="F159" s="87">
        <f>'ERROR FINAL'!AG162</f>
        <v>-100</v>
      </c>
      <c r="G159" s="87">
        <f>'ERROR FINAL'!AS162</f>
        <v>-100</v>
      </c>
      <c r="H159" s="88" t="str">
        <f>IF('ERROR FINAL'!AT162="CONFORME","CONFORME","NO CONFORME")</f>
        <v>NO CONFORME</v>
      </c>
      <c r="I159" s="89" t="str">
        <f t="shared" si="2"/>
        <v>Medición</v>
      </c>
    </row>
    <row r="160" spans="1:9" x14ac:dyDescent="0.2">
      <c r="A160" s="82">
        <f>'ERROR FINAL'!A163</f>
        <v>155</v>
      </c>
      <c r="B160" s="83">
        <f>'ERROR FINAL'!D163</f>
        <v>6</v>
      </c>
      <c r="C160" s="84">
        <f>'ERROR FINAL'!G163</f>
        <v>0</v>
      </c>
      <c r="D160" s="85">
        <f>'ERROR FINAL'!I163</f>
        <v>0</v>
      </c>
      <c r="E160" s="86">
        <f>'ERROR FINAL'!U163</f>
        <v>-100</v>
      </c>
      <c r="F160" s="87">
        <f>'ERROR FINAL'!AG163</f>
        <v>-100</v>
      </c>
      <c r="G160" s="87">
        <f>'ERROR FINAL'!AS163</f>
        <v>-100</v>
      </c>
      <c r="H160" s="88" t="str">
        <f>IF('ERROR FINAL'!AT163="CONFORME","CONFORME","NO CONFORME")</f>
        <v>NO CONFORME</v>
      </c>
      <c r="I160" s="89" t="str">
        <f t="shared" si="2"/>
        <v>Medición</v>
      </c>
    </row>
    <row r="161" spans="1:9" x14ac:dyDescent="0.2">
      <c r="A161" s="82">
        <f>'ERROR FINAL'!A164</f>
        <v>156</v>
      </c>
      <c r="B161" s="83">
        <f>'ERROR FINAL'!D164</f>
        <v>6</v>
      </c>
      <c r="C161" s="84">
        <f>'ERROR FINAL'!G164</f>
        <v>0</v>
      </c>
      <c r="D161" s="85">
        <f>'ERROR FINAL'!I164</f>
        <v>0</v>
      </c>
      <c r="E161" s="86">
        <f>'ERROR FINAL'!U164</f>
        <v>-100</v>
      </c>
      <c r="F161" s="87">
        <f>'ERROR FINAL'!AG164</f>
        <v>-100</v>
      </c>
      <c r="G161" s="87">
        <f>'ERROR FINAL'!AS164</f>
        <v>-100</v>
      </c>
      <c r="H161" s="88" t="str">
        <f>IF('ERROR FINAL'!AT164="CONFORME","CONFORME","NO CONFORME")</f>
        <v>NO CONFORME</v>
      </c>
      <c r="I161" s="89" t="str">
        <f t="shared" si="2"/>
        <v>Medición</v>
      </c>
    </row>
    <row r="162" spans="1:9" x14ac:dyDescent="0.2">
      <c r="A162" s="82">
        <f>'ERROR FINAL'!A165</f>
        <v>157</v>
      </c>
      <c r="B162" s="83">
        <f>'ERROR FINAL'!D165</f>
        <v>6</v>
      </c>
      <c r="C162" s="84">
        <f>'ERROR FINAL'!G165</f>
        <v>0</v>
      </c>
      <c r="D162" s="85">
        <f>'ERROR FINAL'!I165</f>
        <v>0</v>
      </c>
      <c r="E162" s="86">
        <f>'ERROR FINAL'!U165</f>
        <v>-100</v>
      </c>
      <c r="F162" s="87">
        <f>'ERROR FINAL'!AG165</f>
        <v>-100</v>
      </c>
      <c r="G162" s="87">
        <f>'ERROR FINAL'!AS165</f>
        <v>-100</v>
      </c>
      <c r="H162" s="88" t="str">
        <f>IF('ERROR FINAL'!AT165="CONFORME","CONFORME","NO CONFORME")</f>
        <v>NO CONFORME</v>
      </c>
      <c r="I162" s="89" t="str">
        <f t="shared" si="2"/>
        <v>Medición</v>
      </c>
    </row>
    <row r="163" spans="1:9" x14ac:dyDescent="0.2">
      <c r="A163" s="82">
        <f>'ERROR FINAL'!A166</f>
        <v>158</v>
      </c>
      <c r="B163" s="83">
        <f>'ERROR FINAL'!D166</f>
        <v>6</v>
      </c>
      <c r="C163" s="84">
        <f>'ERROR FINAL'!G166</f>
        <v>0</v>
      </c>
      <c r="D163" s="85">
        <f>'ERROR FINAL'!I166</f>
        <v>0</v>
      </c>
      <c r="E163" s="86">
        <f>'ERROR FINAL'!U166</f>
        <v>-100</v>
      </c>
      <c r="F163" s="87">
        <f>'ERROR FINAL'!AG166</f>
        <v>-100</v>
      </c>
      <c r="G163" s="87">
        <f>'ERROR FINAL'!AS166</f>
        <v>-100</v>
      </c>
      <c r="H163" s="88" t="str">
        <f>IF('ERROR FINAL'!AT166="CONFORME","CONFORME","NO CONFORME")</f>
        <v>NO CONFORME</v>
      </c>
      <c r="I163" s="89" t="str">
        <f t="shared" si="2"/>
        <v>Medición</v>
      </c>
    </row>
    <row r="164" spans="1:9" x14ac:dyDescent="0.2">
      <c r="A164" s="82">
        <f>'ERROR FINAL'!A167</f>
        <v>159</v>
      </c>
      <c r="B164" s="83">
        <f>'ERROR FINAL'!D167</f>
        <v>6</v>
      </c>
      <c r="C164" s="84">
        <f>'ERROR FINAL'!G167</f>
        <v>0</v>
      </c>
      <c r="D164" s="85">
        <f>'ERROR FINAL'!I167</f>
        <v>0</v>
      </c>
      <c r="E164" s="86">
        <f>'ERROR FINAL'!U167</f>
        <v>-100</v>
      </c>
      <c r="F164" s="87">
        <f>'ERROR FINAL'!AG167</f>
        <v>-100</v>
      </c>
      <c r="G164" s="87">
        <f>'ERROR FINAL'!AS167</f>
        <v>-100</v>
      </c>
      <c r="H164" s="88" t="str">
        <f>IF('ERROR FINAL'!AT167="CONFORME","CONFORME","NO CONFORME")</f>
        <v>NO CONFORME</v>
      </c>
      <c r="I164" s="89" t="str">
        <f t="shared" si="2"/>
        <v>Medición</v>
      </c>
    </row>
    <row r="165" spans="1:9" x14ac:dyDescent="0.2">
      <c r="A165" s="82">
        <f>'ERROR FINAL'!A168</f>
        <v>160</v>
      </c>
      <c r="B165" s="83">
        <f>'ERROR FINAL'!D168</f>
        <v>6</v>
      </c>
      <c r="C165" s="84">
        <f>'ERROR FINAL'!G168</f>
        <v>0</v>
      </c>
      <c r="D165" s="85">
        <f>'ERROR FINAL'!I168</f>
        <v>0</v>
      </c>
      <c r="E165" s="86">
        <f>'ERROR FINAL'!U168</f>
        <v>-100</v>
      </c>
      <c r="F165" s="87">
        <f>'ERROR FINAL'!AG168</f>
        <v>-100</v>
      </c>
      <c r="G165" s="87">
        <f>'ERROR FINAL'!AS168</f>
        <v>-100</v>
      </c>
      <c r="H165" s="88" t="str">
        <f>IF('ERROR FINAL'!AT168="CONFORME","CONFORME","NO CONFORME")</f>
        <v>NO CONFORME</v>
      </c>
      <c r="I165" s="89" t="str">
        <f t="shared" si="2"/>
        <v>Medición</v>
      </c>
    </row>
    <row r="166" spans="1:9" x14ac:dyDescent="0.2">
      <c r="A166" s="82">
        <f>'ERROR FINAL'!A169</f>
        <v>161</v>
      </c>
      <c r="B166" s="83">
        <f>'ERROR FINAL'!D169</f>
        <v>6</v>
      </c>
      <c r="C166" s="84">
        <f>'ERROR FINAL'!G169</f>
        <v>0</v>
      </c>
      <c r="D166" s="85">
        <f>'ERROR FINAL'!I169</f>
        <v>0</v>
      </c>
      <c r="E166" s="86">
        <f>'ERROR FINAL'!U169</f>
        <v>-100</v>
      </c>
      <c r="F166" s="87">
        <f>'ERROR FINAL'!AG169</f>
        <v>-100</v>
      </c>
      <c r="G166" s="87">
        <f>'ERROR FINAL'!AS169</f>
        <v>-100</v>
      </c>
      <c r="H166" s="88" t="str">
        <f>IF('ERROR FINAL'!AT169="CONFORME","CONFORME","NO CONFORME")</f>
        <v>NO CONFORME</v>
      </c>
      <c r="I166" s="89" t="str">
        <f t="shared" si="2"/>
        <v>Medición</v>
      </c>
    </row>
    <row r="167" spans="1:9" x14ac:dyDescent="0.2">
      <c r="A167" s="82">
        <f>'ERROR FINAL'!A170</f>
        <v>162</v>
      </c>
      <c r="B167" s="83">
        <f>'ERROR FINAL'!D170</f>
        <v>6</v>
      </c>
      <c r="C167" s="84">
        <f>'ERROR FINAL'!G170</f>
        <v>0</v>
      </c>
      <c r="D167" s="85">
        <f>'ERROR FINAL'!I170</f>
        <v>0</v>
      </c>
      <c r="E167" s="86">
        <f>'ERROR FINAL'!U170</f>
        <v>-100</v>
      </c>
      <c r="F167" s="87">
        <f>'ERROR FINAL'!AG170</f>
        <v>-100</v>
      </c>
      <c r="G167" s="87">
        <f>'ERROR FINAL'!AS170</f>
        <v>-100</v>
      </c>
      <c r="H167" s="88" t="str">
        <f>IF('ERROR FINAL'!AT170="CONFORME","CONFORME","NO CONFORME")</f>
        <v>NO CONFORME</v>
      </c>
      <c r="I167" s="89" t="str">
        <f t="shared" si="2"/>
        <v>Medición</v>
      </c>
    </row>
    <row r="168" spans="1:9" x14ac:dyDescent="0.2">
      <c r="A168" s="82">
        <f>'ERROR FINAL'!A171</f>
        <v>163</v>
      </c>
      <c r="B168" s="83">
        <f>'ERROR FINAL'!D171</f>
        <v>6</v>
      </c>
      <c r="C168" s="84">
        <f>'ERROR FINAL'!G171</f>
        <v>0</v>
      </c>
      <c r="D168" s="85">
        <f>'ERROR FINAL'!I171</f>
        <v>0</v>
      </c>
      <c r="E168" s="86">
        <f>'ERROR FINAL'!U171</f>
        <v>-100</v>
      </c>
      <c r="F168" s="87">
        <f>'ERROR FINAL'!AG171</f>
        <v>-100</v>
      </c>
      <c r="G168" s="87">
        <f>'ERROR FINAL'!AS171</f>
        <v>-100</v>
      </c>
      <c r="H168" s="88" t="str">
        <f>IF('ERROR FINAL'!AT171="CONFORME","CONFORME","NO CONFORME")</f>
        <v>NO CONFORME</v>
      </c>
      <c r="I168" s="89" t="str">
        <f t="shared" si="2"/>
        <v>Medición</v>
      </c>
    </row>
    <row r="169" spans="1:9" x14ac:dyDescent="0.2">
      <c r="A169" s="82">
        <f>'ERROR FINAL'!A172</f>
        <v>164</v>
      </c>
      <c r="B169" s="83">
        <f>'ERROR FINAL'!D172</f>
        <v>6</v>
      </c>
      <c r="C169" s="84">
        <f>'ERROR FINAL'!G172</f>
        <v>0</v>
      </c>
      <c r="D169" s="85">
        <f>'ERROR FINAL'!I172</f>
        <v>0</v>
      </c>
      <c r="E169" s="86">
        <f>'ERROR FINAL'!U172</f>
        <v>-100</v>
      </c>
      <c r="F169" s="87">
        <f>'ERROR FINAL'!AG172</f>
        <v>-100</v>
      </c>
      <c r="G169" s="87">
        <f>'ERROR FINAL'!AS172</f>
        <v>-100</v>
      </c>
      <c r="H169" s="88" t="str">
        <f>IF('ERROR FINAL'!AT172="CONFORME","CONFORME","NO CONFORME")</f>
        <v>NO CONFORME</v>
      </c>
      <c r="I169" s="89" t="str">
        <f t="shared" si="2"/>
        <v>Medición</v>
      </c>
    </row>
    <row r="170" spans="1:9" x14ac:dyDescent="0.2">
      <c r="A170" s="82">
        <f>'ERROR FINAL'!A173</f>
        <v>165</v>
      </c>
      <c r="B170" s="83">
        <f>'ERROR FINAL'!D173</f>
        <v>6</v>
      </c>
      <c r="C170" s="84">
        <f>'ERROR FINAL'!G173</f>
        <v>0</v>
      </c>
      <c r="D170" s="85">
        <f>'ERROR FINAL'!I173</f>
        <v>0</v>
      </c>
      <c r="E170" s="86">
        <f>'ERROR FINAL'!U173</f>
        <v>-100</v>
      </c>
      <c r="F170" s="87">
        <f>'ERROR FINAL'!AG173</f>
        <v>-100</v>
      </c>
      <c r="G170" s="87">
        <f>'ERROR FINAL'!AS173</f>
        <v>-100</v>
      </c>
      <c r="H170" s="88" t="str">
        <f>IF('ERROR FINAL'!AT173="CONFORME","CONFORME","NO CONFORME")</f>
        <v>NO CONFORME</v>
      </c>
      <c r="I170" s="89" t="str">
        <f t="shared" si="2"/>
        <v>Medición</v>
      </c>
    </row>
    <row r="171" spans="1:9" x14ac:dyDescent="0.2">
      <c r="A171" s="82">
        <f>'ERROR FINAL'!A174</f>
        <v>166</v>
      </c>
      <c r="B171" s="83">
        <f>'ERROR FINAL'!D174</f>
        <v>6</v>
      </c>
      <c r="C171" s="84">
        <f>'ERROR FINAL'!G174</f>
        <v>0</v>
      </c>
      <c r="D171" s="85">
        <f>'ERROR FINAL'!I174</f>
        <v>0</v>
      </c>
      <c r="E171" s="86">
        <f>'ERROR FINAL'!U174</f>
        <v>-100</v>
      </c>
      <c r="F171" s="87">
        <f>'ERROR FINAL'!AG174</f>
        <v>-100</v>
      </c>
      <c r="G171" s="87">
        <f>'ERROR FINAL'!AS174</f>
        <v>-100</v>
      </c>
      <c r="H171" s="88" t="str">
        <f>IF('ERROR FINAL'!AT174="CONFORME","CONFORME","NO CONFORME")</f>
        <v>NO CONFORME</v>
      </c>
      <c r="I171" s="89" t="str">
        <f t="shared" si="2"/>
        <v>Medición</v>
      </c>
    </row>
    <row r="172" spans="1:9" x14ac:dyDescent="0.2">
      <c r="A172" s="82">
        <f>'ERROR FINAL'!A175</f>
        <v>167</v>
      </c>
      <c r="B172" s="83">
        <f>'ERROR FINAL'!D175</f>
        <v>6</v>
      </c>
      <c r="C172" s="84">
        <f>'ERROR FINAL'!G175</f>
        <v>0</v>
      </c>
      <c r="D172" s="85">
        <f>'ERROR FINAL'!I175</f>
        <v>0</v>
      </c>
      <c r="E172" s="86">
        <f>'ERROR FINAL'!U175</f>
        <v>-100</v>
      </c>
      <c r="F172" s="87">
        <f>'ERROR FINAL'!AG175</f>
        <v>-100</v>
      </c>
      <c r="G172" s="87">
        <f>'ERROR FINAL'!AS175</f>
        <v>-100</v>
      </c>
      <c r="H172" s="88" t="str">
        <f>IF('ERROR FINAL'!AT175="CONFORME","CONFORME","NO CONFORME")</f>
        <v>NO CONFORME</v>
      </c>
      <c r="I172" s="89" t="str">
        <f t="shared" si="2"/>
        <v>Medición</v>
      </c>
    </row>
    <row r="173" spans="1:9" x14ac:dyDescent="0.2">
      <c r="A173" s="82">
        <f>'ERROR FINAL'!A176</f>
        <v>168</v>
      </c>
      <c r="B173" s="83">
        <f>'ERROR FINAL'!D176</f>
        <v>6</v>
      </c>
      <c r="C173" s="84">
        <f>'ERROR FINAL'!G176</f>
        <v>0</v>
      </c>
      <c r="D173" s="85">
        <f>'ERROR FINAL'!I176</f>
        <v>0</v>
      </c>
      <c r="E173" s="86">
        <f>'ERROR FINAL'!U176</f>
        <v>-100</v>
      </c>
      <c r="F173" s="87">
        <f>'ERROR FINAL'!AG176</f>
        <v>-100</v>
      </c>
      <c r="G173" s="87">
        <f>'ERROR FINAL'!AS176</f>
        <v>-100</v>
      </c>
      <c r="H173" s="88" t="str">
        <f>IF('ERROR FINAL'!AT176="CONFORME","CONFORME","NO CONFORME")</f>
        <v>NO CONFORME</v>
      </c>
      <c r="I173" s="89" t="str">
        <f t="shared" si="2"/>
        <v>Medición</v>
      </c>
    </row>
    <row r="174" spans="1:9" x14ac:dyDescent="0.2">
      <c r="A174" s="82">
        <f>'ERROR FINAL'!A177</f>
        <v>169</v>
      </c>
      <c r="B174" s="83">
        <f>'ERROR FINAL'!D177</f>
        <v>6</v>
      </c>
      <c r="C174" s="84">
        <f>'ERROR FINAL'!G177</f>
        <v>0</v>
      </c>
      <c r="D174" s="85">
        <f>'ERROR FINAL'!I177</f>
        <v>0</v>
      </c>
      <c r="E174" s="86">
        <f>'ERROR FINAL'!U177</f>
        <v>-100</v>
      </c>
      <c r="F174" s="87">
        <f>'ERROR FINAL'!AG177</f>
        <v>-100</v>
      </c>
      <c r="G174" s="87">
        <f>'ERROR FINAL'!AS177</f>
        <v>-100</v>
      </c>
      <c r="H174" s="88" t="str">
        <f>IF('ERROR FINAL'!AT177="CONFORME","CONFORME","NO CONFORME")</f>
        <v>NO CONFORME</v>
      </c>
      <c r="I174" s="89" t="str">
        <f t="shared" si="2"/>
        <v>Medición</v>
      </c>
    </row>
    <row r="175" spans="1:9" x14ac:dyDescent="0.2">
      <c r="A175" s="82">
        <f>'ERROR FINAL'!A178</f>
        <v>170</v>
      </c>
      <c r="B175" s="83">
        <f>'ERROR FINAL'!D178</f>
        <v>6</v>
      </c>
      <c r="C175" s="84">
        <f>'ERROR FINAL'!G178</f>
        <v>0</v>
      </c>
      <c r="D175" s="85">
        <f>'ERROR FINAL'!I178</f>
        <v>0</v>
      </c>
      <c r="E175" s="86">
        <f>'ERROR FINAL'!U178</f>
        <v>-100</v>
      </c>
      <c r="F175" s="87">
        <f>'ERROR FINAL'!AG178</f>
        <v>-100</v>
      </c>
      <c r="G175" s="87">
        <f>'ERROR FINAL'!AS178</f>
        <v>-100</v>
      </c>
      <c r="H175" s="88" t="str">
        <f>IF('ERROR FINAL'!AT178="CONFORME","CONFORME","NO CONFORME")</f>
        <v>NO CONFORME</v>
      </c>
      <c r="I175" s="89" t="str">
        <f t="shared" si="2"/>
        <v>Medición</v>
      </c>
    </row>
    <row r="176" spans="1:9" x14ac:dyDescent="0.2">
      <c r="A176" s="82">
        <f>'ERROR FINAL'!A179</f>
        <v>171</v>
      </c>
      <c r="B176" s="83">
        <f>'ERROR FINAL'!D179</f>
        <v>6</v>
      </c>
      <c r="C176" s="84">
        <f>'ERROR FINAL'!G179</f>
        <v>0</v>
      </c>
      <c r="D176" s="85">
        <f>'ERROR FINAL'!I179</f>
        <v>0</v>
      </c>
      <c r="E176" s="86">
        <f>'ERROR FINAL'!U179</f>
        <v>-100</v>
      </c>
      <c r="F176" s="87">
        <f>'ERROR FINAL'!AG179</f>
        <v>-100</v>
      </c>
      <c r="G176" s="87">
        <f>'ERROR FINAL'!AS179</f>
        <v>-100</v>
      </c>
      <c r="H176" s="88" t="str">
        <f>IF('ERROR FINAL'!AT179="CONFORME","CONFORME","NO CONFORME")</f>
        <v>NO CONFORME</v>
      </c>
      <c r="I176" s="89" t="str">
        <f t="shared" si="2"/>
        <v>Medición</v>
      </c>
    </row>
    <row r="177" spans="1:9" x14ac:dyDescent="0.2">
      <c r="A177" s="82">
        <f>'ERROR FINAL'!A180</f>
        <v>172</v>
      </c>
      <c r="B177" s="83">
        <f>'ERROR FINAL'!D180</f>
        <v>6</v>
      </c>
      <c r="C177" s="84">
        <f>'ERROR FINAL'!G180</f>
        <v>0</v>
      </c>
      <c r="D177" s="85">
        <f>'ERROR FINAL'!I180</f>
        <v>0</v>
      </c>
      <c r="E177" s="86">
        <f>'ERROR FINAL'!U180</f>
        <v>-100</v>
      </c>
      <c r="F177" s="87">
        <f>'ERROR FINAL'!AG180</f>
        <v>-100</v>
      </c>
      <c r="G177" s="87">
        <f>'ERROR FINAL'!AS180</f>
        <v>-100</v>
      </c>
      <c r="H177" s="88" t="str">
        <f>IF('ERROR FINAL'!AT180="CONFORME","CONFORME","NO CONFORME")</f>
        <v>NO CONFORME</v>
      </c>
      <c r="I177" s="89" t="str">
        <f t="shared" si="2"/>
        <v>Medición</v>
      </c>
    </row>
    <row r="178" spans="1:9" x14ac:dyDescent="0.2">
      <c r="A178" s="82">
        <f>'ERROR FINAL'!A181</f>
        <v>173</v>
      </c>
      <c r="B178" s="83">
        <f>'ERROR FINAL'!D181</f>
        <v>6</v>
      </c>
      <c r="C178" s="84">
        <f>'ERROR FINAL'!G181</f>
        <v>0</v>
      </c>
      <c r="D178" s="85">
        <f>'ERROR FINAL'!I181</f>
        <v>0</v>
      </c>
      <c r="E178" s="86">
        <f>'ERROR FINAL'!U181</f>
        <v>-100</v>
      </c>
      <c r="F178" s="87">
        <f>'ERROR FINAL'!AG181</f>
        <v>-100</v>
      </c>
      <c r="G178" s="87">
        <f>'ERROR FINAL'!AS181</f>
        <v>-100</v>
      </c>
      <c r="H178" s="88" t="str">
        <f>IF('ERROR FINAL'!AT181="CONFORME","CONFORME","NO CONFORME")</f>
        <v>NO CONFORME</v>
      </c>
      <c r="I178" s="89" t="str">
        <f t="shared" si="2"/>
        <v>Medición</v>
      </c>
    </row>
    <row r="179" spans="1:9" x14ac:dyDescent="0.2">
      <c r="A179" s="82">
        <f>'ERROR FINAL'!A182</f>
        <v>174</v>
      </c>
      <c r="B179" s="83">
        <f>'ERROR FINAL'!D182</f>
        <v>6</v>
      </c>
      <c r="C179" s="84">
        <f>'ERROR FINAL'!G182</f>
        <v>0</v>
      </c>
      <c r="D179" s="85">
        <f>'ERROR FINAL'!I182</f>
        <v>0</v>
      </c>
      <c r="E179" s="86">
        <f>'ERROR FINAL'!U182</f>
        <v>-100</v>
      </c>
      <c r="F179" s="87">
        <f>'ERROR FINAL'!AG182</f>
        <v>-100</v>
      </c>
      <c r="G179" s="87">
        <f>'ERROR FINAL'!AS182</f>
        <v>-100</v>
      </c>
      <c r="H179" s="88" t="str">
        <f>IF('ERROR FINAL'!AT182="CONFORME","CONFORME","NO CONFORME")</f>
        <v>NO CONFORME</v>
      </c>
      <c r="I179" s="89" t="str">
        <f t="shared" si="2"/>
        <v>Medición</v>
      </c>
    </row>
    <row r="180" spans="1:9" x14ac:dyDescent="0.2">
      <c r="A180" s="82">
        <f>'ERROR FINAL'!A183</f>
        <v>175</v>
      </c>
      <c r="B180" s="83">
        <f>'ERROR FINAL'!D183</f>
        <v>6</v>
      </c>
      <c r="C180" s="84">
        <f>'ERROR FINAL'!G183</f>
        <v>0</v>
      </c>
      <c r="D180" s="85">
        <f>'ERROR FINAL'!I183</f>
        <v>0</v>
      </c>
      <c r="E180" s="86">
        <f>'ERROR FINAL'!U183</f>
        <v>-100</v>
      </c>
      <c r="F180" s="87">
        <f>'ERROR FINAL'!AG183</f>
        <v>-100</v>
      </c>
      <c r="G180" s="87">
        <f>'ERROR FINAL'!AS183</f>
        <v>-100</v>
      </c>
      <c r="H180" s="88" t="str">
        <f>IF('ERROR FINAL'!AT183="CONFORME","CONFORME","NO CONFORME")</f>
        <v>NO CONFORME</v>
      </c>
      <c r="I180" s="89" t="str">
        <f t="shared" si="2"/>
        <v>Medición</v>
      </c>
    </row>
    <row r="181" spans="1:9" x14ac:dyDescent="0.2">
      <c r="A181" s="82">
        <f>'ERROR FINAL'!A184</f>
        <v>176</v>
      </c>
      <c r="B181" s="83">
        <f>'ERROR FINAL'!D184</f>
        <v>6</v>
      </c>
      <c r="C181" s="84">
        <f>'ERROR FINAL'!G184</f>
        <v>0</v>
      </c>
      <c r="D181" s="85">
        <f>'ERROR FINAL'!I184</f>
        <v>0</v>
      </c>
      <c r="E181" s="86">
        <f>'ERROR FINAL'!U184</f>
        <v>-100</v>
      </c>
      <c r="F181" s="87">
        <f>'ERROR FINAL'!AG184</f>
        <v>-100</v>
      </c>
      <c r="G181" s="87">
        <f>'ERROR FINAL'!AS184</f>
        <v>-100</v>
      </c>
      <c r="H181" s="88" t="str">
        <f>IF('ERROR FINAL'!AT184="CONFORME","CONFORME","NO CONFORME")</f>
        <v>NO CONFORME</v>
      </c>
      <c r="I181" s="89" t="str">
        <f t="shared" si="2"/>
        <v>Medición</v>
      </c>
    </row>
    <row r="182" spans="1:9" x14ac:dyDescent="0.2">
      <c r="A182" s="82">
        <f>'ERROR FINAL'!A185</f>
        <v>177</v>
      </c>
      <c r="B182" s="83">
        <f>'ERROR FINAL'!D185</f>
        <v>6</v>
      </c>
      <c r="C182" s="84">
        <f>'ERROR FINAL'!G185</f>
        <v>0</v>
      </c>
      <c r="D182" s="85">
        <f>'ERROR FINAL'!I185</f>
        <v>0</v>
      </c>
      <c r="E182" s="86">
        <f>'ERROR FINAL'!U185</f>
        <v>-100</v>
      </c>
      <c r="F182" s="87">
        <f>'ERROR FINAL'!AG185</f>
        <v>-100</v>
      </c>
      <c r="G182" s="87">
        <f>'ERROR FINAL'!AS185</f>
        <v>-100</v>
      </c>
      <c r="H182" s="88" t="str">
        <f>IF('ERROR FINAL'!AT185="CONFORME","CONFORME","NO CONFORME")</f>
        <v>NO CONFORME</v>
      </c>
      <c r="I182" s="89" t="str">
        <f t="shared" si="2"/>
        <v>Medición</v>
      </c>
    </row>
    <row r="183" spans="1:9" x14ac:dyDescent="0.2">
      <c r="A183" s="82">
        <f>'ERROR FINAL'!A186</f>
        <v>178</v>
      </c>
      <c r="B183" s="83">
        <f>'ERROR FINAL'!D186</f>
        <v>6</v>
      </c>
      <c r="C183" s="84">
        <f>'ERROR FINAL'!G186</f>
        <v>0</v>
      </c>
      <c r="D183" s="85">
        <f>'ERROR FINAL'!I186</f>
        <v>0</v>
      </c>
      <c r="E183" s="86">
        <f>'ERROR FINAL'!U186</f>
        <v>-100</v>
      </c>
      <c r="F183" s="87">
        <f>'ERROR FINAL'!AG186</f>
        <v>-100</v>
      </c>
      <c r="G183" s="87">
        <f>'ERROR FINAL'!AS186</f>
        <v>-100</v>
      </c>
      <c r="H183" s="88" t="str">
        <f>IF('ERROR FINAL'!AT186="CONFORME","CONFORME","NO CONFORME")</f>
        <v>NO CONFORME</v>
      </c>
      <c r="I183" s="89" t="str">
        <f t="shared" si="2"/>
        <v>Medición</v>
      </c>
    </row>
    <row r="184" spans="1:9" x14ac:dyDescent="0.2">
      <c r="A184" s="82">
        <f>'ERROR FINAL'!A187</f>
        <v>179</v>
      </c>
      <c r="B184" s="83">
        <f>'ERROR FINAL'!D187</f>
        <v>6</v>
      </c>
      <c r="C184" s="84">
        <f>'ERROR FINAL'!G187</f>
        <v>0</v>
      </c>
      <c r="D184" s="85">
        <f>'ERROR FINAL'!I187</f>
        <v>0</v>
      </c>
      <c r="E184" s="86">
        <f>'ERROR FINAL'!U187</f>
        <v>-100</v>
      </c>
      <c r="F184" s="87">
        <f>'ERROR FINAL'!AG187</f>
        <v>-100</v>
      </c>
      <c r="G184" s="87">
        <f>'ERROR FINAL'!AS187</f>
        <v>-100</v>
      </c>
      <c r="H184" s="88" t="str">
        <f>IF('ERROR FINAL'!AT187="CONFORME","CONFORME","NO CONFORME")</f>
        <v>NO CONFORME</v>
      </c>
      <c r="I184" s="89" t="str">
        <f t="shared" si="2"/>
        <v>Medición</v>
      </c>
    </row>
    <row r="185" spans="1:9" x14ac:dyDescent="0.2">
      <c r="A185" s="82">
        <f>'ERROR FINAL'!A188</f>
        <v>180</v>
      </c>
      <c r="B185" s="83">
        <f>'ERROR FINAL'!D188</f>
        <v>6</v>
      </c>
      <c r="C185" s="84">
        <f>'ERROR FINAL'!G188</f>
        <v>0</v>
      </c>
      <c r="D185" s="85">
        <f>'ERROR FINAL'!I188</f>
        <v>0</v>
      </c>
      <c r="E185" s="86">
        <f>'ERROR FINAL'!U188</f>
        <v>-100</v>
      </c>
      <c r="F185" s="87">
        <f>'ERROR FINAL'!AG188</f>
        <v>-100</v>
      </c>
      <c r="G185" s="87">
        <f>'ERROR FINAL'!AS188</f>
        <v>-100</v>
      </c>
      <c r="H185" s="88" t="str">
        <f>IF('ERROR FINAL'!AT188="CONFORME","CONFORME","NO CONFORME")</f>
        <v>NO CONFORME</v>
      </c>
      <c r="I185" s="89" t="str">
        <f t="shared" si="2"/>
        <v>Medición</v>
      </c>
    </row>
    <row r="186" spans="1:9" x14ac:dyDescent="0.2">
      <c r="A186" s="82">
        <f>'ERROR FINAL'!A189</f>
        <v>181</v>
      </c>
      <c r="B186" s="83">
        <f>'ERROR FINAL'!D189</f>
        <v>6</v>
      </c>
      <c r="C186" s="84">
        <f>'ERROR FINAL'!G189</f>
        <v>0</v>
      </c>
      <c r="D186" s="85">
        <f>'ERROR FINAL'!I189</f>
        <v>0</v>
      </c>
      <c r="E186" s="86">
        <f>'ERROR FINAL'!U189</f>
        <v>-100</v>
      </c>
      <c r="F186" s="87">
        <f>'ERROR FINAL'!AG189</f>
        <v>-100</v>
      </c>
      <c r="G186" s="87">
        <f>'ERROR FINAL'!AS189</f>
        <v>-100</v>
      </c>
      <c r="H186" s="88" t="str">
        <f>IF('ERROR FINAL'!AT189="CONFORME","CONFORME","NO CONFORME")</f>
        <v>NO CONFORME</v>
      </c>
      <c r="I186" s="89" t="str">
        <f t="shared" si="2"/>
        <v>Medición</v>
      </c>
    </row>
    <row r="187" spans="1:9" x14ac:dyDescent="0.2">
      <c r="A187" s="82">
        <f>'ERROR FINAL'!A190</f>
        <v>182</v>
      </c>
      <c r="B187" s="83">
        <f>'ERROR FINAL'!D190</f>
        <v>6</v>
      </c>
      <c r="C187" s="84">
        <f>'ERROR FINAL'!G190</f>
        <v>0</v>
      </c>
      <c r="D187" s="85">
        <f>'ERROR FINAL'!I190</f>
        <v>0</v>
      </c>
      <c r="E187" s="86">
        <f>'ERROR FINAL'!U190</f>
        <v>-100</v>
      </c>
      <c r="F187" s="87">
        <f>'ERROR FINAL'!AG190</f>
        <v>-100</v>
      </c>
      <c r="G187" s="87">
        <f>'ERROR FINAL'!AS190</f>
        <v>-100</v>
      </c>
      <c r="H187" s="88" t="str">
        <f>IF('ERROR FINAL'!AT190="CONFORME","CONFORME","NO CONFORME")</f>
        <v>NO CONFORME</v>
      </c>
      <c r="I187" s="89" t="str">
        <f t="shared" si="2"/>
        <v>Medición</v>
      </c>
    </row>
    <row r="188" spans="1:9" x14ac:dyDescent="0.2">
      <c r="A188" s="82">
        <f>'ERROR FINAL'!A191</f>
        <v>183</v>
      </c>
      <c r="B188" s="83">
        <f>'ERROR FINAL'!D191</f>
        <v>6</v>
      </c>
      <c r="C188" s="84">
        <f>'ERROR FINAL'!G191</f>
        <v>0</v>
      </c>
      <c r="D188" s="85">
        <f>'ERROR FINAL'!I191</f>
        <v>0</v>
      </c>
      <c r="E188" s="86">
        <f>'ERROR FINAL'!U191</f>
        <v>-100</v>
      </c>
      <c r="F188" s="87">
        <f>'ERROR FINAL'!AG191</f>
        <v>-100</v>
      </c>
      <c r="G188" s="87">
        <f>'ERROR FINAL'!AS191</f>
        <v>-100</v>
      </c>
      <c r="H188" s="88" t="str">
        <f>IF('ERROR FINAL'!AT191="CONFORME","CONFORME","NO CONFORME")</f>
        <v>NO CONFORME</v>
      </c>
      <c r="I188" s="89" t="str">
        <f t="shared" si="2"/>
        <v>Medición</v>
      </c>
    </row>
    <row r="189" spans="1:9" x14ac:dyDescent="0.2">
      <c r="A189" s="82">
        <f>'ERROR FINAL'!A192</f>
        <v>184</v>
      </c>
      <c r="B189" s="83">
        <f>'ERROR FINAL'!D192</f>
        <v>6</v>
      </c>
      <c r="C189" s="84">
        <f>'ERROR FINAL'!G192</f>
        <v>0</v>
      </c>
      <c r="D189" s="85">
        <f>'ERROR FINAL'!I192</f>
        <v>0</v>
      </c>
      <c r="E189" s="86">
        <f>'ERROR FINAL'!U192</f>
        <v>-100</v>
      </c>
      <c r="F189" s="87">
        <f>'ERROR FINAL'!AG192</f>
        <v>-100</v>
      </c>
      <c r="G189" s="87">
        <f>'ERROR FINAL'!AS192</f>
        <v>-100</v>
      </c>
      <c r="H189" s="88" t="str">
        <f>IF('ERROR FINAL'!AT192="CONFORME","CONFORME","NO CONFORME")</f>
        <v>NO CONFORME</v>
      </c>
      <c r="I189" s="89" t="str">
        <f t="shared" si="2"/>
        <v>Medición</v>
      </c>
    </row>
    <row r="190" spans="1:9" x14ac:dyDescent="0.2">
      <c r="A190" s="82">
        <f>'ERROR FINAL'!A193</f>
        <v>185</v>
      </c>
      <c r="B190" s="83">
        <f>'ERROR FINAL'!D193</f>
        <v>6</v>
      </c>
      <c r="C190" s="84">
        <f>'ERROR FINAL'!G193</f>
        <v>0</v>
      </c>
      <c r="D190" s="85">
        <f>'ERROR FINAL'!I193</f>
        <v>0</v>
      </c>
      <c r="E190" s="86">
        <f>'ERROR FINAL'!U193</f>
        <v>-100</v>
      </c>
      <c r="F190" s="87">
        <f>'ERROR FINAL'!AG193</f>
        <v>-100</v>
      </c>
      <c r="G190" s="87">
        <f>'ERROR FINAL'!AS193</f>
        <v>-100</v>
      </c>
      <c r="H190" s="88" t="str">
        <f>IF('ERROR FINAL'!AT193="CONFORME","CONFORME","NO CONFORME")</f>
        <v>NO CONFORME</v>
      </c>
      <c r="I190" s="89" t="str">
        <f t="shared" si="2"/>
        <v>Medición</v>
      </c>
    </row>
    <row r="191" spans="1:9" x14ac:dyDescent="0.2">
      <c r="A191" s="82">
        <f>'ERROR FINAL'!A194</f>
        <v>186</v>
      </c>
      <c r="B191" s="83">
        <f>'ERROR FINAL'!D194</f>
        <v>6</v>
      </c>
      <c r="C191" s="84">
        <f>'ERROR FINAL'!G194</f>
        <v>0</v>
      </c>
      <c r="D191" s="85">
        <f>'ERROR FINAL'!I194</f>
        <v>0</v>
      </c>
      <c r="E191" s="86">
        <f>'ERROR FINAL'!U194</f>
        <v>-100</v>
      </c>
      <c r="F191" s="87">
        <f>'ERROR FINAL'!AG194</f>
        <v>-100</v>
      </c>
      <c r="G191" s="87">
        <f>'ERROR FINAL'!AS194</f>
        <v>-100</v>
      </c>
      <c r="H191" s="88" t="str">
        <f>IF('ERROR FINAL'!AT194="CONFORME","CONFORME","NO CONFORME")</f>
        <v>NO CONFORME</v>
      </c>
      <c r="I191" s="89" t="str">
        <f t="shared" si="2"/>
        <v>Medición</v>
      </c>
    </row>
    <row r="192" spans="1:9" x14ac:dyDescent="0.2">
      <c r="A192" s="82">
        <f>'ERROR FINAL'!A195</f>
        <v>187</v>
      </c>
      <c r="B192" s="83">
        <f>'ERROR FINAL'!D195</f>
        <v>6</v>
      </c>
      <c r="C192" s="84">
        <f>'ERROR FINAL'!G195</f>
        <v>0</v>
      </c>
      <c r="D192" s="85">
        <f>'ERROR FINAL'!I195</f>
        <v>0</v>
      </c>
      <c r="E192" s="86">
        <f>'ERROR FINAL'!U195</f>
        <v>-100</v>
      </c>
      <c r="F192" s="87">
        <f>'ERROR FINAL'!AG195</f>
        <v>-100</v>
      </c>
      <c r="G192" s="87">
        <f>'ERROR FINAL'!AS195</f>
        <v>-100</v>
      </c>
      <c r="H192" s="88" t="str">
        <f>IF('ERROR FINAL'!AT195="CONFORME","CONFORME","NO CONFORME")</f>
        <v>NO CONFORME</v>
      </c>
      <c r="I192" s="89" t="str">
        <f t="shared" si="2"/>
        <v>Medición</v>
      </c>
    </row>
    <row r="193" spans="1:9" x14ac:dyDescent="0.2">
      <c r="A193" s="82">
        <f>'ERROR FINAL'!A196</f>
        <v>188</v>
      </c>
      <c r="B193" s="83">
        <f>'ERROR FINAL'!D196</f>
        <v>6</v>
      </c>
      <c r="C193" s="84">
        <f>'ERROR FINAL'!G196</f>
        <v>0</v>
      </c>
      <c r="D193" s="85">
        <f>'ERROR FINAL'!I196</f>
        <v>0</v>
      </c>
      <c r="E193" s="86">
        <f>'ERROR FINAL'!U196</f>
        <v>-100</v>
      </c>
      <c r="F193" s="87">
        <f>'ERROR FINAL'!AG196</f>
        <v>-100</v>
      </c>
      <c r="G193" s="87">
        <f>'ERROR FINAL'!AS196</f>
        <v>-100</v>
      </c>
      <c r="H193" s="88" t="str">
        <f>IF('ERROR FINAL'!AT196="CONFORME","CONFORME","NO CONFORME")</f>
        <v>NO CONFORME</v>
      </c>
      <c r="I193" s="89" t="str">
        <f t="shared" si="2"/>
        <v>Medición</v>
      </c>
    </row>
    <row r="194" spans="1:9" x14ac:dyDescent="0.2">
      <c r="A194" s="82">
        <f>'ERROR FINAL'!A197</f>
        <v>189</v>
      </c>
      <c r="B194" s="83">
        <f>'ERROR FINAL'!D197</f>
        <v>6</v>
      </c>
      <c r="C194" s="84">
        <f>'ERROR FINAL'!G197</f>
        <v>0</v>
      </c>
      <c r="D194" s="85">
        <f>'ERROR FINAL'!I197</f>
        <v>0</v>
      </c>
      <c r="E194" s="86">
        <f>'ERROR FINAL'!U197</f>
        <v>-100</v>
      </c>
      <c r="F194" s="87">
        <f>'ERROR FINAL'!AG197</f>
        <v>-100</v>
      </c>
      <c r="G194" s="87">
        <f>'ERROR FINAL'!AS197</f>
        <v>-100</v>
      </c>
      <c r="H194" s="88" t="str">
        <f>IF('ERROR FINAL'!AT197="CONFORME","CONFORME","NO CONFORME")</f>
        <v>NO CONFORME</v>
      </c>
      <c r="I194" s="89" t="str">
        <f t="shared" si="2"/>
        <v>Medición</v>
      </c>
    </row>
    <row r="195" spans="1:9" x14ac:dyDescent="0.2">
      <c r="A195" s="82">
        <f>'ERROR FINAL'!A198</f>
        <v>190</v>
      </c>
      <c r="B195" s="83">
        <f>'ERROR FINAL'!D198</f>
        <v>6</v>
      </c>
      <c r="C195" s="84">
        <f>'ERROR FINAL'!G198</f>
        <v>0</v>
      </c>
      <c r="D195" s="85">
        <f>'ERROR FINAL'!I198</f>
        <v>0</v>
      </c>
      <c r="E195" s="86">
        <f>'ERROR FINAL'!U198</f>
        <v>-100</v>
      </c>
      <c r="F195" s="87">
        <f>'ERROR FINAL'!AG198</f>
        <v>-100</v>
      </c>
      <c r="G195" s="87">
        <f>'ERROR FINAL'!AS198</f>
        <v>-100</v>
      </c>
      <c r="H195" s="88" t="str">
        <f>IF('ERROR FINAL'!AT198="CONFORME","CONFORME","NO CONFORME")</f>
        <v>NO CONFORME</v>
      </c>
      <c r="I195" s="89" t="str">
        <f t="shared" si="2"/>
        <v>Medición</v>
      </c>
    </row>
    <row r="196" spans="1:9" x14ac:dyDescent="0.2">
      <c r="A196" s="82">
        <f>'ERROR FINAL'!A199</f>
        <v>191</v>
      </c>
      <c r="B196" s="83">
        <f>'ERROR FINAL'!D199</f>
        <v>6</v>
      </c>
      <c r="C196" s="84">
        <f>'ERROR FINAL'!G199</f>
        <v>0</v>
      </c>
      <c r="D196" s="85">
        <f>'ERROR FINAL'!I199</f>
        <v>0</v>
      </c>
      <c r="E196" s="86">
        <f>'ERROR FINAL'!U199</f>
        <v>-100</v>
      </c>
      <c r="F196" s="87">
        <f>'ERROR FINAL'!AG199</f>
        <v>-100</v>
      </c>
      <c r="G196" s="87">
        <f>'ERROR FINAL'!AS199</f>
        <v>-100</v>
      </c>
      <c r="H196" s="88" t="str">
        <f>IF('ERROR FINAL'!AT199="CONFORME","CONFORME","NO CONFORME")</f>
        <v>NO CONFORME</v>
      </c>
      <c r="I196" s="89" t="str">
        <f t="shared" si="2"/>
        <v>Medición</v>
      </c>
    </row>
    <row r="197" spans="1:9" x14ac:dyDescent="0.2">
      <c r="A197" s="82">
        <f>'ERROR FINAL'!A200</f>
        <v>192</v>
      </c>
      <c r="B197" s="83">
        <f>'ERROR FINAL'!D200</f>
        <v>6</v>
      </c>
      <c r="C197" s="84">
        <f>'ERROR FINAL'!G200</f>
        <v>0</v>
      </c>
      <c r="D197" s="85">
        <f>'ERROR FINAL'!I200</f>
        <v>0</v>
      </c>
      <c r="E197" s="86">
        <f>'ERROR FINAL'!U200</f>
        <v>-100</v>
      </c>
      <c r="F197" s="87">
        <f>'ERROR FINAL'!AG200</f>
        <v>-100</v>
      </c>
      <c r="G197" s="87">
        <f>'ERROR FINAL'!AS200</f>
        <v>-100</v>
      </c>
      <c r="H197" s="88" t="str">
        <f>IF('ERROR FINAL'!AT200="CONFORME","CONFORME","NO CONFORME")</f>
        <v>NO CONFORME</v>
      </c>
      <c r="I197" s="89" t="str">
        <f t="shared" si="2"/>
        <v>Medición</v>
      </c>
    </row>
    <row r="198" spans="1:9" x14ac:dyDescent="0.2">
      <c r="A198" s="82">
        <f>'ERROR FINAL'!A201</f>
        <v>193</v>
      </c>
      <c r="B198" s="83">
        <f>'ERROR FINAL'!D201</f>
        <v>6</v>
      </c>
      <c r="C198" s="84">
        <f>'ERROR FINAL'!G201</f>
        <v>0</v>
      </c>
      <c r="D198" s="85">
        <f>'ERROR FINAL'!I201</f>
        <v>0</v>
      </c>
      <c r="E198" s="86">
        <f>'ERROR FINAL'!U201</f>
        <v>-100</v>
      </c>
      <c r="F198" s="87">
        <f>'ERROR FINAL'!AG201</f>
        <v>-100</v>
      </c>
      <c r="G198" s="87">
        <f>'ERROR FINAL'!AS201</f>
        <v>-100</v>
      </c>
      <c r="H198" s="88" t="str">
        <f>IF('ERROR FINAL'!AT201="CONFORME","CONFORME","NO CONFORME")</f>
        <v>NO CONFORME</v>
      </c>
      <c r="I198" s="89" t="str">
        <f t="shared" si="2"/>
        <v>Medición</v>
      </c>
    </row>
    <row r="199" spans="1:9" x14ac:dyDescent="0.2">
      <c r="A199" s="82">
        <f>'ERROR FINAL'!A202</f>
        <v>194</v>
      </c>
      <c r="B199" s="83">
        <f>'ERROR FINAL'!D202</f>
        <v>6</v>
      </c>
      <c r="C199" s="84">
        <f>'ERROR FINAL'!G202</f>
        <v>0</v>
      </c>
      <c r="D199" s="85">
        <f>'ERROR FINAL'!I202</f>
        <v>0</v>
      </c>
      <c r="E199" s="86">
        <f>'ERROR FINAL'!U202</f>
        <v>-100</v>
      </c>
      <c r="F199" s="87">
        <f>'ERROR FINAL'!AG202</f>
        <v>-100</v>
      </c>
      <c r="G199" s="87">
        <f>'ERROR FINAL'!AS202</f>
        <v>-100</v>
      </c>
      <c r="H199" s="88" t="str">
        <f>IF('ERROR FINAL'!AT202="CONFORME","CONFORME","NO CONFORME")</f>
        <v>NO CONFORME</v>
      </c>
      <c r="I199" s="89" t="str">
        <f t="shared" ref="I199:I262" si="3">IF(D199=0,"Medición",IF(D199=1,"Daño físico",IF(D199=2,"Fuga",IF(D199=3,"Picado",IF(D199=4,"Desfasado",IF(D199=5,"Paralizado","¿?"))))))</f>
        <v>Medición</v>
      </c>
    </row>
    <row r="200" spans="1:9" x14ac:dyDescent="0.2">
      <c r="A200" s="82">
        <f>'ERROR FINAL'!A203</f>
        <v>195</v>
      </c>
      <c r="B200" s="83">
        <f>'ERROR FINAL'!D203</f>
        <v>6</v>
      </c>
      <c r="C200" s="84">
        <f>'ERROR FINAL'!G203</f>
        <v>0</v>
      </c>
      <c r="D200" s="85">
        <f>'ERROR FINAL'!I203</f>
        <v>0</v>
      </c>
      <c r="E200" s="86">
        <f>'ERROR FINAL'!U203</f>
        <v>-100</v>
      </c>
      <c r="F200" s="87">
        <f>'ERROR FINAL'!AG203</f>
        <v>-100</v>
      </c>
      <c r="G200" s="87">
        <f>'ERROR FINAL'!AS203</f>
        <v>-100</v>
      </c>
      <c r="H200" s="88" t="str">
        <f>IF('ERROR FINAL'!AT203="CONFORME","CONFORME","NO CONFORME")</f>
        <v>NO CONFORME</v>
      </c>
      <c r="I200" s="89" t="str">
        <f t="shared" si="3"/>
        <v>Medición</v>
      </c>
    </row>
    <row r="201" spans="1:9" x14ac:dyDescent="0.2">
      <c r="A201" s="82">
        <f>'ERROR FINAL'!A204</f>
        <v>196</v>
      </c>
      <c r="B201" s="83">
        <f>'ERROR FINAL'!D204</f>
        <v>6</v>
      </c>
      <c r="C201" s="84">
        <f>'ERROR FINAL'!G204</f>
        <v>0</v>
      </c>
      <c r="D201" s="85">
        <f>'ERROR FINAL'!I204</f>
        <v>0</v>
      </c>
      <c r="E201" s="86">
        <f>'ERROR FINAL'!U204</f>
        <v>-100</v>
      </c>
      <c r="F201" s="87">
        <f>'ERROR FINAL'!AG204</f>
        <v>-100</v>
      </c>
      <c r="G201" s="87">
        <f>'ERROR FINAL'!AS204</f>
        <v>-100</v>
      </c>
      <c r="H201" s="88" t="str">
        <f>IF('ERROR FINAL'!AT204="CONFORME","CONFORME","NO CONFORME")</f>
        <v>NO CONFORME</v>
      </c>
      <c r="I201" s="89" t="str">
        <f t="shared" si="3"/>
        <v>Medición</v>
      </c>
    </row>
    <row r="202" spans="1:9" x14ac:dyDescent="0.2">
      <c r="A202" s="82">
        <f>'ERROR FINAL'!A205</f>
        <v>197</v>
      </c>
      <c r="B202" s="83">
        <f>'ERROR FINAL'!D205</f>
        <v>6</v>
      </c>
      <c r="C202" s="84">
        <f>'ERROR FINAL'!G205</f>
        <v>0</v>
      </c>
      <c r="D202" s="85">
        <f>'ERROR FINAL'!I205</f>
        <v>0</v>
      </c>
      <c r="E202" s="86">
        <f>'ERROR FINAL'!U205</f>
        <v>-100</v>
      </c>
      <c r="F202" s="87">
        <f>'ERROR FINAL'!AG205</f>
        <v>-100</v>
      </c>
      <c r="G202" s="87">
        <f>'ERROR FINAL'!AS205</f>
        <v>-100</v>
      </c>
      <c r="H202" s="88" t="str">
        <f>IF('ERROR FINAL'!AT205="CONFORME","CONFORME","NO CONFORME")</f>
        <v>NO CONFORME</v>
      </c>
      <c r="I202" s="89" t="str">
        <f t="shared" si="3"/>
        <v>Medición</v>
      </c>
    </row>
    <row r="203" spans="1:9" x14ac:dyDescent="0.2">
      <c r="A203" s="82">
        <f>'ERROR FINAL'!A206</f>
        <v>198</v>
      </c>
      <c r="B203" s="83">
        <f>'ERROR FINAL'!D206</f>
        <v>6</v>
      </c>
      <c r="C203" s="84">
        <f>'ERROR FINAL'!G206</f>
        <v>0</v>
      </c>
      <c r="D203" s="85">
        <f>'ERROR FINAL'!I206</f>
        <v>0</v>
      </c>
      <c r="E203" s="86">
        <f>'ERROR FINAL'!U206</f>
        <v>-100</v>
      </c>
      <c r="F203" s="87">
        <f>'ERROR FINAL'!AG206</f>
        <v>-100</v>
      </c>
      <c r="G203" s="87">
        <f>'ERROR FINAL'!AS206</f>
        <v>-100</v>
      </c>
      <c r="H203" s="88" t="str">
        <f>IF('ERROR FINAL'!AT206="CONFORME","CONFORME","NO CONFORME")</f>
        <v>NO CONFORME</v>
      </c>
      <c r="I203" s="89" t="str">
        <f t="shared" si="3"/>
        <v>Medición</v>
      </c>
    </row>
    <row r="204" spans="1:9" x14ac:dyDescent="0.2">
      <c r="A204" s="82">
        <f>'ERROR FINAL'!A207</f>
        <v>199</v>
      </c>
      <c r="B204" s="83">
        <f>'ERROR FINAL'!D207</f>
        <v>6</v>
      </c>
      <c r="C204" s="84">
        <f>'ERROR FINAL'!G207</f>
        <v>0</v>
      </c>
      <c r="D204" s="85">
        <f>'ERROR FINAL'!I207</f>
        <v>0</v>
      </c>
      <c r="E204" s="86">
        <f>'ERROR FINAL'!U207</f>
        <v>-100</v>
      </c>
      <c r="F204" s="87">
        <f>'ERROR FINAL'!AG207</f>
        <v>-100</v>
      </c>
      <c r="G204" s="87">
        <f>'ERROR FINAL'!AS207</f>
        <v>-100</v>
      </c>
      <c r="H204" s="88" t="str">
        <f>IF('ERROR FINAL'!AT207="CONFORME","CONFORME","NO CONFORME")</f>
        <v>NO CONFORME</v>
      </c>
      <c r="I204" s="89" t="str">
        <f t="shared" si="3"/>
        <v>Medición</v>
      </c>
    </row>
    <row r="205" spans="1:9" x14ac:dyDescent="0.2">
      <c r="A205" s="82">
        <f>'ERROR FINAL'!A208</f>
        <v>200</v>
      </c>
      <c r="B205" s="83">
        <f>'ERROR FINAL'!D208</f>
        <v>6</v>
      </c>
      <c r="C205" s="84">
        <f>'ERROR FINAL'!G208</f>
        <v>0</v>
      </c>
      <c r="D205" s="85">
        <f>'ERROR FINAL'!I208</f>
        <v>0</v>
      </c>
      <c r="E205" s="86">
        <f>'ERROR FINAL'!U208</f>
        <v>-100</v>
      </c>
      <c r="F205" s="87">
        <f>'ERROR FINAL'!AG208</f>
        <v>-100</v>
      </c>
      <c r="G205" s="87">
        <f>'ERROR FINAL'!AS208</f>
        <v>-100</v>
      </c>
      <c r="H205" s="88" t="str">
        <f>IF('ERROR FINAL'!AT208="CONFORME","CONFORME","NO CONFORME")</f>
        <v>NO CONFORME</v>
      </c>
      <c r="I205" s="89" t="str">
        <f t="shared" si="3"/>
        <v>Medición</v>
      </c>
    </row>
    <row r="206" spans="1:9" x14ac:dyDescent="0.2">
      <c r="A206" s="82">
        <f>'ERROR FINAL'!A209</f>
        <v>201</v>
      </c>
      <c r="B206" s="83">
        <f>'ERROR FINAL'!D209</f>
        <v>6</v>
      </c>
      <c r="C206" s="84">
        <f>'ERROR FINAL'!G209</f>
        <v>0</v>
      </c>
      <c r="D206" s="85">
        <f>'ERROR FINAL'!I209</f>
        <v>0</v>
      </c>
      <c r="E206" s="86">
        <f>'ERROR FINAL'!U209</f>
        <v>-100</v>
      </c>
      <c r="F206" s="87">
        <f>'ERROR FINAL'!AG209</f>
        <v>-100</v>
      </c>
      <c r="G206" s="87">
        <f>'ERROR FINAL'!AS209</f>
        <v>-100</v>
      </c>
      <c r="H206" s="88" t="str">
        <f>IF('ERROR FINAL'!AT209="CONFORME","CONFORME","NO CONFORME")</f>
        <v>NO CONFORME</v>
      </c>
      <c r="I206" s="89" t="str">
        <f t="shared" si="3"/>
        <v>Medición</v>
      </c>
    </row>
    <row r="207" spans="1:9" x14ac:dyDescent="0.2">
      <c r="A207" s="82">
        <f>'ERROR FINAL'!A210</f>
        <v>202</v>
      </c>
      <c r="B207" s="83">
        <f>'ERROR FINAL'!D210</f>
        <v>6</v>
      </c>
      <c r="C207" s="84">
        <f>'ERROR FINAL'!G210</f>
        <v>0</v>
      </c>
      <c r="D207" s="85">
        <f>'ERROR FINAL'!I210</f>
        <v>0</v>
      </c>
      <c r="E207" s="86">
        <f>'ERROR FINAL'!U210</f>
        <v>-100</v>
      </c>
      <c r="F207" s="87">
        <f>'ERROR FINAL'!AG210</f>
        <v>-100</v>
      </c>
      <c r="G207" s="87">
        <f>'ERROR FINAL'!AS210</f>
        <v>-100</v>
      </c>
      <c r="H207" s="88" t="str">
        <f>IF('ERROR FINAL'!AT210="CONFORME","CONFORME","NO CONFORME")</f>
        <v>NO CONFORME</v>
      </c>
      <c r="I207" s="89" t="str">
        <f t="shared" si="3"/>
        <v>Medición</v>
      </c>
    </row>
    <row r="208" spans="1:9" x14ac:dyDescent="0.2">
      <c r="A208" s="82">
        <f>'ERROR FINAL'!A211</f>
        <v>203</v>
      </c>
      <c r="B208" s="83">
        <f>'ERROR FINAL'!D211</f>
        <v>6</v>
      </c>
      <c r="C208" s="84">
        <f>'ERROR FINAL'!G211</f>
        <v>0</v>
      </c>
      <c r="D208" s="85">
        <f>'ERROR FINAL'!I211</f>
        <v>0</v>
      </c>
      <c r="E208" s="86">
        <f>'ERROR FINAL'!U211</f>
        <v>-100</v>
      </c>
      <c r="F208" s="87">
        <f>'ERROR FINAL'!AG211</f>
        <v>-100</v>
      </c>
      <c r="G208" s="87">
        <f>'ERROR FINAL'!AS211</f>
        <v>-100</v>
      </c>
      <c r="H208" s="88" t="str">
        <f>IF('ERROR FINAL'!AT211="CONFORME","CONFORME","NO CONFORME")</f>
        <v>NO CONFORME</v>
      </c>
      <c r="I208" s="89" t="str">
        <f t="shared" si="3"/>
        <v>Medición</v>
      </c>
    </row>
    <row r="209" spans="1:9" x14ac:dyDescent="0.2">
      <c r="A209" s="82">
        <f>'ERROR FINAL'!A212</f>
        <v>204</v>
      </c>
      <c r="B209" s="83">
        <f>'ERROR FINAL'!D212</f>
        <v>6</v>
      </c>
      <c r="C209" s="84">
        <f>'ERROR FINAL'!G212</f>
        <v>0</v>
      </c>
      <c r="D209" s="85">
        <f>'ERROR FINAL'!I212</f>
        <v>0</v>
      </c>
      <c r="E209" s="86">
        <f>'ERROR FINAL'!U212</f>
        <v>-100</v>
      </c>
      <c r="F209" s="87">
        <f>'ERROR FINAL'!AG212</f>
        <v>-100</v>
      </c>
      <c r="G209" s="87">
        <f>'ERROR FINAL'!AS212</f>
        <v>-100</v>
      </c>
      <c r="H209" s="88" t="str">
        <f>IF('ERROR FINAL'!AT212="CONFORME","CONFORME","NO CONFORME")</f>
        <v>NO CONFORME</v>
      </c>
      <c r="I209" s="89" t="str">
        <f t="shared" si="3"/>
        <v>Medición</v>
      </c>
    </row>
    <row r="210" spans="1:9" x14ac:dyDescent="0.2">
      <c r="A210" s="82">
        <f>'ERROR FINAL'!A213</f>
        <v>205</v>
      </c>
      <c r="B210" s="83">
        <f>'ERROR FINAL'!D213</f>
        <v>6</v>
      </c>
      <c r="C210" s="84">
        <f>'ERROR FINAL'!G213</f>
        <v>0</v>
      </c>
      <c r="D210" s="85">
        <f>'ERROR FINAL'!I213</f>
        <v>0</v>
      </c>
      <c r="E210" s="86">
        <f>'ERROR FINAL'!U213</f>
        <v>-100</v>
      </c>
      <c r="F210" s="87">
        <f>'ERROR FINAL'!AG213</f>
        <v>-100</v>
      </c>
      <c r="G210" s="87">
        <f>'ERROR FINAL'!AS213</f>
        <v>-100</v>
      </c>
      <c r="H210" s="88" t="str">
        <f>IF('ERROR FINAL'!AT213="CONFORME","CONFORME","NO CONFORME")</f>
        <v>NO CONFORME</v>
      </c>
      <c r="I210" s="89" t="str">
        <f t="shared" si="3"/>
        <v>Medición</v>
      </c>
    </row>
    <row r="211" spans="1:9" x14ac:dyDescent="0.2">
      <c r="A211" s="82">
        <f>'ERROR FINAL'!A214</f>
        <v>206</v>
      </c>
      <c r="B211" s="83">
        <f>'ERROR FINAL'!D214</f>
        <v>6</v>
      </c>
      <c r="C211" s="84">
        <f>'ERROR FINAL'!G214</f>
        <v>0</v>
      </c>
      <c r="D211" s="85">
        <f>'ERROR FINAL'!I214</f>
        <v>0</v>
      </c>
      <c r="E211" s="86">
        <f>'ERROR FINAL'!U214</f>
        <v>-100</v>
      </c>
      <c r="F211" s="87">
        <f>'ERROR FINAL'!AG214</f>
        <v>-100</v>
      </c>
      <c r="G211" s="87">
        <f>'ERROR FINAL'!AS214</f>
        <v>-100</v>
      </c>
      <c r="H211" s="88" t="str">
        <f>IF('ERROR FINAL'!AT214="CONFORME","CONFORME","NO CONFORME")</f>
        <v>NO CONFORME</v>
      </c>
      <c r="I211" s="89" t="str">
        <f t="shared" si="3"/>
        <v>Medición</v>
      </c>
    </row>
    <row r="212" spans="1:9" x14ac:dyDescent="0.2">
      <c r="A212" s="82">
        <f>'ERROR FINAL'!A215</f>
        <v>207</v>
      </c>
      <c r="B212" s="83">
        <f>'ERROR FINAL'!D215</f>
        <v>6</v>
      </c>
      <c r="C212" s="84">
        <f>'ERROR FINAL'!G215</f>
        <v>0</v>
      </c>
      <c r="D212" s="85">
        <f>'ERROR FINAL'!I215</f>
        <v>0</v>
      </c>
      <c r="E212" s="86">
        <f>'ERROR FINAL'!U215</f>
        <v>-100</v>
      </c>
      <c r="F212" s="87">
        <f>'ERROR FINAL'!AG215</f>
        <v>-100</v>
      </c>
      <c r="G212" s="87">
        <f>'ERROR FINAL'!AS215</f>
        <v>-100</v>
      </c>
      <c r="H212" s="88" t="str">
        <f>IF('ERROR FINAL'!AT215="CONFORME","CONFORME","NO CONFORME")</f>
        <v>NO CONFORME</v>
      </c>
      <c r="I212" s="89" t="str">
        <f t="shared" si="3"/>
        <v>Medición</v>
      </c>
    </row>
    <row r="213" spans="1:9" x14ac:dyDescent="0.2">
      <c r="A213" s="82">
        <f>'ERROR FINAL'!A216</f>
        <v>208</v>
      </c>
      <c r="B213" s="83">
        <f>'ERROR FINAL'!D216</f>
        <v>6</v>
      </c>
      <c r="C213" s="84">
        <f>'ERROR FINAL'!G216</f>
        <v>0</v>
      </c>
      <c r="D213" s="85">
        <f>'ERROR FINAL'!I216</f>
        <v>0</v>
      </c>
      <c r="E213" s="86">
        <f>'ERROR FINAL'!U216</f>
        <v>-100</v>
      </c>
      <c r="F213" s="87">
        <f>'ERROR FINAL'!AG216</f>
        <v>-100</v>
      </c>
      <c r="G213" s="87">
        <f>'ERROR FINAL'!AS216</f>
        <v>-100</v>
      </c>
      <c r="H213" s="88" t="str">
        <f>IF('ERROR FINAL'!AT216="CONFORME","CONFORME","NO CONFORME")</f>
        <v>NO CONFORME</v>
      </c>
      <c r="I213" s="89" t="str">
        <f t="shared" si="3"/>
        <v>Medición</v>
      </c>
    </row>
    <row r="214" spans="1:9" x14ac:dyDescent="0.2">
      <c r="A214" s="82">
        <f>'ERROR FINAL'!A217</f>
        <v>209</v>
      </c>
      <c r="B214" s="83">
        <f>'ERROR FINAL'!D217</f>
        <v>6</v>
      </c>
      <c r="C214" s="84">
        <f>'ERROR FINAL'!G217</f>
        <v>0</v>
      </c>
      <c r="D214" s="85">
        <f>'ERROR FINAL'!I217</f>
        <v>0</v>
      </c>
      <c r="E214" s="86">
        <f>'ERROR FINAL'!U217</f>
        <v>-100</v>
      </c>
      <c r="F214" s="87">
        <f>'ERROR FINAL'!AG217</f>
        <v>-100</v>
      </c>
      <c r="G214" s="87">
        <f>'ERROR FINAL'!AS217</f>
        <v>-100</v>
      </c>
      <c r="H214" s="88" t="str">
        <f>IF('ERROR FINAL'!AT217="CONFORME","CONFORME","NO CONFORME")</f>
        <v>NO CONFORME</v>
      </c>
      <c r="I214" s="89" t="str">
        <f t="shared" si="3"/>
        <v>Medición</v>
      </c>
    </row>
    <row r="215" spans="1:9" x14ac:dyDescent="0.2">
      <c r="A215" s="82">
        <f>'ERROR FINAL'!A218</f>
        <v>210</v>
      </c>
      <c r="B215" s="83">
        <f>'ERROR FINAL'!D218</f>
        <v>6</v>
      </c>
      <c r="C215" s="84">
        <f>'ERROR FINAL'!G218</f>
        <v>0</v>
      </c>
      <c r="D215" s="85">
        <f>'ERROR FINAL'!I218</f>
        <v>0</v>
      </c>
      <c r="E215" s="86">
        <f>'ERROR FINAL'!U218</f>
        <v>-100</v>
      </c>
      <c r="F215" s="87">
        <f>'ERROR FINAL'!AG218</f>
        <v>-100</v>
      </c>
      <c r="G215" s="87">
        <f>'ERROR FINAL'!AS218</f>
        <v>-100</v>
      </c>
      <c r="H215" s="88" t="str">
        <f>IF('ERROR FINAL'!AT218="CONFORME","CONFORME","NO CONFORME")</f>
        <v>NO CONFORME</v>
      </c>
      <c r="I215" s="89" t="str">
        <f t="shared" si="3"/>
        <v>Medición</v>
      </c>
    </row>
    <row r="216" spans="1:9" x14ac:dyDescent="0.2">
      <c r="A216" s="82">
        <f>'ERROR FINAL'!A219</f>
        <v>211</v>
      </c>
      <c r="B216" s="83">
        <f>'ERROR FINAL'!D219</f>
        <v>6</v>
      </c>
      <c r="C216" s="84">
        <f>'ERROR FINAL'!G219</f>
        <v>0</v>
      </c>
      <c r="D216" s="85">
        <f>'ERROR FINAL'!I219</f>
        <v>0</v>
      </c>
      <c r="E216" s="86">
        <f>'ERROR FINAL'!U219</f>
        <v>-100</v>
      </c>
      <c r="F216" s="87">
        <f>'ERROR FINAL'!AG219</f>
        <v>-100</v>
      </c>
      <c r="G216" s="87">
        <f>'ERROR FINAL'!AS219</f>
        <v>-100</v>
      </c>
      <c r="H216" s="88" t="str">
        <f>IF('ERROR FINAL'!AT219="CONFORME","CONFORME","NO CONFORME")</f>
        <v>NO CONFORME</v>
      </c>
      <c r="I216" s="89" t="str">
        <f t="shared" si="3"/>
        <v>Medición</v>
      </c>
    </row>
    <row r="217" spans="1:9" x14ac:dyDescent="0.2">
      <c r="A217" s="82">
        <f>'ERROR FINAL'!A220</f>
        <v>212</v>
      </c>
      <c r="B217" s="83">
        <f>'ERROR FINAL'!D220</f>
        <v>6</v>
      </c>
      <c r="C217" s="84">
        <f>'ERROR FINAL'!G220</f>
        <v>0</v>
      </c>
      <c r="D217" s="85">
        <f>'ERROR FINAL'!I220</f>
        <v>0</v>
      </c>
      <c r="E217" s="86">
        <f>'ERROR FINAL'!U220</f>
        <v>-100</v>
      </c>
      <c r="F217" s="87">
        <f>'ERROR FINAL'!AG220</f>
        <v>-100</v>
      </c>
      <c r="G217" s="87">
        <f>'ERROR FINAL'!AS220</f>
        <v>-100</v>
      </c>
      <c r="H217" s="88" t="str">
        <f>IF('ERROR FINAL'!AT220="CONFORME","CONFORME","NO CONFORME")</f>
        <v>NO CONFORME</v>
      </c>
      <c r="I217" s="89" t="str">
        <f t="shared" si="3"/>
        <v>Medición</v>
      </c>
    </row>
    <row r="218" spans="1:9" x14ac:dyDescent="0.2">
      <c r="A218" s="82">
        <f>'ERROR FINAL'!A221</f>
        <v>213</v>
      </c>
      <c r="B218" s="83">
        <f>'ERROR FINAL'!D221</f>
        <v>6</v>
      </c>
      <c r="C218" s="84">
        <f>'ERROR FINAL'!G221</f>
        <v>0</v>
      </c>
      <c r="D218" s="85">
        <f>'ERROR FINAL'!I221</f>
        <v>0</v>
      </c>
      <c r="E218" s="86">
        <f>'ERROR FINAL'!U221</f>
        <v>-100</v>
      </c>
      <c r="F218" s="87">
        <f>'ERROR FINAL'!AG221</f>
        <v>-100</v>
      </c>
      <c r="G218" s="87">
        <f>'ERROR FINAL'!AS221</f>
        <v>-100</v>
      </c>
      <c r="H218" s="88" t="str">
        <f>IF('ERROR FINAL'!AT221="CONFORME","CONFORME","NO CONFORME")</f>
        <v>NO CONFORME</v>
      </c>
      <c r="I218" s="89" t="str">
        <f t="shared" si="3"/>
        <v>Medición</v>
      </c>
    </row>
    <row r="219" spans="1:9" x14ac:dyDescent="0.2">
      <c r="A219" s="82">
        <f>'ERROR FINAL'!A222</f>
        <v>214</v>
      </c>
      <c r="B219" s="83">
        <f>'ERROR FINAL'!D222</f>
        <v>6</v>
      </c>
      <c r="C219" s="84">
        <f>'ERROR FINAL'!G222</f>
        <v>0</v>
      </c>
      <c r="D219" s="85">
        <f>'ERROR FINAL'!I222</f>
        <v>0</v>
      </c>
      <c r="E219" s="86">
        <f>'ERROR FINAL'!U222</f>
        <v>-100</v>
      </c>
      <c r="F219" s="87">
        <f>'ERROR FINAL'!AG222</f>
        <v>-100</v>
      </c>
      <c r="G219" s="87">
        <f>'ERROR FINAL'!AS222</f>
        <v>-100</v>
      </c>
      <c r="H219" s="88" t="str">
        <f>IF('ERROR FINAL'!AT222="CONFORME","CONFORME","NO CONFORME")</f>
        <v>NO CONFORME</v>
      </c>
      <c r="I219" s="89" t="str">
        <f t="shared" si="3"/>
        <v>Medición</v>
      </c>
    </row>
    <row r="220" spans="1:9" x14ac:dyDescent="0.2">
      <c r="A220" s="82">
        <f>'ERROR FINAL'!A223</f>
        <v>215</v>
      </c>
      <c r="B220" s="83">
        <f>'ERROR FINAL'!D223</f>
        <v>6</v>
      </c>
      <c r="C220" s="84">
        <f>'ERROR FINAL'!G223</f>
        <v>0</v>
      </c>
      <c r="D220" s="85">
        <f>'ERROR FINAL'!I223</f>
        <v>0</v>
      </c>
      <c r="E220" s="86">
        <f>'ERROR FINAL'!U223</f>
        <v>-100</v>
      </c>
      <c r="F220" s="87">
        <f>'ERROR FINAL'!AG223</f>
        <v>-100</v>
      </c>
      <c r="G220" s="87">
        <f>'ERROR FINAL'!AS223</f>
        <v>-100</v>
      </c>
      <c r="H220" s="88" t="str">
        <f>IF('ERROR FINAL'!AT223="CONFORME","CONFORME","NO CONFORME")</f>
        <v>NO CONFORME</v>
      </c>
      <c r="I220" s="89" t="str">
        <f t="shared" si="3"/>
        <v>Medición</v>
      </c>
    </row>
    <row r="221" spans="1:9" x14ac:dyDescent="0.2">
      <c r="A221" s="82">
        <f>'ERROR FINAL'!A224</f>
        <v>216</v>
      </c>
      <c r="B221" s="83">
        <f>'ERROR FINAL'!D224</f>
        <v>6</v>
      </c>
      <c r="C221" s="84">
        <f>'ERROR FINAL'!G224</f>
        <v>0</v>
      </c>
      <c r="D221" s="85">
        <f>'ERROR FINAL'!I224</f>
        <v>0</v>
      </c>
      <c r="E221" s="86">
        <f>'ERROR FINAL'!U224</f>
        <v>-100</v>
      </c>
      <c r="F221" s="87">
        <f>'ERROR FINAL'!AG224</f>
        <v>-100</v>
      </c>
      <c r="G221" s="87">
        <f>'ERROR FINAL'!AS224</f>
        <v>-100</v>
      </c>
      <c r="H221" s="88" t="str">
        <f>IF('ERROR FINAL'!AT224="CONFORME","CONFORME","NO CONFORME")</f>
        <v>NO CONFORME</v>
      </c>
      <c r="I221" s="89" t="str">
        <f t="shared" si="3"/>
        <v>Medición</v>
      </c>
    </row>
    <row r="222" spans="1:9" x14ac:dyDescent="0.2">
      <c r="A222" s="82">
        <f>'ERROR FINAL'!A225</f>
        <v>217</v>
      </c>
      <c r="B222" s="83">
        <f>'ERROR FINAL'!D225</f>
        <v>6</v>
      </c>
      <c r="C222" s="84">
        <f>'ERROR FINAL'!G225</f>
        <v>0</v>
      </c>
      <c r="D222" s="85">
        <f>'ERROR FINAL'!I225</f>
        <v>0</v>
      </c>
      <c r="E222" s="86">
        <f>'ERROR FINAL'!U225</f>
        <v>-100</v>
      </c>
      <c r="F222" s="87">
        <f>'ERROR FINAL'!AG225</f>
        <v>-100</v>
      </c>
      <c r="G222" s="87">
        <f>'ERROR FINAL'!AS225</f>
        <v>-100</v>
      </c>
      <c r="H222" s="88" t="str">
        <f>IF('ERROR FINAL'!AT225="CONFORME","CONFORME","NO CONFORME")</f>
        <v>NO CONFORME</v>
      </c>
      <c r="I222" s="89" t="str">
        <f t="shared" si="3"/>
        <v>Medición</v>
      </c>
    </row>
    <row r="223" spans="1:9" x14ac:dyDescent="0.2">
      <c r="A223" s="82">
        <f>'ERROR FINAL'!A226</f>
        <v>218</v>
      </c>
      <c r="B223" s="83">
        <f>'ERROR FINAL'!D226</f>
        <v>6</v>
      </c>
      <c r="C223" s="84">
        <f>'ERROR FINAL'!G226</f>
        <v>0</v>
      </c>
      <c r="D223" s="85">
        <f>'ERROR FINAL'!I226</f>
        <v>0</v>
      </c>
      <c r="E223" s="86">
        <f>'ERROR FINAL'!U226</f>
        <v>-100</v>
      </c>
      <c r="F223" s="87">
        <f>'ERROR FINAL'!AG226</f>
        <v>-100</v>
      </c>
      <c r="G223" s="87">
        <f>'ERROR FINAL'!AS226</f>
        <v>-100</v>
      </c>
      <c r="H223" s="88" t="str">
        <f>IF('ERROR FINAL'!AT226="CONFORME","CONFORME","NO CONFORME")</f>
        <v>NO CONFORME</v>
      </c>
      <c r="I223" s="89" t="str">
        <f t="shared" si="3"/>
        <v>Medición</v>
      </c>
    </row>
    <row r="224" spans="1:9" x14ac:dyDescent="0.2">
      <c r="A224" s="82">
        <f>'ERROR FINAL'!A227</f>
        <v>219</v>
      </c>
      <c r="B224" s="83">
        <f>'ERROR FINAL'!D227</f>
        <v>6</v>
      </c>
      <c r="C224" s="84">
        <f>'ERROR FINAL'!G227</f>
        <v>0</v>
      </c>
      <c r="D224" s="85">
        <f>'ERROR FINAL'!I227</f>
        <v>0</v>
      </c>
      <c r="E224" s="86">
        <f>'ERROR FINAL'!U227</f>
        <v>-100</v>
      </c>
      <c r="F224" s="87">
        <f>'ERROR FINAL'!AG227</f>
        <v>-100</v>
      </c>
      <c r="G224" s="87">
        <f>'ERROR FINAL'!AS227</f>
        <v>-100</v>
      </c>
      <c r="H224" s="88" t="str">
        <f>IF('ERROR FINAL'!AT227="CONFORME","CONFORME","NO CONFORME")</f>
        <v>NO CONFORME</v>
      </c>
      <c r="I224" s="89" t="str">
        <f t="shared" si="3"/>
        <v>Medición</v>
      </c>
    </row>
    <row r="225" spans="1:9" x14ac:dyDescent="0.2">
      <c r="A225" s="82">
        <f>'ERROR FINAL'!A228</f>
        <v>220</v>
      </c>
      <c r="B225" s="83">
        <f>'ERROR FINAL'!D228</f>
        <v>6</v>
      </c>
      <c r="C225" s="84">
        <f>'ERROR FINAL'!G228</f>
        <v>0</v>
      </c>
      <c r="D225" s="85">
        <f>'ERROR FINAL'!I228</f>
        <v>0</v>
      </c>
      <c r="E225" s="86">
        <f>'ERROR FINAL'!U228</f>
        <v>-100</v>
      </c>
      <c r="F225" s="87">
        <f>'ERROR FINAL'!AG228</f>
        <v>-100</v>
      </c>
      <c r="G225" s="87">
        <f>'ERROR FINAL'!AS228</f>
        <v>-100</v>
      </c>
      <c r="H225" s="88" t="str">
        <f>IF('ERROR FINAL'!AT228="CONFORME","CONFORME","NO CONFORME")</f>
        <v>NO CONFORME</v>
      </c>
      <c r="I225" s="89" t="str">
        <f t="shared" si="3"/>
        <v>Medición</v>
      </c>
    </row>
    <row r="226" spans="1:9" x14ac:dyDescent="0.2">
      <c r="A226" s="82">
        <f>'ERROR FINAL'!A229</f>
        <v>221</v>
      </c>
      <c r="B226" s="83">
        <f>'ERROR FINAL'!D229</f>
        <v>6</v>
      </c>
      <c r="C226" s="84">
        <f>'ERROR FINAL'!G229</f>
        <v>0</v>
      </c>
      <c r="D226" s="85">
        <f>'ERROR FINAL'!I229</f>
        <v>0</v>
      </c>
      <c r="E226" s="86">
        <f>'ERROR FINAL'!U229</f>
        <v>-100</v>
      </c>
      <c r="F226" s="87">
        <f>'ERROR FINAL'!AG229</f>
        <v>-100</v>
      </c>
      <c r="G226" s="87">
        <f>'ERROR FINAL'!AS229</f>
        <v>-100</v>
      </c>
      <c r="H226" s="88" t="str">
        <f>IF('ERROR FINAL'!AT229="CONFORME","CONFORME","NO CONFORME")</f>
        <v>NO CONFORME</v>
      </c>
      <c r="I226" s="89" t="str">
        <f t="shared" si="3"/>
        <v>Medición</v>
      </c>
    </row>
    <row r="227" spans="1:9" x14ac:dyDescent="0.2">
      <c r="A227" s="82">
        <f>'ERROR FINAL'!A230</f>
        <v>222</v>
      </c>
      <c r="B227" s="83">
        <f>'ERROR FINAL'!D230</f>
        <v>6</v>
      </c>
      <c r="C227" s="84">
        <f>'ERROR FINAL'!G230</f>
        <v>0</v>
      </c>
      <c r="D227" s="85">
        <f>'ERROR FINAL'!I230</f>
        <v>0</v>
      </c>
      <c r="E227" s="86">
        <f>'ERROR FINAL'!U230</f>
        <v>-100</v>
      </c>
      <c r="F227" s="87">
        <f>'ERROR FINAL'!AG230</f>
        <v>-100</v>
      </c>
      <c r="G227" s="87">
        <f>'ERROR FINAL'!AS230</f>
        <v>-100</v>
      </c>
      <c r="H227" s="88" t="str">
        <f>IF('ERROR FINAL'!AT230="CONFORME","CONFORME","NO CONFORME")</f>
        <v>NO CONFORME</v>
      </c>
      <c r="I227" s="89" t="str">
        <f t="shared" si="3"/>
        <v>Medición</v>
      </c>
    </row>
    <row r="228" spans="1:9" x14ac:dyDescent="0.2">
      <c r="A228" s="82">
        <f>'ERROR FINAL'!A231</f>
        <v>223</v>
      </c>
      <c r="B228" s="83">
        <f>'ERROR FINAL'!D231</f>
        <v>6</v>
      </c>
      <c r="C228" s="84">
        <f>'ERROR FINAL'!G231</f>
        <v>0</v>
      </c>
      <c r="D228" s="85">
        <f>'ERROR FINAL'!I231</f>
        <v>0</v>
      </c>
      <c r="E228" s="86">
        <f>'ERROR FINAL'!U231</f>
        <v>-100</v>
      </c>
      <c r="F228" s="87">
        <f>'ERROR FINAL'!AG231</f>
        <v>-100</v>
      </c>
      <c r="G228" s="87">
        <f>'ERROR FINAL'!AS231</f>
        <v>-100</v>
      </c>
      <c r="H228" s="88" t="str">
        <f>IF('ERROR FINAL'!AT231="CONFORME","CONFORME","NO CONFORME")</f>
        <v>NO CONFORME</v>
      </c>
      <c r="I228" s="89" t="str">
        <f t="shared" si="3"/>
        <v>Medición</v>
      </c>
    </row>
    <row r="229" spans="1:9" x14ac:dyDescent="0.2">
      <c r="A229" s="82">
        <f>'ERROR FINAL'!A232</f>
        <v>224</v>
      </c>
      <c r="B229" s="83">
        <f>'ERROR FINAL'!D232</f>
        <v>6</v>
      </c>
      <c r="C229" s="84">
        <f>'ERROR FINAL'!G232</f>
        <v>0</v>
      </c>
      <c r="D229" s="85">
        <f>'ERROR FINAL'!I232</f>
        <v>0</v>
      </c>
      <c r="E229" s="86">
        <f>'ERROR FINAL'!U232</f>
        <v>-100</v>
      </c>
      <c r="F229" s="87">
        <f>'ERROR FINAL'!AG232</f>
        <v>-100</v>
      </c>
      <c r="G229" s="87">
        <f>'ERROR FINAL'!AS232</f>
        <v>-100</v>
      </c>
      <c r="H229" s="88" t="str">
        <f>IF('ERROR FINAL'!AT232="CONFORME","CONFORME","NO CONFORME")</f>
        <v>NO CONFORME</v>
      </c>
      <c r="I229" s="89" t="str">
        <f t="shared" si="3"/>
        <v>Medición</v>
      </c>
    </row>
    <row r="230" spans="1:9" x14ac:dyDescent="0.2">
      <c r="A230" s="82">
        <f>'ERROR FINAL'!A233</f>
        <v>225</v>
      </c>
      <c r="B230" s="83">
        <f>'ERROR FINAL'!D233</f>
        <v>6</v>
      </c>
      <c r="C230" s="84">
        <f>'ERROR FINAL'!G233</f>
        <v>0</v>
      </c>
      <c r="D230" s="85">
        <f>'ERROR FINAL'!I233</f>
        <v>0</v>
      </c>
      <c r="E230" s="86">
        <f>'ERROR FINAL'!U233</f>
        <v>-100</v>
      </c>
      <c r="F230" s="87">
        <f>'ERROR FINAL'!AG233</f>
        <v>-100</v>
      </c>
      <c r="G230" s="87">
        <f>'ERROR FINAL'!AS233</f>
        <v>-100</v>
      </c>
      <c r="H230" s="88" t="str">
        <f>IF('ERROR FINAL'!AT233="CONFORME","CONFORME","NO CONFORME")</f>
        <v>NO CONFORME</v>
      </c>
      <c r="I230" s="89" t="str">
        <f t="shared" si="3"/>
        <v>Medición</v>
      </c>
    </row>
    <row r="231" spans="1:9" x14ac:dyDescent="0.2">
      <c r="A231" s="82">
        <f>'ERROR FINAL'!A234</f>
        <v>226</v>
      </c>
      <c r="B231" s="83">
        <f>'ERROR FINAL'!D234</f>
        <v>6</v>
      </c>
      <c r="C231" s="84">
        <f>'ERROR FINAL'!G234</f>
        <v>0</v>
      </c>
      <c r="D231" s="85">
        <f>'ERROR FINAL'!I234</f>
        <v>0</v>
      </c>
      <c r="E231" s="86">
        <f>'ERROR FINAL'!U234</f>
        <v>-100</v>
      </c>
      <c r="F231" s="87">
        <f>'ERROR FINAL'!AG234</f>
        <v>-100</v>
      </c>
      <c r="G231" s="87">
        <f>'ERROR FINAL'!AS234</f>
        <v>-100</v>
      </c>
      <c r="H231" s="88" t="str">
        <f>IF('ERROR FINAL'!AT234="CONFORME","CONFORME","NO CONFORME")</f>
        <v>NO CONFORME</v>
      </c>
      <c r="I231" s="89" t="str">
        <f t="shared" si="3"/>
        <v>Medición</v>
      </c>
    </row>
    <row r="232" spans="1:9" x14ac:dyDescent="0.2">
      <c r="A232" s="82">
        <f>'ERROR FINAL'!A235</f>
        <v>227</v>
      </c>
      <c r="B232" s="83">
        <f>'ERROR FINAL'!D235</f>
        <v>6</v>
      </c>
      <c r="C232" s="84">
        <f>'ERROR FINAL'!G235</f>
        <v>0</v>
      </c>
      <c r="D232" s="85">
        <f>'ERROR FINAL'!I235</f>
        <v>0</v>
      </c>
      <c r="E232" s="86">
        <f>'ERROR FINAL'!U235</f>
        <v>-100</v>
      </c>
      <c r="F232" s="87">
        <f>'ERROR FINAL'!AG235</f>
        <v>-100</v>
      </c>
      <c r="G232" s="87">
        <f>'ERROR FINAL'!AS235</f>
        <v>-100</v>
      </c>
      <c r="H232" s="88" t="str">
        <f>IF('ERROR FINAL'!AT235="CONFORME","CONFORME","NO CONFORME")</f>
        <v>NO CONFORME</v>
      </c>
      <c r="I232" s="89" t="str">
        <f t="shared" si="3"/>
        <v>Medición</v>
      </c>
    </row>
    <row r="233" spans="1:9" x14ac:dyDescent="0.2">
      <c r="A233" s="82">
        <f>'ERROR FINAL'!A236</f>
        <v>228</v>
      </c>
      <c r="B233" s="83">
        <f>'ERROR FINAL'!D236</f>
        <v>6</v>
      </c>
      <c r="C233" s="84">
        <f>'ERROR FINAL'!G236</f>
        <v>0</v>
      </c>
      <c r="D233" s="85">
        <f>'ERROR FINAL'!I236</f>
        <v>0</v>
      </c>
      <c r="E233" s="86">
        <f>'ERROR FINAL'!U236</f>
        <v>-100</v>
      </c>
      <c r="F233" s="87">
        <f>'ERROR FINAL'!AG236</f>
        <v>-100</v>
      </c>
      <c r="G233" s="87">
        <f>'ERROR FINAL'!AS236</f>
        <v>-100</v>
      </c>
      <c r="H233" s="88" t="str">
        <f>IF('ERROR FINAL'!AT236="CONFORME","CONFORME","NO CONFORME")</f>
        <v>NO CONFORME</v>
      </c>
      <c r="I233" s="89" t="str">
        <f t="shared" si="3"/>
        <v>Medición</v>
      </c>
    </row>
    <row r="234" spans="1:9" x14ac:dyDescent="0.2">
      <c r="A234" s="82">
        <f>'ERROR FINAL'!A237</f>
        <v>229</v>
      </c>
      <c r="B234" s="83">
        <f>'ERROR FINAL'!D237</f>
        <v>6</v>
      </c>
      <c r="C234" s="84">
        <f>'ERROR FINAL'!G237</f>
        <v>0</v>
      </c>
      <c r="D234" s="85">
        <f>'ERROR FINAL'!I237</f>
        <v>0</v>
      </c>
      <c r="E234" s="86">
        <f>'ERROR FINAL'!U237</f>
        <v>-100</v>
      </c>
      <c r="F234" s="87">
        <f>'ERROR FINAL'!AG237</f>
        <v>-100</v>
      </c>
      <c r="G234" s="87">
        <f>'ERROR FINAL'!AS237</f>
        <v>-100</v>
      </c>
      <c r="H234" s="88" t="str">
        <f>IF('ERROR FINAL'!AT237="CONFORME","CONFORME","NO CONFORME")</f>
        <v>NO CONFORME</v>
      </c>
      <c r="I234" s="89" t="str">
        <f t="shared" si="3"/>
        <v>Medición</v>
      </c>
    </row>
    <row r="235" spans="1:9" x14ac:dyDescent="0.2">
      <c r="A235" s="82">
        <f>'ERROR FINAL'!A238</f>
        <v>230</v>
      </c>
      <c r="B235" s="83">
        <f>'ERROR FINAL'!D238</f>
        <v>6</v>
      </c>
      <c r="C235" s="84">
        <f>'ERROR FINAL'!G238</f>
        <v>0</v>
      </c>
      <c r="D235" s="85">
        <f>'ERROR FINAL'!I238</f>
        <v>0</v>
      </c>
      <c r="E235" s="86">
        <f>'ERROR FINAL'!U238</f>
        <v>-100</v>
      </c>
      <c r="F235" s="87">
        <f>'ERROR FINAL'!AG238</f>
        <v>-100</v>
      </c>
      <c r="G235" s="87">
        <f>'ERROR FINAL'!AS238</f>
        <v>-100</v>
      </c>
      <c r="H235" s="88" t="str">
        <f>IF('ERROR FINAL'!AT238="CONFORME","CONFORME","NO CONFORME")</f>
        <v>NO CONFORME</v>
      </c>
      <c r="I235" s="89" t="str">
        <f t="shared" si="3"/>
        <v>Medición</v>
      </c>
    </row>
    <row r="236" spans="1:9" x14ac:dyDescent="0.2">
      <c r="A236" s="82">
        <f>'ERROR FINAL'!A239</f>
        <v>231</v>
      </c>
      <c r="B236" s="83">
        <f>'ERROR FINAL'!D239</f>
        <v>6</v>
      </c>
      <c r="C236" s="84">
        <f>'ERROR FINAL'!G239</f>
        <v>0</v>
      </c>
      <c r="D236" s="85">
        <f>'ERROR FINAL'!I239</f>
        <v>0</v>
      </c>
      <c r="E236" s="86">
        <f>'ERROR FINAL'!U239</f>
        <v>-100</v>
      </c>
      <c r="F236" s="87">
        <f>'ERROR FINAL'!AG239</f>
        <v>-100</v>
      </c>
      <c r="G236" s="87">
        <f>'ERROR FINAL'!AS239</f>
        <v>-100</v>
      </c>
      <c r="H236" s="88" t="str">
        <f>IF('ERROR FINAL'!AT239="CONFORME","CONFORME","NO CONFORME")</f>
        <v>NO CONFORME</v>
      </c>
      <c r="I236" s="89" t="str">
        <f t="shared" si="3"/>
        <v>Medición</v>
      </c>
    </row>
    <row r="237" spans="1:9" x14ac:dyDescent="0.2">
      <c r="A237" s="82">
        <f>'ERROR FINAL'!A240</f>
        <v>232</v>
      </c>
      <c r="B237" s="83">
        <f>'ERROR FINAL'!D240</f>
        <v>6</v>
      </c>
      <c r="C237" s="84">
        <f>'ERROR FINAL'!G240</f>
        <v>0</v>
      </c>
      <c r="D237" s="85">
        <f>'ERROR FINAL'!I240</f>
        <v>0</v>
      </c>
      <c r="E237" s="86">
        <f>'ERROR FINAL'!U240</f>
        <v>-100</v>
      </c>
      <c r="F237" s="87">
        <f>'ERROR FINAL'!AG240</f>
        <v>-100</v>
      </c>
      <c r="G237" s="87">
        <f>'ERROR FINAL'!AS240</f>
        <v>-100</v>
      </c>
      <c r="H237" s="88" t="str">
        <f>IF('ERROR FINAL'!AT240="CONFORME","CONFORME","NO CONFORME")</f>
        <v>NO CONFORME</v>
      </c>
      <c r="I237" s="89" t="str">
        <f t="shared" si="3"/>
        <v>Medición</v>
      </c>
    </row>
    <row r="238" spans="1:9" x14ac:dyDescent="0.2">
      <c r="A238" s="82">
        <f>'ERROR FINAL'!A241</f>
        <v>233</v>
      </c>
      <c r="B238" s="83">
        <f>'ERROR FINAL'!D241</f>
        <v>6</v>
      </c>
      <c r="C238" s="84">
        <f>'ERROR FINAL'!G241</f>
        <v>0</v>
      </c>
      <c r="D238" s="85">
        <f>'ERROR FINAL'!I241</f>
        <v>0</v>
      </c>
      <c r="E238" s="86">
        <f>'ERROR FINAL'!U241</f>
        <v>-100</v>
      </c>
      <c r="F238" s="87">
        <f>'ERROR FINAL'!AG241</f>
        <v>-100</v>
      </c>
      <c r="G238" s="87">
        <f>'ERROR FINAL'!AS241</f>
        <v>-100</v>
      </c>
      <c r="H238" s="88" t="str">
        <f>IF('ERROR FINAL'!AT241="CONFORME","CONFORME","NO CONFORME")</f>
        <v>NO CONFORME</v>
      </c>
      <c r="I238" s="89" t="str">
        <f t="shared" si="3"/>
        <v>Medición</v>
      </c>
    </row>
    <row r="239" spans="1:9" x14ac:dyDescent="0.2">
      <c r="A239" s="82">
        <f>'ERROR FINAL'!A242</f>
        <v>234</v>
      </c>
      <c r="B239" s="83">
        <f>'ERROR FINAL'!D242</f>
        <v>6</v>
      </c>
      <c r="C239" s="84">
        <f>'ERROR FINAL'!G242</f>
        <v>0</v>
      </c>
      <c r="D239" s="85">
        <f>'ERROR FINAL'!I242</f>
        <v>0</v>
      </c>
      <c r="E239" s="86">
        <f>'ERROR FINAL'!U242</f>
        <v>-100</v>
      </c>
      <c r="F239" s="87">
        <f>'ERROR FINAL'!AG242</f>
        <v>-100</v>
      </c>
      <c r="G239" s="87">
        <f>'ERROR FINAL'!AS242</f>
        <v>-100</v>
      </c>
      <c r="H239" s="88" t="str">
        <f>IF('ERROR FINAL'!AT242="CONFORME","CONFORME","NO CONFORME")</f>
        <v>NO CONFORME</v>
      </c>
      <c r="I239" s="89" t="str">
        <f t="shared" si="3"/>
        <v>Medición</v>
      </c>
    </row>
    <row r="240" spans="1:9" x14ac:dyDescent="0.2">
      <c r="A240" s="82">
        <f>'ERROR FINAL'!A243</f>
        <v>235</v>
      </c>
      <c r="B240" s="83">
        <f>'ERROR FINAL'!D243</f>
        <v>6</v>
      </c>
      <c r="C240" s="84">
        <f>'ERROR FINAL'!G243</f>
        <v>0</v>
      </c>
      <c r="D240" s="85">
        <f>'ERROR FINAL'!I243</f>
        <v>0</v>
      </c>
      <c r="E240" s="86">
        <f>'ERROR FINAL'!U243</f>
        <v>-100</v>
      </c>
      <c r="F240" s="87">
        <f>'ERROR FINAL'!AG243</f>
        <v>-100</v>
      </c>
      <c r="G240" s="87">
        <f>'ERROR FINAL'!AS243</f>
        <v>-100</v>
      </c>
      <c r="H240" s="88" t="str">
        <f>IF('ERROR FINAL'!AT243="CONFORME","CONFORME","NO CONFORME")</f>
        <v>NO CONFORME</v>
      </c>
      <c r="I240" s="89" t="str">
        <f t="shared" si="3"/>
        <v>Medición</v>
      </c>
    </row>
    <row r="241" spans="1:9" x14ac:dyDescent="0.2">
      <c r="A241" s="82">
        <f>'ERROR FINAL'!A244</f>
        <v>236</v>
      </c>
      <c r="B241" s="83">
        <f>'ERROR FINAL'!D244</f>
        <v>6</v>
      </c>
      <c r="C241" s="84">
        <f>'ERROR FINAL'!G244</f>
        <v>0</v>
      </c>
      <c r="D241" s="85">
        <f>'ERROR FINAL'!I244</f>
        <v>0</v>
      </c>
      <c r="E241" s="86">
        <f>'ERROR FINAL'!U244</f>
        <v>-100</v>
      </c>
      <c r="F241" s="87">
        <f>'ERROR FINAL'!AG244</f>
        <v>-100</v>
      </c>
      <c r="G241" s="87">
        <f>'ERROR FINAL'!AS244</f>
        <v>-100</v>
      </c>
      <c r="H241" s="88" t="str">
        <f>IF('ERROR FINAL'!AT244="CONFORME","CONFORME","NO CONFORME")</f>
        <v>NO CONFORME</v>
      </c>
      <c r="I241" s="89" t="str">
        <f t="shared" si="3"/>
        <v>Medición</v>
      </c>
    </row>
    <row r="242" spans="1:9" x14ac:dyDescent="0.2">
      <c r="A242" s="82">
        <f>'ERROR FINAL'!A245</f>
        <v>237</v>
      </c>
      <c r="B242" s="83">
        <f>'ERROR FINAL'!D245</f>
        <v>6</v>
      </c>
      <c r="C242" s="84">
        <f>'ERROR FINAL'!G245</f>
        <v>0</v>
      </c>
      <c r="D242" s="85">
        <f>'ERROR FINAL'!I245</f>
        <v>0</v>
      </c>
      <c r="E242" s="86">
        <f>'ERROR FINAL'!U245</f>
        <v>-100</v>
      </c>
      <c r="F242" s="87">
        <f>'ERROR FINAL'!AG245</f>
        <v>-100</v>
      </c>
      <c r="G242" s="87">
        <f>'ERROR FINAL'!AS245</f>
        <v>-100</v>
      </c>
      <c r="H242" s="88" t="str">
        <f>IF('ERROR FINAL'!AT245="CONFORME","CONFORME","NO CONFORME")</f>
        <v>NO CONFORME</v>
      </c>
      <c r="I242" s="89" t="str">
        <f t="shared" si="3"/>
        <v>Medición</v>
      </c>
    </row>
    <row r="243" spans="1:9" x14ac:dyDescent="0.2">
      <c r="A243" s="82">
        <f>'ERROR FINAL'!A246</f>
        <v>238</v>
      </c>
      <c r="B243" s="83">
        <f>'ERROR FINAL'!D246</f>
        <v>6</v>
      </c>
      <c r="C243" s="84">
        <f>'ERROR FINAL'!G246</f>
        <v>0</v>
      </c>
      <c r="D243" s="85">
        <f>'ERROR FINAL'!I246</f>
        <v>0</v>
      </c>
      <c r="E243" s="86">
        <f>'ERROR FINAL'!U246</f>
        <v>-100</v>
      </c>
      <c r="F243" s="87">
        <f>'ERROR FINAL'!AG246</f>
        <v>-100</v>
      </c>
      <c r="G243" s="87">
        <f>'ERROR FINAL'!AS246</f>
        <v>-100</v>
      </c>
      <c r="H243" s="88" t="str">
        <f>IF('ERROR FINAL'!AT246="CONFORME","CONFORME","NO CONFORME")</f>
        <v>NO CONFORME</v>
      </c>
      <c r="I243" s="89" t="str">
        <f t="shared" si="3"/>
        <v>Medición</v>
      </c>
    </row>
    <row r="244" spans="1:9" x14ac:dyDescent="0.2">
      <c r="A244" s="82">
        <f>'ERROR FINAL'!A247</f>
        <v>239</v>
      </c>
      <c r="B244" s="83">
        <f>'ERROR FINAL'!D247</f>
        <v>6</v>
      </c>
      <c r="C244" s="84">
        <f>'ERROR FINAL'!G247</f>
        <v>0</v>
      </c>
      <c r="D244" s="85">
        <f>'ERROR FINAL'!I247</f>
        <v>0</v>
      </c>
      <c r="E244" s="86">
        <f>'ERROR FINAL'!U247</f>
        <v>-100</v>
      </c>
      <c r="F244" s="87">
        <f>'ERROR FINAL'!AG247</f>
        <v>-100</v>
      </c>
      <c r="G244" s="87">
        <f>'ERROR FINAL'!AS247</f>
        <v>-100</v>
      </c>
      <c r="H244" s="88" t="str">
        <f>IF('ERROR FINAL'!AT247="CONFORME","CONFORME","NO CONFORME")</f>
        <v>NO CONFORME</v>
      </c>
      <c r="I244" s="89" t="str">
        <f t="shared" si="3"/>
        <v>Medición</v>
      </c>
    </row>
    <row r="245" spans="1:9" x14ac:dyDescent="0.2">
      <c r="A245" s="82">
        <f>'ERROR FINAL'!A248</f>
        <v>240</v>
      </c>
      <c r="B245" s="83">
        <f>'ERROR FINAL'!D248</f>
        <v>6</v>
      </c>
      <c r="C245" s="84">
        <f>'ERROR FINAL'!G248</f>
        <v>0</v>
      </c>
      <c r="D245" s="85">
        <f>'ERROR FINAL'!I248</f>
        <v>0</v>
      </c>
      <c r="E245" s="86">
        <f>'ERROR FINAL'!U248</f>
        <v>-100</v>
      </c>
      <c r="F245" s="87">
        <f>'ERROR FINAL'!AG248</f>
        <v>-100</v>
      </c>
      <c r="G245" s="87">
        <f>'ERROR FINAL'!AS248</f>
        <v>-100</v>
      </c>
      <c r="H245" s="88" t="str">
        <f>IF('ERROR FINAL'!AT248="CONFORME","CONFORME","NO CONFORME")</f>
        <v>NO CONFORME</v>
      </c>
      <c r="I245" s="89" t="str">
        <f t="shared" si="3"/>
        <v>Medición</v>
      </c>
    </row>
    <row r="246" spans="1:9" x14ac:dyDescent="0.2">
      <c r="A246" s="82">
        <f>'ERROR FINAL'!A249</f>
        <v>241</v>
      </c>
      <c r="B246" s="83">
        <f>'ERROR FINAL'!D249</f>
        <v>6</v>
      </c>
      <c r="C246" s="84">
        <f>'ERROR FINAL'!G249</f>
        <v>0</v>
      </c>
      <c r="D246" s="85">
        <f>'ERROR FINAL'!I249</f>
        <v>0</v>
      </c>
      <c r="E246" s="86">
        <f>'ERROR FINAL'!U249</f>
        <v>-100</v>
      </c>
      <c r="F246" s="87">
        <f>'ERROR FINAL'!AG249</f>
        <v>-100</v>
      </c>
      <c r="G246" s="87">
        <f>'ERROR FINAL'!AS249</f>
        <v>-100</v>
      </c>
      <c r="H246" s="88" t="str">
        <f>IF('ERROR FINAL'!AT249="CONFORME","CONFORME","NO CONFORME")</f>
        <v>NO CONFORME</v>
      </c>
      <c r="I246" s="89" t="str">
        <f t="shared" si="3"/>
        <v>Medición</v>
      </c>
    </row>
    <row r="247" spans="1:9" x14ac:dyDescent="0.2">
      <c r="A247" s="82">
        <f>'ERROR FINAL'!A250</f>
        <v>242</v>
      </c>
      <c r="B247" s="83">
        <f>'ERROR FINAL'!D250</f>
        <v>6</v>
      </c>
      <c r="C247" s="84">
        <f>'ERROR FINAL'!G250</f>
        <v>0</v>
      </c>
      <c r="D247" s="85">
        <f>'ERROR FINAL'!I250</f>
        <v>0</v>
      </c>
      <c r="E247" s="86">
        <f>'ERROR FINAL'!U250</f>
        <v>-100</v>
      </c>
      <c r="F247" s="87">
        <f>'ERROR FINAL'!AG250</f>
        <v>-100</v>
      </c>
      <c r="G247" s="87">
        <f>'ERROR FINAL'!AS250</f>
        <v>-100</v>
      </c>
      <c r="H247" s="88" t="str">
        <f>IF('ERROR FINAL'!AT250="CONFORME","CONFORME","NO CONFORME")</f>
        <v>NO CONFORME</v>
      </c>
      <c r="I247" s="89" t="str">
        <f t="shared" si="3"/>
        <v>Medición</v>
      </c>
    </row>
    <row r="248" spans="1:9" x14ac:dyDescent="0.2">
      <c r="A248" s="82">
        <f>'ERROR FINAL'!A251</f>
        <v>243</v>
      </c>
      <c r="B248" s="83">
        <f>'ERROR FINAL'!D251</f>
        <v>6</v>
      </c>
      <c r="C248" s="84">
        <f>'ERROR FINAL'!G251</f>
        <v>0</v>
      </c>
      <c r="D248" s="85">
        <f>'ERROR FINAL'!I251</f>
        <v>0</v>
      </c>
      <c r="E248" s="86">
        <f>'ERROR FINAL'!U251</f>
        <v>-100</v>
      </c>
      <c r="F248" s="87">
        <f>'ERROR FINAL'!AG251</f>
        <v>-100</v>
      </c>
      <c r="G248" s="87">
        <f>'ERROR FINAL'!AS251</f>
        <v>-100</v>
      </c>
      <c r="H248" s="88" t="str">
        <f>IF('ERROR FINAL'!AT251="CONFORME","CONFORME","NO CONFORME")</f>
        <v>NO CONFORME</v>
      </c>
      <c r="I248" s="89" t="str">
        <f t="shared" si="3"/>
        <v>Medición</v>
      </c>
    </row>
    <row r="249" spans="1:9" x14ac:dyDescent="0.2">
      <c r="A249" s="82">
        <f>'ERROR FINAL'!A252</f>
        <v>244</v>
      </c>
      <c r="B249" s="83">
        <f>'ERROR FINAL'!D252</f>
        <v>6</v>
      </c>
      <c r="C249" s="84">
        <f>'ERROR FINAL'!G252</f>
        <v>0</v>
      </c>
      <c r="D249" s="85">
        <f>'ERROR FINAL'!I252</f>
        <v>0</v>
      </c>
      <c r="E249" s="86">
        <f>'ERROR FINAL'!U252</f>
        <v>-100</v>
      </c>
      <c r="F249" s="87">
        <f>'ERROR FINAL'!AG252</f>
        <v>-100</v>
      </c>
      <c r="G249" s="87">
        <f>'ERROR FINAL'!AS252</f>
        <v>-100</v>
      </c>
      <c r="H249" s="88" t="str">
        <f>IF('ERROR FINAL'!AT252="CONFORME","CONFORME","NO CONFORME")</f>
        <v>NO CONFORME</v>
      </c>
      <c r="I249" s="89" t="str">
        <f t="shared" si="3"/>
        <v>Medición</v>
      </c>
    </row>
    <row r="250" spans="1:9" x14ac:dyDescent="0.2">
      <c r="A250" s="82">
        <f>'ERROR FINAL'!A253</f>
        <v>245</v>
      </c>
      <c r="B250" s="83">
        <f>'ERROR FINAL'!D253</f>
        <v>6</v>
      </c>
      <c r="C250" s="84">
        <f>'ERROR FINAL'!G253</f>
        <v>0</v>
      </c>
      <c r="D250" s="85">
        <f>'ERROR FINAL'!I253</f>
        <v>0</v>
      </c>
      <c r="E250" s="86">
        <f>'ERROR FINAL'!U253</f>
        <v>-100</v>
      </c>
      <c r="F250" s="87">
        <f>'ERROR FINAL'!AG253</f>
        <v>-100</v>
      </c>
      <c r="G250" s="87">
        <f>'ERROR FINAL'!AS253</f>
        <v>-100</v>
      </c>
      <c r="H250" s="88" t="str">
        <f>IF('ERROR FINAL'!AT253="CONFORME","CONFORME","NO CONFORME")</f>
        <v>NO CONFORME</v>
      </c>
      <c r="I250" s="89" t="str">
        <f t="shared" si="3"/>
        <v>Medición</v>
      </c>
    </row>
    <row r="251" spans="1:9" x14ac:dyDescent="0.2">
      <c r="A251" s="82">
        <f>'ERROR FINAL'!A254</f>
        <v>246</v>
      </c>
      <c r="B251" s="83">
        <f>'ERROR FINAL'!D254</f>
        <v>6</v>
      </c>
      <c r="C251" s="84">
        <f>'ERROR FINAL'!G254</f>
        <v>0</v>
      </c>
      <c r="D251" s="85">
        <f>'ERROR FINAL'!I254</f>
        <v>0</v>
      </c>
      <c r="E251" s="86">
        <f>'ERROR FINAL'!U254</f>
        <v>-100</v>
      </c>
      <c r="F251" s="87">
        <f>'ERROR FINAL'!AG254</f>
        <v>-100</v>
      </c>
      <c r="G251" s="87">
        <f>'ERROR FINAL'!AS254</f>
        <v>-100</v>
      </c>
      <c r="H251" s="88" t="str">
        <f>IF('ERROR FINAL'!AT254="CONFORME","CONFORME","NO CONFORME")</f>
        <v>NO CONFORME</v>
      </c>
      <c r="I251" s="89" t="str">
        <f t="shared" si="3"/>
        <v>Medición</v>
      </c>
    </row>
    <row r="252" spans="1:9" x14ac:dyDescent="0.2">
      <c r="A252" s="82">
        <f>'ERROR FINAL'!A255</f>
        <v>247</v>
      </c>
      <c r="B252" s="83">
        <f>'ERROR FINAL'!D255</f>
        <v>6</v>
      </c>
      <c r="C252" s="84">
        <f>'ERROR FINAL'!G255</f>
        <v>0</v>
      </c>
      <c r="D252" s="85">
        <f>'ERROR FINAL'!I255</f>
        <v>0</v>
      </c>
      <c r="E252" s="86">
        <f>'ERROR FINAL'!U255</f>
        <v>-100</v>
      </c>
      <c r="F252" s="87">
        <f>'ERROR FINAL'!AG255</f>
        <v>-100</v>
      </c>
      <c r="G252" s="87">
        <f>'ERROR FINAL'!AS255</f>
        <v>-100</v>
      </c>
      <c r="H252" s="88" t="str">
        <f>IF('ERROR FINAL'!AT255="CONFORME","CONFORME","NO CONFORME")</f>
        <v>NO CONFORME</v>
      </c>
      <c r="I252" s="89" t="str">
        <f t="shared" si="3"/>
        <v>Medición</v>
      </c>
    </row>
    <row r="253" spans="1:9" x14ac:dyDescent="0.2">
      <c r="A253" s="82">
        <f>'ERROR FINAL'!A256</f>
        <v>248</v>
      </c>
      <c r="B253" s="83">
        <f>'ERROR FINAL'!D256</f>
        <v>6</v>
      </c>
      <c r="C253" s="84">
        <f>'ERROR FINAL'!G256</f>
        <v>0</v>
      </c>
      <c r="D253" s="85">
        <f>'ERROR FINAL'!I256</f>
        <v>0</v>
      </c>
      <c r="E253" s="86">
        <f>'ERROR FINAL'!U256</f>
        <v>-100</v>
      </c>
      <c r="F253" s="87">
        <f>'ERROR FINAL'!AG256</f>
        <v>-100</v>
      </c>
      <c r="G253" s="87">
        <f>'ERROR FINAL'!AS256</f>
        <v>-100</v>
      </c>
      <c r="H253" s="88" t="str">
        <f>IF('ERROR FINAL'!AT256="CONFORME","CONFORME","NO CONFORME")</f>
        <v>NO CONFORME</v>
      </c>
      <c r="I253" s="89" t="str">
        <f t="shared" si="3"/>
        <v>Medición</v>
      </c>
    </row>
    <row r="254" spans="1:9" x14ac:dyDescent="0.2">
      <c r="A254" s="82">
        <f>'ERROR FINAL'!A257</f>
        <v>249</v>
      </c>
      <c r="B254" s="83">
        <f>'ERROR FINAL'!D257</f>
        <v>6</v>
      </c>
      <c r="C254" s="84">
        <f>'ERROR FINAL'!G257</f>
        <v>0</v>
      </c>
      <c r="D254" s="85">
        <f>'ERROR FINAL'!I257</f>
        <v>0</v>
      </c>
      <c r="E254" s="86">
        <f>'ERROR FINAL'!U257</f>
        <v>-100</v>
      </c>
      <c r="F254" s="87">
        <f>'ERROR FINAL'!AG257</f>
        <v>-100</v>
      </c>
      <c r="G254" s="87">
        <f>'ERROR FINAL'!AS257</f>
        <v>-100</v>
      </c>
      <c r="H254" s="88" t="str">
        <f>IF('ERROR FINAL'!AT257="CONFORME","CONFORME","NO CONFORME")</f>
        <v>NO CONFORME</v>
      </c>
      <c r="I254" s="89" t="str">
        <f t="shared" si="3"/>
        <v>Medición</v>
      </c>
    </row>
    <row r="255" spans="1:9" x14ac:dyDescent="0.2">
      <c r="A255" s="82">
        <f>'ERROR FINAL'!A258</f>
        <v>250</v>
      </c>
      <c r="B255" s="83">
        <f>'ERROR FINAL'!D258</f>
        <v>6</v>
      </c>
      <c r="C255" s="84">
        <f>'ERROR FINAL'!G258</f>
        <v>0</v>
      </c>
      <c r="D255" s="85">
        <f>'ERROR FINAL'!I258</f>
        <v>0</v>
      </c>
      <c r="E255" s="86">
        <f>'ERROR FINAL'!U258</f>
        <v>-100</v>
      </c>
      <c r="F255" s="87">
        <f>'ERROR FINAL'!AG258</f>
        <v>-100</v>
      </c>
      <c r="G255" s="87">
        <f>'ERROR FINAL'!AS258</f>
        <v>-100</v>
      </c>
      <c r="H255" s="88" t="str">
        <f>IF('ERROR FINAL'!AT258="CONFORME","CONFORME","NO CONFORME")</f>
        <v>NO CONFORME</v>
      </c>
      <c r="I255" s="89" t="str">
        <f t="shared" si="3"/>
        <v>Medición</v>
      </c>
    </row>
    <row r="256" spans="1:9" x14ac:dyDescent="0.2">
      <c r="A256" s="82">
        <f>'ERROR FINAL'!A259</f>
        <v>251</v>
      </c>
      <c r="B256" s="83">
        <f>'ERROR FINAL'!D259</f>
        <v>6</v>
      </c>
      <c r="C256" s="84">
        <f>'ERROR FINAL'!G259</f>
        <v>0</v>
      </c>
      <c r="D256" s="85">
        <f>'ERROR FINAL'!I259</f>
        <v>0</v>
      </c>
      <c r="E256" s="86">
        <f>'ERROR FINAL'!U259</f>
        <v>-100</v>
      </c>
      <c r="F256" s="87">
        <f>'ERROR FINAL'!AG259</f>
        <v>-100</v>
      </c>
      <c r="G256" s="87">
        <f>'ERROR FINAL'!AS259</f>
        <v>-100</v>
      </c>
      <c r="H256" s="88" t="str">
        <f>IF('ERROR FINAL'!AT259="CONFORME","CONFORME","NO CONFORME")</f>
        <v>NO CONFORME</v>
      </c>
      <c r="I256" s="89" t="str">
        <f t="shared" si="3"/>
        <v>Medición</v>
      </c>
    </row>
    <row r="257" spans="1:9" x14ac:dyDescent="0.2">
      <c r="A257" s="82">
        <f>'ERROR FINAL'!A260</f>
        <v>252</v>
      </c>
      <c r="B257" s="83">
        <f>'ERROR FINAL'!D260</f>
        <v>6</v>
      </c>
      <c r="C257" s="84">
        <f>'ERROR FINAL'!G260</f>
        <v>0</v>
      </c>
      <c r="D257" s="85">
        <f>'ERROR FINAL'!I260</f>
        <v>0</v>
      </c>
      <c r="E257" s="86">
        <f>'ERROR FINAL'!U260</f>
        <v>-100</v>
      </c>
      <c r="F257" s="87">
        <f>'ERROR FINAL'!AG260</f>
        <v>-100</v>
      </c>
      <c r="G257" s="87">
        <f>'ERROR FINAL'!AS260</f>
        <v>-100</v>
      </c>
      <c r="H257" s="88" t="str">
        <f>IF('ERROR FINAL'!AT260="CONFORME","CONFORME","NO CONFORME")</f>
        <v>NO CONFORME</v>
      </c>
      <c r="I257" s="89" t="str">
        <f t="shared" si="3"/>
        <v>Medición</v>
      </c>
    </row>
    <row r="258" spans="1:9" x14ac:dyDescent="0.2">
      <c r="A258" s="82">
        <f>'ERROR FINAL'!A261</f>
        <v>253</v>
      </c>
      <c r="B258" s="83">
        <f>'ERROR FINAL'!D261</f>
        <v>6</v>
      </c>
      <c r="C258" s="84">
        <f>'ERROR FINAL'!G261</f>
        <v>0</v>
      </c>
      <c r="D258" s="85">
        <f>'ERROR FINAL'!I261</f>
        <v>0</v>
      </c>
      <c r="E258" s="86">
        <f>'ERROR FINAL'!U261</f>
        <v>-100</v>
      </c>
      <c r="F258" s="87">
        <f>'ERROR FINAL'!AG261</f>
        <v>-100</v>
      </c>
      <c r="G258" s="87">
        <f>'ERROR FINAL'!AS261</f>
        <v>-100</v>
      </c>
      <c r="H258" s="88" t="str">
        <f>IF('ERROR FINAL'!AT261="CONFORME","CONFORME","NO CONFORME")</f>
        <v>NO CONFORME</v>
      </c>
      <c r="I258" s="89" t="str">
        <f t="shared" si="3"/>
        <v>Medición</v>
      </c>
    </row>
    <row r="259" spans="1:9" x14ac:dyDescent="0.2">
      <c r="A259" s="82">
        <f>'ERROR FINAL'!A262</f>
        <v>254</v>
      </c>
      <c r="B259" s="83">
        <f>'ERROR FINAL'!D262</f>
        <v>6</v>
      </c>
      <c r="C259" s="84">
        <f>'ERROR FINAL'!G262</f>
        <v>0</v>
      </c>
      <c r="D259" s="85">
        <f>'ERROR FINAL'!I262</f>
        <v>0</v>
      </c>
      <c r="E259" s="86">
        <f>'ERROR FINAL'!U262</f>
        <v>-100</v>
      </c>
      <c r="F259" s="87">
        <f>'ERROR FINAL'!AG262</f>
        <v>-100</v>
      </c>
      <c r="G259" s="87">
        <f>'ERROR FINAL'!AS262</f>
        <v>-100</v>
      </c>
      <c r="H259" s="88" t="str">
        <f>IF('ERROR FINAL'!AT262="CONFORME","CONFORME","NO CONFORME")</f>
        <v>NO CONFORME</v>
      </c>
      <c r="I259" s="89" t="str">
        <f t="shared" si="3"/>
        <v>Medición</v>
      </c>
    </row>
    <row r="260" spans="1:9" x14ac:dyDescent="0.2">
      <c r="A260" s="82">
        <f>'ERROR FINAL'!A263</f>
        <v>255</v>
      </c>
      <c r="B260" s="83">
        <f>'ERROR FINAL'!D263</f>
        <v>6</v>
      </c>
      <c r="C260" s="84">
        <f>'ERROR FINAL'!G263</f>
        <v>0</v>
      </c>
      <c r="D260" s="85">
        <f>'ERROR FINAL'!I263</f>
        <v>0</v>
      </c>
      <c r="E260" s="86">
        <f>'ERROR FINAL'!U263</f>
        <v>-100</v>
      </c>
      <c r="F260" s="87">
        <f>'ERROR FINAL'!AG263</f>
        <v>-100</v>
      </c>
      <c r="G260" s="87">
        <f>'ERROR FINAL'!AS263</f>
        <v>-100</v>
      </c>
      <c r="H260" s="88" t="str">
        <f>IF('ERROR FINAL'!AT263="CONFORME","CONFORME","NO CONFORME")</f>
        <v>NO CONFORME</v>
      </c>
      <c r="I260" s="89" t="str">
        <f t="shared" si="3"/>
        <v>Medición</v>
      </c>
    </row>
    <row r="261" spans="1:9" x14ac:dyDescent="0.2">
      <c r="A261" s="82">
        <f>'ERROR FINAL'!A264</f>
        <v>256</v>
      </c>
      <c r="B261" s="83">
        <f>'ERROR FINAL'!D264</f>
        <v>6</v>
      </c>
      <c r="C261" s="84">
        <f>'ERROR FINAL'!G264</f>
        <v>0</v>
      </c>
      <c r="D261" s="85">
        <f>'ERROR FINAL'!I264</f>
        <v>0</v>
      </c>
      <c r="E261" s="86">
        <f>'ERROR FINAL'!U264</f>
        <v>-100</v>
      </c>
      <c r="F261" s="87">
        <f>'ERROR FINAL'!AG264</f>
        <v>-100</v>
      </c>
      <c r="G261" s="87">
        <f>'ERROR FINAL'!AS264</f>
        <v>-100</v>
      </c>
      <c r="H261" s="88" t="str">
        <f>IF('ERROR FINAL'!AT264="CONFORME","CONFORME","NO CONFORME")</f>
        <v>NO CONFORME</v>
      </c>
      <c r="I261" s="89" t="str">
        <f t="shared" si="3"/>
        <v>Medición</v>
      </c>
    </row>
    <row r="262" spans="1:9" x14ac:dyDescent="0.2">
      <c r="A262" s="82">
        <f>'ERROR FINAL'!A265</f>
        <v>257</v>
      </c>
      <c r="B262" s="83">
        <f>'ERROR FINAL'!D265</f>
        <v>6</v>
      </c>
      <c r="C262" s="84">
        <f>'ERROR FINAL'!G265</f>
        <v>0</v>
      </c>
      <c r="D262" s="85">
        <f>'ERROR FINAL'!I265</f>
        <v>0</v>
      </c>
      <c r="E262" s="86">
        <f>'ERROR FINAL'!U265</f>
        <v>-100</v>
      </c>
      <c r="F262" s="87">
        <f>'ERROR FINAL'!AG265</f>
        <v>-100</v>
      </c>
      <c r="G262" s="87">
        <f>'ERROR FINAL'!AS265</f>
        <v>-100</v>
      </c>
      <c r="H262" s="88" t="str">
        <f>IF('ERROR FINAL'!AT265="CONFORME","CONFORME","NO CONFORME")</f>
        <v>NO CONFORME</v>
      </c>
      <c r="I262" s="89" t="str">
        <f t="shared" si="3"/>
        <v>Medición</v>
      </c>
    </row>
    <row r="263" spans="1:9" x14ac:dyDescent="0.2">
      <c r="A263" s="82">
        <f>'ERROR FINAL'!A266</f>
        <v>258</v>
      </c>
      <c r="B263" s="83">
        <f>'ERROR FINAL'!D266</f>
        <v>6</v>
      </c>
      <c r="C263" s="84">
        <f>'ERROR FINAL'!G266</f>
        <v>0</v>
      </c>
      <c r="D263" s="85">
        <f>'ERROR FINAL'!I266</f>
        <v>0</v>
      </c>
      <c r="E263" s="86">
        <f>'ERROR FINAL'!U266</f>
        <v>-100</v>
      </c>
      <c r="F263" s="87">
        <f>'ERROR FINAL'!AG266</f>
        <v>-100</v>
      </c>
      <c r="G263" s="87">
        <f>'ERROR FINAL'!AS266</f>
        <v>-100</v>
      </c>
      <c r="H263" s="88" t="str">
        <f>IF('ERROR FINAL'!AT266="CONFORME","CONFORME","NO CONFORME")</f>
        <v>NO CONFORME</v>
      </c>
      <c r="I263" s="89" t="str">
        <f t="shared" ref="I263:I326" si="4">IF(D263=0,"Medición",IF(D263=1,"Daño físico",IF(D263=2,"Fuga",IF(D263=3,"Picado",IF(D263=4,"Desfasado",IF(D263=5,"Paralizado","¿?"))))))</f>
        <v>Medición</v>
      </c>
    </row>
    <row r="264" spans="1:9" x14ac:dyDescent="0.2">
      <c r="A264" s="82">
        <f>'ERROR FINAL'!A267</f>
        <v>259</v>
      </c>
      <c r="B264" s="83">
        <f>'ERROR FINAL'!D267</f>
        <v>6</v>
      </c>
      <c r="C264" s="84">
        <f>'ERROR FINAL'!G267</f>
        <v>0</v>
      </c>
      <c r="D264" s="85">
        <f>'ERROR FINAL'!I267</f>
        <v>0</v>
      </c>
      <c r="E264" s="86">
        <f>'ERROR FINAL'!U267</f>
        <v>-100</v>
      </c>
      <c r="F264" s="87">
        <f>'ERROR FINAL'!AG267</f>
        <v>-100</v>
      </c>
      <c r="G264" s="87">
        <f>'ERROR FINAL'!AS267</f>
        <v>-100</v>
      </c>
      <c r="H264" s="88" t="str">
        <f>IF('ERROR FINAL'!AT267="CONFORME","CONFORME","NO CONFORME")</f>
        <v>NO CONFORME</v>
      </c>
      <c r="I264" s="89" t="str">
        <f t="shared" si="4"/>
        <v>Medición</v>
      </c>
    </row>
    <row r="265" spans="1:9" x14ac:dyDescent="0.2">
      <c r="A265" s="82">
        <f>'ERROR FINAL'!A268</f>
        <v>260</v>
      </c>
      <c r="B265" s="83">
        <f>'ERROR FINAL'!D268</f>
        <v>6</v>
      </c>
      <c r="C265" s="84">
        <f>'ERROR FINAL'!G268</f>
        <v>0</v>
      </c>
      <c r="D265" s="85">
        <f>'ERROR FINAL'!I268</f>
        <v>0</v>
      </c>
      <c r="E265" s="86">
        <f>'ERROR FINAL'!U268</f>
        <v>-100</v>
      </c>
      <c r="F265" s="87">
        <f>'ERROR FINAL'!AG268</f>
        <v>-100</v>
      </c>
      <c r="G265" s="87">
        <f>'ERROR FINAL'!AS268</f>
        <v>-100</v>
      </c>
      <c r="H265" s="88" t="str">
        <f>IF('ERROR FINAL'!AT268="CONFORME","CONFORME","NO CONFORME")</f>
        <v>NO CONFORME</v>
      </c>
      <c r="I265" s="89" t="str">
        <f t="shared" si="4"/>
        <v>Medición</v>
      </c>
    </row>
    <row r="266" spans="1:9" x14ac:dyDescent="0.2">
      <c r="A266" s="82">
        <f>'ERROR FINAL'!A269</f>
        <v>261</v>
      </c>
      <c r="B266" s="83">
        <f>'ERROR FINAL'!D269</f>
        <v>6</v>
      </c>
      <c r="C266" s="84">
        <f>'ERROR FINAL'!G269</f>
        <v>0</v>
      </c>
      <c r="D266" s="85">
        <f>'ERROR FINAL'!I269</f>
        <v>0</v>
      </c>
      <c r="E266" s="86">
        <f>'ERROR FINAL'!U269</f>
        <v>-100</v>
      </c>
      <c r="F266" s="87">
        <f>'ERROR FINAL'!AG269</f>
        <v>-100</v>
      </c>
      <c r="G266" s="87">
        <f>'ERROR FINAL'!AS269</f>
        <v>-100</v>
      </c>
      <c r="H266" s="88" t="str">
        <f>IF('ERROR FINAL'!AT269="CONFORME","CONFORME","NO CONFORME")</f>
        <v>NO CONFORME</v>
      </c>
      <c r="I266" s="89" t="str">
        <f t="shared" si="4"/>
        <v>Medición</v>
      </c>
    </row>
    <row r="267" spans="1:9" x14ac:dyDescent="0.2">
      <c r="A267" s="82">
        <f>'ERROR FINAL'!A270</f>
        <v>262</v>
      </c>
      <c r="B267" s="83">
        <f>'ERROR FINAL'!D270</f>
        <v>6</v>
      </c>
      <c r="C267" s="84">
        <f>'ERROR FINAL'!G270</f>
        <v>0</v>
      </c>
      <c r="D267" s="85">
        <f>'ERROR FINAL'!I270</f>
        <v>0</v>
      </c>
      <c r="E267" s="86">
        <f>'ERROR FINAL'!U270</f>
        <v>-100</v>
      </c>
      <c r="F267" s="87">
        <f>'ERROR FINAL'!AG270</f>
        <v>-100</v>
      </c>
      <c r="G267" s="87">
        <f>'ERROR FINAL'!AS270</f>
        <v>-100</v>
      </c>
      <c r="H267" s="88" t="str">
        <f>IF('ERROR FINAL'!AT270="CONFORME","CONFORME","NO CONFORME")</f>
        <v>NO CONFORME</v>
      </c>
      <c r="I267" s="89" t="str">
        <f t="shared" si="4"/>
        <v>Medición</v>
      </c>
    </row>
    <row r="268" spans="1:9" x14ac:dyDescent="0.2">
      <c r="A268" s="82">
        <f>'ERROR FINAL'!A271</f>
        <v>263</v>
      </c>
      <c r="B268" s="83">
        <f>'ERROR FINAL'!D271</f>
        <v>6</v>
      </c>
      <c r="C268" s="84">
        <f>'ERROR FINAL'!G271</f>
        <v>0</v>
      </c>
      <c r="D268" s="85">
        <f>'ERROR FINAL'!I271</f>
        <v>0</v>
      </c>
      <c r="E268" s="86">
        <f>'ERROR FINAL'!U271</f>
        <v>-100</v>
      </c>
      <c r="F268" s="87">
        <f>'ERROR FINAL'!AG271</f>
        <v>-100</v>
      </c>
      <c r="G268" s="87">
        <f>'ERROR FINAL'!AS271</f>
        <v>-100</v>
      </c>
      <c r="H268" s="88" t="str">
        <f>IF('ERROR FINAL'!AT271="CONFORME","CONFORME","NO CONFORME")</f>
        <v>NO CONFORME</v>
      </c>
      <c r="I268" s="89" t="str">
        <f t="shared" si="4"/>
        <v>Medición</v>
      </c>
    </row>
    <row r="269" spans="1:9" x14ac:dyDescent="0.2">
      <c r="A269" s="82">
        <f>'ERROR FINAL'!A272</f>
        <v>264</v>
      </c>
      <c r="B269" s="83">
        <f>'ERROR FINAL'!D272</f>
        <v>6</v>
      </c>
      <c r="C269" s="84">
        <f>'ERROR FINAL'!G272</f>
        <v>0</v>
      </c>
      <c r="D269" s="85">
        <f>'ERROR FINAL'!I272</f>
        <v>0</v>
      </c>
      <c r="E269" s="86">
        <f>'ERROR FINAL'!U272</f>
        <v>-100</v>
      </c>
      <c r="F269" s="87">
        <f>'ERROR FINAL'!AG272</f>
        <v>-100</v>
      </c>
      <c r="G269" s="87">
        <f>'ERROR FINAL'!AS272</f>
        <v>-100</v>
      </c>
      <c r="H269" s="88" t="str">
        <f>IF('ERROR FINAL'!AT272="CONFORME","CONFORME","NO CONFORME")</f>
        <v>NO CONFORME</v>
      </c>
      <c r="I269" s="89" t="str">
        <f t="shared" si="4"/>
        <v>Medición</v>
      </c>
    </row>
    <row r="270" spans="1:9" x14ac:dyDescent="0.2">
      <c r="A270" s="82">
        <f>'ERROR FINAL'!A273</f>
        <v>265</v>
      </c>
      <c r="B270" s="83">
        <f>'ERROR FINAL'!D273</f>
        <v>6</v>
      </c>
      <c r="C270" s="84">
        <f>'ERROR FINAL'!G273</f>
        <v>0</v>
      </c>
      <c r="D270" s="85">
        <f>'ERROR FINAL'!I273</f>
        <v>0</v>
      </c>
      <c r="E270" s="86">
        <f>'ERROR FINAL'!U273</f>
        <v>-100</v>
      </c>
      <c r="F270" s="87">
        <f>'ERROR FINAL'!AG273</f>
        <v>-100</v>
      </c>
      <c r="G270" s="87">
        <f>'ERROR FINAL'!AS273</f>
        <v>-100</v>
      </c>
      <c r="H270" s="88" t="str">
        <f>IF('ERROR FINAL'!AT273="CONFORME","CONFORME","NO CONFORME")</f>
        <v>NO CONFORME</v>
      </c>
      <c r="I270" s="89" t="str">
        <f t="shared" si="4"/>
        <v>Medición</v>
      </c>
    </row>
    <row r="271" spans="1:9" x14ac:dyDescent="0.2">
      <c r="A271" s="82">
        <f>'ERROR FINAL'!A274</f>
        <v>266</v>
      </c>
      <c r="B271" s="83">
        <f>'ERROR FINAL'!D274</f>
        <v>6</v>
      </c>
      <c r="C271" s="84">
        <f>'ERROR FINAL'!G274</f>
        <v>0</v>
      </c>
      <c r="D271" s="85">
        <f>'ERROR FINAL'!I274</f>
        <v>0</v>
      </c>
      <c r="E271" s="86">
        <f>'ERROR FINAL'!U274</f>
        <v>-100</v>
      </c>
      <c r="F271" s="87">
        <f>'ERROR FINAL'!AG274</f>
        <v>-100</v>
      </c>
      <c r="G271" s="87">
        <f>'ERROR FINAL'!AS274</f>
        <v>-100</v>
      </c>
      <c r="H271" s="88" t="str">
        <f>IF('ERROR FINAL'!AT274="CONFORME","CONFORME","NO CONFORME")</f>
        <v>NO CONFORME</v>
      </c>
      <c r="I271" s="89" t="str">
        <f t="shared" si="4"/>
        <v>Medición</v>
      </c>
    </row>
    <row r="272" spans="1:9" x14ac:dyDescent="0.2">
      <c r="A272" s="82">
        <f>'ERROR FINAL'!A275</f>
        <v>267</v>
      </c>
      <c r="B272" s="83">
        <f>'ERROR FINAL'!D275</f>
        <v>6</v>
      </c>
      <c r="C272" s="84">
        <f>'ERROR FINAL'!G275</f>
        <v>0</v>
      </c>
      <c r="D272" s="85">
        <f>'ERROR FINAL'!I275</f>
        <v>0</v>
      </c>
      <c r="E272" s="86">
        <f>'ERROR FINAL'!U275</f>
        <v>-100</v>
      </c>
      <c r="F272" s="87">
        <f>'ERROR FINAL'!AG275</f>
        <v>-100</v>
      </c>
      <c r="G272" s="87">
        <f>'ERROR FINAL'!AS275</f>
        <v>-100</v>
      </c>
      <c r="H272" s="88" t="str">
        <f>IF('ERROR FINAL'!AT275="CONFORME","CONFORME","NO CONFORME")</f>
        <v>NO CONFORME</v>
      </c>
      <c r="I272" s="89" t="str">
        <f t="shared" si="4"/>
        <v>Medición</v>
      </c>
    </row>
    <row r="273" spans="1:9" x14ac:dyDescent="0.2">
      <c r="A273" s="82">
        <f>'ERROR FINAL'!A276</f>
        <v>268</v>
      </c>
      <c r="B273" s="83">
        <f>'ERROR FINAL'!D276</f>
        <v>6</v>
      </c>
      <c r="C273" s="84">
        <f>'ERROR FINAL'!G276</f>
        <v>0</v>
      </c>
      <c r="D273" s="85">
        <f>'ERROR FINAL'!I276</f>
        <v>0</v>
      </c>
      <c r="E273" s="86">
        <f>'ERROR FINAL'!U276</f>
        <v>-100</v>
      </c>
      <c r="F273" s="87">
        <f>'ERROR FINAL'!AG276</f>
        <v>-100</v>
      </c>
      <c r="G273" s="87">
        <f>'ERROR FINAL'!AS276</f>
        <v>-100</v>
      </c>
      <c r="H273" s="88" t="str">
        <f>IF('ERROR FINAL'!AT276="CONFORME","CONFORME","NO CONFORME")</f>
        <v>NO CONFORME</v>
      </c>
      <c r="I273" s="89" t="str">
        <f t="shared" si="4"/>
        <v>Medición</v>
      </c>
    </row>
    <row r="274" spans="1:9" x14ac:dyDescent="0.2">
      <c r="A274" s="82">
        <f>'ERROR FINAL'!A277</f>
        <v>269</v>
      </c>
      <c r="B274" s="83">
        <f>'ERROR FINAL'!D277</f>
        <v>6</v>
      </c>
      <c r="C274" s="84">
        <f>'ERROR FINAL'!G277</f>
        <v>0</v>
      </c>
      <c r="D274" s="85">
        <f>'ERROR FINAL'!I277</f>
        <v>0</v>
      </c>
      <c r="E274" s="86">
        <f>'ERROR FINAL'!U277</f>
        <v>-100</v>
      </c>
      <c r="F274" s="87">
        <f>'ERROR FINAL'!AG277</f>
        <v>-100</v>
      </c>
      <c r="G274" s="87">
        <f>'ERROR FINAL'!AS277</f>
        <v>-100</v>
      </c>
      <c r="H274" s="88" t="str">
        <f>IF('ERROR FINAL'!AT277="CONFORME","CONFORME","NO CONFORME")</f>
        <v>NO CONFORME</v>
      </c>
      <c r="I274" s="89" t="str">
        <f t="shared" si="4"/>
        <v>Medición</v>
      </c>
    </row>
    <row r="275" spans="1:9" x14ac:dyDescent="0.2">
      <c r="A275" s="82">
        <f>'ERROR FINAL'!A278</f>
        <v>270</v>
      </c>
      <c r="B275" s="83">
        <f>'ERROR FINAL'!D278</f>
        <v>6</v>
      </c>
      <c r="C275" s="84">
        <f>'ERROR FINAL'!G278</f>
        <v>0</v>
      </c>
      <c r="D275" s="85">
        <f>'ERROR FINAL'!I278</f>
        <v>0</v>
      </c>
      <c r="E275" s="86">
        <f>'ERROR FINAL'!U278</f>
        <v>-100</v>
      </c>
      <c r="F275" s="87">
        <f>'ERROR FINAL'!AG278</f>
        <v>-100</v>
      </c>
      <c r="G275" s="87">
        <f>'ERROR FINAL'!AS278</f>
        <v>-100</v>
      </c>
      <c r="H275" s="88" t="str">
        <f>IF('ERROR FINAL'!AT278="CONFORME","CONFORME","NO CONFORME")</f>
        <v>NO CONFORME</v>
      </c>
      <c r="I275" s="89" t="str">
        <f t="shared" si="4"/>
        <v>Medición</v>
      </c>
    </row>
    <row r="276" spans="1:9" x14ac:dyDescent="0.2">
      <c r="A276" s="82">
        <f>'ERROR FINAL'!A279</f>
        <v>271</v>
      </c>
      <c r="B276" s="83">
        <f>'ERROR FINAL'!D279</f>
        <v>6</v>
      </c>
      <c r="C276" s="84">
        <f>'ERROR FINAL'!G279</f>
        <v>0</v>
      </c>
      <c r="D276" s="85">
        <f>'ERROR FINAL'!I279</f>
        <v>0</v>
      </c>
      <c r="E276" s="86">
        <f>'ERROR FINAL'!U279</f>
        <v>-100</v>
      </c>
      <c r="F276" s="87">
        <f>'ERROR FINAL'!AG279</f>
        <v>-100</v>
      </c>
      <c r="G276" s="87">
        <f>'ERROR FINAL'!AS279</f>
        <v>-100</v>
      </c>
      <c r="H276" s="88" t="str">
        <f>IF('ERROR FINAL'!AT279="CONFORME","CONFORME","NO CONFORME")</f>
        <v>NO CONFORME</v>
      </c>
      <c r="I276" s="89" t="str">
        <f t="shared" si="4"/>
        <v>Medición</v>
      </c>
    </row>
    <row r="277" spans="1:9" x14ac:dyDescent="0.2">
      <c r="A277" s="82">
        <f>'ERROR FINAL'!A280</f>
        <v>272</v>
      </c>
      <c r="B277" s="83">
        <f>'ERROR FINAL'!D280</f>
        <v>6</v>
      </c>
      <c r="C277" s="84">
        <f>'ERROR FINAL'!G280</f>
        <v>0</v>
      </c>
      <c r="D277" s="85">
        <f>'ERROR FINAL'!I280</f>
        <v>0</v>
      </c>
      <c r="E277" s="86">
        <f>'ERROR FINAL'!U280</f>
        <v>-100</v>
      </c>
      <c r="F277" s="87">
        <f>'ERROR FINAL'!AG280</f>
        <v>-100</v>
      </c>
      <c r="G277" s="87">
        <f>'ERROR FINAL'!AS280</f>
        <v>-100</v>
      </c>
      <c r="H277" s="88" t="str">
        <f>IF('ERROR FINAL'!AT280="CONFORME","CONFORME","NO CONFORME")</f>
        <v>NO CONFORME</v>
      </c>
      <c r="I277" s="89" t="str">
        <f t="shared" si="4"/>
        <v>Medición</v>
      </c>
    </row>
    <row r="278" spans="1:9" x14ac:dyDescent="0.2">
      <c r="A278" s="82">
        <f>'ERROR FINAL'!A281</f>
        <v>273</v>
      </c>
      <c r="B278" s="83">
        <f>'ERROR FINAL'!D281</f>
        <v>6</v>
      </c>
      <c r="C278" s="84">
        <f>'ERROR FINAL'!G281</f>
        <v>0</v>
      </c>
      <c r="D278" s="85">
        <f>'ERROR FINAL'!I281</f>
        <v>0</v>
      </c>
      <c r="E278" s="86">
        <f>'ERROR FINAL'!U281</f>
        <v>-100</v>
      </c>
      <c r="F278" s="87">
        <f>'ERROR FINAL'!AG281</f>
        <v>-100</v>
      </c>
      <c r="G278" s="87">
        <f>'ERROR FINAL'!AS281</f>
        <v>-100</v>
      </c>
      <c r="H278" s="88" t="str">
        <f>IF('ERROR FINAL'!AT281="CONFORME","CONFORME","NO CONFORME")</f>
        <v>NO CONFORME</v>
      </c>
      <c r="I278" s="89" t="str">
        <f t="shared" si="4"/>
        <v>Medición</v>
      </c>
    </row>
    <row r="279" spans="1:9" x14ac:dyDescent="0.2">
      <c r="A279" s="82">
        <f>'ERROR FINAL'!A282</f>
        <v>274</v>
      </c>
      <c r="B279" s="83">
        <f>'ERROR FINAL'!D282</f>
        <v>6</v>
      </c>
      <c r="C279" s="84">
        <f>'ERROR FINAL'!G282</f>
        <v>0</v>
      </c>
      <c r="D279" s="85">
        <f>'ERROR FINAL'!I282</f>
        <v>0</v>
      </c>
      <c r="E279" s="86">
        <f>'ERROR FINAL'!U282</f>
        <v>-100</v>
      </c>
      <c r="F279" s="87">
        <f>'ERROR FINAL'!AG282</f>
        <v>-100</v>
      </c>
      <c r="G279" s="87">
        <f>'ERROR FINAL'!AS282</f>
        <v>-100</v>
      </c>
      <c r="H279" s="88" t="str">
        <f>IF('ERROR FINAL'!AT282="CONFORME","CONFORME","NO CONFORME")</f>
        <v>NO CONFORME</v>
      </c>
      <c r="I279" s="89" t="str">
        <f t="shared" si="4"/>
        <v>Medición</v>
      </c>
    </row>
    <row r="280" spans="1:9" x14ac:dyDescent="0.2">
      <c r="A280" s="82">
        <f>'ERROR FINAL'!A283</f>
        <v>275</v>
      </c>
      <c r="B280" s="83">
        <f>'ERROR FINAL'!D283</f>
        <v>6</v>
      </c>
      <c r="C280" s="84">
        <f>'ERROR FINAL'!G283</f>
        <v>0</v>
      </c>
      <c r="D280" s="85">
        <f>'ERROR FINAL'!I283</f>
        <v>0</v>
      </c>
      <c r="E280" s="86">
        <f>'ERROR FINAL'!U283</f>
        <v>-100</v>
      </c>
      <c r="F280" s="87">
        <f>'ERROR FINAL'!AG283</f>
        <v>-100</v>
      </c>
      <c r="G280" s="87">
        <f>'ERROR FINAL'!AS283</f>
        <v>-100</v>
      </c>
      <c r="H280" s="88" t="str">
        <f>IF('ERROR FINAL'!AT283="CONFORME","CONFORME","NO CONFORME")</f>
        <v>NO CONFORME</v>
      </c>
      <c r="I280" s="89" t="str">
        <f t="shared" si="4"/>
        <v>Medición</v>
      </c>
    </row>
    <row r="281" spans="1:9" x14ac:dyDescent="0.2">
      <c r="A281" s="82">
        <f>'ERROR FINAL'!A284</f>
        <v>276</v>
      </c>
      <c r="B281" s="83">
        <f>'ERROR FINAL'!D284</f>
        <v>6</v>
      </c>
      <c r="C281" s="84">
        <f>'ERROR FINAL'!G284</f>
        <v>0</v>
      </c>
      <c r="D281" s="85">
        <f>'ERROR FINAL'!I284</f>
        <v>0</v>
      </c>
      <c r="E281" s="86">
        <f>'ERROR FINAL'!U284</f>
        <v>-100</v>
      </c>
      <c r="F281" s="87">
        <f>'ERROR FINAL'!AG284</f>
        <v>-100</v>
      </c>
      <c r="G281" s="87">
        <f>'ERROR FINAL'!AS284</f>
        <v>-100</v>
      </c>
      <c r="H281" s="88" t="str">
        <f>IF('ERROR FINAL'!AT284="CONFORME","CONFORME","NO CONFORME")</f>
        <v>NO CONFORME</v>
      </c>
      <c r="I281" s="89" t="str">
        <f t="shared" si="4"/>
        <v>Medición</v>
      </c>
    </row>
    <row r="282" spans="1:9" x14ac:dyDescent="0.2">
      <c r="A282" s="82">
        <f>'ERROR FINAL'!A285</f>
        <v>277</v>
      </c>
      <c r="B282" s="83">
        <f>'ERROR FINAL'!D285</f>
        <v>6</v>
      </c>
      <c r="C282" s="84">
        <f>'ERROR FINAL'!G285</f>
        <v>0</v>
      </c>
      <c r="D282" s="85">
        <f>'ERROR FINAL'!I285</f>
        <v>0</v>
      </c>
      <c r="E282" s="86">
        <f>'ERROR FINAL'!U285</f>
        <v>-100</v>
      </c>
      <c r="F282" s="87">
        <f>'ERROR FINAL'!AG285</f>
        <v>-100</v>
      </c>
      <c r="G282" s="87">
        <f>'ERROR FINAL'!AS285</f>
        <v>-100</v>
      </c>
      <c r="H282" s="88" t="str">
        <f>IF('ERROR FINAL'!AT285="CONFORME","CONFORME","NO CONFORME")</f>
        <v>NO CONFORME</v>
      </c>
      <c r="I282" s="89" t="str">
        <f t="shared" si="4"/>
        <v>Medición</v>
      </c>
    </row>
    <row r="283" spans="1:9" x14ac:dyDescent="0.2">
      <c r="A283" s="82">
        <f>'ERROR FINAL'!A286</f>
        <v>278</v>
      </c>
      <c r="B283" s="83">
        <f>'ERROR FINAL'!D286</f>
        <v>6</v>
      </c>
      <c r="C283" s="84">
        <f>'ERROR FINAL'!G286</f>
        <v>0</v>
      </c>
      <c r="D283" s="85">
        <f>'ERROR FINAL'!I286</f>
        <v>0</v>
      </c>
      <c r="E283" s="86">
        <f>'ERROR FINAL'!U286</f>
        <v>-100</v>
      </c>
      <c r="F283" s="87">
        <f>'ERROR FINAL'!AG286</f>
        <v>-100</v>
      </c>
      <c r="G283" s="87">
        <f>'ERROR FINAL'!AS286</f>
        <v>-100</v>
      </c>
      <c r="H283" s="88" t="str">
        <f>IF('ERROR FINAL'!AT286="CONFORME","CONFORME","NO CONFORME")</f>
        <v>NO CONFORME</v>
      </c>
      <c r="I283" s="89" t="str">
        <f t="shared" si="4"/>
        <v>Medición</v>
      </c>
    </row>
    <row r="284" spans="1:9" x14ac:dyDescent="0.2">
      <c r="A284" s="82">
        <f>'ERROR FINAL'!A287</f>
        <v>279</v>
      </c>
      <c r="B284" s="83">
        <f>'ERROR FINAL'!D287</f>
        <v>6</v>
      </c>
      <c r="C284" s="84">
        <f>'ERROR FINAL'!G287</f>
        <v>0</v>
      </c>
      <c r="D284" s="85">
        <f>'ERROR FINAL'!I287</f>
        <v>0</v>
      </c>
      <c r="E284" s="86">
        <f>'ERROR FINAL'!U287</f>
        <v>-100</v>
      </c>
      <c r="F284" s="87">
        <f>'ERROR FINAL'!AG287</f>
        <v>-100</v>
      </c>
      <c r="G284" s="87">
        <f>'ERROR FINAL'!AS287</f>
        <v>-100</v>
      </c>
      <c r="H284" s="88" t="str">
        <f>IF('ERROR FINAL'!AT287="CONFORME","CONFORME","NO CONFORME")</f>
        <v>NO CONFORME</v>
      </c>
      <c r="I284" s="89" t="str">
        <f t="shared" si="4"/>
        <v>Medición</v>
      </c>
    </row>
    <row r="285" spans="1:9" x14ac:dyDescent="0.2">
      <c r="A285" s="82">
        <f>'ERROR FINAL'!A288</f>
        <v>280</v>
      </c>
      <c r="B285" s="83">
        <f>'ERROR FINAL'!D288</f>
        <v>6</v>
      </c>
      <c r="C285" s="84">
        <f>'ERROR FINAL'!G288</f>
        <v>0</v>
      </c>
      <c r="D285" s="85">
        <f>'ERROR FINAL'!I288</f>
        <v>0</v>
      </c>
      <c r="E285" s="86">
        <f>'ERROR FINAL'!U288</f>
        <v>-100</v>
      </c>
      <c r="F285" s="87">
        <f>'ERROR FINAL'!AG288</f>
        <v>-100</v>
      </c>
      <c r="G285" s="87">
        <f>'ERROR FINAL'!AS288</f>
        <v>-100</v>
      </c>
      <c r="H285" s="88" t="str">
        <f>IF('ERROR FINAL'!AT288="CONFORME","CONFORME","NO CONFORME")</f>
        <v>NO CONFORME</v>
      </c>
      <c r="I285" s="89" t="str">
        <f t="shared" si="4"/>
        <v>Medición</v>
      </c>
    </row>
    <row r="286" spans="1:9" x14ac:dyDescent="0.2">
      <c r="A286" s="82">
        <f>'ERROR FINAL'!A289</f>
        <v>281</v>
      </c>
      <c r="B286" s="83">
        <f>'ERROR FINAL'!D289</f>
        <v>6</v>
      </c>
      <c r="C286" s="84">
        <f>'ERROR FINAL'!G289</f>
        <v>0</v>
      </c>
      <c r="D286" s="85">
        <f>'ERROR FINAL'!I289</f>
        <v>0</v>
      </c>
      <c r="E286" s="86">
        <f>'ERROR FINAL'!U289</f>
        <v>-100</v>
      </c>
      <c r="F286" s="87">
        <f>'ERROR FINAL'!AG289</f>
        <v>-100</v>
      </c>
      <c r="G286" s="87">
        <f>'ERROR FINAL'!AS289</f>
        <v>-100</v>
      </c>
      <c r="H286" s="88" t="str">
        <f>IF('ERROR FINAL'!AT289="CONFORME","CONFORME","NO CONFORME")</f>
        <v>NO CONFORME</v>
      </c>
      <c r="I286" s="89" t="str">
        <f t="shared" si="4"/>
        <v>Medición</v>
      </c>
    </row>
    <row r="287" spans="1:9" x14ac:dyDescent="0.2">
      <c r="A287" s="82">
        <f>'ERROR FINAL'!A290</f>
        <v>282</v>
      </c>
      <c r="B287" s="83">
        <f>'ERROR FINAL'!D290</f>
        <v>6</v>
      </c>
      <c r="C287" s="84">
        <f>'ERROR FINAL'!G290</f>
        <v>0</v>
      </c>
      <c r="D287" s="85">
        <f>'ERROR FINAL'!I290</f>
        <v>0</v>
      </c>
      <c r="E287" s="86">
        <f>'ERROR FINAL'!U290</f>
        <v>-100</v>
      </c>
      <c r="F287" s="87">
        <f>'ERROR FINAL'!AG290</f>
        <v>-100</v>
      </c>
      <c r="G287" s="87">
        <f>'ERROR FINAL'!AS290</f>
        <v>-100</v>
      </c>
      <c r="H287" s="88" t="str">
        <f>IF('ERROR FINAL'!AT290="CONFORME","CONFORME","NO CONFORME")</f>
        <v>NO CONFORME</v>
      </c>
      <c r="I287" s="89" t="str">
        <f t="shared" si="4"/>
        <v>Medición</v>
      </c>
    </row>
    <row r="288" spans="1:9" x14ac:dyDescent="0.2">
      <c r="A288" s="82">
        <f>'ERROR FINAL'!A291</f>
        <v>283</v>
      </c>
      <c r="B288" s="83">
        <f>'ERROR FINAL'!D291</f>
        <v>6</v>
      </c>
      <c r="C288" s="84">
        <f>'ERROR FINAL'!G291</f>
        <v>0</v>
      </c>
      <c r="D288" s="85">
        <f>'ERROR FINAL'!I291</f>
        <v>0</v>
      </c>
      <c r="E288" s="86">
        <f>'ERROR FINAL'!U291</f>
        <v>-100</v>
      </c>
      <c r="F288" s="87">
        <f>'ERROR FINAL'!AG291</f>
        <v>-100</v>
      </c>
      <c r="G288" s="87">
        <f>'ERROR FINAL'!AS291</f>
        <v>-100</v>
      </c>
      <c r="H288" s="88" t="str">
        <f>IF('ERROR FINAL'!AT291="CONFORME","CONFORME","NO CONFORME")</f>
        <v>NO CONFORME</v>
      </c>
      <c r="I288" s="89" t="str">
        <f t="shared" si="4"/>
        <v>Medición</v>
      </c>
    </row>
    <row r="289" spans="1:9" x14ac:dyDescent="0.2">
      <c r="A289" s="82">
        <f>'ERROR FINAL'!A292</f>
        <v>284</v>
      </c>
      <c r="B289" s="83">
        <f>'ERROR FINAL'!D292</f>
        <v>6</v>
      </c>
      <c r="C289" s="84">
        <f>'ERROR FINAL'!G292</f>
        <v>0</v>
      </c>
      <c r="D289" s="85">
        <f>'ERROR FINAL'!I292</f>
        <v>0</v>
      </c>
      <c r="E289" s="86">
        <f>'ERROR FINAL'!U292</f>
        <v>-100</v>
      </c>
      <c r="F289" s="87">
        <f>'ERROR FINAL'!AG292</f>
        <v>-100</v>
      </c>
      <c r="G289" s="87">
        <f>'ERROR FINAL'!AS292</f>
        <v>-100</v>
      </c>
      <c r="H289" s="88" t="str">
        <f>IF('ERROR FINAL'!AT292="CONFORME","CONFORME","NO CONFORME")</f>
        <v>NO CONFORME</v>
      </c>
      <c r="I289" s="89" t="str">
        <f t="shared" si="4"/>
        <v>Medición</v>
      </c>
    </row>
    <row r="290" spans="1:9" x14ac:dyDescent="0.2">
      <c r="A290" s="82">
        <f>'ERROR FINAL'!A293</f>
        <v>285</v>
      </c>
      <c r="B290" s="83">
        <f>'ERROR FINAL'!D293</f>
        <v>6</v>
      </c>
      <c r="C290" s="84">
        <f>'ERROR FINAL'!G293</f>
        <v>0</v>
      </c>
      <c r="D290" s="85">
        <f>'ERROR FINAL'!I293</f>
        <v>0</v>
      </c>
      <c r="E290" s="86">
        <f>'ERROR FINAL'!U293</f>
        <v>-100</v>
      </c>
      <c r="F290" s="87">
        <f>'ERROR FINAL'!AG293</f>
        <v>-100</v>
      </c>
      <c r="G290" s="87">
        <f>'ERROR FINAL'!AS293</f>
        <v>-100</v>
      </c>
      <c r="H290" s="88" t="str">
        <f>IF('ERROR FINAL'!AT293="CONFORME","CONFORME","NO CONFORME")</f>
        <v>NO CONFORME</v>
      </c>
      <c r="I290" s="89" t="str">
        <f t="shared" si="4"/>
        <v>Medición</v>
      </c>
    </row>
    <row r="291" spans="1:9" x14ac:dyDescent="0.2">
      <c r="A291" s="82">
        <f>'ERROR FINAL'!A294</f>
        <v>286</v>
      </c>
      <c r="B291" s="83">
        <f>'ERROR FINAL'!D294</f>
        <v>6</v>
      </c>
      <c r="C291" s="84">
        <f>'ERROR FINAL'!G294</f>
        <v>0</v>
      </c>
      <c r="D291" s="85">
        <f>'ERROR FINAL'!I294</f>
        <v>0</v>
      </c>
      <c r="E291" s="86">
        <f>'ERROR FINAL'!U294</f>
        <v>-100</v>
      </c>
      <c r="F291" s="87">
        <f>'ERROR FINAL'!AG294</f>
        <v>-100</v>
      </c>
      <c r="G291" s="87">
        <f>'ERROR FINAL'!AS294</f>
        <v>-100</v>
      </c>
      <c r="H291" s="88" t="str">
        <f>IF('ERROR FINAL'!AT294="CONFORME","CONFORME","NO CONFORME")</f>
        <v>NO CONFORME</v>
      </c>
      <c r="I291" s="89" t="str">
        <f t="shared" si="4"/>
        <v>Medición</v>
      </c>
    </row>
    <row r="292" spans="1:9" x14ac:dyDescent="0.2">
      <c r="A292" s="82">
        <f>'ERROR FINAL'!A295</f>
        <v>287</v>
      </c>
      <c r="B292" s="83">
        <f>'ERROR FINAL'!D295</f>
        <v>6</v>
      </c>
      <c r="C292" s="84">
        <f>'ERROR FINAL'!G295</f>
        <v>0</v>
      </c>
      <c r="D292" s="85">
        <f>'ERROR FINAL'!I295</f>
        <v>0</v>
      </c>
      <c r="E292" s="86">
        <f>'ERROR FINAL'!U295</f>
        <v>-100</v>
      </c>
      <c r="F292" s="87">
        <f>'ERROR FINAL'!AG295</f>
        <v>-100</v>
      </c>
      <c r="G292" s="87">
        <f>'ERROR FINAL'!AS295</f>
        <v>-100</v>
      </c>
      <c r="H292" s="88" t="str">
        <f>IF('ERROR FINAL'!AT295="CONFORME","CONFORME","NO CONFORME")</f>
        <v>NO CONFORME</v>
      </c>
      <c r="I292" s="89" t="str">
        <f t="shared" si="4"/>
        <v>Medición</v>
      </c>
    </row>
    <row r="293" spans="1:9" x14ac:dyDescent="0.2">
      <c r="A293" s="82">
        <f>'ERROR FINAL'!A296</f>
        <v>288</v>
      </c>
      <c r="B293" s="83">
        <f>'ERROR FINAL'!D296</f>
        <v>6</v>
      </c>
      <c r="C293" s="84">
        <f>'ERROR FINAL'!G296</f>
        <v>0</v>
      </c>
      <c r="D293" s="85">
        <f>'ERROR FINAL'!I296</f>
        <v>0</v>
      </c>
      <c r="E293" s="86">
        <f>'ERROR FINAL'!U296</f>
        <v>-100</v>
      </c>
      <c r="F293" s="87">
        <f>'ERROR FINAL'!AG296</f>
        <v>-100</v>
      </c>
      <c r="G293" s="87">
        <f>'ERROR FINAL'!AS296</f>
        <v>-100</v>
      </c>
      <c r="H293" s="88" t="str">
        <f>IF('ERROR FINAL'!AT296="CONFORME","CONFORME","NO CONFORME")</f>
        <v>NO CONFORME</v>
      </c>
      <c r="I293" s="89" t="str">
        <f t="shared" si="4"/>
        <v>Medición</v>
      </c>
    </row>
    <row r="294" spans="1:9" x14ac:dyDescent="0.2">
      <c r="A294" s="82">
        <f>'ERROR FINAL'!A297</f>
        <v>289</v>
      </c>
      <c r="B294" s="83">
        <f>'ERROR FINAL'!D297</f>
        <v>6</v>
      </c>
      <c r="C294" s="84">
        <f>'ERROR FINAL'!G297</f>
        <v>0</v>
      </c>
      <c r="D294" s="85">
        <f>'ERROR FINAL'!I297</f>
        <v>0</v>
      </c>
      <c r="E294" s="86">
        <f>'ERROR FINAL'!U297</f>
        <v>-100</v>
      </c>
      <c r="F294" s="87">
        <f>'ERROR FINAL'!AG297</f>
        <v>-100</v>
      </c>
      <c r="G294" s="87">
        <f>'ERROR FINAL'!AS297</f>
        <v>-100</v>
      </c>
      <c r="H294" s="88" t="str">
        <f>IF('ERROR FINAL'!AT297="CONFORME","CONFORME","NO CONFORME")</f>
        <v>NO CONFORME</v>
      </c>
      <c r="I294" s="89" t="str">
        <f t="shared" si="4"/>
        <v>Medición</v>
      </c>
    </row>
    <row r="295" spans="1:9" x14ac:dyDescent="0.2">
      <c r="A295" s="82">
        <f>'ERROR FINAL'!A298</f>
        <v>290</v>
      </c>
      <c r="B295" s="83">
        <f>'ERROR FINAL'!D298</f>
        <v>6</v>
      </c>
      <c r="C295" s="84">
        <f>'ERROR FINAL'!G298</f>
        <v>0</v>
      </c>
      <c r="D295" s="85">
        <f>'ERROR FINAL'!I298</f>
        <v>0</v>
      </c>
      <c r="E295" s="86">
        <f>'ERROR FINAL'!U298</f>
        <v>-100</v>
      </c>
      <c r="F295" s="87">
        <f>'ERROR FINAL'!AG298</f>
        <v>-100</v>
      </c>
      <c r="G295" s="87">
        <f>'ERROR FINAL'!AS298</f>
        <v>-100</v>
      </c>
      <c r="H295" s="88" t="str">
        <f>IF('ERROR FINAL'!AT298="CONFORME","CONFORME","NO CONFORME")</f>
        <v>NO CONFORME</v>
      </c>
      <c r="I295" s="89" t="str">
        <f t="shared" si="4"/>
        <v>Medición</v>
      </c>
    </row>
    <row r="296" spans="1:9" x14ac:dyDescent="0.2">
      <c r="A296" s="82">
        <f>'ERROR FINAL'!A299</f>
        <v>291</v>
      </c>
      <c r="B296" s="83">
        <f>'ERROR FINAL'!D299</f>
        <v>6</v>
      </c>
      <c r="C296" s="84">
        <f>'ERROR FINAL'!G299</f>
        <v>0</v>
      </c>
      <c r="D296" s="85">
        <f>'ERROR FINAL'!I299</f>
        <v>0</v>
      </c>
      <c r="E296" s="86">
        <f>'ERROR FINAL'!U299</f>
        <v>-100</v>
      </c>
      <c r="F296" s="87">
        <f>'ERROR FINAL'!AG299</f>
        <v>-100</v>
      </c>
      <c r="G296" s="87">
        <f>'ERROR FINAL'!AS299</f>
        <v>-100</v>
      </c>
      <c r="H296" s="88" t="str">
        <f>IF('ERROR FINAL'!AT299="CONFORME","CONFORME","NO CONFORME")</f>
        <v>NO CONFORME</v>
      </c>
      <c r="I296" s="89" t="str">
        <f t="shared" si="4"/>
        <v>Medición</v>
      </c>
    </row>
    <row r="297" spans="1:9" x14ac:dyDescent="0.2">
      <c r="A297" s="82">
        <f>'ERROR FINAL'!A300</f>
        <v>292</v>
      </c>
      <c r="B297" s="83">
        <f>'ERROR FINAL'!D300</f>
        <v>6</v>
      </c>
      <c r="C297" s="84">
        <f>'ERROR FINAL'!G300</f>
        <v>0</v>
      </c>
      <c r="D297" s="85">
        <f>'ERROR FINAL'!I300</f>
        <v>0</v>
      </c>
      <c r="E297" s="86">
        <f>'ERROR FINAL'!U300</f>
        <v>-100</v>
      </c>
      <c r="F297" s="87">
        <f>'ERROR FINAL'!AG300</f>
        <v>-100</v>
      </c>
      <c r="G297" s="87">
        <f>'ERROR FINAL'!AS300</f>
        <v>-100</v>
      </c>
      <c r="H297" s="88" t="str">
        <f>IF('ERROR FINAL'!AT300="CONFORME","CONFORME","NO CONFORME")</f>
        <v>NO CONFORME</v>
      </c>
      <c r="I297" s="89" t="str">
        <f t="shared" si="4"/>
        <v>Medición</v>
      </c>
    </row>
    <row r="298" spans="1:9" x14ac:dyDescent="0.2">
      <c r="A298" s="82">
        <f>'ERROR FINAL'!A301</f>
        <v>293</v>
      </c>
      <c r="B298" s="83">
        <f>'ERROR FINAL'!D301</f>
        <v>6</v>
      </c>
      <c r="C298" s="84">
        <f>'ERROR FINAL'!G301</f>
        <v>0</v>
      </c>
      <c r="D298" s="85">
        <f>'ERROR FINAL'!I301</f>
        <v>0</v>
      </c>
      <c r="E298" s="86">
        <f>'ERROR FINAL'!U301</f>
        <v>-100</v>
      </c>
      <c r="F298" s="87">
        <f>'ERROR FINAL'!AG301</f>
        <v>-100</v>
      </c>
      <c r="G298" s="87">
        <f>'ERROR FINAL'!AS301</f>
        <v>-100</v>
      </c>
      <c r="H298" s="88" t="str">
        <f>IF('ERROR FINAL'!AT301="CONFORME","CONFORME","NO CONFORME")</f>
        <v>NO CONFORME</v>
      </c>
      <c r="I298" s="89" t="str">
        <f t="shared" si="4"/>
        <v>Medición</v>
      </c>
    </row>
    <row r="299" spans="1:9" x14ac:dyDescent="0.2">
      <c r="A299" s="82">
        <f>'ERROR FINAL'!A302</f>
        <v>294</v>
      </c>
      <c r="B299" s="83">
        <f>'ERROR FINAL'!D302</f>
        <v>6</v>
      </c>
      <c r="C299" s="84">
        <f>'ERROR FINAL'!G302</f>
        <v>0</v>
      </c>
      <c r="D299" s="85">
        <f>'ERROR FINAL'!I302</f>
        <v>0</v>
      </c>
      <c r="E299" s="86">
        <f>'ERROR FINAL'!U302</f>
        <v>-100</v>
      </c>
      <c r="F299" s="87">
        <f>'ERROR FINAL'!AG302</f>
        <v>-100</v>
      </c>
      <c r="G299" s="87">
        <f>'ERROR FINAL'!AS302</f>
        <v>-100</v>
      </c>
      <c r="H299" s="88" t="str">
        <f>IF('ERROR FINAL'!AT302="CONFORME","CONFORME","NO CONFORME")</f>
        <v>NO CONFORME</v>
      </c>
      <c r="I299" s="89" t="str">
        <f t="shared" si="4"/>
        <v>Medición</v>
      </c>
    </row>
    <row r="300" spans="1:9" x14ac:dyDescent="0.2">
      <c r="A300" s="82">
        <f>'ERROR FINAL'!A303</f>
        <v>295</v>
      </c>
      <c r="B300" s="83">
        <f>'ERROR FINAL'!D303</f>
        <v>6</v>
      </c>
      <c r="C300" s="84">
        <f>'ERROR FINAL'!G303</f>
        <v>0</v>
      </c>
      <c r="D300" s="85">
        <f>'ERROR FINAL'!I303</f>
        <v>0</v>
      </c>
      <c r="E300" s="86">
        <f>'ERROR FINAL'!U303</f>
        <v>-100</v>
      </c>
      <c r="F300" s="87">
        <f>'ERROR FINAL'!AG303</f>
        <v>-100</v>
      </c>
      <c r="G300" s="87">
        <f>'ERROR FINAL'!AS303</f>
        <v>-100</v>
      </c>
      <c r="H300" s="88" t="str">
        <f>IF('ERROR FINAL'!AT303="CONFORME","CONFORME","NO CONFORME")</f>
        <v>NO CONFORME</v>
      </c>
      <c r="I300" s="89" t="str">
        <f t="shared" si="4"/>
        <v>Medición</v>
      </c>
    </row>
    <row r="301" spans="1:9" x14ac:dyDescent="0.2">
      <c r="A301" s="82">
        <f>'ERROR FINAL'!A304</f>
        <v>296</v>
      </c>
      <c r="B301" s="83">
        <f>'ERROR FINAL'!D304</f>
        <v>6</v>
      </c>
      <c r="C301" s="84">
        <f>'ERROR FINAL'!G304</f>
        <v>0</v>
      </c>
      <c r="D301" s="85">
        <f>'ERROR FINAL'!I304</f>
        <v>0</v>
      </c>
      <c r="E301" s="86">
        <f>'ERROR FINAL'!U304</f>
        <v>-100</v>
      </c>
      <c r="F301" s="87">
        <f>'ERROR FINAL'!AG304</f>
        <v>-100</v>
      </c>
      <c r="G301" s="87">
        <f>'ERROR FINAL'!AS304</f>
        <v>-100</v>
      </c>
      <c r="H301" s="88" t="str">
        <f>IF('ERROR FINAL'!AT304="CONFORME","CONFORME","NO CONFORME")</f>
        <v>NO CONFORME</v>
      </c>
      <c r="I301" s="89" t="str">
        <f t="shared" si="4"/>
        <v>Medición</v>
      </c>
    </row>
    <row r="302" spans="1:9" x14ac:dyDescent="0.2">
      <c r="A302" s="82">
        <f>'ERROR FINAL'!A305</f>
        <v>297</v>
      </c>
      <c r="B302" s="83">
        <f>'ERROR FINAL'!D305</f>
        <v>6</v>
      </c>
      <c r="C302" s="84">
        <f>'ERROR FINAL'!G305</f>
        <v>0</v>
      </c>
      <c r="D302" s="85">
        <f>'ERROR FINAL'!I305</f>
        <v>0</v>
      </c>
      <c r="E302" s="86">
        <f>'ERROR FINAL'!U305</f>
        <v>-100</v>
      </c>
      <c r="F302" s="87">
        <f>'ERROR FINAL'!AG305</f>
        <v>-100</v>
      </c>
      <c r="G302" s="87">
        <f>'ERROR FINAL'!AS305</f>
        <v>-100</v>
      </c>
      <c r="H302" s="88" t="str">
        <f>IF('ERROR FINAL'!AT305="CONFORME","CONFORME","NO CONFORME")</f>
        <v>NO CONFORME</v>
      </c>
      <c r="I302" s="89" t="str">
        <f t="shared" si="4"/>
        <v>Medición</v>
      </c>
    </row>
    <row r="303" spans="1:9" x14ac:dyDescent="0.2">
      <c r="A303" s="82">
        <f>'ERROR FINAL'!A306</f>
        <v>298</v>
      </c>
      <c r="B303" s="83">
        <f>'ERROR FINAL'!D306</f>
        <v>6</v>
      </c>
      <c r="C303" s="84">
        <f>'ERROR FINAL'!G306</f>
        <v>0</v>
      </c>
      <c r="D303" s="85">
        <f>'ERROR FINAL'!I306</f>
        <v>0</v>
      </c>
      <c r="E303" s="86">
        <f>'ERROR FINAL'!U306</f>
        <v>-100</v>
      </c>
      <c r="F303" s="87">
        <f>'ERROR FINAL'!AG306</f>
        <v>-100</v>
      </c>
      <c r="G303" s="87">
        <f>'ERROR FINAL'!AS306</f>
        <v>-100</v>
      </c>
      <c r="H303" s="88" t="str">
        <f>IF('ERROR FINAL'!AT306="CONFORME","CONFORME","NO CONFORME")</f>
        <v>NO CONFORME</v>
      </c>
      <c r="I303" s="89" t="str">
        <f t="shared" si="4"/>
        <v>Medición</v>
      </c>
    </row>
    <row r="304" spans="1:9" x14ac:dyDescent="0.2">
      <c r="A304" s="82">
        <f>'ERROR FINAL'!A307</f>
        <v>299</v>
      </c>
      <c r="B304" s="83">
        <f>'ERROR FINAL'!D307</f>
        <v>6</v>
      </c>
      <c r="C304" s="84">
        <f>'ERROR FINAL'!G307</f>
        <v>0</v>
      </c>
      <c r="D304" s="85">
        <f>'ERROR FINAL'!I307</f>
        <v>0</v>
      </c>
      <c r="E304" s="86">
        <f>'ERROR FINAL'!U307</f>
        <v>-100</v>
      </c>
      <c r="F304" s="87">
        <f>'ERROR FINAL'!AG307</f>
        <v>-100</v>
      </c>
      <c r="G304" s="87">
        <f>'ERROR FINAL'!AS307</f>
        <v>-100</v>
      </c>
      <c r="H304" s="88" t="str">
        <f>IF('ERROR FINAL'!AT307="CONFORME","CONFORME","NO CONFORME")</f>
        <v>NO CONFORME</v>
      </c>
      <c r="I304" s="89" t="str">
        <f t="shared" si="4"/>
        <v>Medición</v>
      </c>
    </row>
    <row r="305" spans="1:9" x14ac:dyDescent="0.2">
      <c r="A305" s="82">
        <f>'ERROR FINAL'!A308</f>
        <v>300</v>
      </c>
      <c r="B305" s="83">
        <f>'ERROR FINAL'!D308</f>
        <v>6</v>
      </c>
      <c r="C305" s="84">
        <f>'ERROR FINAL'!G308</f>
        <v>0</v>
      </c>
      <c r="D305" s="85">
        <f>'ERROR FINAL'!I308</f>
        <v>0</v>
      </c>
      <c r="E305" s="86">
        <f>'ERROR FINAL'!U308</f>
        <v>-100</v>
      </c>
      <c r="F305" s="87">
        <f>'ERROR FINAL'!AG308</f>
        <v>-100</v>
      </c>
      <c r="G305" s="87">
        <f>'ERROR FINAL'!AS308</f>
        <v>-100</v>
      </c>
      <c r="H305" s="88" t="str">
        <f>IF('ERROR FINAL'!AT308="CONFORME","CONFORME","NO CONFORME")</f>
        <v>NO CONFORME</v>
      </c>
      <c r="I305" s="89" t="str">
        <f t="shared" si="4"/>
        <v>Medición</v>
      </c>
    </row>
    <row r="306" spans="1:9" x14ac:dyDescent="0.2">
      <c r="A306" s="82">
        <f>'ERROR FINAL'!A309</f>
        <v>301</v>
      </c>
      <c r="B306" s="83">
        <f>'ERROR FINAL'!D309</f>
        <v>6</v>
      </c>
      <c r="C306" s="84">
        <f>'ERROR FINAL'!G309</f>
        <v>0</v>
      </c>
      <c r="D306" s="85">
        <f>'ERROR FINAL'!I309</f>
        <v>0</v>
      </c>
      <c r="E306" s="86">
        <f>'ERROR FINAL'!U309</f>
        <v>-100</v>
      </c>
      <c r="F306" s="87">
        <f>'ERROR FINAL'!AG309</f>
        <v>-100</v>
      </c>
      <c r="G306" s="87">
        <f>'ERROR FINAL'!AS309</f>
        <v>-100</v>
      </c>
      <c r="H306" s="88" t="str">
        <f>IF('ERROR FINAL'!AT309="CONFORME","CONFORME","NO CONFORME")</f>
        <v>NO CONFORME</v>
      </c>
      <c r="I306" s="89" t="str">
        <f t="shared" si="4"/>
        <v>Medición</v>
      </c>
    </row>
    <row r="307" spans="1:9" x14ac:dyDescent="0.2">
      <c r="A307" s="82">
        <f>'ERROR FINAL'!A310</f>
        <v>302</v>
      </c>
      <c r="B307" s="83">
        <f>'ERROR FINAL'!D310</f>
        <v>6</v>
      </c>
      <c r="C307" s="84">
        <f>'ERROR FINAL'!G310</f>
        <v>0</v>
      </c>
      <c r="D307" s="85">
        <f>'ERROR FINAL'!I310</f>
        <v>0</v>
      </c>
      <c r="E307" s="86">
        <f>'ERROR FINAL'!U310</f>
        <v>-100</v>
      </c>
      <c r="F307" s="87">
        <f>'ERROR FINAL'!AG310</f>
        <v>-100</v>
      </c>
      <c r="G307" s="87">
        <f>'ERROR FINAL'!AS310</f>
        <v>-100</v>
      </c>
      <c r="H307" s="88" t="str">
        <f>IF('ERROR FINAL'!AT310="CONFORME","CONFORME","NO CONFORME")</f>
        <v>NO CONFORME</v>
      </c>
      <c r="I307" s="89" t="str">
        <f t="shared" si="4"/>
        <v>Medición</v>
      </c>
    </row>
    <row r="308" spans="1:9" x14ac:dyDescent="0.2">
      <c r="A308" s="82">
        <f>'ERROR FINAL'!A311</f>
        <v>303</v>
      </c>
      <c r="B308" s="83">
        <f>'ERROR FINAL'!D311</f>
        <v>6</v>
      </c>
      <c r="C308" s="84">
        <f>'ERROR FINAL'!G311</f>
        <v>0</v>
      </c>
      <c r="D308" s="85">
        <f>'ERROR FINAL'!I311</f>
        <v>0</v>
      </c>
      <c r="E308" s="86">
        <f>'ERROR FINAL'!U311</f>
        <v>-100</v>
      </c>
      <c r="F308" s="87">
        <f>'ERROR FINAL'!AG311</f>
        <v>-100</v>
      </c>
      <c r="G308" s="87">
        <f>'ERROR FINAL'!AS311</f>
        <v>-100</v>
      </c>
      <c r="H308" s="88" t="str">
        <f>IF('ERROR FINAL'!AT311="CONFORME","CONFORME","NO CONFORME")</f>
        <v>NO CONFORME</v>
      </c>
      <c r="I308" s="89" t="str">
        <f t="shared" si="4"/>
        <v>Medición</v>
      </c>
    </row>
    <row r="309" spans="1:9" x14ac:dyDescent="0.2">
      <c r="A309" s="82">
        <f>'ERROR FINAL'!A312</f>
        <v>304</v>
      </c>
      <c r="B309" s="83">
        <f>'ERROR FINAL'!D312</f>
        <v>6</v>
      </c>
      <c r="C309" s="84">
        <f>'ERROR FINAL'!G312</f>
        <v>0</v>
      </c>
      <c r="D309" s="85">
        <f>'ERROR FINAL'!I312</f>
        <v>0</v>
      </c>
      <c r="E309" s="86">
        <f>'ERROR FINAL'!U312</f>
        <v>-100</v>
      </c>
      <c r="F309" s="87">
        <f>'ERROR FINAL'!AG312</f>
        <v>-100</v>
      </c>
      <c r="G309" s="87">
        <f>'ERROR FINAL'!AS312</f>
        <v>-100</v>
      </c>
      <c r="H309" s="88" t="str">
        <f>IF('ERROR FINAL'!AT312="CONFORME","CONFORME","NO CONFORME")</f>
        <v>NO CONFORME</v>
      </c>
      <c r="I309" s="89" t="str">
        <f t="shared" si="4"/>
        <v>Medición</v>
      </c>
    </row>
    <row r="310" spans="1:9" x14ac:dyDescent="0.2">
      <c r="A310" s="82">
        <f>'ERROR FINAL'!A313</f>
        <v>305</v>
      </c>
      <c r="B310" s="83">
        <f>'ERROR FINAL'!D313</f>
        <v>6</v>
      </c>
      <c r="C310" s="84">
        <f>'ERROR FINAL'!G313</f>
        <v>0</v>
      </c>
      <c r="D310" s="85">
        <f>'ERROR FINAL'!I313</f>
        <v>0</v>
      </c>
      <c r="E310" s="86">
        <f>'ERROR FINAL'!U313</f>
        <v>-100</v>
      </c>
      <c r="F310" s="87">
        <f>'ERROR FINAL'!AG313</f>
        <v>-100</v>
      </c>
      <c r="G310" s="87">
        <f>'ERROR FINAL'!AS313</f>
        <v>-100</v>
      </c>
      <c r="H310" s="88" t="str">
        <f>IF('ERROR FINAL'!AT313="CONFORME","CONFORME","NO CONFORME")</f>
        <v>NO CONFORME</v>
      </c>
      <c r="I310" s="89" t="str">
        <f t="shared" si="4"/>
        <v>Medición</v>
      </c>
    </row>
    <row r="311" spans="1:9" x14ac:dyDescent="0.2">
      <c r="A311" s="82">
        <f>'ERROR FINAL'!A314</f>
        <v>306</v>
      </c>
      <c r="B311" s="83">
        <f>'ERROR FINAL'!D314</f>
        <v>6</v>
      </c>
      <c r="C311" s="84">
        <f>'ERROR FINAL'!G314</f>
        <v>0</v>
      </c>
      <c r="D311" s="85">
        <f>'ERROR FINAL'!I314</f>
        <v>0</v>
      </c>
      <c r="E311" s="86">
        <f>'ERROR FINAL'!U314</f>
        <v>-100</v>
      </c>
      <c r="F311" s="87">
        <f>'ERROR FINAL'!AG314</f>
        <v>-100</v>
      </c>
      <c r="G311" s="87">
        <f>'ERROR FINAL'!AS314</f>
        <v>-100</v>
      </c>
      <c r="H311" s="88" t="str">
        <f>IF('ERROR FINAL'!AT314="CONFORME","CONFORME","NO CONFORME")</f>
        <v>NO CONFORME</v>
      </c>
      <c r="I311" s="89" t="str">
        <f t="shared" si="4"/>
        <v>Medición</v>
      </c>
    </row>
    <row r="312" spans="1:9" x14ac:dyDescent="0.2">
      <c r="A312" s="82">
        <f>'ERROR FINAL'!A315</f>
        <v>307</v>
      </c>
      <c r="B312" s="83">
        <f>'ERROR FINAL'!D315</f>
        <v>6</v>
      </c>
      <c r="C312" s="84">
        <f>'ERROR FINAL'!G315</f>
        <v>0</v>
      </c>
      <c r="D312" s="85">
        <f>'ERROR FINAL'!I315</f>
        <v>0</v>
      </c>
      <c r="E312" s="86">
        <f>'ERROR FINAL'!U315</f>
        <v>-100</v>
      </c>
      <c r="F312" s="87">
        <f>'ERROR FINAL'!AG315</f>
        <v>-100</v>
      </c>
      <c r="G312" s="87">
        <f>'ERROR FINAL'!AS315</f>
        <v>-100</v>
      </c>
      <c r="H312" s="88" t="str">
        <f>IF('ERROR FINAL'!AT315="CONFORME","CONFORME","NO CONFORME")</f>
        <v>NO CONFORME</v>
      </c>
      <c r="I312" s="89" t="str">
        <f t="shared" si="4"/>
        <v>Medición</v>
      </c>
    </row>
    <row r="313" spans="1:9" x14ac:dyDescent="0.2">
      <c r="A313" s="82">
        <f>'ERROR FINAL'!A316</f>
        <v>308</v>
      </c>
      <c r="B313" s="83">
        <f>'ERROR FINAL'!D316</f>
        <v>6</v>
      </c>
      <c r="C313" s="84">
        <f>'ERROR FINAL'!G316</f>
        <v>0</v>
      </c>
      <c r="D313" s="85">
        <f>'ERROR FINAL'!I316</f>
        <v>0</v>
      </c>
      <c r="E313" s="86">
        <f>'ERROR FINAL'!U316</f>
        <v>-100</v>
      </c>
      <c r="F313" s="87">
        <f>'ERROR FINAL'!AG316</f>
        <v>-100</v>
      </c>
      <c r="G313" s="87">
        <f>'ERROR FINAL'!AS316</f>
        <v>-100</v>
      </c>
      <c r="H313" s="88" t="str">
        <f>IF('ERROR FINAL'!AT316="CONFORME","CONFORME","NO CONFORME")</f>
        <v>NO CONFORME</v>
      </c>
      <c r="I313" s="89" t="str">
        <f t="shared" si="4"/>
        <v>Medición</v>
      </c>
    </row>
    <row r="314" spans="1:9" x14ac:dyDescent="0.2">
      <c r="A314" s="82">
        <f>'ERROR FINAL'!A317</f>
        <v>309</v>
      </c>
      <c r="B314" s="83">
        <f>'ERROR FINAL'!D317</f>
        <v>6</v>
      </c>
      <c r="C314" s="84">
        <f>'ERROR FINAL'!G317</f>
        <v>0</v>
      </c>
      <c r="D314" s="85">
        <f>'ERROR FINAL'!I317</f>
        <v>0</v>
      </c>
      <c r="E314" s="86">
        <f>'ERROR FINAL'!U317</f>
        <v>-100</v>
      </c>
      <c r="F314" s="87">
        <f>'ERROR FINAL'!AG317</f>
        <v>-100</v>
      </c>
      <c r="G314" s="87">
        <f>'ERROR FINAL'!AS317</f>
        <v>-100</v>
      </c>
      <c r="H314" s="88" t="str">
        <f>IF('ERROR FINAL'!AT317="CONFORME","CONFORME","NO CONFORME")</f>
        <v>NO CONFORME</v>
      </c>
      <c r="I314" s="89" t="str">
        <f t="shared" si="4"/>
        <v>Medición</v>
      </c>
    </row>
    <row r="315" spans="1:9" x14ac:dyDescent="0.2">
      <c r="A315" s="82">
        <f>'ERROR FINAL'!A318</f>
        <v>310</v>
      </c>
      <c r="B315" s="83">
        <f>'ERROR FINAL'!D318</f>
        <v>6</v>
      </c>
      <c r="C315" s="84">
        <f>'ERROR FINAL'!G318</f>
        <v>0</v>
      </c>
      <c r="D315" s="85">
        <f>'ERROR FINAL'!I318</f>
        <v>0</v>
      </c>
      <c r="E315" s="86">
        <f>'ERROR FINAL'!U318</f>
        <v>-100</v>
      </c>
      <c r="F315" s="87">
        <f>'ERROR FINAL'!AG318</f>
        <v>-100</v>
      </c>
      <c r="G315" s="87">
        <f>'ERROR FINAL'!AS318</f>
        <v>-100</v>
      </c>
      <c r="H315" s="88" t="str">
        <f>IF('ERROR FINAL'!AT318="CONFORME","CONFORME","NO CONFORME")</f>
        <v>NO CONFORME</v>
      </c>
      <c r="I315" s="89" t="str">
        <f t="shared" si="4"/>
        <v>Medición</v>
      </c>
    </row>
    <row r="316" spans="1:9" x14ac:dyDescent="0.2">
      <c r="A316" s="82">
        <f>'ERROR FINAL'!A319</f>
        <v>311</v>
      </c>
      <c r="B316" s="83">
        <f>'ERROR FINAL'!D319</f>
        <v>6</v>
      </c>
      <c r="C316" s="84">
        <f>'ERROR FINAL'!G319</f>
        <v>0</v>
      </c>
      <c r="D316" s="85">
        <f>'ERROR FINAL'!I319</f>
        <v>0</v>
      </c>
      <c r="E316" s="86">
        <f>'ERROR FINAL'!U319</f>
        <v>-100</v>
      </c>
      <c r="F316" s="87">
        <f>'ERROR FINAL'!AG319</f>
        <v>-100</v>
      </c>
      <c r="G316" s="87">
        <f>'ERROR FINAL'!AS319</f>
        <v>-100</v>
      </c>
      <c r="H316" s="88" t="str">
        <f>IF('ERROR FINAL'!AT319="CONFORME","CONFORME","NO CONFORME")</f>
        <v>NO CONFORME</v>
      </c>
      <c r="I316" s="89" t="str">
        <f t="shared" si="4"/>
        <v>Medición</v>
      </c>
    </row>
    <row r="317" spans="1:9" x14ac:dyDescent="0.2">
      <c r="A317" s="82">
        <f>'ERROR FINAL'!A320</f>
        <v>312</v>
      </c>
      <c r="B317" s="83">
        <f>'ERROR FINAL'!D320</f>
        <v>6</v>
      </c>
      <c r="C317" s="84">
        <f>'ERROR FINAL'!G320</f>
        <v>0</v>
      </c>
      <c r="D317" s="85">
        <f>'ERROR FINAL'!I320</f>
        <v>0</v>
      </c>
      <c r="E317" s="86">
        <f>'ERROR FINAL'!U320</f>
        <v>-100</v>
      </c>
      <c r="F317" s="87">
        <f>'ERROR FINAL'!AG320</f>
        <v>-100</v>
      </c>
      <c r="G317" s="87">
        <f>'ERROR FINAL'!AS320</f>
        <v>-100</v>
      </c>
      <c r="H317" s="88" t="str">
        <f>IF('ERROR FINAL'!AT320="CONFORME","CONFORME","NO CONFORME")</f>
        <v>NO CONFORME</v>
      </c>
      <c r="I317" s="89" t="str">
        <f t="shared" si="4"/>
        <v>Medición</v>
      </c>
    </row>
    <row r="318" spans="1:9" x14ac:dyDescent="0.2">
      <c r="A318" s="82">
        <f>'ERROR FINAL'!A321</f>
        <v>313</v>
      </c>
      <c r="B318" s="83">
        <f>'ERROR FINAL'!D321</f>
        <v>6</v>
      </c>
      <c r="C318" s="84">
        <f>'ERROR FINAL'!G321</f>
        <v>0</v>
      </c>
      <c r="D318" s="85">
        <f>'ERROR FINAL'!I321</f>
        <v>0</v>
      </c>
      <c r="E318" s="86">
        <f>'ERROR FINAL'!U321</f>
        <v>-100</v>
      </c>
      <c r="F318" s="87">
        <f>'ERROR FINAL'!AG321</f>
        <v>-100</v>
      </c>
      <c r="G318" s="87">
        <f>'ERROR FINAL'!AS321</f>
        <v>-100</v>
      </c>
      <c r="H318" s="88" t="str">
        <f>IF('ERROR FINAL'!AT321="CONFORME","CONFORME","NO CONFORME")</f>
        <v>NO CONFORME</v>
      </c>
      <c r="I318" s="89" t="str">
        <f t="shared" si="4"/>
        <v>Medición</v>
      </c>
    </row>
    <row r="319" spans="1:9" x14ac:dyDescent="0.2">
      <c r="A319" s="82">
        <f>'ERROR FINAL'!A322</f>
        <v>314</v>
      </c>
      <c r="B319" s="83">
        <f>'ERROR FINAL'!D322</f>
        <v>6</v>
      </c>
      <c r="C319" s="84">
        <f>'ERROR FINAL'!G322</f>
        <v>0</v>
      </c>
      <c r="D319" s="85">
        <f>'ERROR FINAL'!I322</f>
        <v>0</v>
      </c>
      <c r="E319" s="86">
        <f>'ERROR FINAL'!U322</f>
        <v>-100</v>
      </c>
      <c r="F319" s="87">
        <f>'ERROR FINAL'!AG322</f>
        <v>-100</v>
      </c>
      <c r="G319" s="87">
        <f>'ERROR FINAL'!AS322</f>
        <v>-100</v>
      </c>
      <c r="H319" s="88" t="str">
        <f>IF('ERROR FINAL'!AT322="CONFORME","CONFORME","NO CONFORME")</f>
        <v>NO CONFORME</v>
      </c>
      <c r="I319" s="89" t="str">
        <f t="shared" si="4"/>
        <v>Medición</v>
      </c>
    </row>
    <row r="320" spans="1:9" x14ac:dyDescent="0.2">
      <c r="A320" s="82">
        <f>'ERROR FINAL'!A323</f>
        <v>315</v>
      </c>
      <c r="B320" s="83">
        <f>'ERROR FINAL'!D323</f>
        <v>6</v>
      </c>
      <c r="C320" s="84">
        <f>'ERROR FINAL'!G323</f>
        <v>0</v>
      </c>
      <c r="D320" s="85">
        <f>'ERROR FINAL'!I323</f>
        <v>0</v>
      </c>
      <c r="E320" s="86">
        <f>'ERROR FINAL'!U323</f>
        <v>-100</v>
      </c>
      <c r="F320" s="87">
        <f>'ERROR FINAL'!AG323</f>
        <v>-100</v>
      </c>
      <c r="G320" s="87">
        <f>'ERROR FINAL'!AS323</f>
        <v>-100</v>
      </c>
      <c r="H320" s="88" t="str">
        <f>IF('ERROR FINAL'!AT323="CONFORME","CONFORME","NO CONFORME")</f>
        <v>NO CONFORME</v>
      </c>
      <c r="I320" s="89" t="str">
        <f t="shared" si="4"/>
        <v>Medición</v>
      </c>
    </row>
    <row r="321" spans="1:9" x14ac:dyDescent="0.2">
      <c r="A321" s="82">
        <f>'ERROR FINAL'!A324</f>
        <v>316</v>
      </c>
      <c r="B321" s="83">
        <f>'ERROR FINAL'!D324</f>
        <v>6</v>
      </c>
      <c r="C321" s="84">
        <f>'ERROR FINAL'!G324</f>
        <v>0</v>
      </c>
      <c r="D321" s="85">
        <f>'ERROR FINAL'!I324</f>
        <v>0</v>
      </c>
      <c r="E321" s="86">
        <f>'ERROR FINAL'!U324</f>
        <v>-100</v>
      </c>
      <c r="F321" s="87">
        <f>'ERROR FINAL'!AG324</f>
        <v>-100</v>
      </c>
      <c r="G321" s="87">
        <f>'ERROR FINAL'!AS324</f>
        <v>-100</v>
      </c>
      <c r="H321" s="88" t="str">
        <f>IF('ERROR FINAL'!AT324="CONFORME","CONFORME","NO CONFORME")</f>
        <v>NO CONFORME</v>
      </c>
      <c r="I321" s="89" t="str">
        <f t="shared" si="4"/>
        <v>Medición</v>
      </c>
    </row>
    <row r="322" spans="1:9" x14ac:dyDescent="0.2">
      <c r="A322" s="82">
        <f>'ERROR FINAL'!A325</f>
        <v>317</v>
      </c>
      <c r="B322" s="83">
        <f>'ERROR FINAL'!D325</f>
        <v>6</v>
      </c>
      <c r="C322" s="84">
        <f>'ERROR FINAL'!G325</f>
        <v>0</v>
      </c>
      <c r="D322" s="85">
        <f>'ERROR FINAL'!I325</f>
        <v>0</v>
      </c>
      <c r="E322" s="86">
        <f>'ERROR FINAL'!U325</f>
        <v>-100</v>
      </c>
      <c r="F322" s="87">
        <f>'ERROR FINAL'!AG325</f>
        <v>-100</v>
      </c>
      <c r="G322" s="87">
        <f>'ERROR FINAL'!AS325</f>
        <v>-100</v>
      </c>
      <c r="H322" s="88" t="str">
        <f>IF('ERROR FINAL'!AT325="CONFORME","CONFORME","NO CONFORME")</f>
        <v>NO CONFORME</v>
      </c>
      <c r="I322" s="89" t="str">
        <f t="shared" si="4"/>
        <v>Medición</v>
      </c>
    </row>
    <row r="323" spans="1:9" x14ac:dyDescent="0.2">
      <c r="A323" s="82">
        <f>'ERROR FINAL'!A326</f>
        <v>318</v>
      </c>
      <c r="B323" s="83">
        <f>'ERROR FINAL'!D326</f>
        <v>6</v>
      </c>
      <c r="C323" s="84">
        <f>'ERROR FINAL'!G326</f>
        <v>0</v>
      </c>
      <c r="D323" s="85">
        <f>'ERROR FINAL'!I326</f>
        <v>0</v>
      </c>
      <c r="E323" s="86">
        <f>'ERROR FINAL'!U326</f>
        <v>-100</v>
      </c>
      <c r="F323" s="87">
        <f>'ERROR FINAL'!AG326</f>
        <v>-100</v>
      </c>
      <c r="G323" s="87">
        <f>'ERROR FINAL'!AS326</f>
        <v>-100</v>
      </c>
      <c r="H323" s="88" t="str">
        <f>IF('ERROR FINAL'!AT326="CONFORME","CONFORME","NO CONFORME")</f>
        <v>NO CONFORME</v>
      </c>
      <c r="I323" s="89" t="str">
        <f t="shared" si="4"/>
        <v>Medición</v>
      </c>
    </row>
    <row r="324" spans="1:9" x14ac:dyDescent="0.2">
      <c r="A324" s="82">
        <f>'ERROR FINAL'!A327</f>
        <v>319</v>
      </c>
      <c r="B324" s="83">
        <f>'ERROR FINAL'!D327</f>
        <v>6</v>
      </c>
      <c r="C324" s="84">
        <f>'ERROR FINAL'!G327</f>
        <v>0</v>
      </c>
      <c r="D324" s="85">
        <f>'ERROR FINAL'!I327</f>
        <v>0</v>
      </c>
      <c r="E324" s="86">
        <f>'ERROR FINAL'!U327</f>
        <v>-100</v>
      </c>
      <c r="F324" s="87">
        <f>'ERROR FINAL'!AG327</f>
        <v>-100</v>
      </c>
      <c r="G324" s="87">
        <f>'ERROR FINAL'!AS327</f>
        <v>-100</v>
      </c>
      <c r="H324" s="88" t="str">
        <f>IF('ERROR FINAL'!AT327="CONFORME","CONFORME","NO CONFORME")</f>
        <v>NO CONFORME</v>
      </c>
      <c r="I324" s="89" t="str">
        <f t="shared" si="4"/>
        <v>Medición</v>
      </c>
    </row>
    <row r="325" spans="1:9" x14ac:dyDescent="0.2">
      <c r="A325" s="82">
        <f>'ERROR FINAL'!A328</f>
        <v>320</v>
      </c>
      <c r="B325" s="83">
        <f>'ERROR FINAL'!D328</f>
        <v>6</v>
      </c>
      <c r="C325" s="84">
        <f>'ERROR FINAL'!G328</f>
        <v>0</v>
      </c>
      <c r="D325" s="85">
        <f>'ERROR FINAL'!I328</f>
        <v>0</v>
      </c>
      <c r="E325" s="86">
        <f>'ERROR FINAL'!U328</f>
        <v>-100</v>
      </c>
      <c r="F325" s="87">
        <f>'ERROR FINAL'!AG328</f>
        <v>-100</v>
      </c>
      <c r="G325" s="87">
        <f>'ERROR FINAL'!AS328</f>
        <v>-100</v>
      </c>
      <c r="H325" s="88" t="str">
        <f>IF('ERROR FINAL'!AT328="CONFORME","CONFORME","NO CONFORME")</f>
        <v>NO CONFORME</v>
      </c>
      <c r="I325" s="89" t="str">
        <f t="shared" si="4"/>
        <v>Medición</v>
      </c>
    </row>
    <row r="326" spans="1:9" x14ac:dyDescent="0.2">
      <c r="A326" s="82">
        <f>'ERROR FINAL'!A329</f>
        <v>321</v>
      </c>
      <c r="B326" s="83">
        <f>'ERROR FINAL'!D329</f>
        <v>6</v>
      </c>
      <c r="C326" s="84">
        <f>'ERROR FINAL'!G329</f>
        <v>0</v>
      </c>
      <c r="D326" s="85">
        <f>'ERROR FINAL'!I329</f>
        <v>0</v>
      </c>
      <c r="E326" s="86">
        <f>'ERROR FINAL'!U329</f>
        <v>-100</v>
      </c>
      <c r="F326" s="87">
        <f>'ERROR FINAL'!AG329</f>
        <v>-100</v>
      </c>
      <c r="G326" s="87">
        <f>'ERROR FINAL'!AS329</f>
        <v>-100</v>
      </c>
      <c r="H326" s="88" t="str">
        <f>IF('ERROR FINAL'!AT329="CONFORME","CONFORME","NO CONFORME")</f>
        <v>NO CONFORME</v>
      </c>
      <c r="I326" s="89" t="str">
        <f t="shared" si="4"/>
        <v>Medición</v>
      </c>
    </row>
    <row r="327" spans="1:9" x14ac:dyDescent="0.2">
      <c r="A327" s="82">
        <f>'ERROR FINAL'!A330</f>
        <v>322</v>
      </c>
      <c r="B327" s="83">
        <f>'ERROR FINAL'!D330</f>
        <v>6</v>
      </c>
      <c r="C327" s="84">
        <f>'ERROR FINAL'!G330</f>
        <v>0</v>
      </c>
      <c r="D327" s="85">
        <f>'ERROR FINAL'!I330</f>
        <v>0</v>
      </c>
      <c r="E327" s="86">
        <f>'ERROR FINAL'!U330</f>
        <v>-100</v>
      </c>
      <c r="F327" s="87">
        <f>'ERROR FINAL'!AG330</f>
        <v>-100</v>
      </c>
      <c r="G327" s="87">
        <f>'ERROR FINAL'!AS330</f>
        <v>-100</v>
      </c>
      <c r="H327" s="88" t="str">
        <f>IF('ERROR FINAL'!AT330="CONFORME","CONFORME","NO CONFORME")</f>
        <v>NO CONFORME</v>
      </c>
      <c r="I327" s="89" t="str">
        <f t="shared" ref="I327:I390" si="5">IF(D327=0,"Medición",IF(D327=1,"Daño físico",IF(D327=2,"Fuga",IF(D327=3,"Picado",IF(D327=4,"Desfasado",IF(D327=5,"Paralizado","¿?"))))))</f>
        <v>Medición</v>
      </c>
    </row>
    <row r="328" spans="1:9" x14ac:dyDescent="0.2">
      <c r="A328" s="82">
        <f>'ERROR FINAL'!A331</f>
        <v>323</v>
      </c>
      <c r="B328" s="83">
        <f>'ERROR FINAL'!D331</f>
        <v>6</v>
      </c>
      <c r="C328" s="84">
        <f>'ERROR FINAL'!G331</f>
        <v>0</v>
      </c>
      <c r="D328" s="85">
        <f>'ERROR FINAL'!I331</f>
        <v>0</v>
      </c>
      <c r="E328" s="86">
        <f>'ERROR FINAL'!U331</f>
        <v>-100</v>
      </c>
      <c r="F328" s="87">
        <f>'ERROR FINAL'!AG331</f>
        <v>-100</v>
      </c>
      <c r="G328" s="87">
        <f>'ERROR FINAL'!AS331</f>
        <v>-100</v>
      </c>
      <c r="H328" s="88" t="str">
        <f>IF('ERROR FINAL'!AT331="CONFORME","CONFORME","NO CONFORME")</f>
        <v>NO CONFORME</v>
      </c>
      <c r="I328" s="89" t="str">
        <f t="shared" si="5"/>
        <v>Medición</v>
      </c>
    </row>
    <row r="329" spans="1:9" x14ac:dyDescent="0.2">
      <c r="A329" s="82">
        <f>'ERROR FINAL'!A332</f>
        <v>324</v>
      </c>
      <c r="B329" s="83">
        <f>'ERROR FINAL'!D332</f>
        <v>6</v>
      </c>
      <c r="C329" s="84">
        <f>'ERROR FINAL'!G332</f>
        <v>0</v>
      </c>
      <c r="D329" s="85">
        <f>'ERROR FINAL'!I332</f>
        <v>0</v>
      </c>
      <c r="E329" s="86">
        <f>'ERROR FINAL'!U332</f>
        <v>-100</v>
      </c>
      <c r="F329" s="87">
        <f>'ERROR FINAL'!AG332</f>
        <v>-100</v>
      </c>
      <c r="G329" s="87">
        <f>'ERROR FINAL'!AS332</f>
        <v>-100</v>
      </c>
      <c r="H329" s="88" t="str">
        <f>IF('ERROR FINAL'!AT332="CONFORME","CONFORME","NO CONFORME")</f>
        <v>NO CONFORME</v>
      </c>
      <c r="I329" s="89" t="str">
        <f t="shared" si="5"/>
        <v>Medición</v>
      </c>
    </row>
    <row r="330" spans="1:9" x14ac:dyDescent="0.2">
      <c r="A330" s="82">
        <f>'ERROR FINAL'!A333</f>
        <v>325</v>
      </c>
      <c r="B330" s="83">
        <f>'ERROR FINAL'!D333</f>
        <v>6</v>
      </c>
      <c r="C330" s="84">
        <f>'ERROR FINAL'!G333</f>
        <v>0</v>
      </c>
      <c r="D330" s="85">
        <f>'ERROR FINAL'!I333</f>
        <v>0</v>
      </c>
      <c r="E330" s="86">
        <f>'ERROR FINAL'!U333</f>
        <v>-100</v>
      </c>
      <c r="F330" s="87">
        <f>'ERROR FINAL'!AG333</f>
        <v>-100</v>
      </c>
      <c r="G330" s="87">
        <f>'ERROR FINAL'!AS333</f>
        <v>-100</v>
      </c>
      <c r="H330" s="88" t="str">
        <f>IF('ERROR FINAL'!AT333="CONFORME","CONFORME","NO CONFORME")</f>
        <v>NO CONFORME</v>
      </c>
      <c r="I330" s="89" t="str">
        <f t="shared" si="5"/>
        <v>Medición</v>
      </c>
    </row>
    <row r="331" spans="1:9" x14ac:dyDescent="0.2">
      <c r="A331" s="82">
        <f>'ERROR FINAL'!A334</f>
        <v>326</v>
      </c>
      <c r="B331" s="83">
        <f>'ERROR FINAL'!D334</f>
        <v>6</v>
      </c>
      <c r="C331" s="84">
        <f>'ERROR FINAL'!G334</f>
        <v>0</v>
      </c>
      <c r="D331" s="85">
        <f>'ERROR FINAL'!I334</f>
        <v>0</v>
      </c>
      <c r="E331" s="86">
        <f>'ERROR FINAL'!U334</f>
        <v>-100</v>
      </c>
      <c r="F331" s="87">
        <f>'ERROR FINAL'!AG334</f>
        <v>-100</v>
      </c>
      <c r="G331" s="87">
        <f>'ERROR FINAL'!AS334</f>
        <v>-100</v>
      </c>
      <c r="H331" s="88" t="str">
        <f>IF('ERROR FINAL'!AT334="CONFORME","CONFORME","NO CONFORME")</f>
        <v>NO CONFORME</v>
      </c>
      <c r="I331" s="89" t="str">
        <f t="shared" si="5"/>
        <v>Medición</v>
      </c>
    </row>
    <row r="332" spans="1:9" x14ac:dyDescent="0.2">
      <c r="A332" s="82">
        <f>'ERROR FINAL'!A335</f>
        <v>327</v>
      </c>
      <c r="B332" s="83">
        <f>'ERROR FINAL'!D335</f>
        <v>6</v>
      </c>
      <c r="C332" s="84">
        <f>'ERROR FINAL'!G335</f>
        <v>0</v>
      </c>
      <c r="D332" s="85">
        <f>'ERROR FINAL'!I335</f>
        <v>0</v>
      </c>
      <c r="E332" s="86">
        <f>'ERROR FINAL'!U335</f>
        <v>-100</v>
      </c>
      <c r="F332" s="87">
        <f>'ERROR FINAL'!AG335</f>
        <v>-100</v>
      </c>
      <c r="G332" s="87">
        <f>'ERROR FINAL'!AS335</f>
        <v>-100</v>
      </c>
      <c r="H332" s="88" t="str">
        <f>IF('ERROR FINAL'!AT335="CONFORME","CONFORME","NO CONFORME")</f>
        <v>NO CONFORME</v>
      </c>
      <c r="I332" s="89" t="str">
        <f t="shared" si="5"/>
        <v>Medición</v>
      </c>
    </row>
    <row r="333" spans="1:9" x14ac:dyDescent="0.2">
      <c r="A333" s="82">
        <f>'ERROR FINAL'!A336</f>
        <v>328</v>
      </c>
      <c r="B333" s="83">
        <f>'ERROR FINAL'!D336</f>
        <v>6</v>
      </c>
      <c r="C333" s="84">
        <f>'ERROR FINAL'!G336</f>
        <v>0</v>
      </c>
      <c r="D333" s="85">
        <f>'ERROR FINAL'!I336</f>
        <v>0</v>
      </c>
      <c r="E333" s="86">
        <f>'ERROR FINAL'!U336</f>
        <v>-100</v>
      </c>
      <c r="F333" s="87">
        <f>'ERROR FINAL'!AG336</f>
        <v>-100</v>
      </c>
      <c r="G333" s="87">
        <f>'ERROR FINAL'!AS336</f>
        <v>-100</v>
      </c>
      <c r="H333" s="88" t="str">
        <f>IF('ERROR FINAL'!AT336="CONFORME","CONFORME","NO CONFORME")</f>
        <v>NO CONFORME</v>
      </c>
      <c r="I333" s="89" t="str">
        <f t="shared" si="5"/>
        <v>Medición</v>
      </c>
    </row>
    <row r="334" spans="1:9" x14ac:dyDescent="0.2">
      <c r="A334" s="82">
        <f>'ERROR FINAL'!A337</f>
        <v>329</v>
      </c>
      <c r="B334" s="83">
        <f>'ERROR FINAL'!D337</f>
        <v>6</v>
      </c>
      <c r="C334" s="84">
        <f>'ERROR FINAL'!G337</f>
        <v>0</v>
      </c>
      <c r="D334" s="85">
        <f>'ERROR FINAL'!I337</f>
        <v>0</v>
      </c>
      <c r="E334" s="86">
        <f>'ERROR FINAL'!U337</f>
        <v>-100</v>
      </c>
      <c r="F334" s="87">
        <f>'ERROR FINAL'!AG337</f>
        <v>-100</v>
      </c>
      <c r="G334" s="87">
        <f>'ERROR FINAL'!AS337</f>
        <v>-100</v>
      </c>
      <c r="H334" s="88" t="str">
        <f>IF('ERROR FINAL'!AT337="CONFORME","CONFORME","NO CONFORME")</f>
        <v>NO CONFORME</v>
      </c>
      <c r="I334" s="89" t="str">
        <f t="shared" si="5"/>
        <v>Medición</v>
      </c>
    </row>
    <row r="335" spans="1:9" x14ac:dyDescent="0.2">
      <c r="A335" s="82">
        <f>'ERROR FINAL'!A338</f>
        <v>330</v>
      </c>
      <c r="B335" s="83">
        <f>'ERROR FINAL'!D338</f>
        <v>6</v>
      </c>
      <c r="C335" s="84">
        <f>'ERROR FINAL'!G338</f>
        <v>0</v>
      </c>
      <c r="D335" s="85">
        <f>'ERROR FINAL'!I338</f>
        <v>0</v>
      </c>
      <c r="E335" s="86">
        <f>'ERROR FINAL'!U338</f>
        <v>-100</v>
      </c>
      <c r="F335" s="87">
        <f>'ERROR FINAL'!AG338</f>
        <v>-100</v>
      </c>
      <c r="G335" s="87">
        <f>'ERROR FINAL'!AS338</f>
        <v>-100</v>
      </c>
      <c r="H335" s="88" t="str">
        <f>IF('ERROR FINAL'!AT338="CONFORME","CONFORME","NO CONFORME")</f>
        <v>NO CONFORME</v>
      </c>
      <c r="I335" s="89" t="str">
        <f t="shared" si="5"/>
        <v>Medición</v>
      </c>
    </row>
    <row r="336" spans="1:9" x14ac:dyDescent="0.2">
      <c r="A336" s="82">
        <f>'ERROR FINAL'!A339</f>
        <v>331</v>
      </c>
      <c r="B336" s="83">
        <f>'ERROR FINAL'!D339</f>
        <v>6</v>
      </c>
      <c r="C336" s="84">
        <f>'ERROR FINAL'!G339</f>
        <v>0</v>
      </c>
      <c r="D336" s="85">
        <f>'ERROR FINAL'!I339</f>
        <v>0</v>
      </c>
      <c r="E336" s="86">
        <f>'ERROR FINAL'!U339</f>
        <v>-100</v>
      </c>
      <c r="F336" s="87">
        <f>'ERROR FINAL'!AG339</f>
        <v>-100</v>
      </c>
      <c r="G336" s="87">
        <f>'ERROR FINAL'!AS339</f>
        <v>-100</v>
      </c>
      <c r="H336" s="88" t="str">
        <f>IF('ERROR FINAL'!AT339="CONFORME","CONFORME","NO CONFORME")</f>
        <v>NO CONFORME</v>
      </c>
      <c r="I336" s="89" t="str">
        <f t="shared" si="5"/>
        <v>Medición</v>
      </c>
    </row>
    <row r="337" spans="1:9" x14ac:dyDescent="0.2">
      <c r="A337" s="82">
        <f>'ERROR FINAL'!A340</f>
        <v>332</v>
      </c>
      <c r="B337" s="83">
        <f>'ERROR FINAL'!D340</f>
        <v>6</v>
      </c>
      <c r="C337" s="84">
        <f>'ERROR FINAL'!G340</f>
        <v>0</v>
      </c>
      <c r="D337" s="85">
        <f>'ERROR FINAL'!I340</f>
        <v>0</v>
      </c>
      <c r="E337" s="86">
        <f>'ERROR FINAL'!U340</f>
        <v>-100</v>
      </c>
      <c r="F337" s="87">
        <f>'ERROR FINAL'!AG340</f>
        <v>-100</v>
      </c>
      <c r="G337" s="87">
        <f>'ERROR FINAL'!AS340</f>
        <v>-100</v>
      </c>
      <c r="H337" s="88" t="str">
        <f>IF('ERROR FINAL'!AT340="CONFORME","CONFORME","NO CONFORME")</f>
        <v>NO CONFORME</v>
      </c>
      <c r="I337" s="89" t="str">
        <f t="shared" si="5"/>
        <v>Medición</v>
      </c>
    </row>
    <row r="338" spans="1:9" x14ac:dyDescent="0.2">
      <c r="A338" s="82">
        <f>'ERROR FINAL'!A341</f>
        <v>333</v>
      </c>
      <c r="B338" s="83">
        <f>'ERROR FINAL'!D341</f>
        <v>6</v>
      </c>
      <c r="C338" s="84">
        <f>'ERROR FINAL'!G341</f>
        <v>0</v>
      </c>
      <c r="D338" s="85">
        <f>'ERROR FINAL'!I341</f>
        <v>0</v>
      </c>
      <c r="E338" s="86">
        <f>'ERROR FINAL'!U341</f>
        <v>-100</v>
      </c>
      <c r="F338" s="87">
        <f>'ERROR FINAL'!AG341</f>
        <v>-100</v>
      </c>
      <c r="G338" s="87">
        <f>'ERROR FINAL'!AS341</f>
        <v>-100</v>
      </c>
      <c r="H338" s="88" t="str">
        <f>IF('ERROR FINAL'!AT341="CONFORME","CONFORME","NO CONFORME")</f>
        <v>NO CONFORME</v>
      </c>
      <c r="I338" s="89" t="str">
        <f t="shared" si="5"/>
        <v>Medición</v>
      </c>
    </row>
    <row r="339" spans="1:9" x14ac:dyDescent="0.2">
      <c r="A339" s="82">
        <f>'ERROR FINAL'!A342</f>
        <v>334</v>
      </c>
      <c r="B339" s="83">
        <f>'ERROR FINAL'!D342</f>
        <v>6</v>
      </c>
      <c r="C339" s="84">
        <f>'ERROR FINAL'!G342</f>
        <v>0</v>
      </c>
      <c r="D339" s="85">
        <f>'ERROR FINAL'!I342</f>
        <v>0</v>
      </c>
      <c r="E339" s="86">
        <f>'ERROR FINAL'!U342</f>
        <v>-100</v>
      </c>
      <c r="F339" s="87">
        <f>'ERROR FINAL'!AG342</f>
        <v>-100</v>
      </c>
      <c r="G339" s="87">
        <f>'ERROR FINAL'!AS342</f>
        <v>-100</v>
      </c>
      <c r="H339" s="88" t="str">
        <f>IF('ERROR FINAL'!AT342="CONFORME","CONFORME","NO CONFORME")</f>
        <v>NO CONFORME</v>
      </c>
      <c r="I339" s="89" t="str">
        <f t="shared" si="5"/>
        <v>Medición</v>
      </c>
    </row>
    <row r="340" spans="1:9" x14ac:dyDescent="0.2">
      <c r="A340" s="82">
        <f>'ERROR FINAL'!A343</f>
        <v>335</v>
      </c>
      <c r="B340" s="83">
        <f>'ERROR FINAL'!D343</f>
        <v>6</v>
      </c>
      <c r="C340" s="84">
        <f>'ERROR FINAL'!G343</f>
        <v>0</v>
      </c>
      <c r="D340" s="85">
        <f>'ERROR FINAL'!I343</f>
        <v>0</v>
      </c>
      <c r="E340" s="86">
        <f>'ERROR FINAL'!U343</f>
        <v>-100</v>
      </c>
      <c r="F340" s="87">
        <f>'ERROR FINAL'!AG343</f>
        <v>-100</v>
      </c>
      <c r="G340" s="87">
        <f>'ERROR FINAL'!AS343</f>
        <v>-100</v>
      </c>
      <c r="H340" s="88" t="str">
        <f>IF('ERROR FINAL'!AT343="CONFORME","CONFORME","NO CONFORME")</f>
        <v>NO CONFORME</v>
      </c>
      <c r="I340" s="89" t="str">
        <f t="shared" si="5"/>
        <v>Medición</v>
      </c>
    </row>
    <row r="341" spans="1:9" x14ac:dyDescent="0.2">
      <c r="A341" s="82">
        <f>'ERROR FINAL'!A344</f>
        <v>336</v>
      </c>
      <c r="B341" s="83">
        <f>'ERROR FINAL'!D344</f>
        <v>6</v>
      </c>
      <c r="C341" s="84">
        <f>'ERROR FINAL'!G344</f>
        <v>0</v>
      </c>
      <c r="D341" s="85">
        <f>'ERROR FINAL'!I344</f>
        <v>0</v>
      </c>
      <c r="E341" s="86">
        <f>'ERROR FINAL'!U344</f>
        <v>-100</v>
      </c>
      <c r="F341" s="87">
        <f>'ERROR FINAL'!AG344</f>
        <v>-100</v>
      </c>
      <c r="G341" s="87">
        <f>'ERROR FINAL'!AS344</f>
        <v>-100</v>
      </c>
      <c r="H341" s="88" t="str">
        <f>IF('ERROR FINAL'!AT344="CONFORME","CONFORME","NO CONFORME")</f>
        <v>NO CONFORME</v>
      </c>
      <c r="I341" s="89" t="str">
        <f t="shared" si="5"/>
        <v>Medición</v>
      </c>
    </row>
    <row r="342" spans="1:9" x14ac:dyDescent="0.2">
      <c r="A342" s="82">
        <f>'ERROR FINAL'!A345</f>
        <v>337</v>
      </c>
      <c r="B342" s="83">
        <f>'ERROR FINAL'!D345</f>
        <v>6</v>
      </c>
      <c r="C342" s="84">
        <f>'ERROR FINAL'!G345</f>
        <v>0</v>
      </c>
      <c r="D342" s="85">
        <f>'ERROR FINAL'!I345</f>
        <v>0</v>
      </c>
      <c r="E342" s="86">
        <f>'ERROR FINAL'!U345</f>
        <v>-100</v>
      </c>
      <c r="F342" s="87">
        <f>'ERROR FINAL'!AG345</f>
        <v>-100</v>
      </c>
      <c r="G342" s="87">
        <f>'ERROR FINAL'!AS345</f>
        <v>-100</v>
      </c>
      <c r="H342" s="88" t="str">
        <f>IF('ERROR FINAL'!AT345="CONFORME","CONFORME","NO CONFORME")</f>
        <v>NO CONFORME</v>
      </c>
      <c r="I342" s="89" t="str">
        <f t="shared" si="5"/>
        <v>Medición</v>
      </c>
    </row>
    <row r="343" spans="1:9" x14ac:dyDescent="0.2">
      <c r="A343" s="82">
        <f>'ERROR FINAL'!A346</f>
        <v>338</v>
      </c>
      <c r="B343" s="83">
        <f>'ERROR FINAL'!D346</f>
        <v>6</v>
      </c>
      <c r="C343" s="84">
        <f>'ERROR FINAL'!G346</f>
        <v>0</v>
      </c>
      <c r="D343" s="85">
        <f>'ERROR FINAL'!I346</f>
        <v>0</v>
      </c>
      <c r="E343" s="86">
        <f>'ERROR FINAL'!U346</f>
        <v>-100</v>
      </c>
      <c r="F343" s="87">
        <f>'ERROR FINAL'!AG346</f>
        <v>-100</v>
      </c>
      <c r="G343" s="87">
        <f>'ERROR FINAL'!AS346</f>
        <v>-100</v>
      </c>
      <c r="H343" s="88" t="str">
        <f>IF('ERROR FINAL'!AT346="CONFORME","CONFORME","NO CONFORME")</f>
        <v>NO CONFORME</v>
      </c>
      <c r="I343" s="89" t="str">
        <f t="shared" si="5"/>
        <v>Medición</v>
      </c>
    </row>
    <row r="344" spans="1:9" x14ac:dyDescent="0.2">
      <c r="A344" s="82">
        <f>'ERROR FINAL'!A347</f>
        <v>339</v>
      </c>
      <c r="B344" s="83">
        <f>'ERROR FINAL'!D347</f>
        <v>6</v>
      </c>
      <c r="C344" s="84">
        <f>'ERROR FINAL'!G347</f>
        <v>0</v>
      </c>
      <c r="D344" s="85">
        <f>'ERROR FINAL'!I347</f>
        <v>0</v>
      </c>
      <c r="E344" s="86">
        <f>'ERROR FINAL'!U347</f>
        <v>-100</v>
      </c>
      <c r="F344" s="87">
        <f>'ERROR FINAL'!AG347</f>
        <v>-100</v>
      </c>
      <c r="G344" s="87">
        <f>'ERROR FINAL'!AS347</f>
        <v>-100</v>
      </c>
      <c r="H344" s="88" t="str">
        <f>IF('ERROR FINAL'!AT347="CONFORME","CONFORME","NO CONFORME")</f>
        <v>NO CONFORME</v>
      </c>
      <c r="I344" s="89" t="str">
        <f t="shared" si="5"/>
        <v>Medición</v>
      </c>
    </row>
    <row r="345" spans="1:9" x14ac:dyDescent="0.2">
      <c r="A345" s="82">
        <f>'ERROR FINAL'!A348</f>
        <v>340</v>
      </c>
      <c r="B345" s="83">
        <f>'ERROR FINAL'!D348</f>
        <v>6</v>
      </c>
      <c r="C345" s="84">
        <f>'ERROR FINAL'!G348</f>
        <v>0</v>
      </c>
      <c r="D345" s="85">
        <f>'ERROR FINAL'!I348</f>
        <v>0</v>
      </c>
      <c r="E345" s="86">
        <f>'ERROR FINAL'!U348</f>
        <v>-100</v>
      </c>
      <c r="F345" s="87">
        <f>'ERROR FINAL'!AG348</f>
        <v>-100</v>
      </c>
      <c r="G345" s="87">
        <f>'ERROR FINAL'!AS348</f>
        <v>-100</v>
      </c>
      <c r="H345" s="88" t="str">
        <f>IF('ERROR FINAL'!AT348="CONFORME","CONFORME","NO CONFORME")</f>
        <v>NO CONFORME</v>
      </c>
      <c r="I345" s="89" t="str">
        <f t="shared" si="5"/>
        <v>Medición</v>
      </c>
    </row>
    <row r="346" spans="1:9" x14ac:dyDescent="0.2">
      <c r="A346" s="82">
        <f>'ERROR FINAL'!A349</f>
        <v>341</v>
      </c>
      <c r="B346" s="83">
        <f>'ERROR FINAL'!D349</f>
        <v>6</v>
      </c>
      <c r="C346" s="84">
        <f>'ERROR FINAL'!G349</f>
        <v>0</v>
      </c>
      <c r="D346" s="85">
        <f>'ERROR FINAL'!I349</f>
        <v>0</v>
      </c>
      <c r="E346" s="86">
        <f>'ERROR FINAL'!U349</f>
        <v>-100</v>
      </c>
      <c r="F346" s="87">
        <f>'ERROR FINAL'!AG349</f>
        <v>-100</v>
      </c>
      <c r="G346" s="87">
        <f>'ERROR FINAL'!AS349</f>
        <v>-100</v>
      </c>
      <c r="H346" s="88" t="str">
        <f>IF('ERROR FINAL'!AT349="CONFORME","CONFORME","NO CONFORME")</f>
        <v>NO CONFORME</v>
      </c>
      <c r="I346" s="89" t="str">
        <f t="shared" si="5"/>
        <v>Medición</v>
      </c>
    </row>
    <row r="347" spans="1:9" x14ac:dyDescent="0.2">
      <c r="A347" s="82">
        <f>'ERROR FINAL'!A350</f>
        <v>342</v>
      </c>
      <c r="B347" s="83">
        <f>'ERROR FINAL'!D350</f>
        <v>6</v>
      </c>
      <c r="C347" s="84">
        <f>'ERROR FINAL'!G350</f>
        <v>0</v>
      </c>
      <c r="D347" s="85">
        <f>'ERROR FINAL'!I350</f>
        <v>0</v>
      </c>
      <c r="E347" s="86">
        <f>'ERROR FINAL'!U350</f>
        <v>-100</v>
      </c>
      <c r="F347" s="87">
        <f>'ERROR FINAL'!AG350</f>
        <v>-100</v>
      </c>
      <c r="G347" s="87">
        <f>'ERROR FINAL'!AS350</f>
        <v>-100</v>
      </c>
      <c r="H347" s="88" t="str">
        <f>IF('ERROR FINAL'!AT350="CONFORME","CONFORME","NO CONFORME")</f>
        <v>NO CONFORME</v>
      </c>
      <c r="I347" s="89" t="str">
        <f t="shared" si="5"/>
        <v>Medición</v>
      </c>
    </row>
    <row r="348" spans="1:9" x14ac:dyDescent="0.2">
      <c r="A348" s="82">
        <f>'ERROR FINAL'!A351</f>
        <v>343</v>
      </c>
      <c r="B348" s="83">
        <f>'ERROR FINAL'!D351</f>
        <v>6</v>
      </c>
      <c r="C348" s="84">
        <f>'ERROR FINAL'!G351</f>
        <v>0</v>
      </c>
      <c r="D348" s="85">
        <f>'ERROR FINAL'!I351</f>
        <v>0</v>
      </c>
      <c r="E348" s="86">
        <f>'ERROR FINAL'!U351</f>
        <v>-100</v>
      </c>
      <c r="F348" s="87">
        <f>'ERROR FINAL'!AG351</f>
        <v>-100</v>
      </c>
      <c r="G348" s="87">
        <f>'ERROR FINAL'!AS351</f>
        <v>-100</v>
      </c>
      <c r="H348" s="88" t="str">
        <f>IF('ERROR FINAL'!AT351="CONFORME","CONFORME","NO CONFORME")</f>
        <v>NO CONFORME</v>
      </c>
      <c r="I348" s="89" t="str">
        <f t="shared" si="5"/>
        <v>Medición</v>
      </c>
    </row>
    <row r="349" spans="1:9" x14ac:dyDescent="0.2">
      <c r="A349" s="82">
        <f>'ERROR FINAL'!A352</f>
        <v>344</v>
      </c>
      <c r="B349" s="83">
        <f>'ERROR FINAL'!D352</f>
        <v>6</v>
      </c>
      <c r="C349" s="84">
        <f>'ERROR FINAL'!G352</f>
        <v>0</v>
      </c>
      <c r="D349" s="85">
        <f>'ERROR FINAL'!I352</f>
        <v>0</v>
      </c>
      <c r="E349" s="86">
        <f>'ERROR FINAL'!U352</f>
        <v>-100</v>
      </c>
      <c r="F349" s="87">
        <f>'ERROR FINAL'!AG352</f>
        <v>-100</v>
      </c>
      <c r="G349" s="87">
        <f>'ERROR FINAL'!AS352</f>
        <v>-100</v>
      </c>
      <c r="H349" s="88" t="str">
        <f>IF('ERROR FINAL'!AT352="CONFORME","CONFORME","NO CONFORME")</f>
        <v>NO CONFORME</v>
      </c>
      <c r="I349" s="89" t="str">
        <f t="shared" si="5"/>
        <v>Medición</v>
      </c>
    </row>
    <row r="350" spans="1:9" x14ac:dyDescent="0.2">
      <c r="A350" s="82">
        <f>'ERROR FINAL'!A353</f>
        <v>345</v>
      </c>
      <c r="B350" s="83">
        <f>'ERROR FINAL'!D353</f>
        <v>6</v>
      </c>
      <c r="C350" s="84">
        <f>'ERROR FINAL'!G353</f>
        <v>0</v>
      </c>
      <c r="D350" s="85">
        <f>'ERROR FINAL'!I353</f>
        <v>0</v>
      </c>
      <c r="E350" s="86">
        <f>'ERROR FINAL'!U353</f>
        <v>-100</v>
      </c>
      <c r="F350" s="87">
        <f>'ERROR FINAL'!AG353</f>
        <v>-100</v>
      </c>
      <c r="G350" s="87">
        <f>'ERROR FINAL'!AS353</f>
        <v>-100</v>
      </c>
      <c r="H350" s="88" t="str">
        <f>IF('ERROR FINAL'!AT353="CONFORME","CONFORME","NO CONFORME")</f>
        <v>NO CONFORME</v>
      </c>
      <c r="I350" s="89" t="str">
        <f t="shared" si="5"/>
        <v>Medición</v>
      </c>
    </row>
    <row r="351" spans="1:9" x14ac:dyDescent="0.2">
      <c r="A351" s="82">
        <f>'ERROR FINAL'!A354</f>
        <v>346</v>
      </c>
      <c r="B351" s="83">
        <f>'ERROR FINAL'!D354</f>
        <v>6</v>
      </c>
      <c r="C351" s="84">
        <f>'ERROR FINAL'!G354</f>
        <v>0</v>
      </c>
      <c r="D351" s="85">
        <f>'ERROR FINAL'!I354</f>
        <v>0</v>
      </c>
      <c r="E351" s="86">
        <f>'ERROR FINAL'!U354</f>
        <v>-100</v>
      </c>
      <c r="F351" s="87">
        <f>'ERROR FINAL'!AG354</f>
        <v>-100</v>
      </c>
      <c r="G351" s="87">
        <f>'ERROR FINAL'!AS354</f>
        <v>-100</v>
      </c>
      <c r="H351" s="88" t="str">
        <f>IF('ERROR FINAL'!AT354="CONFORME","CONFORME","NO CONFORME")</f>
        <v>NO CONFORME</v>
      </c>
      <c r="I351" s="89" t="str">
        <f t="shared" si="5"/>
        <v>Medición</v>
      </c>
    </row>
    <row r="352" spans="1:9" x14ac:dyDescent="0.2">
      <c r="A352" s="82">
        <f>'ERROR FINAL'!A355</f>
        <v>347</v>
      </c>
      <c r="B352" s="83">
        <f>'ERROR FINAL'!D355</f>
        <v>6</v>
      </c>
      <c r="C352" s="84">
        <f>'ERROR FINAL'!G355</f>
        <v>0</v>
      </c>
      <c r="D352" s="85">
        <f>'ERROR FINAL'!I355</f>
        <v>0</v>
      </c>
      <c r="E352" s="86">
        <f>'ERROR FINAL'!U355</f>
        <v>-100</v>
      </c>
      <c r="F352" s="87">
        <f>'ERROR FINAL'!AG355</f>
        <v>-100</v>
      </c>
      <c r="G352" s="87">
        <f>'ERROR FINAL'!AS355</f>
        <v>-100</v>
      </c>
      <c r="H352" s="88" t="str">
        <f>IF('ERROR FINAL'!AT355="CONFORME","CONFORME","NO CONFORME")</f>
        <v>NO CONFORME</v>
      </c>
      <c r="I352" s="89" t="str">
        <f t="shared" si="5"/>
        <v>Medición</v>
      </c>
    </row>
    <row r="353" spans="1:9" x14ac:dyDescent="0.2">
      <c r="A353" s="82">
        <f>'ERROR FINAL'!A356</f>
        <v>348</v>
      </c>
      <c r="B353" s="83">
        <f>'ERROR FINAL'!D356</f>
        <v>6</v>
      </c>
      <c r="C353" s="84">
        <f>'ERROR FINAL'!G356</f>
        <v>0</v>
      </c>
      <c r="D353" s="85">
        <f>'ERROR FINAL'!I356</f>
        <v>0</v>
      </c>
      <c r="E353" s="86">
        <f>'ERROR FINAL'!U356</f>
        <v>-100</v>
      </c>
      <c r="F353" s="87">
        <f>'ERROR FINAL'!AG356</f>
        <v>-100</v>
      </c>
      <c r="G353" s="87">
        <f>'ERROR FINAL'!AS356</f>
        <v>-100</v>
      </c>
      <c r="H353" s="88" t="str">
        <f>IF('ERROR FINAL'!AT356="CONFORME","CONFORME","NO CONFORME")</f>
        <v>NO CONFORME</v>
      </c>
      <c r="I353" s="89" t="str">
        <f t="shared" si="5"/>
        <v>Medición</v>
      </c>
    </row>
    <row r="354" spans="1:9" x14ac:dyDescent="0.2">
      <c r="A354" s="82">
        <f>'ERROR FINAL'!A357</f>
        <v>349</v>
      </c>
      <c r="B354" s="83">
        <f>'ERROR FINAL'!D357</f>
        <v>6</v>
      </c>
      <c r="C354" s="84">
        <f>'ERROR FINAL'!G357</f>
        <v>0</v>
      </c>
      <c r="D354" s="85">
        <f>'ERROR FINAL'!I357</f>
        <v>0</v>
      </c>
      <c r="E354" s="86">
        <f>'ERROR FINAL'!U357</f>
        <v>-100</v>
      </c>
      <c r="F354" s="87">
        <f>'ERROR FINAL'!AG357</f>
        <v>-100</v>
      </c>
      <c r="G354" s="87">
        <f>'ERROR FINAL'!AS357</f>
        <v>-100</v>
      </c>
      <c r="H354" s="88" t="str">
        <f>IF('ERROR FINAL'!AT357="CONFORME","CONFORME","NO CONFORME")</f>
        <v>NO CONFORME</v>
      </c>
      <c r="I354" s="89" t="str">
        <f t="shared" si="5"/>
        <v>Medición</v>
      </c>
    </row>
    <row r="355" spans="1:9" x14ac:dyDescent="0.2">
      <c r="A355" s="82">
        <f>'ERROR FINAL'!A358</f>
        <v>350</v>
      </c>
      <c r="B355" s="83">
        <f>'ERROR FINAL'!D358</f>
        <v>6</v>
      </c>
      <c r="C355" s="84">
        <f>'ERROR FINAL'!G358</f>
        <v>0</v>
      </c>
      <c r="D355" s="85">
        <f>'ERROR FINAL'!I358</f>
        <v>0</v>
      </c>
      <c r="E355" s="86">
        <f>'ERROR FINAL'!U358</f>
        <v>-100</v>
      </c>
      <c r="F355" s="87">
        <f>'ERROR FINAL'!AG358</f>
        <v>-100</v>
      </c>
      <c r="G355" s="87">
        <f>'ERROR FINAL'!AS358</f>
        <v>-100</v>
      </c>
      <c r="H355" s="88" t="str">
        <f>IF('ERROR FINAL'!AT358="CONFORME","CONFORME","NO CONFORME")</f>
        <v>NO CONFORME</v>
      </c>
      <c r="I355" s="89" t="str">
        <f t="shared" si="5"/>
        <v>Medición</v>
      </c>
    </row>
    <row r="356" spans="1:9" x14ac:dyDescent="0.2">
      <c r="A356" s="82">
        <f>'ERROR FINAL'!A359</f>
        <v>351</v>
      </c>
      <c r="B356" s="83">
        <f>'ERROR FINAL'!D359</f>
        <v>6</v>
      </c>
      <c r="C356" s="84">
        <f>'ERROR FINAL'!G359</f>
        <v>0</v>
      </c>
      <c r="D356" s="85">
        <f>'ERROR FINAL'!I359</f>
        <v>0</v>
      </c>
      <c r="E356" s="86">
        <f>'ERROR FINAL'!U359</f>
        <v>-100</v>
      </c>
      <c r="F356" s="87">
        <f>'ERROR FINAL'!AG359</f>
        <v>-100</v>
      </c>
      <c r="G356" s="87">
        <f>'ERROR FINAL'!AS359</f>
        <v>-100</v>
      </c>
      <c r="H356" s="88" t="str">
        <f>IF('ERROR FINAL'!AT359="CONFORME","CONFORME","NO CONFORME")</f>
        <v>NO CONFORME</v>
      </c>
      <c r="I356" s="89" t="str">
        <f t="shared" si="5"/>
        <v>Medición</v>
      </c>
    </row>
    <row r="357" spans="1:9" x14ac:dyDescent="0.2">
      <c r="A357" s="82">
        <f>'ERROR FINAL'!A360</f>
        <v>352</v>
      </c>
      <c r="B357" s="83">
        <f>'ERROR FINAL'!D360</f>
        <v>6</v>
      </c>
      <c r="C357" s="84">
        <f>'ERROR FINAL'!G360</f>
        <v>0</v>
      </c>
      <c r="D357" s="85">
        <f>'ERROR FINAL'!I360</f>
        <v>0</v>
      </c>
      <c r="E357" s="86">
        <f>'ERROR FINAL'!U360</f>
        <v>-100</v>
      </c>
      <c r="F357" s="87">
        <f>'ERROR FINAL'!AG360</f>
        <v>-100</v>
      </c>
      <c r="G357" s="87">
        <f>'ERROR FINAL'!AS360</f>
        <v>-100</v>
      </c>
      <c r="H357" s="88" t="str">
        <f>IF('ERROR FINAL'!AT360="CONFORME","CONFORME","NO CONFORME")</f>
        <v>NO CONFORME</v>
      </c>
      <c r="I357" s="89" t="str">
        <f t="shared" si="5"/>
        <v>Medición</v>
      </c>
    </row>
    <row r="358" spans="1:9" x14ac:dyDescent="0.2">
      <c r="A358" s="82">
        <f>'ERROR FINAL'!A361</f>
        <v>353</v>
      </c>
      <c r="B358" s="83">
        <f>'ERROR FINAL'!D361</f>
        <v>6</v>
      </c>
      <c r="C358" s="84">
        <f>'ERROR FINAL'!G361</f>
        <v>0</v>
      </c>
      <c r="D358" s="85">
        <f>'ERROR FINAL'!I361</f>
        <v>0</v>
      </c>
      <c r="E358" s="86">
        <f>'ERROR FINAL'!U361</f>
        <v>-100</v>
      </c>
      <c r="F358" s="87">
        <f>'ERROR FINAL'!AG361</f>
        <v>-100</v>
      </c>
      <c r="G358" s="87">
        <f>'ERROR FINAL'!AS361</f>
        <v>-100</v>
      </c>
      <c r="H358" s="88" t="str">
        <f>IF('ERROR FINAL'!AT361="CONFORME","CONFORME","NO CONFORME")</f>
        <v>NO CONFORME</v>
      </c>
      <c r="I358" s="89" t="str">
        <f t="shared" si="5"/>
        <v>Medición</v>
      </c>
    </row>
    <row r="359" spans="1:9" x14ac:dyDescent="0.2">
      <c r="A359" s="82">
        <f>'ERROR FINAL'!A362</f>
        <v>354</v>
      </c>
      <c r="B359" s="83">
        <f>'ERROR FINAL'!D362</f>
        <v>6</v>
      </c>
      <c r="C359" s="84">
        <f>'ERROR FINAL'!G362</f>
        <v>0</v>
      </c>
      <c r="D359" s="85">
        <f>'ERROR FINAL'!I362</f>
        <v>0</v>
      </c>
      <c r="E359" s="86">
        <f>'ERROR FINAL'!U362</f>
        <v>-100</v>
      </c>
      <c r="F359" s="87">
        <f>'ERROR FINAL'!AG362</f>
        <v>-100</v>
      </c>
      <c r="G359" s="87">
        <f>'ERROR FINAL'!AS362</f>
        <v>-100</v>
      </c>
      <c r="H359" s="88" t="str">
        <f>IF('ERROR FINAL'!AT362="CONFORME","CONFORME","NO CONFORME")</f>
        <v>NO CONFORME</v>
      </c>
      <c r="I359" s="89" t="str">
        <f t="shared" si="5"/>
        <v>Medición</v>
      </c>
    </row>
    <row r="360" spans="1:9" x14ac:dyDescent="0.2">
      <c r="A360" s="82">
        <f>'ERROR FINAL'!A363</f>
        <v>355</v>
      </c>
      <c r="B360" s="83">
        <f>'ERROR FINAL'!D363</f>
        <v>6</v>
      </c>
      <c r="C360" s="84">
        <f>'ERROR FINAL'!G363</f>
        <v>0</v>
      </c>
      <c r="D360" s="85">
        <f>'ERROR FINAL'!I363</f>
        <v>0</v>
      </c>
      <c r="E360" s="86">
        <f>'ERROR FINAL'!U363</f>
        <v>-100</v>
      </c>
      <c r="F360" s="87">
        <f>'ERROR FINAL'!AG363</f>
        <v>-100</v>
      </c>
      <c r="G360" s="87">
        <f>'ERROR FINAL'!AS363</f>
        <v>-100</v>
      </c>
      <c r="H360" s="88" t="str">
        <f>IF('ERROR FINAL'!AT363="CONFORME","CONFORME","NO CONFORME")</f>
        <v>NO CONFORME</v>
      </c>
      <c r="I360" s="89" t="str">
        <f t="shared" si="5"/>
        <v>Medición</v>
      </c>
    </row>
    <row r="361" spans="1:9" x14ac:dyDescent="0.2">
      <c r="A361" s="82">
        <f>'ERROR FINAL'!A364</f>
        <v>356</v>
      </c>
      <c r="B361" s="83">
        <f>'ERROR FINAL'!D364</f>
        <v>6</v>
      </c>
      <c r="C361" s="84">
        <f>'ERROR FINAL'!G364</f>
        <v>0</v>
      </c>
      <c r="D361" s="85">
        <f>'ERROR FINAL'!I364</f>
        <v>0</v>
      </c>
      <c r="E361" s="86">
        <f>'ERROR FINAL'!U364</f>
        <v>-100</v>
      </c>
      <c r="F361" s="87">
        <f>'ERROR FINAL'!AG364</f>
        <v>-100</v>
      </c>
      <c r="G361" s="87">
        <f>'ERROR FINAL'!AS364</f>
        <v>-100</v>
      </c>
      <c r="H361" s="88" t="str">
        <f>IF('ERROR FINAL'!AT364="CONFORME","CONFORME","NO CONFORME")</f>
        <v>NO CONFORME</v>
      </c>
      <c r="I361" s="89" t="str">
        <f t="shared" si="5"/>
        <v>Medición</v>
      </c>
    </row>
    <row r="362" spans="1:9" x14ac:dyDescent="0.2">
      <c r="A362" s="82">
        <f>'ERROR FINAL'!A365</f>
        <v>357</v>
      </c>
      <c r="B362" s="83">
        <f>'ERROR FINAL'!D365</f>
        <v>6</v>
      </c>
      <c r="C362" s="84">
        <f>'ERROR FINAL'!G365</f>
        <v>0</v>
      </c>
      <c r="D362" s="85">
        <f>'ERROR FINAL'!I365</f>
        <v>0</v>
      </c>
      <c r="E362" s="86">
        <f>'ERROR FINAL'!U365</f>
        <v>-100</v>
      </c>
      <c r="F362" s="87">
        <f>'ERROR FINAL'!AG365</f>
        <v>-100</v>
      </c>
      <c r="G362" s="87">
        <f>'ERROR FINAL'!AS365</f>
        <v>-100</v>
      </c>
      <c r="H362" s="88" t="str">
        <f>IF('ERROR FINAL'!AT365="CONFORME","CONFORME","NO CONFORME")</f>
        <v>NO CONFORME</v>
      </c>
      <c r="I362" s="89" t="str">
        <f t="shared" si="5"/>
        <v>Medición</v>
      </c>
    </row>
    <row r="363" spans="1:9" x14ac:dyDescent="0.2">
      <c r="A363" s="82">
        <f>'ERROR FINAL'!A366</f>
        <v>358</v>
      </c>
      <c r="B363" s="83">
        <f>'ERROR FINAL'!D366</f>
        <v>6</v>
      </c>
      <c r="C363" s="84">
        <f>'ERROR FINAL'!G366</f>
        <v>0</v>
      </c>
      <c r="D363" s="85">
        <f>'ERROR FINAL'!I366</f>
        <v>0</v>
      </c>
      <c r="E363" s="86">
        <f>'ERROR FINAL'!U366</f>
        <v>-100</v>
      </c>
      <c r="F363" s="87">
        <f>'ERROR FINAL'!AG366</f>
        <v>-100</v>
      </c>
      <c r="G363" s="87">
        <f>'ERROR FINAL'!AS366</f>
        <v>-100</v>
      </c>
      <c r="H363" s="88" t="str">
        <f>IF('ERROR FINAL'!AT366="CONFORME","CONFORME","NO CONFORME")</f>
        <v>NO CONFORME</v>
      </c>
      <c r="I363" s="89" t="str">
        <f t="shared" si="5"/>
        <v>Medición</v>
      </c>
    </row>
    <row r="364" spans="1:9" x14ac:dyDescent="0.2">
      <c r="A364" s="82">
        <f>'ERROR FINAL'!A367</f>
        <v>359</v>
      </c>
      <c r="B364" s="83">
        <f>'ERROR FINAL'!D367</f>
        <v>6</v>
      </c>
      <c r="C364" s="84">
        <f>'ERROR FINAL'!G367</f>
        <v>0</v>
      </c>
      <c r="D364" s="85">
        <f>'ERROR FINAL'!I367</f>
        <v>0</v>
      </c>
      <c r="E364" s="86">
        <f>'ERROR FINAL'!U367</f>
        <v>-100</v>
      </c>
      <c r="F364" s="87">
        <f>'ERROR FINAL'!AG367</f>
        <v>-100</v>
      </c>
      <c r="G364" s="87">
        <f>'ERROR FINAL'!AS367</f>
        <v>-100</v>
      </c>
      <c r="H364" s="88" t="str">
        <f>IF('ERROR FINAL'!AT367="CONFORME","CONFORME","NO CONFORME")</f>
        <v>NO CONFORME</v>
      </c>
      <c r="I364" s="89" t="str">
        <f t="shared" si="5"/>
        <v>Medición</v>
      </c>
    </row>
    <row r="365" spans="1:9" x14ac:dyDescent="0.2">
      <c r="A365" s="82">
        <f>'ERROR FINAL'!A368</f>
        <v>360</v>
      </c>
      <c r="B365" s="83">
        <f>'ERROR FINAL'!D368</f>
        <v>6</v>
      </c>
      <c r="C365" s="84">
        <f>'ERROR FINAL'!G368</f>
        <v>0</v>
      </c>
      <c r="D365" s="85">
        <f>'ERROR FINAL'!I368</f>
        <v>0</v>
      </c>
      <c r="E365" s="86">
        <f>'ERROR FINAL'!U368</f>
        <v>-100</v>
      </c>
      <c r="F365" s="87">
        <f>'ERROR FINAL'!AG368</f>
        <v>-100</v>
      </c>
      <c r="G365" s="87">
        <f>'ERROR FINAL'!AS368</f>
        <v>-100</v>
      </c>
      <c r="H365" s="88" t="str">
        <f>IF('ERROR FINAL'!AT368="CONFORME","CONFORME","NO CONFORME")</f>
        <v>NO CONFORME</v>
      </c>
      <c r="I365" s="89" t="str">
        <f t="shared" si="5"/>
        <v>Medición</v>
      </c>
    </row>
    <row r="366" spans="1:9" x14ac:dyDescent="0.2">
      <c r="A366" s="82">
        <f>'ERROR FINAL'!A369</f>
        <v>361</v>
      </c>
      <c r="B366" s="83">
        <f>'ERROR FINAL'!D369</f>
        <v>6</v>
      </c>
      <c r="C366" s="84">
        <f>'ERROR FINAL'!G369</f>
        <v>0</v>
      </c>
      <c r="D366" s="85">
        <f>'ERROR FINAL'!I369</f>
        <v>0</v>
      </c>
      <c r="E366" s="86">
        <f>'ERROR FINAL'!U369</f>
        <v>-100</v>
      </c>
      <c r="F366" s="87">
        <f>'ERROR FINAL'!AG369</f>
        <v>-100</v>
      </c>
      <c r="G366" s="87">
        <f>'ERROR FINAL'!AS369</f>
        <v>-100</v>
      </c>
      <c r="H366" s="88" t="str">
        <f>IF('ERROR FINAL'!AT369="CONFORME","CONFORME","NO CONFORME")</f>
        <v>NO CONFORME</v>
      </c>
      <c r="I366" s="89" t="str">
        <f t="shared" si="5"/>
        <v>Medición</v>
      </c>
    </row>
    <row r="367" spans="1:9" x14ac:dyDescent="0.2">
      <c r="A367" s="82">
        <f>'ERROR FINAL'!A370</f>
        <v>362</v>
      </c>
      <c r="B367" s="83">
        <f>'ERROR FINAL'!D370</f>
        <v>6</v>
      </c>
      <c r="C367" s="84">
        <f>'ERROR FINAL'!G370</f>
        <v>0</v>
      </c>
      <c r="D367" s="85">
        <f>'ERROR FINAL'!I370</f>
        <v>0</v>
      </c>
      <c r="E367" s="86">
        <f>'ERROR FINAL'!U370</f>
        <v>-100</v>
      </c>
      <c r="F367" s="87">
        <f>'ERROR FINAL'!AG370</f>
        <v>-100</v>
      </c>
      <c r="G367" s="87">
        <f>'ERROR FINAL'!AS370</f>
        <v>-100</v>
      </c>
      <c r="H367" s="88" t="str">
        <f>IF('ERROR FINAL'!AT370="CONFORME","CONFORME","NO CONFORME")</f>
        <v>NO CONFORME</v>
      </c>
      <c r="I367" s="89" t="str">
        <f t="shared" si="5"/>
        <v>Medición</v>
      </c>
    </row>
    <row r="368" spans="1:9" x14ac:dyDescent="0.2">
      <c r="A368" s="82">
        <f>'ERROR FINAL'!A371</f>
        <v>363</v>
      </c>
      <c r="B368" s="83">
        <f>'ERROR FINAL'!D371</f>
        <v>6</v>
      </c>
      <c r="C368" s="84">
        <f>'ERROR FINAL'!G371</f>
        <v>0</v>
      </c>
      <c r="D368" s="85">
        <f>'ERROR FINAL'!I371</f>
        <v>0</v>
      </c>
      <c r="E368" s="86">
        <f>'ERROR FINAL'!U371</f>
        <v>-100</v>
      </c>
      <c r="F368" s="87">
        <f>'ERROR FINAL'!AG371</f>
        <v>-100</v>
      </c>
      <c r="G368" s="87">
        <f>'ERROR FINAL'!AS371</f>
        <v>-100</v>
      </c>
      <c r="H368" s="88" t="str">
        <f>IF('ERROR FINAL'!AT371="CONFORME","CONFORME","NO CONFORME")</f>
        <v>NO CONFORME</v>
      </c>
      <c r="I368" s="89" t="str">
        <f t="shared" si="5"/>
        <v>Medición</v>
      </c>
    </row>
    <row r="369" spans="1:9" x14ac:dyDescent="0.2">
      <c r="A369" s="82">
        <f>'ERROR FINAL'!A372</f>
        <v>364</v>
      </c>
      <c r="B369" s="83">
        <f>'ERROR FINAL'!D372</f>
        <v>6</v>
      </c>
      <c r="C369" s="84">
        <f>'ERROR FINAL'!G372</f>
        <v>0</v>
      </c>
      <c r="D369" s="85">
        <f>'ERROR FINAL'!I372</f>
        <v>0</v>
      </c>
      <c r="E369" s="86">
        <f>'ERROR FINAL'!U372</f>
        <v>-100</v>
      </c>
      <c r="F369" s="87">
        <f>'ERROR FINAL'!AG372</f>
        <v>-100</v>
      </c>
      <c r="G369" s="87">
        <f>'ERROR FINAL'!AS372</f>
        <v>-100</v>
      </c>
      <c r="H369" s="88" t="str">
        <f>IF('ERROR FINAL'!AT372="CONFORME","CONFORME","NO CONFORME")</f>
        <v>NO CONFORME</v>
      </c>
      <c r="I369" s="89" t="str">
        <f t="shared" si="5"/>
        <v>Medición</v>
      </c>
    </row>
    <row r="370" spans="1:9" x14ac:dyDescent="0.2">
      <c r="A370" s="82">
        <f>'ERROR FINAL'!A373</f>
        <v>365</v>
      </c>
      <c r="B370" s="83">
        <f>'ERROR FINAL'!D373</f>
        <v>6</v>
      </c>
      <c r="C370" s="84">
        <f>'ERROR FINAL'!G373</f>
        <v>0</v>
      </c>
      <c r="D370" s="85">
        <f>'ERROR FINAL'!I373</f>
        <v>0</v>
      </c>
      <c r="E370" s="86">
        <f>'ERROR FINAL'!U373</f>
        <v>-100</v>
      </c>
      <c r="F370" s="87">
        <f>'ERROR FINAL'!AG373</f>
        <v>-100</v>
      </c>
      <c r="G370" s="87">
        <f>'ERROR FINAL'!AS373</f>
        <v>-100</v>
      </c>
      <c r="H370" s="88" t="str">
        <f>IF('ERROR FINAL'!AT373="CONFORME","CONFORME","NO CONFORME")</f>
        <v>NO CONFORME</v>
      </c>
      <c r="I370" s="89" t="str">
        <f t="shared" si="5"/>
        <v>Medición</v>
      </c>
    </row>
    <row r="371" spans="1:9" x14ac:dyDescent="0.2">
      <c r="A371" s="82">
        <f>'ERROR FINAL'!A374</f>
        <v>366</v>
      </c>
      <c r="B371" s="83">
        <f>'ERROR FINAL'!D374</f>
        <v>6</v>
      </c>
      <c r="C371" s="84">
        <f>'ERROR FINAL'!G374</f>
        <v>0</v>
      </c>
      <c r="D371" s="85">
        <f>'ERROR FINAL'!I374</f>
        <v>0</v>
      </c>
      <c r="E371" s="86">
        <f>'ERROR FINAL'!U374</f>
        <v>-100</v>
      </c>
      <c r="F371" s="87">
        <f>'ERROR FINAL'!AG374</f>
        <v>-100</v>
      </c>
      <c r="G371" s="87">
        <f>'ERROR FINAL'!AS374</f>
        <v>-100</v>
      </c>
      <c r="H371" s="88" t="str">
        <f>IF('ERROR FINAL'!AT374="CONFORME","CONFORME","NO CONFORME")</f>
        <v>NO CONFORME</v>
      </c>
      <c r="I371" s="89" t="str">
        <f t="shared" si="5"/>
        <v>Medición</v>
      </c>
    </row>
    <row r="372" spans="1:9" x14ac:dyDescent="0.2">
      <c r="A372" s="82">
        <f>'ERROR FINAL'!A375</f>
        <v>367</v>
      </c>
      <c r="B372" s="83">
        <f>'ERROR FINAL'!D375</f>
        <v>6</v>
      </c>
      <c r="C372" s="84">
        <f>'ERROR FINAL'!G375</f>
        <v>0</v>
      </c>
      <c r="D372" s="85">
        <f>'ERROR FINAL'!I375</f>
        <v>0</v>
      </c>
      <c r="E372" s="86">
        <f>'ERROR FINAL'!U375</f>
        <v>-100</v>
      </c>
      <c r="F372" s="87">
        <f>'ERROR FINAL'!AG375</f>
        <v>-100</v>
      </c>
      <c r="G372" s="87">
        <f>'ERROR FINAL'!AS375</f>
        <v>-100</v>
      </c>
      <c r="H372" s="88" t="str">
        <f>IF('ERROR FINAL'!AT375="CONFORME","CONFORME","NO CONFORME")</f>
        <v>NO CONFORME</v>
      </c>
      <c r="I372" s="89" t="str">
        <f t="shared" si="5"/>
        <v>Medición</v>
      </c>
    </row>
    <row r="373" spans="1:9" x14ac:dyDescent="0.2">
      <c r="A373" s="82">
        <f>'ERROR FINAL'!A376</f>
        <v>368</v>
      </c>
      <c r="B373" s="83">
        <f>'ERROR FINAL'!D376</f>
        <v>6</v>
      </c>
      <c r="C373" s="84">
        <f>'ERROR FINAL'!G376</f>
        <v>0</v>
      </c>
      <c r="D373" s="85">
        <f>'ERROR FINAL'!I376</f>
        <v>0</v>
      </c>
      <c r="E373" s="86">
        <f>'ERROR FINAL'!U376</f>
        <v>-100</v>
      </c>
      <c r="F373" s="87">
        <f>'ERROR FINAL'!AG376</f>
        <v>-100</v>
      </c>
      <c r="G373" s="87">
        <f>'ERROR FINAL'!AS376</f>
        <v>-100</v>
      </c>
      <c r="H373" s="88" t="str">
        <f>IF('ERROR FINAL'!AT376="CONFORME","CONFORME","NO CONFORME")</f>
        <v>NO CONFORME</v>
      </c>
      <c r="I373" s="89" t="str">
        <f t="shared" si="5"/>
        <v>Medición</v>
      </c>
    </row>
    <row r="374" spans="1:9" x14ac:dyDescent="0.2">
      <c r="A374" s="82">
        <f>'ERROR FINAL'!A377</f>
        <v>369</v>
      </c>
      <c r="B374" s="83">
        <f>'ERROR FINAL'!D377</f>
        <v>6</v>
      </c>
      <c r="C374" s="84">
        <f>'ERROR FINAL'!G377</f>
        <v>0</v>
      </c>
      <c r="D374" s="85">
        <f>'ERROR FINAL'!I377</f>
        <v>0</v>
      </c>
      <c r="E374" s="86">
        <f>'ERROR FINAL'!U377</f>
        <v>-100</v>
      </c>
      <c r="F374" s="87">
        <f>'ERROR FINAL'!AG377</f>
        <v>-100</v>
      </c>
      <c r="G374" s="87">
        <f>'ERROR FINAL'!AS377</f>
        <v>-100</v>
      </c>
      <c r="H374" s="88" t="str">
        <f>IF('ERROR FINAL'!AT377="CONFORME","CONFORME","NO CONFORME")</f>
        <v>NO CONFORME</v>
      </c>
      <c r="I374" s="89" t="str">
        <f t="shared" si="5"/>
        <v>Medición</v>
      </c>
    </row>
    <row r="375" spans="1:9" x14ac:dyDescent="0.2">
      <c r="A375" s="82">
        <f>'ERROR FINAL'!A378</f>
        <v>370</v>
      </c>
      <c r="B375" s="83">
        <f>'ERROR FINAL'!D378</f>
        <v>6</v>
      </c>
      <c r="C375" s="84">
        <f>'ERROR FINAL'!G378</f>
        <v>0</v>
      </c>
      <c r="D375" s="85">
        <f>'ERROR FINAL'!I378</f>
        <v>0</v>
      </c>
      <c r="E375" s="86">
        <f>'ERROR FINAL'!U378</f>
        <v>-100</v>
      </c>
      <c r="F375" s="87">
        <f>'ERROR FINAL'!AG378</f>
        <v>-100</v>
      </c>
      <c r="G375" s="87">
        <f>'ERROR FINAL'!AS378</f>
        <v>-100</v>
      </c>
      <c r="H375" s="88" t="str">
        <f>IF('ERROR FINAL'!AT378="CONFORME","CONFORME","NO CONFORME")</f>
        <v>NO CONFORME</v>
      </c>
      <c r="I375" s="89" t="str">
        <f t="shared" si="5"/>
        <v>Medición</v>
      </c>
    </row>
    <row r="376" spans="1:9" x14ac:dyDescent="0.2">
      <c r="A376" s="82">
        <f>'ERROR FINAL'!A379</f>
        <v>371</v>
      </c>
      <c r="B376" s="83">
        <f>'ERROR FINAL'!D379</f>
        <v>6</v>
      </c>
      <c r="C376" s="84">
        <f>'ERROR FINAL'!G379</f>
        <v>0</v>
      </c>
      <c r="D376" s="85">
        <f>'ERROR FINAL'!I379</f>
        <v>0</v>
      </c>
      <c r="E376" s="86">
        <f>'ERROR FINAL'!U379</f>
        <v>-100</v>
      </c>
      <c r="F376" s="87">
        <f>'ERROR FINAL'!AG379</f>
        <v>-100</v>
      </c>
      <c r="G376" s="87">
        <f>'ERROR FINAL'!AS379</f>
        <v>-100</v>
      </c>
      <c r="H376" s="88" t="str">
        <f>IF('ERROR FINAL'!AT379="CONFORME","CONFORME","NO CONFORME")</f>
        <v>NO CONFORME</v>
      </c>
      <c r="I376" s="89" t="str">
        <f t="shared" si="5"/>
        <v>Medición</v>
      </c>
    </row>
    <row r="377" spans="1:9" x14ac:dyDescent="0.2">
      <c r="A377" s="82">
        <f>'ERROR FINAL'!A380</f>
        <v>372</v>
      </c>
      <c r="B377" s="83">
        <f>'ERROR FINAL'!D380</f>
        <v>6</v>
      </c>
      <c r="C377" s="84">
        <f>'ERROR FINAL'!G380</f>
        <v>0</v>
      </c>
      <c r="D377" s="85">
        <f>'ERROR FINAL'!I380</f>
        <v>0</v>
      </c>
      <c r="E377" s="86">
        <f>'ERROR FINAL'!U380</f>
        <v>-100</v>
      </c>
      <c r="F377" s="87">
        <f>'ERROR FINAL'!AG380</f>
        <v>-100</v>
      </c>
      <c r="G377" s="87">
        <f>'ERROR FINAL'!AS380</f>
        <v>-100</v>
      </c>
      <c r="H377" s="88" t="str">
        <f>IF('ERROR FINAL'!AT380="CONFORME","CONFORME","NO CONFORME")</f>
        <v>NO CONFORME</v>
      </c>
      <c r="I377" s="89" t="str">
        <f t="shared" si="5"/>
        <v>Medición</v>
      </c>
    </row>
    <row r="378" spans="1:9" x14ac:dyDescent="0.2">
      <c r="A378" s="82">
        <f>'ERROR FINAL'!A381</f>
        <v>373</v>
      </c>
      <c r="B378" s="83">
        <f>'ERROR FINAL'!D381</f>
        <v>6</v>
      </c>
      <c r="C378" s="84">
        <f>'ERROR FINAL'!G381</f>
        <v>0</v>
      </c>
      <c r="D378" s="85">
        <f>'ERROR FINAL'!I381</f>
        <v>0</v>
      </c>
      <c r="E378" s="86">
        <f>'ERROR FINAL'!U381</f>
        <v>-100</v>
      </c>
      <c r="F378" s="87">
        <f>'ERROR FINAL'!AG381</f>
        <v>-100</v>
      </c>
      <c r="G378" s="87">
        <f>'ERROR FINAL'!AS381</f>
        <v>-100</v>
      </c>
      <c r="H378" s="88" t="str">
        <f>IF('ERROR FINAL'!AT381="CONFORME","CONFORME","NO CONFORME")</f>
        <v>NO CONFORME</v>
      </c>
      <c r="I378" s="89" t="str">
        <f t="shared" si="5"/>
        <v>Medición</v>
      </c>
    </row>
    <row r="379" spans="1:9" x14ac:dyDescent="0.2">
      <c r="A379" s="82">
        <f>'ERROR FINAL'!A382</f>
        <v>374</v>
      </c>
      <c r="B379" s="83">
        <f>'ERROR FINAL'!D382</f>
        <v>6</v>
      </c>
      <c r="C379" s="84">
        <f>'ERROR FINAL'!G382</f>
        <v>0</v>
      </c>
      <c r="D379" s="85">
        <f>'ERROR FINAL'!I382</f>
        <v>0</v>
      </c>
      <c r="E379" s="86">
        <f>'ERROR FINAL'!U382</f>
        <v>-100</v>
      </c>
      <c r="F379" s="87">
        <f>'ERROR FINAL'!AG382</f>
        <v>-100</v>
      </c>
      <c r="G379" s="87">
        <f>'ERROR FINAL'!AS382</f>
        <v>-100</v>
      </c>
      <c r="H379" s="88" t="str">
        <f>IF('ERROR FINAL'!AT382="CONFORME","CONFORME","NO CONFORME")</f>
        <v>NO CONFORME</v>
      </c>
      <c r="I379" s="89" t="str">
        <f t="shared" si="5"/>
        <v>Medición</v>
      </c>
    </row>
    <row r="380" spans="1:9" x14ac:dyDescent="0.2">
      <c r="A380" s="82">
        <f>'ERROR FINAL'!A383</f>
        <v>375</v>
      </c>
      <c r="B380" s="83">
        <f>'ERROR FINAL'!D383</f>
        <v>6</v>
      </c>
      <c r="C380" s="84">
        <f>'ERROR FINAL'!G383</f>
        <v>0</v>
      </c>
      <c r="D380" s="85">
        <f>'ERROR FINAL'!I383</f>
        <v>0</v>
      </c>
      <c r="E380" s="86">
        <f>'ERROR FINAL'!U383</f>
        <v>-100</v>
      </c>
      <c r="F380" s="87">
        <f>'ERROR FINAL'!AG383</f>
        <v>-100</v>
      </c>
      <c r="G380" s="87">
        <f>'ERROR FINAL'!AS383</f>
        <v>-100</v>
      </c>
      <c r="H380" s="88" t="str">
        <f>IF('ERROR FINAL'!AT383="CONFORME","CONFORME","NO CONFORME")</f>
        <v>NO CONFORME</v>
      </c>
      <c r="I380" s="89" t="str">
        <f t="shared" si="5"/>
        <v>Medición</v>
      </c>
    </row>
    <row r="381" spans="1:9" x14ac:dyDescent="0.2">
      <c r="A381" s="82">
        <f>'ERROR FINAL'!A384</f>
        <v>376</v>
      </c>
      <c r="B381" s="83">
        <f>'ERROR FINAL'!D384</f>
        <v>6</v>
      </c>
      <c r="C381" s="84">
        <f>'ERROR FINAL'!G384</f>
        <v>0</v>
      </c>
      <c r="D381" s="85">
        <f>'ERROR FINAL'!I384</f>
        <v>0</v>
      </c>
      <c r="E381" s="86">
        <f>'ERROR FINAL'!U384</f>
        <v>-100</v>
      </c>
      <c r="F381" s="87">
        <f>'ERROR FINAL'!AG384</f>
        <v>-100</v>
      </c>
      <c r="G381" s="87">
        <f>'ERROR FINAL'!AS384</f>
        <v>-100</v>
      </c>
      <c r="H381" s="88" t="str">
        <f>IF('ERROR FINAL'!AT384="CONFORME","CONFORME","NO CONFORME")</f>
        <v>NO CONFORME</v>
      </c>
      <c r="I381" s="89" t="str">
        <f t="shared" si="5"/>
        <v>Medición</v>
      </c>
    </row>
    <row r="382" spans="1:9" x14ac:dyDescent="0.2">
      <c r="A382" s="82">
        <f>'ERROR FINAL'!A385</f>
        <v>377</v>
      </c>
      <c r="B382" s="83">
        <f>'ERROR FINAL'!D385</f>
        <v>6</v>
      </c>
      <c r="C382" s="84">
        <f>'ERROR FINAL'!G385</f>
        <v>0</v>
      </c>
      <c r="D382" s="85">
        <f>'ERROR FINAL'!I385</f>
        <v>0</v>
      </c>
      <c r="E382" s="86">
        <f>'ERROR FINAL'!U385</f>
        <v>-100</v>
      </c>
      <c r="F382" s="87">
        <f>'ERROR FINAL'!AG385</f>
        <v>-100</v>
      </c>
      <c r="G382" s="87">
        <f>'ERROR FINAL'!AS385</f>
        <v>-100</v>
      </c>
      <c r="H382" s="88" t="str">
        <f>IF('ERROR FINAL'!AT385="CONFORME","CONFORME","NO CONFORME")</f>
        <v>NO CONFORME</v>
      </c>
      <c r="I382" s="89" t="str">
        <f t="shared" si="5"/>
        <v>Medición</v>
      </c>
    </row>
    <row r="383" spans="1:9" x14ac:dyDescent="0.2">
      <c r="A383" s="82">
        <f>'ERROR FINAL'!A386</f>
        <v>378</v>
      </c>
      <c r="B383" s="83">
        <f>'ERROR FINAL'!D386</f>
        <v>6</v>
      </c>
      <c r="C383" s="84">
        <f>'ERROR FINAL'!G386</f>
        <v>0</v>
      </c>
      <c r="D383" s="85">
        <f>'ERROR FINAL'!I386</f>
        <v>0</v>
      </c>
      <c r="E383" s="86">
        <f>'ERROR FINAL'!U386</f>
        <v>-100</v>
      </c>
      <c r="F383" s="87">
        <f>'ERROR FINAL'!AG386</f>
        <v>-100</v>
      </c>
      <c r="G383" s="87">
        <f>'ERROR FINAL'!AS386</f>
        <v>-100</v>
      </c>
      <c r="H383" s="88" t="str">
        <f>IF('ERROR FINAL'!AT386="CONFORME","CONFORME","NO CONFORME")</f>
        <v>NO CONFORME</v>
      </c>
      <c r="I383" s="89" t="str">
        <f t="shared" si="5"/>
        <v>Medición</v>
      </c>
    </row>
    <row r="384" spans="1:9" x14ac:dyDescent="0.2">
      <c r="A384" s="82">
        <f>'ERROR FINAL'!A387</f>
        <v>379</v>
      </c>
      <c r="B384" s="83">
        <f>'ERROR FINAL'!D387</f>
        <v>6</v>
      </c>
      <c r="C384" s="84">
        <f>'ERROR FINAL'!G387</f>
        <v>0</v>
      </c>
      <c r="D384" s="85">
        <f>'ERROR FINAL'!I387</f>
        <v>0</v>
      </c>
      <c r="E384" s="86">
        <f>'ERROR FINAL'!U387</f>
        <v>-100</v>
      </c>
      <c r="F384" s="87">
        <f>'ERROR FINAL'!AG387</f>
        <v>-100</v>
      </c>
      <c r="G384" s="87">
        <f>'ERROR FINAL'!AS387</f>
        <v>-100</v>
      </c>
      <c r="H384" s="88" t="str">
        <f>IF('ERROR FINAL'!AT387="CONFORME","CONFORME","NO CONFORME")</f>
        <v>NO CONFORME</v>
      </c>
      <c r="I384" s="89" t="str">
        <f t="shared" si="5"/>
        <v>Medición</v>
      </c>
    </row>
    <row r="385" spans="1:9" x14ac:dyDescent="0.2">
      <c r="A385" s="82">
        <f>'ERROR FINAL'!A388</f>
        <v>380</v>
      </c>
      <c r="B385" s="83">
        <f>'ERROR FINAL'!D388</f>
        <v>6</v>
      </c>
      <c r="C385" s="84">
        <f>'ERROR FINAL'!G388</f>
        <v>0</v>
      </c>
      <c r="D385" s="85">
        <f>'ERROR FINAL'!I388</f>
        <v>0</v>
      </c>
      <c r="E385" s="86">
        <f>'ERROR FINAL'!U388</f>
        <v>-100</v>
      </c>
      <c r="F385" s="87">
        <f>'ERROR FINAL'!AG388</f>
        <v>-100</v>
      </c>
      <c r="G385" s="87">
        <f>'ERROR FINAL'!AS388</f>
        <v>-100</v>
      </c>
      <c r="H385" s="88" t="str">
        <f>IF('ERROR FINAL'!AT388="CONFORME","CONFORME","NO CONFORME")</f>
        <v>NO CONFORME</v>
      </c>
      <c r="I385" s="89" t="str">
        <f t="shared" si="5"/>
        <v>Medición</v>
      </c>
    </row>
    <row r="386" spans="1:9" x14ac:dyDescent="0.2">
      <c r="A386" s="82">
        <f>'ERROR FINAL'!A389</f>
        <v>381</v>
      </c>
      <c r="B386" s="83">
        <f>'ERROR FINAL'!D389</f>
        <v>6</v>
      </c>
      <c r="C386" s="84">
        <f>'ERROR FINAL'!G389</f>
        <v>0</v>
      </c>
      <c r="D386" s="85">
        <f>'ERROR FINAL'!I389</f>
        <v>0</v>
      </c>
      <c r="E386" s="86">
        <f>'ERROR FINAL'!U389</f>
        <v>-100</v>
      </c>
      <c r="F386" s="87">
        <f>'ERROR FINAL'!AG389</f>
        <v>-100</v>
      </c>
      <c r="G386" s="87">
        <f>'ERROR FINAL'!AS389</f>
        <v>-100</v>
      </c>
      <c r="H386" s="88" t="str">
        <f>IF('ERROR FINAL'!AT389="CONFORME","CONFORME","NO CONFORME")</f>
        <v>NO CONFORME</v>
      </c>
      <c r="I386" s="89" t="str">
        <f t="shared" si="5"/>
        <v>Medición</v>
      </c>
    </row>
    <row r="387" spans="1:9" x14ac:dyDescent="0.2">
      <c r="A387" s="82">
        <f>'ERROR FINAL'!A390</f>
        <v>382</v>
      </c>
      <c r="B387" s="83">
        <f>'ERROR FINAL'!D390</f>
        <v>6</v>
      </c>
      <c r="C387" s="84">
        <f>'ERROR FINAL'!G390</f>
        <v>0</v>
      </c>
      <c r="D387" s="85">
        <f>'ERROR FINAL'!I390</f>
        <v>0</v>
      </c>
      <c r="E387" s="86">
        <f>'ERROR FINAL'!U390</f>
        <v>-100</v>
      </c>
      <c r="F387" s="87">
        <f>'ERROR FINAL'!AG390</f>
        <v>-100</v>
      </c>
      <c r="G387" s="87">
        <f>'ERROR FINAL'!AS390</f>
        <v>-100</v>
      </c>
      <c r="H387" s="88" t="str">
        <f>IF('ERROR FINAL'!AT390="CONFORME","CONFORME","NO CONFORME")</f>
        <v>NO CONFORME</v>
      </c>
      <c r="I387" s="89" t="str">
        <f t="shared" si="5"/>
        <v>Medición</v>
      </c>
    </row>
    <row r="388" spans="1:9" x14ac:dyDescent="0.2">
      <c r="A388" s="82">
        <f>'ERROR FINAL'!A391</f>
        <v>383</v>
      </c>
      <c r="B388" s="83">
        <f>'ERROR FINAL'!D391</f>
        <v>6</v>
      </c>
      <c r="C388" s="84">
        <f>'ERROR FINAL'!G391</f>
        <v>0</v>
      </c>
      <c r="D388" s="85">
        <f>'ERROR FINAL'!I391</f>
        <v>0</v>
      </c>
      <c r="E388" s="86">
        <f>'ERROR FINAL'!U391</f>
        <v>-100</v>
      </c>
      <c r="F388" s="87">
        <f>'ERROR FINAL'!AG391</f>
        <v>-100</v>
      </c>
      <c r="G388" s="87">
        <f>'ERROR FINAL'!AS391</f>
        <v>-100</v>
      </c>
      <c r="H388" s="88" t="str">
        <f>IF('ERROR FINAL'!AT391="CONFORME","CONFORME","NO CONFORME")</f>
        <v>NO CONFORME</v>
      </c>
      <c r="I388" s="89" t="str">
        <f t="shared" si="5"/>
        <v>Medición</v>
      </c>
    </row>
    <row r="389" spans="1:9" x14ac:dyDescent="0.2">
      <c r="A389" s="82">
        <f>'ERROR FINAL'!A392</f>
        <v>384</v>
      </c>
      <c r="B389" s="83">
        <f>'ERROR FINAL'!D392</f>
        <v>6</v>
      </c>
      <c r="C389" s="84">
        <f>'ERROR FINAL'!G392</f>
        <v>0</v>
      </c>
      <c r="D389" s="85">
        <f>'ERROR FINAL'!I392</f>
        <v>0</v>
      </c>
      <c r="E389" s="86">
        <f>'ERROR FINAL'!U392</f>
        <v>-100</v>
      </c>
      <c r="F389" s="87">
        <f>'ERROR FINAL'!AG392</f>
        <v>-100</v>
      </c>
      <c r="G389" s="87">
        <f>'ERROR FINAL'!AS392</f>
        <v>-100</v>
      </c>
      <c r="H389" s="88" t="str">
        <f>IF('ERROR FINAL'!AT392="CONFORME","CONFORME","NO CONFORME")</f>
        <v>NO CONFORME</v>
      </c>
      <c r="I389" s="89" t="str">
        <f t="shared" si="5"/>
        <v>Medición</v>
      </c>
    </row>
    <row r="390" spans="1:9" x14ac:dyDescent="0.2">
      <c r="A390" s="82">
        <f>'ERROR FINAL'!A393</f>
        <v>385</v>
      </c>
      <c r="B390" s="83">
        <f>'ERROR FINAL'!D393</f>
        <v>6</v>
      </c>
      <c r="C390" s="84">
        <f>'ERROR FINAL'!G393</f>
        <v>0</v>
      </c>
      <c r="D390" s="85">
        <f>'ERROR FINAL'!I393</f>
        <v>0</v>
      </c>
      <c r="E390" s="86">
        <f>'ERROR FINAL'!U393</f>
        <v>-100</v>
      </c>
      <c r="F390" s="87">
        <f>'ERROR FINAL'!AG393</f>
        <v>-100</v>
      </c>
      <c r="G390" s="87">
        <f>'ERROR FINAL'!AS393</f>
        <v>-100</v>
      </c>
      <c r="H390" s="88" t="str">
        <f>IF('ERROR FINAL'!AT393="CONFORME","CONFORME","NO CONFORME")</f>
        <v>NO CONFORME</v>
      </c>
      <c r="I390" s="89" t="str">
        <f t="shared" si="5"/>
        <v>Medición</v>
      </c>
    </row>
    <row r="391" spans="1:9" x14ac:dyDescent="0.2">
      <c r="A391" s="82">
        <f>'ERROR FINAL'!A394</f>
        <v>386</v>
      </c>
      <c r="B391" s="83">
        <f>'ERROR FINAL'!D394</f>
        <v>6</v>
      </c>
      <c r="C391" s="84">
        <f>'ERROR FINAL'!G394</f>
        <v>0</v>
      </c>
      <c r="D391" s="85">
        <f>'ERROR FINAL'!I394</f>
        <v>0</v>
      </c>
      <c r="E391" s="86">
        <f>'ERROR FINAL'!U394</f>
        <v>-100</v>
      </c>
      <c r="F391" s="87">
        <f>'ERROR FINAL'!AG394</f>
        <v>-100</v>
      </c>
      <c r="G391" s="87">
        <f>'ERROR FINAL'!AS394</f>
        <v>-100</v>
      </c>
      <c r="H391" s="88" t="str">
        <f>IF('ERROR FINAL'!AT394="CONFORME","CONFORME","NO CONFORME")</f>
        <v>NO CONFORME</v>
      </c>
      <c r="I391" s="89" t="str">
        <f t="shared" ref="I391:I454" si="6">IF(D391=0,"Medición",IF(D391=1,"Daño físico",IF(D391=2,"Fuga",IF(D391=3,"Picado",IF(D391=4,"Desfasado",IF(D391=5,"Paralizado","¿?"))))))</f>
        <v>Medición</v>
      </c>
    </row>
    <row r="392" spans="1:9" x14ac:dyDescent="0.2">
      <c r="A392" s="82">
        <f>'ERROR FINAL'!A395</f>
        <v>387</v>
      </c>
      <c r="B392" s="83">
        <f>'ERROR FINAL'!D395</f>
        <v>6</v>
      </c>
      <c r="C392" s="84">
        <f>'ERROR FINAL'!G395</f>
        <v>0</v>
      </c>
      <c r="D392" s="85">
        <f>'ERROR FINAL'!I395</f>
        <v>0</v>
      </c>
      <c r="E392" s="86">
        <f>'ERROR FINAL'!U395</f>
        <v>-100</v>
      </c>
      <c r="F392" s="87">
        <f>'ERROR FINAL'!AG395</f>
        <v>-100</v>
      </c>
      <c r="G392" s="87">
        <f>'ERROR FINAL'!AS395</f>
        <v>-100</v>
      </c>
      <c r="H392" s="88" t="str">
        <f>IF('ERROR FINAL'!AT395="CONFORME","CONFORME","NO CONFORME")</f>
        <v>NO CONFORME</v>
      </c>
      <c r="I392" s="89" t="str">
        <f t="shared" si="6"/>
        <v>Medición</v>
      </c>
    </row>
    <row r="393" spans="1:9" x14ac:dyDescent="0.2">
      <c r="A393" s="82">
        <f>'ERROR FINAL'!A396</f>
        <v>388</v>
      </c>
      <c r="B393" s="83">
        <f>'ERROR FINAL'!D396</f>
        <v>6</v>
      </c>
      <c r="C393" s="84">
        <f>'ERROR FINAL'!G396</f>
        <v>0</v>
      </c>
      <c r="D393" s="85">
        <f>'ERROR FINAL'!I396</f>
        <v>0</v>
      </c>
      <c r="E393" s="86">
        <f>'ERROR FINAL'!U396</f>
        <v>-100</v>
      </c>
      <c r="F393" s="87">
        <f>'ERROR FINAL'!AG396</f>
        <v>-100</v>
      </c>
      <c r="G393" s="87">
        <f>'ERROR FINAL'!AS396</f>
        <v>-100</v>
      </c>
      <c r="H393" s="88" t="str">
        <f>IF('ERROR FINAL'!AT396="CONFORME","CONFORME","NO CONFORME")</f>
        <v>NO CONFORME</v>
      </c>
      <c r="I393" s="89" t="str">
        <f t="shared" si="6"/>
        <v>Medición</v>
      </c>
    </row>
    <row r="394" spans="1:9" x14ac:dyDescent="0.2">
      <c r="A394" s="82">
        <f>'ERROR FINAL'!A397</f>
        <v>389</v>
      </c>
      <c r="B394" s="83">
        <f>'ERROR FINAL'!D397</f>
        <v>6</v>
      </c>
      <c r="C394" s="84">
        <f>'ERROR FINAL'!G397</f>
        <v>0</v>
      </c>
      <c r="D394" s="85">
        <f>'ERROR FINAL'!I397</f>
        <v>0</v>
      </c>
      <c r="E394" s="86">
        <f>'ERROR FINAL'!U397</f>
        <v>-100</v>
      </c>
      <c r="F394" s="87">
        <f>'ERROR FINAL'!AG397</f>
        <v>-100</v>
      </c>
      <c r="G394" s="87">
        <f>'ERROR FINAL'!AS397</f>
        <v>-100</v>
      </c>
      <c r="H394" s="88" t="str">
        <f>IF('ERROR FINAL'!AT397="CONFORME","CONFORME","NO CONFORME")</f>
        <v>NO CONFORME</v>
      </c>
      <c r="I394" s="89" t="str">
        <f t="shared" si="6"/>
        <v>Medición</v>
      </c>
    </row>
    <row r="395" spans="1:9" x14ac:dyDescent="0.2">
      <c r="A395" s="82">
        <f>'ERROR FINAL'!A398</f>
        <v>390</v>
      </c>
      <c r="B395" s="83">
        <f>'ERROR FINAL'!D398</f>
        <v>6</v>
      </c>
      <c r="C395" s="84">
        <f>'ERROR FINAL'!G398</f>
        <v>0</v>
      </c>
      <c r="D395" s="85">
        <f>'ERROR FINAL'!I398</f>
        <v>0</v>
      </c>
      <c r="E395" s="86">
        <f>'ERROR FINAL'!U398</f>
        <v>-100</v>
      </c>
      <c r="F395" s="87">
        <f>'ERROR FINAL'!AG398</f>
        <v>-100</v>
      </c>
      <c r="G395" s="87">
        <f>'ERROR FINAL'!AS398</f>
        <v>-100</v>
      </c>
      <c r="H395" s="88" t="str">
        <f>IF('ERROR FINAL'!AT398="CONFORME","CONFORME","NO CONFORME")</f>
        <v>NO CONFORME</v>
      </c>
      <c r="I395" s="89" t="str">
        <f t="shared" si="6"/>
        <v>Medición</v>
      </c>
    </row>
    <row r="396" spans="1:9" x14ac:dyDescent="0.2">
      <c r="A396" s="82">
        <f>'ERROR FINAL'!A399</f>
        <v>391</v>
      </c>
      <c r="B396" s="83">
        <f>'ERROR FINAL'!D399</f>
        <v>6</v>
      </c>
      <c r="C396" s="84">
        <f>'ERROR FINAL'!G399</f>
        <v>0</v>
      </c>
      <c r="D396" s="85">
        <f>'ERROR FINAL'!I399</f>
        <v>0</v>
      </c>
      <c r="E396" s="86">
        <f>'ERROR FINAL'!U399</f>
        <v>-100</v>
      </c>
      <c r="F396" s="87">
        <f>'ERROR FINAL'!AG399</f>
        <v>-100</v>
      </c>
      <c r="G396" s="87">
        <f>'ERROR FINAL'!AS399</f>
        <v>-100</v>
      </c>
      <c r="H396" s="88" t="str">
        <f>IF('ERROR FINAL'!AT399="CONFORME","CONFORME","NO CONFORME")</f>
        <v>NO CONFORME</v>
      </c>
      <c r="I396" s="89" t="str">
        <f t="shared" si="6"/>
        <v>Medición</v>
      </c>
    </row>
    <row r="397" spans="1:9" x14ac:dyDescent="0.2">
      <c r="A397" s="82">
        <f>'ERROR FINAL'!A400</f>
        <v>392</v>
      </c>
      <c r="B397" s="83">
        <f>'ERROR FINAL'!D400</f>
        <v>6</v>
      </c>
      <c r="C397" s="84">
        <f>'ERROR FINAL'!G400</f>
        <v>0</v>
      </c>
      <c r="D397" s="85">
        <f>'ERROR FINAL'!I400</f>
        <v>0</v>
      </c>
      <c r="E397" s="86">
        <f>'ERROR FINAL'!U400</f>
        <v>-100</v>
      </c>
      <c r="F397" s="87">
        <f>'ERROR FINAL'!AG400</f>
        <v>-100</v>
      </c>
      <c r="G397" s="87">
        <f>'ERROR FINAL'!AS400</f>
        <v>-100</v>
      </c>
      <c r="H397" s="88" t="str">
        <f>IF('ERROR FINAL'!AT400="CONFORME","CONFORME","NO CONFORME")</f>
        <v>NO CONFORME</v>
      </c>
      <c r="I397" s="89" t="str">
        <f t="shared" si="6"/>
        <v>Medición</v>
      </c>
    </row>
    <row r="398" spans="1:9" x14ac:dyDescent="0.2">
      <c r="A398" s="82">
        <f>'ERROR FINAL'!A401</f>
        <v>393</v>
      </c>
      <c r="B398" s="83">
        <f>'ERROR FINAL'!D401</f>
        <v>6</v>
      </c>
      <c r="C398" s="84">
        <f>'ERROR FINAL'!G401</f>
        <v>0</v>
      </c>
      <c r="D398" s="85">
        <f>'ERROR FINAL'!I401</f>
        <v>0</v>
      </c>
      <c r="E398" s="86">
        <f>'ERROR FINAL'!U401</f>
        <v>-100</v>
      </c>
      <c r="F398" s="87">
        <f>'ERROR FINAL'!AG401</f>
        <v>-100</v>
      </c>
      <c r="G398" s="87">
        <f>'ERROR FINAL'!AS401</f>
        <v>-100</v>
      </c>
      <c r="H398" s="88" t="str">
        <f>IF('ERROR FINAL'!AT401="CONFORME","CONFORME","NO CONFORME")</f>
        <v>NO CONFORME</v>
      </c>
      <c r="I398" s="89" t="str">
        <f t="shared" si="6"/>
        <v>Medición</v>
      </c>
    </row>
    <row r="399" spans="1:9" x14ac:dyDescent="0.2">
      <c r="A399" s="82">
        <f>'ERROR FINAL'!A402</f>
        <v>394</v>
      </c>
      <c r="B399" s="83">
        <f>'ERROR FINAL'!D402</f>
        <v>6</v>
      </c>
      <c r="C399" s="84">
        <f>'ERROR FINAL'!G402</f>
        <v>0</v>
      </c>
      <c r="D399" s="85">
        <f>'ERROR FINAL'!I402</f>
        <v>0</v>
      </c>
      <c r="E399" s="86">
        <f>'ERROR FINAL'!U402</f>
        <v>-100</v>
      </c>
      <c r="F399" s="87">
        <f>'ERROR FINAL'!AG402</f>
        <v>-100</v>
      </c>
      <c r="G399" s="87">
        <f>'ERROR FINAL'!AS402</f>
        <v>-100</v>
      </c>
      <c r="H399" s="88" t="str">
        <f>IF('ERROR FINAL'!AT402="CONFORME","CONFORME","NO CONFORME")</f>
        <v>NO CONFORME</v>
      </c>
      <c r="I399" s="89" t="str">
        <f t="shared" si="6"/>
        <v>Medición</v>
      </c>
    </row>
    <row r="400" spans="1:9" x14ac:dyDescent="0.2">
      <c r="A400" s="82">
        <f>'ERROR FINAL'!A403</f>
        <v>395</v>
      </c>
      <c r="B400" s="83">
        <f>'ERROR FINAL'!D403</f>
        <v>6</v>
      </c>
      <c r="C400" s="84">
        <f>'ERROR FINAL'!G403</f>
        <v>0</v>
      </c>
      <c r="D400" s="85">
        <f>'ERROR FINAL'!I403</f>
        <v>0</v>
      </c>
      <c r="E400" s="86">
        <f>'ERROR FINAL'!U403</f>
        <v>-100</v>
      </c>
      <c r="F400" s="87">
        <f>'ERROR FINAL'!AG403</f>
        <v>-100</v>
      </c>
      <c r="G400" s="87">
        <f>'ERROR FINAL'!AS403</f>
        <v>-100</v>
      </c>
      <c r="H400" s="88" t="str">
        <f>IF('ERROR FINAL'!AT403="CONFORME","CONFORME","NO CONFORME")</f>
        <v>NO CONFORME</v>
      </c>
      <c r="I400" s="89" t="str">
        <f t="shared" si="6"/>
        <v>Medición</v>
      </c>
    </row>
    <row r="401" spans="1:9" x14ac:dyDescent="0.2">
      <c r="A401" s="82">
        <f>'ERROR FINAL'!A404</f>
        <v>396</v>
      </c>
      <c r="B401" s="83">
        <f>'ERROR FINAL'!D404</f>
        <v>6</v>
      </c>
      <c r="C401" s="84">
        <f>'ERROR FINAL'!G404</f>
        <v>0</v>
      </c>
      <c r="D401" s="85">
        <f>'ERROR FINAL'!I404</f>
        <v>0</v>
      </c>
      <c r="E401" s="86">
        <f>'ERROR FINAL'!U404</f>
        <v>-100</v>
      </c>
      <c r="F401" s="87">
        <f>'ERROR FINAL'!AG404</f>
        <v>-100</v>
      </c>
      <c r="G401" s="87">
        <f>'ERROR FINAL'!AS404</f>
        <v>-100</v>
      </c>
      <c r="H401" s="88" t="str">
        <f>IF('ERROR FINAL'!AT404="CONFORME","CONFORME","NO CONFORME")</f>
        <v>NO CONFORME</v>
      </c>
      <c r="I401" s="89" t="str">
        <f t="shared" si="6"/>
        <v>Medición</v>
      </c>
    </row>
    <row r="402" spans="1:9" x14ac:dyDescent="0.2">
      <c r="A402" s="82">
        <f>'ERROR FINAL'!A405</f>
        <v>397</v>
      </c>
      <c r="B402" s="83">
        <f>'ERROR FINAL'!D405</f>
        <v>6</v>
      </c>
      <c r="C402" s="84">
        <f>'ERROR FINAL'!G405</f>
        <v>0</v>
      </c>
      <c r="D402" s="85">
        <f>'ERROR FINAL'!I405</f>
        <v>0</v>
      </c>
      <c r="E402" s="86">
        <f>'ERROR FINAL'!U405</f>
        <v>-100</v>
      </c>
      <c r="F402" s="87">
        <f>'ERROR FINAL'!AG405</f>
        <v>-100</v>
      </c>
      <c r="G402" s="87">
        <f>'ERROR FINAL'!AS405</f>
        <v>-100</v>
      </c>
      <c r="H402" s="88" t="str">
        <f>IF('ERROR FINAL'!AT405="CONFORME","CONFORME","NO CONFORME")</f>
        <v>NO CONFORME</v>
      </c>
      <c r="I402" s="89" t="str">
        <f t="shared" si="6"/>
        <v>Medición</v>
      </c>
    </row>
    <row r="403" spans="1:9" x14ac:dyDescent="0.2">
      <c r="A403" s="82">
        <f>'ERROR FINAL'!A406</f>
        <v>398</v>
      </c>
      <c r="B403" s="83">
        <f>'ERROR FINAL'!D406</f>
        <v>6</v>
      </c>
      <c r="C403" s="84">
        <f>'ERROR FINAL'!G406</f>
        <v>0</v>
      </c>
      <c r="D403" s="85">
        <f>'ERROR FINAL'!I406</f>
        <v>0</v>
      </c>
      <c r="E403" s="86">
        <f>'ERROR FINAL'!U406</f>
        <v>-100</v>
      </c>
      <c r="F403" s="87">
        <f>'ERROR FINAL'!AG406</f>
        <v>-100</v>
      </c>
      <c r="G403" s="87">
        <f>'ERROR FINAL'!AS406</f>
        <v>-100</v>
      </c>
      <c r="H403" s="88" t="str">
        <f>IF('ERROR FINAL'!AT406="CONFORME","CONFORME","NO CONFORME")</f>
        <v>NO CONFORME</v>
      </c>
      <c r="I403" s="89" t="str">
        <f t="shared" si="6"/>
        <v>Medición</v>
      </c>
    </row>
    <row r="404" spans="1:9" x14ac:dyDescent="0.2">
      <c r="A404" s="82">
        <f>'ERROR FINAL'!A407</f>
        <v>399</v>
      </c>
      <c r="B404" s="83">
        <f>'ERROR FINAL'!D407</f>
        <v>6</v>
      </c>
      <c r="C404" s="84">
        <f>'ERROR FINAL'!G407</f>
        <v>0</v>
      </c>
      <c r="D404" s="85">
        <f>'ERROR FINAL'!I407</f>
        <v>0</v>
      </c>
      <c r="E404" s="86">
        <f>'ERROR FINAL'!U407</f>
        <v>-100</v>
      </c>
      <c r="F404" s="87">
        <f>'ERROR FINAL'!AG407</f>
        <v>-100</v>
      </c>
      <c r="G404" s="87">
        <f>'ERROR FINAL'!AS407</f>
        <v>-100</v>
      </c>
      <c r="H404" s="88" t="str">
        <f>IF('ERROR FINAL'!AT407="CONFORME","CONFORME","NO CONFORME")</f>
        <v>NO CONFORME</v>
      </c>
      <c r="I404" s="89" t="str">
        <f t="shared" si="6"/>
        <v>Medición</v>
      </c>
    </row>
    <row r="405" spans="1:9" x14ac:dyDescent="0.2">
      <c r="A405" s="82">
        <f>'ERROR FINAL'!A408</f>
        <v>400</v>
      </c>
      <c r="B405" s="83">
        <f>'ERROR FINAL'!D408</f>
        <v>6</v>
      </c>
      <c r="C405" s="84">
        <f>'ERROR FINAL'!G408</f>
        <v>0</v>
      </c>
      <c r="D405" s="85">
        <f>'ERROR FINAL'!I408</f>
        <v>0</v>
      </c>
      <c r="E405" s="86">
        <f>'ERROR FINAL'!U408</f>
        <v>-100</v>
      </c>
      <c r="F405" s="87">
        <f>'ERROR FINAL'!AG408</f>
        <v>-100</v>
      </c>
      <c r="G405" s="87">
        <f>'ERROR FINAL'!AS408</f>
        <v>-100</v>
      </c>
      <c r="H405" s="88" t="str">
        <f>IF('ERROR FINAL'!AT408="CONFORME","CONFORME","NO CONFORME")</f>
        <v>NO CONFORME</v>
      </c>
      <c r="I405" s="89" t="str">
        <f t="shared" si="6"/>
        <v>Medición</v>
      </c>
    </row>
    <row r="406" spans="1:9" x14ac:dyDescent="0.2">
      <c r="A406" s="82">
        <f>'ERROR FINAL'!A409</f>
        <v>401</v>
      </c>
      <c r="B406" s="83">
        <f>'ERROR FINAL'!D409</f>
        <v>6</v>
      </c>
      <c r="C406" s="84">
        <f>'ERROR FINAL'!G409</f>
        <v>0</v>
      </c>
      <c r="D406" s="85">
        <f>'ERROR FINAL'!I409</f>
        <v>0</v>
      </c>
      <c r="E406" s="86">
        <f>'ERROR FINAL'!U409</f>
        <v>-100</v>
      </c>
      <c r="F406" s="87">
        <f>'ERROR FINAL'!AG409</f>
        <v>-100</v>
      </c>
      <c r="G406" s="87">
        <f>'ERROR FINAL'!AS409</f>
        <v>-100</v>
      </c>
      <c r="H406" s="88" t="str">
        <f>IF('ERROR FINAL'!AT409="CONFORME","CONFORME","NO CONFORME")</f>
        <v>NO CONFORME</v>
      </c>
      <c r="I406" s="89" t="str">
        <f t="shared" si="6"/>
        <v>Medición</v>
      </c>
    </row>
    <row r="407" spans="1:9" x14ac:dyDescent="0.2">
      <c r="A407" s="82">
        <f>'ERROR FINAL'!A410</f>
        <v>402</v>
      </c>
      <c r="B407" s="83">
        <f>'ERROR FINAL'!D410</f>
        <v>6</v>
      </c>
      <c r="C407" s="84">
        <f>'ERROR FINAL'!G410</f>
        <v>0</v>
      </c>
      <c r="D407" s="85">
        <f>'ERROR FINAL'!I410</f>
        <v>0</v>
      </c>
      <c r="E407" s="86">
        <f>'ERROR FINAL'!U410</f>
        <v>-100</v>
      </c>
      <c r="F407" s="87">
        <f>'ERROR FINAL'!AG410</f>
        <v>-100</v>
      </c>
      <c r="G407" s="87">
        <f>'ERROR FINAL'!AS410</f>
        <v>-100</v>
      </c>
      <c r="H407" s="88" t="str">
        <f>IF('ERROR FINAL'!AT410="CONFORME","CONFORME","NO CONFORME")</f>
        <v>NO CONFORME</v>
      </c>
      <c r="I407" s="89" t="str">
        <f t="shared" si="6"/>
        <v>Medición</v>
      </c>
    </row>
    <row r="408" spans="1:9" x14ac:dyDescent="0.2">
      <c r="A408" s="82">
        <f>'ERROR FINAL'!A411</f>
        <v>403</v>
      </c>
      <c r="B408" s="83">
        <f>'ERROR FINAL'!D411</f>
        <v>6</v>
      </c>
      <c r="C408" s="84">
        <f>'ERROR FINAL'!G411</f>
        <v>0</v>
      </c>
      <c r="D408" s="85">
        <f>'ERROR FINAL'!I411</f>
        <v>0</v>
      </c>
      <c r="E408" s="86">
        <f>'ERROR FINAL'!U411</f>
        <v>-100</v>
      </c>
      <c r="F408" s="87">
        <f>'ERROR FINAL'!AG411</f>
        <v>-100</v>
      </c>
      <c r="G408" s="87">
        <f>'ERROR FINAL'!AS411</f>
        <v>-100</v>
      </c>
      <c r="H408" s="88" t="str">
        <f>IF('ERROR FINAL'!AT411="CONFORME","CONFORME","NO CONFORME")</f>
        <v>NO CONFORME</v>
      </c>
      <c r="I408" s="89" t="str">
        <f t="shared" si="6"/>
        <v>Medición</v>
      </c>
    </row>
    <row r="409" spans="1:9" x14ac:dyDescent="0.2">
      <c r="A409" s="82">
        <f>'ERROR FINAL'!A412</f>
        <v>404</v>
      </c>
      <c r="B409" s="83">
        <f>'ERROR FINAL'!D412</f>
        <v>6</v>
      </c>
      <c r="C409" s="84">
        <f>'ERROR FINAL'!G412</f>
        <v>0</v>
      </c>
      <c r="D409" s="85">
        <f>'ERROR FINAL'!I412</f>
        <v>0</v>
      </c>
      <c r="E409" s="86">
        <f>'ERROR FINAL'!U412</f>
        <v>-100</v>
      </c>
      <c r="F409" s="87">
        <f>'ERROR FINAL'!AG412</f>
        <v>-100</v>
      </c>
      <c r="G409" s="87">
        <f>'ERROR FINAL'!AS412</f>
        <v>-100</v>
      </c>
      <c r="H409" s="88" t="str">
        <f>IF('ERROR FINAL'!AT412="CONFORME","CONFORME","NO CONFORME")</f>
        <v>NO CONFORME</v>
      </c>
      <c r="I409" s="89" t="str">
        <f t="shared" si="6"/>
        <v>Medición</v>
      </c>
    </row>
    <row r="410" spans="1:9" x14ac:dyDescent="0.2">
      <c r="A410" s="82">
        <f>'ERROR FINAL'!A413</f>
        <v>405</v>
      </c>
      <c r="B410" s="83">
        <f>'ERROR FINAL'!D413</f>
        <v>6</v>
      </c>
      <c r="C410" s="84">
        <f>'ERROR FINAL'!G413</f>
        <v>0</v>
      </c>
      <c r="D410" s="85">
        <f>'ERROR FINAL'!I413</f>
        <v>0</v>
      </c>
      <c r="E410" s="86">
        <f>'ERROR FINAL'!U413</f>
        <v>-100</v>
      </c>
      <c r="F410" s="87">
        <f>'ERROR FINAL'!AG413</f>
        <v>-100</v>
      </c>
      <c r="G410" s="87">
        <f>'ERROR FINAL'!AS413</f>
        <v>-100</v>
      </c>
      <c r="H410" s="88" t="str">
        <f>IF('ERROR FINAL'!AT413="CONFORME","CONFORME","NO CONFORME")</f>
        <v>NO CONFORME</v>
      </c>
      <c r="I410" s="89" t="str">
        <f t="shared" si="6"/>
        <v>Medición</v>
      </c>
    </row>
    <row r="411" spans="1:9" x14ac:dyDescent="0.2">
      <c r="A411" s="82">
        <f>'ERROR FINAL'!A414</f>
        <v>406</v>
      </c>
      <c r="B411" s="83">
        <f>'ERROR FINAL'!D414</f>
        <v>6</v>
      </c>
      <c r="C411" s="84">
        <f>'ERROR FINAL'!G414</f>
        <v>0</v>
      </c>
      <c r="D411" s="85">
        <f>'ERROR FINAL'!I414</f>
        <v>0</v>
      </c>
      <c r="E411" s="86">
        <f>'ERROR FINAL'!U414</f>
        <v>-100</v>
      </c>
      <c r="F411" s="87">
        <f>'ERROR FINAL'!AG414</f>
        <v>-100</v>
      </c>
      <c r="G411" s="87">
        <f>'ERROR FINAL'!AS414</f>
        <v>-100</v>
      </c>
      <c r="H411" s="88" t="str">
        <f>IF('ERROR FINAL'!AT414="CONFORME","CONFORME","NO CONFORME")</f>
        <v>NO CONFORME</v>
      </c>
      <c r="I411" s="89" t="str">
        <f t="shared" si="6"/>
        <v>Medición</v>
      </c>
    </row>
    <row r="412" spans="1:9" x14ac:dyDescent="0.2">
      <c r="A412" s="82">
        <f>'ERROR FINAL'!A415</f>
        <v>407</v>
      </c>
      <c r="B412" s="83">
        <f>'ERROR FINAL'!D415</f>
        <v>6</v>
      </c>
      <c r="C412" s="84">
        <f>'ERROR FINAL'!G415</f>
        <v>0</v>
      </c>
      <c r="D412" s="85">
        <f>'ERROR FINAL'!I415</f>
        <v>0</v>
      </c>
      <c r="E412" s="86">
        <f>'ERROR FINAL'!U415</f>
        <v>-100</v>
      </c>
      <c r="F412" s="87">
        <f>'ERROR FINAL'!AG415</f>
        <v>-100</v>
      </c>
      <c r="G412" s="87">
        <f>'ERROR FINAL'!AS415</f>
        <v>-100</v>
      </c>
      <c r="H412" s="88" t="str">
        <f>IF('ERROR FINAL'!AT415="CONFORME","CONFORME","NO CONFORME")</f>
        <v>NO CONFORME</v>
      </c>
      <c r="I412" s="89" t="str">
        <f t="shared" si="6"/>
        <v>Medición</v>
      </c>
    </row>
    <row r="413" spans="1:9" x14ac:dyDescent="0.2">
      <c r="A413" s="82">
        <f>'ERROR FINAL'!A416</f>
        <v>408</v>
      </c>
      <c r="B413" s="83">
        <f>'ERROR FINAL'!D416</f>
        <v>6</v>
      </c>
      <c r="C413" s="84">
        <f>'ERROR FINAL'!G416</f>
        <v>0</v>
      </c>
      <c r="D413" s="85">
        <f>'ERROR FINAL'!I416</f>
        <v>0</v>
      </c>
      <c r="E413" s="86">
        <f>'ERROR FINAL'!U416</f>
        <v>-100</v>
      </c>
      <c r="F413" s="87">
        <f>'ERROR FINAL'!AG416</f>
        <v>-100</v>
      </c>
      <c r="G413" s="87">
        <f>'ERROR FINAL'!AS416</f>
        <v>-100</v>
      </c>
      <c r="H413" s="88" t="str">
        <f>IF('ERROR FINAL'!AT416="CONFORME","CONFORME","NO CONFORME")</f>
        <v>NO CONFORME</v>
      </c>
      <c r="I413" s="89" t="str">
        <f t="shared" si="6"/>
        <v>Medición</v>
      </c>
    </row>
    <row r="414" spans="1:9" x14ac:dyDescent="0.2">
      <c r="A414" s="82">
        <f>'ERROR FINAL'!A417</f>
        <v>409</v>
      </c>
      <c r="B414" s="83">
        <f>'ERROR FINAL'!D417</f>
        <v>6</v>
      </c>
      <c r="C414" s="84">
        <f>'ERROR FINAL'!G417</f>
        <v>0</v>
      </c>
      <c r="D414" s="85">
        <f>'ERROR FINAL'!I417</f>
        <v>0</v>
      </c>
      <c r="E414" s="86">
        <f>'ERROR FINAL'!U417</f>
        <v>-100</v>
      </c>
      <c r="F414" s="87">
        <f>'ERROR FINAL'!AG417</f>
        <v>-100</v>
      </c>
      <c r="G414" s="87">
        <f>'ERROR FINAL'!AS417</f>
        <v>-100</v>
      </c>
      <c r="H414" s="88" t="str">
        <f>IF('ERROR FINAL'!AT417="CONFORME","CONFORME","NO CONFORME")</f>
        <v>NO CONFORME</v>
      </c>
      <c r="I414" s="89" t="str">
        <f t="shared" si="6"/>
        <v>Medición</v>
      </c>
    </row>
    <row r="415" spans="1:9" x14ac:dyDescent="0.2">
      <c r="A415" s="82">
        <f>'ERROR FINAL'!A418</f>
        <v>410</v>
      </c>
      <c r="B415" s="83">
        <f>'ERROR FINAL'!D418</f>
        <v>6</v>
      </c>
      <c r="C415" s="84">
        <f>'ERROR FINAL'!G418</f>
        <v>0</v>
      </c>
      <c r="D415" s="85">
        <f>'ERROR FINAL'!I418</f>
        <v>0</v>
      </c>
      <c r="E415" s="86">
        <f>'ERROR FINAL'!U418</f>
        <v>-100</v>
      </c>
      <c r="F415" s="87">
        <f>'ERROR FINAL'!AG418</f>
        <v>-100</v>
      </c>
      <c r="G415" s="87">
        <f>'ERROR FINAL'!AS418</f>
        <v>-100</v>
      </c>
      <c r="H415" s="88" t="str">
        <f>IF('ERROR FINAL'!AT418="CONFORME","CONFORME","NO CONFORME")</f>
        <v>NO CONFORME</v>
      </c>
      <c r="I415" s="89" t="str">
        <f t="shared" si="6"/>
        <v>Medición</v>
      </c>
    </row>
    <row r="416" spans="1:9" x14ac:dyDescent="0.2">
      <c r="A416" s="82">
        <f>'ERROR FINAL'!A419</f>
        <v>411</v>
      </c>
      <c r="B416" s="83">
        <f>'ERROR FINAL'!D419</f>
        <v>6</v>
      </c>
      <c r="C416" s="84">
        <f>'ERROR FINAL'!G419</f>
        <v>0</v>
      </c>
      <c r="D416" s="85">
        <f>'ERROR FINAL'!I419</f>
        <v>0</v>
      </c>
      <c r="E416" s="86">
        <f>'ERROR FINAL'!U419</f>
        <v>-100</v>
      </c>
      <c r="F416" s="87">
        <f>'ERROR FINAL'!AG419</f>
        <v>-100</v>
      </c>
      <c r="G416" s="87">
        <f>'ERROR FINAL'!AS419</f>
        <v>-100</v>
      </c>
      <c r="H416" s="88" t="str">
        <f>IF('ERROR FINAL'!AT419="CONFORME","CONFORME","NO CONFORME")</f>
        <v>NO CONFORME</v>
      </c>
      <c r="I416" s="89" t="str">
        <f t="shared" si="6"/>
        <v>Medición</v>
      </c>
    </row>
    <row r="417" spans="1:9" x14ac:dyDescent="0.2">
      <c r="A417" s="82">
        <f>'ERROR FINAL'!A420</f>
        <v>412</v>
      </c>
      <c r="B417" s="83">
        <f>'ERROR FINAL'!D420</f>
        <v>6</v>
      </c>
      <c r="C417" s="84">
        <f>'ERROR FINAL'!G420</f>
        <v>0</v>
      </c>
      <c r="D417" s="85">
        <f>'ERROR FINAL'!I420</f>
        <v>0</v>
      </c>
      <c r="E417" s="86">
        <f>'ERROR FINAL'!U420</f>
        <v>-100</v>
      </c>
      <c r="F417" s="87">
        <f>'ERROR FINAL'!AG420</f>
        <v>-100</v>
      </c>
      <c r="G417" s="87">
        <f>'ERROR FINAL'!AS420</f>
        <v>-100</v>
      </c>
      <c r="H417" s="88" t="str">
        <f>IF('ERROR FINAL'!AT420="CONFORME","CONFORME","NO CONFORME")</f>
        <v>NO CONFORME</v>
      </c>
      <c r="I417" s="89" t="str">
        <f t="shared" si="6"/>
        <v>Medición</v>
      </c>
    </row>
    <row r="418" spans="1:9" x14ac:dyDescent="0.2">
      <c r="A418" s="82">
        <f>'ERROR FINAL'!A421</f>
        <v>413</v>
      </c>
      <c r="B418" s="83">
        <f>'ERROR FINAL'!D421</f>
        <v>6</v>
      </c>
      <c r="C418" s="84">
        <f>'ERROR FINAL'!G421</f>
        <v>0</v>
      </c>
      <c r="D418" s="85">
        <f>'ERROR FINAL'!I421</f>
        <v>0</v>
      </c>
      <c r="E418" s="86">
        <f>'ERROR FINAL'!U421</f>
        <v>-100</v>
      </c>
      <c r="F418" s="87">
        <f>'ERROR FINAL'!AG421</f>
        <v>-100</v>
      </c>
      <c r="G418" s="87">
        <f>'ERROR FINAL'!AS421</f>
        <v>-100</v>
      </c>
      <c r="H418" s="88" t="str">
        <f>IF('ERROR FINAL'!AT421="CONFORME","CONFORME","NO CONFORME")</f>
        <v>NO CONFORME</v>
      </c>
      <c r="I418" s="89" t="str">
        <f t="shared" si="6"/>
        <v>Medición</v>
      </c>
    </row>
    <row r="419" spans="1:9" x14ac:dyDescent="0.2">
      <c r="A419" s="82">
        <f>'ERROR FINAL'!A422</f>
        <v>414</v>
      </c>
      <c r="B419" s="83">
        <f>'ERROR FINAL'!D422</f>
        <v>6</v>
      </c>
      <c r="C419" s="84">
        <f>'ERROR FINAL'!G422</f>
        <v>0</v>
      </c>
      <c r="D419" s="85">
        <f>'ERROR FINAL'!I422</f>
        <v>0</v>
      </c>
      <c r="E419" s="86">
        <f>'ERROR FINAL'!U422</f>
        <v>-100</v>
      </c>
      <c r="F419" s="87">
        <f>'ERROR FINAL'!AG422</f>
        <v>-100</v>
      </c>
      <c r="G419" s="87">
        <f>'ERROR FINAL'!AS422</f>
        <v>-100</v>
      </c>
      <c r="H419" s="88" t="str">
        <f>IF('ERROR FINAL'!AT422="CONFORME","CONFORME","NO CONFORME")</f>
        <v>NO CONFORME</v>
      </c>
      <c r="I419" s="89" t="str">
        <f t="shared" si="6"/>
        <v>Medición</v>
      </c>
    </row>
    <row r="420" spans="1:9" x14ac:dyDescent="0.2">
      <c r="A420" s="82">
        <f>'ERROR FINAL'!A423</f>
        <v>415</v>
      </c>
      <c r="B420" s="83">
        <f>'ERROR FINAL'!D423</f>
        <v>6</v>
      </c>
      <c r="C420" s="84">
        <f>'ERROR FINAL'!G423</f>
        <v>0</v>
      </c>
      <c r="D420" s="85">
        <f>'ERROR FINAL'!I423</f>
        <v>0</v>
      </c>
      <c r="E420" s="86">
        <f>'ERROR FINAL'!U423</f>
        <v>-100</v>
      </c>
      <c r="F420" s="87">
        <f>'ERROR FINAL'!AG423</f>
        <v>-100</v>
      </c>
      <c r="G420" s="87">
        <f>'ERROR FINAL'!AS423</f>
        <v>-100</v>
      </c>
      <c r="H420" s="88" t="str">
        <f>IF('ERROR FINAL'!AT423="CONFORME","CONFORME","NO CONFORME")</f>
        <v>NO CONFORME</v>
      </c>
      <c r="I420" s="89" t="str">
        <f t="shared" si="6"/>
        <v>Medición</v>
      </c>
    </row>
    <row r="421" spans="1:9" x14ac:dyDescent="0.2">
      <c r="A421" s="82">
        <f>'ERROR FINAL'!A424</f>
        <v>416</v>
      </c>
      <c r="B421" s="83">
        <f>'ERROR FINAL'!D424</f>
        <v>6</v>
      </c>
      <c r="C421" s="84">
        <f>'ERROR FINAL'!G424</f>
        <v>0</v>
      </c>
      <c r="D421" s="85">
        <f>'ERROR FINAL'!I424</f>
        <v>0</v>
      </c>
      <c r="E421" s="86">
        <f>'ERROR FINAL'!U424</f>
        <v>-100</v>
      </c>
      <c r="F421" s="87">
        <f>'ERROR FINAL'!AG424</f>
        <v>-100</v>
      </c>
      <c r="G421" s="87">
        <f>'ERROR FINAL'!AS424</f>
        <v>-100</v>
      </c>
      <c r="H421" s="88" t="str">
        <f>IF('ERROR FINAL'!AT424="CONFORME","CONFORME","NO CONFORME")</f>
        <v>NO CONFORME</v>
      </c>
      <c r="I421" s="89" t="str">
        <f t="shared" si="6"/>
        <v>Medición</v>
      </c>
    </row>
    <row r="422" spans="1:9" x14ac:dyDescent="0.2">
      <c r="A422" s="82">
        <f>'ERROR FINAL'!A425</f>
        <v>417</v>
      </c>
      <c r="B422" s="83">
        <f>'ERROR FINAL'!D425</f>
        <v>6</v>
      </c>
      <c r="C422" s="84">
        <f>'ERROR FINAL'!G425</f>
        <v>0</v>
      </c>
      <c r="D422" s="85">
        <f>'ERROR FINAL'!I425</f>
        <v>0</v>
      </c>
      <c r="E422" s="86">
        <f>'ERROR FINAL'!U425</f>
        <v>-100</v>
      </c>
      <c r="F422" s="87">
        <f>'ERROR FINAL'!AG425</f>
        <v>-100</v>
      </c>
      <c r="G422" s="87">
        <f>'ERROR FINAL'!AS425</f>
        <v>-100</v>
      </c>
      <c r="H422" s="88" t="str">
        <f>IF('ERROR FINAL'!AT425="CONFORME","CONFORME","NO CONFORME")</f>
        <v>NO CONFORME</v>
      </c>
      <c r="I422" s="89" t="str">
        <f t="shared" si="6"/>
        <v>Medición</v>
      </c>
    </row>
    <row r="423" spans="1:9" x14ac:dyDescent="0.2">
      <c r="A423" s="82">
        <f>'ERROR FINAL'!A426</f>
        <v>418</v>
      </c>
      <c r="B423" s="83">
        <f>'ERROR FINAL'!D426</f>
        <v>6</v>
      </c>
      <c r="C423" s="84">
        <f>'ERROR FINAL'!G426</f>
        <v>0</v>
      </c>
      <c r="D423" s="85">
        <f>'ERROR FINAL'!I426</f>
        <v>0</v>
      </c>
      <c r="E423" s="86">
        <f>'ERROR FINAL'!U426</f>
        <v>-100</v>
      </c>
      <c r="F423" s="87">
        <f>'ERROR FINAL'!AG426</f>
        <v>-100</v>
      </c>
      <c r="G423" s="87">
        <f>'ERROR FINAL'!AS426</f>
        <v>-100</v>
      </c>
      <c r="H423" s="88" t="str">
        <f>IF('ERROR FINAL'!AT426="CONFORME","CONFORME","NO CONFORME")</f>
        <v>NO CONFORME</v>
      </c>
      <c r="I423" s="89" t="str">
        <f t="shared" si="6"/>
        <v>Medición</v>
      </c>
    </row>
    <row r="424" spans="1:9" x14ac:dyDescent="0.2">
      <c r="A424" s="82">
        <f>'ERROR FINAL'!A427</f>
        <v>419</v>
      </c>
      <c r="B424" s="83">
        <f>'ERROR FINAL'!D427</f>
        <v>6</v>
      </c>
      <c r="C424" s="84">
        <f>'ERROR FINAL'!G427</f>
        <v>0</v>
      </c>
      <c r="D424" s="85">
        <f>'ERROR FINAL'!I427</f>
        <v>0</v>
      </c>
      <c r="E424" s="86">
        <f>'ERROR FINAL'!U427</f>
        <v>-100</v>
      </c>
      <c r="F424" s="87">
        <f>'ERROR FINAL'!AG427</f>
        <v>-100</v>
      </c>
      <c r="G424" s="87">
        <f>'ERROR FINAL'!AS427</f>
        <v>-100</v>
      </c>
      <c r="H424" s="88" t="str">
        <f>IF('ERROR FINAL'!AT427="CONFORME","CONFORME","NO CONFORME")</f>
        <v>NO CONFORME</v>
      </c>
      <c r="I424" s="89" t="str">
        <f t="shared" si="6"/>
        <v>Medición</v>
      </c>
    </row>
    <row r="425" spans="1:9" x14ac:dyDescent="0.2">
      <c r="A425" s="82">
        <f>'ERROR FINAL'!A428</f>
        <v>420</v>
      </c>
      <c r="B425" s="83">
        <f>'ERROR FINAL'!D428</f>
        <v>6</v>
      </c>
      <c r="C425" s="84">
        <f>'ERROR FINAL'!G428</f>
        <v>0</v>
      </c>
      <c r="D425" s="85">
        <f>'ERROR FINAL'!I428</f>
        <v>0</v>
      </c>
      <c r="E425" s="86">
        <f>'ERROR FINAL'!U428</f>
        <v>-100</v>
      </c>
      <c r="F425" s="87">
        <f>'ERROR FINAL'!AG428</f>
        <v>-100</v>
      </c>
      <c r="G425" s="87">
        <f>'ERROR FINAL'!AS428</f>
        <v>-100</v>
      </c>
      <c r="H425" s="88" t="str">
        <f>IF('ERROR FINAL'!AT428="CONFORME","CONFORME","NO CONFORME")</f>
        <v>NO CONFORME</v>
      </c>
      <c r="I425" s="89" t="str">
        <f t="shared" si="6"/>
        <v>Medición</v>
      </c>
    </row>
    <row r="426" spans="1:9" x14ac:dyDescent="0.2">
      <c r="A426" s="82">
        <f>'ERROR FINAL'!A429</f>
        <v>421</v>
      </c>
      <c r="B426" s="83">
        <f>'ERROR FINAL'!D429</f>
        <v>6</v>
      </c>
      <c r="C426" s="84">
        <f>'ERROR FINAL'!G429</f>
        <v>0</v>
      </c>
      <c r="D426" s="85">
        <f>'ERROR FINAL'!I429</f>
        <v>0</v>
      </c>
      <c r="E426" s="86">
        <f>'ERROR FINAL'!U429</f>
        <v>-100</v>
      </c>
      <c r="F426" s="87">
        <f>'ERROR FINAL'!AG429</f>
        <v>-100</v>
      </c>
      <c r="G426" s="87">
        <f>'ERROR FINAL'!AS429</f>
        <v>-100</v>
      </c>
      <c r="H426" s="88" t="str">
        <f>IF('ERROR FINAL'!AT429="CONFORME","CONFORME","NO CONFORME")</f>
        <v>NO CONFORME</v>
      </c>
      <c r="I426" s="89" t="str">
        <f t="shared" si="6"/>
        <v>Medición</v>
      </c>
    </row>
    <row r="427" spans="1:9" x14ac:dyDescent="0.2">
      <c r="A427" s="82">
        <f>'ERROR FINAL'!A430</f>
        <v>422</v>
      </c>
      <c r="B427" s="83">
        <f>'ERROR FINAL'!D430</f>
        <v>6</v>
      </c>
      <c r="C427" s="84">
        <f>'ERROR FINAL'!G430</f>
        <v>0</v>
      </c>
      <c r="D427" s="85">
        <f>'ERROR FINAL'!I430</f>
        <v>0</v>
      </c>
      <c r="E427" s="86">
        <f>'ERROR FINAL'!U430</f>
        <v>-100</v>
      </c>
      <c r="F427" s="87">
        <f>'ERROR FINAL'!AG430</f>
        <v>-100</v>
      </c>
      <c r="G427" s="87">
        <f>'ERROR FINAL'!AS430</f>
        <v>-100</v>
      </c>
      <c r="H427" s="88" t="str">
        <f>IF('ERROR FINAL'!AT430="CONFORME","CONFORME","NO CONFORME")</f>
        <v>NO CONFORME</v>
      </c>
      <c r="I427" s="89" t="str">
        <f t="shared" si="6"/>
        <v>Medición</v>
      </c>
    </row>
    <row r="428" spans="1:9" x14ac:dyDescent="0.2">
      <c r="A428" s="82">
        <f>'ERROR FINAL'!A431</f>
        <v>423</v>
      </c>
      <c r="B428" s="83">
        <f>'ERROR FINAL'!D431</f>
        <v>6</v>
      </c>
      <c r="C428" s="84">
        <f>'ERROR FINAL'!G431</f>
        <v>0</v>
      </c>
      <c r="D428" s="85">
        <f>'ERROR FINAL'!I431</f>
        <v>0</v>
      </c>
      <c r="E428" s="86">
        <f>'ERROR FINAL'!U431</f>
        <v>-100</v>
      </c>
      <c r="F428" s="87">
        <f>'ERROR FINAL'!AG431</f>
        <v>-100</v>
      </c>
      <c r="G428" s="87">
        <f>'ERROR FINAL'!AS431</f>
        <v>-100</v>
      </c>
      <c r="H428" s="88" t="str">
        <f>IF('ERROR FINAL'!AT431="CONFORME","CONFORME","NO CONFORME")</f>
        <v>NO CONFORME</v>
      </c>
      <c r="I428" s="89" t="str">
        <f t="shared" si="6"/>
        <v>Medición</v>
      </c>
    </row>
    <row r="429" spans="1:9" x14ac:dyDescent="0.2">
      <c r="A429" s="82">
        <f>'ERROR FINAL'!A432</f>
        <v>424</v>
      </c>
      <c r="B429" s="83">
        <f>'ERROR FINAL'!D432</f>
        <v>6</v>
      </c>
      <c r="C429" s="84">
        <f>'ERROR FINAL'!G432</f>
        <v>0</v>
      </c>
      <c r="D429" s="85">
        <f>'ERROR FINAL'!I432</f>
        <v>0</v>
      </c>
      <c r="E429" s="86">
        <f>'ERROR FINAL'!U432</f>
        <v>-100</v>
      </c>
      <c r="F429" s="87">
        <f>'ERROR FINAL'!AG432</f>
        <v>-100</v>
      </c>
      <c r="G429" s="87">
        <f>'ERROR FINAL'!AS432</f>
        <v>-100</v>
      </c>
      <c r="H429" s="88" t="str">
        <f>IF('ERROR FINAL'!AT432="CONFORME","CONFORME","NO CONFORME")</f>
        <v>NO CONFORME</v>
      </c>
      <c r="I429" s="89" t="str">
        <f t="shared" si="6"/>
        <v>Medición</v>
      </c>
    </row>
    <row r="430" spans="1:9" x14ac:dyDescent="0.2">
      <c r="A430" s="82">
        <f>'ERROR FINAL'!A433</f>
        <v>425</v>
      </c>
      <c r="B430" s="83">
        <f>'ERROR FINAL'!D433</f>
        <v>6</v>
      </c>
      <c r="C430" s="84">
        <f>'ERROR FINAL'!G433</f>
        <v>0</v>
      </c>
      <c r="D430" s="85">
        <f>'ERROR FINAL'!I433</f>
        <v>0</v>
      </c>
      <c r="E430" s="86">
        <f>'ERROR FINAL'!U433</f>
        <v>-100</v>
      </c>
      <c r="F430" s="87">
        <f>'ERROR FINAL'!AG433</f>
        <v>-100</v>
      </c>
      <c r="G430" s="87">
        <f>'ERROR FINAL'!AS433</f>
        <v>-100</v>
      </c>
      <c r="H430" s="88" t="str">
        <f>IF('ERROR FINAL'!AT433="CONFORME","CONFORME","NO CONFORME")</f>
        <v>NO CONFORME</v>
      </c>
      <c r="I430" s="89" t="str">
        <f t="shared" si="6"/>
        <v>Medición</v>
      </c>
    </row>
    <row r="431" spans="1:9" x14ac:dyDescent="0.2">
      <c r="A431" s="82">
        <f>'ERROR FINAL'!A434</f>
        <v>426</v>
      </c>
      <c r="B431" s="83">
        <f>'ERROR FINAL'!D434</f>
        <v>6</v>
      </c>
      <c r="C431" s="84">
        <f>'ERROR FINAL'!G434</f>
        <v>0</v>
      </c>
      <c r="D431" s="85">
        <f>'ERROR FINAL'!I434</f>
        <v>0</v>
      </c>
      <c r="E431" s="86">
        <f>'ERROR FINAL'!U434</f>
        <v>-100</v>
      </c>
      <c r="F431" s="87">
        <f>'ERROR FINAL'!AG434</f>
        <v>-100</v>
      </c>
      <c r="G431" s="87">
        <f>'ERROR FINAL'!AS434</f>
        <v>-100</v>
      </c>
      <c r="H431" s="88" t="str">
        <f>IF('ERROR FINAL'!AT434="CONFORME","CONFORME","NO CONFORME")</f>
        <v>NO CONFORME</v>
      </c>
      <c r="I431" s="89" t="str">
        <f t="shared" si="6"/>
        <v>Medición</v>
      </c>
    </row>
    <row r="432" spans="1:9" x14ac:dyDescent="0.2">
      <c r="A432" s="82">
        <f>'ERROR FINAL'!A435</f>
        <v>427</v>
      </c>
      <c r="B432" s="83">
        <f>'ERROR FINAL'!D435</f>
        <v>6</v>
      </c>
      <c r="C432" s="84">
        <f>'ERROR FINAL'!G435</f>
        <v>0</v>
      </c>
      <c r="D432" s="85">
        <f>'ERROR FINAL'!I435</f>
        <v>0</v>
      </c>
      <c r="E432" s="86">
        <f>'ERROR FINAL'!U435</f>
        <v>-100</v>
      </c>
      <c r="F432" s="87">
        <f>'ERROR FINAL'!AG435</f>
        <v>-100</v>
      </c>
      <c r="G432" s="87">
        <f>'ERROR FINAL'!AS435</f>
        <v>-100</v>
      </c>
      <c r="H432" s="88" t="str">
        <f>IF('ERROR FINAL'!AT435="CONFORME","CONFORME","NO CONFORME")</f>
        <v>NO CONFORME</v>
      </c>
      <c r="I432" s="89" t="str">
        <f t="shared" si="6"/>
        <v>Medición</v>
      </c>
    </row>
    <row r="433" spans="1:9" x14ac:dyDescent="0.2">
      <c r="A433" s="82">
        <f>'ERROR FINAL'!A436</f>
        <v>428</v>
      </c>
      <c r="B433" s="83">
        <f>'ERROR FINAL'!D436</f>
        <v>6</v>
      </c>
      <c r="C433" s="84">
        <f>'ERROR FINAL'!G436</f>
        <v>0</v>
      </c>
      <c r="D433" s="85">
        <f>'ERROR FINAL'!I436</f>
        <v>0</v>
      </c>
      <c r="E433" s="86">
        <f>'ERROR FINAL'!U436</f>
        <v>-100</v>
      </c>
      <c r="F433" s="87">
        <f>'ERROR FINAL'!AG436</f>
        <v>-100</v>
      </c>
      <c r="G433" s="87">
        <f>'ERROR FINAL'!AS436</f>
        <v>-100</v>
      </c>
      <c r="H433" s="88" t="str">
        <f>IF('ERROR FINAL'!AT436="CONFORME","CONFORME","NO CONFORME")</f>
        <v>NO CONFORME</v>
      </c>
      <c r="I433" s="89" t="str">
        <f t="shared" si="6"/>
        <v>Medición</v>
      </c>
    </row>
    <row r="434" spans="1:9" x14ac:dyDescent="0.2">
      <c r="A434" s="82">
        <f>'ERROR FINAL'!A437</f>
        <v>429</v>
      </c>
      <c r="B434" s="83">
        <f>'ERROR FINAL'!D437</f>
        <v>6</v>
      </c>
      <c r="C434" s="84">
        <f>'ERROR FINAL'!G437</f>
        <v>0</v>
      </c>
      <c r="D434" s="85">
        <f>'ERROR FINAL'!I437</f>
        <v>0</v>
      </c>
      <c r="E434" s="86">
        <f>'ERROR FINAL'!U437</f>
        <v>-100</v>
      </c>
      <c r="F434" s="87">
        <f>'ERROR FINAL'!AG437</f>
        <v>-100</v>
      </c>
      <c r="G434" s="87">
        <f>'ERROR FINAL'!AS437</f>
        <v>-100</v>
      </c>
      <c r="H434" s="88" t="str">
        <f>IF('ERROR FINAL'!AT437="CONFORME","CONFORME","NO CONFORME")</f>
        <v>NO CONFORME</v>
      </c>
      <c r="I434" s="89" t="str">
        <f t="shared" si="6"/>
        <v>Medición</v>
      </c>
    </row>
    <row r="435" spans="1:9" x14ac:dyDescent="0.2">
      <c r="A435" s="82">
        <f>'ERROR FINAL'!A438</f>
        <v>430</v>
      </c>
      <c r="B435" s="83">
        <f>'ERROR FINAL'!D438</f>
        <v>6</v>
      </c>
      <c r="C435" s="84">
        <f>'ERROR FINAL'!G438</f>
        <v>0</v>
      </c>
      <c r="D435" s="85">
        <f>'ERROR FINAL'!I438</f>
        <v>0</v>
      </c>
      <c r="E435" s="86">
        <f>'ERROR FINAL'!U438</f>
        <v>-100</v>
      </c>
      <c r="F435" s="87">
        <f>'ERROR FINAL'!AG438</f>
        <v>-100</v>
      </c>
      <c r="G435" s="87">
        <f>'ERROR FINAL'!AS438</f>
        <v>-100</v>
      </c>
      <c r="H435" s="88" t="str">
        <f>IF('ERROR FINAL'!AT438="CONFORME","CONFORME","NO CONFORME")</f>
        <v>NO CONFORME</v>
      </c>
      <c r="I435" s="89" t="str">
        <f t="shared" si="6"/>
        <v>Medición</v>
      </c>
    </row>
    <row r="436" spans="1:9" x14ac:dyDescent="0.2">
      <c r="A436" s="82">
        <f>'ERROR FINAL'!A439</f>
        <v>431</v>
      </c>
      <c r="B436" s="83">
        <f>'ERROR FINAL'!D439</f>
        <v>6</v>
      </c>
      <c r="C436" s="84">
        <f>'ERROR FINAL'!G439</f>
        <v>0</v>
      </c>
      <c r="D436" s="85">
        <f>'ERROR FINAL'!I439</f>
        <v>0</v>
      </c>
      <c r="E436" s="86">
        <f>'ERROR FINAL'!U439</f>
        <v>-100</v>
      </c>
      <c r="F436" s="87">
        <f>'ERROR FINAL'!AG439</f>
        <v>-100</v>
      </c>
      <c r="G436" s="87">
        <f>'ERROR FINAL'!AS439</f>
        <v>-100</v>
      </c>
      <c r="H436" s="88" t="str">
        <f>IF('ERROR FINAL'!AT439="CONFORME","CONFORME","NO CONFORME")</f>
        <v>NO CONFORME</v>
      </c>
      <c r="I436" s="89" t="str">
        <f t="shared" si="6"/>
        <v>Medición</v>
      </c>
    </row>
    <row r="437" spans="1:9" x14ac:dyDescent="0.2">
      <c r="A437" s="82">
        <f>'ERROR FINAL'!A440</f>
        <v>432</v>
      </c>
      <c r="B437" s="83">
        <f>'ERROR FINAL'!D440</f>
        <v>6</v>
      </c>
      <c r="C437" s="84">
        <f>'ERROR FINAL'!G440</f>
        <v>0</v>
      </c>
      <c r="D437" s="85">
        <f>'ERROR FINAL'!I440</f>
        <v>0</v>
      </c>
      <c r="E437" s="86">
        <f>'ERROR FINAL'!U440</f>
        <v>-100</v>
      </c>
      <c r="F437" s="87">
        <f>'ERROR FINAL'!AG440</f>
        <v>-100</v>
      </c>
      <c r="G437" s="87">
        <f>'ERROR FINAL'!AS440</f>
        <v>-100</v>
      </c>
      <c r="H437" s="88" t="str">
        <f>IF('ERROR FINAL'!AT440="CONFORME","CONFORME","NO CONFORME")</f>
        <v>NO CONFORME</v>
      </c>
      <c r="I437" s="89" t="str">
        <f t="shared" si="6"/>
        <v>Medición</v>
      </c>
    </row>
    <row r="438" spans="1:9" x14ac:dyDescent="0.2">
      <c r="A438" s="82">
        <f>'ERROR FINAL'!A441</f>
        <v>433</v>
      </c>
      <c r="B438" s="83">
        <f>'ERROR FINAL'!D441</f>
        <v>6</v>
      </c>
      <c r="C438" s="84">
        <f>'ERROR FINAL'!G441</f>
        <v>0</v>
      </c>
      <c r="D438" s="85">
        <f>'ERROR FINAL'!I441</f>
        <v>0</v>
      </c>
      <c r="E438" s="86">
        <f>'ERROR FINAL'!U441</f>
        <v>-100</v>
      </c>
      <c r="F438" s="87">
        <f>'ERROR FINAL'!AG441</f>
        <v>-100</v>
      </c>
      <c r="G438" s="87">
        <f>'ERROR FINAL'!AS441</f>
        <v>-100</v>
      </c>
      <c r="H438" s="88" t="str">
        <f>IF('ERROR FINAL'!AT441="CONFORME","CONFORME","NO CONFORME")</f>
        <v>NO CONFORME</v>
      </c>
      <c r="I438" s="89" t="str">
        <f t="shared" si="6"/>
        <v>Medición</v>
      </c>
    </row>
    <row r="439" spans="1:9" x14ac:dyDescent="0.2">
      <c r="A439" s="82">
        <f>'ERROR FINAL'!A442</f>
        <v>434</v>
      </c>
      <c r="B439" s="83">
        <f>'ERROR FINAL'!D442</f>
        <v>6</v>
      </c>
      <c r="C439" s="84">
        <f>'ERROR FINAL'!G442</f>
        <v>0</v>
      </c>
      <c r="D439" s="85">
        <f>'ERROR FINAL'!I442</f>
        <v>0</v>
      </c>
      <c r="E439" s="86">
        <f>'ERROR FINAL'!U442</f>
        <v>-100</v>
      </c>
      <c r="F439" s="87">
        <f>'ERROR FINAL'!AG442</f>
        <v>-100</v>
      </c>
      <c r="G439" s="87">
        <f>'ERROR FINAL'!AS442</f>
        <v>-100</v>
      </c>
      <c r="H439" s="88" t="str">
        <f>IF('ERROR FINAL'!AT442="CONFORME","CONFORME","NO CONFORME")</f>
        <v>NO CONFORME</v>
      </c>
      <c r="I439" s="89" t="str">
        <f t="shared" si="6"/>
        <v>Medición</v>
      </c>
    </row>
    <row r="440" spans="1:9" x14ac:dyDescent="0.2">
      <c r="A440" s="82">
        <f>'ERROR FINAL'!A443</f>
        <v>435</v>
      </c>
      <c r="B440" s="83">
        <f>'ERROR FINAL'!D443</f>
        <v>6</v>
      </c>
      <c r="C440" s="84">
        <f>'ERROR FINAL'!G443</f>
        <v>0</v>
      </c>
      <c r="D440" s="85">
        <f>'ERROR FINAL'!I443</f>
        <v>0</v>
      </c>
      <c r="E440" s="86">
        <f>'ERROR FINAL'!U443</f>
        <v>-100</v>
      </c>
      <c r="F440" s="87">
        <f>'ERROR FINAL'!AG443</f>
        <v>-100</v>
      </c>
      <c r="G440" s="87">
        <f>'ERROR FINAL'!AS443</f>
        <v>-100</v>
      </c>
      <c r="H440" s="88" t="str">
        <f>IF('ERROR FINAL'!AT443="CONFORME","CONFORME","NO CONFORME")</f>
        <v>NO CONFORME</v>
      </c>
      <c r="I440" s="89" t="str">
        <f t="shared" si="6"/>
        <v>Medición</v>
      </c>
    </row>
    <row r="441" spans="1:9" x14ac:dyDescent="0.2">
      <c r="A441" s="82">
        <f>'ERROR FINAL'!A444</f>
        <v>436</v>
      </c>
      <c r="B441" s="83">
        <f>'ERROR FINAL'!D444</f>
        <v>6</v>
      </c>
      <c r="C441" s="84">
        <f>'ERROR FINAL'!G444</f>
        <v>0</v>
      </c>
      <c r="D441" s="85">
        <f>'ERROR FINAL'!I444</f>
        <v>0</v>
      </c>
      <c r="E441" s="86">
        <f>'ERROR FINAL'!U444</f>
        <v>-100</v>
      </c>
      <c r="F441" s="87">
        <f>'ERROR FINAL'!AG444</f>
        <v>-100</v>
      </c>
      <c r="G441" s="87">
        <f>'ERROR FINAL'!AS444</f>
        <v>-100</v>
      </c>
      <c r="H441" s="88" t="str">
        <f>IF('ERROR FINAL'!AT444="CONFORME","CONFORME","NO CONFORME")</f>
        <v>NO CONFORME</v>
      </c>
      <c r="I441" s="89" t="str">
        <f t="shared" si="6"/>
        <v>Medición</v>
      </c>
    </row>
    <row r="442" spans="1:9" x14ac:dyDescent="0.2">
      <c r="A442" s="82">
        <f>'ERROR FINAL'!A445</f>
        <v>437</v>
      </c>
      <c r="B442" s="83">
        <f>'ERROR FINAL'!D445</f>
        <v>6</v>
      </c>
      <c r="C442" s="84">
        <f>'ERROR FINAL'!G445</f>
        <v>0</v>
      </c>
      <c r="D442" s="85">
        <f>'ERROR FINAL'!I445</f>
        <v>0</v>
      </c>
      <c r="E442" s="86">
        <f>'ERROR FINAL'!U445</f>
        <v>-100</v>
      </c>
      <c r="F442" s="87">
        <f>'ERROR FINAL'!AG445</f>
        <v>-100</v>
      </c>
      <c r="G442" s="87">
        <f>'ERROR FINAL'!AS445</f>
        <v>-100</v>
      </c>
      <c r="H442" s="88" t="str">
        <f>IF('ERROR FINAL'!AT445="CONFORME","CONFORME","NO CONFORME")</f>
        <v>NO CONFORME</v>
      </c>
      <c r="I442" s="89" t="str">
        <f t="shared" si="6"/>
        <v>Medición</v>
      </c>
    </row>
    <row r="443" spans="1:9" x14ac:dyDescent="0.2">
      <c r="A443" s="82">
        <f>'ERROR FINAL'!A446</f>
        <v>438</v>
      </c>
      <c r="B443" s="83">
        <f>'ERROR FINAL'!D446</f>
        <v>6</v>
      </c>
      <c r="C443" s="84">
        <f>'ERROR FINAL'!G446</f>
        <v>0</v>
      </c>
      <c r="D443" s="85">
        <f>'ERROR FINAL'!I446</f>
        <v>0</v>
      </c>
      <c r="E443" s="86">
        <f>'ERROR FINAL'!U446</f>
        <v>-100</v>
      </c>
      <c r="F443" s="87">
        <f>'ERROR FINAL'!AG446</f>
        <v>-100</v>
      </c>
      <c r="G443" s="87">
        <f>'ERROR FINAL'!AS446</f>
        <v>-100</v>
      </c>
      <c r="H443" s="88" t="str">
        <f>IF('ERROR FINAL'!AT446="CONFORME","CONFORME","NO CONFORME")</f>
        <v>NO CONFORME</v>
      </c>
      <c r="I443" s="89" t="str">
        <f t="shared" si="6"/>
        <v>Medición</v>
      </c>
    </row>
    <row r="444" spans="1:9" x14ac:dyDescent="0.2">
      <c r="A444" s="82">
        <f>'ERROR FINAL'!A447</f>
        <v>439</v>
      </c>
      <c r="B444" s="83">
        <f>'ERROR FINAL'!D447</f>
        <v>6</v>
      </c>
      <c r="C444" s="84">
        <f>'ERROR FINAL'!G447</f>
        <v>0</v>
      </c>
      <c r="D444" s="85">
        <f>'ERROR FINAL'!I447</f>
        <v>0</v>
      </c>
      <c r="E444" s="86">
        <f>'ERROR FINAL'!U447</f>
        <v>-100</v>
      </c>
      <c r="F444" s="87">
        <f>'ERROR FINAL'!AG447</f>
        <v>-100</v>
      </c>
      <c r="G444" s="87">
        <f>'ERROR FINAL'!AS447</f>
        <v>-100</v>
      </c>
      <c r="H444" s="88" t="str">
        <f>IF('ERROR FINAL'!AT447="CONFORME","CONFORME","NO CONFORME")</f>
        <v>NO CONFORME</v>
      </c>
      <c r="I444" s="89" t="str">
        <f t="shared" si="6"/>
        <v>Medición</v>
      </c>
    </row>
    <row r="445" spans="1:9" x14ac:dyDescent="0.2">
      <c r="A445" s="82">
        <f>'ERROR FINAL'!A448</f>
        <v>440</v>
      </c>
      <c r="B445" s="83">
        <f>'ERROR FINAL'!D448</f>
        <v>6</v>
      </c>
      <c r="C445" s="84">
        <f>'ERROR FINAL'!G448</f>
        <v>0</v>
      </c>
      <c r="D445" s="85">
        <f>'ERROR FINAL'!I448</f>
        <v>0</v>
      </c>
      <c r="E445" s="86">
        <f>'ERROR FINAL'!U448</f>
        <v>-100</v>
      </c>
      <c r="F445" s="87">
        <f>'ERROR FINAL'!AG448</f>
        <v>-100</v>
      </c>
      <c r="G445" s="87">
        <f>'ERROR FINAL'!AS448</f>
        <v>-100</v>
      </c>
      <c r="H445" s="88" t="str">
        <f>IF('ERROR FINAL'!AT448="CONFORME","CONFORME","NO CONFORME")</f>
        <v>NO CONFORME</v>
      </c>
      <c r="I445" s="89" t="str">
        <f t="shared" si="6"/>
        <v>Medición</v>
      </c>
    </row>
    <row r="446" spans="1:9" x14ac:dyDescent="0.2">
      <c r="A446" s="82">
        <f>'ERROR FINAL'!A449</f>
        <v>441</v>
      </c>
      <c r="B446" s="83">
        <f>'ERROR FINAL'!D449</f>
        <v>6</v>
      </c>
      <c r="C446" s="84">
        <f>'ERROR FINAL'!G449</f>
        <v>0</v>
      </c>
      <c r="D446" s="85">
        <f>'ERROR FINAL'!I449</f>
        <v>0</v>
      </c>
      <c r="E446" s="86">
        <f>'ERROR FINAL'!U449</f>
        <v>-100</v>
      </c>
      <c r="F446" s="87">
        <f>'ERROR FINAL'!AG449</f>
        <v>-100</v>
      </c>
      <c r="G446" s="87">
        <f>'ERROR FINAL'!AS449</f>
        <v>-100</v>
      </c>
      <c r="H446" s="88" t="str">
        <f>IF('ERROR FINAL'!AT449="CONFORME","CONFORME","NO CONFORME")</f>
        <v>NO CONFORME</v>
      </c>
      <c r="I446" s="89" t="str">
        <f t="shared" si="6"/>
        <v>Medición</v>
      </c>
    </row>
    <row r="447" spans="1:9" x14ac:dyDescent="0.2">
      <c r="A447" s="82">
        <f>'ERROR FINAL'!A450</f>
        <v>442</v>
      </c>
      <c r="B447" s="83">
        <f>'ERROR FINAL'!D450</f>
        <v>6</v>
      </c>
      <c r="C447" s="84">
        <f>'ERROR FINAL'!G450</f>
        <v>0</v>
      </c>
      <c r="D447" s="85">
        <f>'ERROR FINAL'!I450</f>
        <v>0</v>
      </c>
      <c r="E447" s="86">
        <f>'ERROR FINAL'!U450</f>
        <v>-100</v>
      </c>
      <c r="F447" s="87">
        <f>'ERROR FINAL'!AG450</f>
        <v>-100</v>
      </c>
      <c r="G447" s="87">
        <f>'ERROR FINAL'!AS450</f>
        <v>-100</v>
      </c>
      <c r="H447" s="88" t="str">
        <f>IF('ERROR FINAL'!AT450="CONFORME","CONFORME","NO CONFORME")</f>
        <v>NO CONFORME</v>
      </c>
      <c r="I447" s="89" t="str">
        <f t="shared" si="6"/>
        <v>Medición</v>
      </c>
    </row>
    <row r="448" spans="1:9" x14ac:dyDescent="0.2">
      <c r="A448" s="82">
        <f>'ERROR FINAL'!A451</f>
        <v>443</v>
      </c>
      <c r="B448" s="83">
        <f>'ERROR FINAL'!D451</f>
        <v>6</v>
      </c>
      <c r="C448" s="84">
        <f>'ERROR FINAL'!G451</f>
        <v>0</v>
      </c>
      <c r="D448" s="85">
        <f>'ERROR FINAL'!I451</f>
        <v>0</v>
      </c>
      <c r="E448" s="86">
        <f>'ERROR FINAL'!U451</f>
        <v>-100</v>
      </c>
      <c r="F448" s="87">
        <f>'ERROR FINAL'!AG451</f>
        <v>-100</v>
      </c>
      <c r="G448" s="87">
        <f>'ERROR FINAL'!AS451</f>
        <v>-100</v>
      </c>
      <c r="H448" s="88" t="str">
        <f>IF('ERROR FINAL'!AT451="CONFORME","CONFORME","NO CONFORME")</f>
        <v>NO CONFORME</v>
      </c>
      <c r="I448" s="89" t="str">
        <f t="shared" si="6"/>
        <v>Medición</v>
      </c>
    </row>
    <row r="449" spans="1:9" x14ac:dyDescent="0.2">
      <c r="A449" s="82">
        <f>'ERROR FINAL'!A452</f>
        <v>444</v>
      </c>
      <c r="B449" s="83">
        <f>'ERROR FINAL'!D452</f>
        <v>6</v>
      </c>
      <c r="C449" s="84">
        <f>'ERROR FINAL'!G452</f>
        <v>0</v>
      </c>
      <c r="D449" s="85">
        <f>'ERROR FINAL'!I452</f>
        <v>0</v>
      </c>
      <c r="E449" s="86">
        <f>'ERROR FINAL'!U452</f>
        <v>-100</v>
      </c>
      <c r="F449" s="87">
        <f>'ERROR FINAL'!AG452</f>
        <v>-100</v>
      </c>
      <c r="G449" s="87">
        <f>'ERROR FINAL'!AS452</f>
        <v>-100</v>
      </c>
      <c r="H449" s="88" t="str">
        <f>IF('ERROR FINAL'!AT452="CONFORME","CONFORME","NO CONFORME")</f>
        <v>NO CONFORME</v>
      </c>
      <c r="I449" s="89" t="str">
        <f t="shared" si="6"/>
        <v>Medición</v>
      </c>
    </row>
    <row r="450" spans="1:9" x14ac:dyDescent="0.2">
      <c r="A450" s="82">
        <f>'ERROR FINAL'!A453</f>
        <v>445</v>
      </c>
      <c r="B450" s="83">
        <f>'ERROR FINAL'!D453</f>
        <v>6</v>
      </c>
      <c r="C450" s="84">
        <f>'ERROR FINAL'!G453</f>
        <v>0</v>
      </c>
      <c r="D450" s="85">
        <f>'ERROR FINAL'!I453</f>
        <v>0</v>
      </c>
      <c r="E450" s="86">
        <f>'ERROR FINAL'!U453</f>
        <v>-100</v>
      </c>
      <c r="F450" s="87">
        <f>'ERROR FINAL'!AG453</f>
        <v>-100</v>
      </c>
      <c r="G450" s="87">
        <f>'ERROR FINAL'!AS453</f>
        <v>-100</v>
      </c>
      <c r="H450" s="88" t="str">
        <f>IF('ERROR FINAL'!AT453="CONFORME","CONFORME","NO CONFORME")</f>
        <v>NO CONFORME</v>
      </c>
      <c r="I450" s="89" t="str">
        <f t="shared" si="6"/>
        <v>Medición</v>
      </c>
    </row>
    <row r="451" spans="1:9" x14ac:dyDescent="0.2">
      <c r="A451" s="82">
        <f>'ERROR FINAL'!A454</f>
        <v>446</v>
      </c>
      <c r="B451" s="83">
        <f>'ERROR FINAL'!D454</f>
        <v>6</v>
      </c>
      <c r="C451" s="84">
        <f>'ERROR FINAL'!G454</f>
        <v>0</v>
      </c>
      <c r="D451" s="85">
        <f>'ERROR FINAL'!I454</f>
        <v>0</v>
      </c>
      <c r="E451" s="86">
        <f>'ERROR FINAL'!U454</f>
        <v>-100</v>
      </c>
      <c r="F451" s="87">
        <f>'ERROR FINAL'!AG454</f>
        <v>-100</v>
      </c>
      <c r="G451" s="87">
        <f>'ERROR FINAL'!AS454</f>
        <v>-100</v>
      </c>
      <c r="H451" s="88" t="str">
        <f>IF('ERROR FINAL'!AT454="CONFORME","CONFORME","NO CONFORME")</f>
        <v>NO CONFORME</v>
      </c>
      <c r="I451" s="89" t="str">
        <f t="shared" si="6"/>
        <v>Medición</v>
      </c>
    </row>
    <row r="452" spans="1:9" x14ac:dyDescent="0.2">
      <c r="A452" s="82">
        <f>'ERROR FINAL'!A455</f>
        <v>447</v>
      </c>
      <c r="B452" s="83">
        <f>'ERROR FINAL'!D455</f>
        <v>6</v>
      </c>
      <c r="C452" s="84">
        <f>'ERROR FINAL'!G455</f>
        <v>0</v>
      </c>
      <c r="D452" s="85">
        <f>'ERROR FINAL'!I455</f>
        <v>0</v>
      </c>
      <c r="E452" s="86">
        <f>'ERROR FINAL'!U455</f>
        <v>-100</v>
      </c>
      <c r="F452" s="87">
        <f>'ERROR FINAL'!AG455</f>
        <v>-100</v>
      </c>
      <c r="G452" s="87">
        <f>'ERROR FINAL'!AS455</f>
        <v>-100</v>
      </c>
      <c r="H452" s="88" t="str">
        <f>IF('ERROR FINAL'!AT455="CONFORME","CONFORME","NO CONFORME")</f>
        <v>NO CONFORME</v>
      </c>
      <c r="I452" s="89" t="str">
        <f t="shared" si="6"/>
        <v>Medición</v>
      </c>
    </row>
    <row r="453" spans="1:9" x14ac:dyDescent="0.2">
      <c r="A453" s="82">
        <f>'ERROR FINAL'!A456</f>
        <v>448</v>
      </c>
      <c r="B453" s="83">
        <f>'ERROR FINAL'!D456</f>
        <v>6</v>
      </c>
      <c r="C453" s="84">
        <f>'ERROR FINAL'!G456</f>
        <v>0</v>
      </c>
      <c r="D453" s="85">
        <f>'ERROR FINAL'!I456</f>
        <v>0</v>
      </c>
      <c r="E453" s="86">
        <f>'ERROR FINAL'!U456</f>
        <v>-100</v>
      </c>
      <c r="F453" s="87">
        <f>'ERROR FINAL'!AG456</f>
        <v>-100</v>
      </c>
      <c r="G453" s="87">
        <f>'ERROR FINAL'!AS456</f>
        <v>-100</v>
      </c>
      <c r="H453" s="88" t="str">
        <f>IF('ERROR FINAL'!AT456="CONFORME","CONFORME","NO CONFORME")</f>
        <v>NO CONFORME</v>
      </c>
      <c r="I453" s="89" t="str">
        <f t="shared" si="6"/>
        <v>Medición</v>
      </c>
    </row>
    <row r="454" spans="1:9" x14ac:dyDescent="0.2">
      <c r="A454" s="82">
        <f>'ERROR FINAL'!A457</f>
        <v>449</v>
      </c>
      <c r="B454" s="83">
        <f>'ERROR FINAL'!D457</f>
        <v>6</v>
      </c>
      <c r="C454" s="84">
        <f>'ERROR FINAL'!G457</f>
        <v>0</v>
      </c>
      <c r="D454" s="85">
        <f>'ERROR FINAL'!I457</f>
        <v>0</v>
      </c>
      <c r="E454" s="86">
        <f>'ERROR FINAL'!U457</f>
        <v>-100</v>
      </c>
      <c r="F454" s="87">
        <f>'ERROR FINAL'!AG457</f>
        <v>-100</v>
      </c>
      <c r="G454" s="87">
        <f>'ERROR FINAL'!AS457</f>
        <v>-100</v>
      </c>
      <c r="H454" s="88" t="str">
        <f>IF('ERROR FINAL'!AT457="CONFORME","CONFORME","NO CONFORME")</f>
        <v>NO CONFORME</v>
      </c>
      <c r="I454" s="89" t="str">
        <f t="shared" si="6"/>
        <v>Medición</v>
      </c>
    </row>
    <row r="455" spans="1:9" x14ac:dyDescent="0.2">
      <c r="A455" s="82">
        <f>'ERROR FINAL'!A458</f>
        <v>450</v>
      </c>
      <c r="B455" s="83">
        <f>'ERROR FINAL'!D458</f>
        <v>6</v>
      </c>
      <c r="C455" s="84">
        <f>'ERROR FINAL'!G458</f>
        <v>0</v>
      </c>
      <c r="D455" s="85">
        <f>'ERROR FINAL'!I458</f>
        <v>0</v>
      </c>
      <c r="E455" s="86">
        <f>'ERROR FINAL'!U458</f>
        <v>-100</v>
      </c>
      <c r="F455" s="87">
        <f>'ERROR FINAL'!AG458</f>
        <v>-100</v>
      </c>
      <c r="G455" s="87">
        <f>'ERROR FINAL'!AS458</f>
        <v>-100</v>
      </c>
      <c r="H455" s="88" t="str">
        <f>IF('ERROR FINAL'!AT458="CONFORME","CONFORME","NO CONFORME")</f>
        <v>NO CONFORME</v>
      </c>
      <c r="I455" s="89" t="str">
        <f t="shared" ref="I455:I518" si="7">IF(D455=0,"Medición",IF(D455=1,"Daño físico",IF(D455=2,"Fuga",IF(D455=3,"Picado",IF(D455=4,"Desfasado",IF(D455=5,"Paralizado","¿?"))))))</f>
        <v>Medición</v>
      </c>
    </row>
    <row r="456" spans="1:9" x14ac:dyDescent="0.2">
      <c r="A456" s="82">
        <f>'ERROR FINAL'!A459</f>
        <v>451</v>
      </c>
      <c r="B456" s="83">
        <f>'ERROR FINAL'!D459</f>
        <v>6</v>
      </c>
      <c r="C456" s="84">
        <f>'ERROR FINAL'!G459</f>
        <v>0</v>
      </c>
      <c r="D456" s="85">
        <f>'ERROR FINAL'!I459</f>
        <v>0</v>
      </c>
      <c r="E456" s="86">
        <f>'ERROR FINAL'!U459</f>
        <v>-100</v>
      </c>
      <c r="F456" s="87">
        <f>'ERROR FINAL'!AG459</f>
        <v>-100</v>
      </c>
      <c r="G456" s="87">
        <f>'ERROR FINAL'!AS459</f>
        <v>-100</v>
      </c>
      <c r="H456" s="88" t="str">
        <f>IF('ERROR FINAL'!AT459="CONFORME","CONFORME","NO CONFORME")</f>
        <v>NO CONFORME</v>
      </c>
      <c r="I456" s="89" t="str">
        <f t="shared" si="7"/>
        <v>Medición</v>
      </c>
    </row>
    <row r="457" spans="1:9" x14ac:dyDescent="0.2">
      <c r="A457" s="82">
        <f>'ERROR FINAL'!A460</f>
        <v>452</v>
      </c>
      <c r="B457" s="83">
        <f>'ERROR FINAL'!D460</f>
        <v>6</v>
      </c>
      <c r="C457" s="84">
        <f>'ERROR FINAL'!G460</f>
        <v>0</v>
      </c>
      <c r="D457" s="85">
        <f>'ERROR FINAL'!I460</f>
        <v>0</v>
      </c>
      <c r="E457" s="86">
        <f>'ERROR FINAL'!U460</f>
        <v>-100</v>
      </c>
      <c r="F457" s="87">
        <f>'ERROR FINAL'!AG460</f>
        <v>-100</v>
      </c>
      <c r="G457" s="87">
        <f>'ERROR FINAL'!AS460</f>
        <v>-100</v>
      </c>
      <c r="H457" s="88" t="str">
        <f>IF('ERROR FINAL'!AT460="CONFORME","CONFORME","NO CONFORME")</f>
        <v>NO CONFORME</v>
      </c>
      <c r="I457" s="89" t="str">
        <f t="shared" si="7"/>
        <v>Medición</v>
      </c>
    </row>
    <row r="458" spans="1:9" x14ac:dyDescent="0.2">
      <c r="A458" s="82">
        <f>'ERROR FINAL'!A461</f>
        <v>453</v>
      </c>
      <c r="B458" s="83">
        <f>'ERROR FINAL'!D461</f>
        <v>6</v>
      </c>
      <c r="C458" s="84">
        <f>'ERROR FINAL'!G461</f>
        <v>0</v>
      </c>
      <c r="D458" s="85">
        <f>'ERROR FINAL'!I461</f>
        <v>0</v>
      </c>
      <c r="E458" s="86">
        <f>'ERROR FINAL'!U461</f>
        <v>-100</v>
      </c>
      <c r="F458" s="87">
        <f>'ERROR FINAL'!AG461</f>
        <v>-100</v>
      </c>
      <c r="G458" s="87">
        <f>'ERROR FINAL'!AS461</f>
        <v>-100</v>
      </c>
      <c r="H458" s="88" t="str">
        <f>IF('ERROR FINAL'!AT461="CONFORME","CONFORME","NO CONFORME")</f>
        <v>NO CONFORME</v>
      </c>
      <c r="I458" s="89" t="str">
        <f t="shared" si="7"/>
        <v>Medición</v>
      </c>
    </row>
    <row r="459" spans="1:9" x14ac:dyDescent="0.2">
      <c r="A459" s="82">
        <f>'ERROR FINAL'!A462</f>
        <v>454</v>
      </c>
      <c r="B459" s="83">
        <f>'ERROR FINAL'!D462</f>
        <v>6</v>
      </c>
      <c r="C459" s="84">
        <f>'ERROR FINAL'!G462</f>
        <v>0</v>
      </c>
      <c r="D459" s="85">
        <f>'ERROR FINAL'!I462</f>
        <v>0</v>
      </c>
      <c r="E459" s="86">
        <f>'ERROR FINAL'!U462</f>
        <v>-100</v>
      </c>
      <c r="F459" s="87">
        <f>'ERROR FINAL'!AG462</f>
        <v>-100</v>
      </c>
      <c r="G459" s="87">
        <f>'ERROR FINAL'!AS462</f>
        <v>-100</v>
      </c>
      <c r="H459" s="88" t="str">
        <f>IF('ERROR FINAL'!AT462="CONFORME","CONFORME","NO CONFORME")</f>
        <v>NO CONFORME</v>
      </c>
      <c r="I459" s="89" t="str">
        <f t="shared" si="7"/>
        <v>Medición</v>
      </c>
    </row>
    <row r="460" spans="1:9" x14ac:dyDescent="0.2">
      <c r="A460" s="82">
        <f>'ERROR FINAL'!A463</f>
        <v>455</v>
      </c>
      <c r="B460" s="83">
        <f>'ERROR FINAL'!D463</f>
        <v>6</v>
      </c>
      <c r="C460" s="84">
        <f>'ERROR FINAL'!G463</f>
        <v>0</v>
      </c>
      <c r="D460" s="85">
        <f>'ERROR FINAL'!I463</f>
        <v>0</v>
      </c>
      <c r="E460" s="86">
        <f>'ERROR FINAL'!U463</f>
        <v>-100</v>
      </c>
      <c r="F460" s="87">
        <f>'ERROR FINAL'!AG463</f>
        <v>-100</v>
      </c>
      <c r="G460" s="87">
        <f>'ERROR FINAL'!AS463</f>
        <v>-100</v>
      </c>
      <c r="H460" s="88" t="str">
        <f>IF('ERROR FINAL'!AT463="CONFORME","CONFORME","NO CONFORME")</f>
        <v>NO CONFORME</v>
      </c>
      <c r="I460" s="89" t="str">
        <f t="shared" si="7"/>
        <v>Medición</v>
      </c>
    </row>
    <row r="461" spans="1:9" x14ac:dyDescent="0.2">
      <c r="A461" s="82">
        <f>'ERROR FINAL'!A464</f>
        <v>456</v>
      </c>
      <c r="B461" s="83">
        <f>'ERROR FINAL'!D464</f>
        <v>6</v>
      </c>
      <c r="C461" s="84">
        <f>'ERROR FINAL'!G464</f>
        <v>0</v>
      </c>
      <c r="D461" s="85">
        <f>'ERROR FINAL'!I464</f>
        <v>0</v>
      </c>
      <c r="E461" s="86">
        <f>'ERROR FINAL'!U464</f>
        <v>-100</v>
      </c>
      <c r="F461" s="87">
        <f>'ERROR FINAL'!AG464</f>
        <v>-100</v>
      </c>
      <c r="G461" s="87">
        <f>'ERROR FINAL'!AS464</f>
        <v>-100</v>
      </c>
      <c r="H461" s="88" t="str">
        <f>IF('ERROR FINAL'!AT464="CONFORME","CONFORME","NO CONFORME")</f>
        <v>NO CONFORME</v>
      </c>
      <c r="I461" s="89" t="str">
        <f t="shared" si="7"/>
        <v>Medición</v>
      </c>
    </row>
    <row r="462" spans="1:9" x14ac:dyDescent="0.2">
      <c r="A462" s="82">
        <f>'ERROR FINAL'!A465</f>
        <v>457</v>
      </c>
      <c r="B462" s="83">
        <f>'ERROR FINAL'!D465</f>
        <v>6</v>
      </c>
      <c r="C462" s="84">
        <f>'ERROR FINAL'!G465</f>
        <v>0</v>
      </c>
      <c r="D462" s="85">
        <f>'ERROR FINAL'!I465</f>
        <v>0</v>
      </c>
      <c r="E462" s="86">
        <f>'ERROR FINAL'!U465</f>
        <v>-100</v>
      </c>
      <c r="F462" s="87">
        <f>'ERROR FINAL'!AG465</f>
        <v>-100</v>
      </c>
      <c r="G462" s="87">
        <f>'ERROR FINAL'!AS465</f>
        <v>-100</v>
      </c>
      <c r="H462" s="88" t="str">
        <f>IF('ERROR FINAL'!AT465="CONFORME","CONFORME","NO CONFORME")</f>
        <v>NO CONFORME</v>
      </c>
      <c r="I462" s="89" t="str">
        <f t="shared" si="7"/>
        <v>Medición</v>
      </c>
    </row>
    <row r="463" spans="1:9" x14ac:dyDescent="0.2">
      <c r="A463" s="82">
        <f>'ERROR FINAL'!A466</f>
        <v>458</v>
      </c>
      <c r="B463" s="83">
        <f>'ERROR FINAL'!D466</f>
        <v>6</v>
      </c>
      <c r="C463" s="84">
        <f>'ERROR FINAL'!G466</f>
        <v>0</v>
      </c>
      <c r="D463" s="85">
        <f>'ERROR FINAL'!I466</f>
        <v>0</v>
      </c>
      <c r="E463" s="86">
        <f>'ERROR FINAL'!U466</f>
        <v>-100</v>
      </c>
      <c r="F463" s="87">
        <f>'ERROR FINAL'!AG466</f>
        <v>-100</v>
      </c>
      <c r="G463" s="87">
        <f>'ERROR FINAL'!AS466</f>
        <v>-100</v>
      </c>
      <c r="H463" s="88" t="str">
        <f>IF('ERROR FINAL'!AT466="CONFORME","CONFORME","NO CONFORME")</f>
        <v>NO CONFORME</v>
      </c>
      <c r="I463" s="89" t="str">
        <f t="shared" si="7"/>
        <v>Medición</v>
      </c>
    </row>
    <row r="464" spans="1:9" x14ac:dyDescent="0.2">
      <c r="A464" s="82">
        <f>'ERROR FINAL'!A467</f>
        <v>459</v>
      </c>
      <c r="B464" s="83">
        <f>'ERROR FINAL'!D467</f>
        <v>6</v>
      </c>
      <c r="C464" s="84">
        <f>'ERROR FINAL'!G467</f>
        <v>0</v>
      </c>
      <c r="D464" s="85">
        <f>'ERROR FINAL'!I467</f>
        <v>0</v>
      </c>
      <c r="E464" s="86">
        <f>'ERROR FINAL'!U467</f>
        <v>-100</v>
      </c>
      <c r="F464" s="87">
        <f>'ERROR FINAL'!AG467</f>
        <v>-100</v>
      </c>
      <c r="G464" s="87">
        <f>'ERROR FINAL'!AS467</f>
        <v>-100</v>
      </c>
      <c r="H464" s="88" t="str">
        <f>IF('ERROR FINAL'!AT467="CONFORME","CONFORME","NO CONFORME")</f>
        <v>NO CONFORME</v>
      </c>
      <c r="I464" s="89" t="str">
        <f t="shared" si="7"/>
        <v>Medición</v>
      </c>
    </row>
    <row r="465" spans="1:9" x14ac:dyDescent="0.2">
      <c r="A465" s="82">
        <f>'ERROR FINAL'!A468</f>
        <v>460</v>
      </c>
      <c r="B465" s="83">
        <f>'ERROR FINAL'!D468</f>
        <v>6</v>
      </c>
      <c r="C465" s="84">
        <f>'ERROR FINAL'!G468</f>
        <v>0</v>
      </c>
      <c r="D465" s="85">
        <f>'ERROR FINAL'!I468</f>
        <v>0</v>
      </c>
      <c r="E465" s="86">
        <f>'ERROR FINAL'!U468</f>
        <v>-100</v>
      </c>
      <c r="F465" s="87">
        <f>'ERROR FINAL'!AG468</f>
        <v>-100</v>
      </c>
      <c r="G465" s="87">
        <f>'ERROR FINAL'!AS468</f>
        <v>-100</v>
      </c>
      <c r="H465" s="88" t="str">
        <f>IF('ERROR FINAL'!AT468="CONFORME","CONFORME","NO CONFORME")</f>
        <v>NO CONFORME</v>
      </c>
      <c r="I465" s="89" t="str">
        <f t="shared" si="7"/>
        <v>Medición</v>
      </c>
    </row>
    <row r="466" spans="1:9" x14ac:dyDescent="0.2">
      <c r="A466" s="82">
        <f>'ERROR FINAL'!A469</f>
        <v>461</v>
      </c>
      <c r="B466" s="83">
        <f>'ERROR FINAL'!D469</f>
        <v>6</v>
      </c>
      <c r="C466" s="84">
        <f>'ERROR FINAL'!G469</f>
        <v>0</v>
      </c>
      <c r="D466" s="85">
        <f>'ERROR FINAL'!I469</f>
        <v>0</v>
      </c>
      <c r="E466" s="86">
        <f>'ERROR FINAL'!U469</f>
        <v>-100</v>
      </c>
      <c r="F466" s="87">
        <f>'ERROR FINAL'!AG469</f>
        <v>-100</v>
      </c>
      <c r="G466" s="87">
        <f>'ERROR FINAL'!AS469</f>
        <v>-100</v>
      </c>
      <c r="H466" s="88" t="str">
        <f>IF('ERROR FINAL'!AT469="CONFORME","CONFORME","NO CONFORME")</f>
        <v>NO CONFORME</v>
      </c>
      <c r="I466" s="89" t="str">
        <f t="shared" si="7"/>
        <v>Medición</v>
      </c>
    </row>
    <row r="467" spans="1:9" x14ac:dyDescent="0.2">
      <c r="A467" s="82">
        <f>'ERROR FINAL'!A470</f>
        <v>462</v>
      </c>
      <c r="B467" s="83">
        <f>'ERROR FINAL'!D470</f>
        <v>6</v>
      </c>
      <c r="C467" s="84">
        <f>'ERROR FINAL'!G470</f>
        <v>0</v>
      </c>
      <c r="D467" s="85">
        <f>'ERROR FINAL'!I470</f>
        <v>0</v>
      </c>
      <c r="E467" s="86">
        <f>'ERROR FINAL'!U470</f>
        <v>-100</v>
      </c>
      <c r="F467" s="87">
        <f>'ERROR FINAL'!AG470</f>
        <v>-100</v>
      </c>
      <c r="G467" s="87">
        <f>'ERROR FINAL'!AS470</f>
        <v>-100</v>
      </c>
      <c r="H467" s="88" t="str">
        <f>IF('ERROR FINAL'!AT470="CONFORME","CONFORME","NO CONFORME")</f>
        <v>NO CONFORME</v>
      </c>
      <c r="I467" s="89" t="str">
        <f t="shared" si="7"/>
        <v>Medición</v>
      </c>
    </row>
    <row r="468" spans="1:9" x14ac:dyDescent="0.2">
      <c r="A468" s="82">
        <f>'ERROR FINAL'!A471</f>
        <v>463</v>
      </c>
      <c r="B468" s="83">
        <f>'ERROR FINAL'!D471</f>
        <v>6</v>
      </c>
      <c r="C468" s="84">
        <f>'ERROR FINAL'!G471</f>
        <v>0</v>
      </c>
      <c r="D468" s="85">
        <f>'ERROR FINAL'!I471</f>
        <v>0</v>
      </c>
      <c r="E468" s="86">
        <f>'ERROR FINAL'!U471</f>
        <v>-100</v>
      </c>
      <c r="F468" s="87">
        <f>'ERROR FINAL'!AG471</f>
        <v>-100</v>
      </c>
      <c r="G468" s="87">
        <f>'ERROR FINAL'!AS471</f>
        <v>-100</v>
      </c>
      <c r="H468" s="88" t="str">
        <f>IF('ERROR FINAL'!AT471="CONFORME","CONFORME","NO CONFORME")</f>
        <v>NO CONFORME</v>
      </c>
      <c r="I468" s="89" t="str">
        <f t="shared" si="7"/>
        <v>Medición</v>
      </c>
    </row>
    <row r="469" spans="1:9" x14ac:dyDescent="0.2">
      <c r="A469" s="82">
        <f>'ERROR FINAL'!A472</f>
        <v>464</v>
      </c>
      <c r="B469" s="83">
        <f>'ERROR FINAL'!D472</f>
        <v>6</v>
      </c>
      <c r="C469" s="84">
        <f>'ERROR FINAL'!G472</f>
        <v>0</v>
      </c>
      <c r="D469" s="85">
        <f>'ERROR FINAL'!I472</f>
        <v>0</v>
      </c>
      <c r="E469" s="86">
        <f>'ERROR FINAL'!U472</f>
        <v>-100</v>
      </c>
      <c r="F469" s="87">
        <f>'ERROR FINAL'!AG472</f>
        <v>-100</v>
      </c>
      <c r="G469" s="87">
        <f>'ERROR FINAL'!AS472</f>
        <v>-100</v>
      </c>
      <c r="H469" s="88" t="str">
        <f>IF('ERROR FINAL'!AT472="CONFORME","CONFORME","NO CONFORME")</f>
        <v>NO CONFORME</v>
      </c>
      <c r="I469" s="89" t="str">
        <f t="shared" si="7"/>
        <v>Medición</v>
      </c>
    </row>
    <row r="470" spans="1:9" x14ac:dyDescent="0.2">
      <c r="A470" s="82">
        <f>'ERROR FINAL'!A473</f>
        <v>465</v>
      </c>
      <c r="B470" s="83">
        <f>'ERROR FINAL'!D473</f>
        <v>6</v>
      </c>
      <c r="C470" s="84">
        <f>'ERROR FINAL'!G473</f>
        <v>0</v>
      </c>
      <c r="D470" s="85">
        <f>'ERROR FINAL'!I473</f>
        <v>0</v>
      </c>
      <c r="E470" s="86">
        <f>'ERROR FINAL'!U473</f>
        <v>-100</v>
      </c>
      <c r="F470" s="87">
        <f>'ERROR FINAL'!AG473</f>
        <v>-100</v>
      </c>
      <c r="G470" s="87">
        <f>'ERROR FINAL'!AS473</f>
        <v>-100</v>
      </c>
      <c r="H470" s="88" t="str">
        <f>IF('ERROR FINAL'!AT473="CONFORME","CONFORME","NO CONFORME")</f>
        <v>NO CONFORME</v>
      </c>
      <c r="I470" s="89" t="str">
        <f t="shared" si="7"/>
        <v>Medición</v>
      </c>
    </row>
    <row r="471" spans="1:9" x14ac:dyDescent="0.2">
      <c r="A471" s="82">
        <f>'ERROR FINAL'!A474</f>
        <v>466</v>
      </c>
      <c r="B471" s="83">
        <f>'ERROR FINAL'!D474</f>
        <v>6</v>
      </c>
      <c r="C471" s="84">
        <f>'ERROR FINAL'!G474</f>
        <v>0</v>
      </c>
      <c r="D471" s="85">
        <f>'ERROR FINAL'!I474</f>
        <v>0</v>
      </c>
      <c r="E471" s="86">
        <f>'ERROR FINAL'!U474</f>
        <v>-100</v>
      </c>
      <c r="F471" s="87">
        <f>'ERROR FINAL'!AG474</f>
        <v>-100</v>
      </c>
      <c r="G471" s="87">
        <f>'ERROR FINAL'!AS474</f>
        <v>-100</v>
      </c>
      <c r="H471" s="88" t="str">
        <f>IF('ERROR FINAL'!AT474="CONFORME","CONFORME","NO CONFORME")</f>
        <v>NO CONFORME</v>
      </c>
      <c r="I471" s="89" t="str">
        <f t="shared" si="7"/>
        <v>Medición</v>
      </c>
    </row>
    <row r="472" spans="1:9" x14ac:dyDescent="0.2">
      <c r="A472" s="82">
        <f>'ERROR FINAL'!A475</f>
        <v>467</v>
      </c>
      <c r="B472" s="83">
        <f>'ERROR FINAL'!D475</f>
        <v>6</v>
      </c>
      <c r="C472" s="84">
        <f>'ERROR FINAL'!G475</f>
        <v>0</v>
      </c>
      <c r="D472" s="85">
        <f>'ERROR FINAL'!I475</f>
        <v>0</v>
      </c>
      <c r="E472" s="86">
        <f>'ERROR FINAL'!U475</f>
        <v>-100</v>
      </c>
      <c r="F472" s="87">
        <f>'ERROR FINAL'!AG475</f>
        <v>-100</v>
      </c>
      <c r="G472" s="87">
        <f>'ERROR FINAL'!AS475</f>
        <v>-100</v>
      </c>
      <c r="H472" s="88" t="str">
        <f>IF('ERROR FINAL'!AT475="CONFORME","CONFORME","NO CONFORME")</f>
        <v>NO CONFORME</v>
      </c>
      <c r="I472" s="89" t="str">
        <f t="shared" si="7"/>
        <v>Medición</v>
      </c>
    </row>
    <row r="473" spans="1:9" x14ac:dyDescent="0.2">
      <c r="A473" s="82">
        <f>'ERROR FINAL'!A476</f>
        <v>468</v>
      </c>
      <c r="B473" s="83">
        <f>'ERROR FINAL'!D476</f>
        <v>6</v>
      </c>
      <c r="C473" s="84">
        <f>'ERROR FINAL'!G476</f>
        <v>0</v>
      </c>
      <c r="D473" s="85">
        <f>'ERROR FINAL'!I476</f>
        <v>0</v>
      </c>
      <c r="E473" s="86">
        <f>'ERROR FINAL'!U476</f>
        <v>-100</v>
      </c>
      <c r="F473" s="87">
        <f>'ERROR FINAL'!AG476</f>
        <v>-100</v>
      </c>
      <c r="G473" s="87">
        <f>'ERROR FINAL'!AS476</f>
        <v>-100</v>
      </c>
      <c r="H473" s="88" t="str">
        <f>IF('ERROR FINAL'!AT476="CONFORME","CONFORME","NO CONFORME")</f>
        <v>NO CONFORME</v>
      </c>
      <c r="I473" s="89" t="str">
        <f t="shared" si="7"/>
        <v>Medición</v>
      </c>
    </row>
    <row r="474" spans="1:9" x14ac:dyDescent="0.2">
      <c r="A474" s="82">
        <f>'ERROR FINAL'!A477</f>
        <v>469</v>
      </c>
      <c r="B474" s="83">
        <f>'ERROR FINAL'!D477</f>
        <v>6</v>
      </c>
      <c r="C474" s="84">
        <f>'ERROR FINAL'!G477</f>
        <v>0</v>
      </c>
      <c r="D474" s="85">
        <f>'ERROR FINAL'!I477</f>
        <v>0</v>
      </c>
      <c r="E474" s="86">
        <f>'ERROR FINAL'!U477</f>
        <v>-100</v>
      </c>
      <c r="F474" s="87">
        <f>'ERROR FINAL'!AG477</f>
        <v>-100</v>
      </c>
      <c r="G474" s="87">
        <f>'ERROR FINAL'!AS477</f>
        <v>-100</v>
      </c>
      <c r="H474" s="88" t="str">
        <f>IF('ERROR FINAL'!AT477="CONFORME","CONFORME","NO CONFORME")</f>
        <v>NO CONFORME</v>
      </c>
      <c r="I474" s="89" t="str">
        <f t="shared" si="7"/>
        <v>Medición</v>
      </c>
    </row>
    <row r="475" spans="1:9" x14ac:dyDescent="0.2">
      <c r="A475" s="82">
        <f>'ERROR FINAL'!A478</f>
        <v>470</v>
      </c>
      <c r="B475" s="83">
        <f>'ERROR FINAL'!D478</f>
        <v>6</v>
      </c>
      <c r="C475" s="84">
        <f>'ERROR FINAL'!G478</f>
        <v>0</v>
      </c>
      <c r="D475" s="85">
        <f>'ERROR FINAL'!I478</f>
        <v>0</v>
      </c>
      <c r="E475" s="86">
        <f>'ERROR FINAL'!U478</f>
        <v>-100</v>
      </c>
      <c r="F475" s="87">
        <f>'ERROR FINAL'!AG478</f>
        <v>-100</v>
      </c>
      <c r="G475" s="87">
        <f>'ERROR FINAL'!AS478</f>
        <v>-100</v>
      </c>
      <c r="H475" s="88" t="str">
        <f>IF('ERROR FINAL'!AT478="CONFORME","CONFORME","NO CONFORME")</f>
        <v>NO CONFORME</v>
      </c>
      <c r="I475" s="89" t="str">
        <f t="shared" si="7"/>
        <v>Medición</v>
      </c>
    </row>
    <row r="476" spans="1:9" x14ac:dyDescent="0.2">
      <c r="A476" s="82">
        <f>'ERROR FINAL'!A479</f>
        <v>471</v>
      </c>
      <c r="B476" s="83">
        <f>'ERROR FINAL'!D479</f>
        <v>6</v>
      </c>
      <c r="C476" s="84">
        <f>'ERROR FINAL'!G479</f>
        <v>0</v>
      </c>
      <c r="D476" s="85">
        <f>'ERROR FINAL'!I479</f>
        <v>0</v>
      </c>
      <c r="E476" s="86">
        <f>'ERROR FINAL'!U479</f>
        <v>-100</v>
      </c>
      <c r="F476" s="87">
        <f>'ERROR FINAL'!AG479</f>
        <v>-100</v>
      </c>
      <c r="G476" s="87">
        <f>'ERROR FINAL'!AS479</f>
        <v>-100</v>
      </c>
      <c r="H476" s="88" t="str">
        <f>IF('ERROR FINAL'!AT479="CONFORME","CONFORME","NO CONFORME")</f>
        <v>NO CONFORME</v>
      </c>
      <c r="I476" s="89" t="str">
        <f t="shared" si="7"/>
        <v>Medición</v>
      </c>
    </row>
    <row r="477" spans="1:9" x14ac:dyDescent="0.2">
      <c r="A477" s="82">
        <f>'ERROR FINAL'!A480</f>
        <v>472</v>
      </c>
      <c r="B477" s="83">
        <f>'ERROR FINAL'!D480</f>
        <v>6</v>
      </c>
      <c r="C477" s="84">
        <f>'ERROR FINAL'!G480</f>
        <v>0</v>
      </c>
      <c r="D477" s="85">
        <f>'ERROR FINAL'!I480</f>
        <v>0</v>
      </c>
      <c r="E477" s="86">
        <f>'ERROR FINAL'!U480</f>
        <v>-100</v>
      </c>
      <c r="F477" s="87">
        <f>'ERROR FINAL'!AG480</f>
        <v>-100</v>
      </c>
      <c r="G477" s="87">
        <f>'ERROR FINAL'!AS480</f>
        <v>-100</v>
      </c>
      <c r="H477" s="88" t="str">
        <f>IF('ERROR FINAL'!AT480="CONFORME","CONFORME","NO CONFORME")</f>
        <v>NO CONFORME</v>
      </c>
      <c r="I477" s="89" t="str">
        <f t="shared" si="7"/>
        <v>Medición</v>
      </c>
    </row>
    <row r="478" spans="1:9" x14ac:dyDescent="0.2">
      <c r="A478" s="82">
        <f>'ERROR FINAL'!A481</f>
        <v>473</v>
      </c>
      <c r="B478" s="83">
        <f>'ERROR FINAL'!D481</f>
        <v>6</v>
      </c>
      <c r="C478" s="84">
        <f>'ERROR FINAL'!G481</f>
        <v>0</v>
      </c>
      <c r="D478" s="85">
        <f>'ERROR FINAL'!I481</f>
        <v>0</v>
      </c>
      <c r="E478" s="86">
        <f>'ERROR FINAL'!U481</f>
        <v>-100</v>
      </c>
      <c r="F478" s="87">
        <f>'ERROR FINAL'!AG481</f>
        <v>-100</v>
      </c>
      <c r="G478" s="87">
        <f>'ERROR FINAL'!AS481</f>
        <v>-100</v>
      </c>
      <c r="H478" s="88" t="str">
        <f>IF('ERROR FINAL'!AT481="CONFORME","CONFORME","NO CONFORME")</f>
        <v>NO CONFORME</v>
      </c>
      <c r="I478" s="89" t="str">
        <f t="shared" si="7"/>
        <v>Medición</v>
      </c>
    </row>
    <row r="479" spans="1:9" x14ac:dyDescent="0.2">
      <c r="A479" s="82">
        <f>'ERROR FINAL'!A482</f>
        <v>474</v>
      </c>
      <c r="B479" s="83">
        <f>'ERROR FINAL'!D482</f>
        <v>6</v>
      </c>
      <c r="C479" s="84">
        <f>'ERROR FINAL'!G482</f>
        <v>0</v>
      </c>
      <c r="D479" s="85">
        <f>'ERROR FINAL'!I482</f>
        <v>0</v>
      </c>
      <c r="E479" s="86">
        <f>'ERROR FINAL'!U482</f>
        <v>-100</v>
      </c>
      <c r="F479" s="87">
        <f>'ERROR FINAL'!AG482</f>
        <v>-100</v>
      </c>
      <c r="G479" s="87">
        <f>'ERROR FINAL'!AS482</f>
        <v>-100</v>
      </c>
      <c r="H479" s="88" t="str">
        <f>IF('ERROR FINAL'!AT482="CONFORME","CONFORME","NO CONFORME")</f>
        <v>NO CONFORME</v>
      </c>
      <c r="I479" s="89" t="str">
        <f t="shared" si="7"/>
        <v>Medición</v>
      </c>
    </row>
    <row r="480" spans="1:9" x14ac:dyDescent="0.2">
      <c r="A480" s="82">
        <f>'ERROR FINAL'!A483</f>
        <v>475</v>
      </c>
      <c r="B480" s="83">
        <f>'ERROR FINAL'!D483</f>
        <v>6</v>
      </c>
      <c r="C480" s="84">
        <f>'ERROR FINAL'!G483</f>
        <v>0</v>
      </c>
      <c r="D480" s="85">
        <f>'ERROR FINAL'!I483</f>
        <v>0</v>
      </c>
      <c r="E480" s="86">
        <f>'ERROR FINAL'!U483</f>
        <v>-100</v>
      </c>
      <c r="F480" s="87">
        <f>'ERROR FINAL'!AG483</f>
        <v>-100</v>
      </c>
      <c r="G480" s="87">
        <f>'ERROR FINAL'!AS483</f>
        <v>-100</v>
      </c>
      <c r="H480" s="88" t="str">
        <f>IF('ERROR FINAL'!AT483="CONFORME","CONFORME","NO CONFORME")</f>
        <v>NO CONFORME</v>
      </c>
      <c r="I480" s="89" t="str">
        <f t="shared" si="7"/>
        <v>Medición</v>
      </c>
    </row>
    <row r="481" spans="1:9" x14ac:dyDescent="0.2">
      <c r="A481" s="82">
        <f>'ERROR FINAL'!A484</f>
        <v>476</v>
      </c>
      <c r="B481" s="83">
        <f>'ERROR FINAL'!D484</f>
        <v>6</v>
      </c>
      <c r="C481" s="84">
        <f>'ERROR FINAL'!G484</f>
        <v>0</v>
      </c>
      <c r="D481" s="85">
        <f>'ERROR FINAL'!I484</f>
        <v>0</v>
      </c>
      <c r="E481" s="86">
        <f>'ERROR FINAL'!U484</f>
        <v>-100</v>
      </c>
      <c r="F481" s="87">
        <f>'ERROR FINAL'!AG484</f>
        <v>-100</v>
      </c>
      <c r="G481" s="87">
        <f>'ERROR FINAL'!AS484</f>
        <v>-100</v>
      </c>
      <c r="H481" s="88" t="str">
        <f>IF('ERROR FINAL'!AT484="CONFORME","CONFORME","NO CONFORME")</f>
        <v>NO CONFORME</v>
      </c>
      <c r="I481" s="89" t="str">
        <f t="shared" si="7"/>
        <v>Medición</v>
      </c>
    </row>
    <row r="482" spans="1:9" x14ac:dyDescent="0.2">
      <c r="A482" s="82">
        <f>'ERROR FINAL'!A485</f>
        <v>477</v>
      </c>
      <c r="B482" s="83">
        <f>'ERROR FINAL'!D485</f>
        <v>6</v>
      </c>
      <c r="C482" s="84">
        <f>'ERROR FINAL'!G485</f>
        <v>0</v>
      </c>
      <c r="D482" s="85">
        <f>'ERROR FINAL'!I485</f>
        <v>0</v>
      </c>
      <c r="E482" s="86">
        <f>'ERROR FINAL'!U485</f>
        <v>-100</v>
      </c>
      <c r="F482" s="87">
        <f>'ERROR FINAL'!AG485</f>
        <v>-100</v>
      </c>
      <c r="G482" s="87">
        <f>'ERROR FINAL'!AS485</f>
        <v>-100</v>
      </c>
      <c r="H482" s="88" t="str">
        <f>IF('ERROR FINAL'!AT485="CONFORME","CONFORME","NO CONFORME")</f>
        <v>NO CONFORME</v>
      </c>
      <c r="I482" s="89" t="str">
        <f t="shared" si="7"/>
        <v>Medición</v>
      </c>
    </row>
    <row r="483" spans="1:9" x14ac:dyDescent="0.2">
      <c r="A483" s="82">
        <f>'ERROR FINAL'!A486</f>
        <v>478</v>
      </c>
      <c r="B483" s="83">
        <f>'ERROR FINAL'!D486</f>
        <v>6</v>
      </c>
      <c r="C483" s="84">
        <f>'ERROR FINAL'!G486</f>
        <v>0</v>
      </c>
      <c r="D483" s="85">
        <f>'ERROR FINAL'!I486</f>
        <v>0</v>
      </c>
      <c r="E483" s="86">
        <f>'ERROR FINAL'!U486</f>
        <v>-100</v>
      </c>
      <c r="F483" s="87">
        <f>'ERROR FINAL'!AG486</f>
        <v>-100</v>
      </c>
      <c r="G483" s="87">
        <f>'ERROR FINAL'!AS486</f>
        <v>-100</v>
      </c>
      <c r="H483" s="88" t="str">
        <f>IF('ERROR FINAL'!AT486="CONFORME","CONFORME","NO CONFORME")</f>
        <v>NO CONFORME</v>
      </c>
      <c r="I483" s="89" t="str">
        <f t="shared" si="7"/>
        <v>Medición</v>
      </c>
    </row>
    <row r="484" spans="1:9" x14ac:dyDescent="0.2">
      <c r="A484" s="82">
        <f>'ERROR FINAL'!A487</f>
        <v>479</v>
      </c>
      <c r="B484" s="83">
        <f>'ERROR FINAL'!D487</f>
        <v>6</v>
      </c>
      <c r="C484" s="84">
        <f>'ERROR FINAL'!G487</f>
        <v>0</v>
      </c>
      <c r="D484" s="85">
        <f>'ERROR FINAL'!I487</f>
        <v>0</v>
      </c>
      <c r="E484" s="86">
        <f>'ERROR FINAL'!U487</f>
        <v>-100</v>
      </c>
      <c r="F484" s="87">
        <f>'ERROR FINAL'!AG487</f>
        <v>-100</v>
      </c>
      <c r="G484" s="87">
        <f>'ERROR FINAL'!AS487</f>
        <v>-100</v>
      </c>
      <c r="H484" s="88" t="str">
        <f>IF('ERROR FINAL'!AT487="CONFORME","CONFORME","NO CONFORME")</f>
        <v>NO CONFORME</v>
      </c>
      <c r="I484" s="89" t="str">
        <f t="shared" si="7"/>
        <v>Medición</v>
      </c>
    </row>
    <row r="485" spans="1:9" x14ac:dyDescent="0.2">
      <c r="A485" s="82">
        <f>'ERROR FINAL'!A488</f>
        <v>480</v>
      </c>
      <c r="B485" s="83">
        <f>'ERROR FINAL'!D488</f>
        <v>6</v>
      </c>
      <c r="C485" s="84">
        <f>'ERROR FINAL'!G488</f>
        <v>0</v>
      </c>
      <c r="D485" s="85">
        <f>'ERROR FINAL'!I488</f>
        <v>0</v>
      </c>
      <c r="E485" s="86">
        <f>'ERROR FINAL'!U488</f>
        <v>-100</v>
      </c>
      <c r="F485" s="87">
        <f>'ERROR FINAL'!AG488</f>
        <v>-100</v>
      </c>
      <c r="G485" s="87">
        <f>'ERROR FINAL'!AS488</f>
        <v>-100</v>
      </c>
      <c r="H485" s="88" t="str">
        <f>IF('ERROR FINAL'!AT488="CONFORME","CONFORME","NO CONFORME")</f>
        <v>NO CONFORME</v>
      </c>
      <c r="I485" s="89" t="str">
        <f t="shared" si="7"/>
        <v>Medición</v>
      </c>
    </row>
    <row r="486" spans="1:9" x14ac:dyDescent="0.2">
      <c r="A486" s="82">
        <f>'ERROR FINAL'!A489</f>
        <v>481</v>
      </c>
      <c r="B486" s="83">
        <f>'ERROR FINAL'!D489</f>
        <v>6</v>
      </c>
      <c r="C486" s="84">
        <f>'ERROR FINAL'!G489</f>
        <v>0</v>
      </c>
      <c r="D486" s="85">
        <f>'ERROR FINAL'!I489</f>
        <v>0</v>
      </c>
      <c r="E486" s="86">
        <f>'ERROR FINAL'!U489</f>
        <v>-100</v>
      </c>
      <c r="F486" s="87">
        <f>'ERROR FINAL'!AG489</f>
        <v>-100</v>
      </c>
      <c r="G486" s="87">
        <f>'ERROR FINAL'!AS489</f>
        <v>-100</v>
      </c>
      <c r="H486" s="88" t="str">
        <f>IF('ERROR FINAL'!AT489="CONFORME","CONFORME","NO CONFORME")</f>
        <v>NO CONFORME</v>
      </c>
      <c r="I486" s="89" t="str">
        <f t="shared" si="7"/>
        <v>Medición</v>
      </c>
    </row>
    <row r="487" spans="1:9" x14ac:dyDescent="0.2">
      <c r="A487" s="82">
        <f>'ERROR FINAL'!A490</f>
        <v>482</v>
      </c>
      <c r="B487" s="83">
        <f>'ERROR FINAL'!D490</f>
        <v>6</v>
      </c>
      <c r="C487" s="84">
        <f>'ERROR FINAL'!G490</f>
        <v>0</v>
      </c>
      <c r="D487" s="85">
        <f>'ERROR FINAL'!I490</f>
        <v>0</v>
      </c>
      <c r="E487" s="86">
        <f>'ERROR FINAL'!U490</f>
        <v>-100</v>
      </c>
      <c r="F487" s="87">
        <f>'ERROR FINAL'!AG490</f>
        <v>-100</v>
      </c>
      <c r="G487" s="87">
        <f>'ERROR FINAL'!AS490</f>
        <v>-100</v>
      </c>
      <c r="H487" s="88" t="str">
        <f>IF('ERROR FINAL'!AT490="CONFORME","CONFORME","NO CONFORME")</f>
        <v>NO CONFORME</v>
      </c>
      <c r="I487" s="89" t="str">
        <f t="shared" si="7"/>
        <v>Medición</v>
      </c>
    </row>
    <row r="488" spans="1:9" x14ac:dyDescent="0.2">
      <c r="A488" s="82">
        <f>'ERROR FINAL'!A491</f>
        <v>483</v>
      </c>
      <c r="B488" s="83">
        <f>'ERROR FINAL'!D491</f>
        <v>6</v>
      </c>
      <c r="C488" s="84">
        <f>'ERROR FINAL'!G491</f>
        <v>0</v>
      </c>
      <c r="D488" s="85">
        <f>'ERROR FINAL'!I491</f>
        <v>0</v>
      </c>
      <c r="E488" s="86">
        <f>'ERROR FINAL'!U491</f>
        <v>-100</v>
      </c>
      <c r="F488" s="87">
        <f>'ERROR FINAL'!AG491</f>
        <v>-100</v>
      </c>
      <c r="G488" s="87">
        <f>'ERROR FINAL'!AS491</f>
        <v>-100</v>
      </c>
      <c r="H488" s="88" t="str">
        <f>IF('ERROR FINAL'!AT491="CONFORME","CONFORME","NO CONFORME")</f>
        <v>NO CONFORME</v>
      </c>
      <c r="I488" s="89" t="str">
        <f t="shared" si="7"/>
        <v>Medición</v>
      </c>
    </row>
    <row r="489" spans="1:9" x14ac:dyDescent="0.2">
      <c r="A489" s="82">
        <f>'ERROR FINAL'!A492</f>
        <v>484</v>
      </c>
      <c r="B489" s="83">
        <f>'ERROR FINAL'!D492</f>
        <v>6</v>
      </c>
      <c r="C489" s="84">
        <f>'ERROR FINAL'!G492</f>
        <v>0</v>
      </c>
      <c r="D489" s="85">
        <f>'ERROR FINAL'!I492</f>
        <v>0</v>
      </c>
      <c r="E489" s="86">
        <f>'ERROR FINAL'!U492</f>
        <v>-100</v>
      </c>
      <c r="F489" s="87">
        <f>'ERROR FINAL'!AG492</f>
        <v>-100</v>
      </c>
      <c r="G489" s="87">
        <f>'ERROR FINAL'!AS492</f>
        <v>-100</v>
      </c>
      <c r="H489" s="88" t="str">
        <f>IF('ERROR FINAL'!AT492="CONFORME","CONFORME","NO CONFORME")</f>
        <v>NO CONFORME</v>
      </c>
      <c r="I489" s="89" t="str">
        <f t="shared" si="7"/>
        <v>Medición</v>
      </c>
    </row>
    <row r="490" spans="1:9" x14ac:dyDescent="0.2">
      <c r="A490" s="82">
        <f>'ERROR FINAL'!A493</f>
        <v>485</v>
      </c>
      <c r="B490" s="83">
        <f>'ERROR FINAL'!D493</f>
        <v>6</v>
      </c>
      <c r="C490" s="84">
        <f>'ERROR FINAL'!G493</f>
        <v>0</v>
      </c>
      <c r="D490" s="85">
        <f>'ERROR FINAL'!I493</f>
        <v>0</v>
      </c>
      <c r="E490" s="86">
        <f>'ERROR FINAL'!U493</f>
        <v>-100</v>
      </c>
      <c r="F490" s="87">
        <f>'ERROR FINAL'!AG493</f>
        <v>-100</v>
      </c>
      <c r="G490" s="87">
        <f>'ERROR FINAL'!AS493</f>
        <v>-100</v>
      </c>
      <c r="H490" s="88" t="str">
        <f>IF('ERROR FINAL'!AT493="CONFORME","CONFORME","NO CONFORME")</f>
        <v>NO CONFORME</v>
      </c>
      <c r="I490" s="89" t="str">
        <f t="shared" si="7"/>
        <v>Medición</v>
      </c>
    </row>
    <row r="491" spans="1:9" x14ac:dyDescent="0.2">
      <c r="A491" s="82">
        <f>'ERROR FINAL'!A494</f>
        <v>486</v>
      </c>
      <c r="B491" s="83">
        <f>'ERROR FINAL'!D494</f>
        <v>6</v>
      </c>
      <c r="C491" s="84">
        <f>'ERROR FINAL'!G494</f>
        <v>0</v>
      </c>
      <c r="D491" s="85">
        <f>'ERROR FINAL'!I494</f>
        <v>0</v>
      </c>
      <c r="E491" s="86">
        <f>'ERROR FINAL'!U494</f>
        <v>-100</v>
      </c>
      <c r="F491" s="87">
        <f>'ERROR FINAL'!AG494</f>
        <v>-100</v>
      </c>
      <c r="G491" s="87">
        <f>'ERROR FINAL'!AS494</f>
        <v>-100</v>
      </c>
      <c r="H491" s="88" t="str">
        <f>IF('ERROR FINAL'!AT494="CONFORME","CONFORME","NO CONFORME")</f>
        <v>NO CONFORME</v>
      </c>
      <c r="I491" s="89" t="str">
        <f t="shared" si="7"/>
        <v>Medición</v>
      </c>
    </row>
    <row r="492" spans="1:9" x14ac:dyDescent="0.2">
      <c r="A492" s="82">
        <f>'ERROR FINAL'!A495</f>
        <v>487</v>
      </c>
      <c r="B492" s="83">
        <f>'ERROR FINAL'!D495</f>
        <v>6</v>
      </c>
      <c r="C492" s="84">
        <f>'ERROR FINAL'!G495</f>
        <v>0</v>
      </c>
      <c r="D492" s="85">
        <f>'ERROR FINAL'!I495</f>
        <v>0</v>
      </c>
      <c r="E492" s="86">
        <f>'ERROR FINAL'!U495</f>
        <v>-100</v>
      </c>
      <c r="F492" s="87">
        <f>'ERROR FINAL'!AG495</f>
        <v>-100</v>
      </c>
      <c r="G492" s="87">
        <f>'ERROR FINAL'!AS495</f>
        <v>-100</v>
      </c>
      <c r="H492" s="88" t="str">
        <f>IF('ERROR FINAL'!AT495="CONFORME","CONFORME","NO CONFORME")</f>
        <v>NO CONFORME</v>
      </c>
      <c r="I492" s="89" t="str">
        <f t="shared" si="7"/>
        <v>Medición</v>
      </c>
    </row>
    <row r="493" spans="1:9" x14ac:dyDescent="0.2">
      <c r="A493" s="82">
        <f>'ERROR FINAL'!A496</f>
        <v>488</v>
      </c>
      <c r="B493" s="83">
        <f>'ERROR FINAL'!D496</f>
        <v>6</v>
      </c>
      <c r="C493" s="84">
        <f>'ERROR FINAL'!G496</f>
        <v>0</v>
      </c>
      <c r="D493" s="85">
        <f>'ERROR FINAL'!I496</f>
        <v>0</v>
      </c>
      <c r="E493" s="86">
        <f>'ERROR FINAL'!U496</f>
        <v>-100</v>
      </c>
      <c r="F493" s="87">
        <f>'ERROR FINAL'!AG496</f>
        <v>-100</v>
      </c>
      <c r="G493" s="87">
        <f>'ERROR FINAL'!AS496</f>
        <v>-100</v>
      </c>
      <c r="H493" s="88" t="str">
        <f>IF('ERROR FINAL'!AT496="CONFORME","CONFORME","NO CONFORME")</f>
        <v>NO CONFORME</v>
      </c>
      <c r="I493" s="89" t="str">
        <f t="shared" si="7"/>
        <v>Medición</v>
      </c>
    </row>
    <row r="494" spans="1:9" x14ac:dyDescent="0.2">
      <c r="A494" s="82">
        <f>'ERROR FINAL'!A497</f>
        <v>489</v>
      </c>
      <c r="B494" s="83">
        <f>'ERROR FINAL'!D497</f>
        <v>6</v>
      </c>
      <c r="C494" s="84">
        <f>'ERROR FINAL'!G497</f>
        <v>0</v>
      </c>
      <c r="D494" s="85">
        <f>'ERROR FINAL'!I497</f>
        <v>0</v>
      </c>
      <c r="E494" s="86">
        <f>'ERROR FINAL'!U497</f>
        <v>-100</v>
      </c>
      <c r="F494" s="87">
        <f>'ERROR FINAL'!AG497</f>
        <v>-100</v>
      </c>
      <c r="G494" s="87">
        <f>'ERROR FINAL'!AS497</f>
        <v>-100</v>
      </c>
      <c r="H494" s="88" t="str">
        <f>IF('ERROR FINAL'!AT497="CONFORME","CONFORME","NO CONFORME")</f>
        <v>NO CONFORME</v>
      </c>
      <c r="I494" s="89" t="str">
        <f t="shared" si="7"/>
        <v>Medición</v>
      </c>
    </row>
    <row r="495" spans="1:9" x14ac:dyDescent="0.2">
      <c r="A495" s="82">
        <f>'ERROR FINAL'!A498</f>
        <v>490</v>
      </c>
      <c r="B495" s="83">
        <f>'ERROR FINAL'!D498</f>
        <v>6</v>
      </c>
      <c r="C495" s="84">
        <f>'ERROR FINAL'!G498</f>
        <v>0</v>
      </c>
      <c r="D495" s="85">
        <f>'ERROR FINAL'!I498</f>
        <v>0</v>
      </c>
      <c r="E495" s="86">
        <f>'ERROR FINAL'!U498</f>
        <v>-100</v>
      </c>
      <c r="F495" s="87">
        <f>'ERROR FINAL'!AG498</f>
        <v>-100</v>
      </c>
      <c r="G495" s="87">
        <f>'ERROR FINAL'!AS498</f>
        <v>-100</v>
      </c>
      <c r="H495" s="88" t="str">
        <f>IF('ERROR FINAL'!AT498="CONFORME","CONFORME","NO CONFORME")</f>
        <v>NO CONFORME</v>
      </c>
      <c r="I495" s="89" t="str">
        <f t="shared" si="7"/>
        <v>Medición</v>
      </c>
    </row>
    <row r="496" spans="1:9" x14ac:dyDescent="0.2">
      <c r="A496" s="82">
        <f>'ERROR FINAL'!A499</f>
        <v>491</v>
      </c>
      <c r="B496" s="83">
        <f>'ERROR FINAL'!D499</f>
        <v>6</v>
      </c>
      <c r="C496" s="84">
        <f>'ERROR FINAL'!G499</f>
        <v>0</v>
      </c>
      <c r="D496" s="85">
        <f>'ERROR FINAL'!I499</f>
        <v>0</v>
      </c>
      <c r="E496" s="86">
        <f>'ERROR FINAL'!U499</f>
        <v>-100</v>
      </c>
      <c r="F496" s="87">
        <f>'ERROR FINAL'!AG499</f>
        <v>-100</v>
      </c>
      <c r="G496" s="87">
        <f>'ERROR FINAL'!AS499</f>
        <v>-100</v>
      </c>
      <c r="H496" s="88" t="str">
        <f>IF('ERROR FINAL'!AT499="CONFORME","CONFORME","NO CONFORME")</f>
        <v>NO CONFORME</v>
      </c>
      <c r="I496" s="89" t="str">
        <f t="shared" si="7"/>
        <v>Medición</v>
      </c>
    </row>
    <row r="497" spans="1:9" x14ac:dyDescent="0.2">
      <c r="A497" s="82">
        <f>'ERROR FINAL'!A500</f>
        <v>492</v>
      </c>
      <c r="B497" s="83">
        <f>'ERROR FINAL'!D500</f>
        <v>6</v>
      </c>
      <c r="C497" s="84">
        <f>'ERROR FINAL'!G500</f>
        <v>0</v>
      </c>
      <c r="D497" s="85">
        <f>'ERROR FINAL'!I500</f>
        <v>0</v>
      </c>
      <c r="E497" s="86">
        <f>'ERROR FINAL'!U500</f>
        <v>-100</v>
      </c>
      <c r="F497" s="87">
        <f>'ERROR FINAL'!AG500</f>
        <v>-100</v>
      </c>
      <c r="G497" s="87">
        <f>'ERROR FINAL'!AS500</f>
        <v>-100</v>
      </c>
      <c r="H497" s="88" t="str">
        <f>IF('ERROR FINAL'!AT500="CONFORME","CONFORME","NO CONFORME")</f>
        <v>NO CONFORME</v>
      </c>
      <c r="I497" s="89" t="str">
        <f t="shared" si="7"/>
        <v>Medición</v>
      </c>
    </row>
    <row r="498" spans="1:9" x14ac:dyDescent="0.2">
      <c r="A498" s="82">
        <f>'ERROR FINAL'!A501</f>
        <v>493</v>
      </c>
      <c r="B498" s="83">
        <f>'ERROR FINAL'!D501</f>
        <v>6</v>
      </c>
      <c r="C498" s="84">
        <f>'ERROR FINAL'!G501</f>
        <v>0</v>
      </c>
      <c r="D498" s="85">
        <f>'ERROR FINAL'!I501</f>
        <v>0</v>
      </c>
      <c r="E498" s="86">
        <f>'ERROR FINAL'!U501</f>
        <v>-100</v>
      </c>
      <c r="F498" s="87">
        <f>'ERROR FINAL'!AG501</f>
        <v>-100</v>
      </c>
      <c r="G498" s="87">
        <f>'ERROR FINAL'!AS501</f>
        <v>-100</v>
      </c>
      <c r="H498" s="88" t="str">
        <f>IF('ERROR FINAL'!AT501="CONFORME","CONFORME","NO CONFORME")</f>
        <v>NO CONFORME</v>
      </c>
      <c r="I498" s="89" t="str">
        <f t="shared" si="7"/>
        <v>Medición</v>
      </c>
    </row>
    <row r="499" spans="1:9" x14ac:dyDescent="0.2">
      <c r="A499" s="82">
        <f>'ERROR FINAL'!A502</f>
        <v>494</v>
      </c>
      <c r="B499" s="83">
        <f>'ERROR FINAL'!D502</f>
        <v>6</v>
      </c>
      <c r="C499" s="84">
        <f>'ERROR FINAL'!G502</f>
        <v>0</v>
      </c>
      <c r="D499" s="85">
        <f>'ERROR FINAL'!I502</f>
        <v>0</v>
      </c>
      <c r="E499" s="86">
        <f>'ERROR FINAL'!U502</f>
        <v>-100</v>
      </c>
      <c r="F499" s="87">
        <f>'ERROR FINAL'!AG502</f>
        <v>-100</v>
      </c>
      <c r="G499" s="87">
        <f>'ERROR FINAL'!AS502</f>
        <v>-100</v>
      </c>
      <c r="H499" s="88" t="str">
        <f>IF('ERROR FINAL'!AT502="CONFORME","CONFORME","NO CONFORME")</f>
        <v>NO CONFORME</v>
      </c>
      <c r="I499" s="89" t="str">
        <f t="shared" si="7"/>
        <v>Medición</v>
      </c>
    </row>
    <row r="500" spans="1:9" x14ac:dyDescent="0.2">
      <c r="A500" s="82">
        <f>'ERROR FINAL'!A503</f>
        <v>495</v>
      </c>
      <c r="B500" s="83">
        <f>'ERROR FINAL'!D503</f>
        <v>6</v>
      </c>
      <c r="C500" s="84">
        <f>'ERROR FINAL'!G503</f>
        <v>0</v>
      </c>
      <c r="D500" s="85">
        <f>'ERROR FINAL'!I503</f>
        <v>0</v>
      </c>
      <c r="E500" s="86">
        <f>'ERROR FINAL'!U503</f>
        <v>-100</v>
      </c>
      <c r="F500" s="87">
        <f>'ERROR FINAL'!AG503</f>
        <v>-100</v>
      </c>
      <c r="G500" s="87">
        <f>'ERROR FINAL'!AS503</f>
        <v>-100</v>
      </c>
      <c r="H500" s="88" t="str">
        <f>IF('ERROR FINAL'!AT503="CONFORME","CONFORME","NO CONFORME")</f>
        <v>NO CONFORME</v>
      </c>
      <c r="I500" s="89" t="str">
        <f t="shared" si="7"/>
        <v>Medición</v>
      </c>
    </row>
    <row r="501" spans="1:9" x14ac:dyDescent="0.2">
      <c r="A501" s="82">
        <f>'ERROR FINAL'!A504</f>
        <v>496</v>
      </c>
      <c r="B501" s="83">
        <f>'ERROR FINAL'!D504</f>
        <v>6</v>
      </c>
      <c r="C501" s="84">
        <f>'ERROR FINAL'!G504</f>
        <v>0</v>
      </c>
      <c r="D501" s="85">
        <f>'ERROR FINAL'!I504</f>
        <v>0</v>
      </c>
      <c r="E501" s="86">
        <f>'ERROR FINAL'!U504</f>
        <v>-100</v>
      </c>
      <c r="F501" s="87">
        <f>'ERROR FINAL'!AG504</f>
        <v>-100</v>
      </c>
      <c r="G501" s="87">
        <f>'ERROR FINAL'!AS504</f>
        <v>-100</v>
      </c>
      <c r="H501" s="88" t="str">
        <f>IF('ERROR FINAL'!AT504="CONFORME","CONFORME","NO CONFORME")</f>
        <v>NO CONFORME</v>
      </c>
      <c r="I501" s="89" t="str">
        <f t="shared" si="7"/>
        <v>Medición</v>
      </c>
    </row>
    <row r="502" spans="1:9" x14ac:dyDescent="0.2">
      <c r="A502" s="82">
        <f>'ERROR FINAL'!A505</f>
        <v>497</v>
      </c>
      <c r="B502" s="83">
        <f>'ERROR FINAL'!D505</f>
        <v>6</v>
      </c>
      <c r="C502" s="84">
        <f>'ERROR FINAL'!G505</f>
        <v>0</v>
      </c>
      <c r="D502" s="85">
        <f>'ERROR FINAL'!I505</f>
        <v>0</v>
      </c>
      <c r="E502" s="86">
        <f>'ERROR FINAL'!U505</f>
        <v>-100</v>
      </c>
      <c r="F502" s="87">
        <f>'ERROR FINAL'!AG505</f>
        <v>-100</v>
      </c>
      <c r="G502" s="87">
        <f>'ERROR FINAL'!AS505</f>
        <v>-100</v>
      </c>
      <c r="H502" s="88" t="str">
        <f>IF('ERROR FINAL'!AT505="CONFORME","CONFORME","NO CONFORME")</f>
        <v>NO CONFORME</v>
      </c>
      <c r="I502" s="89" t="str">
        <f t="shared" si="7"/>
        <v>Medición</v>
      </c>
    </row>
    <row r="503" spans="1:9" x14ac:dyDescent="0.2">
      <c r="A503" s="82">
        <f>'ERROR FINAL'!A506</f>
        <v>498</v>
      </c>
      <c r="B503" s="83">
        <f>'ERROR FINAL'!D506</f>
        <v>6</v>
      </c>
      <c r="C503" s="84">
        <f>'ERROR FINAL'!G506</f>
        <v>0</v>
      </c>
      <c r="D503" s="85">
        <f>'ERROR FINAL'!I506</f>
        <v>0</v>
      </c>
      <c r="E503" s="86">
        <f>'ERROR FINAL'!U506</f>
        <v>-100</v>
      </c>
      <c r="F503" s="87">
        <f>'ERROR FINAL'!AG506</f>
        <v>-100</v>
      </c>
      <c r="G503" s="87">
        <f>'ERROR FINAL'!AS506</f>
        <v>-100</v>
      </c>
      <c r="H503" s="88" t="str">
        <f>IF('ERROR FINAL'!AT506="CONFORME","CONFORME","NO CONFORME")</f>
        <v>NO CONFORME</v>
      </c>
      <c r="I503" s="89" t="str">
        <f t="shared" si="7"/>
        <v>Medición</v>
      </c>
    </row>
    <row r="504" spans="1:9" x14ac:dyDescent="0.2">
      <c r="A504" s="82">
        <f>'ERROR FINAL'!A507</f>
        <v>499</v>
      </c>
      <c r="B504" s="83">
        <f>'ERROR FINAL'!D507</f>
        <v>6</v>
      </c>
      <c r="C504" s="84">
        <f>'ERROR FINAL'!G507</f>
        <v>0</v>
      </c>
      <c r="D504" s="85">
        <f>'ERROR FINAL'!I507</f>
        <v>0</v>
      </c>
      <c r="E504" s="86">
        <f>'ERROR FINAL'!U507</f>
        <v>-100</v>
      </c>
      <c r="F504" s="87">
        <f>'ERROR FINAL'!AG507</f>
        <v>-100</v>
      </c>
      <c r="G504" s="87">
        <f>'ERROR FINAL'!AS507</f>
        <v>-100</v>
      </c>
      <c r="H504" s="88" t="str">
        <f>IF('ERROR FINAL'!AT507="CONFORME","CONFORME","NO CONFORME")</f>
        <v>NO CONFORME</v>
      </c>
      <c r="I504" s="89" t="str">
        <f t="shared" si="7"/>
        <v>Medición</v>
      </c>
    </row>
    <row r="505" spans="1:9" x14ac:dyDescent="0.2">
      <c r="A505" s="82">
        <f>'ERROR FINAL'!A508</f>
        <v>500</v>
      </c>
      <c r="B505" s="83">
        <f>'ERROR FINAL'!D508</f>
        <v>6</v>
      </c>
      <c r="C505" s="84">
        <f>'ERROR FINAL'!G508</f>
        <v>0</v>
      </c>
      <c r="D505" s="85">
        <f>'ERROR FINAL'!I508</f>
        <v>0</v>
      </c>
      <c r="E505" s="86">
        <f>'ERROR FINAL'!U508</f>
        <v>-100</v>
      </c>
      <c r="F505" s="87">
        <f>'ERROR FINAL'!AG508</f>
        <v>-100</v>
      </c>
      <c r="G505" s="87">
        <f>'ERROR FINAL'!AS508</f>
        <v>-100</v>
      </c>
      <c r="H505" s="88" t="str">
        <f>IF('ERROR FINAL'!AT508="CONFORME","CONFORME","NO CONFORME")</f>
        <v>NO CONFORME</v>
      </c>
      <c r="I505" s="89" t="str">
        <f t="shared" si="7"/>
        <v>Medición</v>
      </c>
    </row>
    <row r="506" spans="1:9" x14ac:dyDescent="0.2">
      <c r="A506" s="82">
        <f>'ERROR FINAL'!A509</f>
        <v>501</v>
      </c>
      <c r="B506" s="83">
        <f>'ERROR FINAL'!D509</f>
        <v>6</v>
      </c>
      <c r="C506" s="84">
        <f>'ERROR FINAL'!G509</f>
        <v>0</v>
      </c>
      <c r="D506" s="85">
        <f>'ERROR FINAL'!I509</f>
        <v>0</v>
      </c>
      <c r="E506" s="86">
        <f>'ERROR FINAL'!U509</f>
        <v>-100</v>
      </c>
      <c r="F506" s="87">
        <f>'ERROR FINAL'!AG509</f>
        <v>-100</v>
      </c>
      <c r="G506" s="87">
        <f>'ERROR FINAL'!AS509</f>
        <v>-100</v>
      </c>
      <c r="H506" s="88" t="str">
        <f>IF('ERROR FINAL'!AT509="CONFORME","CONFORME","NO CONFORME")</f>
        <v>NO CONFORME</v>
      </c>
      <c r="I506" s="89" t="str">
        <f t="shared" si="7"/>
        <v>Medición</v>
      </c>
    </row>
    <row r="507" spans="1:9" x14ac:dyDescent="0.2">
      <c r="A507" s="82">
        <f>'ERROR FINAL'!A510</f>
        <v>502</v>
      </c>
      <c r="B507" s="83">
        <f>'ERROR FINAL'!D510</f>
        <v>6</v>
      </c>
      <c r="C507" s="84">
        <f>'ERROR FINAL'!G510</f>
        <v>0</v>
      </c>
      <c r="D507" s="85">
        <f>'ERROR FINAL'!I510</f>
        <v>0</v>
      </c>
      <c r="E507" s="86">
        <f>'ERROR FINAL'!U510</f>
        <v>-100</v>
      </c>
      <c r="F507" s="87">
        <f>'ERROR FINAL'!AG510</f>
        <v>-100</v>
      </c>
      <c r="G507" s="87">
        <f>'ERROR FINAL'!AS510</f>
        <v>-100</v>
      </c>
      <c r="H507" s="88" t="str">
        <f>IF('ERROR FINAL'!AT510="CONFORME","CONFORME","NO CONFORME")</f>
        <v>NO CONFORME</v>
      </c>
      <c r="I507" s="89" t="str">
        <f t="shared" si="7"/>
        <v>Medición</v>
      </c>
    </row>
    <row r="508" spans="1:9" x14ac:dyDescent="0.2">
      <c r="A508" s="82">
        <f>'ERROR FINAL'!A511</f>
        <v>503</v>
      </c>
      <c r="B508" s="83">
        <f>'ERROR FINAL'!D511</f>
        <v>6</v>
      </c>
      <c r="C508" s="84">
        <f>'ERROR FINAL'!G511</f>
        <v>0</v>
      </c>
      <c r="D508" s="85">
        <f>'ERROR FINAL'!I511</f>
        <v>0</v>
      </c>
      <c r="E508" s="86">
        <f>'ERROR FINAL'!U511</f>
        <v>-100</v>
      </c>
      <c r="F508" s="87">
        <f>'ERROR FINAL'!AG511</f>
        <v>-100</v>
      </c>
      <c r="G508" s="87">
        <f>'ERROR FINAL'!AS511</f>
        <v>-100</v>
      </c>
      <c r="H508" s="88" t="str">
        <f>IF('ERROR FINAL'!AT511="CONFORME","CONFORME","NO CONFORME")</f>
        <v>NO CONFORME</v>
      </c>
      <c r="I508" s="89" t="str">
        <f t="shared" si="7"/>
        <v>Medición</v>
      </c>
    </row>
    <row r="509" spans="1:9" x14ac:dyDescent="0.2">
      <c r="A509" s="82">
        <f>'ERROR FINAL'!A512</f>
        <v>504</v>
      </c>
      <c r="B509" s="83">
        <f>'ERROR FINAL'!D512</f>
        <v>6</v>
      </c>
      <c r="C509" s="84">
        <f>'ERROR FINAL'!G512</f>
        <v>0</v>
      </c>
      <c r="D509" s="85">
        <f>'ERROR FINAL'!I512</f>
        <v>0</v>
      </c>
      <c r="E509" s="86">
        <f>'ERROR FINAL'!U512</f>
        <v>-100</v>
      </c>
      <c r="F509" s="87">
        <f>'ERROR FINAL'!AG512</f>
        <v>-100</v>
      </c>
      <c r="G509" s="87">
        <f>'ERROR FINAL'!AS512</f>
        <v>-100</v>
      </c>
      <c r="H509" s="88" t="str">
        <f>IF('ERROR FINAL'!AT512="CONFORME","CONFORME","NO CONFORME")</f>
        <v>NO CONFORME</v>
      </c>
      <c r="I509" s="89" t="str">
        <f t="shared" si="7"/>
        <v>Medición</v>
      </c>
    </row>
    <row r="510" spans="1:9" x14ac:dyDescent="0.2">
      <c r="A510" s="82">
        <f>'ERROR FINAL'!A513</f>
        <v>505</v>
      </c>
      <c r="B510" s="83">
        <f>'ERROR FINAL'!D513</f>
        <v>6</v>
      </c>
      <c r="C510" s="84">
        <f>'ERROR FINAL'!G513</f>
        <v>0</v>
      </c>
      <c r="D510" s="85">
        <f>'ERROR FINAL'!I513</f>
        <v>0</v>
      </c>
      <c r="E510" s="86">
        <f>'ERROR FINAL'!U513</f>
        <v>-100</v>
      </c>
      <c r="F510" s="87">
        <f>'ERROR FINAL'!AG513</f>
        <v>-100</v>
      </c>
      <c r="G510" s="87">
        <f>'ERROR FINAL'!AS513</f>
        <v>-100</v>
      </c>
      <c r="H510" s="88" t="str">
        <f>IF('ERROR FINAL'!AT513="CONFORME","CONFORME","NO CONFORME")</f>
        <v>NO CONFORME</v>
      </c>
      <c r="I510" s="89" t="str">
        <f t="shared" si="7"/>
        <v>Medición</v>
      </c>
    </row>
    <row r="511" spans="1:9" x14ac:dyDescent="0.2">
      <c r="A511" s="82">
        <f>'ERROR FINAL'!A514</f>
        <v>506</v>
      </c>
      <c r="B511" s="83">
        <f>'ERROR FINAL'!D514</f>
        <v>6</v>
      </c>
      <c r="C511" s="84">
        <f>'ERROR FINAL'!G514</f>
        <v>0</v>
      </c>
      <c r="D511" s="85">
        <f>'ERROR FINAL'!I514</f>
        <v>0</v>
      </c>
      <c r="E511" s="86">
        <f>'ERROR FINAL'!U514</f>
        <v>-100</v>
      </c>
      <c r="F511" s="87">
        <f>'ERROR FINAL'!AG514</f>
        <v>-100</v>
      </c>
      <c r="G511" s="87">
        <f>'ERROR FINAL'!AS514</f>
        <v>-100</v>
      </c>
      <c r="H511" s="88" t="str">
        <f>IF('ERROR FINAL'!AT514="CONFORME","CONFORME","NO CONFORME")</f>
        <v>NO CONFORME</v>
      </c>
      <c r="I511" s="89" t="str">
        <f t="shared" si="7"/>
        <v>Medición</v>
      </c>
    </row>
    <row r="512" spans="1:9" x14ac:dyDescent="0.2">
      <c r="A512" s="82">
        <f>'ERROR FINAL'!A515</f>
        <v>507</v>
      </c>
      <c r="B512" s="83">
        <f>'ERROR FINAL'!D515</f>
        <v>6</v>
      </c>
      <c r="C512" s="84">
        <f>'ERROR FINAL'!G515</f>
        <v>0</v>
      </c>
      <c r="D512" s="85">
        <f>'ERROR FINAL'!I515</f>
        <v>0</v>
      </c>
      <c r="E512" s="86">
        <f>'ERROR FINAL'!U515</f>
        <v>-100</v>
      </c>
      <c r="F512" s="87">
        <f>'ERROR FINAL'!AG515</f>
        <v>-100</v>
      </c>
      <c r="G512" s="87">
        <f>'ERROR FINAL'!AS515</f>
        <v>-100</v>
      </c>
      <c r="H512" s="88" t="str">
        <f>IF('ERROR FINAL'!AT515="CONFORME","CONFORME","NO CONFORME")</f>
        <v>NO CONFORME</v>
      </c>
      <c r="I512" s="89" t="str">
        <f t="shared" si="7"/>
        <v>Medición</v>
      </c>
    </row>
    <row r="513" spans="1:9" x14ac:dyDescent="0.2">
      <c r="A513" s="82">
        <f>'ERROR FINAL'!A516</f>
        <v>508</v>
      </c>
      <c r="B513" s="83">
        <f>'ERROR FINAL'!D516</f>
        <v>6</v>
      </c>
      <c r="C513" s="84">
        <f>'ERROR FINAL'!G516</f>
        <v>0</v>
      </c>
      <c r="D513" s="85">
        <f>'ERROR FINAL'!I516</f>
        <v>0</v>
      </c>
      <c r="E513" s="86">
        <f>'ERROR FINAL'!U516</f>
        <v>-100</v>
      </c>
      <c r="F513" s="87">
        <f>'ERROR FINAL'!AG516</f>
        <v>-100</v>
      </c>
      <c r="G513" s="87">
        <f>'ERROR FINAL'!AS516</f>
        <v>-100</v>
      </c>
      <c r="H513" s="88" t="str">
        <f>IF('ERROR FINAL'!AT516="CONFORME","CONFORME","NO CONFORME")</f>
        <v>NO CONFORME</v>
      </c>
      <c r="I513" s="89" t="str">
        <f t="shared" si="7"/>
        <v>Medición</v>
      </c>
    </row>
    <row r="514" spans="1:9" x14ac:dyDescent="0.2">
      <c r="A514" s="82">
        <f>'ERROR FINAL'!A517</f>
        <v>509</v>
      </c>
      <c r="B514" s="83">
        <f>'ERROR FINAL'!D517</f>
        <v>6</v>
      </c>
      <c r="C514" s="84">
        <f>'ERROR FINAL'!G517</f>
        <v>0</v>
      </c>
      <c r="D514" s="85">
        <f>'ERROR FINAL'!I517</f>
        <v>0</v>
      </c>
      <c r="E514" s="86">
        <f>'ERROR FINAL'!U517</f>
        <v>-100</v>
      </c>
      <c r="F514" s="87">
        <f>'ERROR FINAL'!AG517</f>
        <v>-100</v>
      </c>
      <c r="G514" s="87">
        <f>'ERROR FINAL'!AS517</f>
        <v>-100</v>
      </c>
      <c r="H514" s="88" t="str">
        <f>IF('ERROR FINAL'!AT517="CONFORME","CONFORME","NO CONFORME")</f>
        <v>NO CONFORME</v>
      </c>
      <c r="I514" s="89" t="str">
        <f t="shared" si="7"/>
        <v>Medición</v>
      </c>
    </row>
    <row r="515" spans="1:9" x14ac:dyDescent="0.2">
      <c r="A515" s="82">
        <f>'ERROR FINAL'!A518</f>
        <v>510</v>
      </c>
      <c r="B515" s="83">
        <f>'ERROR FINAL'!D518</f>
        <v>6</v>
      </c>
      <c r="C515" s="84">
        <f>'ERROR FINAL'!G518</f>
        <v>0</v>
      </c>
      <c r="D515" s="85">
        <f>'ERROR FINAL'!I518</f>
        <v>0</v>
      </c>
      <c r="E515" s="86">
        <f>'ERROR FINAL'!U518</f>
        <v>-100</v>
      </c>
      <c r="F515" s="87">
        <f>'ERROR FINAL'!AG518</f>
        <v>-100</v>
      </c>
      <c r="G515" s="87">
        <f>'ERROR FINAL'!AS518</f>
        <v>-100</v>
      </c>
      <c r="H515" s="88" t="str">
        <f>IF('ERROR FINAL'!AT518="CONFORME","CONFORME","NO CONFORME")</f>
        <v>NO CONFORME</v>
      </c>
      <c r="I515" s="89" t="str">
        <f t="shared" si="7"/>
        <v>Medición</v>
      </c>
    </row>
    <row r="516" spans="1:9" x14ac:dyDescent="0.2">
      <c r="A516" s="82">
        <f>'ERROR FINAL'!A519</f>
        <v>511</v>
      </c>
      <c r="B516" s="83">
        <f>'ERROR FINAL'!D519</f>
        <v>6</v>
      </c>
      <c r="C516" s="84">
        <f>'ERROR FINAL'!G519</f>
        <v>0</v>
      </c>
      <c r="D516" s="85">
        <f>'ERROR FINAL'!I519</f>
        <v>0</v>
      </c>
      <c r="E516" s="86">
        <f>'ERROR FINAL'!U519</f>
        <v>-100</v>
      </c>
      <c r="F516" s="87">
        <f>'ERROR FINAL'!AG519</f>
        <v>-100</v>
      </c>
      <c r="G516" s="87">
        <f>'ERROR FINAL'!AS519</f>
        <v>-100</v>
      </c>
      <c r="H516" s="88" t="str">
        <f>IF('ERROR FINAL'!AT519="CONFORME","CONFORME","NO CONFORME")</f>
        <v>NO CONFORME</v>
      </c>
      <c r="I516" s="89" t="str">
        <f t="shared" si="7"/>
        <v>Medición</v>
      </c>
    </row>
    <row r="517" spans="1:9" x14ac:dyDescent="0.2">
      <c r="A517" s="82">
        <f>'ERROR FINAL'!A520</f>
        <v>512</v>
      </c>
      <c r="B517" s="83">
        <f>'ERROR FINAL'!D520</f>
        <v>6</v>
      </c>
      <c r="C517" s="84">
        <f>'ERROR FINAL'!G520</f>
        <v>0</v>
      </c>
      <c r="D517" s="85">
        <f>'ERROR FINAL'!I520</f>
        <v>0</v>
      </c>
      <c r="E517" s="86">
        <f>'ERROR FINAL'!U520</f>
        <v>-100</v>
      </c>
      <c r="F517" s="87">
        <f>'ERROR FINAL'!AG520</f>
        <v>-100</v>
      </c>
      <c r="G517" s="87">
        <f>'ERROR FINAL'!AS520</f>
        <v>-100</v>
      </c>
      <c r="H517" s="88" t="str">
        <f>IF('ERROR FINAL'!AT520="CONFORME","CONFORME","NO CONFORME")</f>
        <v>NO CONFORME</v>
      </c>
      <c r="I517" s="89" t="str">
        <f t="shared" si="7"/>
        <v>Medición</v>
      </c>
    </row>
    <row r="518" spans="1:9" x14ac:dyDescent="0.2">
      <c r="A518" s="82">
        <f>'ERROR FINAL'!A521</f>
        <v>513</v>
      </c>
      <c r="B518" s="83">
        <f>'ERROR FINAL'!D521</f>
        <v>6</v>
      </c>
      <c r="C518" s="84">
        <f>'ERROR FINAL'!G521</f>
        <v>0</v>
      </c>
      <c r="D518" s="85">
        <f>'ERROR FINAL'!I521</f>
        <v>0</v>
      </c>
      <c r="E518" s="86">
        <f>'ERROR FINAL'!U521</f>
        <v>-100</v>
      </c>
      <c r="F518" s="87">
        <f>'ERROR FINAL'!AG521</f>
        <v>-100</v>
      </c>
      <c r="G518" s="87">
        <f>'ERROR FINAL'!AS521</f>
        <v>-100</v>
      </c>
      <c r="H518" s="88" t="str">
        <f>IF('ERROR FINAL'!AT521="CONFORME","CONFORME","NO CONFORME")</f>
        <v>NO CONFORME</v>
      </c>
      <c r="I518" s="89" t="str">
        <f t="shared" si="7"/>
        <v>Medición</v>
      </c>
    </row>
    <row r="519" spans="1:9" x14ac:dyDescent="0.2">
      <c r="A519" s="82">
        <f>'ERROR FINAL'!A522</f>
        <v>514</v>
      </c>
      <c r="B519" s="83">
        <f>'ERROR FINAL'!D522</f>
        <v>6</v>
      </c>
      <c r="C519" s="84">
        <f>'ERROR FINAL'!G522</f>
        <v>0</v>
      </c>
      <c r="D519" s="85">
        <f>'ERROR FINAL'!I522</f>
        <v>0</v>
      </c>
      <c r="E519" s="86">
        <f>'ERROR FINAL'!U522</f>
        <v>-100</v>
      </c>
      <c r="F519" s="87">
        <f>'ERROR FINAL'!AG522</f>
        <v>-100</v>
      </c>
      <c r="G519" s="87">
        <f>'ERROR FINAL'!AS522</f>
        <v>-100</v>
      </c>
      <c r="H519" s="88" t="str">
        <f>IF('ERROR FINAL'!AT522="CONFORME","CONFORME","NO CONFORME")</f>
        <v>NO CONFORME</v>
      </c>
      <c r="I519" s="89" t="str">
        <f t="shared" ref="I519:I582" si="8">IF(D519=0,"Medición",IF(D519=1,"Daño físico",IF(D519=2,"Fuga",IF(D519=3,"Picado",IF(D519=4,"Desfasado",IF(D519=5,"Paralizado","¿?"))))))</f>
        <v>Medición</v>
      </c>
    </row>
    <row r="520" spans="1:9" x14ac:dyDescent="0.2">
      <c r="A520" s="82">
        <f>'ERROR FINAL'!A523</f>
        <v>515</v>
      </c>
      <c r="B520" s="83">
        <f>'ERROR FINAL'!D523</f>
        <v>6</v>
      </c>
      <c r="C520" s="84">
        <f>'ERROR FINAL'!G523</f>
        <v>0</v>
      </c>
      <c r="D520" s="85">
        <f>'ERROR FINAL'!I523</f>
        <v>0</v>
      </c>
      <c r="E520" s="86">
        <f>'ERROR FINAL'!U523</f>
        <v>-100</v>
      </c>
      <c r="F520" s="87">
        <f>'ERROR FINAL'!AG523</f>
        <v>-100</v>
      </c>
      <c r="G520" s="87">
        <f>'ERROR FINAL'!AS523</f>
        <v>-100</v>
      </c>
      <c r="H520" s="88" t="str">
        <f>IF('ERROR FINAL'!AT523="CONFORME","CONFORME","NO CONFORME")</f>
        <v>NO CONFORME</v>
      </c>
      <c r="I520" s="89" t="str">
        <f t="shared" si="8"/>
        <v>Medición</v>
      </c>
    </row>
    <row r="521" spans="1:9" x14ac:dyDescent="0.2">
      <c r="A521" s="82">
        <f>'ERROR FINAL'!A524</f>
        <v>516</v>
      </c>
      <c r="B521" s="83">
        <f>'ERROR FINAL'!D524</f>
        <v>6</v>
      </c>
      <c r="C521" s="84">
        <f>'ERROR FINAL'!G524</f>
        <v>0</v>
      </c>
      <c r="D521" s="85">
        <f>'ERROR FINAL'!I524</f>
        <v>0</v>
      </c>
      <c r="E521" s="86">
        <f>'ERROR FINAL'!U524</f>
        <v>-100</v>
      </c>
      <c r="F521" s="87">
        <f>'ERROR FINAL'!AG524</f>
        <v>-100</v>
      </c>
      <c r="G521" s="87">
        <f>'ERROR FINAL'!AS524</f>
        <v>-100</v>
      </c>
      <c r="H521" s="88" t="str">
        <f>IF('ERROR FINAL'!AT524="CONFORME","CONFORME","NO CONFORME")</f>
        <v>NO CONFORME</v>
      </c>
      <c r="I521" s="89" t="str">
        <f t="shared" si="8"/>
        <v>Medición</v>
      </c>
    </row>
    <row r="522" spans="1:9" x14ac:dyDescent="0.2">
      <c r="A522" s="82">
        <f>'ERROR FINAL'!A525</f>
        <v>517</v>
      </c>
      <c r="B522" s="83">
        <f>'ERROR FINAL'!D525</f>
        <v>6</v>
      </c>
      <c r="C522" s="84">
        <f>'ERROR FINAL'!G525</f>
        <v>0</v>
      </c>
      <c r="D522" s="85">
        <f>'ERROR FINAL'!I525</f>
        <v>0</v>
      </c>
      <c r="E522" s="86">
        <f>'ERROR FINAL'!U525</f>
        <v>-100</v>
      </c>
      <c r="F522" s="87">
        <f>'ERROR FINAL'!AG525</f>
        <v>-100</v>
      </c>
      <c r="G522" s="87">
        <f>'ERROR FINAL'!AS525</f>
        <v>-100</v>
      </c>
      <c r="H522" s="88" t="str">
        <f>IF('ERROR FINAL'!AT525="CONFORME","CONFORME","NO CONFORME")</f>
        <v>NO CONFORME</v>
      </c>
      <c r="I522" s="89" t="str">
        <f t="shared" si="8"/>
        <v>Medición</v>
      </c>
    </row>
    <row r="523" spans="1:9" x14ac:dyDescent="0.2">
      <c r="A523" s="82">
        <f>'ERROR FINAL'!A526</f>
        <v>518</v>
      </c>
      <c r="B523" s="83">
        <f>'ERROR FINAL'!D526</f>
        <v>6</v>
      </c>
      <c r="C523" s="84">
        <f>'ERROR FINAL'!G526</f>
        <v>0</v>
      </c>
      <c r="D523" s="85">
        <f>'ERROR FINAL'!I526</f>
        <v>0</v>
      </c>
      <c r="E523" s="86">
        <f>'ERROR FINAL'!U526</f>
        <v>-100</v>
      </c>
      <c r="F523" s="87">
        <f>'ERROR FINAL'!AG526</f>
        <v>-100</v>
      </c>
      <c r="G523" s="87">
        <f>'ERROR FINAL'!AS526</f>
        <v>-100</v>
      </c>
      <c r="H523" s="88" t="str">
        <f>IF('ERROR FINAL'!AT526="CONFORME","CONFORME","NO CONFORME")</f>
        <v>NO CONFORME</v>
      </c>
      <c r="I523" s="89" t="str">
        <f t="shared" si="8"/>
        <v>Medición</v>
      </c>
    </row>
    <row r="524" spans="1:9" x14ac:dyDescent="0.2">
      <c r="A524" s="82">
        <f>'ERROR FINAL'!A527</f>
        <v>519</v>
      </c>
      <c r="B524" s="83">
        <f>'ERROR FINAL'!D527</f>
        <v>6</v>
      </c>
      <c r="C524" s="84">
        <f>'ERROR FINAL'!G527</f>
        <v>0</v>
      </c>
      <c r="D524" s="85">
        <f>'ERROR FINAL'!I527</f>
        <v>0</v>
      </c>
      <c r="E524" s="86">
        <f>'ERROR FINAL'!U527</f>
        <v>-100</v>
      </c>
      <c r="F524" s="87">
        <f>'ERROR FINAL'!AG527</f>
        <v>-100</v>
      </c>
      <c r="G524" s="87">
        <f>'ERROR FINAL'!AS527</f>
        <v>-100</v>
      </c>
      <c r="H524" s="88" t="str">
        <f>IF('ERROR FINAL'!AT527="CONFORME","CONFORME","NO CONFORME")</f>
        <v>NO CONFORME</v>
      </c>
      <c r="I524" s="89" t="str">
        <f t="shared" si="8"/>
        <v>Medición</v>
      </c>
    </row>
    <row r="525" spans="1:9" x14ac:dyDescent="0.2">
      <c r="A525" s="82">
        <f>'ERROR FINAL'!A528</f>
        <v>520</v>
      </c>
      <c r="B525" s="83">
        <f>'ERROR FINAL'!D528</f>
        <v>6</v>
      </c>
      <c r="C525" s="84">
        <f>'ERROR FINAL'!G528</f>
        <v>0</v>
      </c>
      <c r="D525" s="85">
        <f>'ERROR FINAL'!I528</f>
        <v>0</v>
      </c>
      <c r="E525" s="86">
        <f>'ERROR FINAL'!U528</f>
        <v>-100</v>
      </c>
      <c r="F525" s="87">
        <f>'ERROR FINAL'!AG528</f>
        <v>-100</v>
      </c>
      <c r="G525" s="87">
        <f>'ERROR FINAL'!AS528</f>
        <v>-100</v>
      </c>
      <c r="H525" s="88" t="str">
        <f>IF('ERROR FINAL'!AT528="CONFORME","CONFORME","NO CONFORME")</f>
        <v>NO CONFORME</v>
      </c>
      <c r="I525" s="89" t="str">
        <f t="shared" si="8"/>
        <v>Medición</v>
      </c>
    </row>
    <row r="526" spans="1:9" x14ac:dyDescent="0.2">
      <c r="A526" s="82">
        <f>'ERROR FINAL'!A529</f>
        <v>521</v>
      </c>
      <c r="B526" s="83">
        <f>'ERROR FINAL'!D529</f>
        <v>6</v>
      </c>
      <c r="C526" s="84">
        <f>'ERROR FINAL'!G529</f>
        <v>0</v>
      </c>
      <c r="D526" s="85">
        <f>'ERROR FINAL'!I529</f>
        <v>0</v>
      </c>
      <c r="E526" s="86">
        <f>'ERROR FINAL'!U529</f>
        <v>-100</v>
      </c>
      <c r="F526" s="87">
        <f>'ERROR FINAL'!AG529</f>
        <v>-100</v>
      </c>
      <c r="G526" s="87">
        <f>'ERROR FINAL'!AS529</f>
        <v>-100</v>
      </c>
      <c r="H526" s="88" t="str">
        <f>IF('ERROR FINAL'!AT529="CONFORME","CONFORME","NO CONFORME")</f>
        <v>NO CONFORME</v>
      </c>
      <c r="I526" s="89" t="str">
        <f t="shared" si="8"/>
        <v>Medición</v>
      </c>
    </row>
    <row r="527" spans="1:9" x14ac:dyDescent="0.2">
      <c r="A527" s="82">
        <f>'ERROR FINAL'!A530</f>
        <v>522</v>
      </c>
      <c r="B527" s="83">
        <f>'ERROR FINAL'!D530</f>
        <v>6</v>
      </c>
      <c r="C527" s="84">
        <f>'ERROR FINAL'!G530</f>
        <v>0</v>
      </c>
      <c r="D527" s="85">
        <f>'ERROR FINAL'!I530</f>
        <v>0</v>
      </c>
      <c r="E527" s="86">
        <f>'ERROR FINAL'!U530</f>
        <v>-100</v>
      </c>
      <c r="F527" s="87">
        <f>'ERROR FINAL'!AG530</f>
        <v>-100</v>
      </c>
      <c r="G527" s="87">
        <f>'ERROR FINAL'!AS530</f>
        <v>-100</v>
      </c>
      <c r="H527" s="88" t="str">
        <f>IF('ERROR FINAL'!AT530="CONFORME","CONFORME","NO CONFORME")</f>
        <v>NO CONFORME</v>
      </c>
      <c r="I527" s="89" t="str">
        <f t="shared" si="8"/>
        <v>Medición</v>
      </c>
    </row>
    <row r="528" spans="1:9" x14ac:dyDescent="0.2">
      <c r="A528" s="82">
        <f>'ERROR FINAL'!A531</f>
        <v>523</v>
      </c>
      <c r="B528" s="83">
        <f>'ERROR FINAL'!D531</f>
        <v>6</v>
      </c>
      <c r="C528" s="84">
        <f>'ERROR FINAL'!G531</f>
        <v>0</v>
      </c>
      <c r="D528" s="85">
        <f>'ERROR FINAL'!I531</f>
        <v>0</v>
      </c>
      <c r="E528" s="86">
        <f>'ERROR FINAL'!U531</f>
        <v>-100</v>
      </c>
      <c r="F528" s="87">
        <f>'ERROR FINAL'!AG531</f>
        <v>-100</v>
      </c>
      <c r="G528" s="87">
        <f>'ERROR FINAL'!AS531</f>
        <v>-100</v>
      </c>
      <c r="H528" s="88" t="str">
        <f>IF('ERROR FINAL'!AT531="CONFORME","CONFORME","NO CONFORME")</f>
        <v>NO CONFORME</v>
      </c>
      <c r="I528" s="89" t="str">
        <f t="shared" si="8"/>
        <v>Medición</v>
      </c>
    </row>
    <row r="529" spans="1:9" x14ac:dyDescent="0.2">
      <c r="A529" s="82">
        <f>'ERROR FINAL'!A532</f>
        <v>524</v>
      </c>
      <c r="B529" s="83">
        <f>'ERROR FINAL'!D532</f>
        <v>6</v>
      </c>
      <c r="C529" s="84">
        <f>'ERROR FINAL'!G532</f>
        <v>0</v>
      </c>
      <c r="D529" s="85">
        <f>'ERROR FINAL'!I532</f>
        <v>0</v>
      </c>
      <c r="E529" s="86">
        <f>'ERROR FINAL'!U532</f>
        <v>-100</v>
      </c>
      <c r="F529" s="87">
        <f>'ERROR FINAL'!AG532</f>
        <v>-100</v>
      </c>
      <c r="G529" s="87">
        <f>'ERROR FINAL'!AS532</f>
        <v>-100</v>
      </c>
      <c r="H529" s="88" t="str">
        <f>IF('ERROR FINAL'!AT532="CONFORME","CONFORME","NO CONFORME")</f>
        <v>NO CONFORME</v>
      </c>
      <c r="I529" s="89" t="str">
        <f t="shared" si="8"/>
        <v>Medición</v>
      </c>
    </row>
    <row r="530" spans="1:9" x14ac:dyDescent="0.2">
      <c r="A530" s="82">
        <f>'ERROR FINAL'!A533</f>
        <v>525</v>
      </c>
      <c r="B530" s="83">
        <f>'ERROR FINAL'!D533</f>
        <v>6</v>
      </c>
      <c r="C530" s="84">
        <f>'ERROR FINAL'!G533</f>
        <v>0</v>
      </c>
      <c r="D530" s="85">
        <f>'ERROR FINAL'!I533</f>
        <v>0</v>
      </c>
      <c r="E530" s="86">
        <f>'ERROR FINAL'!U533</f>
        <v>-100</v>
      </c>
      <c r="F530" s="87">
        <f>'ERROR FINAL'!AG533</f>
        <v>-100</v>
      </c>
      <c r="G530" s="87">
        <f>'ERROR FINAL'!AS533</f>
        <v>-100</v>
      </c>
      <c r="H530" s="88" t="str">
        <f>IF('ERROR FINAL'!AT533="CONFORME","CONFORME","NO CONFORME")</f>
        <v>NO CONFORME</v>
      </c>
      <c r="I530" s="89" t="str">
        <f t="shared" si="8"/>
        <v>Medición</v>
      </c>
    </row>
    <row r="531" spans="1:9" x14ac:dyDescent="0.2">
      <c r="A531" s="82">
        <f>'ERROR FINAL'!A534</f>
        <v>526</v>
      </c>
      <c r="B531" s="83">
        <f>'ERROR FINAL'!D534</f>
        <v>6</v>
      </c>
      <c r="C531" s="84">
        <f>'ERROR FINAL'!G534</f>
        <v>0</v>
      </c>
      <c r="D531" s="85">
        <f>'ERROR FINAL'!I534</f>
        <v>0</v>
      </c>
      <c r="E531" s="86">
        <f>'ERROR FINAL'!U534</f>
        <v>-100</v>
      </c>
      <c r="F531" s="87">
        <f>'ERROR FINAL'!AG534</f>
        <v>-100</v>
      </c>
      <c r="G531" s="87">
        <f>'ERROR FINAL'!AS534</f>
        <v>-100</v>
      </c>
      <c r="H531" s="88" t="str">
        <f>IF('ERROR FINAL'!AT534="CONFORME","CONFORME","NO CONFORME")</f>
        <v>NO CONFORME</v>
      </c>
      <c r="I531" s="89" t="str">
        <f t="shared" si="8"/>
        <v>Medición</v>
      </c>
    </row>
    <row r="532" spans="1:9" x14ac:dyDescent="0.2">
      <c r="A532" s="82">
        <f>'ERROR FINAL'!A535</f>
        <v>527</v>
      </c>
      <c r="B532" s="83">
        <f>'ERROR FINAL'!D535</f>
        <v>6</v>
      </c>
      <c r="C532" s="84">
        <f>'ERROR FINAL'!G535</f>
        <v>0</v>
      </c>
      <c r="D532" s="85">
        <f>'ERROR FINAL'!I535</f>
        <v>0</v>
      </c>
      <c r="E532" s="86">
        <f>'ERROR FINAL'!U535</f>
        <v>-100</v>
      </c>
      <c r="F532" s="87">
        <f>'ERROR FINAL'!AG535</f>
        <v>-100</v>
      </c>
      <c r="G532" s="87">
        <f>'ERROR FINAL'!AS535</f>
        <v>-100</v>
      </c>
      <c r="H532" s="88" t="str">
        <f>IF('ERROR FINAL'!AT535="CONFORME","CONFORME","NO CONFORME")</f>
        <v>NO CONFORME</v>
      </c>
      <c r="I532" s="89" t="str">
        <f t="shared" si="8"/>
        <v>Medición</v>
      </c>
    </row>
    <row r="533" spans="1:9" x14ac:dyDescent="0.2">
      <c r="A533" s="82">
        <f>'ERROR FINAL'!A536</f>
        <v>528</v>
      </c>
      <c r="B533" s="83">
        <f>'ERROR FINAL'!D536</f>
        <v>6</v>
      </c>
      <c r="C533" s="84">
        <f>'ERROR FINAL'!G536</f>
        <v>0</v>
      </c>
      <c r="D533" s="85">
        <f>'ERROR FINAL'!I536</f>
        <v>0</v>
      </c>
      <c r="E533" s="86">
        <f>'ERROR FINAL'!U536</f>
        <v>-100</v>
      </c>
      <c r="F533" s="87">
        <f>'ERROR FINAL'!AG536</f>
        <v>-100</v>
      </c>
      <c r="G533" s="87">
        <f>'ERROR FINAL'!AS536</f>
        <v>-100</v>
      </c>
      <c r="H533" s="88" t="str">
        <f>IF('ERROR FINAL'!AT536="CONFORME","CONFORME","NO CONFORME")</f>
        <v>NO CONFORME</v>
      </c>
      <c r="I533" s="89" t="str">
        <f t="shared" si="8"/>
        <v>Medición</v>
      </c>
    </row>
    <row r="534" spans="1:9" x14ac:dyDescent="0.2">
      <c r="A534" s="82">
        <f>'ERROR FINAL'!A537</f>
        <v>529</v>
      </c>
      <c r="B534" s="83">
        <f>'ERROR FINAL'!D537</f>
        <v>6</v>
      </c>
      <c r="C534" s="84">
        <f>'ERROR FINAL'!G537</f>
        <v>0</v>
      </c>
      <c r="D534" s="85">
        <f>'ERROR FINAL'!I537</f>
        <v>0</v>
      </c>
      <c r="E534" s="86">
        <f>'ERROR FINAL'!U537</f>
        <v>-100</v>
      </c>
      <c r="F534" s="87">
        <f>'ERROR FINAL'!AG537</f>
        <v>-100</v>
      </c>
      <c r="G534" s="87">
        <f>'ERROR FINAL'!AS537</f>
        <v>-100</v>
      </c>
      <c r="H534" s="88" t="str">
        <f>IF('ERROR FINAL'!AT537="CONFORME","CONFORME","NO CONFORME")</f>
        <v>NO CONFORME</v>
      </c>
      <c r="I534" s="89" t="str">
        <f t="shared" si="8"/>
        <v>Medición</v>
      </c>
    </row>
    <row r="535" spans="1:9" x14ac:dyDescent="0.2">
      <c r="A535" s="82">
        <f>'ERROR FINAL'!A538</f>
        <v>530</v>
      </c>
      <c r="B535" s="83">
        <f>'ERROR FINAL'!D538</f>
        <v>6</v>
      </c>
      <c r="C535" s="84">
        <f>'ERROR FINAL'!G538</f>
        <v>0</v>
      </c>
      <c r="D535" s="85">
        <f>'ERROR FINAL'!I538</f>
        <v>0</v>
      </c>
      <c r="E535" s="86">
        <f>'ERROR FINAL'!U538</f>
        <v>-100</v>
      </c>
      <c r="F535" s="87">
        <f>'ERROR FINAL'!AG538</f>
        <v>-100</v>
      </c>
      <c r="G535" s="87">
        <f>'ERROR FINAL'!AS538</f>
        <v>-100</v>
      </c>
      <c r="H535" s="88" t="str">
        <f>IF('ERROR FINAL'!AT538="CONFORME","CONFORME","NO CONFORME")</f>
        <v>NO CONFORME</v>
      </c>
      <c r="I535" s="89" t="str">
        <f t="shared" si="8"/>
        <v>Medición</v>
      </c>
    </row>
    <row r="536" spans="1:9" x14ac:dyDescent="0.2">
      <c r="A536" s="82">
        <f>'ERROR FINAL'!A539</f>
        <v>531</v>
      </c>
      <c r="B536" s="83">
        <f>'ERROR FINAL'!D539</f>
        <v>6</v>
      </c>
      <c r="C536" s="84">
        <f>'ERROR FINAL'!G539</f>
        <v>0</v>
      </c>
      <c r="D536" s="85">
        <f>'ERROR FINAL'!I539</f>
        <v>0</v>
      </c>
      <c r="E536" s="86">
        <f>'ERROR FINAL'!U539</f>
        <v>-100</v>
      </c>
      <c r="F536" s="87">
        <f>'ERROR FINAL'!AG539</f>
        <v>-100</v>
      </c>
      <c r="G536" s="87">
        <f>'ERROR FINAL'!AS539</f>
        <v>-100</v>
      </c>
      <c r="H536" s="88" t="str">
        <f>IF('ERROR FINAL'!AT539="CONFORME","CONFORME","NO CONFORME")</f>
        <v>NO CONFORME</v>
      </c>
      <c r="I536" s="89" t="str">
        <f t="shared" si="8"/>
        <v>Medición</v>
      </c>
    </row>
    <row r="537" spans="1:9" x14ac:dyDescent="0.2">
      <c r="A537" s="82">
        <f>'ERROR FINAL'!A540</f>
        <v>532</v>
      </c>
      <c r="B537" s="83">
        <f>'ERROR FINAL'!D540</f>
        <v>6</v>
      </c>
      <c r="C537" s="84">
        <f>'ERROR FINAL'!G540</f>
        <v>0</v>
      </c>
      <c r="D537" s="85">
        <f>'ERROR FINAL'!I540</f>
        <v>0</v>
      </c>
      <c r="E537" s="86">
        <f>'ERROR FINAL'!U540</f>
        <v>-100</v>
      </c>
      <c r="F537" s="87">
        <f>'ERROR FINAL'!AG540</f>
        <v>-100</v>
      </c>
      <c r="G537" s="87">
        <f>'ERROR FINAL'!AS540</f>
        <v>-100</v>
      </c>
      <c r="H537" s="88" t="str">
        <f>IF('ERROR FINAL'!AT540="CONFORME","CONFORME","NO CONFORME")</f>
        <v>NO CONFORME</v>
      </c>
      <c r="I537" s="89" t="str">
        <f t="shared" si="8"/>
        <v>Medición</v>
      </c>
    </row>
    <row r="538" spans="1:9" x14ac:dyDescent="0.2">
      <c r="A538" s="82">
        <f>'ERROR FINAL'!A541</f>
        <v>533</v>
      </c>
      <c r="B538" s="83">
        <f>'ERROR FINAL'!D541</f>
        <v>6</v>
      </c>
      <c r="C538" s="84">
        <f>'ERROR FINAL'!G541</f>
        <v>0</v>
      </c>
      <c r="D538" s="85">
        <f>'ERROR FINAL'!I541</f>
        <v>0</v>
      </c>
      <c r="E538" s="86">
        <f>'ERROR FINAL'!U541</f>
        <v>-100</v>
      </c>
      <c r="F538" s="87">
        <f>'ERROR FINAL'!AG541</f>
        <v>-100</v>
      </c>
      <c r="G538" s="87">
        <f>'ERROR FINAL'!AS541</f>
        <v>-100</v>
      </c>
      <c r="H538" s="88" t="str">
        <f>IF('ERROR FINAL'!AT541="CONFORME","CONFORME","NO CONFORME")</f>
        <v>NO CONFORME</v>
      </c>
      <c r="I538" s="89" t="str">
        <f t="shared" si="8"/>
        <v>Medición</v>
      </c>
    </row>
    <row r="539" spans="1:9" x14ac:dyDescent="0.2">
      <c r="A539" s="82">
        <f>'ERROR FINAL'!A542</f>
        <v>534</v>
      </c>
      <c r="B539" s="83">
        <f>'ERROR FINAL'!D542</f>
        <v>6</v>
      </c>
      <c r="C539" s="84">
        <f>'ERROR FINAL'!G542</f>
        <v>0</v>
      </c>
      <c r="D539" s="85">
        <f>'ERROR FINAL'!I542</f>
        <v>0</v>
      </c>
      <c r="E539" s="86">
        <f>'ERROR FINAL'!U542</f>
        <v>-100</v>
      </c>
      <c r="F539" s="87">
        <f>'ERROR FINAL'!AG542</f>
        <v>-100</v>
      </c>
      <c r="G539" s="87">
        <f>'ERROR FINAL'!AS542</f>
        <v>-100</v>
      </c>
      <c r="H539" s="88" t="str">
        <f>IF('ERROR FINAL'!AT542="CONFORME","CONFORME","NO CONFORME")</f>
        <v>NO CONFORME</v>
      </c>
      <c r="I539" s="89" t="str">
        <f t="shared" si="8"/>
        <v>Medición</v>
      </c>
    </row>
    <row r="540" spans="1:9" x14ac:dyDescent="0.2">
      <c r="A540" s="82">
        <f>'ERROR FINAL'!A543</f>
        <v>535</v>
      </c>
      <c r="B540" s="83">
        <f>'ERROR FINAL'!D543</f>
        <v>6</v>
      </c>
      <c r="C540" s="84">
        <f>'ERROR FINAL'!G543</f>
        <v>0</v>
      </c>
      <c r="D540" s="85">
        <f>'ERROR FINAL'!I543</f>
        <v>0</v>
      </c>
      <c r="E540" s="86">
        <f>'ERROR FINAL'!U543</f>
        <v>-100</v>
      </c>
      <c r="F540" s="87">
        <f>'ERROR FINAL'!AG543</f>
        <v>-100</v>
      </c>
      <c r="G540" s="87">
        <f>'ERROR FINAL'!AS543</f>
        <v>-100</v>
      </c>
      <c r="H540" s="88" t="str">
        <f>IF('ERROR FINAL'!AT543="CONFORME","CONFORME","NO CONFORME")</f>
        <v>NO CONFORME</v>
      </c>
      <c r="I540" s="89" t="str">
        <f t="shared" si="8"/>
        <v>Medición</v>
      </c>
    </row>
    <row r="541" spans="1:9" x14ac:dyDescent="0.2">
      <c r="A541" s="82">
        <f>'ERROR FINAL'!A544</f>
        <v>536</v>
      </c>
      <c r="B541" s="83">
        <f>'ERROR FINAL'!D544</f>
        <v>6</v>
      </c>
      <c r="C541" s="84">
        <f>'ERROR FINAL'!G544</f>
        <v>0</v>
      </c>
      <c r="D541" s="85">
        <f>'ERROR FINAL'!I544</f>
        <v>0</v>
      </c>
      <c r="E541" s="86">
        <f>'ERROR FINAL'!U544</f>
        <v>-100</v>
      </c>
      <c r="F541" s="87">
        <f>'ERROR FINAL'!AG544</f>
        <v>-100</v>
      </c>
      <c r="G541" s="87">
        <f>'ERROR FINAL'!AS544</f>
        <v>-100</v>
      </c>
      <c r="H541" s="88" t="str">
        <f>IF('ERROR FINAL'!AT544="CONFORME","CONFORME","NO CONFORME")</f>
        <v>NO CONFORME</v>
      </c>
      <c r="I541" s="89" t="str">
        <f t="shared" si="8"/>
        <v>Medición</v>
      </c>
    </row>
    <row r="542" spans="1:9" x14ac:dyDescent="0.2">
      <c r="A542" s="82">
        <f>'ERROR FINAL'!A545</f>
        <v>537</v>
      </c>
      <c r="B542" s="83">
        <f>'ERROR FINAL'!D545</f>
        <v>6</v>
      </c>
      <c r="C542" s="84">
        <f>'ERROR FINAL'!G545</f>
        <v>0</v>
      </c>
      <c r="D542" s="85">
        <f>'ERROR FINAL'!I545</f>
        <v>0</v>
      </c>
      <c r="E542" s="86">
        <f>'ERROR FINAL'!U545</f>
        <v>-100</v>
      </c>
      <c r="F542" s="87">
        <f>'ERROR FINAL'!AG545</f>
        <v>-100</v>
      </c>
      <c r="G542" s="87">
        <f>'ERROR FINAL'!AS545</f>
        <v>-100</v>
      </c>
      <c r="H542" s="88" t="str">
        <f>IF('ERROR FINAL'!AT545="CONFORME","CONFORME","NO CONFORME")</f>
        <v>NO CONFORME</v>
      </c>
      <c r="I542" s="89" t="str">
        <f t="shared" si="8"/>
        <v>Medición</v>
      </c>
    </row>
    <row r="543" spans="1:9" x14ac:dyDescent="0.2">
      <c r="A543" s="82">
        <f>'ERROR FINAL'!A546</f>
        <v>538</v>
      </c>
      <c r="B543" s="83">
        <f>'ERROR FINAL'!D546</f>
        <v>6</v>
      </c>
      <c r="C543" s="84">
        <f>'ERROR FINAL'!G546</f>
        <v>0</v>
      </c>
      <c r="D543" s="85">
        <f>'ERROR FINAL'!I546</f>
        <v>0</v>
      </c>
      <c r="E543" s="86">
        <f>'ERROR FINAL'!U546</f>
        <v>-100</v>
      </c>
      <c r="F543" s="87">
        <f>'ERROR FINAL'!AG546</f>
        <v>-100</v>
      </c>
      <c r="G543" s="87">
        <f>'ERROR FINAL'!AS546</f>
        <v>-100</v>
      </c>
      <c r="H543" s="88" t="str">
        <f>IF('ERROR FINAL'!AT546="CONFORME","CONFORME","NO CONFORME")</f>
        <v>NO CONFORME</v>
      </c>
      <c r="I543" s="89" t="str">
        <f t="shared" si="8"/>
        <v>Medición</v>
      </c>
    </row>
    <row r="544" spans="1:9" x14ac:dyDescent="0.2">
      <c r="A544" s="82">
        <f>'ERROR FINAL'!A547</f>
        <v>539</v>
      </c>
      <c r="B544" s="83">
        <f>'ERROR FINAL'!D547</f>
        <v>6</v>
      </c>
      <c r="C544" s="84">
        <f>'ERROR FINAL'!G547</f>
        <v>0</v>
      </c>
      <c r="D544" s="85">
        <f>'ERROR FINAL'!I547</f>
        <v>0</v>
      </c>
      <c r="E544" s="86">
        <f>'ERROR FINAL'!U547</f>
        <v>-100</v>
      </c>
      <c r="F544" s="87">
        <f>'ERROR FINAL'!AG547</f>
        <v>-100</v>
      </c>
      <c r="G544" s="87">
        <f>'ERROR FINAL'!AS547</f>
        <v>-100</v>
      </c>
      <c r="H544" s="88" t="str">
        <f>IF('ERROR FINAL'!AT547="CONFORME","CONFORME","NO CONFORME")</f>
        <v>NO CONFORME</v>
      </c>
      <c r="I544" s="89" t="str">
        <f t="shared" si="8"/>
        <v>Medición</v>
      </c>
    </row>
    <row r="545" spans="1:9" x14ac:dyDescent="0.2">
      <c r="A545" s="82">
        <f>'ERROR FINAL'!A548</f>
        <v>540</v>
      </c>
      <c r="B545" s="83">
        <f>'ERROR FINAL'!D548</f>
        <v>6</v>
      </c>
      <c r="C545" s="84">
        <f>'ERROR FINAL'!G548</f>
        <v>0</v>
      </c>
      <c r="D545" s="85">
        <f>'ERROR FINAL'!I548</f>
        <v>0</v>
      </c>
      <c r="E545" s="86">
        <f>'ERROR FINAL'!U548</f>
        <v>-100</v>
      </c>
      <c r="F545" s="87">
        <f>'ERROR FINAL'!AG548</f>
        <v>-100</v>
      </c>
      <c r="G545" s="87">
        <f>'ERROR FINAL'!AS548</f>
        <v>-100</v>
      </c>
      <c r="H545" s="88" t="str">
        <f>IF('ERROR FINAL'!AT548="CONFORME","CONFORME","NO CONFORME")</f>
        <v>NO CONFORME</v>
      </c>
      <c r="I545" s="89" t="str">
        <f t="shared" si="8"/>
        <v>Medición</v>
      </c>
    </row>
    <row r="546" spans="1:9" x14ac:dyDescent="0.2">
      <c r="A546" s="82">
        <f>'ERROR FINAL'!A549</f>
        <v>541</v>
      </c>
      <c r="B546" s="83">
        <f>'ERROR FINAL'!D549</f>
        <v>6</v>
      </c>
      <c r="C546" s="84">
        <f>'ERROR FINAL'!G549</f>
        <v>0</v>
      </c>
      <c r="D546" s="85">
        <f>'ERROR FINAL'!I549</f>
        <v>0</v>
      </c>
      <c r="E546" s="86">
        <f>'ERROR FINAL'!U549</f>
        <v>-100</v>
      </c>
      <c r="F546" s="87">
        <f>'ERROR FINAL'!AG549</f>
        <v>-100</v>
      </c>
      <c r="G546" s="87">
        <f>'ERROR FINAL'!AS549</f>
        <v>-100</v>
      </c>
      <c r="H546" s="88" t="str">
        <f>IF('ERROR FINAL'!AT549="CONFORME","CONFORME","NO CONFORME")</f>
        <v>NO CONFORME</v>
      </c>
      <c r="I546" s="89" t="str">
        <f t="shared" si="8"/>
        <v>Medición</v>
      </c>
    </row>
    <row r="547" spans="1:9" x14ac:dyDescent="0.2">
      <c r="A547" s="82">
        <f>'ERROR FINAL'!A550</f>
        <v>542</v>
      </c>
      <c r="B547" s="83">
        <f>'ERROR FINAL'!D550</f>
        <v>6</v>
      </c>
      <c r="C547" s="84">
        <f>'ERROR FINAL'!G550</f>
        <v>0</v>
      </c>
      <c r="D547" s="85">
        <f>'ERROR FINAL'!I550</f>
        <v>0</v>
      </c>
      <c r="E547" s="86">
        <f>'ERROR FINAL'!U550</f>
        <v>-100</v>
      </c>
      <c r="F547" s="87">
        <f>'ERROR FINAL'!AG550</f>
        <v>-100</v>
      </c>
      <c r="G547" s="87">
        <f>'ERROR FINAL'!AS550</f>
        <v>-100</v>
      </c>
      <c r="H547" s="88" t="str">
        <f>IF('ERROR FINAL'!AT550="CONFORME","CONFORME","NO CONFORME")</f>
        <v>NO CONFORME</v>
      </c>
      <c r="I547" s="89" t="str">
        <f t="shared" si="8"/>
        <v>Medición</v>
      </c>
    </row>
    <row r="548" spans="1:9" x14ac:dyDescent="0.2">
      <c r="A548" s="82">
        <f>'ERROR FINAL'!A551</f>
        <v>543</v>
      </c>
      <c r="B548" s="83">
        <f>'ERROR FINAL'!D551</f>
        <v>6</v>
      </c>
      <c r="C548" s="84">
        <f>'ERROR FINAL'!G551</f>
        <v>0</v>
      </c>
      <c r="D548" s="85">
        <f>'ERROR FINAL'!I551</f>
        <v>0</v>
      </c>
      <c r="E548" s="86">
        <f>'ERROR FINAL'!U551</f>
        <v>-100</v>
      </c>
      <c r="F548" s="87">
        <f>'ERROR FINAL'!AG551</f>
        <v>-100</v>
      </c>
      <c r="G548" s="87">
        <f>'ERROR FINAL'!AS551</f>
        <v>-100</v>
      </c>
      <c r="H548" s="88" t="str">
        <f>IF('ERROR FINAL'!AT551="CONFORME","CONFORME","NO CONFORME")</f>
        <v>NO CONFORME</v>
      </c>
      <c r="I548" s="89" t="str">
        <f t="shared" si="8"/>
        <v>Medición</v>
      </c>
    </row>
    <row r="549" spans="1:9" x14ac:dyDescent="0.2">
      <c r="A549" s="82">
        <f>'ERROR FINAL'!A552</f>
        <v>544</v>
      </c>
      <c r="B549" s="83">
        <f>'ERROR FINAL'!D552</f>
        <v>6</v>
      </c>
      <c r="C549" s="84">
        <f>'ERROR FINAL'!G552</f>
        <v>0</v>
      </c>
      <c r="D549" s="85">
        <f>'ERROR FINAL'!I552</f>
        <v>0</v>
      </c>
      <c r="E549" s="86">
        <f>'ERROR FINAL'!U552</f>
        <v>-100</v>
      </c>
      <c r="F549" s="87">
        <f>'ERROR FINAL'!AG552</f>
        <v>-100</v>
      </c>
      <c r="G549" s="87">
        <f>'ERROR FINAL'!AS552</f>
        <v>-100</v>
      </c>
      <c r="H549" s="88" t="str">
        <f>IF('ERROR FINAL'!AT552="CONFORME","CONFORME","NO CONFORME")</f>
        <v>NO CONFORME</v>
      </c>
      <c r="I549" s="89" t="str">
        <f t="shared" si="8"/>
        <v>Medición</v>
      </c>
    </row>
    <row r="550" spans="1:9" x14ac:dyDescent="0.2">
      <c r="A550" s="82">
        <f>'ERROR FINAL'!A553</f>
        <v>545</v>
      </c>
      <c r="B550" s="83">
        <f>'ERROR FINAL'!D553</f>
        <v>6</v>
      </c>
      <c r="C550" s="84">
        <f>'ERROR FINAL'!G553</f>
        <v>0</v>
      </c>
      <c r="D550" s="85">
        <f>'ERROR FINAL'!I553</f>
        <v>0</v>
      </c>
      <c r="E550" s="86">
        <f>'ERROR FINAL'!U553</f>
        <v>-100</v>
      </c>
      <c r="F550" s="87">
        <f>'ERROR FINAL'!AG553</f>
        <v>-100</v>
      </c>
      <c r="G550" s="87">
        <f>'ERROR FINAL'!AS553</f>
        <v>-100</v>
      </c>
      <c r="H550" s="88" t="str">
        <f>IF('ERROR FINAL'!AT553="CONFORME","CONFORME","NO CONFORME")</f>
        <v>NO CONFORME</v>
      </c>
      <c r="I550" s="89" t="str">
        <f t="shared" si="8"/>
        <v>Medición</v>
      </c>
    </row>
    <row r="551" spans="1:9" x14ac:dyDescent="0.2">
      <c r="A551" s="82">
        <f>'ERROR FINAL'!A554</f>
        <v>546</v>
      </c>
      <c r="B551" s="83">
        <f>'ERROR FINAL'!D554</f>
        <v>6</v>
      </c>
      <c r="C551" s="84">
        <f>'ERROR FINAL'!G554</f>
        <v>0</v>
      </c>
      <c r="D551" s="85">
        <f>'ERROR FINAL'!I554</f>
        <v>0</v>
      </c>
      <c r="E551" s="86">
        <f>'ERROR FINAL'!U554</f>
        <v>-100</v>
      </c>
      <c r="F551" s="87">
        <f>'ERROR FINAL'!AG554</f>
        <v>-100</v>
      </c>
      <c r="G551" s="87">
        <f>'ERROR FINAL'!AS554</f>
        <v>-100</v>
      </c>
      <c r="H551" s="88" t="str">
        <f>IF('ERROR FINAL'!AT554="CONFORME","CONFORME","NO CONFORME")</f>
        <v>NO CONFORME</v>
      </c>
      <c r="I551" s="89" t="str">
        <f t="shared" si="8"/>
        <v>Medición</v>
      </c>
    </row>
    <row r="552" spans="1:9" x14ac:dyDescent="0.2">
      <c r="A552" s="82">
        <f>'ERROR FINAL'!A555</f>
        <v>547</v>
      </c>
      <c r="B552" s="83">
        <f>'ERROR FINAL'!D555</f>
        <v>6</v>
      </c>
      <c r="C552" s="84">
        <f>'ERROR FINAL'!G555</f>
        <v>0</v>
      </c>
      <c r="D552" s="85">
        <f>'ERROR FINAL'!I555</f>
        <v>0</v>
      </c>
      <c r="E552" s="86">
        <f>'ERROR FINAL'!U555</f>
        <v>-100</v>
      </c>
      <c r="F552" s="87">
        <f>'ERROR FINAL'!AG555</f>
        <v>-100</v>
      </c>
      <c r="G552" s="87">
        <f>'ERROR FINAL'!AS555</f>
        <v>-100</v>
      </c>
      <c r="H552" s="88" t="str">
        <f>IF('ERROR FINAL'!AT555="CONFORME","CONFORME","NO CONFORME")</f>
        <v>NO CONFORME</v>
      </c>
      <c r="I552" s="89" t="str">
        <f t="shared" si="8"/>
        <v>Medición</v>
      </c>
    </row>
    <row r="553" spans="1:9" x14ac:dyDescent="0.2">
      <c r="A553" s="82">
        <f>'ERROR FINAL'!A556</f>
        <v>548</v>
      </c>
      <c r="B553" s="83">
        <f>'ERROR FINAL'!D556</f>
        <v>6</v>
      </c>
      <c r="C553" s="84">
        <f>'ERROR FINAL'!G556</f>
        <v>0</v>
      </c>
      <c r="D553" s="85">
        <f>'ERROR FINAL'!I556</f>
        <v>0</v>
      </c>
      <c r="E553" s="86">
        <f>'ERROR FINAL'!U556</f>
        <v>-100</v>
      </c>
      <c r="F553" s="87">
        <f>'ERROR FINAL'!AG556</f>
        <v>-100</v>
      </c>
      <c r="G553" s="87">
        <f>'ERROR FINAL'!AS556</f>
        <v>-100</v>
      </c>
      <c r="H553" s="88" t="str">
        <f>IF('ERROR FINAL'!AT556="CONFORME","CONFORME","NO CONFORME")</f>
        <v>NO CONFORME</v>
      </c>
      <c r="I553" s="89" t="str">
        <f t="shared" si="8"/>
        <v>Medición</v>
      </c>
    </row>
    <row r="554" spans="1:9" x14ac:dyDescent="0.2">
      <c r="A554" s="82">
        <f>'ERROR FINAL'!A557</f>
        <v>549</v>
      </c>
      <c r="B554" s="83">
        <f>'ERROR FINAL'!D557</f>
        <v>6</v>
      </c>
      <c r="C554" s="84">
        <f>'ERROR FINAL'!G557</f>
        <v>0</v>
      </c>
      <c r="D554" s="85">
        <f>'ERROR FINAL'!I557</f>
        <v>0</v>
      </c>
      <c r="E554" s="86">
        <f>'ERROR FINAL'!U557</f>
        <v>-100</v>
      </c>
      <c r="F554" s="87">
        <f>'ERROR FINAL'!AG557</f>
        <v>-100</v>
      </c>
      <c r="G554" s="87">
        <f>'ERROR FINAL'!AS557</f>
        <v>-100</v>
      </c>
      <c r="H554" s="88" t="str">
        <f>IF('ERROR FINAL'!AT557="CONFORME","CONFORME","NO CONFORME")</f>
        <v>NO CONFORME</v>
      </c>
      <c r="I554" s="89" t="str">
        <f t="shared" si="8"/>
        <v>Medición</v>
      </c>
    </row>
    <row r="555" spans="1:9" x14ac:dyDescent="0.2">
      <c r="A555" s="82">
        <f>'ERROR FINAL'!A558</f>
        <v>550</v>
      </c>
      <c r="B555" s="83">
        <f>'ERROR FINAL'!D558</f>
        <v>6</v>
      </c>
      <c r="C555" s="84">
        <f>'ERROR FINAL'!G558</f>
        <v>0</v>
      </c>
      <c r="D555" s="85">
        <f>'ERROR FINAL'!I558</f>
        <v>0</v>
      </c>
      <c r="E555" s="86">
        <f>'ERROR FINAL'!U558</f>
        <v>-100</v>
      </c>
      <c r="F555" s="87">
        <f>'ERROR FINAL'!AG558</f>
        <v>-100</v>
      </c>
      <c r="G555" s="87">
        <f>'ERROR FINAL'!AS558</f>
        <v>-100</v>
      </c>
      <c r="H555" s="88" t="str">
        <f>IF('ERROR FINAL'!AT558="CONFORME","CONFORME","NO CONFORME")</f>
        <v>NO CONFORME</v>
      </c>
      <c r="I555" s="89" t="str">
        <f t="shared" si="8"/>
        <v>Medición</v>
      </c>
    </row>
    <row r="556" spans="1:9" x14ac:dyDescent="0.2">
      <c r="A556" s="82">
        <f>'ERROR FINAL'!A559</f>
        <v>551</v>
      </c>
      <c r="B556" s="83">
        <f>'ERROR FINAL'!D559</f>
        <v>6</v>
      </c>
      <c r="C556" s="84">
        <f>'ERROR FINAL'!G559</f>
        <v>0</v>
      </c>
      <c r="D556" s="85">
        <f>'ERROR FINAL'!I559</f>
        <v>0</v>
      </c>
      <c r="E556" s="86">
        <f>'ERROR FINAL'!U559</f>
        <v>-100</v>
      </c>
      <c r="F556" s="87">
        <f>'ERROR FINAL'!AG559</f>
        <v>-100</v>
      </c>
      <c r="G556" s="87">
        <f>'ERROR FINAL'!AS559</f>
        <v>-100</v>
      </c>
      <c r="H556" s="88" t="str">
        <f>IF('ERROR FINAL'!AT559="CONFORME","CONFORME","NO CONFORME")</f>
        <v>NO CONFORME</v>
      </c>
      <c r="I556" s="89" t="str">
        <f t="shared" si="8"/>
        <v>Medición</v>
      </c>
    </row>
    <row r="557" spans="1:9" x14ac:dyDescent="0.2">
      <c r="A557" s="82">
        <f>'ERROR FINAL'!A560</f>
        <v>552</v>
      </c>
      <c r="B557" s="83">
        <f>'ERROR FINAL'!D560</f>
        <v>6</v>
      </c>
      <c r="C557" s="84">
        <f>'ERROR FINAL'!G560</f>
        <v>0</v>
      </c>
      <c r="D557" s="85">
        <f>'ERROR FINAL'!I560</f>
        <v>0</v>
      </c>
      <c r="E557" s="86">
        <f>'ERROR FINAL'!U560</f>
        <v>-100</v>
      </c>
      <c r="F557" s="87">
        <f>'ERROR FINAL'!AG560</f>
        <v>-100</v>
      </c>
      <c r="G557" s="87">
        <f>'ERROR FINAL'!AS560</f>
        <v>-100</v>
      </c>
      <c r="H557" s="88" t="str">
        <f>IF('ERROR FINAL'!AT560="CONFORME","CONFORME","NO CONFORME")</f>
        <v>NO CONFORME</v>
      </c>
      <c r="I557" s="89" t="str">
        <f t="shared" si="8"/>
        <v>Medición</v>
      </c>
    </row>
    <row r="558" spans="1:9" x14ac:dyDescent="0.2">
      <c r="A558" s="82">
        <f>'ERROR FINAL'!A561</f>
        <v>553</v>
      </c>
      <c r="B558" s="83">
        <f>'ERROR FINAL'!D561</f>
        <v>6</v>
      </c>
      <c r="C558" s="84">
        <f>'ERROR FINAL'!G561</f>
        <v>0</v>
      </c>
      <c r="D558" s="85">
        <f>'ERROR FINAL'!I561</f>
        <v>0</v>
      </c>
      <c r="E558" s="86">
        <f>'ERROR FINAL'!U561</f>
        <v>-100</v>
      </c>
      <c r="F558" s="87">
        <f>'ERROR FINAL'!AG561</f>
        <v>-100</v>
      </c>
      <c r="G558" s="87">
        <f>'ERROR FINAL'!AS561</f>
        <v>-100</v>
      </c>
      <c r="H558" s="88" t="str">
        <f>IF('ERROR FINAL'!AT561="CONFORME","CONFORME","NO CONFORME")</f>
        <v>NO CONFORME</v>
      </c>
      <c r="I558" s="89" t="str">
        <f t="shared" si="8"/>
        <v>Medición</v>
      </c>
    </row>
    <row r="559" spans="1:9" x14ac:dyDescent="0.2">
      <c r="A559" s="82">
        <f>'ERROR FINAL'!A562</f>
        <v>554</v>
      </c>
      <c r="B559" s="83">
        <f>'ERROR FINAL'!D562</f>
        <v>6</v>
      </c>
      <c r="C559" s="84">
        <f>'ERROR FINAL'!G562</f>
        <v>0</v>
      </c>
      <c r="D559" s="85">
        <f>'ERROR FINAL'!I562</f>
        <v>0</v>
      </c>
      <c r="E559" s="86">
        <f>'ERROR FINAL'!U562</f>
        <v>-100</v>
      </c>
      <c r="F559" s="87">
        <f>'ERROR FINAL'!AG562</f>
        <v>-100</v>
      </c>
      <c r="G559" s="87">
        <f>'ERROR FINAL'!AS562</f>
        <v>-100</v>
      </c>
      <c r="H559" s="88" t="str">
        <f>IF('ERROR FINAL'!AT562="CONFORME","CONFORME","NO CONFORME")</f>
        <v>NO CONFORME</v>
      </c>
      <c r="I559" s="89" t="str">
        <f t="shared" si="8"/>
        <v>Medición</v>
      </c>
    </row>
    <row r="560" spans="1:9" x14ac:dyDescent="0.2">
      <c r="A560" s="82">
        <f>'ERROR FINAL'!A563</f>
        <v>555</v>
      </c>
      <c r="B560" s="83">
        <f>'ERROR FINAL'!D563</f>
        <v>6</v>
      </c>
      <c r="C560" s="84">
        <f>'ERROR FINAL'!G563</f>
        <v>0</v>
      </c>
      <c r="D560" s="85">
        <f>'ERROR FINAL'!I563</f>
        <v>0</v>
      </c>
      <c r="E560" s="86">
        <f>'ERROR FINAL'!U563</f>
        <v>-100</v>
      </c>
      <c r="F560" s="87">
        <f>'ERROR FINAL'!AG563</f>
        <v>-100</v>
      </c>
      <c r="G560" s="87">
        <f>'ERROR FINAL'!AS563</f>
        <v>-100</v>
      </c>
      <c r="H560" s="88" t="str">
        <f>IF('ERROR FINAL'!AT563="CONFORME","CONFORME","NO CONFORME")</f>
        <v>NO CONFORME</v>
      </c>
      <c r="I560" s="89" t="str">
        <f t="shared" si="8"/>
        <v>Medición</v>
      </c>
    </row>
    <row r="561" spans="1:9" x14ac:dyDescent="0.2">
      <c r="A561" s="82">
        <f>'ERROR FINAL'!A564</f>
        <v>556</v>
      </c>
      <c r="B561" s="83">
        <f>'ERROR FINAL'!D564</f>
        <v>6</v>
      </c>
      <c r="C561" s="84">
        <f>'ERROR FINAL'!G564</f>
        <v>0</v>
      </c>
      <c r="D561" s="85">
        <f>'ERROR FINAL'!I564</f>
        <v>0</v>
      </c>
      <c r="E561" s="86">
        <f>'ERROR FINAL'!U564</f>
        <v>-100</v>
      </c>
      <c r="F561" s="87">
        <f>'ERROR FINAL'!AG564</f>
        <v>-100</v>
      </c>
      <c r="G561" s="87">
        <f>'ERROR FINAL'!AS564</f>
        <v>-100</v>
      </c>
      <c r="H561" s="88" t="str">
        <f>IF('ERROR FINAL'!AT564="CONFORME","CONFORME","NO CONFORME")</f>
        <v>NO CONFORME</v>
      </c>
      <c r="I561" s="89" t="str">
        <f t="shared" si="8"/>
        <v>Medición</v>
      </c>
    </row>
    <row r="562" spans="1:9" x14ac:dyDescent="0.2">
      <c r="A562" s="82">
        <f>'ERROR FINAL'!A565</f>
        <v>557</v>
      </c>
      <c r="B562" s="83">
        <f>'ERROR FINAL'!D565</f>
        <v>6</v>
      </c>
      <c r="C562" s="84">
        <f>'ERROR FINAL'!G565</f>
        <v>0</v>
      </c>
      <c r="D562" s="85">
        <f>'ERROR FINAL'!I565</f>
        <v>0</v>
      </c>
      <c r="E562" s="86">
        <f>'ERROR FINAL'!U565</f>
        <v>-100</v>
      </c>
      <c r="F562" s="87">
        <f>'ERROR FINAL'!AG565</f>
        <v>-100</v>
      </c>
      <c r="G562" s="87">
        <f>'ERROR FINAL'!AS565</f>
        <v>-100</v>
      </c>
      <c r="H562" s="88" t="str">
        <f>IF('ERROR FINAL'!AT565="CONFORME","CONFORME","NO CONFORME")</f>
        <v>NO CONFORME</v>
      </c>
      <c r="I562" s="89" t="str">
        <f t="shared" si="8"/>
        <v>Medición</v>
      </c>
    </row>
    <row r="563" spans="1:9" x14ac:dyDescent="0.2">
      <c r="A563" s="82">
        <f>'ERROR FINAL'!A566</f>
        <v>558</v>
      </c>
      <c r="B563" s="83">
        <f>'ERROR FINAL'!D566</f>
        <v>6</v>
      </c>
      <c r="C563" s="84">
        <f>'ERROR FINAL'!G566</f>
        <v>0</v>
      </c>
      <c r="D563" s="85">
        <f>'ERROR FINAL'!I566</f>
        <v>0</v>
      </c>
      <c r="E563" s="86">
        <f>'ERROR FINAL'!U566</f>
        <v>-100</v>
      </c>
      <c r="F563" s="87">
        <f>'ERROR FINAL'!AG566</f>
        <v>-100</v>
      </c>
      <c r="G563" s="87">
        <f>'ERROR FINAL'!AS566</f>
        <v>-100</v>
      </c>
      <c r="H563" s="88" t="str">
        <f>IF('ERROR FINAL'!AT566="CONFORME","CONFORME","NO CONFORME")</f>
        <v>NO CONFORME</v>
      </c>
      <c r="I563" s="89" t="str">
        <f t="shared" si="8"/>
        <v>Medición</v>
      </c>
    </row>
    <row r="564" spans="1:9" x14ac:dyDescent="0.2">
      <c r="A564" s="82">
        <f>'ERROR FINAL'!A567</f>
        <v>559</v>
      </c>
      <c r="B564" s="83">
        <f>'ERROR FINAL'!D567</f>
        <v>6</v>
      </c>
      <c r="C564" s="84">
        <f>'ERROR FINAL'!G567</f>
        <v>0</v>
      </c>
      <c r="D564" s="85">
        <f>'ERROR FINAL'!I567</f>
        <v>0</v>
      </c>
      <c r="E564" s="86">
        <f>'ERROR FINAL'!U567</f>
        <v>-100</v>
      </c>
      <c r="F564" s="87">
        <f>'ERROR FINAL'!AG567</f>
        <v>-100</v>
      </c>
      <c r="G564" s="87">
        <f>'ERROR FINAL'!AS567</f>
        <v>-100</v>
      </c>
      <c r="H564" s="88" t="str">
        <f>IF('ERROR FINAL'!AT567="CONFORME","CONFORME","NO CONFORME")</f>
        <v>NO CONFORME</v>
      </c>
      <c r="I564" s="89" t="str">
        <f t="shared" si="8"/>
        <v>Medición</v>
      </c>
    </row>
    <row r="565" spans="1:9" x14ac:dyDescent="0.2">
      <c r="A565" s="82">
        <f>'ERROR FINAL'!A568</f>
        <v>560</v>
      </c>
      <c r="B565" s="83">
        <f>'ERROR FINAL'!D568</f>
        <v>6</v>
      </c>
      <c r="C565" s="84">
        <f>'ERROR FINAL'!G568</f>
        <v>0</v>
      </c>
      <c r="D565" s="85">
        <f>'ERROR FINAL'!I568</f>
        <v>0</v>
      </c>
      <c r="E565" s="86">
        <f>'ERROR FINAL'!U568</f>
        <v>-100</v>
      </c>
      <c r="F565" s="87">
        <f>'ERROR FINAL'!AG568</f>
        <v>-100</v>
      </c>
      <c r="G565" s="87">
        <f>'ERROR FINAL'!AS568</f>
        <v>-100</v>
      </c>
      <c r="H565" s="88" t="str">
        <f>IF('ERROR FINAL'!AT568="CONFORME","CONFORME","NO CONFORME")</f>
        <v>NO CONFORME</v>
      </c>
      <c r="I565" s="89" t="str">
        <f t="shared" si="8"/>
        <v>Medición</v>
      </c>
    </row>
    <row r="566" spans="1:9" x14ac:dyDescent="0.2">
      <c r="A566" s="82">
        <f>'ERROR FINAL'!A569</f>
        <v>561</v>
      </c>
      <c r="B566" s="83">
        <f>'ERROR FINAL'!D569</f>
        <v>6</v>
      </c>
      <c r="C566" s="84">
        <f>'ERROR FINAL'!G569</f>
        <v>0</v>
      </c>
      <c r="D566" s="85">
        <f>'ERROR FINAL'!I569</f>
        <v>0</v>
      </c>
      <c r="E566" s="86">
        <f>'ERROR FINAL'!U569</f>
        <v>-100</v>
      </c>
      <c r="F566" s="87">
        <f>'ERROR FINAL'!AG569</f>
        <v>-100</v>
      </c>
      <c r="G566" s="87">
        <f>'ERROR FINAL'!AS569</f>
        <v>-100</v>
      </c>
      <c r="H566" s="88" t="str">
        <f>IF('ERROR FINAL'!AT569="CONFORME","CONFORME","NO CONFORME")</f>
        <v>NO CONFORME</v>
      </c>
      <c r="I566" s="89" t="str">
        <f t="shared" si="8"/>
        <v>Medición</v>
      </c>
    </row>
    <row r="567" spans="1:9" x14ac:dyDescent="0.2">
      <c r="A567" s="82">
        <f>'ERROR FINAL'!A570</f>
        <v>562</v>
      </c>
      <c r="B567" s="83">
        <f>'ERROR FINAL'!D570</f>
        <v>6</v>
      </c>
      <c r="C567" s="84">
        <f>'ERROR FINAL'!G570</f>
        <v>0</v>
      </c>
      <c r="D567" s="85">
        <f>'ERROR FINAL'!I570</f>
        <v>0</v>
      </c>
      <c r="E567" s="86">
        <f>'ERROR FINAL'!U570</f>
        <v>-100</v>
      </c>
      <c r="F567" s="87">
        <f>'ERROR FINAL'!AG570</f>
        <v>-100</v>
      </c>
      <c r="G567" s="87">
        <f>'ERROR FINAL'!AS570</f>
        <v>-100</v>
      </c>
      <c r="H567" s="88" t="str">
        <f>IF('ERROR FINAL'!AT570="CONFORME","CONFORME","NO CONFORME")</f>
        <v>NO CONFORME</v>
      </c>
      <c r="I567" s="89" t="str">
        <f t="shared" si="8"/>
        <v>Medición</v>
      </c>
    </row>
    <row r="568" spans="1:9" x14ac:dyDescent="0.2">
      <c r="A568" s="82">
        <f>'ERROR FINAL'!A571</f>
        <v>563</v>
      </c>
      <c r="B568" s="83">
        <f>'ERROR FINAL'!D571</f>
        <v>6</v>
      </c>
      <c r="C568" s="84">
        <f>'ERROR FINAL'!G571</f>
        <v>0</v>
      </c>
      <c r="D568" s="85">
        <f>'ERROR FINAL'!I571</f>
        <v>0</v>
      </c>
      <c r="E568" s="86">
        <f>'ERROR FINAL'!U571</f>
        <v>-100</v>
      </c>
      <c r="F568" s="87">
        <f>'ERROR FINAL'!AG571</f>
        <v>-100</v>
      </c>
      <c r="G568" s="87">
        <f>'ERROR FINAL'!AS571</f>
        <v>-100</v>
      </c>
      <c r="H568" s="88" t="str">
        <f>IF('ERROR FINAL'!AT571="CONFORME","CONFORME","NO CONFORME")</f>
        <v>NO CONFORME</v>
      </c>
      <c r="I568" s="89" t="str">
        <f t="shared" si="8"/>
        <v>Medición</v>
      </c>
    </row>
    <row r="569" spans="1:9" x14ac:dyDescent="0.2">
      <c r="A569" s="82">
        <f>'ERROR FINAL'!A572</f>
        <v>564</v>
      </c>
      <c r="B569" s="83">
        <f>'ERROR FINAL'!D572</f>
        <v>6</v>
      </c>
      <c r="C569" s="84">
        <f>'ERROR FINAL'!G572</f>
        <v>0</v>
      </c>
      <c r="D569" s="85">
        <f>'ERROR FINAL'!I572</f>
        <v>0</v>
      </c>
      <c r="E569" s="86">
        <f>'ERROR FINAL'!U572</f>
        <v>-100</v>
      </c>
      <c r="F569" s="87">
        <f>'ERROR FINAL'!AG572</f>
        <v>-100</v>
      </c>
      <c r="G569" s="87">
        <f>'ERROR FINAL'!AS572</f>
        <v>-100</v>
      </c>
      <c r="H569" s="88" t="str">
        <f>IF('ERROR FINAL'!AT572="CONFORME","CONFORME","NO CONFORME")</f>
        <v>NO CONFORME</v>
      </c>
      <c r="I569" s="89" t="str">
        <f t="shared" si="8"/>
        <v>Medición</v>
      </c>
    </row>
    <row r="570" spans="1:9" x14ac:dyDescent="0.2">
      <c r="A570" s="82">
        <f>'ERROR FINAL'!A573</f>
        <v>565</v>
      </c>
      <c r="B570" s="83">
        <f>'ERROR FINAL'!D573</f>
        <v>6</v>
      </c>
      <c r="C570" s="84">
        <f>'ERROR FINAL'!G573</f>
        <v>0</v>
      </c>
      <c r="D570" s="85">
        <f>'ERROR FINAL'!I573</f>
        <v>0</v>
      </c>
      <c r="E570" s="86">
        <f>'ERROR FINAL'!U573</f>
        <v>-100</v>
      </c>
      <c r="F570" s="87">
        <f>'ERROR FINAL'!AG573</f>
        <v>-100</v>
      </c>
      <c r="G570" s="87">
        <f>'ERROR FINAL'!AS573</f>
        <v>-100</v>
      </c>
      <c r="H570" s="88" t="str">
        <f>IF('ERROR FINAL'!AT573="CONFORME","CONFORME","NO CONFORME")</f>
        <v>NO CONFORME</v>
      </c>
      <c r="I570" s="89" t="str">
        <f t="shared" si="8"/>
        <v>Medición</v>
      </c>
    </row>
    <row r="571" spans="1:9" x14ac:dyDescent="0.2">
      <c r="A571" s="82">
        <f>'ERROR FINAL'!A574</f>
        <v>566</v>
      </c>
      <c r="B571" s="83">
        <f>'ERROR FINAL'!D574</f>
        <v>6</v>
      </c>
      <c r="C571" s="84">
        <f>'ERROR FINAL'!G574</f>
        <v>0</v>
      </c>
      <c r="D571" s="85">
        <f>'ERROR FINAL'!I574</f>
        <v>0</v>
      </c>
      <c r="E571" s="86">
        <f>'ERROR FINAL'!U574</f>
        <v>-100</v>
      </c>
      <c r="F571" s="87">
        <f>'ERROR FINAL'!AG574</f>
        <v>-100</v>
      </c>
      <c r="G571" s="87">
        <f>'ERROR FINAL'!AS574</f>
        <v>-100</v>
      </c>
      <c r="H571" s="88" t="str">
        <f>IF('ERROR FINAL'!AT574="CONFORME","CONFORME","NO CONFORME")</f>
        <v>NO CONFORME</v>
      </c>
      <c r="I571" s="89" t="str">
        <f t="shared" si="8"/>
        <v>Medición</v>
      </c>
    </row>
    <row r="572" spans="1:9" x14ac:dyDescent="0.2">
      <c r="A572" s="82">
        <f>'ERROR FINAL'!A575</f>
        <v>567</v>
      </c>
      <c r="B572" s="83">
        <f>'ERROR FINAL'!D575</f>
        <v>6</v>
      </c>
      <c r="C572" s="84">
        <f>'ERROR FINAL'!G575</f>
        <v>0</v>
      </c>
      <c r="D572" s="85">
        <f>'ERROR FINAL'!I575</f>
        <v>0</v>
      </c>
      <c r="E572" s="86">
        <f>'ERROR FINAL'!U575</f>
        <v>-100</v>
      </c>
      <c r="F572" s="87">
        <f>'ERROR FINAL'!AG575</f>
        <v>-100</v>
      </c>
      <c r="G572" s="87">
        <f>'ERROR FINAL'!AS575</f>
        <v>-100</v>
      </c>
      <c r="H572" s="88" t="str">
        <f>IF('ERROR FINAL'!AT575="CONFORME","CONFORME","NO CONFORME")</f>
        <v>NO CONFORME</v>
      </c>
      <c r="I572" s="89" t="str">
        <f t="shared" si="8"/>
        <v>Medición</v>
      </c>
    </row>
    <row r="573" spans="1:9" x14ac:dyDescent="0.2">
      <c r="A573" s="82">
        <f>'ERROR FINAL'!A576</f>
        <v>568</v>
      </c>
      <c r="B573" s="83">
        <f>'ERROR FINAL'!D576</f>
        <v>6</v>
      </c>
      <c r="C573" s="84">
        <f>'ERROR FINAL'!G576</f>
        <v>0</v>
      </c>
      <c r="D573" s="85">
        <f>'ERROR FINAL'!I576</f>
        <v>0</v>
      </c>
      <c r="E573" s="86">
        <f>'ERROR FINAL'!U576</f>
        <v>-100</v>
      </c>
      <c r="F573" s="87">
        <f>'ERROR FINAL'!AG576</f>
        <v>-100</v>
      </c>
      <c r="G573" s="87">
        <f>'ERROR FINAL'!AS576</f>
        <v>-100</v>
      </c>
      <c r="H573" s="88" t="str">
        <f>IF('ERROR FINAL'!AT576="CONFORME","CONFORME","NO CONFORME")</f>
        <v>NO CONFORME</v>
      </c>
      <c r="I573" s="89" t="str">
        <f t="shared" si="8"/>
        <v>Medición</v>
      </c>
    </row>
    <row r="574" spans="1:9" x14ac:dyDescent="0.2">
      <c r="A574" s="82">
        <f>'ERROR FINAL'!A577</f>
        <v>569</v>
      </c>
      <c r="B574" s="83">
        <f>'ERROR FINAL'!D577</f>
        <v>6</v>
      </c>
      <c r="C574" s="84">
        <f>'ERROR FINAL'!G577</f>
        <v>0</v>
      </c>
      <c r="D574" s="85">
        <f>'ERROR FINAL'!I577</f>
        <v>0</v>
      </c>
      <c r="E574" s="86">
        <f>'ERROR FINAL'!U577</f>
        <v>-100</v>
      </c>
      <c r="F574" s="87">
        <f>'ERROR FINAL'!AG577</f>
        <v>-100</v>
      </c>
      <c r="G574" s="87">
        <f>'ERROR FINAL'!AS577</f>
        <v>-100</v>
      </c>
      <c r="H574" s="88" t="str">
        <f>IF('ERROR FINAL'!AT577="CONFORME","CONFORME","NO CONFORME")</f>
        <v>NO CONFORME</v>
      </c>
      <c r="I574" s="89" t="str">
        <f t="shared" si="8"/>
        <v>Medición</v>
      </c>
    </row>
    <row r="575" spans="1:9" x14ac:dyDescent="0.2">
      <c r="A575" s="82">
        <f>'ERROR FINAL'!A578</f>
        <v>570</v>
      </c>
      <c r="B575" s="83">
        <f>'ERROR FINAL'!D578</f>
        <v>6</v>
      </c>
      <c r="C575" s="84">
        <f>'ERROR FINAL'!G578</f>
        <v>0</v>
      </c>
      <c r="D575" s="85">
        <f>'ERROR FINAL'!I578</f>
        <v>0</v>
      </c>
      <c r="E575" s="86">
        <f>'ERROR FINAL'!U578</f>
        <v>-100</v>
      </c>
      <c r="F575" s="87">
        <f>'ERROR FINAL'!AG578</f>
        <v>-100</v>
      </c>
      <c r="G575" s="87">
        <f>'ERROR FINAL'!AS578</f>
        <v>-100</v>
      </c>
      <c r="H575" s="88" t="str">
        <f>IF('ERROR FINAL'!AT578="CONFORME","CONFORME","NO CONFORME")</f>
        <v>NO CONFORME</v>
      </c>
      <c r="I575" s="89" t="str">
        <f t="shared" si="8"/>
        <v>Medición</v>
      </c>
    </row>
    <row r="576" spans="1:9" x14ac:dyDescent="0.2">
      <c r="A576" s="82">
        <f>'ERROR FINAL'!A579</f>
        <v>571</v>
      </c>
      <c r="B576" s="83">
        <f>'ERROR FINAL'!D579</f>
        <v>6</v>
      </c>
      <c r="C576" s="84">
        <f>'ERROR FINAL'!G579</f>
        <v>0</v>
      </c>
      <c r="D576" s="85">
        <f>'ERROR FINAL'!I579</f>
        <v>0</v>
      </c>
      <c r="E576" s="86">
        <f>'ERROR FINAL'!U579</f>
        <v>-100</v>
      </c>
      <c r="F576" s="87">
        <f>'ERROR FINAL'!AG579</f>
        <v>-100</v>
      </c>
      <c r="G576" s="87">
        <f>'ERROR FINAL'!AS579</f>
        <v>-100</v>
      </c>
      <c r="H576" s="88" t="str">
        <f>IF('ERROR FINAL'!AT579="CONFORME","CONFORME","NO CONFORME")</f>
        <v>NO CONFORME</v>
      </c>
      <c r="I576" s="89" t="str">
        <f t="shared" si="8"/>
        <v>Medición</v>
      </c>
    </row>
    <row r="577" spans="1:9" x14ac:dyDescent="0.2">
      <c r="A577" s="82">
        <f>'ERROR FINAL'!A580</f>
        <v>572</v>
      </c>
      <c r="B577" s="83">
        <f>'ERROR FINAL'!D580</f>
        <v>6</v>
      </c>
      <c r="C577" s="84">
        <f>'ERROR FINAL'!G580</f>
        <v>0</v>
      </c>
      <c r="D577" s="85">
        <f>'ERROR FINAL'!I580</f>
        <v>0</v>
      </c>
      <c r="E577" s="86">
        <f>'ERROR FINAL'!U580</f>
        <v>-100</v>
      </c>
      <c r="F577" s="87">
        <f>'ERROR FINAL'!AG580</f>
        <v>-100</v>
      </c>
      <c r="G577" s="87">
        <f>'ERROR FINAL'!AS580</f>
        <v>-100</v>
      </c>
      <c r="H577" s="88" t="str">
        <f>IF('ERROR FINAL'!AT580="CONFORME","CONFORME","NO CONFORME")</f>
        <v>NO CONFORME</v>
      </c>
      <c r="I577" s="89" t="str">
        <f t="shared" si="8"/>
        <v>Medición</v>
      </c>
    </row>
    <row r="578" spans="1:9" x14ac:dyDescent="0.2">
      <c r="A578" s="82">
        <f>'ERROR FINAL'!A581</f>
        <v>573</v>
      </c>
      <c r="B578" s="83">
        <f>'ERROR FINAL'!D581</f>
        <v>6</v>
      </c>
      <c r="C578" s="84">
        <f>'ERROR FINAL'!G581</f>
        <v>0</v>
      </c>
      <c r="D578" s="85">
        <f>'ERROR FINAL'!I581</f>
        <v>0</v>
      </c>
      <c r="E578" s="86">
        <f>'ERROR FINAL'!U581</f>
        <v>-100</v>
      </c>
      <c r="F578" s="87">
        <f>'ERROR FINAL'!AG581</f>
        <v>-100</v>
      </c>
      <c r="G578" s="87">
        <f>'ERROR FINAL'!AS581</f>
        <v>-100</v>
      </c>
      <c r="H578" s="88" t="str">
        <f>IF('ERROR FINAL'!AT581="CONFORME","CONFORME","NO CONFORME")</f>
        <v>NO CONFORME</v>
      </c>
      <c r="I578" s="89" t="str">
        <f t="shared" si="8"/>
        <v>Medición</v>
      </c>
    </row>
    <row r="579" spans="1:9" x14ac:dyDescent="0.2">
      <c r="A579" s="82">
        <f>'ERROR FINAL'!A582</f>
        <v>574</v>
      </c>
      <c r="B579" s="83">
        <f>'ERROR FINAL'!D582</f>
        <v>6</v>
      </c>
      <c r="C579" s="84">
        <f>'ERROR FINAL'!G582</f>
        <v>0</v>
      </c>
      <c r="D579" s="85">
        <f>'ERROR FINAL'!I582</f>
        <v>0</v>
      </c>
      <c r="E579" s="86">
        <f>'ERROR FINAL'!U582</f>
        <v>-100</v>
      </c>
      <c r="F579" s="87">
        <f>'ERROR FINAL'!AG582</f>
        <v>-100</v>
      </c>
      <c r="G579" s="87">
        <f>'ERROR FINAL'!AS582</f>
        <v>-100</v>
      </c>
      <c r="H579" s="88" t="str">
        <f>IF('ERROR FINAL'!AT582="CONFORME","CONFORME","NO CONFORME")</f>
        <v>NO CONFORME</v>
      </c>
      <c r="I579" s="89" t="str">
        <f t="shared" si="8"/>
        <v>Medición</v>
      </c>
    </row>
    <row r="580" spans="1:9" x14ac:dyDescent="0.2">
      <c r="A580" s="82">
        <f>'ERROR FINAL'!A583</f>
        <v>575</v>
      </c>
      <c r="B580" s="83">
        <f>'ERROR FINAL'!D583</f>
        <v>6</v>
      </c>
      <c r="C580" s="84">
        <f>'ERROR FINAL'!G583</f>
        <v>0</v>
      </c>
      <c r="D580" s="85">
        <f>'ERROR FINAL'!I583</f>
        <v>0</v>
      </c>
      <c r="E580" s="86">
        <f>'ERROR FINAL'!U583</f>
        <v>-100</v>
      </c>
      <c r="F580" s="87">
        <f>'ERROR FINAL'!AG583</f>
        <v>-100</v>
      </c>
      <c r="G580" s="87">
        <f>'ERROR FINAL'!AS583</f>
        <v>-100</v>
      </c>
      <c r="H580" s="88" t="str">
        <f>IF('ERROR FINAL'!AT583="CONFORME","CONFORME","NO CONFORME")</f>
        <v>NO CONFORME</v>
      </c>
      <c r="I580" s="89" t="str">
        <f t="shared" si="8"/>
        <v>Medición</v>
      </c>
    </row>
    <row r="581" spans="1:9" x14ac:dyDescent="0.2">
      <c r="A581" s="82">
        <f>'ERROR FINAL'!A584</f>
        <v>576</v>
      </c>
      <c r="B581" s="83">
        <f>'ERROR FINAL'!D584</f>
        <v>6</v>
      </c>
      <c r="C581" s="84">
        <f>'ERROR FINAL'!G584</f>
        <v>0</v>
      </c>
      <c r="D581" s="85">
        <f>'ERROR FINAL'!I584</f>
        <v>0</v>
      </c>
      <c r="E581" s="86">
        <f>'ERROR FINAL'!U584</f>
        <v>-100</v>
      </c>
      <c r="F581" s="87">
        <f>'ERROR FINAL'!AG584</f>
        <v>-100</v>
      </c>
      <c r="G581" s="87">
        <f>'ERROR FINAL'!AS584</f>
        <v>-100</v>
      </c>
      <c r="H581" s="88" t="str">
        <f>IF('ERROR FINAL'!AT584="CONFORME","CONFORME","NO CONFORME")</f>
        <v>NO CONFORME</v>
      </c>
      <c r="I581" s="89" t="str">
        <f t="shared" si="8"/>
        <v>Medición</v>
      </c>
    </row>
    <row r="582" spans="1:9" x14ac:dyDescent="0.2">
      <c r="A582" s="82">
        <f>'ERROR FINAL'!A585</f>
        <v>577</v>
      </c>
      <c r="B582" s="83">
        <f>'ERROR FINAL'!D585</f>
        <v>6</v>
      </c>
      <c r="C582" s="84">
        <f>'ERROR FINAL'!G585</f>
        <v>0</v>
      </c>
      <c r="D582" s="85">
        <f>'ERROR FINAL'!I585</f>
        <v>0</v>
      </c>
      <c r="E582" s="86">
        <f>'ERROR FINAL'!U585</f>
        <v>-100</v>
      </c>
      <c r="F582" s="87">
        <f>'ERROR FINAL'!AG585</f>
        <v>-100</v>
      </c>
      <c r="G582" s="87">
        <f>'ERROR FINAL'!AS585</f>
        <v>-100</v>
      </c>
      <c r="H582" s="88" t="str">
        <f>IF('ERROR FINAL'!AT585="CONFORME","CONFORME","NO CONFORME")</f>
        <v>NO CONFORME</v>
      </c>
      <c r="I582" s="89" t="str">
        <f t="shared" si="8"/>
        <v>Medición</v>
      </c>
    </row>
    <row r="583" spans="1:9" x14ac:dyDescent="0.2">
      <c r="A583" s="82">
        <f>'ERROR FINAL'!A586</f>
        <v>578</v>
      </c>
      <c r="B583" s="83">
        <f>'ERROR FINAL'!D586</f>
        <v>6</v>
      </c>
      <c r="C583" s="84">
        <f>'ERROR FINAL'!G586</f>
        <v>0</v>
      </c>
      <c r="D583" s="85">
        <f>'ERROR FINAL'!I586</f>
        <v>0</v>
      </c>
      <c r="E583" s="86">
        <f>'ERROR FINAL'!U586</f>
        <v>-100</v>
      </c>
      <c r="F583" s="87">
        <f>'ERROR FINAL'!AG586</f>
        <v>-100</v>
      </c>
      <c r="G583" s="87">
        <f>'ERROR FINAL'!AS586</f>
        <v>-100</v>
      </c>
      <c r="H583" s="88" t="str">
        <f>IF('ERROR FINAL'!AT586="CONFORME","CONFORME","NO CONFORME")</f>
        <v>NO CONFORME</v>
      </c>
      <c r="I583" s="89" t="str">
        <f t="shared" ref="I583:I630" si="9">IF(D583=0,"Medición",IF(D583=1,"Daño físico",IF(D583=2,"Fuga",IF(D583=3,"Picado",IF(D583=4,"Desfasado",IF(D583=5,"Paralizado","¿?"))))))</f>
        <v>Medición</v>
      </c>
    </row>
    <row r="584" spans="1:9" x14ac:dyDescent="0.2">
      <c r="A584" s="82">
        <f>'ERROR FINAL'!A587</f>
        <v>579</v>
      </c>
      <c r="B584" s="83">
        <f>'ERROR FINAL'!D587</f>
        <v>6</v>
      </c>
      <c r="C584" s="84">
        <f>'ERROR FINAL'!G587</f>
        <v>0</v>
      </c>
      <c r="D584" s="85">
        <f>'ERROR FINAL'!I587</f>
        <v>0</v>
      </c>
      <c r="E584" s="86">
        <f>'ERROR FINAL'!U587</f>
        <v>-100</v>
      </c>
      <c r="F584" s="87">
        <f>'ERROR FINAL'!AG587</f>
        <v>-100</v>
      </c>
      <c r="G584" s="87">
        <f>'ERROR FINAL'!AS587</f>
        <v>-100</v>
      </c>
      <c r="H584" s="88" t="str">
        <f>IF('ERROR FINAL'!AT587="CONFORME","CONFORME","NO CONFORME")</f>
        <v>NO CONFORME</v>
      </c>
      <c r="I584" s="89" t="str">
        <f t="shared" si="9"/>
        <v>Medición</v>
      </c>
    </row>
    <row r="585" spans="1:9" x14ac:dyDescent="0.2">
      <c r="A585" s="82">
        <f>'ERROR FINAL'!A588</f>
        <v>580</v>
      </c>
      <c r="B585" s="83">
        <f>'ERROR FINAL'!D588</f>
        <v>6</v>
      </c>
      <c r="C585" s="84">
        <f>'ERROR FINAL'!G588</f>
        <v>0</v>
      </c>
      <c r="D585" s="85">
        <f>'ERROR FINAL'!I588</f>
        <v>0</v>
      </c>
      <c r="E585" s="86">
        <f>'ERROR FINAL'!U588</f>
        <v>-100</v>
      </c>
      <c r="F585" s="87">
        <f>'ERROR FINAL'!AG588</f>
        <v>-100</v>
      </c>
      <c r="G585" s="87">
        <f>'ERROR FINAL'!AS588</f>
        <v>-100</v>
      </c>
      <c r="H585" s="88" t="str">
        <f>IF('ERROR FINAL'!AT588="CONFORME","CONFORME","NO CONFORME")</f>
        <v>NO CONFORME</v>
      </c>
      <c r="I585" s="89" t="str">
        <f t="shared" si="9"/>
        <v>Medición</v>
      </c>
    </row>
    <row r="586" spans="1:9" x14ac:dyDescent="0.2">
      <c r="A586" s="82">
        <f>'ERROR FINAL'!A589</f>
        <v>581</v>
      </c>
      <c r="B586" s="83">
        <f>'ERROR FINAL'!D589</f>
        <v>6</v>
      </c>
      <c r="C586" s="84">
        <f>'ERROR FINAL'!G589</f>
        <v>0</v>
      </c>
      <c r="D586" s="85">
        <f>'ERROR FINAL'!I589</f>
        <v>0</v>
      </c>
      <c r="E586" s="86">
        <f>'ERROR FINAL'!U589</f>
        <v>-100</v>
      </c>
      <c r="F586" s="87">
        <f>'ERROR FINAL'!AG589</f>
        <v>-100</v>
      </c>
      <c r="G586" s="87">
        <f>'ERROR FINAL'!AS589</f>
        <v>-100</v>
      </c>
      <c r="H586" s="88" t="str">
        <f>IF('ERROR FINAL'!AT589="CONFORME","CONFORME","NO CONFORME")</f>
        <v>NO CONFORME</v>
      </c>
      <c r="I586" s="89" t="str">
        <f t="shared" si="9"/>
        <v>Medición</v>
      </c>
    </row>
    <row r="587" spans="1:9" x14ac:dyDescent="0.2">
      <c r="A587" s="82">
        <f>'ERROR FINAL'!A590</f>
        <v>582</v>
      </c>
      <c r="B587" s="83">
        <f>'ERROR FINAL'!D590</f>
        <v>6</v>
      </c>
      <c r="C587" s="84">
        <f>'ERROR FINAL'!G590</f>
        <v>0</v>
      </c>
      <c r="D587" s="85">
        <f>'ERROR FINAL'!I590</f>
        <v>0</v>
      </c>
      <c r="E587" s="86">
        <f>'ERROR FINAL'!U590</f>
        <v>-100</v>
      </c>
      <c r="F587" s="87">
        <f>'ERROR FINAL'!AG590</f>
        <v>-100</v>
      </c>
      <c r="G587" s="87">
        <f>'ERROR FINAL'!AS590</f>
        <v>-100</v>
      </c>
      <c r="H587" s="88" t="str">
        <f>IF('ERROR FINAL'!AT590="CONFORME","CONFORME","NO CONFORME")</f>
        <v>NO CONFORME</v>
      </c>
      <c r="I587" s="89" t="str">
        <f t="shared" si="9"/>
        <v>Medición</v>
      </c>
    </row>
    <row r="588" spans="1:9" x14ac:dyDescent="0.2">
      <c r="A588" s="82">
        <f>'ERROR FINAL'!A591</f>
        <v>583</v>
      </c>
      <c r="B588" s="83">
        <f>'ERROR FINAL'!D591</f>
        <v>6</v>
      </c>
      <c r="C588" s="84">
        <f>'ERROR FINAL'!G591</f>
        <v>0</v>
      </c>
      <c r="D588" s="85">
        <f>'ERROR FINAL'!I591</f>
        <v>0</v>
      </c>
      <c r="E588" s="86">
        <f>'ERROR FINAL'!U591</f>
        <v>-100</v>
      </c>
      <c r="F588" s="87">
        <f>'ERROR FINAL'!AG591</f>
        <v>-100</v>
      </c>
      <c r="G588" s="87">
        <f>'ERROR FINAL'!AS591</f>
        <v>-100</v>
      </c>
      <c r="H588" s="88" t="str">
        <f>IF('ERROR FINAL'!AT591="CONFORME","CONFORME","NO CONFORME")</f>
        <v>NO CONFORME</v>
      </c>
      <c r="I588" s="89" t="str">
        <f t="shared" si="9"/>
        <v>Medición</v>
      </c>
    </row>
    <row r="589" spans="1:9" x14ac:dyDescent="0.2">
      <c r="A589" s="82">
        <f>'ERROR FINAL'!A592</f>
        <v>584</v>
      </c>
      <c r="B589" s="83">
        <f>'ERROR FINAL'!D592</f>
        <v>6</v>
      </c>
      <c r="C589" s="84">
        <f>'ERROR FINAL'!G592</f>
        <v>0</v>
      </c>
      <c r="D589" s="85">
        <f>'ERROR FINAL'!I592</f>
        <v>0</v>
      </c>
      <c r="E589" s="86">
        <f>'ERROR FINAL'!U592</f>
        <v>-100</v>
      </c>
      <c r="F589" s="87">
        <f>'ERROR FINAL'!AG592</f>
        <v>-100</v>
      </c>
      <c r="G589" s="87">
        <f>'ERROR FINAL'!AS592</f>
        <v>-100</v>
      </c>
      <c r="H589" s="88" t="str">
        <f>IF('ERROR FINAL'!AT592="CONFORME","CONFORME","NO CONFORME")</f>
        <v>NO CONFORME</v>
      </c>
      <c r="I589" s="89" t="str">
        <f t="shared" si="9"/>
        <v>Medición</v>
      </c>
    </row>
    <row r="590" spans="1:9" x14ac:dyDescent="0.2">
      <c r="A590" s="82">
        <f>'ERROR FINAL'!A593</f>
        <v>585</v>
      </c>
      <c r="B590" s="83">
        <f>'ERROR FINAL'!D593</f>
        <v>6</v>
      </c>
      <c r="C590" s="84">
        <f>'ERROR FINAL'!G593</f>
        <v>0</v>
      </c>
      <c r="D590" s="85">
        <f>'ERROR FINAL'!I593</f>
        <v>0</v>
      </c>
      <c r="E590" s="86">
        <f>'ERROR FINAL'!U593</f>
        <v>-100</v>
      </c>
      <c r="F590" s="87">
        <f>'ERROR FINAL'!AG593</f>
        <v>-100</v>
      </c>
      <c r="G590" s="87">
        <f>'ERROR FINAL'!AS593</f>
        <v>-100</v>
      </c>
      <c r="H590" s="88" t="str">
        <f>IF('ERROR FINAL'!AT593="CONFORME","CONFORME","NO CONFORME")</f>
        <v>NO CONFORME</v>
      </c>
      <c r="I590" s="89" t="str">
        <f t="shared" si="9"/>
        <v>Medición</v>
      </c>
    </row>
    <row r="591" spans="1:9" x14ac:dyDescent="0.2">
      <c r="A591" s="82">
        <f>'ERROR FINAL'!A594</f>
        <v>586</v>
      </c>
      <c r="B591" s="83">
        <f>'ERROR FINAL'!D594</f>
        <v>6</v>
      </c>
      <c r="C591" s="84">
        <f>'ERROR FINAL'!G594</f>
        <v>0</v>
      </c>
      <c r="D591" s="85">
        <f>'ERROR FINAL'!I594</f>
        <v>0</v>
      </c>
      <c r="E591" s="86">
        <f>'ERROR FINAL'!U594</f>
        <v>-100</v>
      </c>
      <c r="F591" s="87">
        <f>'ERROR FINAL'!AG594</f>
        <v>-100</v>
      </c>
      <c r="G591" s="87">
        <f>'ERROR FINAL'!AS594</f>
        <v>-100</v>
      </c>
      <c r="H591" s="88" t="str">
        <f>IF('ERROR FINAL'!AT594="CONFORME","CONFORME","NO CONFORME")</f>
        <v>NO CONFORME</v>
      </c>
      <c r="I591" s="89" t="str">
        <f t="shared" si="9"/>
        <v>Medición</v>
      </c>
    </row>
    <row r="592" spans="1:9" x14ac:dyDescent="0.2">
      <c r="A592" s="82">
        <f>'ERROR FINAL'!A595</f>
        <v>587</v>
      </c>
      <c r="B592" s="83">
        <f>'ERROR FINAL'!D595</f>
        <v>6</v>
      </c>
      <c r="C592" s="84">
        <f>'ERROR FINAL'!G595</f>
        <v>0</v>
      </c>
      <c r="D592" s="85">
        <f>'ERROR FINAL'!I595</f>
        <v>0</v>
      </c>
      <c r="E592" s="86">
        <f>'ERROR FINAL'!U595</f>
        <v>-100</v>
      </c>
      <c r="F592" s="87">
        <f>'ERROR FINAL'!AG595</f>
        <v>-100</v>
      </c>
      <c r="G592" s="87">
        <f>'ERROR FINAL'!AS595</f>
        <v>-100</v>
      </c>
      <c r="H592" s="88" t="str">
        <f>IF('ERROR FINAL'!AT595="CONFORME","CONFORME","NO CONFORME")</f>
        <v>NO CONFORME</v>
      </c>
      <c r="I592" s="89" t="str">
        <f t="shared" si="9"/>
        <v>Medición</v>
      </c>
    </row>
    <row r="593" spans="1:9" x14ac:dyDescent="0.2">
      <c r="A593" s="82">
        <f>'ERROR FINAL'!A596</f>
        <v>588</v>
      </c>
      <c r="B593" s="83">
        <f>'ERROR FINAL'!D596</f>
        <v>6</v>
      </c>
      <c r="C593" s="84">
        <f>'ERROR FINAL'!G596</f>
        <v>0</v>
      </c>
      <c r="D593" s="85">
        <f>'ERROR FINAL'!I596</f>
        <v>0</v>
      </c>
      <c r="E593" s="86">
        <f>'ERROR FINAL'!U596</f>
        <v>-100</v>
      </c>
      <c r="F593" s="87">
        <f>'ERROR FINAL'!AG596</f>
        <v>-100</v>
      </c>
      <c r="G593" s="87">
        <f>'ERROR FINAL'!AS596</f>
        <v>-100</v>
      </c>
      <c r="H593" s="88" t="str">
        <f>IF('ERROR FINAL'!AT596="CONFORME","CONFORME","NO CONFORME")</f>
        <v>NO CONFORME</v>
      </c>
      <c r="I593" s="89" t="str">
        <f t="shared" si="9"/>
        <v>Medición</v>
      </c>
    </row>
    <row r="594" spans="1:9" x14ac:dyDescent="0.2">
      <c r="A594" s="82">
        <f>'ERROR FINAL'!A597</f>
        <v>589</v>
      </c>
      <c r="B594" s="83">
        <f>'ERROR FINAL'!D597</f>
        <v>6</v>
      </c>
      <c r="C594" s="84">
        <f>'ERROR FINAL'!G597</f>
        <v>0</v>
      </c>
      <c r="D594" s="85">
        <f>'ERROR FINAL'!I597</f>
        <v>0</v>
      </c>
      <c r="E594" s="86">
        <f>'ERROR FINAL'!U597</f>
        <v>-100</v>
      </c>
      <c r="F594" s="87">
        <f>'ERROR FINAL'!AG597</f>
        <v>-100</v>
      </c>
      <c r="G594" s="87">
        <f>'ERROR FINAL'!AS597</f>
        <v>-100</v>
      </c>
      <c r="H594" s="88" t="str">
        <f>IF('ERROR FINAL'!AT597="CONFORME","CONFORME","NO CONFORME")</f>
        <v>NO CONFORME</v>
      </c>
      <c r="I594" s="89" t="str">
        <f t="shared" si="9"/>
        <v>Medición</v>
      </c>
    </row>
    <row r="595" spans="1:9" x14ac:dyDescent="0.2">
      <c r="A595" s="82">
        <f>'ERROR FINAL'!A598</f>
        <v>590</v>
      </c>
      <c r="B595" s="83">
        <f>'ERROR FINAL'!D598</f>
        <v>6</v>
      </c>
      <c r="C595" s="84">
        <f>'ERROR FINAL'!G598</f>
        <v>0</v>
      </c>
      <c r="D595" s="85">
        <f>'ERROR FINAL'!I598</f>
        <v>0</v>
      </c>
      <c r="E595" s="86">
        <f>'ERROR FINAL'!U598</f>
        <v>-100</v>
      </c>
      <c r="F595" s="87">
        <f>'ERROR FINAL'!AG598</f>
        <v>-100</v>
      </c>
      <c r="G595" s="87">
        <f>'ERROR FINAL'!AS598</f>
        <v>-100</v>
      </c>
      <c r="H595" s="88" t="str">
        <f>IF('ERROR FINAL'!AT598="CONFORME","CONFORME","NO CONFORME")</f>
        <v>NO CONFORME</v>
      </c>
      <c r="I595" s="89" t="str">
        <f t="shared" si="9"/>
        <v>Medición</v>
      </c>
    </row>
    <row r="596" spans="1:9" x14ac:dyDescent="0.2">
      <c r="A596" s="82">
        <f>'ERROR FINAL'!A599</f>
        <v>591</v>
      </c>
      <c r="B596" s="83">
        <f>'ERROR FINAL'!D599</f>
        <v>6</v>
      </c>
      <c r="C596" s="84">
        <f>'ERROR FINAL'!G599</f>
        <v>0</v>
      </c>
      <c r="D596" s="85">
        <f>'ERROR FINAL'!I599</f>
        <v>0</v>
      </c>
      <c r="E596" s="86">
        <f>'ERROR FINAL'!U599</f>
        <v>-100</v>
      </c>
      <c r="F596" s="87">
        <f>'ERROR FINAL'!AG599</f>
        <v>-100</v>
      </c>
      <c r="G596" s="87">
        <f>'ERROR FINAL'!AS599</f>
        <v>-100</v>
      </c>
      <c r="H596" s="88" t="str">
        <f>IF('ERROR FINAL'!AT599="CONFORME","CONFORME","NO CONFORME")</f>
        <v>NO CONFORME</v>
      </c>
      <c r="I596" s="89" t="str">
        <f t="shared" si="9"/>
        <v>Medición</v>
      </c>
    </row>
    <row r="597" spans="1:9" x14ac:dyDescent="0.2">
      <c r="A597" s="82">
        <f>'ERROR FINAL'!A600</f>
        <v>592</v>
      </c>
      <c r="B597" s="83">
        <f>'ERROR FINAL'!D600</f>
        <v>6</v>
      </c>
      <c r="C597" s="84">
        <f>'ERROR FINAL'!G600</f>
        <v>0</v>
      </c>
      <c r="D597" s="85">
        <f>'ERROR FINAL'!I600</f>
        <v>0</v>
      </c>
      <c r="E597" s="86">
        <f>'ERROR FINAL'!U600</f>
        <v>-100</v>
      </c>
      <c r="F597" s="87">
        <f>'ERROR FINAL'!AG600</f>
        <v>-100</v>
      </c>
      <c r="G597" s="87">
        <f>'ERROR FINAL'!AS600</f>
        <v>-100</v>
      </c>
      <c r="H597" s="88" t="str">
        <f>IF('ERROR FINAL'!AT600="CONFORME","CONFORME","NO CONFORME")</f>
        <v>NO CONFORME</v>
      </c>
      <c r="I597" s="89" t="str">
        <f t="shared" si="9"/>
        <v>Medición</v>
      </c>
    </row>
    <row r="598" spans="1:9" x14ac:dyDescent="0.2">
      <c r="A598" s="82">
        <f>'ERROR FINAL'!A601</f>
        <v>593</v>
      </c>
      <c r="B598" s="83">
        <f>'ERROR FINAL'!D601</f>
        <v>6</v>
      </c>
      <c r="C598" s="84">
        <f>'ERROR FINAL'!G601</f>
        <v>0</v>
      </c>
      <c r="D598" s="85">
        <f>'ERROR FINAL'!I601</f>
        <v>0</v>
      </c>
      <c r="E598" s="86">
        <f>'ERROR FINAL'!U601</f>
        <v>-100</v>
      </c>
      <c r="F598" s="87">
        <f>'ERROR FINAL'!AG601</f>
        <v>-100</v>
      </c>
      <c r="G598" s="87">
        <f>'ERROR FINAL'!AS601</f>
        <v>-100</v>
      </c>
      <c r="H598" s="88" t="str">
        <f>IF('ERROR FINAL'!AT601="CONFORME","CONFORME","NO CONFORME")</f>
        <v>NO CONFORME</v>
      </c>
      <c r="I598" s="89" t="str">
        <f t="shared" si="9"/>
        <v>Medición</v>
      </c>
    </row>
    <row r="599" spans="1:9" x14ac:dyDescent="0.2">
      <c r="A599" s="82">
        <f>'ERROR FINAL'!A602</f>
        <v>594</v>
      </c>
      <c r="B599" s="83">
        <f>'ERROR FINAL'!D602</f>
        <v>6</v>
      </c>
      <c r="C599" s="84">
        <f>'ERROR FINAL'!G602</f>
        <v>0</v>
      </c>
      <c r="D599" s="85">
        <f>'ERROR FINAL'!I602</f>
        <v>0</v>
      </c>
      <c r="E599" s="86">
        <f>'ERROR FINAL'!U602</f>
        <v>-100</v>
      </c>
      <c r="F599" s="87">
        <f>'ERROR FINAL'!AG602</f>
        <v>-100</v>
      </c>
      <c r="G599" s="87">
        <f>'ERROR FINAL'!AS602</f>
        <v>-100</v>
      </c>
      <c r="H599" s="88" t="str">
        <f>IF('ERROR FINAL'!AT602="CONFORME","CONFORME","NO CONFORME")</f>
        <v>NO CONFORME</v>
      </c>
      <c r="I599" s="89" t="str">
        <f t="shared" si="9"/>
        <v>Medición</v>
      </c>
    </row>
    <row r="600" spans="1:9" x14ac:dyDescent="0.2">
      <c r="A600" s="82">
        <f>'ERROR FINAL'!A603</f>
        <v>595</v>
      </c>
      <c r="B600" s="83">
        <f>'ERROR FINAL'!D603</f>
        <v>6</v>
      </c>
      <c r="C600" s="84">
        <f>'ERROR FINAL'!G603</f>
        <v>0</v>
      </c>
      <c r="D600" s="85">
        <f>'ERROR FINAL'!I603</f>
        <v>0</v>
      </c>
      <c r="E600" s="86">
        <f>'ERROR FINAL'!U603</f>
        <v>-100</v>
      </c>
      <c r="F600" s="87">
        <f>'ERROR FINAL'!AG603</f>
        <v>-100</v>
      </c>
      <c r="G600" s="87">
        <f>'ERROR FINAL'!AS603</f>
        <v>-100</v>
      </c>
      <c r="H600" s="88" t="str">
        <f>IF('ERROR FINAL'!AT603="CONFORME","CONFORME","NO CONFORME")</f>
        <v>NO CONFORME</v>
      </c>
      <c r="I600" s="89" t="str">
        <f t="shared" si="9"/>
        <v>Medición</v>
      </c>
    </row>
    <row r="601" spans="1:9" x14ac:dyDescent="0.2">
      <c r="A601" s="82">
        <f>'ERROR FINAL'!A604</f>
        <v>596</v>
      </c>
      <c r="B601" s="83">
        <f>'ERROR FINAL'!D604</f>
        <v>6</v>
      </c>
      <c r="C601" s="84">
        <f>'ERROR FINAL'!G604</f>
        <v>0</v>
      </c>
      <c r="D601" s="85">
        <f>'ERROR FINAL'!I604</f>
        <v>0</v>
      </c>
      <c r="E601" s="86">
        <f>'ERROR FINAL'!U604</f>
        <v>-100</v>
      </c>
      <c r="F601" s="87">
        <f>'ERROR FINAL'!AG604</f>
        <v>-100</v>
      </c>
      <c r="G601" s="87">
        <f>'ERROR FINAL'!AS604</f>
        <v>-100</v>
      </c>
      <c r="H601" s="88" t="str">
        <f>IF('ERROR FINAL'!AT604="CONFORME","CONFORME","NO CONFORME")</f>
        <v>NO CONFORME</v>
      </c>
      <c r="I601" s="89" t="str">
        <f t="shared" si="9"/>
        <v>Medición</v>
      </c>
    </row>
    <row r="602" spans="1:9" x14ac:dyDescent="0.2">
      <c r="A602" s="82">
        <f>'ERROR FINAL'!A605</f>
        <v>597</v>
      </c>
      <c r="B602" s="83">
        <f>'ERROR FINAL'!D605</f>
        <v>6</v>
      </c>
      <c r="C602" s="84">
        <f>'ERROR FINAL'!G605</f>
        <v>0</v>
      </c>
      <c r="D602" s="85">
        <f>'ERROR FINAL'!I605</f>
        <v>0</v>
      </c>
      <c r="E602" s="86">
        <f>'ERROR FINAL'!U605</f>
        <v>-100</v>
      </c>
      <c r="F602" s="87">
        <f>'ERROR FINAL'!AG605</f>
        <v>-100</v>
      </c>
      <c r="G602" s="87">
        <f>'ERROR FINAL'!AS605</f>
        <v>-100</v>
      </c>
      <c r="H602" s="88" t="str">
        <f>IF('ERROR FINAL'!AT605="CONFORME","CONFORME","NO CONFORME")</f>
        <v>NO CONFORME</v>
      </c>
      <c r="I602" s="89" t="str">
        <f t="shared" si="9"/>
        <v>Medición</v>
      </c>
    </row>
    <row r="603" spans="1:9" x14ac:dyDescent="0.2">
      <c r="A603" s="82">
        <f>'ERROR FINAL'!A606</f>
        <v>598</v>
      </c>
      <c r="B603" s="83">
        <f>'ERROR FINAL'!D606</f>
        <v>6</v>
      </c>
      <c r="C603" s="84">
        <f>'ERROR FINAL'!G606</f>
        <v>0</v>
      </c>
      <c r="D603" s="85">
        <f>'ERROR FINAL'!I606</f>
        <v>0</v>
      </c>
      <c r="E603" s="86">
        <f>'ERROR FINAL'!U606</f>
        <v>-100</v>
      </c>
      <c r="F603" s="87">
        <f>'ERROR FINAL'!AG606</f>
        <v>-100</v>
      </c>
      <c r="G603" s="87">
        <f>'ERROR FINAL'!AS606</f>
        <v>-100</v>
      </c>
      <c r="H603" s="88" t="str">
        <f>IF('ERROR FINAL'!AT606="CONFORME","CONFORME","NO CONFORME")</f>
        <v>NO CONFORME</v>
      </c>
      <c r="I603" s="89" t="str">
        <f t="shared" si="9"/>
        <v>Medición</v>
      </c>
    </row>
    <row r="604" spans="1:9" x14ac:dyDescent="0.2">
      <c r="A604" s="82">
        <f>'ERROR FINAL'!A607</f>
        <v>599</v>
      </c>
      <c r="B604" s="83">
        <f>'ERROR FINAL'!D607</f>
        <v>6</v>
      </c>
      <c r="C604" s="84">
        <f>'ERROR FINAL'!G607</f>
        <v>0</v>
      </c>
      <c r="D604" s="85">
        <f>'ERROR FINAL'!I607</f>
        <v>0</v>
      </c>
      <c r="E604" s="86">
        <f>'ERROR FINAL'!U607</f>
        <v>-100</v>
      </c>
      <c r="F604" s="87">
        <f>'ERROR FINAL'!AG607</f>
        <v>-100</v>
      </c>
      <c r="G604" s="87">
        <f>'ERROR FINAL'!AS607</f>
        <v>-100</v>
      </c>
      <c r="H604" s="88" t="str">
        <f>IF('ERROR FINAL'!AT607="CONFORME","CONFORME","NO CONFORME")</f>
        <v>NO CONFORME</v>
      </c>
      <c r="I604" s="89" t="str">
        <f t="shared" si="9"/>
        <v>Medición</v>
      </c>
    </row>
    <row r="605" spans="1:9" x14ac:dyDescent="0.2">
      <c r="A605" s="82">
        <f>'ERROR FINAL'!A608</f>
        <v>600</v>
      </c>
      <c r="B605" s="83">
        <f>'ERROR FINAL'!D608</f>
        <v>6</v>
      </c>
      <c r="C605" s="84">
        <f>'ERROR FINAL'!G608</f>
        <v>0</v>
      </c>
      <c r="D605" s="85">
        <f>'ERROR FINAL'!I608</f>
        <v>0</v>
      </c>
      <c r="E605" s="86">
        <f>'ERROR FINAL'!U608</f>
        <v>-100</v>
      </c>
      <c r="F605" s="87">
        <f>'ERROR FINAL'!AG608</f>
        <v>-100</v>
      </c>
      <c r="G605" s="87">
        <f>'ERROR FINAL'!AS608</f>
        <v>-100</v>
      </c>
      <c r="H605" s="88" t="str">
        <f>IF('ERROR FINAL'!AT608="CONFORME","CONFORME","NO CONFORME")</f>
        <v>NO CONFORME</v>
      </c>
      <c r="I605" s="89" t="str">
        <f t="shared" si="9"/>
        <v>Medición</v>
      </c>
    </row>
    <row r="606" spans="1:9" x14ac:dyDescent="0.2">
      <c r="A606" s="82">
        <f>'ERROR FINAL'!A609</f>
        <v>601</v>
      </c>
      <c r="B606" s="83">
        <f>'ERROR FINAL'!D609</f>
        <v>6</v>
      </c>
      <c r="C606" s="84">
        <f>'ERROR FINAL'!G609</f>
        <v>0</v>
      </c>
      <c r="D606" s="85">
        <f>'ERROR FINAL'!I609</f>
        <v>0</v>
      </c>
      <c r="E606" s="86">
        <f>'ERROR FINAL'!U609</f>
        <v>-100</v>
      </c>
      <c r="F606" s="87">
        <f>'ERROR FINAL'!AG609</f>
        <v>-100</v>
      </c>
      <c r="G606" s="87">
        <f>'ERROR FINAL'!AS609</f>
        <v>-100</v>
      </c>
      <c r="H606" s="88" t="str">
        <f>IF('ERROR FINAL'!AT609="CONFORME","CONFORME","NO CONFORME")</f>
        <v>NO CONFORME</v>
      </c>
      <c r="I606" s="89" t="str">
        <f t="shared" si="9"/>
        <v>Medición</v>
      </c>
    </row>
    <row r="607" spans="1:9" x14ac:dyDescent="0.2">
      <c r="A607" s="82">
        <f>'ERROR FINAL'!A610</f>
        <v>602</v>
      </c>
      <c r="B607" s="83">
        <f>'ERROR FINAL'!D610</f>
        <v>6</v>
      </c>
      <c r="C607" s="84">
        <f>'ERROR FINAL'!G610</f>
        <v>0</v>
      </c>
      <c r="D607" s="85">
        <f>'ERROR FINAL'!I610</f>
        <v>0</v>
      </c>
      <c r="E607" s="86">
        <f>'ERROR FINAL'!U610</f>
        <v>-100</v>
      </c>
      <c r="F607" s="87">
        <f>'ERROR FINAL'!AG610</f>
        <v>-100</v>
      </c>
      <c r="G607" s="87">
        <f>'ERROR FINAL'!AS610</f>
        <v>-100</v>
      </c>
      <c r="H607" s="88" t="str">
        <f>IF('ERROR FINAL'!AT610="CONFORME","CONFORME","NO CONFORME")</f>
        <v>NO CONFORME</v>
      </c>
      <c r="I607" s="89" t="str">
        <f t="shared" si="9"/>
        <v>Medición</v>
      </c>
    </row>
    <row r="608" spans="1:9" x14ac:dyDescent="0.2">
      <c r="A608" s="82">
        <f>'ERROR FINAL'!A611</f>
        <v>603</v>
      </c>
      <c r="B608" s="83">
        <f>'ERROR FINAL'!D611</f>
        <v>6</v>
      </c>
      <c r="C608" s="84">
        <f>'ERROR FINAL'!G611</f>
        <v>0</v>
      </c>
      <c r="D608" s="85">
        <f>'ERROR FINAL'!I611</f>
        <v>0</v>
      </c>
      <c r="E608" s="86">
        <f>'ERROR FINAL'!U611</f>
        <v>-100</v>
      </c>
      <c r="F608" s="87">
        <f>'ERROR FINAL'!AG611</f>
        <v>-100</v>
      </c>
      <c r="G608" s="87">
        <f>'ERROR FINAL'!AS611</f>
        <v>-100</v>
      </c>
      <c r="H608" s="88" t="str">
        <f>IF('ERROR FINAL'!AT611="CONFORME","CONFORME","NO CONFORME")</f>
        <v>NO CONFORME</v>
      </c>
      <c r="I608" s="89" t="str">
        <f t="shared" si="9"/>
        <v>Medición</v>
      </c>
    </row>
    <row r="609" spans="1:9" x14ac:dyDescent="0.2">
      <c r="A609" s="82">
        <f>'ERROR FINAL'!A612</f>
        <v>604</v>
      </c>
      <c r="B609" s="83">
        <f>'ERROR FINAL'!D612</f>
        <v>6</v>
      </c>
      <c r="C609" s="84">
        <f>'ERROR FINAL'!G612</f>
        <v>0</v>
      </c>
      <c r="D609" s="85">
        <f>'ERROR FINAL'!I612</f>
        <v>0</v>
      </c>
      <c r="E609" s="86">
        <f>'ERROR FINAL'!U612</f>
        <v>-100</v>
      </c>
      <c r="F609" s="87">
        <f>'ERROR FINAL'!AG612</f>
        <v>-100</v>
      </c>
      <c r="G609" s="87">
        <f>'ERROR FINAL'!AS612</f>
        <v>-100</v>
      </c>
      <c r="H609" s="88" t="str">
        <f>IF('ERROR FINAL'!AT612="CONFORME","CONFORME","NO CONFORME")</f>
        <v>NO CONFORME</v>
      </c>
      <c r="I609" s="89" t="str">
        <f t="shared" si="9"/>
        <v>Medición</v>
      </c>
    </row>
    <row r="610" spans="1:9" x14ac:dyDescent="0.2">
      <c r="A610" s="82">
        <f>'ERROR FINAL'!A613</f>
        <v>605</v>
      </c>
      <c r="B610" s="83">
        <f>'ERROR FINAL'!D613</f>
        <v>6</v>
      </c>
      <c r="C610" s="84">
        <f>'ERROR FINAL'!G613</f>
        <v>0</v>
      </c>
      <c r="D610" s="85">
        <f>'ERROR FINAL'!I613</f>
        <v>0</v>
      </c>
      <c r="E610" s="86">
        <f>'ERROR FINAL'!U613</f>
        <v>-100</v>
      </c>
      <c r="F610" s="87">
        <f>'ERROR FINAL'!AG613</f>
        <v>-100</v>
      </c>
      <c r="G610" s="87">
        <f>'ERROR FINAL'!AS613</f>
        <v>-100</v>
      </c>
      <c r="H610" s="88" t="str">
        <f>IF('ERROR FINAL'!AT613="CONFORME","CONFORME","NO CONFORME")</f>
        <v>NO CONFORME</v>
      </c>
      <c r="I610" s="89" t="str">
        <f t="shared" si="9"/>
        <v>Medición</v>
      </c>
    </row>
    <row r="611" spans="1:9" x14ac:dyDescent="0.2">
      <c r="A611" s="82">
        <f>'ERROR FINAL'!A614</f>
        <v>606</v>
      </c>
      <c r="B611" s="83">
        <f>'ERROR FINAL'!D614</f>
        <v>6</v>
      </c>
      <c r="C611" s="84">
        <f>'ERROR FINAL'!G614</f>
        <v>0</v>
      </c>
      <c r="D611" s="85">
        <f>'ERROR FINAL'!I614</f>
        <v>0</v>
      </c>
      <c r="E611" s="86">
        <f>'ERROR FINAL'!U614</f>
        <v>-100</v>
      </c>
      <c r="F611" s="87">
        <f>'ERROR FINAL'!AG614</f>
        <v>-100</v>
      </c>
      <c r="G611" s="87">
        <f>'ERROR FINAL'!AS614</f>
        <v>-100</v>
      </c>
      <c r="H611" s="88" t="str">
        <f>IF('ERROR FINAL'!AT614="CONFORME","CONFORME","NO CONFORME")</f>
        <v>NO CONFORME</v>
      </c>
      <c r="I611" s="89" t="str">
        <f t="shared" si="9"/>
        <v>Medición</v>
      </c>
    </row>
    <row r="612" spans="1:9" x14ac:dyDescent="0.2">
      <c r="A612" s="82">
        <f>'ERROR FINAL'!A615</f>
        <v>607</v>
      </c>
      <c r="B612" s="83">
        <f>'ERROR FINAL'!D615</f>
        <v>6</v>
      </c>
      <c r="C612" s="84">
        <f>'ERROR FINAL'!G615</f>
        <v>0</v>
      </c>
      <c r="D612" s="85">
        <f>'ERROR FINAL'!I615</f>
        <v>0</v>
      </c>
      <c r="E612" s="86">
        <f>'ERROR FINAL'!U615</f>
        <v>-100</v>
      </c>
      <c r="F612" s="87">
        <f>'ERROR FINAL'!AG615</f>
        <v>-100</v>
      </c>
      <c r="G612" s="87">
        <f>'ERROR FINAL'!AS615</f>
        <v>-100</v>
      </c>
      <c r="H612" s="88" t="str">
        <f>IF('ERROR FINAL'!AT615="CONFORME","CONFORME","NO CONFORME")</f>
        <v>NO CONFORME</v>
      </c>
      <c r="I612" s="89" t="str">
        <f t="shared" si="9"/>
        <v>Medición</v>
      </c>
    </row>
    <row r="613" spans="1:9" x14ac:dyDescent="0.2">
      <c r="A613" s="82">
        <f>'ERROR FINAL'!A616</f>
        <v>608</v>
      </c>
      <c r="B613" s="83">
        <f>'ERROR FINAL'!D616</f>
        <v>6</v>
      </c>
      <c r="C613" s="84">
        <f>'ERROR FINAL'!G616</f>
        <v>0</v>
      </c>
      <c r="D613" s="85">
        <f>'ERROR FINAL'!I616</f>
        <v>0</v>
      </c>
      <c r="E613" s="86">
        <f>'ERROR FINAL'!U616</f>
        <v>-100</v>
      </c>
      <c r="F613" s="87">
        <f>'ERROR FINAL'!AG616</f>
        <v>-100</v>
      </c>
      <c r="G613" s="87">
        <f>'ERROR FINAL'!AS616</f>
        <v>-100</v>
      </c>
      <c r="H613" s="88" t="str">
        <f>IF('ERROR FINAL'!AT616="CONFORME","CONFORME","NO CONFORME")</f>
        <v>NO CONFORME</v>
      </c>
      <c r="I613" s="89" t="str">
        <f t="shared" si="9"/>
        <v>Medición</v>
      </c>
    </row>
    <row r="614" spans="1:9" x14ac:dyDescent="0.2">
      <c r="A614" s="82">
        <f>'ERROR FINAL'!A617</f>
        <v>609</v>
      </c>
      <c r="B614" s="83">
        <f>'ERROR FINAL'!D617</f>
        <v>6</v>
      </c>
      <c r="C614" s="84">
        <f>'ERROR FINAL'!G617</f>
        <v>0</v>
      </c>
      <c r="D614" s="85">
        <f>'ERROR FINAL'!I617</f>
        <v>0</v>
      </c>
      <c r="E614" s="86">
        <f>'ERROR FINAL'!U617</f>
        <v>-100</v>
      </c>
      <c r="F614" s="87">
        <f>'ERROR FINAL'!AG617</f>
        <v>-100</v>
      </c>
      <c r="G614" s="87">
        <f>'ERROR FINAL'!AS617</f>
        <v>-100</v>
      </c>
      <c r="H614" s="88" t="str">
        <f>IF('ERROR FINAL'!AT617="CONFORME","CONFORME","NO CONFORME")</f>
        <v>NO CONFORME</v>
      </c>
      <c r="I614" s="89" t="str">
        <f t="shared" si="9"/>
        <v>Medición</v>
      </c>
    </row>
    <row r="615" spans="1:9" x14ac:dyDescent="0.2">
      <c r="A615" s="82">
        <f>'ERROR FINAL'!A618</f>
        <v>610</v>
      </c>
      <c r="B615" s="83">
        <f>'ERROR FINAL'!D618</f>
        <v>6</v>
      </c>
      <c r="C615" s="84">
        <f>'ERROR FINAL'!G618</f>
        <v>0</v>
      </c>
      <c r="D615" s="85">
        <f>'ERROR FINAL'!I618</f>
        <v>0</v>
      </c>
      <c r="E615" s="86">
        <f>'ERROR FINAL'!U618</f>
        <v>-100</v>
      </c>
      <c r="F615" s="87">
        <f>'ERROR FINAL'!AG618</f>
        <v>-100</v>
      </c>
      <c r="G615" s="87">
        <f>'ERROR FINAL'!AS618</f>
        <v>-100</v>
      </c>
      <c r="H615" s="88" t="str">
        <f>IF('ERROR FINAL'!AT618="CONFORME","CONFORME","NO CONFORME")</f>
        <v>NO CONFORME</v>
      </c>
      <c r="I615" s="89" t="str">
        <f t="shared" si="9"/>
        <v>Medición</v>
      </c>
    </row>
    <row r="616" spans="1:9" x14ac:dyDescent="0.2">
      <c r="A616" s="82">
        <f>'ERROR FINAL'!A619</f>
        <v>611</v>
      </c>
      <c r="B616" s="83">
        <f>'ERROR FINAL'!D619</f>
        <v>6</v>
      </c>
      <c r="C616" s="84">
        <f>'ERROR FINAL'!G619</f>
        <v>0</v>
      </c>
      <c r="D616" s="85">
        <f>'ERROR FINAL'!I619</f>
        <v>0</v>
      </c>
      <c r="E616" s="86">
        <f>'ERROR FINAL'!U619</f>
        <v>-100</v>
      </c>
      <c r="F616" s="87">
        <f>'ERROR FINAL'!AG619</f>
        <v>-100</v>
      </c>
      <c r="G616" s="87">
        <f>'ERROR FINAL'!AS619</f>
        <v>-100</v>
      </c>
      <c r="H616" s="88" t="str">
        <f>IF('ERROR FINAL'!AT619="CONFORME","CONFORME","NO CONFORME")</f>
        <v>NO CONFORME</v>
      </c>
      <c r="I616" s="89" t="str">
        <f t="shared" si="9"/>
        <v>Medición</v>
      </c>
    </row>
    <row r="617" spans="1:9" x14ac:dyDescent="0.2">
      <c r="A617" s="82">
        <f>'ERROR FINAL'!A620</f>
        <v>612</v>
      </c>
      <c r="B617" s="83">
        <f>'ERROR FINAL'!D620</f>
        <v>6</v>
      </c>
      <c r="C617" s="84">
        <f>'ERROR FINAL'!G620</f>
        <v>0</v>
      </c>
      <c r="D617" s="85">
        <f>'ERROR FINAL'!I620</f>
        <v>0</v>
      </c>
      <c r="E617" s="86">
        <f>'ERROR FINAL'!U620</f>
        <v>-100</v>
      </c>
      <c r="F617" s="87">
        <f>'ERROR FINAL'!AG620</f>
        <v>-100</v>
      </c>
      <c r="G617" s="87">
        <f>'ERROR FINAL'!AS620</f>
        <v>-100</v>
      </c>
      <c r="H617" s="88" t="str">
        <f>IF('ERROR FINAL'!AT620="CONFORME","CONFORME","NO CONFORME")</f>
        <v>NO CONFORME</v>
      </c>
      <c r="I617" s="89" t="str">
        <f t="shared" si="9"/>
        <v>Medición</v>
      </c>
    </row>
    <row r="618" spans="1:9" x14ac:dyDescent="0.2">
      <c r="A618" s="82">
        <f>'ERROR FINAL'!A621</f>
        <v>613</v>
      </c>
      <c r="B618" s="83">
        <f>'ERROR FINAL'!D621</f>
        <v>6</v>
      </c>
      <c r="C618" s="84">
        <f>'ERROR FINAL'!G621</f>
        <v>0</v>
      </c>
      <c r="D618" s="85">
        <f>'ERROR FINAL'!I621</f>
        <v>0</v>
      </c>
      <c r="E618" s="86">
        <f>'ERROR FINAL'!U621</f>
        <v>-100</v>
      </c>
      <c r="F618" s="87">
        <f>'ERROR FINAL'!AG621</f>
        <v>-100</v>
      </c>
      <c r="G618" s="87">
        <f>'ERROR FINAL'!AS621</f>
        <v>-100</v>
      </c>
      <c r="H618" s="88" t="str">
        <f>IF('ERROR FINAL'!AT621="CONFORME","CONFORME","NO CONFORME")</f>
        <v>NO CONFORME</v>
      </c>
      <c r="I618" s="89" t="str">
        <f t="shared" si="9"/>
        <v>Medición</v>
      </c>
    </row>
    <row r="619" spans="1:9" x14ac:dyDescent="0.2">
      <c r="A619" s="82">
        <f>'ERROR FINAL'!A622</f>
        <v>614</v>
      </c>
      <c r="B619" s="83">
        <f>'ERROR FINAL'!D622</f>
        <v>6</v>
      </c>
      <c r="C619" s="84">
        <f>'ERROR FINAL'!G622</f>
        <v>0</v>
      </c>
      <c r="D619" s="85">
        <f>'ERROR FINAL'!I622</f>
        <v>0</v>
      </c>
      <c r="E619" s="86">
        <f>'ERROR FINAL'!U622</f>
        <v>-100</v>
      </c>
      <c r="F619" s="87">
        <f>'ERROR FINAL'!AG622</f>
        <v>-100</v>
      </c>
      <c r="G619" s="87">
        <f>'ERROR FINAL'!AS622</f>
        <v>-100</v>
      </c>
      <c r="H619" s="88" t="str">
        <f>IF('ERROR FINAL'!AT622="CONFORME","CONFORME","NO CONFORME")</f>
        <v>NO CONFORME</v>
      </c>
      <c r="I619" s="89" t="str">
        <f t="shared" si="9"/>
        <v>Medición</v>
      </c>
    </row>
    <row r="620" spans="1:9" x14ac:dyDescent="0.2">
      <c r="A620" s="82">
        <f>'ERROR FINAL'!A623</f>
        <v>615</v>
      </c>
      <c r="B620" s="83">
        <f>'ERROR FINAL'!D623</f>
        <v>6</v>
      </c>
      <c r="C620" s="84">
        <f>'ERROR FINAL'!G623</f>
        <v>0</v>
      </c>
      <c r="D620" s="85">
        <f>'ERROR FINAL'!I623</f>
        <v>0</v>
      </c>
      <c r="E620" s="86">
        <f>'ERROR FINAL'!U623</f>
        <v>-100</v>
      </c>
      <c r="F620" s="87">
        <f>'ERROR FINAL'!AG623</f>
        <v>-100</v>
      </c>
      <c r="G620" s="87">
        <f>'ERROR FINAL'!AS623</f>
        <v>-100</v>
      </c>
      <c r="H620" s="88" t="str">
        <f>IF('ERROR FINAL'!AT623="CONFORME","CONFORME","NO CONFORME")</f>
        <v>NO CONFORME</v>
      </c>
      <c r="I620" s="89" t="str">
        <f t="shared" si="9"/>
        <v>Medición</v>
      </c>
    </row>
    <row r="621" spans="1:9" x14ac:dyDescent="0.2">
      <c r="A621" s="82">
        <f>'ERROR FINAL'!A624</f>
        <v>616</v>
      </c>
      <c r="B621" s="83">
        <f>'ERROR FINAL'!D624</f>
        <v>6</v>
      </c>
      <c r="C621" s="84">
        <f>'ERROR FINAL'!G624</f>
        <v>0</v>
      </c>
      <c r="D621" s="85">
        <f>'ERROR FINAL'!I624</f>
        <v>0</v>
      </c>
      <c r="E621" s="86">
        <f>'ERROR FINAL'!U624</f>
        <v>-100</v>
      </c>
      <c r="F621" s="87">
        <f>'ERROR FINAL'!AG624</f>
        <v>-100</v>
      </c>
      <c r="G621" s="87">
        <f>'ERROR FINAL'!AS624</f>
        <v>-100</v>
      </c>
      <c r="H621" s="88" t="str">
        <f>IF('ERROR FINAL'!AT624="CONFORME","CONFORME","NO CONFORME")</f>
        <v>NO CONFORME</v>
      </c>
      <c r="I621" s="89" t="str">
        <f t="shared" si="9"/>
        <v>Medición</v>
      </c>
    </row>
    <row r="622" spans="1:9" x14ac:dyDescent="0.2">
      <c r="A622" s="82">
        <f>'ERROR FINAL'!A625</f>
        <v>617</v>
      </c>
      <c r="B622" s="83">
        <f>'ERROR FINAL'!D625</f>
        <v>6</v>
      </c>
      <c r="C622" s="84">
        <f>'ERROR FINAL'!G625</f>
        <v>0</v>
      </c>
      <c r="D622" s="85">
        <f>'ERROR FINAL'!I625</f>
        <v>0</v>
      </c>
      <c r="E622" s="86">
        <f>'ERROR FINAL'!U625</f>
        <v>-100</v>
      </c>
      <c r="F622" s="87">
        <f>'ERROR FINAL'!AG625</f>
        <v>-100</v>
      </c>
      <c r="G622" s="87">
        <f>'ERROR FINAL'!AS625</f>
        <v>-100</v>
      </c>
      <c r="H622" s="88" t="str">
        <f>IF('ERROR FINAL'!AT625="CONFORME","CONFORME","NO CONFORME")</f>
        <v>NO CONFORME</v>
      </c>
      <c r="I622" s="89" t="str">
        <f t="shared" si="9"/>
        <v>Medición</v>
      </c>
    </row>
    <row r="623" spans="1:9" x14ac:dyDescent="0.2">
      <c r="A623" s="82">
        <f>'ERROR FINAL'!A626</f>
        <v>618</v>
      </c>
      <c r="B623" s="83">
        <f>'ERROR FINAL'!D626</f>
        <v>6</v>
      </c>
      <c r="C623" s="84">
        <f>'ERROR FINAL'!G626</f>
        <v>0</v>
      </c>
      <c r="D623" s="85">
        <f>'ERROR FINAL'!I626</f>
        <v>0</v>
      </c>
      <c r="E623" s="86">
        <f>'ERROR FINAL'!U626</f>
        <v>-100</v>
      </c>
      <c r="F623" s="87">
        <f>'ERROR FINAL'!AG626</f>
        <v>-100</v>
      </c>
      <c r="G623" s="87">
        <f>'ERROR FINAL'!AS626</f>
        <v>-100</v>
      </c>
      <c r="H623" s="88" t="str">
        <f>IF('ERROR FINAL'!AT626="CONFORME","CONFORME","NO CONFORME")</f>
        <v>NO CONFORME</v>
      </c>
      <c r="I623" s="89" t="str">
        <f t="shared" si="9"/>
        <v>Medición</v>
      </c>
    </row>
    <row r="624" spans="1:9" x14ac:dyDescent="0.2">
      <c r="A624" s="82">
        <f>'ERROR FINAL'!A627</f>
        <v>619</v>
      </c>
      <c r="B624" s="83">
        <f>'ERROR FINAL'!D627</f>
        <v>6</v>
      </c>
      <c r="C624" s="84">
        <f>'ERROR FINAL'!G627</f>
        <v>0</v>
      </c>
      <c r="D624" s="85">
        <f>'ERROR FINAL'!I627</f>
        <v>0</v>
      </c>
      <c r="E624" s="86">
        <f>'ERROR FINAL'!U627</f>
        <v>-100</v>
      </c>
      <c r="F624" s="87">
        <f>'ERROR FINAL'!AG627</f>
        <v>-100</v>
      </c>
      <c r="G624" s="87">
        <f>'ERROR FINAL'!AS627</f>
        <v>-100</v>
      </c>
      <c r="H624" s="88" t="str">
        <f>IF('ERROR FINAL'!AT627="CONFORME","CONFORME","NO CONFORME")</f>
        <v>NO CONFORME</v>
      </c>
      <c r="I624" s="89" t="str">
        <f t="shared" si="9"/>
        <v>Medición</v>
      </c>
    </row>
    <row r="625" spans="1:9" x14ac:dyDescent="0.2">
      <c r="A625" s="82">
        <f>'ERROR FINAL'!A628</f>
        <v>620</v>
      </c>
      <c r="B625" s="83">
        <f>'ERROR FINAL'!D628</f>
        <v>6</v>
      </c>
      <c r="C625" s="84">
        <f>'ERROR FINAL'!G628</f>
        <v>0</v>
      </c>
      <c r="D625" s="85">
        <f>'ERROR FINAL'!I628</f>
        <v>0</v>
      </c>
      <c r="E625" s="86">
        <f>'ERROR FINAL'!U628</f>
        <v>-100</v>
      </c>
      <c r="F625" s="87">
        <f>'ERROR FINAL'!AG628</f>
        <v>-100</v>
      </c>
      <c r="G625" s="87">
        <f>'ERROR FINAL'!AS628</f>
        <v>-100</v>
      </c>
      <c r="H625" s="88" t="str">
        <f>IF('ERROR FINAL'!AT628="CONFORME","CONFORME","NO CONFORME")</f>
        <v>NO CONFORME</v>
      </c>
      <c r="I625" s="89" t="str">
        <f t="shared" si="9"/>
        <v>Medición</v>
      </c>
    </row>
    <row r="626" spans="1:9" x14ac:dyDescent="0.2">
      <c r="A626" s="82">
        <f>'ERROR FINAL'!A629</f>
        <v>621</v>
      </c>
      <c r="B626" s="83">
        <f>'ERROR FINAL'!D629</f>
        <v>6</v>
      </c>
      <c r="C626" s="84">
        <f>'ERROR FINAL'!G629</f>
        <v>0</v>
      </c>
      <c r="D626" s="85">
        <f>'ERROR FINAL'!I629</f>
        <v>0</v>
      </c>
      <c r="E626" s="86">
        <f>'ERROR FINAL'!U629</f>
        <v>-100</v>
      </c>
      <c r="F626" s="87">
        <f>'ERROR FINAL'!AG629</f>
        <v>-100</v>
      </c>
      <c r="G626" s="87">
        <f>'ERROR FINAL'!AS629</f>
        <v>-100</v>
      </c>
      <c r="H626" s="88" t="str">
        <f>IF('ERROR FINAL'!AT629="CONFORME","CONFORME","NO CONFORME")</f>
        <v>NO CONFORME</v>
      </c>
      <c r="I626" s="89" t="str">
        <f t="shared" si="9"/>
        <v>Medición</v>
      </c>
    </row>
    <row r="627" spans="1:9" x14ac:dyDescent="0.2">
      <c r="A627" s="82">
        <f>'ERROR FINAL'!A630</f>
        <v>622</v>
      </c>
      <c r="B627" s="83">
        <f>'ERROR FINAL'!D630</f>
        <v>6</v>
      </c>
      <c r="C627" s="84">
        <f>'ERROR FINAL'!G630</f>
        <v>0</v>
      </c>
      <c r="D627" s="85">
        <f>'ERROR FINAL'!I630</f>
        <v>0</v>
      </c>
      <c r="E627" s="86">
        <f>'ERROR FINAL'!U630</f>
        <v>-100</v>
      </c>
      <c r="F627" s="87">
        <f>'ERROR FINAL'!AG630</f>
        <v>-100</v>
      </c>
      <c r="G627" s="87">
        <f>'ERROR FINAL'!AS630</f>
        <v>-100</v>
      </c>
      <c r="H627" s="88" t="str">
        <f>IF('ERROR FINAL'!AT630="CONFORME","CONFORME","NO CONFORME")</f>
        <v>NO CONFORME</v>
      </c>
      <c r="I627" s="89" t="str">
        <f t="shared" si="9"/>
        <v>Medición</v>
      </c>
    </row>
    <row r="628" spans="1:9" x14ac:dyDescent="0.2">
      <c r="A628" s="82">
        <f>'ERROR FINAL'!A631</f>
        <v>623</v>
      </c>
      <c r="B628" s="83">
        <f>'ERROR FINAL'!D631</f>
        <v>6</v>
      </c>
      <c r="C628" s="84">
        <f>'ERROR FINAL'!G631</f>
        <v>0</v>
      </c>
      <c r="D628" s="85">
        <f>'ERROR FINAL'!I631</f>
        <v>0</v>
      </c>
      <c r="E628" s="86">
        <f>'ERROR FINAL'!U631</f>
        <v>-100</v>
      </c>
      <c r="F628" s="87">
        <f>'ERROR FINAL'!AG631</f>
        <v>-100</v>
      </c>
      <c r="G628" s="87">
        <f>'ERROR FINAL'!AS631</f>
        <v>-100</v>
      </c>
      <c r="H628" s="88" t="str">
        <f>IF('ERROR FINAL'!AT631="CONFORME","CONFORME","NO CONFORME")</f>
        <v>NO CONFORME</v>
      </c>
      <c r="I628" s="89" t="str">
        <f t="shared" si="9"/>
        <v>Medición</v>
      </c>
    </row>
    <row r="629" spans="1:9" x14ac:dyDescent="0.2">
      <c r="A629" s="82">
        <f>'ERROR FINAL'!A632</f>
        <v>624</v>
      </c>
      <c r="B629" s="83">
        <f>'ERROR FINAL'!D632</f>
        <v>6</v>
      </c>
      <c r="C629" s="84">
        <f>'ERROR FINAL'!G632</f>
        <v>0</v>
      </c>
      <c r="D629" s="85">
        <f>'ERROR FINAL'!I632</f>
        <v>0</v>
      </c>
      <c r="E629" s="86">
        <f>'ERROR FINAL'!U632</f>
        <v>-100</v>
      </c>
      <c r="F629" s="87">
        <f>'ERROR FINAL'!AG632</f>
        <v>-100</v>
      </c>
      <c r="G629" s="87">
        <f>'ERROR FINAL'!AS632</f>
        <v>-100</v>
      </c>
      <c r="H629" s="88" t="str">
        <f>IF('ERROR FINAL'!AT632="CONFORME","CONFORME","NO CONFORME")</f>
        <v>NO CONFORME</v>
      </c>
      <c r="I629" s="89" t="str">
        <f t="shared" si="9"/>
        <v>Medición</v>
      </c>
    </row>
    <row r="630" spans="1:9" x14ac:dyDescent="0.2">
      <c r="A630" s="82">
        <f>'ERROR FINAL'!A633</f>
        <v>625</v>
      </c>
      <c r="B630" s="83">
        <f>'ERROR FINAL'!D633</f>
        <v>6</v>
      </c>
      <c r="C630" s="84">
        <f>'ERROR FINAL'!G633</f>
        <v>0</v>
      </c>
      <c r="D630" s="85">
        <f>'ERROR FINAL'!I633</f>
        <v>0</v>
      </c>
      <c r="E630" s="86">
        <f>'ERROR FINAL'!U633</f>
        <v>-100</v>
      </c>
      <c r="F630" s="87">
        <f>'ERROR FINAL'!AG633</f>
        <v>-100</v>
      </c>
      <c r="G630" s="87">
        <f>'ERROR FINAL'!AS633</f>
        <v>-100</v>
      </c>
      <c r="H630" s="88" t="str">
        <f>IF('ERROR FINAL'!AT633="CONFORME","CONFORME","NO CONFORME")</f>
        <v>NO CONFORME</v>
      </c>
      <c r="I630" s="89" t="str">
        <f t="shared" si="9"/>
        <v>Medición</v>
      </c>
    </row>
    <row r="631" spans="1:9" x14ac:dyDescent="0.2">
      <c r="A631" s="82">
        <f>'ERROR FINAL'!A634</f>
        <v>626</v>
      </c>
      <c r="B631" s="83">
        <f>'ERROR FINAL'!D634</f>
        <v>6</v>
      </c>
      <c r="C631" s="84">
        <f>'ERROR FINAL'!G634</f>
        <v>0</v>
      </c>
      <c r="D631" s="85">
        <f>'ERROR FINAL'!I634</f>
        <v>0</v>
      </c>
      <c r="E631" s="86">
        <f>'ERROR FINAL'!U634</f>
        <v>-100</v>
      </c>
      <c r="F631" s="87">
        <f>'ERROR FINAL'!AG634</f>
        <v>-100</v>
      </c>
      <c r="G631" s="87">
        <f>'ERROR FINAL'!AS634</f>
        <v>-100</v>
      </c>
      <c r="H631" s="88" t="str">
        <f>IF('ERROR FINAL'!AT634="CONFORME","CONFORME","NO CONFORME")</f>
        <v>NO CONFORME</v>
      </c>
      <c r="I631" s="89" t="str">
        <f t="shared" ref="I631:I635" si="10">IF(D631=0,"Medición",IF(D631=1,"Daño físico",IF(D631=2,"Fuga",IF(D631=3,"Picado",IF(D631=4,"Desfasado",IF(D631=5,"Paralizado","¿?"))))))</f>
        <v>Medición</v>
      </c>
    </row>
    <row r="632" spans="1:9" x14ac:dyDescent="0.2">
      <c r="A632" s="82">
        <f>'ERROR FINAL'!A635</f>
        <v>627</v>
      </c>
      <c r="B632" s="83">
        <f>'ERROR FINAL'!D635</f>
        <v>6</v>
      </c>
      <c r="C632" s="84">
        <f>'ERROR FINAL'!G635</f>
        <v>0</v>
      </c>
      <c r="D632" s="85">
        <f>'ERROR FINAL'!I635</f>
        <v>0</v>
      </c>
      <c r="E632" s="86">
        <f>'ERROR FINAL'!U635</f>
        <v>-100</v>
      </c>
      <c r="F632" s="87">
        <f>'ERROR FINAL'!AG635</f>
        <v>-100</v>
      </c>
      <c r="G632" s="87">
        <f>'ERROR FINAL'!AS635</f>
        <v>-100</v>
      </c>
      <c r="H632" s="88" t="str">
        <f>IF('ERROR FINAL'!AT635="CONFORME","CONFORME","NO CONFORME")</f>
        <v>NO CONFORME</v>
      </c>
      <c r="I632" s="89" t="str">
        <f t="shared" si="10"/>
        <v>Medición</v>
      </c>
    </row>
    <row r="633" spans="1:9" x14ac:dyDescent="0.2">
      <c r="A633" s="82">
        <f>'ERROR FINAL'!A636</f>
        <v>628</v>
      </c>
      <c r="B633" s="83">
        <f>'ERROR FINAL'!D636</f>
        <v>6</v>
      </c>
      <c r="C633" s="84">
        <f>'ERROR FINAL'!G636</f>
        <v>0</v>
      </c>
      <c r="D633" s="85">
        <f>'ERROR FINAL'!I636</f>
        <v>0</v>
      </c>
      <c r="E633" s="86">
        <f>'ERROR FINAL'!U636</f>
        <v>-100</v>
      </c>
      <c r="F633" s="87">
        <f>'ERROR FINAL'!AG636</f>
        <v>-100</v>
      </c>
      <c r="G633" s="87">
        <f>'ERROR FINAL'!AS636</f>
        <v>-100</v>
      </c>
      <c r="H633" s="88" t="str">
        <f>IF('ERROR FINAL'!AT636="CONFORME","CONFORME","NO CONFORME")</f>
        <v>NO CONFORME</v>
      </c>
      <c r="I633" s="89" t="str">
        <f t="shared" si="10"/>
        <v>Medición</v>
      </c>
    </row>
    <row r="634" spans="1:9" x14ac:dyDescent="0.2">
      <c r="A634" s="82">
        <f>'ERROR FINAL'!A637</f>
        <v>629</v>
      </c>
      <c r="B634" s="83">
        <f>'ERROR FINAL'!D637</f>
        <v>6</v>
      </c>
      <c r="C634" s="84">
        <f>'ERROR FINAL'!G637</f>
        <v>0</v>
      </c>
      <c r="D634" s="85">
        <f>'ERROR FINAL'!I637</f>
        <v>0</v>
      </c>
      <c r="E634" s="86">
        <f>'ERROR FINAL'!U637</f>
        <v>-100</v>
      </c>
      <c r="F634" s="87">
        <f>'ERROR FINAL'!AG637</f>
        <v>-100</v>
      </c>
      <c r="G634" s="87">
        <f>'ERROR FINAL'!AS637</f>
        <v>-100</v>
      </c>
      <c r="H634" s="88" t="str">
        <f>IF('ERROR FINAL'!AT637="CONFORME","CONFORME","NO CONFORME")</f>
        <v>NO CONFORME</v>
      </c>
      <c r="I634" s="89" t="str">
        <f t="shared" si="10"/>
        <v>Medición</v>
      </c>
    </row>
    <row r="635" spans="1:9" x14ac:dyDescent="0.2">
      <c r="A635" s="82">
        <f>'ERROR FINAL'!A638</f>
        <v>630</v>
      </c>
      <c r="B635" s="83">
        <f>'ERROR FINAL'!D638</f>
        <v>6</v>
      </c>
      <c r="C635" s="84">
        <f>'ERROR FINAL'!G638</f>
        <v>0</v>
      </c>
      <c r="D635" s="85">
        <f>'ERROR FINAL'!I638</f>
        <v>0</v>
      </c>
      <c r="E635" s="86">
        <f>'ERROR FINAL'!U638</f>
        <v>-100</v>
      </c>
      <c r="F635" s="87">
        <f>'ERROR FINAL'!AG638</f>
        <v>-100</v>
      </c>
      <c r="G635" s="87">
        <f>'ERROR FINAL'!AS638</f>
        <v>-100</v>
      </c>
      <c r="H635" s="88" t="str">
        <f>IF('ERROR FINAL'!AT638="CONFORME","CONFORME","NO CONFORME")</f>
        <v>NO CONFORME</v>
      </c>
      <c r="I635" s="89" t="str">
        <f t="shared" si="10"/>
        <v>Medición</v>
      </c>
    </row>
    <row r="636" spans="1:9" x14ac:dyDescent="0.2">
      <c r="A636" s="82">
        <f>'ERROR FINAL'!A639</f>
        <v>631</v>
      </c>
      <c r="B636" s="83">
        <f>'ERROR FINAL'!D639</f>
        <v>6</v>
      </c>
      <c r="C636" s="84">
        <f>'ERROR FINAL'!G639</f>
        <v>0</v>
      </c>
      <c r="D636" s="85">
        <f>'ERROR FINAL'!I639</f>
        <v>0</v>
      </c>
      <c r="E636" s="86">
        <f>'ERROR FINAL'!U639</f>
        <v>-100</v>
      </c>
      <c r="F636" s="87">
        <f>'ERROR FINAL'!AG639</f>
        <v>-100</v>
      </c>
      <c r="G636" s="87">
        <f>'ERROR FINAL'!AS639</f>
        <v>-100</v>
      </c>
      <c r="H636" s="88" t="str">
        <f>IF('ERROR FINAL'!AT639="CONFORME","CONFORME","NO CONFORME")</f>
        <v>NO CONFORME</v>
      </c>
      <c r="I636" s="89" t="str">
        <f t="shared" ref="I636:I699" si="11">IF(D636=0,"Medición",IF(D636=1,"Daño físico",IF(D636=2,"Fuga",IF(D636=3,"Picado",IF(D636=4,"Desfasado",IF(D636=5,"Paralizado","¿?"))))))</f>
        <v>Medición</v>
      </c>
    </row>
    <row r="637" spans="1:9" x14ac:dyDescent="0.2">
      <c r="A637" s="82">
        <f>'ERROR FINAL'!A640</f>
        <v>632</v>
      </c>
      <c r="B637" s="83">
        <f>'ERROR FINAL'!D640</f>
        <v>6</v>
      </c>
      <c r="C637" s="84">
        <f>'ERROR FINAL'!G640</f>
        <v>0</v>
      </c>
      <c r="D637" s="85">
        <f>'ERROR FINAL'!I640</f>
        <v>0</v>
      </c>
      <c r="E637" s="86">
        <f>'ERROR FINAL'!U640</f>
        <v>-100</v>
      </c>
      <c r="F637" s="87">
        <f>'ERROR FINAL'!AG640</f>
        <v>-100</v>
      </c>
      <c r="G637" s="87">
        <f>'ERROR FINAL'!AS640</f>
        <v>-100</v>
      </c>
      <c r="H637" s="88" t="str">
        <f>IF('ERROR FINAL'!AT640="CONFORME","CONFORME","NO CONFORME")</f>
        <v>NO CONFORME</v>
      </c>
      <c r="I637" s="89" t="str">
        <f t="shared" si="11"/>
        <v>Medición</v>
      </c>
    </row>
    <row r="638" spans="1:9" x14ac:dyDescent="0.2">
      <c r="A638" s="82">
        <f>'ERROR FINAL'!A641</f>
        <v>633</v>
      </c>
      <c r="B638" s="83">
        <f>'ERROR FINAL'!D641</f>
        <v>6</v>
      </c>
      <c r="C638" s="84">
        <f>'ERROR FINAL'!G641</f>
        <v>0</v>
      </c>
      <c r="D638" s="85">
        <f>'ERROR FINAL'!I641</f>
        <v>0</v>
      </c>
      <c r="E638" s="86">
        <f>'ERROR FINAL'!U641</f>
        <v>-100</v>
      </c>
      <c r="F638" s="87">
        <f>'ERROR FINAL'!AG641</f>
        <v>-100</v>
      </c>
      <c r="G638" s="87">
        <f>'ERROR FINAL'!AS641</f>
        <v>-100</v>
      </c>
      <c r="H638" s="88" t="str">
        <f>IF('ERROR FINAL'!AT641="CONFORME","CONFORME","NO CONFORME")</f>
        <v>NO CONFORME</v>
      </c>
      <c r="I638" s="89" t="str">
        <f t="shared" si="11"/>
        <v>Medición</v>
      </c>
    </row>
    <row r="639" spans="1:9" x14ac:dyDescent="0.2">
      <c r="A639" s="82">
        <f>'ERROR FINAL'!A642</f>
        <v>634</v>
      </c>
      <c r="B639" s="83">
        <f>'ERROR FINAL'!D642</f>
        <v>6</v>
      </c>
      <c r="C639" s="84">
        <f>'ERROR FINAL'!G642</f>
        <v>0</v>
      </c>
      <c r="D639" s="85">
        <f>'ERROR FINAL'!I642</f>
        <v>0</v>
      </c>
      <c r="E639" s="86">
        <f>'ERROR FINAL'!U642</f>
        <v>-100</v>
      </c>
      <c r="F639" s="87">
        <f>'ERROR FINAL'!AG642</f>
        <v>-100</v>
      </c>
      <c r="G639" s="87">
        <f>'ERROR FINAL'!AS642</f>
        <v>-100</v>
      </c>
      <c r="H639" s="88" t="str">
        <f>IF('ERROR FINAL'!AT642="CONFORME","CONFORME","NO CONFORME")</f>
        <v>NO CONFORME</v>
      </c>
      <c r="I639" s="89" t="str">
        <f t="shared" si="11"/>
        <v>Medición</v>
      </c>
    </row>
    <row r="640" spans="1:9" x14ac:dyDescent="0.2">
      <c r="A640" s="82">
        <f>'ERROR FINAL'!A643</f>
        <v>635</v>
      </c>
      <c r="B640" s="83">
        <f>'ERROR FINAL'!D643</f>
        <v>6</v>
      </c>
      <c r="C640" s="84">
        <f>'ERROR FINAL'!G643</f>
        <v>0</v>
      </c>
      <c r="D640" s="85">
        <f>'ERROR FINAL'!I643</f>
        <v>0</v>
      </c>
      <c r="E640" s="86">
        <f>'ERROR FINAL'!U643</f>
        <v>-100</v>
      </c>
      <c r="F640" s="87">
        <f>'ERROR FINAL'!AG643</f>
        <v>-100</v>
      </c>
      <c r="G640" s="87">
        <f>'ERROR FINAL'!AS643</f>
        <v>-100</v>
      </c>
      <c r="H640" s="88" t="str">
        <f>IF('ERROR FINAL'!AT643="CONFORME","CONFORME","NO CONFORME")</f>
        <v>NO CONFORME</v>
      </c>
      <c r="I640" s="89" t="str">
        <f t="shared" si="11"/>
        <v>Medición</v>
      </c>
    </row>
    <row r="641" spans="1:9" x14ac:dyDescent="0.2">
      <c r="A641" s="82">
        <f>'ERROR FINAL'!A644</f>
        <v>636</v>
      </c>
      <c r="B641" s="83">
        <f>'ERROR FINAL'!D644</f>
        <v>6</v>
      </c>
      <c r="C641" s="84">
        <f>'ERROR FINAL'!G644</f>
        <v>0</v>
      </c>
      <c r="D641" s="85">
        <f>'ERROR FINAL'!I644</f>
        <v>0</v>
      </c>
      <c r="E641" s="86">
        <f>'ERROR FINAL'!U644</f>
        <v>-100</v>
      </c>
      <c r="F641" s="87">
        <f>'ERROR FINAL'!AG644</f>
        <v>-100</v>
      </c>
      <c r="G641" s="87">
        <f>'ERROR FINAL'!AS644</f>
        <v>-100</v>
      </c>
      <c r="H641" s="88" t="str">
        <f>IF('ERROR FINAL'!AT644="CONFORME","CONFORME","NO CONFORME")</f>
        <v>NO CONFORME</v>
      </c>
      <c r="I641" s="89" t="str">
        <f t="shared" si="11"/>
        <v>Medición</v>
      </c>
    </row>
    <row r="642" spans="1:9" x14ac:dyDescent="0.2">
      <c r="A642" s="82">
        <f>'ERROR FINAL'!A645</f>
        <v>637</v>
      </c>
      <c r="B642" s="83">
        <f>'ERROR FINAL'!D645</f>
        <v>6</v>
      </c>
      <c r="C642" s="84">
        <f>'ERROR FINAL'!G645</f>
        <v>0</v>
      </c>
      <c r="D642" s="85">
        <f>'ERROR FINAL'!I645</f>
        <v>0</v>
      </c>
      <c r="E642" s="86">
        <f>'ERROR FINAL'!U645</f>
        <v>-100</v>
      </c>
      <c r="F642" s="87">
        <f>'ERROR FINAL'!AG645</f>
        <v>-100</v>
      </c>
      <c r="G642" s="87">
        <f>'ERROR FINAL'!AS645</f>
        <v>-100</v>
      </c>
      <c r="H642" s="88" t="str">
        <f>IF('ERROR FINAL'!AT645="CONFORME","CONFORME","NO CONFORME")</f>
        <v>NO CONFORME</v>
      </c>
      <c r="I642" s="89" t="str">
        <f t="shared" si="11"/>
        <v>Medición</v>
      </c>
    </row>
    <row r="643" spans="1:9" x14ac:dyDescent="0.2">
      <c r="A643" s="82">
        <f>'ERROR FINAL'!A646</f>
        <v>638</v>
      </c>
      <c r="B643" s="83">
        <f>'ERROR FINAL'!D646</f>
        <v>6</v>
      </c>
      <c r="C643" s="84">
        <f>'ERROR FINAL'!G646</f>
        <v>0</v>
      </c>
      <c r="D643" s="85">
        <f>'ERROR FINAL'!I646</f>
        <v>0</v>
      </c>
      <c r="E643" s="86">
        <f>'ERROR FINAL'!U646</f>
        <v>-100</v>
      </c>
      <c r="F643" s="87">
        <f>'ERROR FINAL'!AG646</f>
        <v>-100</v>
      </c>
      <c r="G643" s="87">
        <f>'ERROR FINAL'!AS646</f>
        <v>-100</v>
      </c>
      <c r="H643" s="88" t="str">
        <f>IF('ERROR FINAL'!AT646="CONFORME","CONFORME","NO CONFORME")</f>
        <v>NO CONFORME</v>
      </c>
      <c r="I643" s="89" t="str">
        <f t="shared" si="11"/>
        <v>Medición</v>
      </c>
    </row>
    <row r="644" spans="1:9" x14ac:dyDescent="0.2">
      <c r="A644" s="82">
        <f>'ERROR FINAL'!A647</f>
        <v>639</v>
      </c>
      <c r="B644" s="83">
        <f>'ERROR FINAL'!D647</f>
        <v>6</v>
      </c>
      <c r="C644" s="84">
        <f>'ERROR FINAL'!G647</f>
        <v>0</v>
      </c>
      <c r="D644" s="85">
        <f>'ERROR FINAL'!I647</f>
        <v>0</v>
      </c>
      <c r="E644" s="86">
        <f>'ERROR FINAL'!U647</f>
        <v>-100</v>
      </c>
      <c r="F644" s="87">
        <f>'ERROR FINAL'!AG647</f>
        <v>-100</v>
      </c>
      <c r="G644" s="87">
        <f>'ERROR FINAL'!AS647</f>
        <v>-100</v>
      </c>
      <c r="H644" s="88" t="str">
        <f>IF('ERROR FINAL'!AT647="CONFORME","CONFORME","NO CONFORME")</f>
        <v>NO CONFORME</v>
      </c>
      <c r="I644" s="89" t="str">
        <f t="shared" si="11"/>
        <v>Medición</v>
      </c>
    </row>
    <row r="645" spans="1:9" x14ac:dyDescent="0.2">
      <c r="A645" s="82">
        <f>'ERROR FINAL'!A648</f>
        <v>640</v>
      </c>
      <c r="B645" s="83">
        <f>'ERROR FINAL'!D648</f>
        <v>6</v>
      </c>
      <c r="C645" s="84">
        <f>'ERROR FINAL'!G648</f>
        <v>0</v>
      </c>
      <c r="D645" s="85">
        <f>'ERROR FINAL'!I648</f>
        <v>0</v>
      </c>
      <c r="E645" s="86">
        <f>'ERROR FINAL'!U648</f>
        <v>-100</v>
      </c>
      <c r="F645" s="87">
        <f>'ERROR FINAL'!AG648</f>
        <v>-100</v>
      </c>
      <c r="G645" s="87">
        <f>'ERROR FINAL'!AS648</f>
        <v>-100</v>
      </c>
      <c r="H645" s="88" t="str">
        <f>IF('ERROR FINAL'!AT648="CONFORME","CONFORME","NO CONFORME")</f>
        <v>NO CONFORME</v>
      </c>
      <c r="I645" s="89" t="str">
        <f t="shared" si="11"/>
        <v>Medición</v>
      </c>
    </row>
    <row r="646" spans="1:9" x14ac:dyDescent="0.2">
      <c r="A646" s="82">
        <f>'ERROR FINAL'!A649</f>
        <v>641</v>
      </c>
      <c r="B646" s="83">
        <f>'ERROR FINAL'!D649</f>
        <v>6</v>
      </c>
      <c r="C646" s="84">
        <f>'ERROR FINAL'!G649</f>
        <v>0</v>
      </c>
      <c r="D646" s="85">
        <f>'ERROR FINAL'!I649</f>
        <v>0</v>
      </c>
      <c r="E646" s="86">
        <f>'ERROR FINAL'!U649</f>
        <v>-100</v>
      </c>
      <c r="F646" s="87">
        <f>'ERROR FINAL'!AG649</f>
        <v>-100</v>
      </c>
      <c r="G646" s="87">
        <f>'ERROR FINAL'!AS649</f>
        <v>-100</v>
      </c>
      <c r="H646" s="88" t="str">
        <f>IF('ERROR FINAL'!AT649="CONFORME","CONFORME","NO CONFORME")</f>
        <v>NO CONFORME</v>
      </c>
      <c r="I646" s="89" t="str">
        <f t="shared" si="11"/>
        <v>Medición</v>
      </c>
    </row>
    <row r="647" spans="1:9" x14ac:dyDescent="0.2">
      <c r="A647" s="82">
        <f>'ERROR FINAL'!A650</f>
        <v>642</v>
      </c>
      <c r="B647" s="83">
        <f>'ERROR FINAL'!D650</f>
        <v>6</v>
      </c>
      <c r="C647" s="84">
        <f>'ERROR FINAL'!G650</f>
        <v>0</v>
      </c>
      <c r="D647" s="85">
        <f>'ERROR FINAL'!I650</f>
        <v>0</v>
      </c>
      <c r="E647" s="86">
        <f>'ERROR FINAL'!U650</f>
        <v>-100</v>
      </c>
      <c r="F647" s="87">
        <f>'ERROR FINAL'!AG650</f>
        <v>-100</v>
      </c>
      <c r="G647" s="87">
        <f>'ERROR FINAL'!AS650</f>
        <v>-100</v>
      </c>
      <c r="H647" s="88" t="str">
        <f>IF('ERROR FINAL'!AT650="CONFORME","CONFORME","NO CONFORME")</f>
        <v>NO CONFORME</v>
      </c>
      <c r="I647" s="89" t="str">
        <f t="shared" si="11"/>
        <v>Medición</v>
      </c>
    </row>
    <row r="648" spans="1:9" x14ac:dyDescent="0.2">
      <c r="A648" s="82">
        <f>'ERROR FINAL'!A651</f>
        <v>643</v>
      </c>
      <c r="B648" s="83">
        <f>'ERROR FINAL'!D651</f>
        <v>6</v>
      </c>
      <c r="C648" s="84">
        <f>'ERROR FINAL'!G651</f>
        <v>0</v>
      </c>
      <c r="D648" s="85">
        <f>'ERROR FINAL'!I651</f>
        <v>0</v>
      </c>
      <c r="E648" s="86">
        <f>'ERROR FINAL'!U651</f>
        <v>-100</v>
      </c>
      <c r="F648" s="87">
        <f>'ERROR FINAL'!AG651</f>
        <v>-100</v>
      </c>
      <c r="G648" s="87">
        <f>'ERROR FINAL'!AS651</f>
        <v>-100</v>
      </c>
      <c r="H648" s="88" t="str">
        <f>IF('ERROR FINAL'!AT651="CONFORME","CONFORME","NO CONFORME")</f>
        <v>NO CONFORME</v>
      </c>
      <c r="I648" s="89" t="str">
        <f t="shared" si="11"/>
        <v>Medición</v>
      </c>
    </row>
    <row r="649" spans="1:9" x14ac:dyDescent="0.2">
      <c r="A649" s="82">
        <f>'ERROR FINAL'!A652</f>
        <v>644</v>
      </c>
      <c r="B649" s="83">
        <f>'ERROR FINAL'!D652</f>
        <v>6</v>
      </c>
      <c r="C649" s="84">
        <f>'ERROR FINAL'!G652</f>
        <v>0</v>
      </c>
      <c r="D649" s="85">
        <f>'ERROR FINAL'!I652</f>
        <v>0</v>
      </c>
      <c r="E649" s="86">
        <f>'ERROR FINAL'!U652</f>
        <v>-100</v>
      </c>
      <c r="F649" s="87">
        <f>'ERROR FINAL'!AG652</f>
        <v>-100</v>
      </c>
      <c r="G649" s="87">
        <f>'ERROR FINAL'!AS652</f>
        <v>-100</v>
      </c>
      <c r="H649" s="88" t="str">
        <f>IF('ERROR FINAL'!AT652="CONFORME","CONFORME","NO CONFORME")</f>
        <v>NO CONFORME</v>
      </c>
      <c r="I649" s="89" t="str">
        <f t="shared" si="11"/>
        <v>Medición</v>
      </c>
    </row>
    <row r="650" spans="1:9" x14ac:dyDescent="0.2">
      <c r="A650" s="82">
        <f>'ERROR FINAL'!A653</f>
        <v>645</v>
      </c>
      <c r="B650" s="83">
        <f>'ERROR FINAL'!D653</f>
        <v>6</v>
      </c>
      <c r="C650" s="84">
        <f>'ERROR FINAL'!G653</f>
        <v>0</v>
      </c>
      <c r="D650" s="85">
        <f>'ERROR FINAL'!I653</f>
        <v>0</v>
      </c>
      <c r="E650" s="86">
        <f>'ERROR FINAL'!U653</f>
        <v>-100</v>
      </c>
      <c r="F650" s="87">
        <f>'ERROR FINAL'!AG653</f>
        <v>-100</v>
      </c>
      <c r="G650" s="87">
        <f>'ERROR FINAL'!AS653</f>
        <v>-100</v>
      </c>
      <c r="H650" s="88" t="str">
        <f>IF('ERROR FINAL'!AT653="CONFORME","CONFORME","NO CONFORME")</f>
        <v>NO CONFORME</v>
      </c>
      <c r="I650" s="89" t="str">
        <f t="shared" si="11"/>
        <v>Medición</v>
      </c>
    </row>
    <row r="651" spans="1:9" x14ac:dyDescent="0.2">
      <c r="A651" s="82">
        <f>'ERROR FINAL'!A654</f>
        <v>646</v>
      </c>
      <c r="B651" s="83">
        <f>'ERROR FINAL'!D654</f>
        <v>6</v>
      </c>
      <c r="C651" s="84">
        <f>'ERROR FINAL'!G654</f>
        <v>0</v>
      </c>
      <c r="D651" s="85">
        <f>'ERROR FINAL'!I654</f>
        <v>0</v>
      </c>
      <c r="E651" s="86">
        <f>'ERROR FINAL'!U654</f>
        <v>-100</v>
      </c>
      <c r="F651" s="87">
        <f>'ERROR FINAL'!AG654</f>
        <v>-100</v>
      </c>
      <c r="G651" s="87">
        <f>'ERROR FINAL'!AS654</f>
        <v>-100</v>
      </c>
      <c r="H651" s="88" t="str">
        <f>IF('ERROR FINAL'!AT654="CONFORME","CONFORME","NO CONFORME")</f>
        <v>NO CONFORME</v>
      </c>
      <c r="I651" s="89" t="str">
        <f t="shared" si="11"/>
        <v>Medición</v>
      </c>
    </row>
    <row r="652" spans="1:9" x14ac:dyDescent="0.2">
      <c r="A652" s="82">
        <f>'ERROR FINAL'!A655</f>
        <v>647</v>
      </c>
      <c r="B652" s="83">
        <f>'ERROR FINAL'!D655</f>
        <v>6</v>
      </c>
      <c r="C652" s="84">
        <f>'ERROR FINAL'!G655</f>
        <v>0</v>
      </c>
      <c r="D652" s="85">
        <f>'ERROR FINAL'!I655</f>
        <v>0</v>
      </c>
      <c r="E652" s="86">
        <f>'ERROR FINAL'!U655</f>
        <v>-100</v>
      </c>
      <c r="F652" s="87">
        <f>'ERROR FINAL'!AG655</f>
        <v>-100</v>
      </c>
      <c r="G652" s="87">
        <f>'ERROR FINAL'!AS655</f>
        <v>-100</v>
      </c>
      <c r="H652" s="88" t="str">
        <f>IF('ERROR FINAL'!AT655="CONFORME","CONFORME","NO CONFORME")</f>
        <v>NO CONFORME</v>
      </c>
      <c r="I652" s="89" t="str">
        <f t="shared" si="11"/>
        <v>Medición</v>
      </c>
    </row>
    <row r="653" spans="1:9" x14ac:dyDescent="0.2">
      <c r="A653" s="82">
        <f>'ERROR FINAL'!A656</f>
        <v>648</v>
      </c>
      <c r="B653" s="83">
        <f>'ERROR FINAL'!D656</f>
        <v>6</v>
      </c>
      <c r="C653" s="84">
        <f>'ERROR FINAL'!G656</f>
        <v>0</v>
      </c>
      <c r="D653" s="85">
        <f>'ERROR FINAL'!I656</f>
        <v>0</v>
      </c>
      <c r="E653" s="86">
        <f>'ERROR FINAL'!U656</f>
        <v>-100</v>
      </c>
      <c r="F653" s="87">
        <f>'ERROR FINAL'!AG656</f>
        <v>-100</v>
      </c>
      <c r="G653" s="87">
        <f>'ERROR FINAL'!AS656</f>
        <v>-100</v>
      </c>
      <c r="H653" s="88" t="str">
        <f>IF('ERROR FINAL'!AT656="CONFORME","CONFORME","NO CONFORME")</f>
        <v>NO CONFORME</v>
      </c>
      <c r="I653" s="89" t="str">
        <f t="shared" si="11"/>
        <v>Medición</v>
      </c>
    </row>
    <row r="654" spans="1:9" x14ac:dyDescent="0.2">
      <c r="A654" s="82">
        <f>'ERROR FINAL'!A657</f>
        <v>649</v>
      </c>
      <c r="B654" s="83">
        <f>'ERROR FINAL'!D657</f>
        <v>6</v>
      </c>
      <c r="C654" s="84">
        <f>'ERROR FINAL'!G657</f>
        <v>0</v>
      </c>
      <c r="D654" s="85">
        <f>'ERROR FINAL'!I657</f>
        <v>0</v>
      </c>
      <c r="E654" s="86">
        <f>'ERROR FINAL'!U657</f>
        <v>-100</v>
      </c>
      <c r="F654" s="87">
        <f>'ERROR FINAL'!AG657</f>
        <v>-100</v>
      </c>
      <c r="G654" s="87">
        <f>'ERROR FINAL'!AS657</f>
        <v>-100</v>
      </c>
      <c r="H654" s="88" t="str">
        <f>IF('ERROR FINAL'!AT657="CONFORME","CONFORME","NO CONFORME")</f>
        <v>NO CONFORME</v>
      </c>
      <c r="I654" s="89" t="str">
        <f t="shared" si="11"/>
        <v>Medición</v>
      </c>
    </row>
    <row r="655" spans="1:9" x14ac:dyDescent="0.2">
      <c r="A655" s="82">
        <f>'ERROR FINAL'!A658</f>
        <v>650</v>
      </c>
      <c r="B655" s="83">
        <f>'ERROR FINAL'!D658</f>
        <v>6</v>
      </c>
      <c r="C655" s="84">
        <f>'ERROR FINAL'!G658</f>
        <v>0</v>
      </c>
      <c r="D655" s="85">
        <f>'ERROR FINAL'!I658</f>
        <v>0</v>
      </c>
      <c r="E655" s="86">
        <f>'ERROR FINAL'!U658</f>
        <v>-100</v>
      </c>
      <c r="F655" s="87">
        <f>'ERROR FINAL'!AG658</f>
        <v>-100</v>
      </c>
      <c r="G655" s="87">
        <f>'ERROR FINAL'!AS658</f>
        <v>-100</v>
      </c>
      <c r="H655" s="88" t="str">
        <f>IF('ERROR FINAL'!AT658="CONFORME","CONFORME","NO CONFORME")</f>
        <v>NO CONFORME</v>
      </c>
      <c r="I655" s="89" t="str">
        <f t="shared" si="11"/>
        <v>Medición</v>
      </c>
    </row>
    <row r="656" spans="1:9" x14ac:dyDescent="0.2">
      <c r="A656" s="82">
        <f>'ERROR FINAL'!A659</f>
        <v>651</v>
      </c>
      <c r="B656" s="83">
        <f>'ERROR FINAL'!D659</f>
        <v>6</v>
      </c>
      <c r="C656" s="84">
        <f>'ERROR FINAL'!G659</f>
        <v>0</v>
      </c>
      <c r="D656" s="85">
        <f>'ERROR FINAL'!I659</f>
        <v>0</v>
      </c>
      <c r="E656" s="86">
        <f>'ERROR FINAL'!U659</f>
        <v>-100</v>
      </c>
      <c r="F656" s="87">
        <f>'ERROR FINAL'!AG659</f>
        <v>-100</v>
      </c>
      <c r="G656" s="87">
        <f>'ERROR FINAL'!AS659</f>
        <v>-100</v>
      </c>
      <c r="H656" s="88" t="str">
        <f>IF('ERROR FINAL'!AT659="CONFORME","CONFORME","NO CONFORME")</f>
        <v>NO CONFORME</v>
      </c>
      <c r="I656" s="89" t="str">
        <f t="shared" si="11"/>
        <v>Medición</v>
      </c>
    </row>
    <row r="657" spans="1:9" x14ac:dyDescent="0.2">
      <c r="A657" s="82">
        <f>'ERROR FINAL'!A660</f>
        <v>652</v>
      </c>
      <c r="B657" s="83">
        <f>'ERROR FINAL'!D660</f>
        <v>6</v>
      </c>
      <c r="C657" s="84">
        <f>'ERROR FINAL'!G660</f>
        <v>0</v>
      </c>
      <c r="D657" s="85">
        <f>'ERROR FINAL'!I660</f>
        <v>0</v>
      </c>
      <c r="E657" s="86">
        <f>'ERROR FINAL'!U660</f>
        <v>-100</v>
      </c>
      <c r="F657" s="87">
        <f>'ERROR FINAL'!AG660</f>
        <v>-100</v>
      </c>
      <c r="G657" s="87">
        <f>'ERROR FINAL'!AS660</f>
        <v>-100</v>
      </c>
      <c r="H657" s="88" t="str">
        <f>IF('ERROR FINAL'!AT660="CONFORME","CONFORME","NO CONFORME")</f>
        <v>NO CONFORME</v>
      </c>
      <c r="I657" s="89" t="str">
        <f t="shared" si="11"/>
        <v>Medición</v>
      </c>
    </row>
    <row r="658" spans="1:9" x14ac:dyDescent="0.2">
      <c r="A658" s="82">
        <f>'ERROR FINAL'!A661</f>
        <v>653</v>
      </c>
      <c r="B658" s="83">
        <f>'ERROR FINAL'!D661</f>
        <v>6</v>
      </c>
      <c r="C658" s="84">
        <f>'ERROR FINAL'!G661</f>
        <v>0</v>
      </c>
      <c r="D658" s="85">
        <f>'ERROR FINAL'!I661</f>
        <v>0</v>
      </c>
      <c r="E658" s="86">
        <f>'ERROR FINAL'!U661</f>
        <v>-100</v>
      </c>
      <c r="F658" s="87">
        <f>'ERROR FINAL'!AG661</f>
        <v>-100</v>
      </c>
      <c r="G658" s="87">
        <f>'ERROR FINAL'!AS661</f>
        <v>-100</v>
      </c>
      <c r="H658" s="88" t="str">
        <f>IF('ERROR FINAL'!AT661="CONFORME","CONFORME","NO CONFORME")</f>
        <v>NO CONFORME</v>
      </c>
      <c r="I658" s="89" t="str">
        <f t="shared" si="11"/>
        <v>Medición</v>
      </c>
    </row>
    <row r="659" spans="1:9" x14ac:dyDescent="0.2">
      <c r="A659" s="82">
        <f>'ERROR FINAL'!A662</f>
        <v>654</v>
      </c>
      <c r="B659" s="83">
        <f>'ERROR FINAL'!D662</f>
        <v>6</v>
      </c>
      <c r="C659" s="84">
        <f>'ERROR FINAL'!G662</f>
        <v>0</v>
      </c>
      <c r="D659" s="85">
        <f>'ERROR FINAL'!I662</f>
        <v>0</v>
      </c>
      <c r="E659" s="86">
        <f>'ERROR FINAL'!U662</f>
        <v>-100</v>
      </c>
      <c r="F659" s="87">
        <f>'ERROR FINAL'!AG662</f>
        <v>-100</v>
      </c>
      <c r="G659" s="87">
        <f>'ERROR FINAL'!AS662</f>
        <v>-100</v>
      </c>
      <c r="H659" s="88" t="str">
        <f>IF('ERROR FINAL'!AT662="CONFORME","CONFORME","NO CONFORME")</f>
        <v>NO CONFORME</v>
      </c>
      <c r="I659" s="89" t="str">
        <f t="shared" si="11"/>
        <v>Medición</v>
      </c>
    </row>
    <row r="660" spans="1:9" x14ac:dyDescent="0.2">
      <c r="A660" s="82">
        <f>'ERROR FINAL'!A663</f>
        <v>655</v>
      </c>
      <c r="B660" s="83">
        <f>'ERROR FINAL'!D663</f>
        <v>6</v>
      </c>
      <c r="C660" s="84">
        <f>'ERROR FINAL'!G663</f>
        <v>0</v>
      </c>
      <c r="D660" s="85">
        <f>'ERROR FINAL'!I663</f>
        <v>0</v>
      </c>
      <c r="E660" s="86">
        <f>'ERROR FINAL'!U663</f>
        <v>-100</v>
      </c>
      <c r="F660" s="87">
        <f>'ERROR FINAL'!AG663</f>
        <v>-100</v>
      </c>
      <c r="G660" s="87">
        <f>'ERROR FINAL'!AS663</f>
        <v>-100</v>
      </c>
      <c r="H660" s="88" t="str">
        <f>IF('ERROR FINAL'!AT663="CONFORME","CONFORME","NO CONFORME")</f>
        <v>NO CONFORME</v>
      </c>
      <c r="I660" s="89" t="str">
        <f t="shared" si="11"/>
        <v>Medición</v>
      </c>
    </row>
    <row r="661" spans="1:9" x14ac:dyDescent="0.2">
      <c r="A661" s="82">
        <f>'ERROR FINAL'!A664</f>
        <v>656</v>
      </c>
      <c r="B661" s="83">
        <f>'ERROR FINAL'!D664</f>
        <v>6</v>
      </c>
      <c r="C661" s="84">
        <f>'ERROR FINAL'!G664</f>
        <v>0</v>
      </c>
      <c r="D661" s="85">
        <f>'ERROR FINAL'!I664</f>
        <v>0</v>
      </c>
      <c r="E661" s="86">
        <f>'ERROR FINAL'!U664</f>
        <v>-100</v>
      </c>
      <c r="F661" s="87">
        <f>'ERROR FINAL'!AG664</f>
        <v>-100</v>
      </c>
      <c r="G661" s="87">
        <f>'ERROR FINAL'!AS664</f>
        <v>-100</v>
      </c>
      <c r="H661" s="88" t="str">
        <f>IF('ERROR FINAL'!AT664="CONFORME","CONFORME","NO CONFORME")</f>
        <v>NO CONFORME</v>
      </c>
      <c r="I661" s="89" t="str">
        <f t="shared" si="11"/>
        <v>Medición</v>
      </c>
    </row>
    <row r="662" spans="1:9" x14ac:dyDescent="0.2">
      <c r="A662" s="82">
        <f>'ERROR FINAL'!A665</f>
        <v>657</v>
      </c>
      <c r="B662" s="83">
        <f>'ERROR FINAL'!D665</f>
        <v>6</v>
      </c>
      <c r="C662" s="84">
        <f>'ERROR FINAL'!G665</f>
        <v>0</v>
      </c>
      <c r="D662" s="85">
        <f>'ERROR FINAL'!I665</f>
        <v>0</v>
      </c>
      <c r="E662" s="86">
        <f>'ERROR FINAL'!U665</f>
        <v>-100</v>
      </c>
      <c r="F662" s="87">
        <f>'ERROR FINAL'!AG665</f>
        <v>-100</v>
      </c>
      <c r="G662" s="87">
        <f>'ERROR FINAL'!AS665</f>
        <v>-100</v>
      </c>
      <c r="H662" s="88" t="str">
        <f>IF('ERROR FINAL'!AT665="CONFORME","CONFORME","NO CONFORME")</f>
        <v>NO CONFORME</v>
      </c>
      <c r="I662" s="89" t="str">
        <f t="shared" si="11"/>
        <v>Medición</v>
      </c>
    </row>
    <row r="663" spans="1:9" x14ac:dyDescent="0.2">
      <c r="A663" s="82">
        <f>'ERROR FINAL'!A666</f>
        <v>658</v>
      </c>
      <c r="B663" s="83">
        <f>'ERROR FINAL'!D666</f>
        <v>6</v>
      </c>
      <c r="C663" s="84">
        <f>'ERROR FINAL'!G666</f>
        <v>0</v>
      </c>
      <c r="D663" s="85">
        <f>'ERROR FINAL'!I666</f>
        <v>0</v>
      </c>
      <c r="E663" s="86">
        <f>'ERROR FINAL'!U666</f>
        <v>-100</v>
      </c>
      <c r="F663" s="87">
        <f>'ERROR FINAL'!AG666</f>
        <v>-100</v>
      </c>
      <c r="G663" s="87">
        <f>'ERROR FINAL'!AS666</f>
        <v>-100</v>
      </c>
      <c r="H663" s="88" t="str">
        <f>IF('ERROR FINAL'!AT666="CONFORME","CONFORME","NO CONFORME")</f>
        <v>NO CONFORME</v>
      </c>
      <c r="I663" s="89" t="str">
        <f t="shared" si="11"/>
        <v>Medición</v>
      </c>
    </row>
    <row r="664" spans="1:9" x14ac:dyDescent="0.2">
      <c r="A664" s="82">
        <f>'ERROR FINAL'!A667</f>
        <v>659</v>
      </c>
      <c r="B664" s="83">
        <f>'ERROR FINAL'!D667</f>
        <v>6</v>
      </c>
      <c r="C664" s="84">
        <f>'ERROR FINAL'!G667</f>
        <v>0</v>
      </c>
      <c r="D664" s="85">
        <f>'ERROR FINAL'!I667</f>
        <v>0</v>
      </c>
      <c r="E664" s="86">
        <f>'ERROR FINAL'!U667</f>
        <v>-100</v>
      </c>
      <c r="F664" s="87">
        <f>'ERROR FINAL'!AG667</f>
        <v>-100</v>
      </c>
      <c r="G664" s="87">
        <f>'ERROR FINAL'!AS667</f>
        <v>-100</v>
      </c>
      <c r="H664" s="88" t="str">
        <f>IF('ERROR FINAL'!AT667="CONFORME","CONFORME","NO CONFORME")</f>
        <v>NO CONFORME</v>
      </c>
      <c r="I664" s="89" t="str">
        <f t="shared" si="11"/>
        <v>Medición</v>
      </c>
    </row>
    <row r="665" spans="1:9" x14ac:dyDescent="0.2">
      <c r="A665" s="82">
        <f>'ERROR FINAL'!A668</f>
        <v>660</v>
      </c>
      <c r="B665" s="83">
        <f>'ERROR FINAL'!D668</f>
        <v>6</v>
      </c>
      <c r="C665" s="84">
        <f>'ERROR FINAL'!G668</f>
        <v>0</v>
      </c>
      <c r="D665" s="85">
        <f>'ERROR FINAL'!I668</f>
        <v>0</v>
      </c>
      <c r="E665" s="86">
        <f>'ERROR FINAL'!U668</f>
        <v>-100</v>
      </c>
      <c r="F665" s="87">
        <f>'ERROR FINAL'!AG668</f>
        <v>-100</v>
      </c>
      <c r="G665" s="87">
        <f>'ERROR FINAL'!AS668</f>
        <v>-100</v>
      </c>
      <c r="H665" s="88" t="str">
        <f>IF('ERROR FINAL'!AT668="CONFORME","CONFORME","NO CONFORME")</f>
        <v>NO CONFORME</v>
      </c>
      <c r="I665" s="89" t="str">
        <f t="shared" si="11"/>
        <v>Medición</v>
      </c>
    </row>
    <row r="666" spans="1:9" x14ac:dyDescent="0.2">
      <c r="A666" s="82">
        <f>'ERROR FINAL'!A669</f>
        <v>661</v>
      </c>
      <c r="B666" s="83">
        <f>'ERROR FINAL'!D669</f>
        <v>6</v>
      </c>
      <c r="C666" s="84">
        <f>'ERROR FINAL'!G669</f>
        <v>0</v>
      </c>
      <c r="D666" s="85">
        <f>'ERROR FINAL'!I669</f>
        <v>0</v>
      </c>
      <c r="E666" s="86">
        <f>'ERROR FINAL'!U669</f>
        <v>-100</v>
      </c>
      <c r="F666" s="87">
        <f>'ERROR FINAL'!AG669</f>
        <v>-100</v>
      </c>
      <c r="G666" s="87">
        <f>'ERROR FINAL'!AS669</f>
        <v>-100</v>
      </c>
      <c r="H666" s="88" t="str">
        <f>IF('ERROR FINAL'!AT669="CONFORME","CONFORME","NO CONFORME")</f>
        <v>NO CONFORME</v>
      </c>
      <c r="I666" s="89" t="str">
        <f t="shared" si="11"/>
        <v>Medición</v>
      </c>
    </row>
    <row r="667" spans="1:9" x14ac:dyDescent="0.2">
      <c r="A667" s="82">
        <f>'ERROR FINAL'!A670</f>
        <v>662</v>
      </c>
      <c r="B667" s="83">
        <f>'ERROR FINAL'!D670</f>
        <v>6</v>
      </c>
      <c r="C667" s="84">
        <f>'ERROR FINAL'!G670</f>
        <v>0</v>
      </c>
      <c r="D667" s="85">
        <f>'ERROR FINAL'!I670</f>
        <v>0</v>
      </c>
      <c r="E667" s="86">
        <f>'ERROR FINAL'!U670</f>
        <v>-100</v>
      </c>
      <c r="F667" s="87">
        <f>'ERROR FINAL'!AG670</f>
        <v>-100</v>
      </c>
      <c r="G667" s="87">
        <f>'ERROR FINAL'!AS670</f>
        <v>-100</v>
      </c>
      <c r="H667" s="88" t="str">
        <f>IF('ERROR FINAL'!AT670="CONFORME","CONFORME","NO CONFORME")</f>
        <v>NO CONFORME</v>
      </c>
      <c r="I667" s="89" t="str">
        <f t="shared" si="11"/>
        <v>Medición</v>
      </c>
    </row>
    <row r="668" spans="1:9" x14ac:dyDescent="0.2">
      <c r="A668" s="82">
        <f>'ERROR FINAL'!A671</f>
        <v>663</v>
      </c>
      <c r="B668" s="83">
        <f>'ERROR FINAL'!D671</f>
        <v>6</v>
      </c>
      <c r="C668" s="84">
        <f>'ERROR FINAL'!G671</f>
        <v>0</v>
      </c>
      <c r="D668" s="85">
        <f>'ERROR FINAL'!I671</f>
        <v>0</v>
      </c>
      <c r="E668" s="86">
        <f>'ERROR FINAL'!U671</f>
        <v>-100</v>
      </c>
      <c r="F668" s="87">
        <f>'ERROR FINAL'!AG671</f>
        <v>-100</v>
      </c>
      <c r="G668" s="87">
        <f>'ERROR FINAL'!AS671</f>
        <v>-100</v>
      </c>
      <c r="H668" s="88" t="str">
        <f>IF('ERROR FINAL'!AT671="CONFORME","CONFORME","NO CONFORME")</f>
        <v>NO CONFORME</v>
      </c>
      <c r="I668" s="89" t="str">
        <f t="shared" si="11"/>
        <v>Medición</v>
      </c>
    </row>
    <row r="669" spans="1:9" x14ac:dyDescent="0.2">
      <c r="A669" s="82">
        <f>'ERROR FINAL'!A672</f>
        <v>664</v>
      </c>
      <c r="B669" s="83">
        <f>'ERROR FINAL'!D672</f>
        <v>6</v>
      </c>
      <c r="C669" s="84">
        <f>'ERROR FINAL'!G672</f>
        <v>0</v>
      </c>
      <c r="D669" s="85">
        <f>'ERROR FINAL'!I672</f>
        <v>0</v>
      </c>
      <c r="E669" s="86">
        <f>'ERROR FINAL'!U672</f>
        <v>-100</v>
      </c>
      <c r="F669" s="87">
        <f>'ERROR FINAL'!AG672</f>
        <v>-100</v>
      </c>
      <c r="G669" s="87">
        <f>'ERROR FINAL'!AS672</f>
        <v>-100</v>
      </c>
      <c r="H669" s="88" t="str">
        <f>IF('ERROR FINAL'!AT672="CONFORME","CONFORME","NO CONFORME")</f>
        <v>NO CONFORME</v>
      </c>
      <c r="I669" s="89" t="str">
        <f t="shared" si="11"/>
        <v>Medición</v>
      </c>
    </row>
    <row r="670" spans="1:9" x14ac:dyDescent="0.2">
      <c r="A670" s="82">
        <f>'ERROR FINAL'!A673</f>
        <v>665</v>
      </c>
      <c r="B670" s="83">
        <f>'ERROR FINAL'!D673</f>
        <v>6</v>
      </c>
      <c r="C670" s="84">
        <f>'ERROR FINAL'!G673</f>
        <v>0</v>
      </c>
      <c r="D670" s="85">
        <f>'ERROR FINAL'!I673</f>
        <v>0</v>
      </c>
      <c r="E670" s="86">
        <f>'ERROR FINAL'!U673</f>
        <v>-100</v>
      </c>
      <c r="F670" s="87">
        <f>'ERROR FINAL'!AG673</f>
        <v>-100</v>
      </c>
      <c r="G670" s="87">
        <f>'ERROR FINAL'!AS673</f>
        <v>-100</v>
      </c>
      <c r="H670" s="88" t="str">
        <f>IF('ERROR FINAL'!AT673="CONFORME","CONFORME","NO CONFORME")</f>
        <v>NO CONFORME</v>
      </c>
      <c r="I670" s="89" t="str">
        <f t="shared" si="11"/>
        <v>Medición</v>
      </c>
    </row>
    <row r="671" spans="1:9" x14ac:dyDescent="0.2">
      <c r="A671" s="82">
        <f>'ERROR FINAL'!A674</f>
        <v>666</v>
      </c>
      <c r="B671" s="83">
        <f>'ERROR FINAL'!D674</f>
        <v>6</v>
      </c>
      <c r="C671" s="84">
        <f>'ERROR FINAL'!G674</f>
        <v>0</v>
      </c>
      <c r="D671" s="85">
        <f>'ERROR FINAL'!I674</f>
        <v>0</v>
      </c>
      <c r="E671" s="86">
        <f>'ERROR FINAL'!U674</f>
        <v>-100</v>
      </c>
      <c r="F671" s="87">
        <f>'ERROR FINAL'!AG674</f>
        <v>-100</v>
      </c>
      <c r="G671" s="87">
        <f>'ERROR FINAL'!AS674</f>
        <v>-100</v>
      </c>
      <c r="H671" s="88" t="str">
        <f>IF('ERROR FINAL'!AT674="CONFORME","CONFORME","NO CONFORME")</f>
        <v>NO CONFORME</v>
      </c>
      <c r="I671" s="89" t="str">
        <f t="shared" si="11"/>
        <v>Medición</v>
      </c>
    </row>
    <row r="672" spans="1:9" x14ac:dyDescent="0.2">
      <c r="A672" s="82">
        <f>'ERROR FINAL'!A675</f>
        <v>667</v>
      </c>
      <c r="B672" s="83">
        <f>'ERROR FINAL'!D675</f>
        <v>6</v>
      </c>
      <c r="C672" s="84">
        <f>'ERROR FINAL'!G675</f>
        <v>0</v>
      </c>
      <c r="D672" s="85">
        <f>'ERROR FINAL'!I675</f>
        <v>0</v>
      </c>
      <c r="E672" s="86">
        <f>'ERROR FINAL'!U675</f>
        <v>-100</v>
      </c>
      <c r="F672" s="87">
        <f>'ERROR FINAL'!AG675</f>
        <v>-100</v>
      </c>
      <c r="G672" s="87">
        <f>'ERROR FINAL'!AS675</f>
        <v>-100</v>
      </c>
      <c r="H672" s="88" t="str">
        <f>IF('ERROR FINAL'!AT675="CONFORME","CONFORME","NO CONFORME")</f>
        <v>NO CONFORME</v>
      </c>
      <c r="I672" s="89" t="str">
        <f t="shared" si="11"/>
        <v>Medición</v>
      </c>
    </row>
    <row r="673" spans="1:9" x14ac:dyDescent="0.2">
      <c r="A673" s="82">
        <f>'ERROR FINAL'!A676</f>
        <v>668</v>
      </c>
      <c r="B673" s="83">
        <f>'ERROR FINAL'!D676</f>
        <v>6</v>
      </c>
      <c r="C673" s="84">
        <f>'ERROR FINAL'!G676</f>
        <v>0</v>
      </c>
      <c r="D673" s="85">
        <f>'ERROR FINAL'!I676</f>
        <v>0</v>
      </c>
      <c r="E673" s="86">
        <f>'ERROR FINAL'!U676</f>
        <v>-100</v>
      </c>
      <c r="F673" s="87">
        <f>'ERROR FINAL'!AG676</f>
        <v>-100</v>
      </c>
      <c r="G673" s="87">
        <f>'ERROR FINAL'!AS676</f>
        <v>-100</v>
      </c>
      <c r="H673" s="88" t="str">
        <f>IF('ERROR FINAL'!AT676="CONFORME","CONFORME","NO CONFORME")</f>
        <v>NO CONFORME</v>
      </c>
      <c r="I673" s="89" t="str">
        <f t="shared" si="11"/>
        <v>Medición</v>
      </c>
    </row>
    <row r="674" spans="1:9" x14ac:dyDescent="0.2">
      <c r="A674" s="82">
        <f>'ERROR FINAL'!A677</f>
        <v>669</v>
      </c>
      <c r="B674" s="83">
        <f>'ERROR FINAL'!D677</f>
        <v>6</v>
      </c>
      <c r="C674" s="84">
        <f>'ERROR FINAL'!G677</f>
        <v>0</v>
      </c>
      <c r="D674" s="85">
        <f>'ERROR FINAL'!I677</f>
        <v>0</v>
      </c>
      <c r="E674" s="86">
        <f>'ERROR FINAL'!U677</f>
        <v>-100</v>
      </c>
      <c r="F674" s="87">
        <f>'ERROR FINAL'!AG677</f>
        <v>-100</v>
      </c>
      <c r="G674" s="87">
        <f>'ERROR FINAL'!AS677</f>
        <v>-100</v>
      </c>
      <c r="H674" s="88" t="str">
        <f>IF('ERROR FINAL'!AT677="CONFORME","CONFORME","NO CONFORME")</f>
        <v>NO CONFORME</v>
      </c>
      <c r="I674" s="89" t="str">
        <f t="shared" si="11"/>
        <v>Medición</v>
      </c>
    </row>
    <row r="675" spans="1:9" x14ac:dyDescent="0.2">
      <c r="A675" s="82">
        <f>'ERROR FINAL'!A678</f>
        <v>670</v>
      </c>
      <c r="B675" s="83">
        <f>'ERROR FINAL'!D678</f>
        <v>6</v>
      </c>
      <c r="C675" s="84">
        <f>'ERROR FINAL'!G678</f>
        <v>0</v>
      </c>
      <c r="D675" s="85">
        <f>'ERROR FINAL'!I678</f>
        <v>0</v>
      </c>
      <c r="E675" s="86">
        <f>'ERROR FINAL'!U678</f>
        <v>-100</v>
      </c>
      <c r="F675" s="87">
        <f>'ERROR FINAL'!AG678</f>
        <v>-100</v>
      </c>
      <c r="G675" s="87">
        <f>'ERROR FINAL'!AS678</f>
        <v>-100</v>
      </c>
      <c r="H675" s="88" t="str">
        <f>IF('ERROR FINAL'!AT678="CONFORME","CONFORME","NO CONFORME")</f>
        <v>NO CONFORME</v>
      </c>
      <c r="I675" s="89" t="str">
        <f t="shared" si="11"/>
        <v>Medición</v>
      </c>
    </row>
    <row r="676" spans="1:9" x14ac:dyDescent="0.2">
      <c r="A676" s="82">
        <f>'ERROR FINAL'!A679</f>
        <v>671</v>
      </c>
      <c r="B676" s="83">
        <f>'ERROR FINAL'!D679</f>
        <v>6</v>
      </c>
      <c r="C676" s="84">
        <f>'ERROR FINAL'!G679</f>
        <v>0</v>
      </c>
      <c r="D676" s="85">
        <f>'ERROR FINAL'!I679</f>
        <v>0</v>
      </c>
      <c r="E676" s="86">
        <f>'ERROR FINAL'!U679</f>
        <v>-100</v>
      </c>
      <c r="F676" s="87">
        <f>'ERROR FINAL'!AG679</f>
        <v>-100</v>
      </c>
      <c r="G676" s="87">
        <f>'ERROR FINAL'!AS679</f>
        <v>-100</v>
      </c>
      <c r="H676" s="88" t="str">
        <f>IF('ERROR FINAL'!AT679="CONFORME","CONFORME","NO CONFORME")</f>
        <v>NO CONFORME</v>
      </c>
      <c r="I676" s="89" t="str">
        <f t="shared" si="11"/>
        <v>Medición</v>
      </c>
    </row>
    <row r="677" spans="1:9" x14ac:dyDescent="0.2">
      <c r="A677" s="82">
        <f>'ERROR FINAL'!A680</f>
        <v>672</v>
      </c>
      <c r="B677" s="83">
        <f>'ERROR FINAL'!D680</f>
        <v>6</v>
      </c>
      <c r="C677" s="84">
        <f>'ERROR FINAL'!G680</f>
        <v>0</v>
      </c>
      <c r="D677" s="85">
        <f>'ERROR FINAL'!I680</f>
        <v>0</v>
      </c>
      <c r="E677" s="86">
        <f>'ERROR FINAL'!U680</f>
        <v>-100</v>
      </c>
      <c r="F677" s="87">
        <f>'ERROR FINAL'!AG680</f>
        <v>-100</v>
      </c>
      <c r="G677" s="87">
        <f>'ERROR FINAL'!AS680</f>
        <v>-100</v>
      </c>
      <c r="H677" s="88" t="str">
        <f>IF('ERROR FINAL'!AT680="CONFORME","CONFORME","NO CONFORME")</f>
        <v>NO CONFORME</v>
      </c>
      <c r="I677" s="89" t="str">
        <f t="shared" si="11"/>
        <v>Medición</v>
      </c>
    </row>
    <row r="678" spans="1:9" x14ac:dyDescent="0.2">
      <c r="A678" s="82">
        <f>'ERROR FINAL'!A681</f>
        <v>673</v>
      </c>
      <c r="B678" s="83">
        <f>'ERROR FINAL'!D681</f>
        <v>6</v>
      </c>
      <c r="C678" s="84">
        <f>'ERROR FINAL'!G681</f>
        <v>0</v>
      </c>
      <c r="D678" s="85">
        <f>'ERROR FINAL'!I681</f>
        <v>0</v>
      </c>
      <c r="E678" s="86">
        <f>'ERROR FINAL'!U681</f>
        <v>-100</v>
      </c>
      <c r="F678" s="87">
        <f>'ERROR FINAL'!AG681</f>
        <v>-100</v>
      </c>
      <c r="G678" s="87">
        <f>'ERROR FINAL'!AS681</f>
        <v>-100</v>
      </c>
      <c r="H678" s="88" t="str">
        <f>IF('ERROR FINAL'!AT681="CONFORME","CONFORME","NO CONFORME")</f>
        <v>NO CONFORME</v>
      </c>
      <c r="I678" s="89" t="str">
        <f t="shared" si="11"/>
        <v>Medición</v>
      </c>
    </row>
    <row r="679" spans="1:9" x14ac:dyDescent="0.2">
      <c r="A679" s="82">
        <f>'ERROR FINAL'!A682</f>
        <v>674</v>
      </c>
      <c r="B679" s="83">
        <f>'ERROR FINAL'!D682</f>
        <v>6</v>
      </c>
      <c r="C679" s="84">
        <f>'ERROR FINAL'!G682</f>
        <v>0</v>
      </c>
      <c r="D679" s="85">
        <f>'ERROR FINAL'!I682</f>
        <v>0</v>
      </c>
      <c r="E679" s="86">
        <f>'ERROR FINAL'!U682</f>
        <v>-100</v>
      </c>
      <c r="F679" s="87">
        <f>'ERROR FINAL'!AG682</f>
        <v>-100</v>
      </c>
      <c r="G679" s="87">
        <f>'ERROR FINAL'!AS682</f>
        <v>-100</v>
      </c>
      <c r="H679" s="88" t="str">
        <f>IF('ERROR FINAL'!AT682="CONFORME","CONFORME","NO CONFORME")</f>
        <v>NO CONFORME</v>
      </c>
      <c r="I679" s="89" t="str">
        <f t="shared" si="11"/>
        <v>Medición</v>
      </c>
    </row>
    <row r="680" spans="1:9" x14ac:dyDescent="0.2">
      <c r="A680" s="82">
        <f>'ERROR FINAL'!A683</f>
        <v>675</v>
      </c>
      <c r="B680" s="83">
        <f>'ERROR FINAL'!D683</f>
        <v>6</v>
      </c>
      <c r="C680" s="84">
        <f>'ERROR FINAL'!G683</f>
        <v>0</v>
      </c>
      <c r="D680" s="85">
        <f>'ERROR FINAL'!I683</f>
        <v>0</v>
      </c>
      <c r="E680" s="86">
        <f>'ERROR FINAL'!U683</f>
        <v>-100</v>
      </c>
      <c r="F680" s="87">
        <f>'ERROR FINAL'!AG683</f>
        <v>-100</v>
      </c>
      <c r="G680" s="87">
        <f>'ERROR FINAL'!AS683</f>
        <v>-100</v>
      </c>
      <c r="H680" s="88" t="str">
        <f>IF('ERROR FINAL'!AT683="CONFORME","CONFORME","NO CONFORME")</f>
        <v>NO CONFORME</v>
      </c>
      <c r="I680" s="89" t="str">
        <f t="shared" si="11"/>
        <v>Medición</v>
      </c>
    </row>
    <row r="681" spans="1:9" x14ac:dyDescent="0.2">
      <c r="A681" s="82">
        <f>'ERROR FINAL'!A684</f>
        <v>676</v>
      </c>
      <c r="B681" s="83">
        <f>'ERROR FINAL'!D684</f>
        <v>6</v>
      </c>
      <c r="C681" s="84">
        <f>'ERROR FINAL'!G684</f>
        <v>0</v>
      </c>
      <c r="D681" s="85">
        <f>'ERROR FINAL'!I684</f>
        <v>0</v>
      </c>
      <c r="E681" s="86">
        <f>'ERROR FINAL'!U684</f>
        <v>-100</v>
      </c>
      <c r="F681" s="87">
        <f>'ERROR FINAL'!AG684</f>
        <v>-100</v>
      </c>
      <c r="G681" s="87">
        <f>'ERROR FINAL'!AS684</f>
        <v>-100</v>
      </c>
      <c r="H681" s="88" t="str">
        <f>IF('ERROR FINAL'!AT684="CONFORME","CONFORME","NO CONFORME")</f>
        <v>NO CONFORME</v>
      </c>
      <c r="I681" s="89" t="str">
        <f t="shared" si="11"/>
        <v>Medición</v>
      </c>
    </row>
    <row r="682" spans="1:9" x14ac:dyDescent="0.2">
      <c r="A682" s="82">
        <f>'ERROR FINAL'!A685</f>
        <v>677</v>
      </c>
      <c r="B682" s="83">
        <f>'ERROR FINAL'!D685</f>
        <v>6</v>
      </c>
      <c r="C682" s="84">
        <f>'ERROR FINAL'!G685</f>
        <v>0</v>
      </c>
      <c r="D682" s="85">
        <f>'ERROR FINAL'!I685</f>
        <v>0</v>
      </c>
      <c r="E682" s="86">
        <f>'ERROR FINAL'!U685</f>
        <v>-100</v>
      </c>
      <c r="F682" s="87">
        <f>'ERROR FINAL'!AG685</f>
        <v>-100</v>
      </c>
      <c r="G682" s="87">
        <f>'ERROR FINAL'!AS685</f>
        <v>-100</v>
      </c>
      <c r="H682" s="88" t="str">
        <f>IF('ERROR FINAL'!AT685="CONFORME","CONFORME","NO CONFORME")</f>
        <v>NO CONFORME</v>
      </c>
      <c r="I682" s="89" t="str">
        <f t="shared" si="11"/>
        <v>Medición</v>
      </c>
    </row>
    <row r="683" spans="1:9" x14ac:dyDescent="0.2">
      <c r="A683" s="82">
        <f>'ERROR FINAL'!A686</f>
        <v>678</v>
      </c>
      <c r="B683" s="83">
        <f>'ERROR FINAL'!D686</f>
        <v>6</v>
      </c>
      <c r="C683" s="84">
        <f>'ERROR FINAL'!G686</f>
        <v>0</v>
      </c>
      <c r="D683" s="85">
        <f>'ERROR FINAL'!I686</f>
        <v>0</v>
      </c>
      <c r="E683" s="86">
        <f>'ERROR FINAL'!U686</f>
        <v>-100</v>
      </c>
      <c r="F683" s="87">
        <f>'ERROR FINAL'!AG686</f>
        <v>-100</v>
      </c>
      <c r="G683" s="87">
        <f>'ERROR FINAL'!AS686</f>
        <v>-100</v>
      </c>
      <c r="H683" s="88" t="str">
        <f>IF('ERROR FINAL'!AT686="CONFORME","CONFORME","NO CONFORME")</f>
        <v>NO CONFORME</v>
      </c>
      <c r="I683" s="89" t="str">
        <f t="shared" si="11"/>
        <v>Medición</v>
      </c>
    </row>
    <row r="684" spans="1:9" x14ac:dyDescent="0.2">
      <c r="A684" s="82">
        <f>'ERROR FINAL'!A687</f>
        <v>679</v>
      </c>
      <c r="B684" s="83">
        <f>'ERROR FINAL'!D687</f>
        <v>6</v>
      </c>
      <c r="C684" s="84">
        <f>'ERROR FINAL'!G687</f>
        <v>0</v>
      </c>
      <c r="D684" s="85">
        <f>'ERROR FINAL'!I687</f>
        <v>0</v>
      </c>
      <c r="E684" s="86">
        <f>'ERROR FINAL'!U687</f>
        <v>-100</v>
      </c>
      <c r="F684" s="87">
        <f>'ERROR FINAL'!AG687</f>
        <v>-100</v>
      </c>
      <c r="G684" s="87">
        <f>'ERROR FINAL'!AS687</f>
        <v>-100</v>
      </c>
      <c r="H684" s="88" t="str">
        <f>IF('ERROR FINAL'!AT687="CONFORME","CONFORME","NO CONFORME")</f>
        <v>NO CONFORME</v>
      </c>
      <c r="I684" s="89" t="str">
        <f t="shared" si="11"/>
        <v>Medición</v>
      </c>
    </row>
    <row r="685" spans="1:9" x14ac:dyDescent="0.2">
      <c r="A685" s="82">
        <f>'ERROR FINAL'!A688</f>
        <v>680</v>
      </c>
      <c r="B685" s="83">
        <f>'ERROR FINAL'!D688</f>
        <v>6</v>
      </c>
      <c r="C685" s="84">
        <f>'ERROR FINAL'!G688</f>
        <v>0</v>
      </c>
      <c r="D685" s="85">
        <f>'ERROR FINAL'!I688</f>
        <v>0</v>
      </c>
      <c r="E685" s="86">
        <f>'ERROR FINAL'!U688</f>
        <v>-100</v>
      </c>
      <c r="F685" s="87">
        <f>'ERROR FINAL'!AG688</f>
        <v>-100</v>
      </c>
      <c r="G685" s="87">
        <f>'ERROR FINAL'!AS688</f>
        <v>-100</v>
      </c>
      <c r="H685" s="88" t="str">
        <f>IF('ERROR FINAL'!AT688="CONFORME","CONFORME","NO CONFORME")</f>
        <v>NO CONFORME</v>
      </c>
      <c r="I685" s="89" t="str">
        <f t="shared" si="11"/>
        <v>Medición</v>
      </c>
    </row>
    <row r="686" spans="1:9" x14ac:dyDescent="0.2">
      <c r="A686" s="82">
        <f>'ERROR FINAL'!A689</f>
        <v>681</v>
      </c>
      <c r="B686" s="83">
        <f>'ERROR FINAL'!D689</f>
        <v>6</v>
      </c>
      <c r="C686" s="84">
        <f>'ERROR FINAL'!G689</f>
        <v>0</v>
      </c>
      <c r="D686" s="85">
        <f>'ERROR FINAL'!I689</f>
        <v>0</v>
      </c>
      <c r="E686" s="86">
        <f>'ERROR FINAL'!U689</f>
        <v>-100</v>
      </c>
      <c r="F686" s="87">
        <f>'ERROR FINAL'!AG689</f>
        <v>-100</v>
      </c>
      <c r="G686" s="87">
        <f>'ERROR FINAL'!AS689</f>
        <v>-100</v>
      </c>
      <c r="H686" s="88" t="str">
        <f>IF('ERROR FINAL'!AT689="CONFORME","CONFORME","NO CONFORME")</f>
        <v>NO CONFORME</v>
      </c>
      <c r="I686" s="89" t="str">
        <f t="shared" si="11"/>
        <v>Medición</v>
      </c>
    </row>
    <row r="687" spans="1:9" x14ac:dyDescent="0.2">
      <c r="A687" s="82">
        <f>'ERROR FINAL'!A690</f>
        <v>682</v>
      </c>
      <c r="B687" s="83">
        <f>'ERROR FINAL'!D690</f>
        <v>6</v>
      </c>
      <c r="C687" s="84">
        <f>'ERROR FINAL'!G690</f>
        <v>0</v>
      </c>
      <c r="D687" s="85">
        <f>'ERROR FINAL'!I690</f>
        <v>0</v>
      </c>
      <c r="E687" s="86">
        <f>'ERROR FINAL'!U690</f>
        <v>-100</v>
      </c>
      <c r="F687" s="87">
        <f>'ERROR FINAL'!AG690</f>
        <v>-100</v>
      </c>
      <c r="G687" s="87">
        <f>'ERROR FINAL'!AS690</f>
        <v>-100</v>
      </c>
      <c r="H687" s="88" t="str">
        <f>IF('ERROR FINAL'!AT690="CONFORME","CONFORME","NO CONFORME")</f>
        <v>NO CONFORME</v>
      </c>
      <c r="I687" s="89" t="str">
        <f t="shared" si="11"/>
        <v>Medición</v>
      </c>
    </row>
    <row r="688" spans="1:9" x14ac:dyDescent="0.2">
      <c r="A688" s="82">
        <f>'ERROR FINAL'!A691</f>
        <v>683</v>
      </c>
      <c r="B688" s="83">
        <f>'ERROR FINAL'!D691</f>
        <v>6</v>
      </c>
      <c r="C688" s="84">
        <f>'ERROR FINAL'!G691</f>
        <v>0</v>
      </c>
      <c r="D688" s="85">
        <f>'ERROR FINAL'!I691</f>
        <v>0</v>
      </c>
      <c r="E688" s="86">
        <f>'ERROR FINAL'!U691</f>
        <v>-100</v>
      </c>
      <c r="F688" s="87">
        <f>'ERROR FINAL'!AG691</f>
        <v>-100</v>
      </c>
      <c r="G688" s="87">
        <f>'ERROR FINAL'!AS691</f>
        <v>-100</v>
      </c>
      <c r="H688" s="88" t="str">
        <f>IF('ERROR FINAL'!AT691="CONFORME","CONFORME","NO CONFORME")</f>
        <v>NO CONFORME</v>
      </c>
      <c r="I688" s="89" t="str">
        <f t="shared" si="11"/>
        <v>Medición</v>
      </c>
    </row>
    <row r="689" spans="1:9" x14ac:dyDescent="0.2">
      <c r="A689" s="82">
        <f>'ERROR FINAL'!A692</f>
        <v>684</v>
      </c>
      <c r="B689" s="83">
        <f>'ERROR FINAL'!D692</f>
        <v>6</v>
      </c>
      <c r="C689" s="84">
        <f>'ERROR FINAL'!G692</f>
        <v>0</v>
      </c>
      <c r="D689" s="85">
        <f>'ERROR FINAL'!I692</f>
        <v>0</v>
      </c>
      <c r="E689" s="86">
        <f>'ERROR FINAL'!U692</f>
        <v>-100</v>
      </c>
      <c r="F689" s="87">
        <f>'ERROR FINAL'!AG692</f>
        <v>-100</v>
      </c>
      <c r="G689" s="87">
        <f>'ERROR FINAL'!AS692</f>
        <v>-100</v>
      </c>
      <c r="H689" s="88" t="str">
        <f>IF('ERROR FINAL'!AT692="CONFORME","CONFORME","NO CONFORME")</f>
        <v>NO CONFORME</v>
      </c>
      <c r="I689" s="89" t="str">
        <f t="shared" si="11"/>
        <v>Medición</v>
      </c>
    </row>
    <row r="690" spans="1:9" x14ac:dyDescent="0.2">
      <c r="A690" s="82">
        <f>'ERROR FINAL'!A693</f>
        <v>685</v>
      </c>
      <c r="B690" s="83">
        <f>'ERROR FINAL'!D693</f>
        <v>6</v>
      </c>
      <c r="C690" s="84">
        <f>'ERROR FINAL'!G693</f>
        <v>0</v>
      </c>
      <c r="D690" s="85">
        <f>'ERROR FINAL'!I693</f>
        <v>0</v>
      </c>
      <c r="E690" s="86">
        <f>'ERROR FINAL'!U693</f>
        <v>-100</v>
      </c>
      <c r="F690" s="87">
        <f>'ERROR FINAL'!AG693</f>
        <v>-100</v>
      </c>
      <c r="G690" s="87">
        <f>'ERROR FINAL'!AS693</f>
        <v>-100</v>
      </c>
      <c r="H690" s="88" t="str">
        <f>IF('ERROR FINAL'!AT693="CONFORME","CONFORME","NO CONFORME")</f>
        <v>NO CONFORME</v>
      </c>
      <c r="I690" s="89" t="str">
        <f t="shared" si="11"/>
        <v>Medición</v>
      </c>
    </row>
    <row r="691" spans="1:9" x14ac:dyDescent="0.2">
      <c r="A691" s="82">
        <f>'ERROR FINAL'!A694</f>
        <v>686</v>
      </c>
      <c r="B691" s="83">
        <f>'ERROR FINAL'!D694</f>
        <v>6</v>
      </c>
      <c r="C691" s="84">
        <f>'ERROR FINAL'!G694</f>
        <v>0</v>
      </c>
      <c r="D691" s="85">
        <f>'ERROR FINAL'!I694</f>
        <v>0</v>
      </c>
      <c r="E691" s="86">
        <f>'ERROR FINAL'!U694</f>
        <v>-100</v>
      </c>
      <c r="F691" s="87">
        <f>'ERROR FINAL'!AG694</f>
        <v>-100</v>
      </c>
      <c r="G691" s="87">
        <f>'ERROR FINAL'!AS694</f>
        <v>-100</v>
      </c>
      <c r="H691" s="88" t="str">
        <f>IF('ERROR FINAL'!AT694="CONFORME","CONFORME","NO CONFORME")</f>
        <v>NO CONFORME</v>
      </c>
      <c r="I691" s="89" t="str">
        <f t="shared" si="11"/>
        <v>Medición</v>
      </c>
    </row>
    <row r="692" spans="1:9" x14ac:dyDescent="0.2">
      <c r="A692" s="82">
        <f>'ERROR FINAL'!A695</f>
        <v>687</v>
      </c>
      <c r="B692" s="83">
        <f>'ERROR FINAL'!D695</f>
        <v>6</v>
      </c>
      <c r="C692" s="84">
        <f>'ERROR FINAL'!G695</f>
        <v>0</v>
      </c>
      <c r="D692" s="85">
        <f>'ERROR FINAL'!I695</f>
        <v>0</v>
      </c>
      <c r="E692" s="86">
        <f>'ERROR FINAL'!U695</f>
        <v>-100</v>
      </c>
      <c r="F692" s="87">
        <f>'ERROR FINAL'!AG695</f>
        <v>-100</v>
      </c>
      <c r="G692" s="87">
        <f>'ERROR FINAL'!AS695</f>
        <v>-100</v>
      </c>
      <c r="H692" s="88" t="str">
        <f>IF('ERROR FINAL'!AT695="CONFORME","CONFORME","NO CONFORME")</f>
        <v>NO CONFORME</v>
      </c>
      <c r="I692" s="89" t="str">
        <f t="shared" si="11"/>
        <v>Medición</v>
      </c>
    </row>
    <row r="693" spans="1:9" x14ac:dyDescent="0.2">
      <c r="A693" s="82">
        <f>'ERROR FINAL'!A696</f>
        <v>688</v>
      </c>
      <c r="B693" s="83">
        <f>'ERROR FINAL'!D696</f>
        <v>6</v>
      </c>
      <c r="C693" s="84">
        <f>'ERROR FINAL'!G696</f>
        <v>0</v>
      </c>
      <c r="D693" s="85">
        <f>'ERROR FINAL'!I696</f>
        <v>0</v>
      </c>
      <c r="E693" s="86">
        <f>'ERROR FINAL'!U696</f>
        <v>-100</v>
      </c>
      <c r="F693" s="87">
        <f>'ERROR FINAL'!AG696</f>
        <v>-100</v>
      </c>
      <c r="G693" s="87">
        <f>'ERROR FINAL'!AS696</f>
        <v>-100</v>
      </c>
      <c r="H693" s="88" t="str">
        <f>IF('ERROR FINAL'!AT696="CONFORME","CONFORME","NO CONFORME")</f>
        <v>NO CONFORME</v>
      </c>
      <c r="I693" s="89" t="str">
        <f t="shared" si="11"/>
        <v>Medición</v>
      </c>
    </row>
    <row r="694" spans="1:9" x14ac:dyDescent="0.2">
      <c r="A694" s="82">
        <f>'ERROR FINAL'!A697</f>
        <v>689</v>
      </c>
      <c r="B694" s="83">
        <f>'ERROR FINAL'!D697</f>
        <v>6</v>
      </c>
      <c r="C694" s="84">
        <f>'ERROR FINAL'!G697</f>
        <v>0</v>
      </c>
      <c r="D694" s="85">
        <f>'ERROR FINAL'!I697</f>
        <v>0</v>
      </c>
      <c r="E694" s="86">
        <f>'ERROR FINAL'!U697</f>
        <v>-100</v>
      </c>
      <c r="F694" s="87">
        <f>'ERROR FINAL'!AG697</f>
        <v>-100</v>
      </c>
      <c r="G694" s="87">
        <f>'ERROR FINAL'!AS697</f>
        <v>-100</v>
      </c>
      <c r="H694" s="88" t="str">
        <f>IF('ERROR FINAL'!AT697="CONFORME","CONFORME","NO CONFORME")</f>
        <v>NO CONFORME</v>
      </c>
      <c r="I694" s="89" t="str">
        <f t="shared" si="11"/>
        <v>Medición</v>
      </c>
    </row>
    <row r="695" spans="1:9" x14ac:dyDescent="0.2">
      <c r="A695" s="82">
        <f>'ERROR FINAL'!A698</f>
        <v>690</v>
      </c>
      <c r="B695" s="83">
        <f>'ERROR FINAL'!D698</f>
        <v>6</v>
      </c>
      <c r="C695" s="84">
        <f>'ERROR FINAL'!G698</f>
        <v>0</v>
      </c>
      <c r="D695" s="85">
        <f>'ERROR FINAL'!I698</f>
        <v>0</v>
      </c>
      <c r="E695" s="86">
        <f>'ERROR FINAL'!U698</f>
        <v>-100</v>
      </c>
      <c r="F695" s="87">
        <f>'ERROR FINAL'!AG698</f>
        <v>-100</v>
      </c>
      <c r="G695" s="87">
        <f>'ERROR FINAL'!AS698</f>
        <v>-100</v>
      </c>
      <c r="H695" s="88" t="str">
        <f>IF('ERROR FINAL'!AT698="CONFORME","CONFORME","NO CONFORME")</f>
        <v>NO CONFORME</v>
      </c>
      <c r="I695" s="89" t="str">
        <f t="shared" si="11"/>
        <v>Medición</v>
      </c>
    </row>
    <row r="696" spans="1:9" x14ac:dyDescent="0.2">
      <c r="A696" s="82">
        <f>'ERROR FINAL'!A699</f>
        <v>691</v>
      </c>
      <c r="B696" s="83">
        <f>'ERROR FINAL'!D699</f>
        <v>6</v>
      </c>
      <c r="C696" s="84">
        <f>'ERROR FINAL'!G699</f>
        <v>0</v>
      </c>
      <c r="D696" s="85">
        <f>'ERROR FINAL'!I699</f>
        <v>0</v>
      </c>
      <c r="E696" s="86">
        <f>'ERROR FINAL'!U699</f>
        <v>-100</v>
      </c>
      <c r="F696" s="87">
        <f>'ERROR FINAL'!AG699</f>
        <v>-100</v>
      </c>
      <c r="G696" s="87">
        <f>'ERROR FINAL'!AS699</f>
        <v>-100</v>
      </c>
      <c r="H696" s="88" t="str">
        <f>IF('ERROR FINAL'!AT699="CONFORME","CONFORME","NO CONFORME")</f>
        <v>NO CONFORME</v>
      </c>
      <c r="I696" s="89" t="str">
        <f t="shared" si="11"/>
        <v>Medición</v>
      </c>
    </row>
    <row r="697" spans="1:9" x14ac:dyDescent="0.2">
      <c r="A697" s="82">
        <f>'ERROR FINAL'!A700</f>
        <v>692</v>
      </c>
      <c r="B697" s="83">
        <f>'ERROR FINAL'!D700</f>
        <v>6</v>
      </c>
      <c r="C697" s="84">
        <f>'ERROR FINAL'!G700</f>
        <v>0</v>
      </c>
      <c r="D697" s="85">
        <f>'ERROR FINAL'!I700</f>
        <v>0</v>
      </c>
      <c r="E697" s="86">
        <f>'ERROR FINAL'!U700</f>
        <v>-100</v>
      </c>
      <c r="F697" s="87">
        <f>'ERROR FINAL'!AG700</f>
        <v>-100</v>
      </c>
      <c r="G697" s="87">
        <f>'ERROR FINAL'!AS700</f>
        <v>-100</v>
      </c>
      <c r="H697" s="88" t="str">
        <f>IF('ERROR FINAL'!AT700="CONFORME","CONFORME","NO CONFORME")</f>
        <v>NO CONFORME</v>
      </c>
      <c r="I697" s="89" t="str">
        <f t="shared" si="11"/>
        <v>Medición</v>
      </c>
    </row>
    <row r="698" spans="1:9" x14ac:dyDescent="0.2">
      <c r="A698" s="82">
        <f>'ERROR FINAL'!A701</f>
        <v>693</v>
      </c>
      <c r="B698" s="83">
        <f>'ERROR FINAL'!D701</f>
        <v>6</v>
      </c>
      <c r="C698" s="84">
        <f>'ERROR FINAL'!G701</f>
        <v>0</v>
      </c>
      <c r="D698" s="85">
        <f>'ERROR FINAL'!I701</f>
        <v>0</v>
      </c>
      <c r="E698" s="86">
        <f>'ERROR FINAL'!U701</f>
        <v>-100</v>
      </c>
      <c r="F698" s="87">
        <f>'ERROR FINAL'!AG701</f>
        <v>-100</v>
      </c>
      <c r="G698" s="87">
        <f>'ERROR FINAL'!AS701</f>
        <v>-100</v>
      </c>
      <c r="H698" s="88" t="str">
        <f>IF('ERROR FINAL'!AT701="CONFORME","CONFORME","NO CONFORME")</f>
        <v>NO CONFORME</v>
      </c>
      <c r="I698" s="89" t="str">
        <f t="shared" si="11"/>
        <v>Medición</v>
      </c>
    </row>
    <row r="699" spans="1:9" x14ac:dyDescent="0.2">
      <c r="A699" s="82">
        <f>'ERROR FINAL'!A702</f>
        <v>694</v>
      </c>
      <c r="B699" s="83">
        <f>'ERROR FINAL'!D702</f>
        <v>6</v>
      </c>
      <c r="C699" s="84">
        <f>'ERROR FINAL'!G702</f>
        <v>0</v>
      </c>
      <c r="D699" s="85">
        <f>'ERROR FINAL'!I702</f>
        <v>0</v>
      </c>
      <c r="E699" s="86">
        <f>'ERROR FINAL'!U702</f>
        <v>-100</v>
      </c>
      <c r="F699" s="87">
        <f>'ERROR FINAL'!AG702</f>
        <v>-100</v>
      </c>
      <c r="G699" s="87">
        <f>'ERROR FINAL'!AS702</f>
        <v>-100</v>
      </c>
      <c r="H699" s="88" t="str">
        <f>IF('ERROR FINAL'!AT702="CONFORME","CONFORME","NO CONFORME")</f>
        <v>NO CONFORME</v>
      </c>
      <c r="I699" s="89" t="str">
        <f t="shared" si="11"/>
        <v>Medición</v>
      </c>
    </row>
    <row r="700" spans="1:9" x14ac:dyDescent="0.2">
      <c r="A700" s="82">
        <f>'ERROR FINAL'!A703</f>
        <v>695</v>
      </c>
      <c r="B700" s="83">
        <f>'ERROR FINAL'!D703</f>
        <v>6</v>
      </c>
      <c r="C700" s="84">
        <f>'ERROR FINAL'!G703</f>
        <v>0</v>
      </c>
      <c r="D700" s="85">
        <f>'ERROR FINAL'!I703</f>
        <v>0</v>
      </c>
      <c r="E700" s="86">
        <f>'ERROR FINAL'!U703</f>
        <v>-100</v>
      </c>
      <c r="F700" s="87">
        <f>'ERROR FINAL'!AG703</f>
        <v>-100</v>
      </c>
      <c r="G700" s="87">
        <f>'ERROR FINAL'!AS703</f>
        <v>-100</v>
      </c>
      <c r="H700" s="88" t="str">
        <f>IF('ERROR FINAL'!AT703="CONFORME","CONFORME","NO CONFORME")</f>
        <v>NO CONFORME</v>
      </c>
      <c r="I700" s="89" t="str">
        <f t="shared" ref="I700:I725" si="12">IF(D700=0,"Medición",IF(D700=1,"Daño físico",IF(D700=2,"Fuga",IF(D700=3,"Picado",IF(D700=4,"Desfasado",IF(D700=5,"Paralizado","¿?"))))))</f>
        <v>Medición</v>
      </c>
    </row>
    <row r="701" spans="1:9" x14ac:dyDescent="0.2">
      <c r="A701" s="82">
        <f>'ERROR FINAL'!A704</f>
        <v>696</v>
      </c>
      <c r="B701" s="83">
        <f>'ERROR FINAL'!D704</f>
        <v>6</v>
      </c>
      <c r="C701" s="84">
        <f>'ERROR FINAL'!G704</f>
        <v>0</v>
      </c>
      <c r="D701" s="85">
        <f>'ERROR FINAL'!I704</f>
        <v>0</v>
      </c>
      <c r="E701" s="86">
        <f>'ERROR FINAL'!U704</f>
        <v>-100</v>
      </c>
      <c r="F701" s="87">
        <f>'ERROR FINAL'!AG704</f>
        <v>-100</v>
      </c>
      <c r="G701" s="87">
        <f>'ERROR FINAL'!AS704</f>
        <v>-100</v>
      </c>
      <c r="H701" s="88" t="str">
        <f>IF('ERROR FINAL'!AT704="CONFORME","CONFORME","NO CONFORME")</f>
        <v>NO CONFORME</v>
      </c>
      <c r="I701" s="89" t="str">
        <f t="shared" si="12"/>
        <v>Medición</v>
      </c>
    </row>
    <row r="702" spans="1:9" x14ac:dyDescent="0.2">
      <c r="A702" s="82">
        <f>'ERROR FINAL'!A705</f>
        <v>697</v>
      </c>
      <c r="B702" s="83">
        <f>'ERROR FINAL'!D705</f>
        <v>6</v>
      </c>
      <c r="C702" s="84">
        <f>'ERROR FINAL'!G705</f>
        <v>0</v>
      </c>
      <c r="D702" s="85">
        <f>'ERROR FINAL'!I705</f>
        <v>0</v>
      </c>
      <c r="E702" s="86">
        <f>'ERROR FINAL'!U705</f>
        <v>-100</v>
      </c>
      <c r="F702" s="87">
        <f>'ERROR FINAL'!AG705</f>
        <v>-100</v>
      </c>
      <c r="G702" s="87">
        <f>'ERROR FINAL'!AS705</f>
        <v>-100</v>
      </c>
      <c r="H702" s="88" t="str">
        <f>IF('ERROR FINAL'!AT705="CONFORME","CONFORME","NO CONFORME")</f>
        <v>NO CONFORME</v>
      </c>
      <c r="I702" s="89" t="str">
        <f t="shared" si="12"/>
        <v>Medición</v>
      </c>
    </row>
    <row r="703" spans="1:9" x14ac:dyDescent="0.2">
      <c r="A703" s="82">
        <f>'ERROR FINAL'!A706</f>
        <v>698</v>
      </c>
      <c r="B703" s="83">
        <f>'ERROR FINAL'!D706</f>
        <v>6</v>
      </c>
      <c r="C703" s="84">
        <f>'ERROR FINAL'!G706</f>
        <v>0</v>
      </c>
      <c r="D703" s="85">
        <f>'ERROR FINAL'!I706</f>
        <v>0</v>
      </c>
      <c r="E703" s="86">
        <f>'ERROR FINAL'!U706</f>
        <v>-100</v>
      </c>
      <c r="F703" s="87">
        <f>'ERROR FINAL'!AG706</f>
        <v>-100</v>
      </c>
      <c r="G703" s="87">
        <f>'ERROR FINAL'!AS706</f>
        <v>-100</v>
      </c>
      <c r="H703" s="88" t="str">
        <f>IF('ERROR FINAL'!AT706="CONFORME","CONFORME","NO CONFORME")</f>
        <v>NO CONFORME</v>
      </c>
      <c r="I703" s="89" t="str">
        <f t="shared" si="12"/>
        <v>Medición</v>
      </c>
    </row>
    <row r="704" spans="1:9" x14ac:dyDescent="0.2">
      <c r="A704" s="82">
        <f>'ERROR FINAL'!A707</f>
        <v>699</v>
      </c>
      <c r="B704" s="83">
        <f>'ERROR FINAL'!D707</f>
        <v>6</v>
      </c>
      <c r="C704" s="84">
        <f>'ERROR FINAL'!G707</f>
        <v>0</v>
      </c>
      <c r="D704" s="85">
        <f>'ERROR FINAL'!I707</f>
        <v>0</v>
      </c>
      <c r="E704" s="86">
        <f>'ERROR FINAL'!U707</f>
        <v>-100</v>
      </c>
      <c r="F704" s="87">
        <f>'ERROR FINAL'!AG707</f>
        <v>-100</v>
      </c>
      <c r="G704" s="87">
        <f>'ERROR FINAL'!AS707</f>
        <v>-100</v>
      </c>
      <c r="H704" s="88" t="str">
        <f>IF('ERROR FINAL'!AT707="CONFORME","CONFORME","NO CONFORME")</f>
        <v>NO CONFORME</v>
      </c>
      <c r="I704" s="89" t="str">
        <f t="shared" si="12"/>
        <v>Medición</v>
      </c>
    </row>
    <row r="705" spans="1:9" x14ac:dyDescent="0.2">
      <c r="A705" s="82">
        <f>'ERROR FINAL'!A708</f>
        <v>700</v>
      </c>
      <c r="B705" s="83">
        <f>'ERROR FINAL'!D708</f>
        <v>6</v>
      </c>
      <c r="C705" s="84">
        <f>'ERROR FINAL'!G708</f>
        <v>0</v>
      </c>
      <c r="D705" s="85">
        <f>'ERROR FINAL'!I708</f>
        <v>0</v>
      </c>
      <c r="E705" s="86">
        <f>'ERROR FINAL'!U708</f>
        <v>-100</v>
      </c>
      <c r="F705" s="87">
        <f>'ERROR FINAL'!AG708</f>
        <v>-100</v>
      </c>
      <c r="G705" s="87">
        <f>'ERROR FINAL'!AS708</f>
        <v>-100</v>
      </c>
      <c r="H705" s="88" t="str">
        <f>IF('ERROR FINAL'!AT708="CONFORME","CONFORME","NO CONFORME")</f>
        <v>NO CONFORME</v>
      </c>
      <c r="I705" s="89" t="str">
        <f t="shared" si="12"/>
        <v>Medición</v>
      </c>
    </row>
    <row r="706" spans="1:9" x14ac:dyDescent="0.2">
      <c r="A706" s="82">
        <f>'ERROR FINAL'!A709</f>
        <v>701</v>
      </c>
      <c r="B706" s="83">
        <f>'ERROR FINAL'!D709</f>
        <v>6</v>
      </c>
      <c r="C706" s="84">
        <f>'ERROR FINAL'!G709</f>
        <v>0</v>
      </c>
      <c r="D706" s="85">
        <f>'ERROR FINAL'!I709</f>
        <v>0</v>
      </c>
      <c r="E706" s="86">
        <f>'ERROR FINAL'!U709</f>
        <v>-100</v>
      </c>
      <c r="F706" s="87">
        <f>'ERROR FINAL'!AG709</f>
        <v>-100</v>
      </c>
      <c r="G706" s="87">
        <f>'ERROR FINAL'!AS709</f>
        <v>-100</v>
      </c>
      <c r="H706" s="88" t="str">
        <f>IF('ERROR FINAL'!AT709="CONFORME","CONFORME","NO CONFORME")</f>
        <v>NO CONFORME</v>
      </c>
      <c r="I706" s="89" t="str">
        <f t="shared" si="12"/>
        <v>Medición</v>
      </c>
    </row>
    <row r="707" spans="1:9" x14ac:dyDescent="0.2">
      <c r="A707" s="82">
        <f>'ERROR FINAL'!A710</f>
        <v>702</v>
      </c>
      <c r="B707" s="83">
        <f>'ERROR FINAL'!D710</f>
        <v>6</v>
      </c>
      <c r="C707" s="84">
        <f>'ERROR FINAL'!G710</f>
        <v>0</v>
      </c>
      <c r="D707" s="85">
        <f>'ERROR FINAL'!I710</f>
        <v>0</v>
      </c>
      <c r="E707" s="86">
        <f>'ERROR FINAL'!U710</f>
        <v>-100</v>
      </c>
      <c r="F707" s="87">
        <f>'ERROR FINAL'!AG710</f>
        <v>-100</v>
      </c>
      <c r="G707" s="87">
        <f>'ERROR FINAL'!AS710</f>
        <v>-100</v>
      </c>
      <c r="H707" s="88" t="str">
        <f>IF('ERROR FINAL'!AT710="CONFORME","CONFORME","NO CONFORME")</f>
        <v>NO CONFORME</v>
      </c>
      <c r="I707" s="89" t="str">
        <f t="shared" si="12"/>
        <v>Medición</v>
      </c>
    </row>
    <row r="708" spans="1:9" x14ac:dyDescent="0.2">
      <c r="A708" s="82">
        <f>'ERROR FINAL'!A711</f>
        <v>703</v>
      </c>
      <c r="B708" s="83">
        <f>'ERROR FINAL'!D711</f>
        <v>6</v>
      </c>
      <c r="C708" s="84">
        <f>'ERROR FINAL'!G711</f>
        <v>0</v>
      </c>
      <c r="D708" s="85">
        <f>'ERROR FINAL'!I711</f>
        <v>0</v>
      </c>
      <c r="E708" s="86">
        <f>'ERROR FINAL'!U711</f>
        <v>-100</v>
      </c>
      <c r="F708" s="87">
        <f>'ERROR FINAL'!AG711</f>
        <v>-100</v>
      </c>
      <c r="G708" s="87">
        <f>'ERROR FINAL'!AS711</f>
        <v>-100</v>
      </c>
      <c r="H708" s="88" t="str">
        <f>IF('ERROR FINAL'!AT711="CONFORME","CONFORME","NO CONFORME")</f>
        <v>NO CONFORME</v>
      </c>
      <c r="I708" s="89" t="str">
        <f t="shared" si="12"/>
        <v>Medición</v>
      </c>
    </row>
    <row r="709" spans="1:9" x14ac:dyDescent="0.2">
      <c r="A709" s="82">
        <f>'ERROR FINAL'!A712</f>
        <v>704</v>
      </c>
      <c r="B709" s="83">
        <f>'ERROR FINAL'!D712</f>
        <v>6</v>
      </c>
      <c r="C709" s="84">
        <f>'ERROR FINAL'!G712</f>
        <v>0</v>
      </c>
      <c r="D709" s="85">
        <f>'ERROR FINAL'!I712</f>
        <v>0</v>
      </c>
      <c r="E709" s="86">
        <f>'ERROR FINAL'!U712</f>
        <v>-100</v>
      </c>
      <c r="F709" s="87">
        <f>'ERROR FINAL'!AG712</f>
        <v>-100</v>
      </c>
      <c r="G709" s="87">
        <f>'ERROR FINAL'!AS712</f>
        <v>-100</v>
      </c>
      <c r="H709" s="88" t="str">
        <f>IF('ERROR FINAL'!AT712="CONFORME","CONFORME","NO CONFORME")</f>
        <v>NO CONFORME</v>
      </c>
      <c r="I709" s="89" t="str">
        <f t="shared" si="12"/>
        <v>Medición</v>
      </c>
    </row>
    <row r="710" spans="1:9" x14ac:dyDescent="0.2">
      <c r="A710" s="82">
        <f>'ERROR FINAL'!A713</f>
        <v>705</v>
      </c>
      <c r="B710" s="83">
        <f>'ERROR FINAL'!D713</f>
        <v>6</v>
      </c>
      <c r="C710" s="84">
        <f>'ERROR FINAL'!G713</f>
        <v>0</v>
      </c>
      <c r="D710" s="85">
        <f>'ERROR FINAL'!I713</f>
        <v>0</v>
      </c>
      <c r="E710" s="86">
        <f>'ERROR FINAL'!U713</f>
        <v>-100</v>
      </c>
      <c r="F710" s="87">
        <f>'ERROR FINAL'!AG713</f>
        <v>-100</v>
      </c>
      <c r="G710" s="87">
        <f>'ERROR FINAL'!AS713</f>
        <v>-100</v>
      </c>
      <c r="H710" s="88" t="str">
        <f>IF('ERROR FINAL'!AT713="CONFORME","CONFORME","NO CONFORME")</f>
        <v>NO CONFORME</v>
      </c>
      <c r="I710" s="89" t="str">
        <f t="shared" si="12"/>
        <v>Medición</v>
      </c>
    </row>
    <row r="711" spans="1:9" x14ac:dyDescent="0.2">
      <c r="A711" s="82">
        <f>'ERROR FINAL'!A714</f>
        <v>706</v>
      </c>
      <c r="B711" s="83">
        <f>'ERROR FINAL'!D714</f>
        <v>6</v>
      </c>
      <c r="C711" s="84">
        <f>'ERROR FINAL'!G714</f>
        <v>0</v>
      </c>
      <c r="D711" s="85">
        <f>'ERROR FINAL'!I714</f>
        <v>0</v>
      </c>
      <c r="E711" s="86">
        <f>'ERROR FINAL'!U714</f>
        <v>-100</v>
      </c>
      <c r="F711" s="87">
        <f>'ERROR FINAL'!AG714</f>
        <v>-100</v>
      </c>
      <c r="G711" s="87">
        <f>'ERROR FINAL'!AS714</f>
        <v>-100</v>
      </c>
      <c r="H711" s="88" t="str">
        <f>IF('ERROR FINAL'!AT714="CONFORME","CONFORME","NO CONFORME")</f>
        <v>NO CONFORME</v>
      </c>
      <c r="I711" s="89" t="str">
        <f t="shared" si="12"/>
        <v>Medición</v>
      </c>
    </row>
    <row r="712" spans="1:9" x14ac:dyDescent="0.2">
      <c r="A712" s="82">
        <f>'ERROR FINAL'!A715</f>
        <v>707</v>
      </c>
      <c r="B712" s="83">
        <f>'ERROR FINAL'!D715</f>
        <v>6</v>
      </c>
      <c r="C712" s="84">
        <f>'ERROR FINAL'!G715</f>
        <v>0</v>
      </c>
      <c r="D712" s="85">
        <f>'ERROR FINAL'!I715</f>
        <v>0</v>
      </c>
      <c r="E712" s="86">
        <f>'ERROR FINAL'!U715</f>
        <v>-100</v>
      </c>
      <c r="F712" s="87">
        <f>'ERROR FINAL'!AG715</f>
        <v>-100</v>
      </c>
      <c r="G712" s="87">
        <f>'ERROR FINAL'!AS715</f>
        <v>-100</v>
      </c>
      <c r="H712" s="88" t="str">
        <f>IF('ERROR FINAL'!AT715="CONFORME","CONFORME","NO CONFORME")</f>
        <v>NO CONFORME</v>
      </c>
      <c r="I712" s="89" t="str">
        <f t="shared" si="12"/>
        <v>Medición</v>
      </c>
    </row>
    <row r="713" spans="1:9" x14ac:dyDescent="0.2">
      <c r="A713" s="82">
        <f>'ERROR FINAL'!A716</f>
        <v>708</v>
      </c>
      <c r="B713" s="83">
        <f>'ERROR FINAL'!D716</f>
        <v>6</v>
      </c>
      <c r="C713" s="84">
        <f>'ERROR FINAL'!G716</f>
        <v>0</v>
      </c>
      <c r="D713" s="85">
        <f>'ERROR FINAL'!I716</f>
        <v>0</v>
      </c>
      <c r="E713" s="86">
        <f>'ERROR FINAL'!U716</f>
        <v>-100</v>
      </c>
      <c r="F713" s="87">
        <f>'ERROR FINAL'!AG716</f>
        <v>-100</v>
      </c>
      <c r="G713" s="87">
        <f>'ERROR FINAL'!AS716</f>
        <v>-100</v>
      </c>
      <c r="H713" s="88" t="str">
        <f>IF('ERROR FINAL'!AT716="CONFORME","CONFORME","NO CONFORME")</f>
        <v>NO CONFORME</v>
      </c>
      <c r="I713" s="89" t="str">
        <f t="shared" si="12"/>
        <v>Medición</v>
      </c>
    </row>
    <row r="714" spans="1:9" x14ac:dyDescent="0.2">
      <c r="A714" s="82">
        <f>'ERROR FINAL'!A717</f>
        <v>709</v>
      </c>
      <c r="B714" s="83">
        <f>'ERROR FINAL'!D717</f>
        <v>6</v>
      </c>
      <c r="C714" s="84">
        <f>'ERROR FINAL'!G717</f>
        <v>0</v>
      </c>
      <c r="D714" s="85">
        <f>'ERROR FINAL'!I717</f>
        <v>0</v>
      </c>
      <c r="E714" s="86">
        <f>'ERROR FINAL'!U717</f>
        <v>-100</v>
      </c>
      <c r="F714" s="87">
        <f>'ERROR FINAL'!AG717</f>
        <v>-100</v>
      </c>
      <c r="G714" s="87">
        <f>'ERROR FINAL'!AS717</f>
        <v>-100</v>
      </c>
      <c r="H714" s="88" t="str">
        <f>IF('ERROR FINAL'!AT717="CONFORME","CONFORME","NO CONFORME")</f>
        <v>NO CONFORME</v>
      </c>
      <c r="I714" s="89" t="str">
        <f t="shared" si="12"/>
        <v>Medición</v>
      </c>
    </row>
    <row r="715" spans="1:9" x14ac:dyDescent="0.2">
      <c r="A715" s="82">
        <f>'ERROR FINAL'!A718</f>
        <v>710</v>
      </c>
      <c r="B715" s="83">
        <f>'ERROR FINAL'!D718</f>
        <v>6</v>
      </c>
      <c r="C715" s="84">
        <f>'ERROR FINAL'!G718</f>
        <v>0</v>
      </c>
      <c r="D715" s="85">
        <f>'ERROR FINAL'!I718</f>
        <v>0</v>
      </c>
      <c r="E715" s="86">
        <f>'ERROR FINAL'!U718</f>
        <v>-100</v>
      </c>
      <c r="F715" s="87">
        <f>'ERROR FINAL'!AG718</f>
        <v>-100</v>
      </c>
      <c r="G715" s="87">
        <f>'ERROR FINAL'!AS718</f>
        <v>-100</v>
      </c>
      <c r="H715" s="88" t="str">
        <f>IF('ERROR FINAL'!AT718="CONFORME","CONFORME","NO CONFORME")</f>
        <v>NO CONFORME</v>
      </c>
      <c r="I715" s="89" t="str">
        <f t="shared" si="12"/>
        <v>Medición</v>
      </c>
    </row>
    <row r="716" spans="1:9" x14ac:dyDescent="0.2">
      <c r="A716" s="82">
        <f>'ERROR FINAL'!A719</f>
        <v>711</v>
      </c>
      <c r="B716" s="83">
        <f>'ERROR FINAL'!D719</f>
        <v>6</v>
      </c>
      <c r="C716" s="84">
        <f>'ERROR FINAL'!G719</f>
        <v>0</v>
      </c>
      <c r="D716" s="85">
        <f>'ERROR FINAL'!I719</f>
        <v>0</v>
      </c>
      <c r="E716" s="86">
        <f>'ERROR FINAL'!U719</f>
        <v>-100</v>
      </c>
      <c r="F716" s="87">
        <f>'ERROR FINAL'!AG719</f>
        <v>-100</v>
      </c>
      <c r="G716" s="87">
        <f>'ERROR FINAL'!AS719</f>
        <v>-100</v>
      </c>
      <c r="H716" s="88" t="str">
        <f>IF('ERROR FINAL'!AT719="CONFORME","CONFORME","NO CONFORME")</f>
        <v>NO CONFORME</v>
      </c>
      <c r="I716" s="89" t="str">
        <f t="shared" si="12"/>
        <v>Medición</v>
      </c>
    </row>
    <row r="717" spans="1:9" x14ac:dyDescent="0.2">
      <c r="A717" s="82">
        <f>'ERROR FINAL'!A720</f>
        <v>712</v>
      </c>
      <c r="B717" s="83">
        <f>'ERROR FINAL'!D720</f>
        <v>6</v>
      </c>
      <c r="C717" s="84">
        <f>'ERROR FINAL'!G720</f>
        <v>0</v>
      </c>
      <c r="D717" s="85">
        <f>'ERROR FINAL'!I720</f>
        <v>0</v>
      </c>
      <c r="E717" s="86">
        <f>'ERROR FINAL'!U720</f>
        <v>-100</v>
      </c>
      <c r="F717" s="87">
        <f>'ERROR FINAL'!AG720</f>
        <v>-100</v>
      </c>
      <c r="G717" s="87">
        <f>'ERROR FINAL'!AS720</f>
        <v>-100</v>
      </c>
      <c r="H717" s="88" t="str">
        <f>IF('ERROR FINAL'!AT720="CONFORME","CONFORME","NO CONFORME")</f>
        <v>NO CONFORME</v>
      </c>
      <c r="I717" s="89" t="str">
        <f t="shared" si="12"/>
        <v>Medición</v>
      </c>
    </row>
    <row r="718" spans="1:9" x14ac:dyDescent="0.2">
      <c r="A718" s="82">
        <f>'ERROR FINAL'!A721</f>
        <v>713</v>
      </c>
      <c r="B718" s="83">
        <f>'ERROR FINAL'!D721</f>
        <v>6</v>
      </c>
      <c r="C718" s="84">
        <f>'ERROR FINAL'!G721</f>
        <v>0</v>
      </c>
      <c r="D718" s="85">
        <f>'ERROR FINAL'!I721</f>
        <v>0</v>
      </c>
      <c r="E718" s="86">
        <f>'ERROR FINAL'!U721</f>
        <v>-100</v>
      </c>
      <c r="F718" s="87">
        <f>'ERROR FINAL'!AG721</f>
        <v>-100</v>
      </c>
      <c r="G718" s="87">
        <f>'ERROR FINAL'!AS721</f>
        <v>-100</v>
      </c>
      <c r="H718" s="88" t="str">
        <f>IF('ERROR FINAL'!AT721="CONFORME","CONFORME","NO CONFORME")</f>
        <v>NO CONFORME</v>
      </c>
      <c r="I718" s="89" t="str">
        <f t="shared" si="12"/>
        <v>Medición</v>
      </c>
    </row>
    <row r="719" spans="1:9" x14ac:dyDescent="0.2">
      <c r="A719" s="82">
        <f>'ERROR FINAL'!A722</f>
        <v>714</v>
      </c>
      <c r="B719" s="83">
        <f>'ERROR FINAL'!D722</f>
        <v>6</v>
      </c>
      <c r="C719" s="84">
        <f>'ERROR FINAL'!G722</f>
        <v>0</v>
      </c>
      <c r="D719" s="85">
        <f>'ERROR FINAL'!I722</f>
        <v>0</v>
      </c>
      <c r="E719" s="86">
        <f>'ERROR FINAL'!U722</f>
        <v>-100</v>
      </c>
      <c r="F719" s="87">
        <f>'ERROR FINAL'!AG722</f>
        <v>-100</v>
      </c>
      <c r="G719" s="87">
        <f>'ERROR FINAL'!AS722</f>
        <v>-100</v>
      </c>
      <c r="H719" s="88" t="str">
        <f>IF('ERROR FINAL'!AT722="CONFORME","CONFORME","NO CONFORME")</f>
        <v>NO CONFORME</v>
      </c>
      <c r="I719" s="89" t="str">
        <f t="shared" si="12"/>
        <v>Medición</v>
      </c>
    </row>
    <row r="720" spans="1:9" x14ac:dyDescent="0.2">
      <c r="A720" s="82">
        <f>'ERROR FINAL'!A723</f>
        <v>715</v>
      </c>
      <c r="B720" s="83">
        <f>'ERROR FINAL'!D723</f>
        <v>6</v>
      </c>
      <c r="C720" s="84">
        <f>'ERROR FINAL'!G723</f>
        <v>0</v>
      </c>
      <c r="D720" s="85">
        <f>'ERROR FINAL'!I723</f>
        <v>0</v>
      </c>
      <c r="E720" s="86">
        <f>'ERROR FINAL'!U723</f>
        <v>-100</v>
      </c>
      <c r="F720" s="87">
        <f>'ERROR FINAL'!AG723</f>
        <v>-100</v>
      </c>
      <c r="G720" s="87">
        <f>'ERROR FINAL'!AS723</f>
        <v>-100</v>
      </c>
      <c r="H720" s="88" t="str">
        <f>IF('ERROR FINAL'!AT723="CONFORME","CONFORME","NO CONFORME")</f>
        <v>NO CONFORME</v>
      </c>
      <c r="I720" s="89" t="str">
        <f t="shared" si="12"/>
        <v>Medición</v>
      </c>
    </row>
    <row r="721" spans="1:9" x14ac:dyDescent="0.2">
      <c r="A721" s="82">
        <f>'ERROR FINAL'!A724</f>
        <v>716</v>
      </c>
      <c r="B721" s="83">
        <f>'ERROR FINAL'!D724</f>
        <v>6</v>
      </c>
      <c r="C721" s="84">
        <f>'ERROR FINAL'!G724</f>
        <v>0</v>
      </c>
      <c r="D721" s="85">
        <f>'ERROR FINAL'!I724</f>
        <v>0</v>
      </c>
      <c r="E721" s="86">
        <f>'ERROR FINAL'!U724</f>
        <v>-100</v>
      </c>
      <c r="F721" s="87">
        <f>'ERROR FINAL'!AG724</f>
        <v>-100</v>
      </c>
      <c r="G721" s="87">
        <f>'ERROR FINAL'!AS724</f>
        <v>-100</v>
      </c>
      <c r="H721" s="88" t="str">
        <f>IF('ERROR FINAL'!AT724="CONFORME","CONFORME","NO CONFORME")</f>
        <v>NO CONFORME</v>
      </c>
      <c r="I721" s="89" t="str">
        <f t="shared" si="12"/>
        <v>Medición</v>
      </c>
    </row>
    <row r="722" spans="1:9" x14ac:dyDescent="0.2">
      <c r="A722" s="82">
        <f>'ERROR FINAL'!A725</f>
        <v>717</v>
      </c>
      <c r="B722" s="83">
        <f>'ERROR FINAL'!D725</f>
        <v>6</v>
      </c>
      <c r="C722" s="84">
        <f>'ERROR FINAL'!G725</f>
        <v>0</v>
      </c>
      <c r="D722" s="85">
        <f>'ERROR FINAL'!I725</f>
        <v>0</v>
      </c>
      <c r="E722" s="86">
        <f>'ERROR FINAL'!U725</f>
        <v>-100</v>
      </c>
      <c r="F722" s="87">
        <f>'ERROR FINAL'!AG725</f>
        <v>-100</v>
      </c>
      <c r="G722" s="87">
        <f>'ERROR FINAL'!AS725</f>
        <v>-100</v>
      </c>
      <c r="H722" s="88" t="str">
        <f>IF('ERROR FINAL'!AT725="CONFORME","CONFORME","NO CONFORME")</f>
        <v>NO CONFORME</v>
      </c>
      <c r="I722" s="89" t="str">
        <f t="shared" si="12"/>
        <v>Medición</v>
      </c>
    </row>
    <row r="723" spans="1:9" x14ac:dyDescent="0.2">
      <c r="A723" s="82">
        <f>'ERROR FINAL'!A726</f>
        <v>718</v>
      </c>
      <c r="B723" s="83">
        <f>'ERROR FINAL'!D726</f>
        <v>6</v>
      </c>
      <c r="C723" s="84">
        <f>'ERROR FINAL'!G726</f>
        <v>0</v>
      </c>
      <c r="D723" s="85">
        <f>'ERROR FINAL'!I726</f>
        <v>0</v>
      </c>
      <c r="E723" s="86">
        <f>'ERROR FINAL'!U726</f>
        <v>-100</v>
      </c>
      <c r="F723" s="87">
        <f>'ERROR FINAL'!AG726</f>
        <v>-100</v>
      </c>
      <c r="G723" s="87">
        <f>'ERROR FINAL'!AS726</f>
        <v>-100</v>
      </c>
      <c r="H723" s="88" t="str">
        <f>IF('ERROR FINAL'!AT726="CONFORME","CONFORME","NO CONFORME")</f>
        <v>NO CONFORME</v>
      </c>
      <c r="I723" s="89" t="str">
        <f t="shared" si="12"/>
        <v>Medición</v>
      </c>
    </row>
    <row r="724" spans="1:9" x14ac:dyDescent="0.2">
      <c r="A724" s="82">
        <f>'ERROR FINAL'!A727</f>
        <v>719</v>
      </c>
      <c r="B724" s="83">
        <f>'ERROR FINAL'!D727</f>
        <v>6</v>
      </c>
      <c r="C724" s="84">
        <f>'ERROR FINAL'!G727</f>
        <v>0</v>
      </c>
      <c r="D724" s="85">
        <f>'ERROR FINAL'!I727</f>
        <v>0</v>
      </c>
      <c r="E724" s="86">
        <f>'ERROR FINAL'!U727</f>
        <v>-100</v>
      </c>
      <c r="F724" s="87">
        <f>'ERROR FINAL'!AG727</f>
        <v>-100</v>
      </c>
      <c r="G724" s="87">
        <f>'ERROR FINAL'!AS727</f>
        <v>-100</v>
      </c>
      <c r="H724" s="88" t="str">
        <f>IF('ERROR FINAL'!AT727="CONFORME","CONFORME","NO CONFORME")</f>
        <v>NO CONFORME</v>
      </c>
      <c r="I724" s="89" t="str">
        <f t="shared" si="12"/>
        <v>Medición</v>
      </c>
    </row>
    <row r="725" spans="1:9" x14ac:dyDescent="0.2">
      <c r="A725" s="82">
        <f>'ERROR FINAL'!A728</f>
        <v>720</v>
      </c>
      <c r="B725" s="83">
        <f>'ERROR FINAL'!D728</f>
        <v>6</v>
      </c>
      <c r="C725" s="84">
        <f>'ERROR FINAL'!G728</f>
        <v>0</v>
      </c>
      <c r="D725" s="85">
        <f>'ERROR FINAL'!I728</f>
        <v>0</v>
      </c>
      <c r="E725" s="86">
        <f>'ERROR FINAL'!U728</f>
        <v>-100</v>
      </c>
      <c r="F725" s="87">
        <f>'ERROR FINAL'!AG728</f>
        <v>-100</v>
      </c>
      <c r="G725" s="87">
        <f>'ERROR FINAL'!AS728</f>
        <v>-100</v>
      </c>
      <c r="H725" s="88" t="str">
        <f>IF('ERROR FINAL'!AT728="CONFORME","CONFORME","NO CONFORME")</f>
        <v>NO CONFORME</v>
      </c>
      <c r="I725" s="89" t="str">
        <f t="shared" si="12"/>
        <v>Medición</v>
      </c>
    </row>
  </sheetData>
  <autoFilter ref="A3:I725" xr:uid="{057B2BB3-A01F-4A2E-A1BA-70AB13F542EB}"/>
  <mergeCells count="10">
    <mergeCell ref="A1:B1"/>
    <mergeCell ref="A3:A5"/>
    <mergeCell ref="B3:B5"/>
    <mergeCell ref="C3:C5"/>
    <mergeCell ref="D3:D5"/>
    <mergeCell ref="E3:E5"/>
    <mergeCell ref="F3:F5"/>
    <mergeCell ref="G3:G5"/>
    <mergeCell ref="I3:I5"/>
    <mergeCell ref="H3:H5"/>
  </mergeCells>
  <conditionalFormatting sqref="E6:F725">
    <cfRule type="cellIs" dxfId="13" priority="4" operator="between">
      <formula>-2.044</formula>
      <formula>-100</formula>
    </cfRule>
    <cfRule type="cellIs" dxfId="12" priority="5" operator="between">
      <formula>2.044</formula>
      <formula>100</formula>
    </cfRule>
  </conditionalFormatting>
  <conditionalFormatting sqref="E6:G725">
    <cfRule type="cellIs" dxfId="11" priority="6" operator="between">
      <formula>100.01</formula>
      <formula>100000000</formula>
    </cfRule>
    <cfRule type="cellIs" dxfId="10" priority="7" operator="lessThanOrEqual">
      <formula>-100.01</formula>
    </cfRule>
  </conditionalFormatting>
  <conditionalFormatting sqref="G6:G725">
    <cfRule type="cellIs" dxfId="9" priority="2" operator="between">
      <formula>-5.044</formula>
      <formula>-100</formula>
    </cfRule>
    <cfRule type="cellIs" dxfId="8" priority="3" operator="between">
      <formula>5.044</formula>
      <formula>100</formula>
    </cfRule>
  </conditionalFormatting>
  <conditionalFormatting sqref="H6:H725">
    <cfRule type="cellIs" dxfId="7" priority="1" operator="equal">
      <formula>"NO CONFORME"</formula>
    </cfRule>
  </conditionalFormatting>
  <pageMargins left="0.23622047244094488" right="0.23622047244094488" top="0" bottom="0" header="0.31496062992125984" footer="0.31496062992125984"/>
  <pageSetup paperSize="9" scale="14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D27AC-5280-4AF3-A2E3-25424ACB74A8}">
  <sheetPr>
    <pageSetUpPr fitToPage="1"/>
  </sheetPr>
  <dimension ref="A1:I10"/>
  <sheetViews>
    <sheetView workbookViewId="0">
      <selection activeCell="F20" sqref="F20"/>
    </sheetView>
  </sheetViews>
  <sheetFormatPr baseColWidth="10" defaultRowHeight="12.75" x14ac:dyDescent="0.2"/>
  <cols>
    <col min="2" max="2" width="8" customWidth="1"/>
  </cols>
  <sheetData>
    <row r="1" spans="1:9" ht="20.25" x14ac:dyDescent="0.2">
      <c r="A1" s="219"/>
      <c r="B1" s="219"/>
      <c r="E1">
        <f>Hoja1!F1</f>
        <v>0</v>
      </c>
      <c r="F1">
        <f>Hoja1!G1</f>
        <v>0</v>
      </c>
    </row>
    <row r="2" spans="1:9" ht="12.75" customHeight="1" thickBot="1" x14ac:dyDescent="0.25"/>
    <row r="3" spans="1:9" x14ac:dyDescent="0.2">
      <c r="A3" s="220" t="s">
        <v>21</v>
      </c>
      <c r="B3" s="222" t="s">
        <v>26</v>
      </c>
      <c r="C3" s="224" t="s">
        <v>10</v>
      </c>
      <c r="D3" s="226" t="s">
        <v>40</v>
      </c>
      <c r="E3" s="215" t="s">
        <v>39</v>
      </c>
      <c r="F3" s="215" t="s">
        <v>38</v>
      </c>
      <c r="G3" s="215" t="s">
        <v>37</v>
      </c>
      <c r="H3" s="217" t="s">
        <v>4</v>
      </c>
      <c r="I3" s="217" t="s">
        <v>36</v>
      </c>
    </row>
    <row r="4" spans="1:9" x14ac:dyDescent="0.2">
      <c r="A4" s="221"/>
      <c r="B4" s="223"/>
      <c r="C4" s="225"/>
      <c r="D4" s="227"/>
      <c r="E4" s="216"/>
      <c r="F4" s="216"/>
      <c r="G4" s="216"/>
      <c r="H4" s="218"/>
      <c r="I4" s="218"/>
    </row>
    <row r="5" spans="1:9" ht="13.5" thickBot="1" x14ac:dyDescent="0.25">
      <c r="A5" s="221"/>
      <c r="B5" s="223"/>
      <c r="C5" s="225"/>
      <c r="D5" s="227"/>
      <c r="E5" s="216"/>
      <c r="F5" s="216"/>
      <c r="G5" s="216"/>
      <c r="H5" s="218"/>
      <c r="I5" s="218"/>
    </row>
    <row r="6" spans="1:9" x14ac:dyDescent="0.2">
      <c r="A6" s="116"/>
      <c r="B6" s="117"/>
      <c r="C6" s="118"/>
      <c r="D6" s="119"/>
      <c r="E6" s="120"/>
      <c r="F6" s="121"/>
      <c r="G6" s="121"/>
      <c r="H6" s="122"/>
      <c r="I6" s="123"/>
    </row>
    <row r="10" spans="1:9" x14ac:dyDescent="0.2">
      <c r="B10" s="131"/>
    </row>
  </sheetData>
  <mergeCells count="10">
    <mergeCell ref="A1:B1"/>
    <mergeCell ref="F3:F5"/>
    <mergeCell ref="G3:G5"/>
    <mergeCell ref="H3:H5"/>
    <mergeCell ref="I3:I5"/>
    <mergeCell ref="A3:A5"/>
    <mergeCell ref="B3:B5"/>
    <mergeCell ref="C3:C5"/>
    <mergeCell ref="D3:D5"/>
    <mergeCell ref="E3:E5"/>
  </mergeCells>
  <conditionalFormatting sqref="E6:F6">
    <cfRule type="cellIs" dxfId="6" priority="4" operator="between">
      <formula>-2.044</formula>
      <formula>-100</formula>
    </cfRule>
    <cfRule type="cellIs" dxfId="5" priority="5" operator="between">
      <formula>2.044</formula>
      <formula>100</formula>
    </cfRule>
  </conditionalFormatting>
  <conditionalFormatting sqref="E6:G6">
    <cfRule type="cellIs" dxfId="4" priority="6" operator="between">
      <formula>100.01</formula>
      <formula>100000000</formula>
    </cfRule>
    <cfRule type="cellIs" dxfId="3" priority="7" operator="lessThanOrEqual">
      <formula>-100.01</formula>
    </cfRule>
  </conditionalFormatting>
  <conditionalFormatting sqref="G6">
    <cfRule type="cellIs" dxfId="2" priority="2" operator="between">
      <formula>-5.044</formula>
      <formula>-100</formula>
    </cfRule>
    <cfRule type="cellIs" dxfId="1" priority="3" operator="between">
      <formula>5.044</formula>
      <formula>100</formula>
    </cfRule>
  </conditionalFormatting>
  <conditionalFormatting sqref="H6">
    <cfRule type="cellIs" dxfId="0" priority="1" operator="equal">
      <formula>"NO CONFORME"</formula>
    </cfRule>
  </conditionalFormatting>
  <pageMargins left="0.23622047244094491" right="0.23622047244094491" top="0.74803149606299213" bottom="0.74803149606299213" header="0.31496062992125984" footer="0.31496062992125984"/>
  <pageSetup paperSize="9" scale="97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74A7C-7E71-49B4-A599-667CD734CC3A}">
  <dimension ref="A1:C2"/>
  <sheetViews>
    <sheetView workbookViewId="0">
      <selection activeCell="C39" sqref="C39"/>
    </sheetView>
  </sheetViews>
  <sheetFormatPr baseColWidth="10" defaultColWidth="11.5703125" defaultRowHeight="12.75" x14ac:dyDescent="0.2"/>
  <cols>
    <col min="1" max="2" width="11.5703125" style="126"/>
    <col min="3" max="3" width="29.85546875" style="126" customWidth="1"/>
    <col min="4" max="16384" width="11.5703125" style="126"/>
  </cols>
  <sheetData>
    <row r="1" spans="1:3" x14ac:dyDescent="0.2">
      <c r="A1" s="125" t="s">
        <v>50</v>
      </c>
      <c r="B1" s="125" t="s">
        <v>51</v>
      </c>
      <c r="C1" s="125" t="s">
        <v>52</v>
      </c>
    </row>
    <row r="2" spans="1:3" x14ac:dyDescent="0.2">
      <c r="A2" s="127">
        <v>45555</v>
      </c>
      <c r="B2" s="125" t="s">
        <v>53</v>
      </c>
      <c r="C2" s="125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1</vt:i4>
      </vt:variant>
    </vt:vector>
  </HeadingPairs>
  <TitlesOfParts>
    <vt:vector size="6" baseType="lpstr">
      <vt:lpstr>ERROR FINAL</vt:lpstr>
      <vt:lpstr>Hoja1</vt:lpstr>
      <vt:lpstr>Hoja2 (2)</vt:lpstr>
      <vt:lpstr>Hoja2</vt:lpstr>
      <vt:lpstr>Historial de cambios</vt:lpstr>
      <vt:lpstr>Hoja2!Títulos_a_imprimir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</dc:creator>
  <cp:lastModifiedBy>medileser SAC</cp:lastModifiedBy>
  <cp:lastPrinted>2023-11-20T19:43:35Z</cp:lastPrinted>
  <dcterms:created xsi:type="dcterms:W3CDTF">2004-07-20T12:46:03Z</dcterms:created>
  <dcterms:modified xsi:type="dcterms:W3CDTF">2025-11-05T12:47:40Z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BCO_ScreenResolution">
    <vt:lpwstr>96 96 1366 768</vt:lpwstr>
  </property>
</Properties>
</file>