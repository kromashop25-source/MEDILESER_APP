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YECTO\PROJECT\MEDILESER_APP\backend\app\data\templates\vi\"/>
    </mc:Choice>
  </mc:AlternateContent>
  <xr:revisionPtr revIDLastSave="0" documentId="13_ncr:1_{B053CA1A-F4E2-4BA5-83ED-0BCAAE6FCDC1}" xr6:coauthVersionLast="47" xr6:coauthVersionMax="47" xr10:uidLastSave="{00000000-0000-0000-0000-000000000000}"/>
  <bookViews>
    <workbookView xWindow="28680" yWindow="-135" windowWidth="29040" windowHeight="17520" xr2:uid="{3476B835-B212-4DC6-9CBE-82C3B909FDF7}"/>
  </bookViews>
  <sheets>
    <sheet name="ERROR FINAL" sheetId="1" r:id="rId1"/>
    <sheet name="Hoja1" sheetId="4" r:id="rId2"/>
    <sheet name="Hoja2 (2)" sheetId="5" r:id="rId3"/>
    <sheet name="Hoja2" sheetId="6" r:id="rId4"/>
  </sheets>
  <definedNames>
    <definedName name="_xlnm._FilterDatabase" localSheetId="0" hidden="1">'ERROR FINAL'!$A$8:$BL$8</definedName>
    <definedName name="_xlnm._FilterDatabase" localSheetId="1" hidden="1">Hoja1!$B$3:$H$3</definedName>
    <definedName name="_xlnm._FilterDatabase" localSheetId="2" hidden="1">'Hoja2 (2)'!$A$3:$I$5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6" i="5"/>
  <c r="F5" i="4"/>
  <c r="F6" i="4"/>
  <c r="F7" i="4"/>
  <c r="F8" i="4"/>
  <c r="F9" i="4"/>
  <c r="F10" i="4"/>
  <c r="F11" i="4"/>
  <c r="F12" i="4"/>
  <c r="F13" i="4"/>
  <c r="F14" i="4"/>
  <c r="F15" i="4"/>
  <c r="F16" i="4"/>
  <c r="H16" i="4" s="1"/>
  <c r="F17" i="4"/>
  <c r="F18" i="4"/>
  <c r="F19" i="4"/>
  <c r="F20" i="4"/>
  <c r="F21" i="4"/>
  <c r="F22" i="4"/>
  <c r="F23" i="4"/>
  <c r="F24" i="4"/>
  <c r="F25" i="4"/>
  <c r="F26" i="4"/>
  <c r="F27" i="4"/>
  <c r="F28" i="4"/>
  <c r="H28" i="4" s="1"/>
  <c r="F29" i="4"/>
  <c r="F30" i="4"/>
  <c r="F31" i="4"/>
  <c r="F32" i="4"/>
  <c r="F33" i="4"/>
  <c r="F34" i="4"/>
  <c r="F35" i="4"/>
  <c r="F36" i="4"/>
  <c r="F37" i="4"/>
  <c r="F38" i="4"/>
  <c r="F39" i="4"/>
  <c r="F40" i="4"/>
  <c r="H40" i="4" s="1"/>
  <c r="F41" i="4"/>
  <c r="F42" i="4"/>
  <c r="F43" i="4"/>
  <c r="F44" i="4"/>
  <c r="F45" i="4"/>
  <c r="F46" i="4"/>
  <c r="F47" i="4"/>
  <c r="F48" i="4"/>
  <c r="F49" i="4"/>
  <c r="F50" i="4"/>
  <c r="F51" i="4"/>
  <c r="F52" i="4"/>
  <c r="H52" i="4" s="1"/>
  <c r="F53" i="4"/>
  <c r="F54" i="4"/>
  <c r="F55" i="4"/>
  <c r="F56" i="4"/>
  <c r="F57" i="4"/>
  <c r="F58" i="4"/>
  <c r="F59" i="4"/>
  <c r="F60" i="4"/>
  <c r="F61" i="4"/>
  <c r="F62" i="4"/>
  <c r="F63" i="4"/>
  <c r="F64" i="4"/>
  <c r="H64" i="4" s="1"/>
  <c r="F65" i="4"/>
  <c r="F66" i="4"/>
  <c r="F67" i="4"/>
  <c r="F68" i="4"/>
  <c r="F69" i="4"/>
  <c r="F70" i="4"/>
  <c r="F71" i="4"/>
  <c r="F72" i="4"/>
  <c r="F73" i="4"/>
  <c r="F74" i="4"/>
  <c r="F75" i="4"/>
  <c r="F76" i="4"/>
  <c r="H76" i="4" s="1"/>
  <c r="F77" i="4"/>
  <c r="F78" i="4"/>
  <c r="F79" i="4"/>
  <c r="F80" i="4"/>
  <c r="F81" i="4"/>
  <c r="F82" i="4"/>
  <c r="F83" i="4"/>
  <c r="F84" i="4"/>
  <c r="F85" i="4"/>
  <c r="F86" i="4"/>
  <c r="F87" i="4"/>
  <c r="F88" i="4"/>
  <c r="H88" i="4" s="1"/>
  <c r="F89" i="4"/>
  <c r="F90" i="4"/>
  <c r="F91" i="4"/>
  <c r="F92" i="4"/>
  <c r="F93" i="4"/>
  <c r="F94" i="4"/>
  <c r="F95" i="4"/>
  <c r="F96" i="4"/>
  <c r="F97" i="4"/>
  <c r="F98" i="4"/>
  <c r="F99" i="4"/>
  <c r="F100" i="4"/>
  <c r="H100" i="4" s="1"/>
  <c r="F101" i="4"/>
  <c r="F102" i="4"/>
  <c r="F103" i="4"/>
  <c r="F104" i="4"/>
  <c r="F105" i="4"/>
  <c r="F106" i="4"/>
  <c r="F107" i="4"/>
  <c r="F108" i="4"/>
  <c r="F109" i="4"/>
  <c r="F110" i="4"/>
  <c r="F111" i="4"/>
  <c r="F112" i="4"/>
  <c r="H112" i="4" s="1"/>
  <c r="F113" i="4"/>
  <c r="F114" i="4"/>
  <c r="F115" i="4"/>
  <c r="F116" i="4"/>
  <c r="F117" i="4"/>
  <c r="F118" i="4"/>
  <c r="F119" i="4"/>
  <c r="F120" i="4"/>
  <c r="F121" i="4"/>
  <c r="F122" i="4"/>
  <c r="F123" i="4"/>
  <c r="F124" i="4"/>
  <c r="H124" i="4" s="1"/>
  <c r="F125" i="4"/>
  <c r="F126" i="4"/>
  <c r="F127" i="4"/>
  <c r="F128" i="4"/>
  <c r="F129" i="4"/>
  <c r="F130" i="4"/>
  <c r="F131" i="4"/>
  <c r="F132" i="4"/>
  <c r="F133" i="4"/>
  <c r="F134" i="4"/>
  <c r="F135" i="4"/>
  <c r="F136" i="4"/>
  <c r="H136" i="4" s="1"/>
  <c r="F137" i="4"/>
  <c r="F138" i="4"/>
  <c r="F139" i="4"/>
  <c r="F140" i="4"/>
  <c r="F141" i="4"/>
  <c r="F142" i="4"/>
  <c r="F143" i="4"/>
  <c r="F144" i="4"/>
  <c r="F145" i="4"/>
  <c r="F146" i="4"/>
  <c r="F147" i="4"/>
  <c r="F148" i="4"/>
  <c r="H148" i="4" s="1"/>
  <c r="F149" i="4"/>
  <c r="F150" i="4"/>
  <c r="F151" i="4"/>
  <c r="F152" i="4"/>
  <c r="F153" i="4"/>
  <c r="F154" i="4"/>
  <c r="F155" i="4"/>
  <c r="F156" i="4"/>
  <c r="F157" i="4"/>
  <c r="F158" i="4"/>
  <c r="F159" i="4"/>
  <c r="F160" i="4"/>
  <c r="H160" i="4" s="1"/>
  <c r="F161" i="4"/>
  <c r="F162" i="4"/>
  <c r="F163" i="4"/>
  <c r="F164" i="4"/>
  <c r="F165" i="4"/>
  <c r="F166" i="4"/>
  <c r="F167" i="4"/>
  <c r="F168" i="4"/>
  <c r="F169" i="4"/>
  <c r="F170" i="4"/>
  <c r="F171" i="4"/>
  <c r="F172" i="4"/>
  <c r="H172" i="4" s="1"/>
  <c r="F173" i="4"/>
  <c r="F174" i="4"/>
  <c r="F175" i="4"/>
  <c r="F176" i="4"/>
  <c r="F177" i="4"/>
  <c r="F178" i="4"/>
  <c r="F179" i="4"/>
  <c r="F180" i="4"/>
  <c r="F181" i="4"/>
  <c r="F182" i="4"/>
  <c r="F183" i="4"/>
  <c r="F184" i="4"/>
  <c r="H184" i="4" s="1"/>
  <c r="F185" i="4"/>
  <c r="F186" i="4"/>
  <c r="F187" i="4"/>
  <c r="F188" i="4"/>
  <c r="F189" i="4"/>
  <c r="F190" i="4"/>
  <c r="F191" i="4"/>
  <c r="F192" i="4"/>
  <c r="F193" i="4"/>
  <c r="F194" i="4"/>
  <c r="F195" i="4"/>
  <c r="F196" i="4"/>
  <c r="H196" i="4" s="1"/>
  <c r="F197" i="4"/>
  <c r="F198" i="4"/>
  <c r="F199" i="4"/>
  <c r="F200" i="4"/>
  <c r="F201" i="4"/>
  <c r="F202" i="4"/>
  <c r="F203" i="4"/>
  <c r="F204" i="4"/>
  <c r="F205" i="4"/>
  <c r="F206" i="4"/>
  <c r="F207" i="4"/>
  <c r="F208" i="4"/>
  <c r="H208" i="4" s="1"/>
  <c r="F209" i="4"/>
  <c r="F210" i="4"/>
  <c r="F211" i="4"/>
  <c r="F212" i="4"/>
  <c r="F213" i="4"/>
  <c r="F214" i="4"/>
  <c r="F215" i="4"/>
  <c r="F216" i="4"/>
  <c r="F217" i="4"/>
  <c r="F218" i="4"/>
  <c r="F219" i="4"/>
  <c r="F220" i="4"/>
  <c r="H220" i="4" s="1"/>
  <c r="F221" i="4"/>
  <c r="F222" i="4"/>
  <c r="F223" i="4"/>
  <c r="F224" i="4"/>
  <c r="F225" i="4"/>
  <c r="F226" i="4"/>
  <c r="F227" i="4"/>
  <c r="F228" i="4"/>
  <c r="F229" i="4"/>
  <c r="F230" i="4"/>
  <c r="F231" i="4"/>
  <c r="F232" i="4"/>
  <c r="H232" i="4" s="1"/>
  <c r="F233" i="4"/>
  <c r="F234" i="4"/>
  <c r="F235" i="4"/>
  <c r="F236" i="4"/>
  <c r="F237" i="4"/>
  <c r="F238" i="4"/>
  <c r="F239" i="4"/>
  <c r="F240" i="4"/>
  <c r="F241" i="4"/>
  <c r="F242" i="4"/>
  <c r="F243" i="4"/>
  <c r="F244" i="4"/>
  <c r="H244" i="4" s="1"/>
  <c r="F245" i="4"/>
  <c r="F246" i="4"/>
  <c r="F247" i="4"/>
  <c r="F248" i="4"/>
  <c r="F249" i="4"/>
  <c r="F250" i="4"/>
  <c r="F251" i="4"/>
  <c r="F252" i="4"/>
  <c r="F253" i="4"/>
  <c r="F254" i="4"/>
  <c r="F255" i="4"/>
  <c r="F256" i="4"/>
  <c r="H256" i="4" s="1"/>
  <c r="F257" i="4"/>
  <c r="F258" i="4"/>
  <c r="F259" i="4"/>
  <c r="F260" i="4"/>
  <c r="F261" i="4"/>
  <c r="F262" i="4"/>
  <c r="F263" i="4"/>
  <c r="F264" i="4"/>
  <c r="F265" i="4"/>
  <c r="F266" i="4"/>
  <c r="F267" i="4"/>
  <c r="F268" i="4"/>
  <c r="H268" i="4" s="1"/>
  <c r="F269" i="4"/>
  <c r="F270" i="4"/>
  <c r="F271" i="4"/>
  <c r="F272" i="4"/>
  <c r="F273" i="4"/>
  <c r="F274" i="4"/>
  <c r="F275" i="4"/>
  <c r="F276" i="4"/>
  <c r="F277" i="4"/>
  <c r="F278" i="4"/>
  <c r="F279" i="4"/>
  <c r="F280" i="4"/>
  <c r="H280" i="4" s="1"/>
  <c r="F281" i="4"/>
  <c r="F282" i="4"/>
  <c r="F283" i="4"/>
  <c r="F284" i="4"/>
  <c r="F285" i="4"/>
  <c r="F286" i="4"/>
  <c r="F287" i="4"/>
  <c r="F288" i="4"/>
  <c r="F289" i="4"/>
  <c r="F290" i="4"/>
  <c r="F291" i="4"/>
  <c r="F292" i="4"/>
  <c r="H292" i="4" s="1"/>
  <c r="F293" i="4"/>
  <c r="F294" i="4"/>
  <c r="F295" i="4"/>
  <c r="F296" i="4"/>
  <c r="F297" i="4"/>
  <c r="F298" i="4"/>
  <c r="F299" i="4"/>
  <c r="F300" i="4"/>
  <c r="F301" i="4"/>
  <c r="F302" i="4"/>
  <c r="F303" i="4"/>
  <c r="F304" i="4"/>
  <c r="H304" i="4" s="1"/>
  <c r="F305" i="4"/>
  <c r="F306" i="4"/>
  <c r="F307" i="4"/>
  <c r="F308" i="4"/>
  <c r="F309" i="4"/>
  <c r="F310" i="4"/>
  <c r="F311" i="4"/>
  <c r="F312" i="4"/>
  <c r="F313" i="4"/>
  <c r="F314" i="4"/>
  <c r="F315" i="4"/>
  <c r="F316" i="4"/>
  <c r="H316" i="4" s="1"/>
  <c r="F317" i="4"/>
  <c r="F318" i="4"/>
  <c r="F319" i="4"/>
  <c r="F320" i="4"/>
  <c r="F321" i="4"/>
  <c r="F322" i="4"/>
  <c r="F323" i="4"/>
  <c r="F324" i="4"/>
  <c r="F325" i="4"/>
  <c r="F326" i="4"/>
  <c r="F327" i="4"/>
  <c r="F328" i="4"/>
  <c r="H328" i="4" s="1"/>
  <c r="F329" i="4"/>
  <c r="F330" i="4"/>
  <c r="F331" i="4"/>
  <c r="F332" i="4"/>
  <c r="F333" i="4"/>
  <c r="F334" i="4"/>
  <c r="F335" i="4"/>
  <c r="F336" i="4"/>
  <c r="F337" i="4"/>
  <c r="F338" i="4"/>
  <c r="F339" i="4"/>
  <c r="F340" i="4"/>
  <c r="H340" i="4" s="1"/>
  <c r="F341" i="4"/>
  <c r="F342" i="4"/>
  <c r="F343" i="4"/>
  <c r="F344" i="4"/>
  <c r="F345" i="4"/>
  <c r="F346" i="4"/>
  <c r="F347" i="4"/>
  <c r="F348" i="4"/>
  <c r="F349" i="4"/>
  <c r="F350" i="4"/>
  <c r="F351" i="4"/>
  <c r="F352" i="4"/>
  <c r="H352" i="4" s="1"/>
  <c r="F353" i="4"/>
  <c r="F354" i="4"/>
  <c r="F355" i="4"/>
  <c r="F356" i="4"/>
  <c r="F357" i="4"/>
  <c r="F358" i="4"/>
  <c r="F359" i="4"/>
  <c r="F360" i="4"/>
  <c r="F361" i="4"/>
  <c r="F362" i="4"/>
  <c r="F363" i="4"/>
  <c r="F364" i="4"/>
  <c r="H364" i="4" s="1"/>
  <c r="F365" i="4"/>
  <c r="F366" i="4"/>
  <c r="F367" i="4"/>
  <c r="F368" i="4"/>
  <c r="F369" i="4"/>
  <c r="F370" i="4"/>
  <c r="F371" i="4"/>
  <c r="F372" i="4"/>
  <c r="F373" i="4"/>
  <c r="F374" i="4"/>
  <c r="F375" i="4"/>
  <c r="F376" i="4"/>
  <c r="H376" i="4" s="1"/>
  <c r="F377" i="4"/>
  <c r="F378" i="4"/>
  <c r="F379" i="4"/>
  <c r="F380" i="4"/>
  <c r="F381" i="4"/>
  <c r="F382" i="4"/>
  <c r="F383" i="4"/>
  <c r="F384" i="4"/>
  <c r="F385" i="4"/>
  <c r="F386" i="4"/>
  <c r="F387" i="4"/>
  <c r="F388" i="4"/>
  <c r="H388" i="4" s="1"/>
  <c r="F389" i="4"/>
  <c r="F390" i="4"/>
  <c r="F391" i="4"/>
  <c r="F392" i="4"/>
  <c r="F393" i="4"/>
  <c r="F394" i="4"/>
  <c r="F395" i="4"/>
  <c r="F396" i="4"/>
  <c r="F397" i="4"/>
  <c r="F398" i="4"/>
  <c r="F399" i="4"/>
  <c r="F400" i="4"/>
  <c r="H400" i="4" s="1"/>
  <c r="F401" i="4"/>
  <c r="F402" i="4"/>
  <c r="F403" i="4"/>
  <c r="F404" i="4"/>
  <c r="F405" i="4"/>
  <c r="F406" i="4"/>
  <c r="F407" i="4"/>
  <c r="F408" i="4"/>
  <c r="F409" i="4"/>
  <c r="F410" i="4"/>
  <c r="F411" i="4"/>
  <c r="F412" i="4"/>
  <c r="H412" i="4" s="1"/>
  <c r="F413" i="4"/>
  <c r="F414" i="4"/>
  <c r="F415" i="4"/>
  <c r="F416" i="4"/>
  <c r="F417" i="4"/>
  <c r="F418" i="4"/>
  <c r="F419" i="4"/>
  <c r="F420" i="4"/>
  <c r="F421" i="4"/>
  <c r="F422" i="4"/>
  <c r="F423" i="4"/>
  <c r="F424" i="4"/>
  <c r="H424" i="4" s="1"/>
  <c r="F425" i="4"/>
  <c r="F426" i="4"/>
  <c r="F427" i="4"/>
  <c r="F428" i="4"/>
  <c r="F429" i="4"/>
  <c r="F430" i="4"/>
  <c r="F431" i="4"/>
  <c r="F432" i="4"/>
  <c r="F433" i="4"/>
  <c r="F434" i="4"/>
  <c r="F435" i="4"/>
  <c r="F436" i="4"/>
  <c r="H436" i="4" s="1"/>
  <c r="F437" i="4"/>
  <c r="F438" i="4"/>
  <c r="F439" i="4"/>
  <c r="F440" i="4"/>
  <c r="F441" i="4"/>
  <c r="F442" i="4"/>
  <c r="F443" i="4"/>
  <c r="F444" i="4"/>
  <c r="F445" i="4"/>
  <c r="F446" i="4"/>
  <c r="F447" i="4"/>
  <c r="F448" i="4"/>
  <c r="H448" i="4" s="1"/>
  <c r="F449" i="4"/>
  <c r="F450" i="4"/>
  <c r="F451" i="4"/>
  <c r="F452" i="4"/>
  <c r="F453" i="4"/>
  <c r="F454" i="4"/>
  <c r="F455" i="4"/>
  <c r="F456" i="4"/>
  <c r="F457" i="4"/>
  <c r="F458" i="4"/>
  <c r="F459" i="4"/>
  <c r="F460" i="4"/>
  <c r="H460" i="4" s="1"/>
  <c r="F461" i="4"/>
  <c r="F462" i="4"/>
  <c r="F463" i="4"/>
  <c r="F464" i="4"/>
  <c r="F465" i="4"/>
  <c r="F466" i="4"/>
  <c r="F467" i="4"/>
  <c r="F468" i="4"/>
  <c r="F469" i="4"/>
  <c r="F470" i="4"/>
  <c r="F471" i="4"/>
  <c r="F472" i="4"/>
  <c r="H472" i="4" s="1"/>
  <c r="F473" i="4"/>
  <c r="F474" i="4"/>
  <c r="F475" i="4"/>
  <c r="F476" i="4"/>
  <c r="F477" i="4"/>
  <c r="F478" i="4"/>
  <c r="F479" i="4"/>
  <c r="F480" i="4"/>
  <c r="F481" i="4"/>
  <c r="F482" i="4"/>
  <c r="F483" i="4"/>
  <c r="F484" i="4"/>
  <c r="H484" i="4" s="1"/>
  <c r="F485" i="4"/>
  <c r="F486" i="4"/>
  <c r="F487" i="4"/>
  <c r="F488" i="4"/>
  <c r="F489" i="4"/>
  <c r="F490" i="4"/>
  <c r="F491" i="4"/>
  <c r="F492" i="4"/>
  <c r="F493" i="4"/>
  <c r="F494" i="4"/>
  <c r="F495" i="4"/>
  <c r="F496" i="4"/>
  <c r="H496" i="4" s="1"/>
  <c r="F497" i="4"/>
  <c r="F498" i="4"/>
  <c r="F499" i="4"/>
  <c r="F500" i="4"/>
  <c r="F501" i="4"/>
  <c r="F502" i="4"/>
  <c r="F503" i="4"/>
  <c r="F504" i="4"/>
  <c r="F505" i="4"/>
  <c r="F506" i="4"/>
  <c r="F507" i="4"/>
  <c r="F508" i="4"/>
  <c r="H508" i="4" s="1"/>
  <c r="F509" i="4"/>
  <c r="F510" i="4"/>
  <c r="F511" i="4"/>
  <c r="F512" i="4"/>
  <c r="F513" i="4"/>
  <c r="F514" i="4"/>
  <c r="F515" i="4"/>
  <c r="F516" i="4"/>
  <c r="F517" i="4"/>
  <c r="F518" i="4"/>
  <c r="F519" i="4"/>
  <c r="F520" i="4"/>
  <c r="H520" i="4" s="1"/>
  <c r="F521" i="4"/>
  <c r="F522" i="4"/>
  <c r="F523" i="4"/>
  <c r="F524" i="4"/>
  <c r="F525" i="4"/>
  <c r="F526" i="4"/>
  <c r="F527" i="4"/>
  <c r="F528" i="4"/>
  <c r="F529" i="4"/>
  <c r="F530" i="4"/>
  <c r="F531" i="4"/>
  <c r="F532" i="4"/>
  <c r="H532" i="4" s="1"/>
  <c r="F533" i="4"/>
  <c r="F534" i="4"/>
  <c r="F535" i="4"/>
  <c r="F536" i="4"/>
  <c r="F537" i="4"/>
  <c r="F538" i="4"/>
  <c r="F539" i="4"/>
  <c r="F540" i="4"/>
  <c r="F541" i="4"/>
  <c r="F542" i="4"/>
  <c r="F543" i="4"/>
  <c r="F544" i="4"/>
  <c r="H544" i="4" s="1"/>
  <c r="F545" i="4"/>
  <c r="F546" i="4"/>
  <c r="F547" i="4"/>
  <c r="F548" i="4"/>
  <c r="F549" i="4"/>
  <c r="F550" i="4"/>
  <c r="F551" i="4"/>
  <c r="F552" i="4"/>
  <c r="F553" i="4"/>
  <c r="F554" i="4"/>
  <c r="F555" i="4"/>
  <c r="F556" i="4"/>
  <c r="H556" i="4" s="1"/>
  <c r="F557" i="4"/>
  <c r="F558" i="4"/>
  <c r="F559" i="4"/>
  <c r="F560" i="4"/>
  <c r="F561" i="4"/>
  <c r="F562" i="4"/>
  <c r="F563" i="4"/>
  <c r="F564" i="4"/>
  <c r="F565" i="4"/>
  <c r="F566" i="4"/>
  <c r="F567" i="4"/>
  <c r="F568" i="4"/>
  <c r="H568" i="4" s="1"/>
  <c r="F569" i="4"/>
  <c r="F570" i="4"/>
  <c r="F571" i="4"/>
  <c r="F572" i="4"/>
  <c r="F573" i="4"/>
  <c r="F574" i="4"/>
  <c r="F575" i="4"/>
  <c r="F576" i="4"/>
  <c r="F577" i="4"/>
  <c r="F578" i="4"/>
  <c r="F579" i="4"/>
  <c r="F580" i="4"/>
  <c r="H580" i="4" s="1"/>
  <c r="F581" i="4"/>
  <c r="F582" i="4"/>
  <c r="F583" i="4"/>
  <c r="F584" i="4"/>
  <c r="F585" i="4"/>
  <c r="F586" i="4"/>
  <c r="F587" i="4"/>
  <c r="F588" i="4"/>
  <c r="F589" i="4"/>
  <c r="F590" i="4"/>
  <c r="F591" i="4"/>
  <c r="F592" i="4"/>
  <c r="H592" i="4" s="1"/>
  <c r="F593" i="4"/>
  <c r="F594" i="4"/>
  <c r="F595" i="4"/>
  <c r="F596" i="4"/>
  <c r="F597" i="4"/>
  <c r="F598" i="4"/>
  <c r="F599" i="4"/>
  <c r="F600" i="4"/>
  <c r="F601" i="4"/>
  <c r="F602" i="4"/>
  <c r="F603" i="4"/>
  <c r="F604" i="4"/>
  <c r="H604" i="4" s="1"/>
  <c r="F605" i="4"/>
  <c r="F606" i="4"/>
  <c r="F607" i="4"/>
  <c r="F608" i="4"/>
  <c r="F609" i="4"/>
  <c r="F610" i="4"/>
  <c r="F611" i="4"/>
  <c r="F612" i="4"/>
  <c r="F613" i="4"/>
  <c r="F614" i="4"/>
  <c r="F615" i="4"/>
  <c r="F616" i="4"/>
  <c r="H616" i="4" s="1"/>
  <c r="F617" i="4"/>
  <c r="F618" i="4"/>
  <c r="F619" i="4"/>
  <c r="F620" i="4"/>
  <c r="F621" i="4"/>
  <c r="F622" i="4"/>
  <c r="F623" i="4"/>
  <c r="F624" i="4"/>
  <c r="F625" i="4"/>
  <c r="F626" i="4"/>
  <c r="F627" i="4"/>
  <c r="F628" i="4"/>
  <c r="H628" i="4" s="1"/>
  <c r="F629" i="4"/>
  <c r="F630" i="4"/>
  <c r="F631" i="4"/>
  <c r="F632" i="4"/>
  <c r="F633" i="4"/>
  <c r="F634" i="4"/>
  <c r="F635" i="4"/>
  <c r="F636" i="4"/>
  <c r="F637" i="4"/>
  <c r="F638" i="4"/>
  <c r="F639" i="4"/>
  <c r="F640" i="4"/>
  <c r="H640" i="4" s="1"/>
  <c r="F641" i="4"/>
  <c r="F642" i="4"/>
  <c r="F643" i="4"/>
  <c r="F644" i="4"/>
  <c r="F645" i="4"/>
  <c r="F646" i="4"/>
  <c r="F647" i="4"/>
  <c r="F648" i="4"/>
  <c r="F649" i="4"/>
  <c r="F650" i="4"/>
  <c r="F651" i="4"/>
  <c r="F652" i="4"/>
  <c r="H652" i="4" s="1"/>
  <c r="F653" i="4"/>
  <c r="F654" i="4"/>
  <c r="F655" i="4"/>
  <c r="F656" i="4"/>
  <c r="F657" i="4"/>
  <c r="F658" i="4"/>
  <c r="F659" i="4"/>
  <c r="F660" i="4"/>
  <c r="F661" i="4"/>
  <c r="F662" i="4"/>
  <c r="F663" i="4"/>
  <c r="F664" i="4"/>
  <c r="H664" i="4" s="1"/>
  <c r="F665" i="4"/>
  <c r="F666" i="4"/>
  <c r="F667" i="4"/>
  <c r="F668" i="4"/>
  <c r="F669" i="4"/>
  <c r="F670" i="4"/>
  <c r="F671" i="4"/>
  <c r="F672" i="4"/>
  <c r="F673" i="4"/>
  <c r="F674" i="4"/>
  <c r="F675" i="4"/>
  <c r="F676" i="4"/>
  <c r="H676" i="4" s="1"/>
  <c r="F677" i="4"/>
  <c r="F678" i="4"/>
  <c r="F679" i="4"/>
  <c r="F680" i="4"/>
  <c r="F681" i="4"/>
  <c r="F682" i="4"/>
  <c r="F683" i="4"/>
  <c r="F684" i="4"/>
  <c r="F685" i="4"/>
  <c r="F686" i="4"/>
  <c r="F687" i="4"/>
  <c r="F688" i="4"/>
  <c r="H688" i="4" s="1"/>
  <c r="F689" i="4"/>
  <c r="F690" i="4"/>
  <c r="F691" i="4"/>
  <c r="F692" i="4"/>
  <c r="F693" i="4"/>
  <c r="F694" i="4"/>
  <c r="F695" i="4"/>
  <c r="F696" i="4"/>
  <c r="F697" i="4"/>
  <c r="F698" i="4"/>
  <c r="F699" i="4"/>
  <c r="F700" i="4"/>
  <c r="H700" i="4" s="1"/>
  <c r="F701" i="4"/>
  <c r="F702" i="4"/>
  <c r="F703" i="4"/>
  <c r="F704" i="4"/>
  <c r="F705" i="4"/>
  <c r="F706" i="4"/>
  <c r="F707" i="4"/>
  <c r="F708" i="4"/>
  <c r="F709" i="4"/>
  <c r="F710" i="4"/>
  <c r="F711" i="4"/>
  <c r="F712" i="4"/>
  <c r="H712" i="4" s="1"/>
  <c r="F713" i="4"/>
  <c r="F714" i="4"/>
  <c r="F715" i="4"/>
  <c r="F716" i="4"/>
  <c r="F717" i="4"/>
  <c r="F718" i="4"/>
  <c r="F719" i="4"/>
  <c r="F720" i="4"/>
  <c r="F721" i="4"/>
  <c r="F722" i="4"/>
  <c r="H722" i="4" s="1"/>
  <c r="F723" i="4"/>
  <c r="H5" i="4"/>
  <c r="H6" i="4"/>
  <c r="H7" i="4"/>
  <c r="H8" i="4"/>
  <c r="H9" i="4"/>
  <c r="H10" i="4"/>
  <c r="H11" i="4"/>
  <c r="H12" i="4"/>
  <c r="H13" i="4"/>
  <c r="H14" i="4"/>
  <c r="H15" i="4"/>
  <c r="H17" i="4"/>
  <c r="H18" i="4"/>
  <c r="H19" i="4"/>
  <c r="H20" i="4"/>
  <c r="H21" i="4"/>
  <c r="H22" i="4"/>
  <c r="H23" i="4"/>
  <c r="H24" i="4"/>
  <c r="H25" i="4"/>
  <c r="H26" i="4"/>
  <c r="H27" i="4"/>
  <c r="H29" i="4"/>
  <c r="H30" i="4"/>
  <c r="H31" i="4"/>
  <c r="H32" i="4"/>
  <c r="H33" i="4"/>
  <c r="H34" i="4"/>
  <c r="H35" i="4"/>
  <c r="H36" i="4"/>
  <c r="H37" i="4"/>
  <c r="H38" i="4"/>
  <c r="H39" i="4"/>
  <c r="H41" i="4"/>
  <c r="H42" i="4"/>
  <c r="H43" i="4"/>
  <c r="H44" i="4"/>
  <c r="H45" i="4"/>
  <c r="H46" i="4"/>
  <c r="H47" i="4"/>
  <c r="H48" i="4"/>
  <c r="H49" i="4"/>
  <c r="H50" i="4"/>
  <c r="H51" i="4"/>
  <c r="H53" i="4"/>
  <c r="H54" i="4"/>
  <c r="H55" i="4"/>
  <c r="H56" i="4"/>
  <c r="H57" i="4"/>
  <c r="H58" i="4"/>
  <c r="H59" i="4"/>
  <c r="H60" i="4"/>
  <c r="H61" i="4"/>
  <c r="H62" i="4"/>
  <c r="H63" i="4"/>
  <c r="H65" i="4"/>
  <c r="H66" i="4"/>
  <c r="H67" i="4"/>
  <c r="H68" i="4"/>
  <c r="H69" i="4"/>
  <c r="H70" i="4"/>
  <c r="H71" i="4"/>
  <c r="H72" i="4"/>
  <c r="H73" i="4"/>
  <c r="H74" i="4"/>
  <c r="H75" i="4"/>
  <c r="H77" i="4"/>
  <c r="H78" i="4"/>
  <c r="H79" i="4"/>
  <c r="H80" i="4"/>
  <c r="H81" i="4"/>
  <c r="H82" i="4"/>
  <c r="H83" i="4"/>
  <c r="H84" i="4"/>
  <c r="H85" i="4"/>
  <c r="H86" i="4"/>
  <c r="H87" i="4"/>
  <c r="H89" i="4"/>
  <c r="H90" i="4"/>
  <c r="H91" i="4"/>
  <c r="H92" i="4"/>
  <c r="H93" i="4"/>
  <c r="H94" i="4"/>
  <c r="H95" i="4"/>
  <c r="H96" i="4"/>
  <c r="H97" i="4"/>
  <c r="H98" i="4"/>
  <c r="H99" i="4"/>
  <c r="H101" i="4"/>
  <c r="H102" i="4"/>
  <c r="H103" i="4"/>
  <c r="H104" i="4"/>
  <c r="H105" i="4"/>
  <c r="H106" i="4"/>
  <c r="H107" i="4"/>
  <c r="H108" i="4"/>
  <c r="H109" i="4"/>
  <c r="H110" i="4"/>
  <c r="H111" i="4"/>
  <c r="H113" i="4"/>
  <c r="H114" i="4"/>
  <c r="H115" i="4"/>
  <c r="H116" i="4"/>
  <c r="H117" i="4"/>
  <c r="H118" i="4"/>
  <c r="H119" i="4"/>
  <c r="H120" i="4"/>
  <c r="H121" i="4"/>
  <c r="H122" i="4"/>
  <c r="H123" i="4"/>
  <c r="H125" i="4"/>
  <c r="H126" i="4"/>
  <c r="H127" i="4"/>
  <c r="H128" i="4"/>
  <c r="H129" i="4"/>
  <c r="H130" i="4"/>
  <c r="H131" i="4"/>
  <c r="H132" i="4"/>
  <c r="H133" i="4"/>
  <c r="H134" i="4"/>
  <c r="H135" i="4"/>
  <c r="H137" i="4"/>
  <c r="H138" i="4"/>
  <c r="H139" i="4"/>
  <c r="H140" i="4"/>
  <c r="H141" i="4"/>
  <c r="H142" i="4"/>
  <c r="H143" i="4"/>
  <c r="H144" i="4"/>
  <c r="H145" i="4"/>
  <c r="H146" i="4"/>
  <c r="H147" i="4"/>
  <c r="H149" i="4"/>
  <c r="H150" i="4"/>
  <c r="H151" i="4"/>
  <c r="H152" i="4"/>
  <c r="H153" i="4"/>
  <c r="H154" i="4"/>
  <c r="H155" i="4"/>
  <c r="H156" i="4"/>
  <c r="H157" i="4"/>
  <c r="H158" i="4"/>
  <c r="H159" i="4"/>
  <c r="H161" i="4"/>
  <c r="H162" i="4"/>
  <c r="H163" i="4"/>
  <c r="H164" i="4"/>
  <c r="H165" i="4"/>
  <c r="H166" i="4"/>
  <c r="H167" i="4"/>
  <c r="H168" i="4"/>
  <c r="H169" i="4"/>
  <c r="H170" i="4"/>
  <c r="H171" i="4"/>
  <c r="H173" i="4"/>
  <c r="H174" i="4"/>
  <c r="H175" i="4"/>
  <c r="H176" i="4"/>
  <c r="H177" i="4"/>
  <c r="H178" i="4"/>
  <c r="H179" i="4"/>
  <c r="H180" i="4"/>
  <c r="H181" i="4"/>
  <c r="H182" i="4"/>
  <c r="H183" i="4"/>
  <c r="H185" i="4"/>
  <c r="H186" i="4"/>
  <c r="H187" i="4"/>
  <c r="H188" i="4"/>
  <c r="H189" i="4"/>
  <c r="H190" i="4"/>
  <c r="H191" i="4"/>
  <c r="H192" i="4"/>
  <c r="H193" i="4"/>
  <c r="H194" i="4"/>
  <c r="H195" i="4"/>
  <c r="H197" i="4"/>
  <c r="H198" i="4"/>
  <c r="H199" i="4"/>
  <c r="H200" i="4"/>
  <c r="H201" i="4"/>
  <c r="H202" i="4"/>
  <c r="H203" i="4"/>
  <c r="H204" i="4"/>
  <c r="H205" i="4"/>
  <c r="H206" i="4"/>
  <c r="H207" i="4"/>
  <c r="H209" i="4"/>
  <c r="H210" i="4"/>
  <c r="H211" i="4"/>
  <c r="H212" i="4"/>
  <c r="H213" i="4"/>
  <c r="H214" i="4"/>
  <c r="H215" i="4"/>
  <c r="H216" i="4"/>
  <c r="H217" i="4"/>
  <c r="H218" i="4"/>
  <c r="H219" i="4"/>
  <c r="H221" i="4"/>
  <c r="H222" i="4"/>
  <c r="H223" i="4"/>
  <c r="H224" i="4"/>
  <c r="H225" i="4"/>
  <c r="H226" i="4"/>
  <c r="H227" i="4"/>
  <c r="H228" i="4"/>
  <c r="H229" i="4"/>
  <c r="H230" i="4"/>
  <c r="H231" i="4"/>
  <c r="H233" i="4"/>
  <c r="H234" i="4"/>
  <c r="H235" i="4"/>
  <c r="H236" i="4"/>
  <c r="H237" i="4"/>
  <c r="H238" i="4"/>
  <c r="H239" i="4"/>
  <c r="H240" i="4"/>
  <c r="H241" i="4"/>
  <c r="H242" i="4"/>
  <c r="H243" i="4"/>
  <c r="H245" i="4"/>
  <c r="H246" i="4"/>
  <c r="H247" i="4"/>
  <c r="H248" i="4"/>
  <c r="H249" i="4"/>
  <c r="H250" i="4"/>
  <c r="H251" i="4"/>
  <c r="H252" i="4"/>
  <c r="H253" i="4"/>
  <c r="H254" i="4"/>
  <c r="H255" i="4"/>
  <c r="H257" i="4"/>
  <c r="H258" i="4"/>
  <c r="H259" i="4"/>
  <c r="H260" i="4"/>
  <c r="H261" i="4"/>
  <c r="H262" i="4"/>
  <c r="H263" i="4"/>
  <c r="H264" i="4"/>
  <c r="H265" i="4"/>
  <c r="H266" i="4"/>
  <c r="H267" i="4"/>
  <c r="H269" i="4"/>
  <c r="H270" i="4"/>
  <c r="H271" i="4"/>
  <c r="H272" i="4"/>
  <c r="H273" i="4"/>
  <c r="H274" i="4"/>
  <c r="H275" i="4"/>
  <c r="H276" i="4"/>
  <c r="H277" i="4"/>
  <c r="H278" i="4"/>
  <c r="H279" i="4"/>
  <c r="H281" i="4"/>
  <c r="H282" i="4"/>
  <c r="H283" i="4"/>
  <c r="H284" i="4"/>
  <c r="H285" i="4"/>
  <c r="H286" i="4"/>
  <c r="H287" i="4"/>
  <c r="H288" i="4"/>
  <c r="H289" i="4"/>
  <c r="H290" i="4"/>
  <c r="H291" i="4"/>
  <c r="H293" i="4"/>
  <c r="H294" i="4"/>
  <c r="H295" i="4"/>
  <c r="H296" i="4"/>
  <c r="H297" i="4"/>
  <c r="H298" i="4"/>
  <c r="H299" i="4"/>
  <c r="H300" i="4"/>
  <c r="H301" i="4"/>
  <c r="H302" i="4"/>
  <c r="H303" i="4"/>
  <c r="H305" i="4"/>
  <c r="H306" i="4"/>
  <c r="H307" i="4"/>
  <c r="H308" i="4"/>
  <c r="H309" i="4"/>
  <c r="H310" i="4"/>
  <c r="H311" i="4"/>
  <c r="H312" i="4"/>
  <c r="H313" i="4"/>
  <c r="H314" i="4"/>
  <c r="H315" i="4"/>
  <c r="H317" i="4"/>
  <c r="H318" i="4"/>
  <c r="H319" i="4"/>
  <c r="H320" i="4"/>
  <c r="H321" i="4"/>
  <c r="H322" i="4"/>
  <c r="H323" i="4"/>
  <c r="H324" i="4"/>
  <c r="H325" i="4"/>
  <c r="H326" i="4"/>
  <c r="H327" i="4"/>
  <c r="H329" i="4"/>
  <c r="H330" i="4"/>
  <c r="H331" i="4"/>
  <c r="H332" i="4"/>
  <c r="H333" i="4"/>
  <c r="H334" i="4"/>
  <c r="H335" i="4"/>
  <c r="H336" i="4"/>
  <c r="H337" i="4"/>
  <c r="H338" i="4"/>
  <c r="H339" i="4"/>
  <c r="H341" i="4"/>
  <c r="H342" i="4"/>
  <c r="H343" i="4"/>
  <c r="H344" i="4"/>
  <c r="H345" i="4"/>
  <c r="H346" i="4"/>
  <c r="H347" i="4"/>
  <c r="H348" i="4"/>
  <c r="H349" i="4"/>
  <c r="H350" i="4"/>
  <c r="H351" i="4"/>
  <c r="H353" i="4"/>
  <c r="H354" i="4"/>
  <c r="H355" i="4"/>
  <c r="H356" i="4"/>
  <c r="H357" i="4"/>
  <c r="H358" i="4"/>
  <c r="H359" i="4"/>
  <c r="H360" i="4"/>
  <c r="H361" i="4"/>
  <c r="H362" i="4"/>
  <c r="H363" i="4"/>
  <c r="H365" i="4"/>
  <c r="H366" i="4"/>
  <c r="H367" i="4"/>
  <c r="H368" i="4"/>
  <c r="H369" i="4"/>
  <c r="H370" i="4"/>
  <c r="H371" i="4"/>
  <c r="H372" i="4"/>
  <c r="H373" i="4"/>
  <c r="H374" i="4"/>
  <c r="H375" i="4"/>
  <c r="H377" i="4"/>
  <c r="H378" i="4"/>
  <c r="H379" i="4"/>
  <c r="H380" i="4"/>
  <c r="H381" i="4"/>
  <c r="H382" i="4"/>
  <c r="H383" i="4"/>
  <c r="H384" i="4"/>
  <c r="H385" i="4"/>
  <c r="H386" i="4"/>
  <c r="H387" i="4"/>
  <c r="H389" i="4"/>
  <c r="H390" i="4"/>
  <c r="H391" i="4"/>
  <c r="H392" i="4"/>
  <c r="H393" i="4"/>
  <c r="H394" i="4"/>
  <c r="H395" i="4"/>
  <c r="H396" i="4"/>
  <c r="H397" i="4"/>
  <c r="H398" i="4"/>
  <c r="H399" i="4"/>
  <c r="H401" i="4"/>
  <c r="H402" i="4"/>
  <c r="H403" i="4"/>
  <c r="H404" i="4"/>
  <c r="H405" i="4"/>
  <c r="H406" i="4"/>
  <c r="H407" i="4"/>
  <c r="H408" i="4"/>
  <c r="H409" i="4"/>
  <c r="H410" i="4"/>
  <c r="H411" i="4"/>
  <c r="H413" i="4"/>
  <c r="H414" i="4"/>
  <c r="H415" i="4"/>
  <c r="H416" i="4"/>
  <c r="H417" i="4"/>
  <c r="H418" i="4"/>
  <c r="H419" i="4"/>
  <c r="H420" i="4"/>
  <c r="H421" i="4"/>
  <c r="H422" i="4"/>
  <c r="H423" i="4"/>
  <c r="H425" i="4"/>
  <c r="H426" i="4"/>
  <c r="H427" i="4"/>
  <c r="H428" i="4"/>
  <c r="H429" i="4"/>
  <c r="H430" i="4"/>
  <c r="H431" i="4"/>
  <c r="H432" i="4"/>
  <c r="H433" i="4"/>
  <c r="H434" i="4"/>
  <c r="H435" i="4"/>
  <c r="H437" i="4"/>
  <c r="H438" i="4"/>
  <c r="H439" i="4"/>
  <c r="H440" i="4"/>
  <c r="H441" i="4"/>
  <c r="H442" i="4"/>
  <c r="H443" i="4"/>
  <c r="H444" i="4"/>
  <c r="H445" i="4"/>
  <c r="H446" i="4"/>
  <c r="H447" i="4"/>
  <c r="H449" i="4"/>
  <c r="H450" i="4"/>
  <c r="H451" i="4"/>
  <c r="H452" i="4"/>
  <c r="H453" i="4"/>
  <c r="H454" i="4"/>
  <c r="H455" i="4"/>
  <c r="H456" i="4"/>
  <c r="H457" i="4"/>
  <c r="H458" i="4"/>
  <c r="H459" i="4"/>
  <c r="H461" i="4"/>
  <c r="H462" i="4"/>
  <c r="H463" i="4"/>
  <c r="H464" i="4"/>
  <c r="H465" i="4"/>
  <c r="H466" i="4"/>
  <c r="H467" i="4"/>
  <c r="H468" i="4"/>
  <c r="H469" i="4"/>
  <c r="H470" i="4"/>
  <c r="H471" i="4"/>
  <c r="H473" i="4"/>
  <c r="H474" i="4"/>
  <c r="H475" i="4"/>
  <c r="H476" i="4"/>
  <c r="H477" i="4"/>
  <c r="H478" i="4"/>
  <c r="H479" i="4"/>
  <c r="H480" i="4"/>
  <c r="H481" i="4"/>
  <c r="H482" i="4"/>
  <c r="H483" i="4"/>
  <c r="H485" i="4"/>
  <c r="H486" i="4"/>
  <c r="H487" i="4"/>
  <c r="H488" i="4"/>
  <c r="H489" i="4"/>
  <c r="H490" i="4"/>
  <c r="H491" i="4"/>
  <c r="H492" i="4"/>
  <c r="H493" i="4"/>
  <c r="H494" i="4"/>
  <c r="H495" i="4"/>
  <c r="H497" i="4"/>
  <c r="H498" i="4"/>
  <c r="H499" i="4"/>
  <c r="H500" i="4"/>
  <c r="H501" i="4"/>
  <c r="H502" i="4"/>
  <c r="H503" i="4"/>
  <c r="H504" i="4"/>
  <c r="H505" i="4"/>
  <c r="H506" i="4"/>
  <c r="H507" i="4"/>
  <c r="H509" i="4"/>
  <c r="H510" i="4"/>
  <c r="H511" i="4"/>
  <c r="H512" i="4"/>
  <c r="H513" i="4"/>
  <c r="H514" i="4"/>
  <c r="H515" i="4"/>
  <c r="H516" i="4"/>
  <c r="H517" i="4"/>
  <c r="H518" i="4"/>
  <c r="H519" i="4"/>
  <c r="H521" i="4"/>
  <c r="H522" i="4"/>
  <c r="H523" i="4"/>
  <c r="H524" i="4"/>
  <c r="H525" i="4"/>
  <c r="H526" i="4"/>
  <c r="H527" i="4"/>
  <c r="H528" i="4"/>
  <c r="H529" i="4"/>
  <c r="H530" i="4"/>
  <c r="H531" i="4"/>
  <c r="H533" i="4"/>
  <c r="H534" i="4"/>
  <c r="H535" i="4"/>
  <c r="H536" i="4"/>
  <c r="H537" i="4"/>
  <c r="H538" i="4"/>
  <c r="H539" i="4"/>
  <c r="H540" i="4"/>
  <c r="H541" i="4"/>
  <c r="H542" i="4"/>
  <c r="H543" i="4"/>
  <c r="H545" i="4"/>
  <c r="H546" i="4"/>
  <c r="H547" i="4"/>
  <c r="H548" i="4"/>
  <c r="H549" i="4"/>
  <c r="H550" i="4"/>
  <c r="H551" i="4"/>
  <c r="H552" i="4"/>
  <c r="H553" i="4"/>
  <c r="H554" i="4"/>
  <c r="H555" i="4"/>
  <c r="H557" i="4"/>
  <c r="H558" i="4"/>
  <c r="H559" i="4"/>
  <c r="H560" i="4"/>
  <c r="H561" i="4"/>
  <c r="H562" i="4"/>
  <c r="H563" i="4"/>
  <c r="H564" i="4"/>
  <c r="H565" i="4"/>
  <c r="H566" i="4"/>
  <c r="H567" i="4"/>
  <c r="H569" i="4"/>
  <c r="H570" i="4"/>
  <c r="H571" i="4"/>
  <c r="H572" i="4"/>
  <c r="H573" i="4"/>
  <c r="H574" i="4"/>
  <c r="H575" i="4"/>
  <c r="H576" i="4"/>
  <c r="H577" i="4"/>
  <c r="H578" i="4"/>
  <c r="H579" i="4"/>
  <c r="H581" i="4"/>
  <c r="H582" i="4"/>
  <c r="H583" i="4"/>
  <c r="H584" i="4"/>
  <c r="H585" i="4"/>
  <c r="H586" i="4"/>
  <c r="H587" i="4"/>
  <c r="H588" i="4"/>
  <c r="H589" i="4"/>
  <c r="H590" i="4"/>
  <c r="H591" i="4"/>
  <c r="H593" i="4"/>
  <c r="H594" i="4"/>
  <c r="H595" i="4"/>
  <c r="H596" i="4"/>
  <c r="H597" i="4"/>
  <c r="H598" i="4"/>
  <c r="H599" i="4"/>
  <c r="H600" i="4"/>
  <c r="H601" i="4"/>
  <c r="H602" i="4"/>
  <c r="H603" i="4"/>
  <c r="H605" i="4"/>
  <c r="H606" i="4"/>
  <c r="H607" i="4"/>
  <c r="H608" i="4"/>
  <c r="H609" i="4"/>
  <c r="H610" i="4"/>
  <c r="H611" i="4"/>
  <c r="H612" i="4"/>
  <c r="H613" i="4"/>
  <c r="H614" i="4"/>
  <c r="H615" i="4"/>
  <c r="H617" i="4"/>
  <c r="H618" i="4"/>
  <c r="H619" i="4"/>
  <c r="H620" i="4"/>
  <c r="H621" i="4"/>
  <c r="H622" i="4"/>
  <c r="H623" i="4"/>
  <c r="H624" i="4"/>
  <c r="H625" i="4"/>
  <c r="H626" i="4"/>
  <c r="H627" i="4"/>
  <c r="H629" i="4"/>
  <c r="H630" i="4"/>
  <c r="H631" i="4"/>
  <c r="H632" i="4"/>
  <c r="H633" i="4"/>
  <c r="H634" i="4"/>
  <c r="H635" i="4"/>
  <c r="H636" i="4"/>
  <c r="H637" i="4"/>
  <c r="H638" i="4"/>
  <c r="H639" i="4"/>
  <c r="H641" i="4"/>
  <c r="H642" i="4"/>
  <c r="H643" i="4"/>
  <c r="H644" i="4"/>
  <c r="H645" i="4"/>
  <c r="H646" i="4"/>
  <c r="H647" i="4"/>
  <c r="H648" i="4"/>
  <c r="H649" i="4"/>
  <c r="H650" i="4"/>
  <c r="H651" i="4"/>
  <c r="H653" i="4"/>
  <c r="H654" i="4"/>
  <c r="H655" i="4"/>
  <c r="H656" i="4"/>
  <c r="H657" i="4"/>
  <c r="H658" i="4"/>
  <c r="H659" i="4"/>
  <c r="H660" i="4"/>
  <c r="H661" i="4"/>
  <c r="H662" i="4"/>
  <c r="H663" i="4"/>
  <c r="H665" i="4"/>
  <c r="H666" i="4"/>
  <c r="H667" i="4"/>
  <c r="H668" i="4"/>
  <c r="H669" i="4"/>
  <c r="H670" i="4"/>
  <c r="H671" i="4"/>
  <c r="H672" i="4"/>
  <c r="H673" i="4"/>
  <c r="H674" i="4"/>
  <c r="H675" i="4"/>
  <c r="H677" i="4"/>
  <c r="H678" i="4"/>
  <c r="H679" i="4"/>
  <c r="H680" i="4"/>
  <c r="H681" i="4"/>
  <c r="H682" i="4"/>
  <c r="H683" i="4"/>
  <c r="H684" i="4"/>
  <c r="H685" i="4"/>
  <c r="H686" i="4"/>
  <c r="H687" i="4"/>
  <c r="H689" i="4"/>
  <c r="H690" i="4"/>
  <c r="H691" i="4"/>
  <c r="H692" i="4"/>
  <c r="H693" i="4"/>
  <c r="H694" i="4"/>
  <c r="H695" i="4"/>
  <c r="H696" i="4"/>
  <c r="H697" i="4"/>
  <c r="H698" i="4"/>
  <c r="H699" i="4"/>
  <c r="H701" i="4"/>
  <c r="H702" i="4"/>
  <c r="H703" i="4"/>
  <c r="H704" i="4"/>
  <c r="H705" i="4"/>
  <c r="H706" i="4"/>
  <c r="H707" i="4"/>
  <c r="H708" i="4"/>
  <c r="H709" i="4"/>
  <c r="H710" i="4"/>
  <c r="H711" i="4"/>
  <c r="H713" i="4"/>
  <c r="H714" i="4"/>
  <c r="H715" i="4"/>
  <c r="H716" i="4"/>
  <c r="H717" i="4"/>
  <c r="H718" i="4"/>
  <c r="H719" i="4"/>
  <c r="H720" i="4"/>
  <c r="H721" i="4"/>
  <c r="H723" i="4"/>
  <c r="H4" i="4"/>
  <c r="F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4" i="4"/>
  <c r="A7" i="5"/>
  <c r="D7" i="5"/>
  <c r="I7" i="5" s="1"/>
  <c r="E7" i="5"/>
  <c r="F7" i="5"/>
  <c r="G7" i="5"/>
  <c r="H7" i="5"/>
  <c r="A8" i="5"/>
  <c r="D8" i="5"/>
  <c r="E8" i="5"/>
  <c r="F8" i="5"/>
  <c r="G8" i="5"/>
  <c r="H8" i="5"/>
  <c r="I8" i="5"/>
  <c r="A9" i="5"/>
  <c r="D9" i="5"/>
  <c r="E9" i="5"/>
  <c r="F9" i="5"/>
  <c r="G9" i="5"/>
  <c r="H9" i="5"/>
  <c r="I9" i="5"/>
  <c r="A10" i="5"/>
  <c r="D10" i="5"/>
  <c r="I10" i="5" s="1"/>
  <c r="E10" i="5"/>
  <c r="F10" i="5"/>
  <c r="G10" i="5"/>
  <c r="H10" i="5"/>
  <c r="A11" i="5"/>
  <c r="D11" i="5"/>
  <c r="E11" i="5"/>
  <c r="F11" i="5"/>
  <c r="G11" i="5"/>
  <c r="H11" i="5"/>
  <c r="I11" i="5"/>
  <c r="A12" i="5"/>
  <c r="D12" i="5"/>
  <c r="E12" i="5"/>
  <c r="F12" i="5"/>
  <c r="G12" i="5"/>
  <c r="H12" i="5"/>
  <c r="I12" i="5"/>
  <c r="A13" i="5"/>
  <c r="D13" i="5"/>
  <c r="I13" i="5" s="1"/>
  <c r="E13" i="5"/>
  <c r="F13" i="5"/>
  <c r="G13" i="5"/>
  <c r="H13" i="5"/>
  <c r="A14" i="5"/>
  <c r="D14" i="5"/>
  <c r="E14" i="5"/>
  <c r="F14" i="5"/>
  <c r="G14" i="5"/>
  <c r="H14" i="5"/>
  <c r="I14" i="5"/>
  <c r="A15" i="5"/>
  <c r="D15" i="5"/>
  <c r="E15" i="5"/>
  <c r="F15" i="5"/>
  <c r="G15" i="5"/>
  <c r="H15" i="5"/>
  <c r="I15" i="5"/>
  <c r="A16" i="5"/>
  <c r="D16" i="5"/>
  <c r="I16" i="5" s="1"/>
  <c r="E16" i="5"/>
  <c r="F16" i="5"/>
  <c r="G16" i="5"/>
  <c r="H16" i="5"/>
  <c r="A17" i="5"/>
  <c r="D17" i="5"/>
  <c r="E17" i="5"/>
  <c r="F17" i="5"/>
  <c r="G17" i="5"/>
  <c r="H17" i="5"/>
  <c r="I17" i="5"/>
  <c r="A18" i="5"/>
  <c r="D18" i="5"/>
  <c r="E18" i="5"/>
  <c r="F18" i="5"/>
  <c r="G18" i="5"/>
  <c r="H18" i="5"/>
  <c r="I18" i="5"/>
  <c r="A19" i="5"/>
  <c r="D19" i="5"/>
  <c r="I19" i="5" s="1"/>
  <c r="E19" i="5"/>
  <c r="F19" i="5"/>
  <c r="G19" i="5"/>
  <c r="H19" i="5"/>
  <c r="A20" i="5"/>
  <c r="D20" i="5"/>
  <c r="E20" i="5"/>
  <c r="F20" i="5"/>
  <c r="G20" i="5"/>
  <c r="H20" i="5"/>
  <c r="I20" i="5"/>
  <c r="A21" i="5"/>
  <c r="D21" i="5"/>
  <c r="E21" i="5"/>
  <c r="F21" i="5"/>
  <c r="G21" i="5"/>
  <c r="H21" i="5"/>
  <c r="I21" i="5"/>
  <c r="A22" i="5"/>
  <c r="D22" i="5"/>
  <c r="I22" i="5" s="1"/>
  <c r="E22" i="5"/>
  <c r="F22" i="5"/>
  <c r="G22" i="5"/>
  <c r="H22" i="5"/>
  <c r="A23" i="5"/>
  <c r="D23" i="5"/>
  <c r="E23" i="5"/>
  <c r="F23" i="5"/>
  <c r="G23" i="5"/>
  <c r="H23" i="5"/>
  <c r="I23" i="5"/>
  <c r="A24" i="5"/>
  <c r="D24" i="5"/>
  <c r="E24" i="5"/>
  <c r="F24" i="5"/>
  <c r="G24" i="5"/>
  <c r="H24" i="5"/>
  <c r="I24" i="5"/>
  <c r="A25" i="5"/>
  <c r="D25" i="5"/>
  <c r="I25" i="5" s="1"/>
  <c r="E25" i="5"/>
  <c r="F25" i="5"/>
  <c r="G25" i="5"/>
  <c r="H25" i="5"/>
  <c r="A26" i="5"/>
  <c r="D26" i="5"/>
  <c r="E26" i="5"/>
  <c r="F26" i="5"/>
  <c r="G26" i="5"/>
  <c r="H26" i="5"/>
  <c r="I26" i="5"/>
  <c r="A27" i="5"/>
  <c r="D27" i="5"/>
  <c r="E27" i="5"/>
  <c r="F27" i="5"/>
  <c r="G27" i="5"/>
  <c r="H27" i="5"/>
  <c r="I27" i="5"/>
  <c r="A28" i="5"/>
  <c r="D28" i="5"/>
  <c r="I28" i="5" s="1"/>
  <c r="E28" i="5"/>
  <c r="F28" i="5"/>
  <c r="G28" i="5"/>
  <c r="H28" i="5"/>
  <c r="A29" i="5"/>
  <c r="D29" i="5"/>
  <c r="E29" i="5"/>
  <c r="F29" i="5"/>
  <c r="G29" i="5"/>
  <c r="H29" i="5"/>
  <c r="I29" i="5"/>
  <c r="A30" i="5"/>
  <c r="D30" i="5"/>
  <c r="E30" i="5"/>
  <c r="F30" i="5"/>
  <c r="G30" i="5"/>
  <c r="H30" i="5"/>
  <c r="I30" i="5"/>
  <c r="A31" i="5"/>
  <c r="D31" i="5"/>
  <c r="I31" i="5" s="1"/>
  <c r="E31" i="5"/>
  <c r="F31" i="5"/>
  <c r="G31" i="5"/>
  <c r="H31" i="5"/>
  <c r="A32" i="5"/>
  <c r="D32" i="5"/>
  <c r="E32" i="5"/>
  <c r="F32" i="5"/>
  <c r="G32" i="5"/>
  <c r="H32" i="5"/>
  <c r="I32" i="5"/>
  <c r="A33" i="5"/>
  <c r="D33" i="5"/>
  <c r="E33" i="5"/>
  <c r="F33" i="5"/>
  <c r="G33" i="5"/>
  <c r="H33" i="5"/>
  <c r="I33" i="5"/>
  <c r="A34" i="5"/>
  <c r="D34" i="5"/>
  <c r="I34" i="5" s="1"/>
  <c r="E34" i="5"/>
  <c r="F34" i="5"/>
  <c r="G34" i="5"/>
  <c r="H34" i="5"/>
  <c r="A35" i="5"/>
  <c r="D35" i="5"/>
  <c r="E35" i="5"/>
  <c r="F35" i="5"/>
  <c r="G35" i="5"/>
  <c r="H35" i="5"/>
  <c r="I35" i="5"/>
  <c r="A36" i="5"/>
  <c r="D36" i="5"/>
  <c r="E36" i="5"/>
  <c r="F36" i="5"/>
  <c r="G36" i="5"/>
  <c r="H36" i="5"/>
  <c r="I36" i="5"/>
  <c r="A37" i="5"/>
  <c r="D37" i="5"/>
  <c r="I37" i="5" s="1"/>
  <c r="E37" i="5"/>
  <c r="F37" i="5"/>
  <c r="G37" i="5"/>
  <c r="H37" i="5"/>
  <c r="A38" i="5"/>
  <c r="D38" i="5"/>
  <c r="E38" i="5"/>
  <c r="F38" i="5"/>
  <c r="G38" i="5"/>
  <c r="H38" i="5"/>
  <c r="I38" i="5"/>
  <c r="A39" i="5"/>
  <c r="D39" i="5"/>
  <c r="E39" i="5"/>
  <c r="F39" i="5"/>
  <c r="G39" i="5"/>
  <c r="H39" i="5"/>
  <c r="I39" i="5"/>
  <c r="A40" i="5"/>
  <c r="D40" i="5"/>
  <c r="I40" i="5" s="1"/>
  <c r="E40" i="5"/>
  <c r="F40" i="5"/>
  <c r="G40" i="5"/>
  <c r="H40" i="5"/>
  <c r="A41" i="5"/>
  <c r="D41" i="5"/>
  <c r="E41" i="5"/>
  <c r="F41" i="5"/>
  <c r="G41" i="5"/>
  <c r="H41" i="5"/>
  <c r="I41" i="5"/>
  <c r="A42" i="5"/>
  <c r="D42" i="5"/>
  <c r="E42" i="5"/>
  <c r="F42" i="5"/>
  <c r="G42" i="5"/>
  <c r="H42" i="5"/>
  <c r="I42" i="5"/>
  <c r="A43" i="5"/>
  <c r="D43" i="5"/>
  <c r="I43" i="5" s="1"/>
  <c r="E43" i="5"/>
  <c r="F43" i="5"/>
  <c r="G43" i="5"/>
  <c r="H43" i="5"/>
  <c r="A44" i="5"/>
  <c r="D44" i="5"/>
  <c r="E44" i="5"/>
  <c r="F44" i="5"/>
  <c r="G44" i="5"/>
  <c r="H44" i="5"/>
  <c r="I44" i="5"/>
  <c r="A45" i="5"/>
  <c r="D45" i="5"/>
  <c r="E45" i="5"/>
  <c r="F45" i="5"/>
  <c r="G45" i="5"/>
  <c r="H45" i="5"/>
  <c r="I45" i="5"/>
  <c r="A46" i="5"/>
  <c r="D46" i="5"/>
  <c r="I46" i="5" s="1"/>
  <c r="E46" i="5"/>
  <c r="F46" i="5"/>
  <c r="G46" i="5"/>
  <c r="H46" i="5"/>
  <c r="A47" i="5"/>
  <c r="D47" i="5"/>
  <c r="E47" i="5"/>
  <c r="F47" i="5"/>
  <c r="G47" i="5"/>
  <c r="H47" i="5"/>
  <c r="I47" i="5"/>
  <c r="A48" i="5"/>
  <c r="D48" i="5"/>
  <c r="E48" i="5"/>
  <c r="F48" i="5"/>
  <c r="G48" i="5"/>
  <c r="H48" i="5"/>
  <c r="I48" i="5"/>
  <c r="A49" i="5"/>
  <c r="D49" i="5"/>
  <c r="I49" i="5" s="1"/>
  <c r="E49" i="5"/>
  <c r="F49" i="5"/>
  <c r="G49" i="5"/>
  <c r="H49" i="5"/>
  <c r="A50" i="5"/>
  <c r="D50" i="5"/>
  <c r="E50" i="5"/>
  <c r="F50" i="5"/>
  <c r="G50" i="5"/>
  <c r="H50" i="5"/>
  <c r="I50" i="5"/>
  <c r="A51" i="5"/>
  <c r="D51" i="5"/>
  <c r="E51" i="5"/>
  <c r="F51" i="5"/>
  <c r="G51" i="5"/>
  <c r="H51" i="5"/>
  <c r="I51" i="5"/>
  <c r="A52" i="5"/>
  <c r="D52" i="5"/>
  <c r="I52" i="5" s="1"/>
  <c r="E52" i="5"/>
  <c r="F52" i="5"/>
  <c r="G52" i="5"/>
  <c r="H52" i="5"/>
  <c r="A53" i="5"/>
  <c r="D53" i="5"/>
  <c r="E53" i="5"/>
  <c r="F53" i="5"/>
  <c r="G53" i="5"/>
  <c r="H53" i="5"/>
  <c r="I53" i="5"/>
  <c r="A54" i="5"/>
  <c r="D54" i="5"/>
  <c r="E54" i="5"/>
  <c r="F54" i="5"/>
  <c r="G54" i="5"/>
  <c r="H54" i="5"/>
  <c r="I54" i="5"/>
  <c r="A55" i="5"/>
  <c r="D55" i="5"/>
  <c r="I55" i="5" s="1"/>
  <c r="E55" i="5"/>
  <c r="F55" i="5"/>
  <c r="G55" i="5"/>
  <c r="H55" i="5"/>
  <c r="A56" i="5"/>
  <c r="D56" i="5"/>
  <c r="E56" i="5"/>
  <c r="F56" i="5"/>
  <c r="G56" i="5"/>
  <c r="H56" i="5"/>
  <c r="I56" i="5"/>
  <c r="A57" i="5"/>
  <c r="D57" i="5"/>
  <c r="E57" i="5"/>
  <c r="F57" i="5"/>
  <c r="G57" i="5"/>
  <c r="H57" i="5"/>
  <c r="I57" i="5"/>
  <c r="A58" i="5"/>
  <c r="D58" i="5"/>
  <c r="I58" i="5" s="1"/>
  <c r="E58" i="5"/>
  <c r="F58" i="5"/>
  <c r="G58" i="5"/>
  <c r="H58" i="5"/>
  <c r="A59" i="5"/>
  <c r="D59" i="5"/>
  <c r="E59" i="5"/>
  <c r="F59" i="5"/>
  <c r="G59" i="5"/>
  <c r="H59" i="5"/>
  <c r="I59" i="5"/>
  <c r="A60" i="5"/>
  <c r="D60" i="5"/>
  <c r="E60" i="5"/>
  <c r="F60" i="5"/>
  <c r="G60" i="5"/>
  <c r="H60" i="5"/>
  <c r="I60" i="5"/>
  <c r="A61" i="5"/>
  <c r="D61" i="5"/>
  <c r="I61" i="5" s="1"/>
  <c r="E61" i="5"/>
  <c r="F61" i="5"/>
  <c r="G61" i="5"/>
  <c r="H61" i="5"/>
  <c r="A62" i="5"/>
  <c r="D62" i="5"/>
  <c r="E62" i="5"/>
  <c r="F62" i="5"/>
  <c r="G62" i="5"/>
  <c r="H62" i="5"/>
  <c r="I62" i="5"/>
  <c r="A63" i="5"/>
  <c r="D63" i="5"/>
  <c r="E63" i="5"/>
  <c r="F63" i="5"/>
  <c r="G63" i="5"/>
  <c r="H63" i="5"/>
  <c r="I63" i="5"/>
  <c r="A64" i="5"/>
  <c r="D64" i="5"/>
  <c r="I64" i="5" s="1"/>
  <c r="E64" i="5"/>
  <c r="F64" i="5"/>
  <c r="G64" i="5"/>
  <c r="H64" i="5"/>
  <c r="A65" i="5"/>
  <c r="D65" i="5"/>
  <c r="E65" i="5"/>
  <c r="F65" i="5"/>
  <c r="G65" i="5"/>
  <c r="H65" i="5"/>
  <c r="I65" i="5"/>
  <c r="A66" i="5"/>
  <c r="D66" i="5"/>
  <c r="E66" i="5"/>
  <c r="F66" i="5"/>
  <c r="G66" i="5"/>
  <c r="H66" i="5"/>
  <c r="I66" i="5"/>
  <c r="A67" i="5"/>
  <c r="D67" i="5"/>
  <c r="I67" i="5" s="1"/>
  <c r="E67" i="5"/>
  <c r="F67" i="5"/>
  <c r="G67" i="5"/>
  <c r="H67" i="5"/>
  <c r="A68" i="5"/>
  <c r="D68" i="5"/>
  <c r="E68" i="5"/>
  <c r="F68" i="5"/>
  <c r="G68" i="5"/>
  <c r="H68" i="5"/>
  <c r="I68" i="5"/>
  <c r="A69" i="5"/>
  <c r="D69" i="5"/>
  <c r="E69" i="5"/>
  <c r="F69" i="5"/>
  <c r="G69" i="5"/>
  <c r="H69" i="5"/>
  <c r="I69" i="5"/>
  <c r="A70" i="5"/>
  <c r="D70" i="5"/>
  <c r="I70" i="5" s="1"/>
  <c r="E70" i="5"/>
  <c r="F70" i="5"/>
  <c r="G70" i="5"/>
  <c r="H70" i="5"/>
  <c r="A71" i="5"/>
  <c r="D71" i="5"/>
  <c r="E71" i="5"/>
  <c r="F71" i="5"/>
  <c r="G71" i="5"/>
  <c r="H71" i="5"/>
  <c r="I71" i="5"/>
  <c r="A72" i="5"/>
  <c r="D72" i="5"/>
  <c r="E72" i="5"/>
  <c r="F72" i="5"/>
  <c r="G72" i="5"/>
  <c r="H72" i="5"/>
  <c r="I72" i="5"/>
  <c r="A73" i="5"/>
  <c r="D73" i="5"/>
  <c r="I73" i="5" s="1"/>
  <c r="E73" i="5"/>
  <c r="F73" i="5"/>
  <c r="G73" i="5"/>
  <c r="H73" i="5"/>
  <c r="A74" i="5"/>
  <c r="D74" i="5"/>
  <c r="E74" i="5"/>
  <c r="F74" i="5"/>
  <c r="G74" i="5"/>
  <c r="H74" i="5"/>
  <c r="I74" i="5"/>
  <c r="A75" i="5"/>
  <c r="D75" i="5"/>
  <c r="E75" i="5"/>
  <c r="F75" i="5"/>
  <c r="G75" i="5"/>
  <c r="H75" i="5"/>
  <c r="I75" i="5"/>
  <c r="A76" i="5"/>
  <c r="D76" i="5"/>
  <c r="I76" i="5" s="1"/>
  <c r="E76" i="5"/>
  <c r="F76" i="5"/>
  <c r="G76" i="5"/>
  <c r="H76" i="5"/>
  <c r="A77" i="5"/>
  <c r="D77" i="5"/>
  <c r="E77" i="5"/>
  <c r="F77" i="5"/>
  <c r="G77" i="5"/>
  <c r="H77" i="5"/>
  <c r="I77" i="5"/>
  <c r="A78" i="5"/>
  <c r="D78" i="5"/>
  <c r="E78" i="5"/>
  <c r="F78" i="5"/>
  <c r="G78" i="5"/>
  <c r="H78" i="5"/>
  <c r="I78" i="5"/>
  <c r="A79" i="5"/>
  <c r="D79" i="5"/>
  <c r="I79" i="5" s="1"/>
  <c r="E79" i="5"/>
  <c r="F79" i="5"/>
  <c r="G79" i="5"/>
  <c r="H79" i="5"/>
  <c r="A80" i="5"/>
  <c r="D80" i="5"/>
  <c r="E80" i="5"/>
  <c r="F80" i="5"/>
  <c r="G80" i="5"/>
  <c r="H80" i="5"/>
  <c r="I80" i="5"/>
  <c r="A81" i="5"/>
  <c r="D81" i="5"/>
  <c r="E81" i="5"/>
  <c r="F81" i="5"/>
  <c r="G81" i="5"/>
  <c r="H81" i="5"/>
  <c r="I81" i="5"/>
  <c r="A82" i="5"/>
  <c r="D82" i="5"/>
  <c r="I82" i="5" s="1"/>
  <c r="E82" i="5"/>
  <c r="F82" i="5"/>
  <c r="G82" i="5"/>
  <c r="H82" i="5"/>
  <c r="A83" i="5"/>
  <c r="D83" i="5"/>
  <c r="E83" i="5"/>
  <c r="F83" i="5"/>
  <c r="G83" i="5"/>
  <c r="H83" i="5"/>
  <c r="I83" i="5"/>
  <c r="A84" i="5"/>
  <c r="D84" i="5"/>
  <c r="E84" i="5"/>
  <c r="F84" i="5"/>
  <c r="G84" i="5"/>
  <c r="H84" i="5"/>
  <c r="I84" i="5"/>
  <c r="A85" i="5"/>
  <c r="D85" i="5"/>
  <c r="I85" i="5" s="1"/>
  <c r="E85" i="5"/>
  <c r="F85" i="5"/>
  <c r="G85" i="5"/>
  <c r="H85" i="5"/>
  <c r="A86" i="5"/>
  <c r="D86" i="5"/>
  <c r="E86" i="5"/>
  <c r="F86" i="5"/>
  <c r="G86" i="5"/>
  <c r="H86" i="5"/>
  <c r="I86" i="5"/>
  <c r="A87" i="5"/>
  <c r="D87" i="5"/>
  <c r="E87" i="5"/>
  <c r="F87" i="5"/>
  <c r="G87" i="5"/>
  <c r="H87" i="5"/>
  <c r="I87" i="5"/>
  <c r="A88" i="5"/>
  <c r="D88" i="5"/>
  <c r="I88" i="5" s="1"/>
  <c r="E88" i="5"/>
  <c r="F88" i="5"/>
  <c r="G88" i="5"/>
  <c r="H88" i="5"/>
  <c r="A89" i="5"/>
  <c r="D89" i="5"/>
  <c r="E89" i="5"/>
  <c r="F89" i="5"/>
  <c r="G89" i="5"/>
  <c r="H89" i="5"/>
  <c r="I89" i="5"/>
  <c r="A90" i="5"/>
  <c r="D90" i="5"/>
  <c r="E90" i="5"/>
  <c r="F90" i="5"/>
  <c r="G90" i="5"/>
  <c r="H90" i="5"/>
  <c r="I90" i="5"/>
  <c r="A91" i="5"/>
  <c r="D91" i="5"/>
  <c r="I91" i="5" s="1"/>
  <c r="E91" i="5"/>
  <c r="F91" i="5"/>
  <c r="G91" i="5"/>
  <c r="H91" i="5"/>
  <c r="A92" i="5"/>
  <c r="D92" i="5"/>
  <c r="E92" i="5"/>
  <c r="F92" i="5"/>
  <c r="G92" i="5"/>
  <c r="H92" i="5"/>
  <c r="I92" i="5"/>
  <c r="A93" i="5"/>
  <c r="D93" i="5"/>
  <c r="E93" i="5"/>
  <c r="F93" i="5"/>
  <c r="G93" i="5"/>
  <c r="H93" i="5"/>
  <c r="I93" i="5"/>
  <c r="A94" i="5"/>
  <c r="D94" i="5"/>
  <c r="I94" i="5" s="1"/>
  <c r="E94" i="5"/>
  <c r="F94" i="5"/>
  <c r="G94" i="5"/>
  <c r="H94" i="5"/>
  <c r="A95" i="5"/>
  <c r="D95" i="5"/>
  <c r="E95" i="5"/>
  <c r="F95" i="5"/>
  <c r="G95" i="5"/>
  <c r="H95" i="5"/>
  <c r="I95" i="5"/>
  <c r="A96" i="5"/>
  <c r="D96" i="5"/>
  <c r="E96" i="5"/>
  <c r="F96" i="5"/>
  <c r="G96" i="5"/>
  <c r="H96" i="5"/>
  <c r="I96" i="5"/>
  <c r="A97" i="5"/>
  <c r="D97" i="5"/>
  <c r="I97" i="5" s="1"/>
  <c r="E97" i="5"/>
  <c r="F97" i="5"/>
  <c r="G97" i="5"/>
  <c r="H97" i="5"/>
  <c r="A98" i="5"/>
  <c r="D98" i="5"/>
  <c r="E98" i="5"/>
  <c r="F98" i="5"/>
  <c r="G98" i="5"/>
  <c r="H98" i="5"/>
  <c r="I98" i="5"/>
  <c r="A99" i="5"/>
  <c r="D99" i="5"/>
  <c r="E99" i="5"/>
  <c r="F99" i="5"/>
  <c r="G99" i="5"/>
  <c r="H99" i="5"/>
  <c r="I99" i="5"/>
  <c r="A100" i="5"/>
  <c r="D100" i="5"/>
  <c r="I100" i="5" s="1"/>
  <c r="E100" i="5"/>
  <c r="F100" i="5"/>
  <c r="G100" i="5"/>
  <c r="H100" i="5"/>
  <c r="A101" i="5"/>
  <c r="D101" i="5"/>
  <c r="E101" i="5"/>
  <c r="F101" i="5"/>
  <c r="G101" i="5"/>
  <c r="H101" i="5"/>
  <c r="I101" i="5"/>
  <c r="A102" i="5"/>
  <c r="D102" i="5"/>
  <c r="E102" i="5"/>
  <c r="F102" i="5"/>
  <c r="G102" i="5"/>
  <c r="H102" i="5"/>
  <c r="I102" i="5"/>
  <c r="A103" i="5"/>
  <c r="D103" i="5"/>
  <c r="I103" i="5" s="1"/>
  <c r="E103" i="5"/>
  <c r="F103" i="5"/>
  <c r="G103" i="5"/>
  <c r="H103" i="5"/>
  <c r="A104" i="5"/>
  <c r="D104" i="5"/>
  <c r="E104" i="5"/>
  <c r="F104" i="5"/>
  <c r="G104" i="5"/>
  <c r="H104" i="5"/>
  <c r="I104" i="5"/>
  <c r="A105" i="5"/>
  <c r="D105" i="5"/>
  <c r="E105" i="5"/>
  <c r="F105" i="5"/>
  <c r="G105" i="5"/>
  <c r="H105" i="5"/>
  <c r="I105" i="5"/>
  <c r="A106" i="5"/>
  <c r="D106" i="5"/>
  <c r="I106" i="5" s="1"/>
  <c r="E106" i="5"/>
  <c r="F106" i="5"/>
  <c r="G106" i="5"/>
  <c r="H106" i="5"/>
  <c r="A107" i="5"/>
  <c r="D107" i="5"/>
  <c r="E107" i="5"/>
  <c r="F107" i="5"/>
  <c r="G107" i="5"/>
  <c r="H107" i="5"/>
  <c r="I107" i="5"/>
  <c r="A108" i="5"/>
  <c r="D108" i="5"/>
  <c r="E108" i="5"/>
  <c r="F108" i="5"/>
  <c r="G108" i="5"/>
  <c r="H108" i="5"/>
  <c r="I108" i="5"/>
  <c r="A109" i="5"/>
  <c r="D109" i="5"/>
  <c r="I109" i="5" s="1"/>
  <c r="E109" i="5"/>
  <c r="F109" i="5"/>
  <c r="G109" i="5"/>
  <c r="H109" i="5"/>
  <c r="A110" i="5"/>
  <c r="D110" i="5"/>
  <c r="E110" i="5"/>
  <c r="F110" i="5"/>
  <c r="G110" i="5"/>
  <c r="H110" i="5"/>
  <c r="I110" i="5"/>
  <c r="A111" i="5"/>
  <c r="D111" i="5"/>
  <c r="E111" i="5"/>
  <c r="F111" i="5"/>
  <c r="G111" i="5"/>
  <c r="H111" i="5"/>
  <c r="I111" i="5"/>
  <c r="A112" i="5"/>
  <c r="D112" i="5"/>
  <c r="I112" i="5" s="1"/>
  <c r="E112" i="5"/>
  <c r="F112" i="5"/>
  <c r="G112" i="5"/>
  <c r="H112" i="5"/>
  <c r="A113" i="5"/>
  <c r="D113" i="5"/>
  <c r="E113" i="5"/>
  <c r="F113" i="5"/>
  <c r="G113" i="5"/>
  <c r="H113" i="5"/>
  <c r="I113" i="5"/>
  <c r="A114" i="5"/>
  <c r="D114" i="5"/>
  <c r="E114" i="5"/>
  <c r="F114" i="5"/>
  <c r="G114" i="5"/>
  <c r="H114" i="5"/>
  <c r="I114" i="5"/>
  <c r="A115" i="5"/>
  <c r="D115" i="5"/>
  <c r="I115" i="5" s="1"/>
  <c r="E115" i="5"/>
  <c r="F115" i="5"/>
  <c r="G115" i="5"/>
  <c r="H115" i="5"/>
  <c r="A116" i="5"/>
  <c r="D116" i="5"/>
  <c r="E116" i="5"/>
  <c r="F116" i="5"/>
  <c r="G116" i="5"/>
  <c r="H116" i="5"/>
  <c r="I116" i="5"/>
  <c r="A117" i="5"/>
  <c r="D117" i="5"/>
  <c r="E117" i="5"/>
  <c r="F117" i="5"/>
  <c r="G117" i="5"/>
  <c r="H117" i="5"/>
  <c r="I117" i="5"/>
  <c r="A118" i="5"/>
  <c r="D118" i="5"/>
  <c r="I118" i="5" s="1"/>
  <c r="E118" i="5"/>
  <c r="F118" i="5"/>
  <c r="G118" i="5"/>
  <c r="H118" i="5"/>
  <c r="A119" i="5"/>
  <c r="D119" i="5"/>
  <c r="E119" i="5"/>
  <c r="F119" i="5"/>
  <c r="G119" i="5"/>
  <c r="H119" i="5"/>
  <c r="I119" i="5"/>
  <c r="A120" i="5"/>
  <c r="D120" i="5"/>
  <c r="E120" i="5"/>
  <c r="F120" i="5"/>
  <c r="G120" i="5"/>
  <c r="H120" i="5"/>
  <c r="I120" i="5"/>
  <c r="A121" i="5"/>
  <c r="D121" i="5"/>
  <c r="I121" i="5" s="1"/>
  <c r="E121" i="5"/>
  <c r="F121" i="5"/>
  <c r="G121" i="5"/>
  <c r="H121" i="5"/>
  <c r="A122" i="5"/>
  <c r="D122" i="5"/>
  <c r="E122" i="5"/>
  <c r="F122" i="5"/>
  <c r="G122" i="5"/>
  <c r="H122" i="5"/>
  <c r="I122" i="5"/>
  <c r="A123" i="5"/>
  <c r="D123" i="5"/>
  <c r="E123" i="5"/>
  <c r="F123" i="5"/>
  <c r="G123" i="5"/>
  <c r="H123" i="5"/>
  <c r="I123" i="5"/>
  <c r="A124" i="5"/>
  <c r="D124" i="5"/>
  <c r="I124" i="5" s="1"/>
  <c r="E124" i="5"/>
  <c r="F124" i="5"/>
  <c r="G124" i="5"/>
  <c r="H124" i="5"/>
  <c r="A125" i="5"/>
  <c r="D125" i="5"/>
  <c r="E125" i="5"/>
  <c r="F125" i="5"/>
  <c r="G125" i="5"/>
  <c r="H125" i="5"/>
  <c r="I125" i="5"/>
  <c r="A126" i="5"/>
  <c r="D126" i="5"/>
  <c r="E126" i="5"/>
  <c r="F126" i="5"/>
  <c r="G126" i="5"/>
  <c r="H126" i="5"/>
  <c r="I126" i="5"/>
  <c r="A127" i="5"/>
  <c r="D127" i="5"/>
  <c r="I127" i="5" s="1"/>
  <c r="E127" i="5"/>
  <c r="F127" i="5"/>
  <c r="G127" i="5"/>
  <c r="H127" i="5"/>
  <c r="A128" i="5"/>
  <c r="D128" i="5"/>
  <c r="E128" i="5"/>
  <c r="F128" i="5"/>
  <c r="G128" i="5"/>
  <c r="H128" i="5"/>
  <c r="I128" i="5"/>
  <c r="A129" i="5"/>
  <c r="D129" i="5"/>
  <c r="E129" i="5"/>
  <c r="F129" i="5"/>
  <c r="G129" i="5"/>
  <c r="H129" i="5"/>
  <c r="I129" i="5"/>
  <c r="A130" i="5"/>
  <c r="D130" i="5"/>
  <c r="I130" i="5" s="1"/>
  <c r="E130" i="5"/>
  <c r="F130" i="5"/>
  <c r="G130" i="5"/>
  <c r="H130" i="5"/>
  <c r="A131" i="5"/>
  <c r="D131" i="5"/>
  <c r="E131" i="5"/>
  <c r="F131" i="5"/>
  <c r="G131" i="5"/>
  <c r="H131" i="5"/>
  <c r="I131" i="5"/>
  <c r="A132" i="5"/>
  <c r="D132" i="5"/>
  <c r="E132" i="5"/>
  <c r="F132" i="5"/>
  <c r="G132" i="5"/>
  <c r="H132" i="5"/>
  <c r="I132" i="5"/>
  <c r="A133" i="5"/>
  <c r="D133" i="5"/>
  <c r="I133" i="5" s="1"/>
  <c r="E133" i="5"/>
  <c r="F133" i="5"/>
  <c r="G133" i="5"/>
  <c r="H133" i="5"/>
  <c r="A134" i="5"/>
  <c r="D134" i="5"/>
  <c r="E134" i="5"/>
  <c r="F134" i="5"/>
  <c r="G134" i="5"/>
  <c r="H134" i="5"/>
  <c r="I134" i="5"/>
  <c r="A135" i="5"/>
  <c r="D135" i="5"/>
  <c r="E135" i="5"/>
  <c r="F135" i="5"/>
  <c r="G135" i="5"/>
  <c r="H135" i="5"/>
  <c r="I135" i="5"/>
  <c r="A136" i="5"/>
  <c r="D136" i="5"/>
  <c r="I136" i="5" s="1"/>
  <c r="E136" i="5"/>
  <c r="F136" i="5"/>
  <c r="G136" i="5"/>
  <c r="H136" i="5"/>
  <c r="A137" i="5"/>
  <c r="D137" i="5"/>
  <c r="E137" i="5"/>
  <c r="F137" i="5"/>
  <c r="G137" i="5"/>
  <c r="H137" i="5"/>
  <c r="I137" i="5"/>
  <c r="A138" i="5"/>
  <c r="D138" i="5"/>
  <c r="E138" i="5"/>
  <c r="F138" i="5"/>
  <c r="G138" i="5"/>
  <c r="H138" i="5"/>
  <c r="I138" i="5"/>
  <c r="A139" i="5"/>
  <c r="D139" i="5"/>
  <c r="I139" i="5" s="1"/>
  <c r="E139" i="5"/>
  <c r="F139" i="5"/>
  <c r="G139" i="5"/>
  <c r="H139" i="5"/>
  <c r="A140" i="5"/>
  <c r="D140" i="5"/>
  <c r="E140" i="5"/>
  <c r="F140" i="5"/>
  <c r="G140" i="5"/>
  <c r="H140" i="5"/>
  <c r="I140" i="5"/>
  <c r="A141" i="5"/>
  <c r="D141" i="5"/>
  <c r="E141" i="5"/>
  <c r="F141" i="5"/>
  <c r="G141" i="5"/>
  <c r="H141" i="5"/>
  <c r="I141" i="5"/>
  <c r="A142" i="5"/>
  <c r="D142" i="5"/>
  <c r="I142" i="5" s="1"/>
  <c r="E142" i="5"/>
  <c r="F142" i="5"/>
  <c r="G142" i="5"/>
  <c r="H142" i="5"/>
  <c r="A143" i="5"/>
  <c r="D143" i="5"/>
  <c r="E143" i="5"/>
  <c r="F143" i="5"/>
  <c r="G143" i="5"/>
  <c r="H143" i="5"/>
  <c r="I143" i="5"/>
  <c r="A144" i="5"/>
  <c r="D144" i="5"/>
  <c r="E144" i="5"/>
  <c r="F144" i="5"/>
  <c r="G144" i="5"/>
  <c r="H144" i="5"/>
  <c r="I144" i="5"/>
  <c r="A145" i="5"/>
  <c r="D145" i="5"/>
  <c r="I145" i="5" s="1"/>
  <c r="E145" i="5"/>
  <c r="F145" i="5"/>
  <c r="G145" i="5"/>
  <c r="H145" i="5"/>
  <c r="A146" i="5"/>
  <c r="D146" i="5"/>
  <c r="E146" i="5"/>
  <c r="F146" i="5"/>
  <c r="G146" i="5"/>
  <c r="H146" i="5"/>
  <c r="I146" i="5"/>
  <c r="A147" i="5"/>
  <c r="D147" i="5"/>
  <c r="E147" i="5"/>
  <c r="F147" i="5"/>
  <c r="G147" i="5"/>
  <c r="H147" i="5"/>
  <c r="I147" i="5"/>
  <c r="A148" i="5"/>
  <c r="D148" i="5"/>
  <c r="I148" i="5" s="1"/>
  <c r="E148" i="5"/>
  <c r="F148" i="5"/>
  <c r="G148" i="5"/>
  <c r="H148" i="5"/>
  <c r="A149" i="5"/>
  <c r="D149" i="5"/>
  <c r="E149" i="5"/>
  <c r="F149" i="5"/>
  <c r="G149" i="5"/>
  <c r="H149" i="5"/>
  <c r="I149" i="5"/>
  <c r="A150" i="5"/>
  <c r="D150" i="5"/>
  <c r="E150" i="5"/>
  <c r="F150" i="5"/>
  <c r="G150" i="5"/>
  <c r="H150" i="5"/>
  <c r="I150" i="5"/>
  <c r="A151" i="5"/>
  <c r="D151" i="5"/>
  <c r="I151" i="5" s="1"/>
  <c r="E151" i="5"/>
  <c r="F151" i="5"/>
  <c r="G151" i="5"/>
  <c r="H151" i="5"/>
  <c r="A152" i="5"/>
  <c r="D152" i="5"/>
  <c r="E152" i="5"/>
  <c r="F152" i="5"/>
  <c r="G152" i="5"/>
  <c r="H152" i="5"/>
  <c r="I152" i="5"/>
  <c r="A153" i="5"/>
  <c r="D153" i="5"/>
  <c r="E153" i="5"/>
  <c r="F153" i="5"/>
  <c r="G153" i="5"/>
  <c r="H153" i="5"/>
  <c r="I153" i="5"/>
  <c r="A154" i="5"/>
  <c r="D154" i="5"/>
  <c r="I154" i="5" s="1"/>
  <c r="E154" i="5"/>
  <c r="F154" i="5"/>
  <c r="G154" i="5"/>
  <c r="H154" i="5"/>
  <c r="A155" i="5"/>
  <c r="D155" i="5"/>
  <c r="E155" i="5"/>
  <c r="F155" i="5"/>
  <c r="G155" i="5"/>
  <c r="H155" i="5"/>
  <c r="I155" i="5"/>
  <c r="A156" i="5"/>
  <c r="D156" i="5"/>
  <c r="E156" i="5"/>
  <c r="F156" i="5"/>
  <c r="G156" i="5"/>
  <c r="H156" i="5"/>
  <c r="I156" i="5"/>
  <c r="A157" i="5"/>
  <c r="D157" i="5"/>
  <c r="I157" i="5" s="1"/>
  <c r="E157" i="5"/>
  <c r="F157" i="5"/>
  <c r="G157" i="5"/>
  <c r="H157" i="5"/>
  <c r="A158" i="5"/>
  <c r="D158" i="5"/>
  <c r="E158" i="5"/>
  <c r="F158" i="5"/>
  <c r="G158" i="5"/>
  <c r="H158" i="5"/>
  <c r="I158" i="5"/>
  <c r="A159" i="5"/>
  <c r="D159" i="5"/>
  <c r="E159" i="5"/>
  <c r="F159" i="5"/>
  <c r="G159" i="5"/>
  <c r="H159" i="5"/>
  <c r="I159" i="5"/>
  <c r="A160" i="5"/>
  <c r="D160" i="5"/>
  <c r="I160" i="5" s="1"/>
  <c r="E160" i="5"/>
  <c r="F160" i="5"/>
  <c r="G160" i="5"/>
  <c r="H160" i="5"/>
  <c r="A161" i="5"/>
  <c r="D161" i="5"/>
  <c r="E161" i="5"/>
  <c r="F161" i="5"/>
  <c r="G161" i="5"/>
  <c r="H161" i="5"/>
  <c r="I161" i="5"/>
  <c r="A162" i="5"/>
  <c r="D162" i="5"/>
  <c r="E162" i="5"/>
  <c r="F162" i="5"/>
  <c r="G162" i="5"/>
  <c r="H162" i="5"/>
  <c r="I162" i="5"/>
  <c r="A163" i="5"/>
  <c r="D163" i="5"/>
  <c r="I163" i="5" s="1"/>
  <c r="E163" i="5"/>
  <c r="F163" i="5"/>
  <c r="G163" i="5"/>
  <c r="H163" i="5"/>
  <c r="A164" i="5"/>
  <c r="D164" i="5"/>
  <c r="E164" i="5"/>
  <c r="F164" i="5"/>
  <c r="G164" i="5"/>
  <c r="H164" i="5"/>
  <c r="I164" i="5"/>
  <c r="A165" i="5"/>
  <c r="D165" i="5"/>
  <c r="E165" i="5"/>
  <c r="F165" i="5"/>
  <c r="G165" i="5"/>
  <c r="H165" i="5"/>
  <c r="I165" i="5"/>
  <c r="A166" i="5"/>
  <c r="D166" i="5"/>
  <c r="I166" i="5" s="1"/>
  <c r="E166" i="5"/>
  <c r="F166" i="5"/>
  <c r="G166" i="5"/>
  <c r="H166" i="5"/>
  <c r="A167" i="5"/>
  <c r="D167" i="5"/>
  <c r="E167" i="5"/>
  <c r="F167" i="5"/>
  <c r="G167" i="5"/>
  <c r="H167" i="5"/>
  <c r="I167" i="5"/>
  <c r="A168" i="5"/>
  <c r="D168" i="5"/>
  <c r="E168" i="5"/>
  <c r="F168" i="5"/>
  <c r="G168" i="5"/>
  <c r="H168" i="5"/>
  <c r="I168" i="5"/>
  <c r="A169" i="5"/>
  <c r="D169" i="5"/>
  <c r="I169" i="5" s="1"/>
  <c r="E169" i="5"/>
  <c r="F169" i="5"/>
  <c r="G169" i="5"/>
  <c r="H169" i="5"/>
  <c r="A170" i="5"/>
  <c r="D170" i="5"/>
  <c r="E170" i="5"/>
  <c r="F170" i="5"/>
  <c r="G170" i="5"/>
  <c r="H170" i="5"/>
  <c r="I170" i="5"/>
  <c r="A171" i="5"/>
  <c r="D171" i="5"/>
  <c r="E171" i="5"/>
  <c r="F171" i="5"/>
  <c r="G171" i="5"/>
  <c r="H171" i="5"/>
  <c r="I171" i="5"/>
  <c r="A172" i="5"/>
  <c r="D172" i="5"/>
  <c r="I172" i="5" s="1"/>
  <c r="E172" i="5"/>
  <c r="F172" i="5"/>
  <c r="G172" i="5"/>
  <c r="H172" i="5"/>
  <c r="A173" i="5"/>
  <c r="D173" i="5"/>
  <c r="E173" i="5"/>
  <c r="F173" i="5"/>
  <c r="G173" i="5"/>
  <c r="H173" i="5"/>
  <c r="I173" i="5"/>
  <c r="A174" i="5"/>
  <c r="D174" i="5"/>
  <c r="E174" i="5"/>
  <c r="F174" i="5"/>
  <c r="G174" i="5"/>
  <c r="H174" i="5"/>
  <c r="I174" i="5"/>
  <c r="A175" i="5"/>
  <c r="D175" i="5"/>
  <c r="I175" i="5" s="1"/>
  <c r="E175" i="5"/>
  <c r="F175" i="5"/>
  <c r="G175" i="5"/>
  <c r="H175" i="5"/>
  <c r="A176" i="5"/>
  <c r="D176" i="5"/>
  <c r="E176" i="5"/>
  <c r="F176" i="5"/>
  <c r="G176" i="5"/>
  <c r="H176" i="5"/>
  <c r="I176" i="5"/>
  <c r="A177" i="5"/>
  <c r="D177" i="5"/>
  <c r="E177" i="5"/>
  <c r="F177" i="5"/>
  <c r="G177" i="5"/>
  <c r="H177" i="5"/>
  <c r="I177" i="5"/>
  <c r="A178" i="5"/>
  <c r="D178" i="5"/>
  <c r="I178" i="5" s="1"/>
  <c r="E178" i="5"/>
  <c r="F178" i="5"/>
  <c r="G178" i="5"/>
  <c r="H178" i="5"/>
  <c r="A179" i="5"/>
  <c r="D179" i="5"/>
  <c r="E179" i="5"/>
  <c r="F179" i="5"/>
  <c r="G179" i="5"/>
  <c r="H179" i="5"/>
  <c r="I179" i="5"/>
  <c r="A180" i="5"/>
  <c r="D180" i="5"/>
  <c r="E180" i="5"/>
  <c r="F180" i="5"/>
  <c r="G180" i="5"/>
  <c r="H180" i="5"/>
  <c r="I180" i="5"/>
  <c r="A181" i="5"/>
  <c r="D181" i="5"/>
  <c r="I181" i="5" s="1"/>
  <c r="E181" i="5"/>
  <c r="F181" i="5"/>
  <c r="G181" i="5"/>
  <c r="H181" i="5"/>
  <c r="A182" i="5"/>
  <c r="D182" i="5"/>
  <c r="E182" i="5"/>
  <c r="F182" i="5"/>
  <c r="G182" i="5"/>
  <c r="H182" i="5"/>
  <c r="I182" i="5"/>
  <c r="A183" i="5"/>
  <c r="D183" i="5"/>
  <c r="E183" i="5"/>
  <c r="F183" i="5"/>
  <c r="G183" i="5"/>
  <c r="H183" i="5"/>
  <c r="I183" i="5"/>
  <c r="A184" i="5"/>
  <c r="D184" i="5"/>
  <c r="I184" i="5" s="1"/>
  <c r="E184" i="5"/>
  <c r="F184" i="5"/>
  <c r="G184" i="5"/>
  <c r="H184" i="5"/>
  <c r="A185" i="5"/>
  <c r="D185" i="5"/>
  <c r="E185" i="5"/>
  <c r="F185" i="5"/>
  <c r="G185" i="5"/>
  <c r="H185" i="5"/>
  <c r="I185" i="5"/>
  <c r="A186" i="5"/>
  <c r="D186" i="5"/>
  <c r="E186" i="5"/>
  <c r="F186" i="5"/>
  <c r="G186" i="5"/>
  <c r="H186" i="5"/>
  <c r="I186" i="5"/>
  <c r="A187" i="5"/>
  <c r="D187" i="5"/>
  <c r="I187" i="5" s="1"/>
  <c r="E187" i="5"/>
  <c r="F187" i="5"/>
  <c r="G187" i="5"/>
  <c r="H187" i="5"/>
  <c r="A188" i="5"/>
  <c r="D188" i="5"/>
  <c r="E188" i="5"/>
  <c r="F188" i="5"/>
  <c r="G188" i="5"/>
  <c r="H188" i="5"/>
  <c r="I188" i="5"/>
  <c r="A189" i="5"/>
  <c r="D189" i="5"/>
  <c r="I189" i="5" s="1"/>
  <c r="E189" i="5"/>
  <c r="F189" i="5"/>
  <c r="G189" i="5"/>
  <c r="H189" i="5"/>
  <c r="A190" i="5"/>
  <c r="D190" i="5"/>
  <c r="I190" i="5" s="1"/>
  <c r="E190" i="5"/>
  <c r="F190" i="5"/>
  <c r="G190" i="5"/>
  <c r="H190" i="5"/>
  <c r="A191" i="5"/>
  <c r="D191" i="5"/>
  <c r="E191" i="5"/>
  <c r="F191" i="5"/>
  <c r="G191" i="5"/>
  <c r="H191" i="5"/>
  <c r="I191" i="5"/>
  <c r="A192" i="5"/>
  <c r="D192" i="5"/>
  <c r="E192" i="5"/>
  <c r="F192" i="5"/>
  <c r="G192" i="5"/>
  <c r="H192" i="5"/>
  <c r="I192" i="5"/>
  <c r="A193" i="5"/>
  <c r="D193" i="5"/>
  <c r="I193" i="5" s="1"/>
  <c r="E193" i="5"/>
  <c r="F193" i="5"/>
  <c r="G193" i="5"/>
  <c r="H193" i="5"/>
  <c r="A194" i="5"/>
  <c r="D194" i="5"/>
  <c r="E194" i="5"/>
  <c r="F194" i="5"/>
  <c r="G194" i="5"/>
  <c r="H194" i="5"/>
  <c r="I194" i="5"/>
  <c r="A195" i="5"/>
  <c r="D195" i="5"/>
  <c r="I195" i="5" s="1"/>
  <c r="E195" i="5"/>
  <c r="F195" i="5"/>
  <c r="G195" i="5"/>
  <c r="H195" i="5"/>
  <c r="A196" i="5"/>
  <c r="D196" i="5"/>
  <c r="I196" i="5" s="1"/>
  <c r="E196" i="5"/>
  <c r="F196" i="5"/>
  <c r="G196" i="5"/>
  <c r="H196" i="5"/>
  <c r="A197" i="5"/>
  <c r="D197" i="5"/>
  <c r="E197" i="5"/>
  <c r="F197" i="5"/>
  <c r="G197" i="5"/>
  <c r="H197" i="5"/>
  <c r="I197" i="5"/>
  <c r="A198" i="5"/>
  <c r="D198" i="5"/>
  <c r="E198" i="5"/>
  <c r="F198" i="5"/>
  <c r="G198" i="5"/>
  <c r="H198" i="5"/>
  <c r="I198" i="5"/>
  <c r="A199" i="5"/>
  <c r="D199" i="5"/>
  <c r="I199" i="5" s="1"/>
  <c r="E199" i="5"/>
  <c r="F199" i="5"/>
  <c r="G199" i="5"/>
  <c r="H199" i="5"/>
  <c r="A200" i="5"/>
  <c r="D200" i="5"/>
  <c r="E200" i="5"/>
  <c r="F200" i="5"/>
  <c r="G200" i="5"/>
  <c r="H200" i="5"/>
  <c r="I200" i="5"/>
  <c r="A201" i="5"/>
  <c r="D201" i="5"/>
  <c r="I201" i="5" s="1"/>
  <c r="E201" i="5"/>
  <c r="F201" i="5"/>
  <c r="G201" i="5"/>
  <c r="H201" i="5"/>
  <c r="A202" i="5"/>
  <c r="D202" i="5"/>
  <c r="I202" i="5" s="1"/>
  <c r="E202" i="5"/>
  <c r="F202" i="5"/>
  <c r="G202" i="5"/>
  <c r="H202" i="5"/>
  <c r="A203" i="5"/>
  <c r="D203" i="5"/>
  <c r="E203" i="5"/>
  <c r="F203" i="5"/>
  <c r="G203" i="5"/>
  <c r="H203" i="5"/>
  <c r="I203" i="5"/>
  <c r="A204" i="5"/>
  <c r="D204" i="5"/>
  <c r="I204" i="5" s="1"/>
  <c r="E204" i="5"/>
  <c r="F204" i="5"/>
  <c r="G204" i="5"/>
  <c r="H204" i="5"/>
  <c r="A205" i="5"/>
  <c r="D205" i="5"/>
  <c r="I205" i="5" s="1"/>
  <c r="E205" i="5"/>
  <c r="F205" i="5"/>
  <c r="G205" i="5"/>
  <c r="H205" i="5"/>
  <c r="A206" i="5"/>
  <c r="D206" i="5"/>
  <c r="E206" i="5"/>
  <c r="F206" i="5"/>
  <c r="G206" i="5"/>
  <c r="H206" i="5"/>
  <c r="I206" i="5"/>
  <c r="A207" i="5"/>
  <c r="D207" i="5"/>
  <c r="I207" i="5" s="1"/>
  <c r="E207" i="5"/>
  <c r="F207" i="5"/>
  <c r="G207" i="5"/>
  <c r="H207" i="5"/>
  <c r="A208" i="5"/>
  <c r="D208" i="5"/>
  <c r="I208" i="5" s="1"/>
  <c r="E208" i="5"/>
  <c r="F208" i="5"/>
  <c r="G208" i="5"/>
  <c r="H208" i="5"/>
  <c r="A209" i="5"/>
  <c r="D209" i="5"/>
  <c r="E209" i="5"/>
  <c r="F209" i="5"/>
  <c r="G209" i="5"/>
  <c r="H209" i="5"/>
  <c r="I209" i="5"/>
  <c r="A210" i="5"/>
  <c r="D210" i="5"/>
  <c r="E210" i="5"/>
  <c r="F210" i="5"/>
  <c r="G210" i="5"/>
  <c r="H210" i="5"/>
  <c r="I210" i="5"/>
  <c r="A211" i="5"/>
  <c r="D211" i="5"/>
  <c r="I211" i="5" s="1"/>
  <c r="E211" i="5"/>
  <c r="F211" i="5"/>
  <c r="G211" i="5"/>
  <c r="H211" i="5"/>
  <c r="A212" i="5"/>
  <c r="D212" i="5"/>
  <c r="E212" i="5"/>
  <c r="F212" i="5"/>
  <c r="G212" i="5"/>
  <c r="H212" i="5"/>
  <c r="I212" i="5"/>
  <c r="A213" i="5"/>
  <c r="D213" i="5"/>
  <c r="I213" i="5" s="1"/>
  <c r="E213" i="5"/>
  <c r="F213" i="5"/>
  <c r="G213" i="5"/>
  <c r="H213" i="5"/>
  <c r="A214" i="5"/>
  <c r="D214" i="5"/>
  <c r="I214" i="5" s="1"/>
  <c r="E214" i="5"/>
  <c r="F214" i="5"/>
  <c r="G214" i="5"/>
  <c r="H214" i="5"/>
  <c r="A215" i="5"/>
  <c r="D215" i="5"/>
  <c r="E215" i="5"/>
  <c r="F215" i="5"/>
  <c r="G215" i="5"/>
  <c r="H215" i="5"/>
  <c r="I215" i="5"/>
  <c r="A216" i="5"/>
  <c r="D216" i="5"/>
  <c r="E216" i="5"/>
  <c r="F216" i="5"/>
  <c r="G216" i="5"/>
  <c r="H216" i="5"/>
  <c r="I216" i="5"/>
  <c r="A217" i="5"/>
  <c r="D217" i="5"/>
  <c r="I217" i="5" s="1"/>
  <c r="E217" i="5"/>
  <c r="F217" i="5"/>
  <c r="G217" i="5"/>
  <c r="H217" i="5"/>
  <c r="A218" i="5"/>
  <c r="D218" i="5"/>
  <c r="E218" i="5"/>
  <c r="F218" i="5"/>
  <c r="G218" i="5"/>
  <c r="H218" i="5"/>
  <c r="I218" i="5"/>
  <c r="A219" i="5"/>
  <c r="D219" i="5"/>
  <c r="I219" i="5" s="1"/>
  <c r="E219" i="5"/>
  <c r="F219" i="5"/>
  <c r="G219" i="5"/>
  <c r="H219" i="5"/>
  <c r="A220" i="5"/>
  <c r="D220" i="5"/>
  <c r="I220" i="5" s="1"/>
  <c r="E220" i="5"/>
  <c r="F220" i="5"/>
  <c r="G220" i="5"/>
  <c r="H220" i="5"/>
  <c r="A221" i="5"/>
  <c r="D221" i="5"/>
  <c r="E221" i="5"/>
  <c r="F221" i="5"/>
  <c r="G221" i="5"/>
  <c r="H221" i="5"/>
  <c r="I221" i="5"/>
  <c r="A222" i="5"/>
  <c r="D222" i="5"/>
  <c r="E222" i="5"/>
  <c r="F222" i="5"/>
  <c r="G222" i="5"/>
  <c r="H222" i="5"/>
  <c r="I222" i="5"/>
  <c r="A223" i="5"/>
  <c r="D223" i="5"/>
  <c r="I223" i="5" s="1"/>
  <c r="E223" i="5"/>
  <c r="F223" i="5"/>
  <c r="G223" i="5"/>
  <c r="H223" i="5"/>
  <c r="A224" i="5"/>
  <c r="D224" i="5"/>
  <c r="E224" i="5"/>
  <c r="F224" i="5"/>
  <c r="G224" i="5"/>
  <c r="H224" i="5"/>
  <c r="I224" i="5"/>
  <c r="A225" i="5"/>
  <c r="D225" i="5"/>
  <c r="I225" i="5" s="1"/>
  <c r="E225" i="5"/>
  <c r="F225" i="5"/>
  <c r="G225" i="5"/>
  <c r="H225" i="5"/>
  <c r="A226" i="5"/>
  <c r="D226" i="5"/>
  <c r="I226" i="5" s="1"/>
  <c r="E226" i="5"/>
  <c r="F226" i="5"/>
  <c r="G226" i="5"/>
  <c r="H226" i="5"/>
  <c r="A227" i="5"/>
  <c r="D227" i="5"/>
  <c r="E227" i="5"/>
  <c r="F227" i="5"/>
  <c r="G227" i="5"/>
  <c r="H227" i="5"/>
  <c r="I227" i="5"/>
  <c r="A228" i="5"/>
  <c r="D228" i="5"/>
  <c r="E228" i="5"/>
  <c r="F228" i="5"/>
  <c r="G228" i="5"/>
  <c r="H228" i="5"/>
  <c r="I228" i="5"/>
  <c r="A229" i="5"/>
  <c r="D229" i="5"/>
  <c r="I229" i="5" s="1"/>
  <c r="E229" i="5"/>
  <c r="F229" i="5"/>
  <c r="G229" i="5"/>
  <c r="H229" i="5"/>
  <c r="A230" i="5"/>
  <c r="D230" i="5"/>
  <c r="I230" i="5" s="1"/>
  <c r="E230" i="5"/>
  <c r="F230" i="5"/>
  <c r="G230" i="5"/>
  <c r="H230" i="5"/>
  <c r="A231" i="5"/>
  <c r="D231" i="5"/>
  <c r="I231" i="5" s="1"/>
  <c r="E231" i="5"/>
  <c r="F231" i="5"/>
  <c r="G231" i="5"/>
  <c r="H231" i="5"/>
  <c r="A232" i="5"/>
  <c r="D232" i="5"/>
  <c r="I232" i="5" s="1"/>
  <c r="E232" i="5"/>
  <c r="F232" i="5"/>
  <c r="G232" i="5"/>
  <c r="H232" i="5"/>
  <c r="A233" i="5"/>
  <c r="D233" i="5"/>
  <c r="E233" i="5"/>
  <c r="F233" i="5"/>
  <c r="G233" i="5"/>
  <c r="H233" i="5"/>
  <c r="I233" i="5"/>
  <c r="A234" i="5"/>
  <c r="D234" i="5"/>
  <c r="E234" i="5"/>
  <c r="F234" i="5"/>
  <c r="G234" i="5"/>
  <c r="H234" i="5"/>
  <c r="I234" i="5"/>
  <c r="A235" i="5"/>
  <c r="D235" i="5"/>
  <c r="I235" i="5" s="1"/>
  <c r="E235" i="5"/>
  <c r="F235" i="5"/>
  <c r="G235" i="5"/>
  <c r="H235" i="5"/>
  <c r="A236" i="5"/>
  <c r="D236" i="5"/>
  <c r="I236" i="5" s="1"/>
  <c r="E236" i="5"/>
  <c r="F236" i="5"/>
  <c r="G236" i="5"/>
  <c r="H236" i="5"/>
  <c r="A237" i="5"/>
  <c r="D237" i="5"/>
  <c r="I237" i="5" s="1"/>
  <c r="E237" i="5"/>
  <c r="F237" i="5"/>
  <c r="G237" i="5"/>
  <c r="H237" i="5"/>
  <c r="A238" i="5"/>
  <c r="D238" i="5"/>
  <c r="I238" i="5" s="1"/>
  <c r="E238" i="5"/>
  <c r="F238" i="5"/>
  <c r="G238" i="5"/>
  <c r="H238" i="5"/>
  <c r="A239" i="5"/>
  <c r="D239" i="5"/>
  <c r="E239" i="5"/>
  <c r="F239" i="5"/>
  <c r="G239" i="5"/>
  <c r="H239" i="5"/>
  <c r="I239" i="5"/>
  <c r="A240" i="5"/>
  <c r="D240" i="5"/>
  <c r="E240" i="5"/>
  <c r="F240" i="5"/>
  <c r="G240" i="5"/>
  <c r="H240" i="5"/>
  <c r="I240" i="5"/>
  <c r="A241" i="5"/>
  <c r="D241" i="5"/>
  <c r="I241" i="5" s="1"/>
  <c r="E241" i="5"/>
  <c r="F241" i="5"/>
  <c r="G241" i="5"/>
  <c r="H241" i="5"/>
  <c r="A242" i="5"/>
  <c r="D242" i="5"/>
  <c r="I242" i="5" s="1"/>
  <c r="E242" i="5"/>
  <c r="F242" i="5"/>
  <c r="G242" i="5"/>
  <c r="H242" i="5"/>
  <c r="A243" i="5"/>
  <c r="D243" i="5"/>
  <c r="I243" i="5" s="1"/>
  <c r="E243" i="5"/>
  <c r="F243" i="5"/>
  <c r="G243" i="5"/>
  <c r="H243" i="5"/>
  <c r="A244" i="5"/>
  <c r="D244" i="5"/>
  <c r="I244" i="5" s="1"/>
  <c r="E244" i="5"/>
  <c r="F244" i="5"/>
  <c r="G244" i="5"/>
  <c r="H244" i="5"/>
  <c r="A245" i="5"/>
  <c r="D245" i="5"/>
  <c r="E245" i="5"/>
  <c r="F245" i="5"/>
  <c r="G245" i="5"/>
  <c r="H245" i="5"/>
  <c r="I245" i="5"/>
  <c r="A246" i="5"/>
  <c r="D246" i="5"/>
  <c r="E246" i="5"/>
  <c r="F246" i="5"/>
  <c r="G246" i="5"/>
  <c r="H246" i="5"/>
  <c r="I246" i="5"/>
  <c r="A247" i="5"/>
  <c r="D247" i="5"/>
  <c r="I247" i="5" s="1"/>
  <c r="E247" i="5"/>
  <c r="F247" i="5"/>
  <c r="G247" i="5"/>
  <c r="H247" i="5"/>
  <c r="A248" i="5"/>
  <c r="D248" i="5"/>
  <c r="I248" i="5" s="1"/>
  <c r="E248" i="5"/>
  <c r="F248" i="5"/>
  <c r="G248" i="5"/>
  <c r="H248" i="5"/>
  <c r="A249" i="5"/>
  <c r="D249" i="5"/>
  <c r="I249" i="5" s="1"/>
  <c r="E249" i="5"/>
  <c r="F249" i="5"/>
  <c r="G249" i="5"/>
  <c r="H249" i="5"/>
  <c r="A250" i="5"/>
  <c r="D250" i="5"/>
  <c r="I250" i="5" s="1"/>
  <c r="E250" i="5"/>
  <c r="F250" i="5"/>
  <c r="G250" i="5"/>
  <c r="H250" i="5"/>
  <c r="A251" i="5"/>
  <c r="D251" i="5"/>
  <c r="E251" i="5"/>
  <c r="F251" i="5"/>
  <c r="G251" i="5"/>
  <c r="H251" i="5"/>
  <c r="I251" i="5"/>
  <c r="A252" i="5"/>
  <c r="D252" i="5"/>
  <c r="E252" i="5"/>
  <c r="F252" i="5"/>
  <c r="G252" i="5"/>
  <c r="H252" i="5"/>
  <c r="I252" i="5"/>
  <c r="A253" i="5"/>
  <c r="D253" i="5"/>
  <c r="I253" i="5" s="1"/>
  <c r="E253" i="5"/>
  <c r="F253" i="5"/>
  <c r="G253" i="5"/>
  <c r="H253" i="5"/>
  <c r="A254" i="5"/>
  <c r="D254" i="5"/>
  <c r="I254" i="5" s="1"/>
  <c r="E254" i="5"/>
  <c r="F254" i="5"/>
  <c r="G254" i="5"/>
  <c r="H254" i="5"/>
  <c r="A255" i="5"/>
  <c r="D255" i="5"/>
  <c r="I255" i="5" s="1"/>
  <c r="E255" i="5"/>
  <c r="F255" i="5"/>
  <c r="G255" i="5"/>
  <c r="H255" i="5"/>
  <c r="A256" i="5"/>
  <c r="D256" i="5"/>
  <c r="I256" i="5" s="1"/>
  <c r="E256" i="5"/>
  <c r="F256" i="5"/>
  <c r="G256" i="5"/>
  <c r="H256" i="5"/>
  <c r="A257" i="5"/>
  <c r="D257" i="5"/>
  <c r="E257" i="5"/>
  <c r="F257" i="5"/>
  <c r="G257" i="5"/>
  <c r="H257" i="5"/>
  <c r="I257" i="5"/>
  <c r="A258" i="5"/>
  <c r="D258" i="5"/>
  <c r="E258" i="5"/>
  <c r="F258" i="5"/>
  <c r="G258" i="5"/>
  <c r="H258" i="5"/>
  <c r="I258" i="5"/>
  <c r="A259" i="5"/>
  <c r="D259" i="5"/>
  <c r="I259" i="5" s="1"/>
  <c r="E259" i="5"/>
  <c r="F259" i="5"/>
  <c r="G259" i="5"/>
  <c r="H259" i="5"/>
  <c r="A260" i="5"/>
  <c r="D260" i="5"/>
  <c r="I260" i="5" s="1"/>
  <c r="E260" i="5"/>
  <c r="F260" i="5"/>
  <c r="G260" i="5"/>
  <c r="H260" i="5"/>
  <c r="A261" i="5"/>
  <c r="D261" i="5"/>
  <c r="I261" i="5" s="1"/>
  <c r="E261" i="5"/>
  <c r="F261" i="5"/>
  <c r="G261" i="5"/>
  <c r="H261" i="5"/>
  <c r="A262" i="5"/>
  <c r="D262" i="5"/>
  <c r="I262" i="5" s="1"/>
  <c r="E262" i="5"/>
  <c r="F262" i="5"/>
  <c r="G262" i="5"/>
  <c r="H262" i="5"/>
  <c r="A263" i="5"/>
  <c r="D263" i="5"/>
  <c r="I263" i="5" s="1"/>
  <c r="E263" i="5"/>
  <c r="F263" i="5"/>
  <c r="G263" i="5"/>
  <c r="H263" i="5"/>
  <c r="A264" i="5"/>
  <c r="D264" i="5"/>
  <c r="I264" i="5" s="1"/>
  <c r="E264" i="5"/>
  <c r="F264" i="5"/>
  <c r="G264" i="5"/>
  <c r="H264" i="5"/>
  <c r="A265" i="5"/>
  <c r="D265" i="5"/>
  <c r="I265" i="5" s="1"/>
  <c r="E265" i="5"/>
  <c r="F265" i="5"/>
  <c r="G265" i="5"/>
  <c r="H265" i="5"/>
  <c r="A266" i="5"/>
  <c r="D266" i="5"/>
  <c r="I266" i="5" s="1"/>
  <c r="E266" i="5"/>
  <c r="F266" i="5"/>
  <c r="G266" i="5"/>
  <c r="H266" i="5"/>
  <c r="A267" i="5"/>
  <c r="D267" i="5"/>
  <c r="I267" i="5" s="1"/>
  <c r="E267" i="5"/>
  <c r="F267" i="5"/>
  <c r="G267" i="5"/>
  <c r="H267" i="5"/>
  <c r="A268" i="5"/>
  <c r="D268" i="5"/>
  <c r="I268" i="5" s="1"/>
  <c r="E268" i="5"/>
  <c r="F268" i="5"/>
  <c r="G268" i="5"/>
  <c r="H268" i="5"/>
  <c r="A269" i="5"/>
  <c r="D269" i="5"/>
  <c r="I269" i="5" s="1"/>
  <c r="E269" i="5"/>
  <c r="F269" i="5"/>
  <c r="G269" i="5"/>
  <c r="H269" i="5"/>
  <c r="A270" i="5"/>
  <c r="D270" i="5"/>
  <c r="I270" i="5" s="1"/>
  <c r="E270" i="5"/>
  <c r="F270" i="5"/>
  <c r="G270" i="5"/>
  <c r="H270" i="5"/>
  <c r="A271" i="5"/>
  <c r="D271" i="5"/>
  <c r="I271" i="5" s="1"/>
  <c r="E271" i="5"/>
  <c r="F271" i="5"/>
  <c r="G271" i="5"/>
  <c r="H271" i="5"/>
  <c r="A272" i="5"/>
  <c r="D272" i="5"/>
  <c r="I272" i="5" s="1"/>
  <c r="E272" i="5"/>
  <c r="F272" i="5"/>
  <c r="G272" i="5"/>
  <c r="H272" i="5"/>
  <c r="A273" i="5"/>
  <c r="D273" i="5"/>
  <c r="I273" i="5" s="1"/>
  <c r="E273" i="5"/>
  <c r="F273" i="5"/>
  <c r="G273" i="5"/>
  <c r="H273" i="5"/>
  <c r="A274" i="5"/>
  <c r="D274" i="5"/>
  <c r="I274" i="5" s="1"/>
  <c r="E274" i="5"/>
  <c r="F274" i="5"/>
  <c r="G274" i="5"/>
  <c r="H274" i="5"/>
  <c r="A275" i="5"/>
  <c r="D275" i="5"/>
  <c r="I275" i="5" s="1"/>
  <c r="E275" i="5"/>
  <c r="F275" i="5"/>
  <c r="G275" i="5"/>
  <c r="H275" i="5"/>
  <c r="A276" i="5"/>
  <c r="D276" i="5"/>
  <c r="I276" i="5" s="1"/>
  <c r="E276" i="5"/>
  <c r="F276" i="5"/>
  <c r="G276" i="5"/>
  <c r="H276" i="5"/>
  <c r="A277" i="5"/>
  <c r="D277" i="5"/>
  <c r="I277" i="5" s="1"/>
  <c r="E277" i="5"/>
  <c r="F277" i="5"/>
  <c r="G277" i="5"/>
  <c r="H277" i="5"/>
  <c r="A278" i="5"/>
  <c r="D278" i="5"/>
  <c r="I278" i="5" s="1"/>
  <c r="E278" i="5"/>
  <c r="F278" i="5"/>
  <c r="G278" i="5"/>
  <c r="H278" i="5"/>
  <c r="A279" i="5"/>
  <c r="D279" i="5"/>
  <c r="I279" i="5" s="1"/>
  <c r="E279" i="5"/>
  <c r="F279" i="5"/>
  <c r="G279" i="5"/>
  <c r="H279" i="5"/>
  <c r="A280" i="5"/>
  <c r="D280" i="5"/>
  <c r="I280" i="5" s="1"/>
  <c r="E280" i="5"/>
  <c r="F280" i="5"/>
  <c r="G280" i="5"/>
  <c r="H280" i="5"/>
  <c r="A281" i="5"/>
  <c r="D281" i="5"/>
  <c r="I281" i="5" s="1"/>
  <c r="E281" i="5"/>
  <c r="F281" i="5"/>
  <c r="G281" i="5"/>
  <c r="H281" i="5"/>
  <c r="A282" i="5"/>
  <c r="D282" i="5"/>
  <c r="I282" i="5" s="1"/>
  <c r="E282" i="5"/>
  <c r="F282" i="5"/>
  <c r="G282" i="5"/>
  <c r="H282" i="5"/>
  <c r="A283" i="5"/>
  <c r="D283" i="5"/>
  <c r="I283" i="5" s="1"/>
  <c r="E283" i="5"/>
  <c r="F283" i="5"/>
  <c r="G283" i="5"/>
  <c r="H283" i="5"/>
  <c r="A284" i="5"/>
  <c r="D284" i="5"/>
  <c r="I284" i="5" s="1"/>
  <c r="E284" i="5"/>
  <c r="F284" i="5"/>
  <c r="G284" i="5"/>
  <c r="H284" i="5"/>
  <c r="A285" i="5"/>
  <c r="D285" i="5"/>
  <c r="I285" i="5" s="1"/>
  <c r="E285" i="5"/>
  <c r="F285" i="5"/>
  <c r="G285" i="5"/>
  <c r="H285" i="5"/>
  <c r="A286" i="5"/>
  <c r="D286" i="5"/>
  <c r="I286" i="5" s="1"/>
  <c r="E286" i="5"/>
  <c r="F286" i="5"/>
  <c r="G286" i="5"/>
  <c r="H286" i="5"/>
  <c r="A287" i="5"/>
  <c r="D287" i="5"/>
  <c r="I287" i="5" s="1"/>
  <c r="E287" i="5"/>
  <c r="F287" i="5"/>
  <c r="G287" i="5"/>
  <c r="H287" i="5"/>
  <c r="A288" i="5"/>
  <c r="D288" i="5"/>
  <c r="I288" i="5" s="1"/>
  <c r="E288" i="5"/>
  <c r="F288" i="5"/>
  <c r="G288" i="5"/>
  <c r="H288" i="5"/>
  <c r="A289" i="5"/>
  <c r="D289" i="5"/>
  <c r="I289" i="5" s="1"/>
  <c r="E289" i="5"/>
  <c r="F289" i="5"/>
  <c r="G289" i="5"/>
  <c r="H289" i="5"/>
  <c r="A290" i="5"/>
  <c r="D290" i="5"/>
  <c r="I290" i="5" s="1"/>
  <c r="E290" i="5"/>
  <c r="F290" i="5"/>
  <c r="G290" i="5"/>
  <c r="H290" i="5"/>
  <c r="A291" i="5"/>
  <c r="D291" i="5"/>
  <c r="I291" i="5" s="1"/>
  <c r="E291" i="5"/>
  <c r="F291" i="5"/>
  <c r="G291" i="5"/>
  <c r="H291" i="5"/>
  <c r="A292" i="5"/>
  <c r="D292" i="5"/>
  <c r="I292" i="5" s="1"/>
  <c r="E292" i="5"/>
  <c r="F292" i="5"/>
  <c r="G292" i="5"/>
  <c r="H292" i="5"/>
  <c r="A293" i="5"/>
  <c r="D293" i="5"/>
  <c r="I293" i="5" s="1"/>
  <c r="E293" i="5"/>
  <c r="F293" i="5"/>
  <c r="G293" i="5"/>
  <c r="H293" i="5"/>
  <c r="A294" i="5"/>
  <c r="D294" i="5"/>
  <c r="I294" i="5" s="1"/>
  <c r="E294" i="5"/>
  <c r="F294" i="5"/>
  <c r="G294" i="5"/>
  <c r="H294" i="5"/>
  <c r="A295" i="5"/>
  <c r="D295" i="5"/>
  <c r="I295" i="5" s="1"/>
  <c r="E295" i="5"/>
  <c r="F295" i="5"/>
  <c r="G295" i="5"/>
  <c r="H295" i="5"/>
  <c r="A296" i="5"/>
  <c r="D296" i="5"/>
  <c r="I296" i="5" s="1"/>
  <c r="E296" i="5"/>
  <c r="F296" i="5"/>
  <c r="G296" i="5"/>
  <c r="H296" i="5"/>
  <c r="A297" i="5"/>
  <c r="D297" i="5"/>
  <c r="I297" i="5" s="1"/>
  <c r="E297" i="5"/>
  <c r="F297" i="5"/>
  <c r="G297" i="5"/>
  <c r="H297" i="5"/>
  <c r="A298" i="5"/>
  <c r="D298" i="5"/>
  <c r="I298" i="5" s="1"/>
  <c r="E298" i="5"/>
  <c r="F298" i="5"/>
  <c r="G298" i="5"/>
  <c r="H298" i="5"/>
  <c r="A299" i="5"/>
  <c r="D299" i="5"/>
  <c r="I299" i="5" s="1"/>
  <c r="E299" i="5"/>
  <c r="F299" i="5"/>
  <c r="G299" i="5"/>
  <c r="H299" i="5"/>
  <c r="A300" i="5"/>
  <c r="D300" i="5"/>
  <c r="I300" i="5" s="1"/>
  <c r="E300" i="5"/>
  <c r="F300" i="5"/>
  <c r="G300" i="5"/>
  <c r="H300" i="5"/>
  <c r="A301" i="5"/>
  <c r="D301" i="5"/>
  <c r="I301" i="5" s="1"/>
  <c r="E301" i="5"/>
  <c r="F301" i="5"/>
  <c r="G301" i="5"/>
  <c r="H301" i="5"/>
  <c r="A302" i="5"/>
  <c r="D302" i="5"/>
  <c r="I302" i="5" s="1"/>
  <c r="E302" i="5"/>
  <c r="F302" i="5"/>
  <c r="G302" i="5"/>
  <c r="H302" i="5"/>
  <c r="A303" i="5"/>
  <c r="D303" i="5"/>
  <c r="I303" i="5" s="1"/>
  <c r="E303" i="5"/>
  <c r="F303" i="5"/>
  <c r="G303" i="5"/>
  <c r="H303" i="5"/>
  <c r="A304" i="5"/>
  <c r="D304" i="5"/>
  <c r="I304" i="5" s="1"/>
  <c r="E304" i="5"/>
  <c r="F304" i="5"/>
  <c r="G304" i="5"/>
  <c r="H304" i="5"/>
  <c r="A305" i="5"/>
  <c r="D305" i="5"/>
  <c r="I305" i="5" s="1"/>
  <c r="E305" i="5"/>
  <c r="F305" i="5"/>
  <c r="G305" i="5"/>
  <c r="H305" i="5"/>
  <c r="A306" i="5"/>
  <c r="D306" i="5"/>
  <c r="I306" i="5" s="1"/>
  <c r="E306" i="5"/>
  <c r="F306" i="5"/>
  <c r="G306" i="5"/>
  <c r="H306" i="5"/>
  <c r="A307" i="5"/>
  <c r="D307" i="5"/>
  <c r="I307" i="5" s="1"/>
  <c r="E307" i="5"/>
  <c r="F307" i="5"/>
  <c r="G307" i="5"/>
  <c r="H307" i="5"/>
  <c r="A308" i="5"/>
  <c r="D308" i="5"/>
  <c r="I308" i="5" s="1"/>
  <c r="E308" i="5"/>
  <c r="F308" i="5"/>
  <c r="G308" i="5"/>
  <c r="H308" i="5"/>
  <c r="A309" i="5"/>
  <c r="D309" i="5"/>
  <c r="I309" i="5" s="1"/>
  <c r="E309" i="5"/>
  <c r="F309" i="5"/>
  <c r="G309" i="5"/>
  <c r="H309" i="5"/>
  <c r="A310" i="5"/>
  <c r="D310" i="5"/>
  <c r="I310" i="5" s="1"/>
  <c r="E310" i="5"/>
  <c r="F310" i="5"/>
  <c r="G310" i="5"/>
  <c r="H310" i="5"/>
  <c r="A311" i="5"/>
  <c r="D311" i="5"/>
  <c r="I311" i="5" s="1"/>
  <c r="E311" i="5"/>
  <c r="F311" i="5"/>
  <c r="G311" i="5"/>
  <c r="H311" i="5"/>
  <c r="A312" i="5"/>
  <c r="D312" i="5"/>
  <c r="I312" i="5" s="1"/>
  <c r="E312" i="5"/>
  <c r="F312" i="5"/>
  <c r="G312" i="5"/>
  <c r="H312" i="5"/>
  <c r="A313" i="5"/>
  <c r="D313" i="5"/>
  <c r="I313" i="5" s="1"/>
  <c r="E313" i="5"/>
  <c r="F313" i="5"/>
  <c r="G313" i="5"/>
  <c r="H313" i="5"/>
  <c r="A314" i="5"/>
  <c r="D314" i="5"/>
  <c r="I314" i="5" s="1"/>
  <c r="E314" i="5"/>
  <c r="F314" i="5"/>
  <c r="G314" i="5"/>
  <c r="H314" i="5"/>
  <c r="A315" i="5"/>
  <c r="D315" i="5"/>
  <c r="I315" i="5" s="1"/>
  <c r="E315" i="5"/>
  <c r="F315" i="5"/>
  <c r="G315" i="5"/>
  <c r="H315" i="5"/>
  <c r="A316" i="5"/>
  <c r="D316" i="5"/>
  <c r="I316" i="5" s="1"/>
  <c r="E316" i="5"/>
  <c r="F316" i="5"/>
  <c r="G316" i="5"/>
  <c r="H316" i="5"/>
  <c r="A317" i="5"/>
  <c r="D317" i="5"/>
  <c r="I317" i="5" s="1"/>
  <c r="E317" i="5"/>
  <c r="F317" i="5"/>
  <c r="G317" i="5"/>
  <c r="H317" i="5"/>
  <c r="A318" i="5"/>
  <c r="D318" i="5"/>
  <c r="I318" i="5" s="1"/>
  <c r="E318" i="5"/>
  <c r="F318" i="5"/>
  <c r="G318" i="5"/>
  <c r="H318" i="5"/>
  <c r="A319" i="5"/>
  <c r="D319" i="5"/>
  <c r="I319" i="5" s="1"/>
  <c r="E319" i="5"/>
  <c r="F319" i="5"/>
  <c r="G319" i="5"/>
  <c r="H319" i="5"/>
  <c r="A320" i="5"/>
  <c r="D320" i="5"/>
  <c r="I320" i="5" s="1"/>
  <c r="E320" i="5"/>
  <c r="F320" i="5"/>
  <c r="G320" i="5"/>
  <c r="H320" i="5"/>
  <c r="A321" i="5"/>
  <c r="D321" i="5"/>
  <c r="I321" i="5" s="1"/>
  <c r="E321" i="5"/>
  <c r="F321" i="5"/>
  <c r="G321" i="5"/>
  <c r="H321" i="5"/>
  <c r="A322" i="5"/>
  <c r="D322" i="5"/>
  <c r="I322" i="5" s="1"/>
  <c r="E322" i="5"/>
  <c r="F322" i="5"/>
  <c r="G322" i="5"/>
  <c r="H322" i="5"/>
  <c r="A323" i="5"/>
  <c r="D323" i="5"/>
  <c r="I323" i="5" s="1"/>
  <c r="E323" i="5"/>
  <c r="F323" i="5"/>
  <c r="G323" i="5"/>
  <c r="H323" i="5"/>
  <c r="A324" i="5"/>
  <c r="D324" i="5"/>
  <c r="I324" i="5" s="1"/>
  <c r="E324" i="5"/>
  <c r="F324" i="5"/>
  <c r="G324" i="5"/>
  <c r="H324" i="5"/>
  <c r="A325" i="5"/>
  <c r="D325" i="5"/>
  <c r="I325" i="5" s="1"/>
  <c r="E325" i="5"/>
  <c r="F325" i="5"/>
  <c r="G325" i="5"/>
  <c r="H325" i="5"/>
  <c r="A326" i="5"/>
  <c r="D326" i="5"/>
  <c r="I326" i="5" s="1"/>
  <c r="E326" i="5"/>
  <c r="F326" i="5"/>
  <c r="G326" i="5"/>
  <c r="H326" i="5"/>
  <c r="A327" i="5"/>
  <c r="D327" i="5"/>
  <c r="I327" i="5" s="1"/>
  <c r="E327" i="5"/>
  <c r="F327" i="5"/>
  <c r="G327" i="5"/>
  <c r="H327" i="5"/>
  <c r="A328" i="5"/>
  <c r="D328" i="5"/>
  <c r="I328" i="5" s="1"/>
  <c r="E328" i="5"/>
  <c r="F328" i="5"/>
  <c r="G328" i="5"/>
  <c r="H328" i="5"/>
  <c r="A329" i="5"/>
  <c r="D329" i="5"/>
  <c r="I329" i="5" s="1"/>
  <c r="E329" i="5"/>
  <c r="F329" i="5"/>
  <c r="G329" i="5"/>
  <c r="H329" i="5"/>
  <c r="A330" i="5"/>
  <c r="D330" i="5"/>
  <c r="I330" i="5" s="1"/>
  <c r="E330" i="5"/>
  <c r="F330" i="5"/>
  <c r="G330" i="5"/>
  <c r="H330" i="5"/>
  <c r="A331" i="5"/>
  <c r="D331" i="5"/>
  <c r="I331" i="5" s="1"/>
  <c r="E331" i="5"/>
  <c r="F331" i="5"/>
  <c r="G331" i="5"/>
  <c r="H331" i="5"/>
  <c r="A332" i="5"/>
  <c r="D332" i="5"/>
  <c r="I332" i="5" s="1"/>
  <c r="E332" i="5"/>
  <c r="F332" i="5"/>
  <c r="G332" i="5"/>
  <c r="H332" i="5"/>
  <c r="A333" i="5"/>
  <c r="D333" i="5"/>
  <c r="I333" i="5" s="1"/>
  <c r="E333" i="5"/>
  <c r="F333" i="5"/>
  <c r="G333" i="5"/>
  <c r="H333" i="5"/>
  <c r="A334" i="5"/>
  <c r="D334" i="5"/>
  <c r="I334" i="5" s="1"/>
  <c r="E334" i="5"/>
  <c r="F334" i="5"/>
  <c r="G334" i="5"/>
  <c r="H334" i="5"/>
  <c r="A335" i="5"/>
  <c r="D335" i="5"/>
  <c r="I335" i="5" s="1"/>
  <c r="E335" i="5"/>
  <c r="F335" i="5"/>
  <c r="G335" i="5"/>
  <c r="H335" i="5"/>
  <c r="A336" i="5"/>
  <c r="D336" i="5"/>
  <c r="I336" i="5" s="1"/>
  <c r="E336" i="5"/>
  <c r="F336" i="5"/>
  <c r="G336" i="5"/>
  <c r="H336" i="5"/>
  <c r="A337" i="5"/>
  <c r="D337" i="5"/>
  <c r="I337" i="5" s="1"/>
  <c r="E337" i="5"/>
  <c r="F337" i="5"/>
  <c r="G337" i="5"/>
  <c r="H337" i="5"/>
  <c r="A338" i="5"/>
  <c r="D338" i="5"/>
  <c r="I338" i="5" s="1"/>
  <c r="E338" i="5"/>
  <c r="F338" i="5"/>
  <c r="G338" i="5"/>
  <c r="H338" i="5"/>
  <c r="A339" i="5"/>
  <c r="D339" i="5"/>
  <c r="I339" i="5" s="1"/>
  <c r="E339" i="5"/>
  <c r="F339" i="5"/>
  <c r="G339" i="5"/>
  <c r="H339" i="5"/>
  <c r="A340" i="5"/>
  <c r="D340" i="5"/>
  <c r="I340" i="5" s="1"/>
  <c r="E340" i="5"/>
  <c r="F340" i="5"/>
  <c r="G340" i="5"/>
  <c r="H340" i="5"/>
  <c r="A341" i="5"/>
  <c r="D341" i="5"/>
  <c r="I341" i="5" s="1"/>
  <c r="E341" i="5"/>
  <c r="F341" i="5"/>
  <c r="G341" i="5"/>
  <c r="H341" i="5"/>
  <c r="A342" i="5"/>
  <c r="D342" i="5"/>
  <c r="I342" i="5" s="1"/>
  <c r="E342" i="5"/>
  <c r="F342" i="5"/>
  <c r="G342" i="5"/>
  <c r="H342" i="5"/>
  <c r="A343" i="5"/>
  <c r="D343" i="5"/>
  <c r="I343" i="5" s="1"/>
  <c r="E343" i="5"/>
  <c r="F343" i="5"/>
  <c r="G343" i="5"/>
  <c r="H343" i="5"/>
  <c r="A344" i="5"/>
  <c r="D344" i="5"/>
  <c r="I344" i="5" s="1"/>
  <c r="E344" i="5"/>
  <c r="F344" i="5"/>
  <c r="G344" i="5"/>
  <c r="H344" i="5"/>
  <c r="A345" i="5"/>
  <c r="D345" i="5"/>
  <c r="I345" i="5" s="1"/>
  <c r="E345" i="5"/>
  <c r="F345" i="5"/>
  <c r="G345" i="5"/>
  <c r="H345" i="5"/>
  <c r="A346" i="5"/>
  <c r="D346" i="5"/>
  <c r="I346" i="5" s="1"/>
  <c r="E346" i="5"/>
  <c r="F346" i="5"/>
  <c r="G346" i="5"/>
  <c r="H346" i="5"/>
  <c r="A347" i="5"/>
  <c r="D347" i="5"/>
  <c r="I347" i="5" s="1"/>
  <c r="E347" i="5"/>
  <c r="F347" i="5"/>
  <c r="G347" i="5"/>
  <c r="H347" i="5"/>
  <c r="A348" i="5"/>
  <c r="D348" i="5"/>
  <c r="I348" i="5" s="1"/>
  <c r="E348" i="5"/>
  <c r="F348" i="5"/>
  <c r="G348" i="5"/>
  <c r="H348" i="5"/>
  <c r="A349" i="5"/>
  <c r="D349" i="5"/>
  <c r="I349" i="5" s="1"/>
  <c r="E349" i="5"/>
  <c r="F349" i="5"/>
  <c r="G349" i="5"/>
  <c r="H349" i="5"/>
  <c r="A350" i="5"/>
  <c r="D350" i="5"/>
  <c r="I350" i="5" s="1"/>
  <c r="E350" i="5"/>
  <c r="F350" i="5"/>
  <c r="G350" i="5"/>
  <c r="H350" i="5"/>
  <c r="A351" i="5"/>
  <c r="D351" i="5"/>
  <c r="I351" i="5" s="1"/>
  <c r="E351" i="5"/>
  <c r="F351" i="5"/>
  <c r="G351" i="5"/>
  <c r="H351" i="5"/>
  <c r="A352" i="5"/>
  <c r="D352" i="5"/>
  <c r="I352" i="5" s="1"/>
  <c r="E352" i="5"/>
  <c r="F352" i="5"/>
  <c r="G352" i="5"/>
  <c r="H352" i="5"/>
  <c r="A353" i="5"/>
  <c r="D353" i="5"/>
  <c r="I353" i="5" s="1"/>
  <c r="E353" i="5"/>
  <c r="F353" i="5"/>
  <c r="G353" i="5"/>
  <c r="H353" i="5"/>
  <c r="A354" i="5"/>
  <c r="D354" i="5"/>
  <c r="I354" i="5" s="1"/>
  <c r="E354" i="5"/>
  <c r="F354" i="5"/>
  <c r="G354" i="5"/>
  <c r="H354" i="5"/>
  <c r="A355" i="5"/>
  <c r="D355" i="5"/>
  <c r="I355" i="5" s="1"/>
  <c r="E355" i="5"/>
  <c r="F355" i="5"/>
  <c r="G355" i="5"/>
  <c r="H355" i="5"/>
  <c r="A356" i="5"/>
  <c r="D356" i="5"/>
  <c r="I356" i="5" s="1"/>
  <c r="E356" i="5"/>
  <c r="F356" i="5"/>
  <c r="G356" i="5"/>
  <c r="H356" i="5"/>
  <c r="A357" i="5"/>
  <c r="D357" i="5"/>
  <c r="I357" i="5" s="1"/>
  <c r="E357" i="5"/>
  <c r="F357" i="5"/>
  <c r="G357" i="5"/>
  <c r="H357" i="5"/>
  <c r="A358" i="5"/>
  <c r="D358" i="5"/>
  <c r="I358" i="5" s="1"/>
  <c r="E358" i="5"/>
  <c r="F358" i="5"/>
  <c r="G358" i="5"/>
  <c r="H358" i="5"/>
  <c r="A359" i="5"/>
  <c r="D359" i="5"/>
  <c r="I359" i="5" s="1"/>
  <c r="E359" i="5"/>
  <c r="F359" i="5"/>
  <c r="G359" i="5"/>
  <c r="H359" i="5"/>
  <c r="A360" i="5"/>
  <c r="D360" i="5"/>
  <c r="I360" i="5" s="1"/>
  <c r="E360" i="5"/>
  <c r="F360" i="5"/>
  <c r="G360" i="5"/>
  <c r="H360" i="5"/>
  <c r="A361" i="5"/>
  <c r="D361" i="5"/>
  <c r="I361" i="5" s="1"/>
  <c r="E361" i="5"/>
  <c r="F361" i="5"/>
  <c r="G361" i="5"/>
  <c r="H361" i="5"/>
  <c r="A362" i="5"/>
  <c r="D362" i="5"/>
  <c r="I362" i="5" s="1"/>
  <c r="E362" i="5"/>
  <c r="F362" i="5"/>
  <c r="G362" i="5"/>
  <c r="H362" i="5"/>
  <c r="A363" i="5"/>
  <c r="D363" i="5"/>
  <c r="I363" i="5" s="1"/>
  <c r="E363" i="5"/>
  <c r="F363" i="5"/>
  <c r="G363" i="5"/>
  <c r="H363" i="5"/>
  <c r="A364" i="5"/>
  <c r="D364" i="5"/>
  <c r="I364" i="5" s="1"/>
  <c r="E364" i="5"/>
  <c r="F364" i="5"/>
  <c r="G364" i="5"/>
  <c r="H364" i="5"/>
  <c r="A365" i="5"/>
  <c r="D365" i="5"/>
  <c r="I365" i="5" s="1"/>
  <c r="E365" i="5"/>
  <c r="F365" i="5"/>
  <c r="G365" i="5"/>
  <c r="H365" i="5"/>
  <c r="A366" i="5"/>
  <c r="D366" i="5"/>
  <c r="I366" i="5" s="1"/>
  <c r="E366" i="5"/>
  <c r="F366" i="5"/>
  <c r="G366" i="5"/>
  <c r="H366" i="5"/>
  <c r="A367" i="5"/>
  <c r="D367" i="5"/>
  <c r="I367" i="5" s="1"/>
  <c r="E367" i="5"/>
  <c r="F367" i="5"/>
  <c r="G367" i="5"/>
  <c r="H367" i="5"/>
  <c r="A368" i="5"/>
  <c r="D368" i="5"/>
  <c r="I368" i="5" s="1"/>
  <c r="E368" i="5"/>
  <c r="F368" i="5"/>
  <c r="G368" i="5"/>
  <c r="H368" i="5"/>
  <c r="A369" i="5"/>
  <c r="D369" i="5"/>
  <c r="I369" i="5" s="1"/>
  <c r="E369" i="5"/>
  <c r="F369" i="5"/>
  <c r="G369" i="5"/>
  <c r="H369" i="5"/>
  <c r="A370" i="5"/>
  <c r="D370" i="5"/>
  <c r="I370" i="5" s="1"/>
  <c r="E370" i="5"/>
  <c r="F370" i="5"/>
  <c r="G370" i="5"/>
  <c r="H370" i="5"/>
  <c r="A371" i="5"/>
  <c r="D371" i="5"/>
  <c r="I371" i="5" s="1"/>
  <c r="E371" i="5"/>
  <c r="F371" i="5"/>
  <c r="G371" i="5"/>
  <c r="H371" i="5"/>
  <c r="A372" i="5"/>
  <c r="D372" i="5"/>
  <c r="I372" i="5" s="1"/>
  <c r="E372" i="5"/>
  <c r="F372" i="5"/>
  <c r="G372" i="5"/>
  <c r="H372" i="5"/>
  <c r="A373" i="5"/>
  <c r="D373" i="5"/>
  <c r="I373" i="5" s="1"/>
  <c r="E373" i="5"/>
  <c r="F373" i="5"/>
  <c r="G373" i="5"/>
  <c r="H373" i="5"/>
  <c r="A374" i="5"/>
  <c r="D374" i="5"/>
  <c r="I374" i="5" s="1"/>
  <c r="E374" i="5"/>
  <c r="F374" i="5"/>
  <c r="G374" i="5"/>
  <c r="H374" i="5"/>
  <c r="A375" i="5"/>
  <c r="D375" i="5"/>
  <c r="I375" i="5" s="1"/>
  <c r="E375" i="5"/>
  <c r="F375" i="5"/>
  <c r="G375" i="5"/>
  <c r="H375" i="5"/>
  <c r="A376" i="5"/>
  <c r="D376" i="5"/>
  <c r="I376" i="5" s="1"/>
  <c r="E376" i="5"/>
  <c r="F376" i="5"/>
  <c r="G376" i="5"/>
  <c r="H376" i="5"/>
  <c r="A377" i="5"/>
  <c r="D377" i="5"/>
  <c r="I377" i="5" s="1"/>
  <c r="E377" i="5"/>
  <c r="F377" i="5"/>
  <c r="G377" i="5"/>
  <c r="H377" i="5"/>
  <c r="A378" i="5"/>
  <c r="D378" i="5"/>
  <c r="I378" i="5" s="1"/>
  <c r="E378" i="5"/>
  <c r="F378" i="5"/>
  <c r="G378" i="5"/>
  <c r="H378" i="5"/>
  <c r="A379" i="5"/>
  <c r="D379" i="5"/>
  <c r="I379" i="5" s="1"/>
  <c r="E379" i="5"/>
  <c r="F379" i="5"/>
  <c r="G379" i="5"/>
  <c r="H379" i="5"/>
  <c r="A380" i="5"/>
  <c r="D380" i="5"/>
  <c r="I380" i="5" s="1"/>
  <c r="E380" i="5"/>
  <c r="F380" i="5"/>
  <c r="G380" i="5"/>
  <c r="H380" i="5"/>
  <c r="A381" i="5"/>
  <c r="D381" i="5"/>
  <c r="I381" i="5" s="1"/>
  <c r="E381" i="5"/>
  <c r="F381" i="5"/>
  <c r="G381" i="5"/>
  <c r="H381" i="5"/>
  <c r="A382" i="5"/>
  <c r="D382" i="5"/>
  <c r="I382" i="5" s="1"/>
  <c r="E382" i="5"/>
  <c r="F382" i="5"/>
  <c r="G382" i="5"/>
  <c r="H382" i="5"/>
  <c r="A383" i="5"/>
  <c r="D383" i="5"/>
  <c r="I383" i="5" s="1"/>
  <c r="E383" i="5"/>
  <c r="F383" i="5"/>
  <c r="G383" i="5"/>
  <c r="H383" i="5"/>
  <c r="A384" i="5"/>
  <c r="D384" i="5"/>
  <c r="I384" i="5" s="1"/>
  <c r="E384" i="5"/>
  <c r="F384" i="5"/>
  <c r="G384" i="5"/>
  <c r="H384" i="5"/>
  <c r="A385" i="5"/>
  <c r="D385" i="5"/>
  <c r="I385" i="5" s="1"/>
  <c r="E385" i="5"/>
  <c r="F385" i="5"/>
  <c r="G385" i="5"/>
  <c r="H385" i="5"/>
  <c r="A386" i="5"/>
  <c r="D386" i="5"/>
  <c r="I386" i="5" s="1"/>
  <c r="E386" i="5"/>
  <c r="F386" i="5"/>
  <c r="G386" i="5"/>
  <c r="H386" i="5"/>
  <c r="A387" i="5"/>
  <c r="D387" i="5"/>
  <c r="I387" i="5" s="1"/>
  <c r="E387" i="5"/>
  <c r="F387" i="5"/>
  <c r="G387" i="5"/>
  <c r="H387" i="5"/>
  <c r="A388" i="5"/>
  <c r="D388" i="5"/>
  <c r="I388" i="5" s="1"/>
  <c r="E388" i="5"/>
  <c r="F388" i="5"/>
  <c r="G388" i="5"/>
  <c r="H388" i="5"/>
  <c r="A389" i="5"/>
  <c r="D389" i="5"/>
  <c r="I389" i="5" s="1"/>
  <c r="E389" i="5"/>
  <c r="F389" i="5"/>
  <c r="G389" i="5"/>
  <c r="H389" i="5"/>
  <c r="A390" i="5"/>
  <c r="D390" i="5"/>
  <c r="I390" i="5" s="1"/>
  <c r="E390" i="5"/>
  <c r="F390" i="5"/>
  <c r="G390" i="5"/>
  <c r="H390" i="5"/>
  <c r="A391" i="5"/>
  <c r="D391" i="5"/>
  <c r="I391" i="5" s="1"/>
  <c r="E391" i="5"/>
  <c r="F391" i="5"/>
  <c r="G391" i="5"/>
  <c r="H391" i="5"/>
  <c r="A392" i="5"/>
  <c r="D392" i="5"/>
  <c r="I392" i="5" s="1"/>
  <c r="E392" i="5"/>
  <c r="F392" i="5"/>
  <c r="G392" i="5"/>
  <c r="H392" i="5"/>
  <c r="A393" i="5"/>
  <c r="D393" i="5"/>
  <c r="I393" i="5" s="1"/>
  <c r="E393" i="5"/>
  <c r="F393" i="5"/>
  <c r="G393" i="5"/>
  <c r="H393" i="5"/>
  <c r="A394" i="5"/>
  <c r="D394" i="5"/>
  <c r="I394" i="5" s="1"/>
  <c r="E394" i="5"/>
  <c r="F394" i="5"/>
  <c r="G394" i="5"/>
  <c r="H394" i="5"/>
  <c r="A395" i="5"/>
  <c r="D395" i="5"/>
  <c r="I395" i="5" s="1"/>
  <c r="E395" i="5"/>
  <c r="F395" i="5"/>
  <c r="G395" i="5"/>
  <c r="H395" i="5"/>
  <c r="A396" i="5"/>
  <c r="D396" i="5"/>
  <c r="I396" i="5" s="1"/>
  <c r="E396" i="5"/>
  <c r="F396" i="5"/>
  <c r="G396" i="5"/>
  <c r="H396" i="5"/>
  <c r="A397" i="5"/>
  <c r="D397" i="5"/>
  <c r="I397" i="5" s="1"/>
  <c r="E397" i="5"/>
  <c r="F397" i="5"/>
  <c r="G397" i="5"/>
  <c r="H397" i="5"/>
  <c r="A398" i="5"/>
  <c r="D398" i="5"/>
  <c r="I398" i="5" s="1"/>
  <c r="E398" i="5"/>
  <c r="F398" i="5"/>
  <c r="G398" i="5"/>
  <c r="H398" i="5"/>
  <c r="A399" i="5"/>
  <c r="D399" i="5"/>
  <c r="I399" i="5" s="1"/>
  <c r="E399" i="5"/>
  <c r="F399" i="5"/>
  <c r="G399" i="5"/>
  <c r="H399" i="5"/>
  <c r="A400" i="5"/>
  <c r="D400" i="5"/>
  <c r="I400" i="5" s="1"/>
  <c r="E400" i="5"/>
  <c r="F400" i="5"/>
  <c r="G400" i="5"/>
  <c r="H400" i="5"/>
  <c r="A401" i="5"/>
  <c r="D401" i="5"/>
  <c r="I401" i="5" s="1"/>
  <c r="E401" i="5"/>
  <c r="F401" i="5"/>
  <c r="G401" i="5"/>
  <c r="H401" i="5"/>
  <c r="A402" i="5"/>
  <c r="D402" i="5"/>
  <c r="I402" i="5" s="1"/>
  <c r="E402" i="5"/>
  <c r="F402" i="5"/>
  <c r="G402" i="5"/>
  <c r="H402" i="5"/>
  <c r="A403" i="5"/>
  <c r="D403" i="5"/>
  <c r="I403" i="5" s="1"/>
  <c r="E403" i="5"/>
  <c r="F403" i="5"/>
  <c r="G403" i="5"/>
  <c r="H403" i="5"/>
  <c r="A404" i="5"/>
  <c r="D404" i="5"/>
  <c r="I404" i="5" s="1"/>
  <c r="E404" i="5"/>
  <c r="F404" i="5"/>
  <c r="G404" i="5"/>
  <c r="H404" i="5"/>
  <c r="A405" i="5"/>
  <c r="D405" i="5"/>
  <c r="I405" i="5" s="1"/>
  <c r="E405" i="5"/>
  <c r="F405" i="5"/>
  <c r="G405" i="5"/>
  <c r="H405" i="5"/>
  <c r="A406" i="5"/>
  <c r="D406" i="5"/>
  <c r="I406" i="5" s="1"/>
  <c r="E406" i="5"/>
  <c r="F406" i="5"/>
  <c r="G406" i="5"/>
  <c r="H406" i="5"/>
  <c r="A407" i="5"/>
  <c r="D407" i="5"/>
  <c r="I407" i="5" s="1"/>
  <c r="E407" i="5"/>
  <c r="F407" i="5"/>
  <c r="G407" i="5"/>
  <c r="H407" i="5"/>
  <c r="A408" i="5"/>
  <c r="D408" i="5"/>
  <c r="I408" i="5" s="1"/>
  <c r="E408" i="5"/>
  <c r="F408" i="5"/>
  <c r="G408" i="5"/>
  <c r="H408" i="5"/>
  <c r="A409" i="5"/>
  <c r="D409" i="5"/>
  <c r="I409" i="5" s="1"/>
  <c r="E409" i="5"/>
  <c r="F409" i="5"/>
  <c r="G409" i="5"/>
  <c r="H409" i="5"/>
  <c r="A410" i="5"/>
  <c r="D410" i="5"/>
  <c r="I410" i="5" s="1"/>
  <c r="E410" i="5"/>
  <c r="F410" i="5"/>
  <c r="G410" i="5"/>
  <c r="H410" i="5"/>
  <c r="A411" i="5"/>
  <c r="D411" i="5"/>
  <c r="I411" i="5" s="1"/>
  <c r="E411" i="5"/>
  <c r="F411" i="5"/>
  <c r="G411" i="5"/>
  <c r="H411" i="5"/>
  <c r="A412" i="5"/>
  <c r="D412" i="5"/>
  <c r="I412" i="5" s="1"/>
  <c r="E412" i="5"/>
  <c r="F412" i="5"/>
  <c r="G412" i="5"/>
  <c r="H412" i="5"/>
  <c r="A413" i="5"/>
  <c r="D413" i="5"/>
  <c r="I413" i="5" s="1"/>
  <c r="E413" i="5"/>
  <c r="F413" i="5"/>
  <c r="G413" i="5"/>
  <c r="H413" i="5"/>
  <c r="A414" i="5"/>
  <c r="D414" i="5"/>
  <c r="I414" i="5" s="1"/>
  <c r="E414" i="5"/>
  <c r="F414" i="5"/>
  <c r="G414" i="5"/>
  <c r="H414" i="5"/>
  <c r="A415" i="5"/>
  <c r="D415" i="5"/>
  <c r="I415" i="5" s="1"/>
  <c r="E415" i="5"/>
  <c r="F415" i="5"/>
  <c r="G415" i="5"/>
  <c r="H415" i="5"/>
  <c r="A416" i="5"/>
  <c r="D416" i="5"/>
  <c r="I416" i="5" s="1"/>
  <c r="E416" i="5"/>
  <c r="F416" i="5"/>
  <c r="G416" i="5"/>
  <c r="H416" i="5"/>
  <c r="A417" i="5"/>
  <c r="D417" i="5"/>
  <c r="I417" i="5" s="1"/>
  <c r="E417" i="5"/>
  <c r="F417" i="5"/>
  <c r="G417" i="5"/>
  <c r="H417" i="5"/>
  <c r="A418" i="5"/>
  <c r="D418" i="5"/>
  <c r="I418" i="5" s="1"/>
  <c r="E418" i="5"/>
  <c r="F418" i="5"/>
  <c r="G418" i="5"/>
  <c r="H418" i="5"/>
  <c r="A419" i="5"/>
  <c r="D419" i="5"/>
  <c r="I419" i="5" s="1"/>
  <c r="E419" i="5"/>
  <c r="F419" i="5"/>
  <c r="G419" i="5"/>
  <c r="H419" i="5"/>
  <c r="A420" i="5"/>
  <c r="D420" i="5"/>
  <c r="I420" i="5" s="1"/>
  <c r="E420" i="5"/>
  <c r="F420" i="5"/>
  <c r="G420" i="5"/>
  <c r="H420" i="5"/>
  <c r="A421" i="5"/>
  <c r="D421" i="5"/>
  <c r="I421" i="5" s="1"/>
  <c r="E421" i="5"/>
  <c r="F421" i="5"/>
  <c r="G421" i="5"/>
  <c r="H421" i="5"/>
  <c r="A422" i="5"/>
  <c r="D422" i="5"/>
  <c r="I422" i="5" s="1"/>
  <c r="E422" i="5"/>
  <c r="F422" i="5"/>
  <c r="G422" i="5"/>
  <c r="H422" i="5"/>
  <c r="A423" i="5"/>
  <c r="D423" i="5"/>
  <c r="I423" i="5" s="1"/>
  <c r="E423" i="5"/>
  <c r="F423" i="5"/>
  <c r="G423" i="5"/>
  <c r="H423" i="5"/>
  <c r="A424" i="5"/>
  <c r="D424" i="5"/>
  <c r="I424" i="5" s="1"/>
  <c r="E424" i="5"/>
  <c r="F424" i="5"/>
  <c r="G424" i="5"/>
  <c r="H424" i="5"/>
  <c r="A425" i="5"/>
  <c r="D425" i="5"/>
  <c r="I425" i="5" s="1"/>
  <c r="E425" i="5"/>
  <c r="F425" i="5"/>
  <c r="G425" i="5"/>
  <c r="H425" i="5"/>
  <c r="A426" i="5"/>
  <c r="D426" i="5"/>
  <c r="I426" i="5" s="1"/>
  <c r="E426" i="5"/>
  <c r="F426" i="5"/>
  <c r="G426" i="5"/>
  <c r="H426" i="5"/>
  <c r="A427" i="5"/>
  <c r="D427" i="5"/>
  <c r="I427" i="5" s="1"/>
  <c r="E427" i="5"/>
  <c r="F427" i="5"/>
  <c r="G427" i="5"/>
  <c r="H427" i="5"/>
  <c r="A428" i="5"/>
  <c r="D428" i="5"/>
  <c r="I428" i="5" s="1"/>
  <c r="E428" i="5"/>
  <c r="F428" i="5"/>
  <c r="G428" i="5"/>
  <c r="H428" i="5"/>
  <c r="A429" i="5"/>
  <c r="D429" i="5"/>
  <c r="I429" i="5" s="1"/>
  <c r="E429" i="5"/>
  <c r="F429" i="5"/>
  <c r="G429" i="5"/>
  <c r="H429" i="5"/>
  <c r="A430" i="5"/>
  <c r="D430" i="5"/>
  <c r="I430" i="5" s="1"/>
  <c r="E430" i="5"/>
  <c r="F430" i="5"/>
  <c r="G430" i="5"/>
  <c r="H430" i="5"/>
  <c r="A431" i="5"/>
  <c r="D431" i="5"/>
  <c r="I431" i="5" s="1"/>
  <c r="E431" i="5"/>
  <c r="F431" i="5"/>
  <c r="G431" i="5"/>
  <c r="H431" i="5"/>
  <c r="A432" i="5"/>
  <c r="D432" i="5"/>
  <c r="I432" i="5" s="1"/>
  <c r="E432" i="5"/>
  <c r="F432" i="5"/>
  <c r="G432" i="5"/>
  <c r="H432" i="5"/>
  <c r="A433" i="5"/>
  <c r="D433" i="5"/>
  <c r="I433" i="5" s="1"/>
  <c r="E433" i="5"/>
  <c r="F433" i="5"/>
  <c r="G433" i="5"/>
  <c r="H433" i="5"/>
  <c r="A434" i="5"/>
  <c r="D434" i="5"/>
  <c r="I434" i="5" s="1"/>
  <c r="E434" i="5"/>
  <c r="F434" i="5"/>
  <c r="G434" i="5"/>
  <c r="H434" i="5"/>
  <c r="A435" i="5"/>
  <c r="D435" i="5"/>
  <c r="I435" i="5" s="1"/>
  <c r="E435" i="5"/>
  <c r="F435" i="5"/>
  <c r="G435" i="5"/>
  <c r="H435" i="5"/>
  <c r="A436" i="5"/>
  <c r="D436" i="5"/>
  <c r="I436" i="5" s="1"/>
  <c r="E436" i="5"/>
  <c r="F436" i="5"/>
  <c r="G436" i="5"/>
  <c r="H436" i="5"/>
  <c r="A437" i="5"/>
  <c r="D437" i="5"/>
  <c r="I437" i="5" s="1"/>
  <c r="E437" i="5"/>
  <c r="F437" i="5"/>
  <c r="G437" i="5"/>
  <c r="H437" i="5"/>
  <c r="A438" i="5"/>
  <c r="D438" i="5"/>
  <c r="I438" i="5" s="1"/>
  <c r="E438" i="5"/>
  <c r="F438" i="5"/>
  <c r="G438" i="5"/>
  <c r="H438" i="5"/>
  <c r="A439" i="5"/>
  <c r="D439" i="5"/>
  <c r="I439" i="5" s="1"/>
  <c r="E439" i="5"/>
  <c r="F439" i="5"/>
  <c r="G439" i="5"/>
  <c r="H439" i="5"/>
  <c r="A440" i="5"/>
  <c r="D440" i="5"/>
  <c r="I440" i="5" s="1"/>
  <c r="E440" i="5"/>
  <c r="F440" i="5"/>
  <c r="G440" i="5"/>
  <c r="H440" i="5"/>
  <c r="A441" i="5"/>
  <c r="D441" i="5"/>
  <c r="I441" i="5" s="1"/>
  <c r="E441" i="5"/>
  <c r="F441" i="5"/>
  <c r="G441" i="5"/>
  <c r="H441" i="5"/>
  <c r="A442" i="5"/>
  <c r="D442" i="5"/>
  <c r="I442" i="5" s="1"/>
  <c r="E442" i="5"/>
  <c r="F442" i="5"/>
  <c r="G442" i="5"/>
  <c r="H442" i="5"/>
  <c r="A443" i="5"/>
  <c r="D443" i="5"/>
  <c r="I443" i="5" s="1"/>
  <c r="E443" i="5"/>
  <c r="F443" i="5"/>
  <c r="G443" i="5"/>
  <c r="H443" i="5"/>
  <c r="A444" i="5"/>
  <c r="D444" i="5"/>
  <c r="I444" i="5" s="1"/>
  <c r="E444" i="5"/>
  <c r="F444" i="5"/>
  <c r="G444" i="5"/>
  <c r="H444" i="5"/>
  <c r="A445" i="5"/>
  <c r="D445" i="5"/>
  <c r="I445" i="5" s="1"/>
  <c r="E445" i="5"/>
  <c r="F445" i="5"/>
  <c r="G445" i="5"/>
  <c r="H445" i="5"/>
  <c r="A446" i="5"/>
  <c r="D446" i="5"/>
  <c r="I446" i="5" s="1"/>
  <c r="E446" i="5"/>
  <c r="F446" i="5"/>
  <c r="G446" i="5"/>
  <c r="H446" i="5"/>
  <c r="A447" i="5"/>
  <c r="D447" i="5"/>
  <c r="I447" i="5" s="1"/>
  <c r="E447" i="5"/>
  <c r="F447" i="5"/>
  <c r="G447" i="5"/>
  <c r="H447" i="5"/>
  <c r="A448" i="5"/>
  <c r="D448" i="5"/>
  <c r="I448" i="5" s="1"/>
  <c r="E448" i="5"/>
  <c r="F448" i="5"/>
  <c r="G448" i="5"/>
  <c r="H448" i="5"/>
  <c r="A449" i="5"/>
  <c r="D449" i="5"/>
  <c r="I449" i="5" s="1"/>
  <c r="E449" i="5"/>
  <c r="F449" i="5"/>
  <c r="G449" i="5"/>
  <c r="H449" i="5"/>
  <c r="A450" i="5"/>
  <c r="D450" i="5"/>
  <c r="I450" i="5" s="1"/>
  <c r="E450" i="5"/>
  <c r="F450" i="5"/>
  <c r="G450" i="5"/>
  <c r="H450" i="5"/>
  <c r="A451" i="5"/>
  <c r="D451" i="5"/>
  <c r="I451" i="5" s="1"/>
  <c r="E451" i="5"/>
  <c r="F451" i="5"/>
  <c r="G451" i="5"/>
  <c r="H451" i="5"/>
  <c r="A452" i="5"/>
  <c r="D452" i="5"/>
  <c r="I452" i="5" s="1"/>
  <c r="E452" i="5"/>
  <c r="F452" i="5"/>
  <c r="G452" i="5"/>
  <c r="H452" i="5"/>
  <c r="A453" i="5"/>
  <c r="D453" i="5"/>
  <c r="I453" i="5" s="1"/>
  <c r="E453" i="5"/>
  <c r="F453" i="5"/>
  <c r="G453" i="5"/>
  <c r="H453" i="5"/>
  <c r="A454" i="5"/>
  <c r="D454" i="5"/>
  <c r="I454" i="5" s="1"/>
  <c r="E454" i="5"/>
  <c r="F454" i="5"/>
  <c r="G454" i="5"/>
  <c r="H454" i="5"/>
  <c r="A455" i="5"/>
  <c r="D455" i="5"/>
  <c r="I455" i="5" s="1"/>
  <c r="E455" i="5"/>
  <c r="F455" i="5"/>
  <c r="G455" i="5"/>
  <c r="H455" i="5"/>
  <c r="A456" i="5"/>
  <c r="D456" i="5"/>
  <c r="I456" i="5" s="1"/>
  <c r="E456" i="5"/>
  <c r="F456" i="5"/>
  <c r="G456" i="5"/>
  <c r="H456" i="5"/>
  <c r="A457" i="5"/>
  <c r="D457" i="5"/>
  <c r="I457" i="5" s="1"/>
  <c r="E457" i="5"/>
  <c r="F457" i="5"/>
  <c r="G457" i="5"/>
  <c r="H457" i="5"/>
  <c r="A458" i="5"/>
  <c r="D458" i="5"/>
  <c r="I458" i="5" s="1"/>
  <c r="E458" i="5"/>
  <c r="F458" i="5"/>
  <c r="G458" i="5"/>
  <c r="H458" i="5"/>
  <c r="A459" i="5"/>
  <c r="D459" i="5"/>
  <c r="I459" i="5" s="1"/>
  <c r="E459" i="5"/>
  <c r="F459" i="5"/>
  <c r="G459" i="5"/>
  <c r="H459" i="5"/>
  <c r="A460" i="5"/>
  <c r="D460" i="5"/>
  <c r="I460" i="5" s="1"/>
  <c r="E460" i="5"/>
  <c r="F460" i="5"/>
  <c r="G460" i="5"/>
  <c r="H460" i="5"/>
  <c r="A461" i="5"/>
  <c r="D461" i="5"/>
  <c r="I461" i="5" s="1"/>
  <c r="E461" i="5"/>
  <c r="F461" i="5"/>
  <c r="G461" i="5"/>
  <c r="H461" i="5"/>
  <c r="A462" i="5"/>
  <c r="D462" i="5"/>
  <c r="I462" i="5" s="1"/>
  <c r="E462" i="5"/>
  <c r="F462" i="5"/>
  <c r="G462" i="5"/>
  <c r="H462" i="5"/>
  <c r="A463" i="5"/>
  <c r="D463" i="5"/>
  <c r="I463" i="5" s="1"/>
  <c r="E463" i="5"/>
  <c r="F463" i="5"/>
  <c r="G463" i="5"/>
  <c r="H463" i="5"/>
  <c r="A464" i="5"/>
  <c r="D464" i="5"/>
  <c r="I464" i="5" s="1"/>
  <c r="E464" i="5"/>
  <c r="F464" i="5"/>
  <c r="G464" i="5"/>
  <c r="H464" i="5"/>
  <c r="A465" i="5"/>
  <c r="D465" i="5"/>
  <c r="I465" i="5" s="1"/>
  <c r="E465" i="5"/>
  <c r="F465" i="5"/>
  <c r="G465" i="5"/>
  <c r="H465" i="5"/>
  <c r="A466" i="5"/>
  <c r="D466" i="5"/>
  <c r="I466" i="5" s="1"/>
  <c r="E466" i="5"/>
  <c r="F466" i="5"/>
  <c r="G466" i="5"/>
  <c r="H466" i="5"/>
  <c r="A467" i="5"/>
  <c r="D467" i="5"/>
  <c r="I467" i="5" s="1"/>
  <c r="E467" i="5"/>
  <c r="F467" i="5"/>
  <c r="G467" i="5"/>
  <c r="H467" i="5"/>
  <c r="A468" i="5"/>
  <c r="D468" i="5"/>
  <c r="I468" i="5" s="1"/>
  <c r="E468" i="5"/>
  <c r="F468" i="5"/>
  <c r="G468" i="5"/>
  <c r="H468" i="5"/>
  <c r="A469" i="5"/>
  <c r="D469" i="5"/>
  <c r="I469" i="5" s="1"/>
  <c r="E469" i="5"/>
  <c r="F469" i="5"/>
  <c r="G469" i="5"/>
  <c r="H469" i="5"/>
  <c r="A470" i="5"/>
  <c r="D470" i="5"/>
  <c r="I470" i="5" s="1"/>
  <c r="E470" i="5"/>
  <c r="F470" i="5"/>
  <c r="G470" i="5"/>
  <c r="H470" i="5"/>
  <c r="A471" i="5"/>
  <c r="D471" i="5"/>
  <c r="I471" i="5" s="1"/>
  <c r="E471" i="5"/>
  <c r="F471" i="5"/>
  <c r="G471" i="5"/>
  <c r="H471" i="5"/>
  <c r="A472" i="5"/>
  <c r="D472" i="5"/>
  <c r="I472" i="5" s="1"/>
  <c r="E472" i="5"/>
  <c r="F472" i="5"/>
  <c r="G472" i="5"/>
  <c r="H472" i="5"/>
  <c r="A473" i="5"/>
  <c r="D473" i="5"/>
  <c r="I473" i="5" s="1"/>
  <c r="E473" i="5"/>
  <c r="F473" i="5"/>
  <c r="G473" i="5"/>
  <c r="H473" i="5"/>
  <c r="A474" i="5"/>
  <c r="D474" i="5"/>
  <c r="I474" i="5" s="1"/>
  <c r="E474" i="5"/>
  <c r="F474" i="5"/>
  <c r="G474" i="5"/>
  <c r="H474" i="5"/>
  <c r="A475" i="5"/>
  <c r="D475" i="5"/>
  <c r="I475" i="5" s="1"/>
  <c r="E475" i="5"/>
  <c r="F475" i="5"/>
  <c r="G475" i="5"/>
  <c r="H475" i="5"/>
  <c r="A476" i="5"/>
  <c r="D476" i="5"/>
  <c r="I476" i="5" s="1"/>
  <c r="E476" i="5"/>
  <c r="F476" i="5"/>
  <c r="G476" i="5"/>
  <c r="H476" i="5"/>
  <c r="A477" i="5"/>
  <c r="D477" i="5"/>
  <c r="I477" i="5" s="1"/>
  <c r="E477" i="5"/>
  <c r="F477" i="5"/>
  <c r="G477" i="5"/>
  <c r="H477" i="5"/>
  <c r="A478" i="5"/>
  <c r="D478" i="5"/>
  <c r="I478" i="5" s="1"/>
  <c r="E478" i="5"/>
  <c r="F478" i="5"/>
  <c r="G478" i="5"/>
  <c r="H478" i="5"/>
  <c r="A479" i="5"/>
  <c r="D479" i="5"/>
  <c r="I479" i="5" s="1"/>
  <c r="E479" i="5"/>
  <c r="F479" i="5"/>
  <c r="G479" i="5"/>
  <c r="H479" i="5"/>
  <c r="A480" i="5"/>
  <c r="D480" i="5"/>
  <c r="I480" i="5" s="1"/>
  <c r="E480" i="5"/>
  <c r="F480" i="5"/>
  <c r="G480" i="5"/>
  <c r="H480" i="5"/>
  <c r="A481" i="5"/>
  <c r="D481" i="5"/>
  <c r="I481" i="5" s="1"/>
  <c r="E481" i="5"/>
  <c r="F481" i="5"/>
  <c r="G481" i="5"/>
  <c r="H481" i="5"/>
  <c r="A482" i="5"/>
  <c r="D482" i="5"/>
  <c r="I482" i="5" s="1"/>
  <c r="E482" i="5"/>
  <c r="F482" i="5"/>
  <c r="G482" i="5"/>
  <c r="H482" i="5"/>
  <c r="A483" i="5"/>
  <c r="D483" i="5"/>
  <c r="I483" i="5" s="1"/>
  <c r="E483" i="5"/>
  <c r="F483" i="5"/>
  <c r="G483" i="5"/>
  <c r="H483" i="5"/>
  <c r="A484" i="5"/>
  <c r="D484" i="5"/>
  <c r="I484" i="5" s="1"/>
  <c r="E484" i="5"/>
  <c r="F484" i="5"/>
  <c r="G484" i="5"/>
  <c r="H484" i="5"/>
  <c r="A485" i="5"/>
  <c r="D485" i="5"/>
  <c r="I485" i="5" s="1"/>
  <c r="E485" i="5"/>
  <c r="F485" i="5"/>
  <c r="G485" i="5"/>
  <c r="H485" i="5"/>
  <c r="A486" i="5"/>
  <c r="D486" i="5"/>
  <c r="I486" i="5" s="1"/>
  <c r="E486" i="5"/>
  <c r="F486" i="5"/>
  <c r="G486" i="5"/>
  <c r="H486" i="5"/>
  <c r="A487" i="5"/>
  <c r="D487" i="5"/>
  <c r="I487" i="5" s="1"/>
  <c r="E487" i="5"/>
  <c r="F487" i="5"/>
  <c r="G487" i="5"/>
  <c r="H487" i="5"/>
  <c r="A488" i="5"/>
  <c r="D488" i="5"/>
  <c r="I488" i="5" s="1"/>
  <c r="E488" i="5"/>
  <c r="F488" i="5"/>
  <c r="G488" i="5"/>
  <c r="H488" i="5"/>
  <c r="A489" i="5"/>
  <c r="D489" i="5"/>
  <c r="I489" i="5" s="1"/>
  <c r="E489" i="5"/>
  <c r="F489" i="5"/>
  <c r="G489" i="5"/>
  <c r="H489" i="5"/>
  <c r="A490" i="5"/>
  <c r="D490" i="5"/>
  <c r="I490" i="5" s="1"/>
  <c r="E490" i="5"/>
  <c r="F490" i="5"/>
  <c r="G490" i="5"/>
  <c r="H490" i="5"/>
  <c r="A491" i="5"/>
  <c r="D491" i="5"/>
  <c r="I491" i="5" s="1"/>
  <c r="E491" i="5"/>
  <c r="F491" i="5"/>
  <c r="G491" i="5"/>
  <c r="H491" i="5"/>
  <c r="A492" i="5"/>
  <c r="D492" i="5"/>
  <c r="I492" i="5" s="1"/>
  <c r="E492" i="5"/>
  <c r="F492" i="5"/>
  <c r="G492" i="5"/>
  <c r="H492" i="5"/>
  <c r="A493" i="5"/>
  <c r="D493" i="5"/>
  <c r="I493" i="5" s="1"/>
  <c r="E493" i="5"/>
  <c r="F493" i="5"/>
  <c r="G493" i="5"/>
  <c r="H493" i="5"/>
  <c r="A494" i="5"/>
  <c r="D494" i="5"/>
  <c r="I494" i="5" s="1"/>
  <c r="E494" i="5"/>
  <c r="F494" i="5"/>
  <c r="G494" i="5"/>
  <c r="H494" i="5"/>
  <c r="A495" i="5"/>
  <c r="D495" i="5"/>
  <c r="I495" i="5" s="1"/>
  <c r="E495" i="5"/>
  <c r="F495" i="5"/>
  <c r="G495" i="5"/>
  <c r="H495" i="5"/>
  <c r="A496" i="5"/>
  <c r="D496" i="5"/>
  <c r="I496" i="5" s="1"/>
  <c r="E496" i="5"/>
  <c r="F496" i="5"/>
  <c r="G496" i="5"/>
  <c r="H496" i="5"/>
  <c r="A497" i="5"/>
  <c r="D497" i="5"/>
  <c r="I497" i="5" s="1"/>
  <c r="E497" i="5"/>
  <c r="F497" i="5"/>
  <c r="G497" i="5"/>
  <c r="H497" i="5"/>
  <c r="A498" i="5"/>
  <c r="D498" i="5"/>
  <c r="I498" i="5" s="1"/>
  <c r="E498" i="5"/>
  <c r="F498" i="5"/>
  <c r="G498" i="5"/>
  <c r="H498" i="5"/>
  <c r="A499" i="5"/>
  <c r="D499" i="5"/>
  <c r="I499" i="5" s="1"/>
  <c r="E499" i="5"/>
  <c r="F499" i="5"/>
  <c r="G499" i="5"/>
  <c r="H499" i="5"/>
  <c r="A500" i="5"/>
  <c r="D500" i="5"/>
  <c r="I500" i="5" s="1"/>
  <c r="E500" i="5"/>
  <c r="F500" i="5"/>
  <c r="G500" i="5"/>
  <c r="H500" i="5"/>
  <c r="A501" i="5"/>
  <c r="D501" i="5"/>
  <c r="I501" i="5" s="1"/>
  <c r="E501" i="5"/>
  <c r="F501" i="5"/>
  <c r="G501" i="5"/>
  <c r="H501" i="5"/>
  <c r="A502" i="5"/>
  <c r="D502" i="5"/>
  <c r="I502" i="5" s="1"/>
  <c r="E502" i="5"/>
  <c r="F502" i="5"/>
  <c r="G502" i="5"/>
  <c r="H502" i="5"/>
  <c r="A503" i="5"/>
  <c r="D503" i="5"/>
  <c r="I503" i="5" s="1"/>
  <c r="E503" i="5"/>
  <c r="F503" i="5"/>
  <c r="G503" i="5"/>
  <c r="H503" i="5"/>
  <c r="A504" i="5"/>
  <c r="D504" i="5"/>
  <c r="I504" i="5" s="1"/>
  <c r="E504" i="5"/>
  <c r="F504" i="5"/>
  <c r="G504" i="5"/>
  <c r="H504" i="5"/>
  <c r="A505" i="5"/>
  <c r="D505" i="5"/>
  <c r="I505" i="5" s="1"/>
  <c r="E505" i="5"/>
  <c r="F505" i="5"/>
  <c r="G505" i="5"/>
  <c r="H505" i="5"/>
  <c r="A506" i="5"/>
  <c r="D506" i="5"/>
  <c r="I506" i="5" s="1"/>
  <c r="E506" i="5"/>
  <c r="F506" i="5"/>
  <c r="G506" i="5"/>
  <c r="H506" i="5"/>
  <c r="A507" i="5"/>
  <c r="D507" i="5"/>
  <c r="E507" i="5"/>
  <c r="F507" i="5"/>
  <c r="G507" i="5"/>
  <c r="H507" i="5"/>
  <c r="I507" i="5"/>
  <c r="A508" i="5"/>
  <c r="D508" i="5"/>
  <c r="E508" i="5"/>
  <c r="F508" i="5"/>
  <c r="G508" i="5"/>
  <c r="H508" i="5"/>
  <c r="I508" i="5"/>
  <c r="A509" i="5"/>
  <c r="D509" i="5"/>
  <c r="E509" i="5"/>
  <c r="F509" i="5"/>
  <c r="G509" i="5"/>
  <c r="H509" i="5"/>
  <c r="I509" i="5"/>
  <c r="A510" i="5"/>
  <c r="D510" i="5"/>
  <c r="E510" i="5"/>
  <c r="F510" i="5"/>
  <c r="G510" i="5"/>
  <c r="H510" i="5"/>
  <c r="I510" i="5"/>
  <c r="A511" i="5"/>
  <c r="D511" i="5"/>
  <c r="E511" i="5"/>
  <c r="F511" i="5"/>
  <c r="G511" i="5"/>
  <c r="H511" i="5"/>
  <c r="I511" i="5"/>
  <c r="A512" i="5"/>
  <c r="D512" i="5"/>
  <c r="E512" i="5"/>
  <c r="F512" i="5"/>
  <c r="G512" i="5"/>
  <c r="H512" i="5"/>
  <c r="I512" i="5"/>
  <c r="A513" i="5"/>
  <c r="D513" i="5"/>
  <c r="E513" i="5"/>
  <c r="F513" i="5"/>
  <c r="G513" i="5"/>
  <c r="H513" i="5"/>
  <c r="I513" i="5"/>
  <c r="A514" i="5"/>
  <c r="D514" i="5"/>
  <c r="E514" i="5"/>
  <c r="F514" i="5"/>
  <c r="G514" i="5"/>
  <c r="H514" i="5"/>
  <c r="I514" i="5"/>
  <c r="A515" i="5"/>
  <c r="D515" i="5"/>
  <c r="E515" i="5"/>
  <c r="F515" i="5"/>
  <c r="G515" i="5"/>
  <c r="H515" i="5"/>
  <c r="I515" i="5"/>
  <c r="A516" i="5"/>
  <c r="D516" i="5"/>
  <c r="E516" i="5"/>
  <c r="F516" i="5"/>
  <c r="G516" i="5"/>
  <c r="H516" i="5"/>
  <c r="I516" i="5"/>
  <c r="A517" i="5"/>
  <c r="D517" i="5"/>
  <c r="E517" i="5"/>
  <c r="F517" i="5"/>
  <c r="G517" i="5"/>
  <c r="H517" i="5"/>
  <c r="I517" i="5"/>
  <c r="A518" i="5"/>
  <c r="D518" i="5"/>
  <c r="E518" i="5"/>
  <c r="F518" i="5"/>
  <c r="G518" i="5"/>
  <c r="H518" i="5"/>
  <c r="I518" i="5"/>
  <c r="A519" i="5"/>
  <c r="D519" i="5"/>
  <c r="E519" i="5"/>
  <c r="F519" i="5"/>
  <c r="G519" i="5"/>
  <c r="H519" i="5"/>
  <c r="I519" i="5"/>
  <c r="A520" i="5"/>
  <c r="D520" i="5"/>
  <c r="E520" i="5"/>
  <c r="F520" i="5"/>
  <c r="G520" i="5"/>
  <c r="H520" i="5"/>
  <c r="I520" i="5"/>
  <c r="A521" i="5"/>
  <c r="D521" i="5"/>
  <c r="E521" i="5"/>
  <c r="F521" i="5"/>
  <c r="G521" i="5"/>
  <c r="H521" i="5"/>
  <c r="I521" i="5"/>
  <c r="A522" i="5"/>
  <c r="D522" i="5"/>
  <c r="E522" i="5"/>
  <c r="F522" i="5"/>
  <c r="G522" i="5"/>
  <c r="H522" i="5"/>
  <c r="I522" i="5"/>
  <c r="A523" i="5"/>
  <c r="D523" i="5"/>
  <c r="E523" i="5"/>
  <c r="F523" i="5"/>
  <c r="G523" i="5"/>
  <c r="H523" i="5"/>
  <c r="I523" i="5"/>
  <c r="A524" i="5"/>
  <c r="D524" i="5"/>
  <c r="E524" i="5"/>
  <c r="F524" i="5"/>
  <c r="G524" i="5"/>
  <c r="H524" i="5"/>
  <c r="I524" i="5"/>
  <c r="A525" i="5"/>
  <c r="D525" i="5"/>
  <c r="E525" i="5"/>
  <c r="F525" i="5"/>
  <c r="G525" i="5"/>
  <c r="H525" i="5"/>
  <c r="I525" i="5"/>
  <c r="A526" i="5"/>
  <c r="D526" i="5"/>
  <c r="E526" i="5"/>
  <c r="F526" i="5"/>
  <c r="G526" i="5"/>
  <c r="H526" i="5"/>
  <c r="I526" i="5"/>
  <c r="A527" i="5"/>
  <c r="D527" i="5"/>
  <c r="E527" i="5"/>
  <c r="F527" i="5"/>
  <c r="G527" i="5"/>
  <c r="H527" i="5"/>
  <c r="I527" i="5"/>
  <c r="A528" i="5"/>
  <c r="D528" i="5"/>
  <c r="E528" i="5"/>
  <c r="F528" i="5"/>
  <c r="G528" i="5"/>
  <c r="H528" i="5"/>
  <c r="I528" i="5"/>
  <c r="A529" i="5"/>
  <c r="D529" i="5"/>
  <c r="E529" i="5"/>
  <c r="F529" i="5"/>
  <c r="G529" i="5"/>
  <c r="H529" i="5"/>
  <c r="I529" i="5"/>
  <c r="A530" i="5"/>
  <c r="D530" i="5"/>
  <c r="E530" i="5"/>
  <c r="F530" i="5"/>
  <c r="G530" i="5"/>
  <c r="H530" i="5"/>
  <c r="I530" i="5"/>
  <c r="A531" i="5"/>
  <c r="D531" i="5"/>
  <c r="E531" i="5"/>
  <c r="F531" i="5"/>
  <c r="G531" i="5"/>
  <c r="H531" i="5"/>
  <c r="I531" i="5"/>
  <c r="A532" i="5"/>
  <c r="D532" i="5"/>
  <c r="E532" i="5"/>
  <c r="F532" i="5"/>
  <c r="G532" i="5"/>
  <c r="H532" i="5"/>
  <c r="I532" i="5"/>
  <c r="A533" i="5"/>
  <c r="D533" i="5"/>
  <c r="E533" i="5"/>
  <c r="F533" i="5"/>
  <c r="G533" i="5"/>
  <c r="H533" i="5"/>
  <c r="I533" i="5"/>
  <c r="A534" i="5"/>
  <c r="D534" i="5"/>
  <c r="E534" i="5"/>
  <c r="F534" i="5"/>
  <c r="G534" i="5"/>
  <c r="H534" i="5"/>
  <c r="I534" i="5"/>
  <c r="A535" i="5"/>
  <c r="D535" i="5"/>
  <c r="E535" i="5"/>
  <c r="F535" i="5"/>
  <c r="G535" i="5"/>
  <c r="H535" i="5"/>
  <c r="I535" i="5"/>
  <c r="A536" i="5"/>
  <c r="D536" i="5"/>
  <c r="E536" i="5"/>
  <c r="F536" i="5"/>
  <c r="G536" i="5"/>
  <c r="H536" i="5"/>
  <c r="I536" i="5"/>
  <c r="A537" i="5"/>
  <c r="D537" i="5"/>
  <c r="E537" i="5"/>
  <c r="F537" i="5"/>
  <c r="G537" i="5"/>
  <c r="H537" i="5"/>
  <c r="I537" i="5"/>
  <c r="A538" i="5"/>
  <c r="D538" i="5"/>
  <c r="E538" i="5"/>
  <c r="F538" i="5"/>
  <c r="G538" i="5"/>
  <c r="H538" i="5"/>
  <c r="I538" i="5"/>
  <c r="A539" i="5"/>
  <c r="D539" i="5"/>
  <c r="E539" i="5"/>
  <c r="F539" i="5"/>
  <c r="G539" i="5"/>
  <c r="H539" i="5"/>
  <c r="I539" i="5"/>
  <c r="A540" i="5"/>
  <c r="D540" i="5"/>
  <c r="E540" i="5"/>
  <c r="F540" i="5"/>
  <c r="G540" i="5"/>
  <c r="H540" i="5"/>
  <c r="I540" i="5"/>
  <c r="A541" i="5"/>
  <c r="D541" i="5"/>
  <c r="E541" i="5"/>
  <c r="F541" i="5"/>
  <c r="G541" i="5"/>
  <c r="H541" i="5"/>
  <c r="I541" i="5"/>
  <c r="A542" i="5"/>
  <c r="D542" i="5"/>
  <c r="E542" i="5"/>
  <c r="F542" i="5"/>
  <c r="G542" i="5"/>
  <c r="H542" i="5"/>
  <c r="I542" i="5"/>
  <c r="A543" i="5"/>
  <c r="D543" i="5"/>
  <c r="E543" i="5"/>
  <c r="F543" i="5"/>
  <c r="G543" i="5"/>
  <c r="H543" i="5"/>
  <c r="I543" i="5"/>
  <c r="A544" i="5"/>
  <c r="D544" i="5"/>
  <c r="E544" i="5"/>
  <c r="F544" i="5"/>
  <c r="G544" i="5"/>
  <c r="H544" i="5"/>
  <c r="I544" i="5"/>
  <c r="A545" i="5"/>
  <c r="D545" i="5"/>
  <c r="E545" i="5"/>
  <c r="F545" i="5"/>
  <c r="G545" i="5"/>
  <c r="H545" i="5"/>
  <c r="I545" i="5"/>
  <c r="A546" i="5"/>
  <c r="D546" i="5"/>
  <c r="E546" i="5"/>
  <c r="F546" i="5"/>
  <c r="G546" i="5"/>
  <c r="H546" i="5"/>
  <c r="I546" i="5"/>
  <c r="A547" i="5"/>
  <c r="D547" i="5"/>
  <c r="E547" i="5"/>
  <c r="F547" i="5"/>
  <c r="G547" i="5"/>
  <c r="H547" i="5"/>
  <c r="I547" i="5"/>
  <c r="A548" i="5"/>
  <c r="D548" i="5"/>
  <c r="E548" i="5"/>
  <c r="F548" i="5"/>
  <c r="G548" i="5"/>
  <c r="H548" i="5"/>
  <c r="I548" i="5"/>
  <c r="A549" i="5"/>
  <c r="D549" i="5"/>
  <c r="E549" i="5"/>
  <c r="F549" i="5"/>
  <c r="G549" i="5"/>
  <c r="H549" i="5"/>
  <c r="I549" i="5"/>
  <c r="A550" i="5"/>
  <c r="D550" i="5"/>
  <c r="E550" i="5"/>
  <c r="F550" i="5"/>
  <c r="G550" i="5"/>
  <c r="H550" i="5"/>
  <c r="I550" i="5"/>
  <c r="A551" i="5"/>
  <c r="D551" i="5"/>
  <c r="E551" i="5"/>
  <c r="F551" i="5"/>
  <c r="G551" i="5"/>
  <c r="H551" i="5"/>
  <c r="I551" i="5"/>
  <c r="A552" i="5"/>
  <c r="D552" i="5"/>
  <c r="E552" i="5"/>
  <c r="F552" i="5"/>
  <c r="G552" i="5"/>
  <c r="H552" i="5"/>
  <c r="I552" i="5"/>
  <c r="A553" i="5"/>
  <c r="D553" i="5"/>
  <c r="E553" i="5"/>
  <c r="F553" i="5"/>
  <c r="G553" i="5"/>
  <c r="H553" i="5"/>
  <c r="I553" i="5"/>
  <c r="A554" i="5"/>
  <c r="D554" i="5"/>
  <c r="E554" i="5"/>
  <c r="F554" i="5"/>
  <c r="G554" i="5"/>
  <c r="H554" i="5"/>
  <c r="I554" i="5"/>
  <c r="A555" i="5"/>
  <c r="D555" i="5"/>
  <c r="E555" i="5"/>
  <c r="F555" i="5"/>
  <c r="G555" i="5"/>
  <c r="H555" i="5"/>
  <c r="I555" i="5"/>
  <c r="A556" i="5"/>
  <c r="D556" i="5"/>
  <c r="E556" i="5"/>
  <c r="F556" i="5"/>
  <c r="G556" i="5"/>
  <c r="H556" i="5"/>
  <c r="I556" i="5"/>
  <c r="A557" i="5"/>
  <c r="D557" i="5"/>
  <c r="E557" i="5"/>
  <c r="F557" i="5"/>
  <c r="G557" i="5"/>
  <c r="H557" i="5"/>
  <c r="I557" i="5"/>
  <c r="A558" i="5"/>
  <c r="D558" i="5"/>
  <c r="E558" i="5"/>
  <c r="F558" i="5"/>
  <c r="G558" i="5"/>
  <c r="H558" i="5"/>
  <c r="I558" i="5"/>
  <c r="A559" i="5"/>
  <c r="D559" i="5"/>
  <c r="E559" i="5"/>
  <c r="F559" i="5"/>
  <c r="G559" i="5"/>
  <c r="H559" i="5"/>
  <c r="I559" i="5"/>
  <c r="A560" i="5"/>
  <c r="D560" i="5"/>
  <c r="E560" i="5"/>
  <c r="F560" i="5"/>
  <c r="G560" i="5"/>
  <c r="H560" i="5"/>
  <c r="I560" i="5"/>
  <c r="A561" i="5"/>
  <c r="D561" i="5"/>
  <c r="E561" i="5"/>
  <c r="F561" i="5"/>
  <c r="G561" i="5"/>
  <c r="H561" i="5"/>
  <c r="I561" i="5"/>
  <c r="A562" i="5"/>
  <c r="D562" i="5"/>
  <c r="E562" i="5"/>
  <c r="F562" i="5"/>
  <c r="G562" i="5"/>
  <c r="H562" i="5"/>
  <c r="I562" i="5"/>
  <c r="A563" i="5"/>
  <c r="D563" i="5"/>
  <c r="E563" i="5"/>
  <c r="F563" i="5"/>
  <c r="G563" i="5"/>
  <c r="H563" i="5"/>
  <c r="I563" i="5"/>
  <c r="A564" i="5"/>
  <c r="D564" i="5"/>
  <c r="E564" i="5"/>
  <c r="F564" i="5"/>
  <c r="G564" i="5"/>
  <c r="H564" i="5"/>
  <c r="I564" i="5"/>
  <c r="A565" i="5"/>
  <c r="D565" i="5"/>
  <c r="E565" i="5"/>
  <c r="F565" i="5"/>
  <c r="G565" i="5"/>
  <c r="H565" i="5"/>
  <c r="I565" i="5"/>
  <c r="A566" i="5"/>
  <c r="D566" i="5"/>
  <c r="E566" i="5"/>
  <c r="F566" i="5"/>
  <c r="G566" i="5"/>
  <c r="H566" i="5"/>
  <c r="I566" i="5"/>
  <c r="A567" i="5"/>
  <c r="D567" i="5"/>
  <c r="E567" i="5"/>
  <c r="F567" i="5"/>
  <c r="G567" i="5"/>
  <c r="H567" i="5"/>
  <c r="I567" i="5"/>
  <c r="A568" i="5"/>
  <c r="D568" i="5"/>
  <c r="E568" i="5"/>
  <c r="F568" i="5"/>
  <c r="G568" i="5"/>
  <c r="H568" i="5"/>
  <c r="I568" i="5"/>
  <c r="A569" i="5"/>
  <c r="D569" i="5"/>
  <c r="E569" i="5"/>
  <c r="F569" i="5"/>
  <c r="G569" i="5"/>
  <c r="H569" i="5"/>
  <c r="I569" i="5"/>
  <c r="A570" i="5"/>
  <c r="D570" i="5"/>
  <c r="E570" i="5"/>
  <c r="F570" i="5"/>
  <c r="G570" i="5"/>
  <c r="H570" i="5"/>
  <c r="I570" i="5"/>
  <c r="A571" i="5"/>
  <c r="D571" i="5"/>
  <c r="E571" i="5"/>
  <c r="F571" i="5"/>
  <c r="G571" i="5"/>
  <c r="H571" i="5"/>
  <c r="I571" i="5"/>
  <c r="A572" i="5"/>
  <c r="D572" i="5"/>
  <c r="E572" i="5"/>
  <c r="F572" i="5"/>
  <c r="G572" i="5"/>
  <c r="H572" i="5"/>
  <c r="I572" i="5"/>
  <c r="A573" i="5"/>
  <c r="D573" i="5"/>
  <c r="E573" i="5"/>
  <c r="F573" i="5"/>
  <c r="G573" i="5"/>
  <c r="H573" i="5"/>
  <c r="I573" i="5"/>
  <c r="A574" i="5"/>
  <c r="D574" i="5"/>
  <c r="E574" i="5"/>
  <c r="F574" i="5"/>
  <c r="G574" i="5"/>
  <c r="H574" i="5"/>
  <c r="I574" i="5"/>
  <c r="A575" i="5"/>
  <c r="D575" i="5"/>
  <c r="E575" i="5"/>
  <c r="F575" i="5"/>
  <c r="G575" i="5"/>
  <c r="H575" i="5"/>
  <c r="I575" i="5"/>
  <c r="A576" i="5"/>
  <c r="D576" i="5"/>
  <c r="E576" i="5"/>
  <c r="F576" i="5"/>
  <c r="G576" i="5"/>
  <c r="H576" i="5"/>
  <c r="I576" i="5"/>
  <c r="A577" i="5"/>
  <c r="D577" i="5"/>
  <c r="E577" i="5"/>
  <c r="F577" i="5"/>
  <c r="G577" i="5"/>
  <c r="H577" i="5"/>
  <c r="I577" i="5"/>
  <c r="A578" i="5"/>
  <c r="D578" i="5"/>
  <c r="E578" i="5"/>
  <c r="F578" i="5"/>
  <c r="G578" i="5"/>
  <c r="H578" i="5"/>
  <c r="I578" i="5"/>
  <c r="A579" i="5"/>
  <c r="D579" i="5"/>
  <c r="E579" i="5"/>
  <c r="F579" i="5"/>
  <c r="G579" i="5"/>
  <c r="H579" i="5"/>
  <c r="I579" i="5"/>
  <c r="A580" i="5"/>
  <c r="D580" i="5"/>
  <c r="E580" i="5"/>
  <c r="F580" i="5"/>
  <c r="G580" i="5"/>
  <c r="H580" i="5"/>
  <c r="I580" i="5"/>
  <c r="A581" i="5"/>
  <c r="D581" i="5"/>
  <c r="E581" i="5"/>
  <c r="F581" i="5"/>
  <c r="G581" i="5"/>
  <c r="H581" i="5"/>
  <c r="I581" i="5"/>
  <c r="A582" i="5"/>
  <c r="D582" i="5"/>
  <c r="E582" i="5"/>
  <c r="F582" i="5"/>
  <c r="G582" i="5"/>
  <c r="H582" i="5"/>
  <c r="I582" i="5"/>
  <c r="A583" i="5"/>
  <c r="D583" i="5"/>
  <c r="E583" i="5"/>
  <c r="F583" i="5"/>
  <c r="G583" i="5"/>
  <c r="H583" i="5"/>
  <c r="I583" i="5"/>
  <c r="A584" i="5"/>
  <c r="D584" i="5"/>
  <c r="E584" i="5"/>
  <c r="F584" i="5"/>
  <c r="G584" i="5"/>
  <c r="H584" i="5"/>
  <c r="I584" i="5"/>
  <c r="A585" i="5"/>
  <c r="D585" i="5"/>
  <c r="E585" i="5"/>
  <c r="F585" i="5"/>
  <c r="G585" i="5"/>
  <c r="H585" i="5"/>
  <c r="I585" i="5"/>
  <c r="A586" i="5"/>
  <c r="D586" i="5"/>
  <c r="E586" i="5"/>
  <c r="F586" i="5"/>
  <c r="G586" i="5"/>
  <c r="H586" i="5"/>
  <c r="I586" i="5"/>
  <c r="A587" i="5"/>
  <c r="D587" i="5"/>
  <c r="E587" i="5"/>
  <c r="F587" i="5"/>
  <c r="G587" i="5"/>
  <c r="H587" i="5"/>
  <c r="I587" i="5"/>
  <c r="A588" i="5"/>
  <c r="D588" i="5"/>
  <c r="E588" i="5"/>
  <c r="F588" i="5"/>
  <c r="G588" i="5"/>
  <c r="H588" i="5"/>
  <c r="I588" i="5"/>
  <c r="A589" i="5"/>
  <c r="D589" i="5"/>
  <c r="E589" i="5"/>
  <c r="F589" i="5"/>
  <c r="G589" i="5"/>
  <c r="H589" i="5"/>
  <c r="I589" i="5"/>
  <c r="A590" i="5"/>
  <c r="D590" i="5"/>
  <c r="E590" i="5"/>
  <c r="F590" i="5"/>
  <c r="G590" i="5"/>
  <c r="H590" i="5"/>
  <c r="I590" i="5"/>
  <c r="A591" i="5"/>
  <c r="D591" i="5"/>
  <c r="E591" i="5"/>
  <c r="F591" i="5"/>
  <c r="G591" i="5"/>
  <c r="H591" i="5"/>
  <c r="I591" i="5"/>
  <c r="A592" i="5"/>
  <c r="D592" i="5"/>
  <c r="E592" i="5"/>
  <c r="F592" i="5"/>
  <c r="G592" i="5"/>
  <c r="H592" i="5"/>
  <c r="I592" i="5"/>
  <c r="A593" i="5"/>
  <c r="D593" i="5"/>
  <c r="E593" i="5"/>
  <c r="F593" i="5"/>
  <c r="G593" i="5"/>
  <c r="H593" i="5"/>
  <c r="I593" i="5"/>
  <c r="A594" i="5"/>
  <c r="D594" i="5"/>
  <c r="E594" i="5"/>
  <c r="F594" i="5"/>
  <c r="G594" i="5"/>
  <c r="H594" i="5"/>
  <c r="I594" i="5"/>
  <c r="A595" i="5"/>
  <c r="D595" i="5"/>
  <c r="E595" i="5"/>
  <c r="F595" i="5"/>
  <c r="G595" i="5"/>
  <c r="H595" i="5"/>
  <c r="I595" i="5"/>
  <c r="A596" i="5"/>
  <c r="D596" i="5"/>
  <c r="E596" i="5"/>
  <c r="F596" i="5"/>
  <c r="G596" i="5"/>
  <c r="H596" i="5"/>
  <c r="I596" i="5"/>
  <c r="A597" i="5"/>
  <c r="D597" i="5"/>
  <c r="E597" i="5"/>
  <c r="F597" i="5"/>
  <c r="G597" i="5"/>
  <c r="H597" i="5"/>
  <c r="I597" i="5"/>
  <c r="A598" i="5"/>
  <c r="D598" i="5"/>
  <c r="E598" i="5"/>
  <c r="F598" i="5"/>
  <c r="G598" i="5"/>
  <c r="H598" i="5"/>
  <c r="I598" i="5"/>
  <c r="A599" i="5"/>
  <c r="D599" i="5"/>
  <c r="E599" i="5"/>
  <c r="F599" i="5"/>
  <c r="G599" i="5"/>
  <c r="H599" i="5"/>
  <c r="I599" i="5"/>
  <c r="A600" i="5"/>
  <c r="D600" i="5"/>
  <c r="E600" i="5"/>
  <c r="F600" i="5"/>
  <c r="G600" i="5"/>
  <c r="H600" i="5"/>
  <c r="I600" i="5"/>
  <c r="A601" i="5"/>
  <c r="D601" i="5"/>
  <c r="E601" i="5"/>
  <c r="F601" i="5"/>
  <c r="G601" i="5"/>
  <c r="H601" i="5"/>
  <c r="I601" i="5"/>
  <c r="A602" i="5"/>
  <c r="D602" i="5"/>
  <c r="E602" i="5"/>
  <c r="F602" i="5"/>
  <c r="G602" i="5"/>
  <c r="H602" i="5"/>
  <c r="I602" i="5"/>
  <c r="A603" i="5"/>
  <c r="D603" i="5"/>
  <c r="E603" i="5"/>
  <c r="F603" i="5"/>
  <c r="G603" i="5"/>
  <c r="H603" i="5"/>
  <c r="I603" i="5"/>
  <c r="A604" i="5"/>
  <c r="D604" i="5"/>
  <c r="E604" i="5"/>
  <c r="F604" i="5"/>
  <c r="G604" i="5"/>
  <c r="H604" i="5"/>
  <c r="I604" i="5"/>
  <c r="A605" i="5"/>
  <c r="D605" i="5"/>
  <c r="E605" i="5"/>
  <c r="F605" i="5"/>
  <c r="G605" i="5"/>
  <c r="H605" i="5"/>
  <c r="I605" i="5"/>
  <c r="A606" i="5"/>
  <c r="D606" i="5"/>
  <c r="E606" i="5"/>
  <c r="F606" i="5"/>
  <c r="G606" i="5"/>
  <c r="H606" i="5"/>
  <c r="I606" i="5"/>
  <c r="A607" i="5"/>
  <c r="D607" i="5"/>
  <c r="E607" i="5"/>
  <c r="F607" i="5"/>
  <c r="G607" i="5"/>
  <c r="H607" i="5"/>
  <c r="I607" i="5"/>
  <c r="A608" i="5"/>
  <c r="D608" i="5"/>
  <c r="E608" i="5"/>
  <c r="F608" i="5"/>
  <c r="G608" i="5"/>
  <c r="H608" i="5"/>
  <c r="I608" i="5"/>
  <c r="A609" i="5"/>
  <c r="D609" i="5"/>
  <c r="E609" i="5"/>
  <c r="F609" i="5"/>
  <c r="G609" i="5"/>
  <c r="H609" i="5"/>
  <c r="I609" i="5"/>
  <c r="A610" i="5"/>
  <c r="D610" i="5"/>
  <c r="E610" i="5"/>
  <c r="F610" i="5"/>
  <c r="G610" i="5"/>
  <c r="H610" i="5"/>
  <c r="I610" i="5"/>
  <c r="A611" i="5"/>
  <c r="D611" i="5"/>
  <c r="E611" i="5"/>
  <c r="F611" i="5"/>
  <c r="G611" i="5"/>
  <c r="H611" i="5"/>
  <c r="I611" i="5"/>
  <c r="A612" i="5"/>
  <c r="D612" i="5"/>
  <c r="E612" i="5"/>
  <c r="F612" i="5"/>
  <c r="G612" i="5"/>
  <c r="H612" i="5"/>
  <c r="I612" i="5"/>
  <c r="A613" i="5"/>
  <c r="D613" i="5"/>
  <c r="E613" i="5"/>
  <c r="F613" i="5"/>
  <c r="G613" i="5"/>
  <c r="H613" i="5"/>
  <c r="I613" i="5"/>
  <c r="A614" i="5"/>
  <c r="D614" i="5"/>
  <c r="E614" i="5"/>
  <c r="F614" i="5"/>
  <c r="G614" i="5"/>
  <c r="H614" i="5"/>
  <c r="I614" i="5"/>
  <c r="A615" i="5"/>
  <c r="D615" i="5"/>
  <c r="E615" i="5"/>
  <c r="F615" i="5"/>
  <c r="G615" i="5"/>
  <c r="H615" i="5"/>
  <c r="I615" i="5"/>
  <c r="A616" i="5"/>
  <c r="D616" i="5"/>
  <c r="E616" i="5"/>
  <c r="F616" i="5"/>
  <c r="G616" i="5"/>
  <c r="H616" i="5"/>
  <c r="I616" i="5"/>
  <c r="A617" i="5"/>
  <c r="D617" i="5"/>
  <c r="E617" i="5"/>
  <c r="F617" i="5"/>
  <c r="G617" i="5"/>
  <c r="H617" i="5"/>
  <c r="I617" i="5"/>
  <c r="A618" i="5"/>
  <c r="D618" i="5"/>
  <c r="E618" i="5"/>
  <c r="F618" i="5"/>
  <c r="G618" i="5"/>
  <c r="H618" i="5"/>
  <c r="I618" i="5"/>
  <c r="A619" i="5"/>
  <c r="D619" i="5"/>
  <c r="E619" i="5"/>
  <c r="F619" i="5"/>
  <c r="G619" i="5"/>
  <c r="H619" i="5"/>
  <c r="I619" i="5"/>
  <c r="A620" i="5"/>
  <c r="D620" i="5"/>
  <c r="E620" i="5"/>
  <c r="F620" i="5"/>
  <c r="G620" i="5"/>
  <c r="H620" i="5"/>
  <c r="I620" i="5"/>
  <c r="A621" i="5"/>
  <c r="D621" i="5"/>
  <c r="E621" i="5"/>
  <c r="F621" i="5"/>
  <c r="G621" i="5"/>
  <c r="H621" i="5"/>
  <c r="I621" i="5"/>
  <c r="A622" i="5"/>
  <c r="D622" i="5"/>
  <c r="E622" i="5"/>
  <c r="F622" i="5"/>
  <c r="G622" i="5"/>
  <c r="H622" i="5"/>
  <c r="I622" i="5"/>
  <c r="A623" i="5"/>
  <c r="D623" i="5"/>
  <c r="E623" i="5"/>
  <c r="F623" i="5"/>
  <c r="G623" i="5"/>
  <c r="H623" i="5"/>
  <c r="I623" i="5"/>
  <c r="A624" i="5"/>
  <c r="D624" i="5"/>
  <c r="E624" i="5"/>
  <c r="F624" i="5"/>
  <c r="G624" i="5"/>
  <c r="H624" i="5"/>
  <c r="I624" i="5"/>
  <c r="A625" i="5"/>
  <c r="D625" i="5"/>
  <c r="E625" i="5"/>
  <c r="F625" i="5"/>
  <c r="G625" i="5"/>
  <c r="H625" i="5"/>
  <c r="I625" i="5"/>
  <c r="A626" i="5"/>
  <c r="D626" i="5"/>
  <c r="E626" i="5"/>
  <c r="F626" i="5"/>
  <c r="G626" i="5"/>
  <c r="H626" i="5"/>
  <c r="I626" i="5"/>
  <c r="A627" i="5"/>
  <c r="D627" i="5"/>
  <c r="E627" i="5"/>
  <c r="F627" i="5"/>
  <c r="G627" i="5"/>
  <c r="H627" i="5"/>
  <c r="I627" i="5"/>
  <c r="A628" i="5"/>
  <c r="D628" i="5"/>
  <c r="E628" i="5"/>
  <c r="F628" i="5"/>
  <c r="G628" i="5"/>
  <c r="H628" i="5"/>
  <c r="I628" i="5"/>
  <c r="A629" i="5"/>
  <c r="D629" i="5"/>
  <c r="E629" i="5"/>
  <c r="F629" i="5"/>
  <c r="G629" i="5"/>
  <c r="H629" i="5"/>
  <c r="I629" i="5"/>
  <c r="A630" i="5"/>
  <c r="D630" i="5"/>
  <c r="E630" i="5"/>
  <c r="F630" i="5"/>
  <c r="G630" i="5"/>
  <c r="H630" i="5"/>
  <c r="I630" i="5"/>
  <c r="A631" i="5"/>
  <c r="D631" i="5"/>
  <c r="E631" i="5"/>
  <c r="F631" i="5"/>
  <c r="G631" i="5"/>
  <c r="H631" i="5"/>
  <c r="I631" i="5"/>
  <c r="A632" i="5"/>
  <c r="D632" i="5"/>
  <c r="E632" i="5"/>
  <c r="F632" i="5"/>
  <c r="G632" i="5"/>
  <c r="H632" i="5"/>
  <c r="I632" i="5"/>
  <c r="A633" i="5"/>
  <c r="D633" i="5"/>
  <c r="E633" i="5"/>
  <c r="F633" i="5"/>
  <c r="G633" i="5"/>
  <c r="H633" i="5"/>
  <c r="I633" i="5"/>
  <c r="A634" i="5"/>
  <c r="D634" i="5"/>
  <c r="E634" i="5"/>
  <c r="F634" i="5"/>
  <c r="G634" i="5"/>
  <c r="H634" i="5"/>
  <c r="I634" i="5"/>
  <c r="A635" i="5"/>
  <c r="D635" i="5"/>
  <c r="E635" i="5"/>
  <c r="F635" i="5"/>
  <c r="G635" i="5"/>
  <c r="H635" i="5"/>
  <c r="I635" i="5"/>
  <c r="A636" i="5"/>
  <c r="D636" i="5"/>
  <c r="E636" i="5"/>
  <c r="F636" i="5"/>
  <c r="G636" i="5"/>
  <c r="H636" i="5"/>
  <c r="I636" i="5"/>
  <c r="A637" i="5"/>
  <c r="D637" i="5"/>
  <c r="E637" i="5"/>
  <c r="F637" i="5"/>
  <c r="G637" i="5"/>
  <c r="H637" i="5"/>
  <c r="I637" i="5"/>
  <c r="A638" i="5"/>
  <c r="D638" i="5"/>
  <c r="E638" i="5"/>
  <c r="F638" i="5"/>
  <c r="G638" i="5"/>
  <c r="H638" i="5"/>
  <c r="I638" i="5"/>
  <c r="A639" i="5"/>
  <c r="D639" i="5"/>
  <c r="E639" i="5"/>
  <c r="F639" i="5"/>
  <c r="G639" i="5"/>
  <c r="H639" i="5"/>
  <c r="I639" i="5"/>
  <c r="A640" i="5"/>
  <c r="D640" i="5"/>
  <c r="E640" i="5"/>
  <c r="F640" i="5"/>
  <c r="G640" i="5"/>
  <c r="H640" i="5"/>
  <c r="I640" i="5"/>
  <c r="A641" i="5"/>
  <c r="D641" i="5"/>
  <c r="E641" i="5"/>
  <c r="F641" i="5"/>
  <c r="G641" i="5"/>
  <c r="H641" i="5"/>
  <c r="I641" i="5"/>
  <c r="A642" i="5"/>
  <c r="D642" i="5"/>
  <c r="E642" i="5"/>
  <c r="F642" i="5"/>
  <c r="G642" i="5"/>
  <c r="H642" i="5"/>
  <c r="I642" i="5"/>
  <c r="A643" i="5"/>
  <c r="D643" i="5"/>
  <c r="E643" i="5"/>
  <c r="F643" i="5"/>
  <c r="G643" i="5"/>
  <c r="H643" i="5"/>
  <c r="I643" i="5"/>
  <c r="A644" i="5"/>
  <c r="D644" i="5"/>
  <c r="E644" i="5"/>
  <c r="F644" i="5"/>
  <c r="G644" i="5"/>
  <c r="H644" i="5"/>
  <c r="I644" i="5"/>
  <c r="A645" i="5"/>
  <c r="D645" i="5"/>
  <c r="E645" i="5"/>
  <c r="F645" i="5"/>
  <c r="G645" i="5"/>
  <c r="H645" i="5"/>
  <c r="I645" i="5"/>
  <c r="A646" i="5"/>
  <c r="D646" i="5"/>
  <c r="E646" i="5"/>
  <c r="F646" i="5"/>
  <c r="G646" i="5"/>
  <c r="H646" i="5"/>
  <c r="I646" i="5"/>
  <c r="A647" i="5"/>
  <c r="D647" i="5"/>
  <c r="E647" i="5"/>
  <c r="F647" i="5"/>
  <c r="G647" i="5"/>
  <c r="H647" i="5"/>
  <c r="I647" i="5"/>
  <c r="A648" i="5"/>
  <c r="D648" i="5"/>
  <c r="E648" i="5"/>
  <c r="F648" i="5"/>
  <c r="G648" i="5"/>
  <c r="H648" i="5"/>
  <c r="I648" i="5"/>
  <c r="A649" i="5"/>
  <c r="D649" i="5"/>
  <c r="E649" i="5"/>
  <c r="F649" i="5"/>
  <c r="G649" i="5"/>
  <c r="H649" i="5"/>
  <c r="I649" i="5"/>
  <c r="A650" i="5"/>
  <c r="D650" i="5"/>
  <c r="E650" i="5"/>
  <c r="F650" i="5"/>
  <c r="G650" i="5"/>
  <c r="H650" i="5"/>
  <c r="I650" i="5"/>
  <c r="A651" i="5"/>
  <c r="D651" i="5"/>
  <c r="E651" i="5"/>
  <c r="F651" i="5"/>
  <c r="G651" i="5"/>
  <c r="H651" i="5"/>
  <c r="I651" i="5"/>
  <c r="A652" i="5"/>
  <c r="D652" i="5"/>
  <c r="E652" i="5"/>
  <c r="F652" i="5"/>
  <c r="G652" i="5"/>
  <c r="H652" i="5"/>
  <c r="I652" i="5"/>
  <c r="A653" i="5"/>
  <c r="D653" i="5"/>
  <c r="E653" i="5"/>
  <c r="F653" i="5"/>
  <c r="G653" i="5"/>
  <c r="H653" i="5"/>
  <c r="I653" i="5"/>
  <c r="A654" i="5"/>
  <c r="D654" i="5"/>
  <c r="E654" i="5"/>
  <c r="F654" i="5"/>
  <c r="G654" i="5"/>
  <c r="H654" i="5"/>
  <c r="I654" i="5"/>
  <c r="A655" i="5"/>
  <c r="D655" i="5"/>
  <c r="E655" i="5"/>
  <c r="F655" i="5"/>
  <c r="G655" i="5"/>
  <c r="H655" i="5"/>
  <c r="I655" i="5"/>
  <c r="A656" i="5"/>
  <c r="D656" i="5"/>
  <c r="E656" i="5"/>
  <c r="F656" i="5"/>
  <c r="G656" i="5"/>
  <c r="H656" i="5"/>
  <c r="I656" i="5"/>
  <c r="A657" i="5"/>
  <c r="D657" i="5"/>
  <c r="E657" i="5"/>
  <c r="F657" i="5"/>
  <c r="G657" i="5"/>
  <c r="H657" i="5"/>
  <c r="I657" i="5"/>
  <c r="A658" i="5"/>
  <c r="D658" i="5"/>
  <c r="E658" i="5"/>
  <c r="F658" i="5"/>
  <c r="G658" i="5"/>
  <c r="H658" i="5"/>
  <c r="I658" i="5"/>
  <c r="A659" i="5"/>
  <c r="D659" i="5"/>
  <c r="E659" i="5"/>
  <c r="F659" i="5"/>
  <c r="G659" i="5"/>
  <c r="H659" i="5"/>
  <c r="I659" i="5"/>
  <c r="A660" i="5"/>
  <c r="D660" i="5"/>
  <c r="E660" i="5"/>
  <c r="F660" i="5"/>
  <c r="G660" i="5"/>
  <c r="H660" i="5"/>
  <c r="I660" i="5"/>
  <c r="A661" i="5"/>
  <c r="D661" i="5"/>
  <c r="E661" i="5"/>
  <c r="F661" i="5"/>
  <c r="G661" i="5"/>
  <c r="H661" i="5"/>
  <c r="I661" i="5"/>
  <c r="A662" i="5"/>
  <c r="D662" i="5"/>
  <c r="E662" i="5"/>
  <c r="F662" i="5"/>
  <c r="G662" i="5"/>
  <c r="H662" i="5"/>
  <c r="I662" i="5"/>
  <c r="A663" i="5"/>
  <c r="D663" i="5"/>
  <c r="E663" i="5"/>
  <c r="F663" i="5"/>
  <c r="G663" i="5"/>
  <c r="H663" i="5"/>
  <c r="I663" i="5"/>
  <c r="A664" i="5"/>
  <c r="D664" i="5"/>
  <c r="E664" i="5"/>
  <c r="F664" i="5"/>
  <c r="G664" i="5"/>
  <c r="H664" i="5"/>
  <c r="I664" i="5"/>
  <c r="A665" i="5"/>
  <c r="D665" i="5"/>
  <c r="E665" i="5"/>
  <c r="F665" i="5"/>
  <c r="G665" i="5"/>
  <c r="H665" i="5"/>
  <c r="I665" i="5"/>
  <c r="A666" i="5"/>
  <c r="D666" i="5"/>
  <c r="E666" i="5"/>
  <c r="F666" i="5"/>
  <c r="G666" i="5"/>
  <c r="H666" i="5"/>
  <c r="I666" i="5"/>
  <c r="A667" i="5"/>
  <c r="D667" i="5"/>
  <c r="E667" i="5"/>
  <c r="F667" i="5"/>
  <c r="G667" i="5"/>
  <c r="H667" i="5"/>
  <c r="I667" i="5"/>
  <c r="A668" i="5"/>
  <c r="D668" i="5"/>
  <c r="E668" i="5"/>
  <c r="F668" i="5"/>
  <c r="G668" i="5"/>
  <c r="H668" i="5"/>
  <c r="I668" i="5"/>
  <c r="A669" i="5"/>
  <c r="D669" i="5"/>
  <c r="E669" i="5"/>
  <c r="F669" i="5"/>
  <c r="G669" i="5"/>
  <c r="H669" i="5"/>
  <c r="I669" i="5"/>
  <c r="A670" i="5"/>
  <c r="D670" i="5"/>
  <c r="E670" i="5"/>
  <c r="F670" i="5"/>
  <c r="G670" i="5"/>
  <c r="H670" i="5"/>
  <c r="I670" i="5"/>
  <c r="A671" i="5"/>
  <c r="D671" i="5"/>
  <c r="E671" i="5"/>
  <c r="F671" i="5"/>
  <c r="G671" i="5"/>
  <c r="H671" i="5"/>
  <c r="I671" i="5"/>
  <c r="A672" i="5"/>
  <c r="D672" i="5"/>
  <c r="E672" i="5"/>
  <c r="F672" i="5"/>
  <c r="G672" i="5"/>
  <c r="H672" i="5"/>
  <c r="I672" i="5"/>
  <c r="A673" i="5"/>
  <c r="D673" i="5"/>
  <c r="E673" i="5"/>
  <c r="F673" i="5"/>
  <c r="G673" i="5"/>
  <c r="H673" i="5"/>
  <c r="I673" i="5"/>
  <c r="A674" i="5"/>
  <c r="D674" i="5"/>
  <c r="E674" i="5"/>
  <c r="F674" i="5"/>
  <c r="G674" i="5"/>
  <c r="H674" i="5"/>
  <c r="I674" i="5"/>
  <c r="A675" i="5"/>
  <c r="D675" i="5"/>
  <c r="E675" i="5"/>
  <c r="F675" i="5"/>
  <c r="G675" i="5"/>
  <c r="H675" i="5"/>
  <c r="I675" i="5"/>
  <c r="A676" i="5"/>
  <c r="D676" i="5"/>
  <c r="E676" i="5"/>
  <c r="F676" i="5"/>
  <c r="G676" i="5"/>
  <c r="H676" i="5"/>
  <c r="I676" i="5"/>
  <c r="A677" i="5"/>
  <c r="D677" i="5"/>
  <c r="E677" i="5"/>
  <c r="F677" i="5"/>
  <c r="G677" i="5"/>
  <c r="H677" i="5"/>
  <c r="I677" i="5"/>
  <c r="A678" i="5"/>
  <c r="D678" i="5"/>
  <c r="E678" i="5"/>
  <c r="F678" i="5"/>
  <c r="G678" i="5"/>
  <c r="H678" i="5"/>
  <c r="I678" i="5"/>
  <c r="A679" i="5"/>
  <c r="D679" i="5"/>
  <c r="E679" i="5"/>
  <c r="F679" i="5"/>
  <c r="G679" i="5"/>
  <c r="H679" i="5"/>
  <c r="I679" i="5"/>
  <c r="A680" i="5"/>
  <c r="D680" i="5"/>
  <c r="E680" i="5"/>
  <c r="F680" i="5"/>
  <c r="G680" i="5"/>
  <c r="H680" i="5"/>
  <c r="I680" i="5"/>
  <c r="A681" i="5"/>
  <c r="D681" i="5"/>
  <c r="E681" i="5"/>
  <c r="F681" i="5"/>
  <c r="G681" i="5"/>
  <c r="H681" i="5"/>
  <c r="I681" i="5"/>
  <c r="A682" i="5"/>
  <c r="D682" i="5"/>
  <c r="E682" i="5"/>
  <c r="F682" i="5"/>
  <c r="G682" i="5"/>
  <c r="H682" i="5"/>
  <c r="I682" i="5"/>
  <c r="A683" i="5"/>
  <c r="D683" i="5"/>
  <c r="E683" i="5"/>
  <c r="F683" i="5"/>
  <c r="G683" i="5"/>
  <c r="H683" i="5"/>
  <c r="I683" i="5"/>
  <c r="A684" i="5"/>
  <c r="D684" i="5"/>
  <c r="E684" i="5"/>
  <c r="F684" i="5"/>
  <c r="G684" i="5"/>
  <c r="H684" i="5"/>
  <c r="I684" i="5"/>
  <c r="A685" i="5"/>
  <c r="D685" i="5"/>
  <c r="E685" i="5"/>
  <c r="F685" i="5"/>
  <c r="G685" i="5"/>
  <c r="H685" i="5"/>
  <c r="I685" i="5"/>
  <c r="A686" i="5"/>
  <c r="D686" i="5"/>
  <c r="E686" i="5"/>
  <c r="F686" i="5"/>
  <c r="G686" i="5"/>
  <c r="H686" i="5"/>
  <c r="I686" i="5"/>
  <c r="A687" i="5"/>
  <c r="D687" i="5"/>
  <c r="E687" i="5"/>
  <c r="F687" i="5"/>
  <c r="G687" i="5"/>
  <c r="H687" i="5"/>
  <c r="I687" i="5"/>
  <c r="A688" i="5"/>
  <c r="D688" i="5"/>
  <c r="E688" i="5"/>
  <c r="F688" i="5"/>
  <c r="G688" i="5"/>
  <c r="H688" i="5"/>
  <c r="I688" i="5"/>
  <c r="A689" i="5"/>
  <c r="D689" i="5"/>
  <c r="E689" i="5"/>
  <c r="F689" i="5"/>
  <c r="G689" i="5"/>
  <c r="H689" i="5"/>
  <c r="I689" i="5"/>
  <c r="A690" i="5"/>
  <c r="D690" i="5"/>
  <c r="E690" i="5"/>
  <c r="F690" i="5"/>
  <c r="G690" i="5"/>
  <c r="H690" i="5"/>
  <c r="I690" i="5"/>
  <c r="A691" i="5"/>
  <c r="D691" i="5"/>
  <c r="E691" i="5"/>
  <c r="F691" i="5"/>
  <c r="G691" i="5"/>
  <c r="H691" i="5"/>
  <c r="I691" i="5"/>
  <c r="A692" i="5"/>
  <c r="D692" i="5"/>
  <c r="E692" i="5"/>
  <c r="F692" i="5"/>
  <c r="G692" i="5"/>
  <c r="H692" i="5"/>
  <c r="I692" i="5"/>
  <c r="A693" i="5"/>
  <c r="D693" i="5"/>
  <c r="E693" i="5"/>
  <c r="F693" i="5"/>
  <c r="G693" i="5"/>
  <c r="H693" i="5"/>
  <c r="I693" i="5"/>
  <c r="A694" i="5"/>
  <c r="D694" i="5"/>
  <c r="E694" i="5"/>
  <c r="F694" i="5"/>
  <c r="G694" i="5"/>
  <c r="H694" i="5"/>
  <c r="I694" i="5"/>
  <c r="A695" i="5"/>
  <c r="D695" i="5"/>
  <c r="E695" i="5"/>
  <c r="F695" i="5"/>
  <c r="G695" i="5"/>
  <c r="H695" i="5"/>
  <c r="I695" i="5"/>
  <c r="A696" i="5"/>
  <c r="D696" i="5"/>
  <c r="E696" i="5"/>
  <c r="F696" i="5"/>
  <c r="G696" i="5"/>
  <c r="H696" i="5"/>
  <c r="I696" i="5"/>
  <c r="A697" i="5"/>
  <c r="D697" i="5"/>
  <c r="E697" i="5"/>
  <c r="F697" i="5"/>
  <c r="G697" i="5"/>
  <c r="H697" i="5"/>
  <c r="I697" i="5"/>
  <c r="A698" i="5"/>
  <c r="D698" i="5"/>
  <c r="E698" i="5"/>
  <c r="F698" i="5"/>
  <c r="G698" i="5"/>
  <c r="H698" i="5"/>
  <c r="I698" i="5"/>
  <c r="A699" i="5"/>
  <c r="D699" i="5"/>
  <c r="E699" i="5"/>
  <c r="F699" i="5"/>
  <c r="G699" i="5"/>
  <c r="H699" i="5"/>
  <c r="I699" i="5"/>
  <c r="A700" i="5"/>
  <c r="D700" i="5"/>
  <c r="E700" i="5"/>
  <c r="F700" i="5"/>
  <c r="G700" i="5"/>
  <c r="H700" i="5"/>
  <c r="I700" i="5"/>
  <c r="A701" i="5"/>
  <c r="D701" i="5"/>
  <c r="E701" i="5"/>
  <c r="F701" i="5"/>
  <c r="G701" i="5"/>
  <c r="H701" i="5"/>
  <c r="I701" i="5"/>
  <c r="A702" i="5"/>
  <c r="D702" i="5"/>
  <c r="E702" i="5"/>
  <c r="F702" i="5"/>
  <c r="G702" i="5"/>
  <c r="H702" i="5"/>
  <c r="I702" i="5"/>
  <c r="A703" i="5"/>
  <c r="D703" i="5"/>
  <c r="E703" i="5"/>
  <c r="F703" i="5"/>
  <c r="G703" i="5"/>
  <c r="H703" i="5"/>
  <c r="I703" i="5"/>
  <c r="A704" i="5"/>
  <c r="D704" i="5"/>
  <c r="E704" i="5"/>
  <c r="F704" i="5"/>
  <c r="G704" i="5"/>
  <c r="H704" i="5"/>
  <c r="I704" i="5"/>
  <c r="A705" i="5"/>
  <c r="D705" i="5"/>
  <c r="E705" i="5"/>
  <c r="F705" i="5"/>
  <c r="G705" i="5"/>
  <c r="H705" i="5"/>
  <c r="I705" i="5"/>
  <c r="A706" i="5"/>
  <c r="D706" i="5"/>
  <c r="E706" i="5"/>
  <c r="F706" i="5"/>
  <c r="G706" i="5"/>
  <c r="H706" i="5"/>
  <c r="I706" i="5"/>
  <c r="A707" i="5"/>
  <c r="D707" i="5"/>
  <c r="E707" i="5"/>
  <c r="F707" i="5"/>
  <c r="G707" i="5"/>
  <c r="H707" i="5"/>
  <c r="I707" i="5"/>
  <c r="A708" i="5"/>
  <c r="D708" i="5"/>
  <c r="E708" i="5"/>
  <c r="F708" i="5"/>
  <c r="G708" i="5"/>
  <c r="H708" i="5"/>
  <c r="I708" i="5"/>
  <c r="A709" i="5"/>
  <c r="D709" i="5"/>
  <c r="E709" i="5"/>
  <c r="F709" i="5"/>
  <c r="G709" i="5"/>
  <c r="H709" i="5"/>
  <c r="I709" i="5"/>
  <c r="A710" i="5"/>
  <c r="D710" i="5"/>
  <c r="E710" i="5"/>
  <c r="F710" i="5"/>
  <c r="G710" i="5"/>
  <c r="H710" i="5"/>
  <c r="I710" i="5"/>
  <c r="A711" i="5"/>
  <c r="D711" i="5"/>
  <c r="E711" i="5"/>
  <c r="F711" i="5"/>
  <c r="G711" i="5"/>
  <c r="H711" i="5"/>
  <c r="I711" i="5"/>
  <c r="A712" i="5"/>
  <c r="D712" i="5"/>
  <c r="E712" i="5"/>
  <c r="F712" i="5"/>
  <c r="G712" i="5"/>
  <c r="H712" i="5"/>
  <c r="I712" i="5"/>
  <c r="A713" i="5"/>
  <c r="D713" i="5"/>
  <c r="E713" i="5"/>
  <c r="F713" i="5"/>
  <c r="G713" i="5"/>
  <c r="H713" i="5"/>
  <c r="I713" i="5"/>
  <c r="A714" i="5"/>
  <c r="D714" i="5"/>
  <c r="E714" i="5"/>
  <c r="F714" i="5"/>
  <c r="G714" i="5"/>
  <c r="H714" i="5"/>
  <c r="I714" i="5"/>
  <c r="A715" i="5"/>
  <c r="D715" i="5"/>
  <c r="E715" i="5"/>
  <c r="F715" i="5"/>
  <c r="G715" i="5"/>
  <c r="H715" i="5"/>
  <c r="I715" i="5"/>
  <c r="A716" i="5"/>
  <c r="D716" i="5"/>
  <c r="E716" i="5"/>
  <c r="F716" i="5"/>
  <c r="G716" i="5"/>
  <c r="H716" i="5"/>
  <c r="I716" i="5"/>
  <c r="A717" i="5"/>
  <c r="D717" i="5"/>
  <c r="E717" i="5"/>
  <c r="F717" i="5"/>
  <c r="G717" i="5"/>
  <c r="H717" i="5"/>
  <c r="I717" i="5"/>
  <c r="A718" i="5"/>
  <c r="D718" i="5"/>
  <c r="E718" i="5"/>
  <c r="F718" i="5"/>
  <c r="G718" i="5"/>
  <c r="H718" i="5"/>
  <c r="I718" i="5"/>
  <c r="A719" i="5"/>
  <c r="D719" i="5"/>
  <c r="E719" i="5"/>
  <c r="F719" i="5"/>
  <c r="G719" i="5"/>
  <c r="H719" i="5"/>
  <c r="I719" i="5"/>
  <c r="A720" i="5"/>
  <c r="D720" i="5"/>
  <c r="E720" i="5"/>
  <c r="F720" i="5"/>
  <c r="G720" i="5"/>
  <c r="H720" i="5"/>
  <c r="I720" i="5"/>
  <c r="A721" i="5"/>
  <c r="D721" i="5"/>
  <c r="E721" i="5"/>
  <c r="F721" i="5"/>
  <c r="G721" i="5"/>
  <c r="H721" i="5"/>
  <c r="I721" i="5"/>
  <c r="A722" i="5"/>
  <c r="D722" i="5"/>
  <c r="E722" i="5"/>
  <c r="F722" i="5"/>
  <c r="G722" i="5"/>
  <c r="H722" i="5"/>
  <c r="I722" i="5"/>
  <c r="A723" i="5"/>
  <c r="D723" i="5"/>
  <c r="E723" i="5"/>
  <c r="F723" i="5"/>
  <c r="G723" i="5"/>
  <c r="H723" i="5"/>
  <c r="I723" i="5"/>
  <c r="A724" i="5"/>
  <c r="D724" i="5"/>
  <c r="E724" i="5"/>
  <c r="F724" i="5"/>
  <c r="G724" i="5"/>
  <c r="H724" i="5"/>
  <c r="I724" i="5"/>
  <c r="A725" i="5"/>
  <c r="D725" i="5"/>
  <c r="E725" i="5"/>
  <c r="F725" i="5"/>
  <c r="G725" i="5"/>
  <c r="H725" i="5"/>
  <c r="I725" i="5"/>
  <c r="I6" i="5"/>
  <c r="E6" i="5"/>
  <c r="D6" i="5"/>
  <c r="A6" i="5"/>
  <c r="Q9" i="1"/>
  <c r="S9" i="1" s="1"/>
  <c r="T9" i="1" s="1"/>
  <c r="R9" i="1"/>
  <c r="U9" i="1"/>
  <c r="BC9" i="1" s="1"/>
  <c r="AC9" i="1"/>
  <c r="AD9" i="1"/>
  <c r="AG9" i="1"/>
  <c r="BE9" i="1" s="1"/>
  <c r="AO9" i="1"/>
  <c r="AQ9" i="1" s="1"/>
  <c r="AR9" i="1" s="1"/>
  <c r="AP9" i="1"/>
  <c r="AS9" i="1"/>
  <c r="BF9" i="1" s="1"/>
  <c r="AU9" i="1"/>
  <c r="AW9" i="1"/>
  <c r="AV9" i="1"/>
  <c r="G6" i="5" l="1"/>
  <c r="F6" i="5"/>
  <c r="AE9" i="1"/>
  <c r="AF9" i="1" s="1"/>
  <c r="BD9" i="1"/>
  <c r="BG9" i="1" s="1"/>
  <c r="BH9" i="1" s="1"/>
  <c r="BB9" i="1"/>
  <c r="BL9" i="1" s="1"/>
  <c r="BI9" i="1" l="1"/>
  <c r="BJ9" i="1" s="1"/>
  <c r="BK9" i="1" s="1"/>
  <c r="AT9" i="1" s="1"/>
  <c r="H6" i="5" s="1"/>
  <c r="J6" i="1" l="1"/>
  <c r="BA9" i="1" s="1"/>
  <c r="AH6" i="1" l="1"/>
  <c r="AY9" i="1" s="1"/>
  <c r="V6" i="1" l="1"/>
  <c r="AZ9" i="1" s="1"/>
  <c r="AX9" i="1" s="1"/>
</calcChain>
</file>

<file path=xl/sharedStrings.xml><?xml version="1.0" encoding="utf-8"?>
<sst xmlns="http://schemas.openxmlformats.org/spreadsheetml/2006/main" count="90" uniqueCount="49">
  <si>
    <t>FORMATO</t>
  </si>
  <si>
    <t>Código: F05-GA-PR-01</t>
  </si>
  <si>
    <t>Q3/Q1</t>
  </si>
  <si>
    <t xml:space="preserve">  INGRESO DE DATOS DE LA VERIFICACIÓN INICIAL DE MEDIDORES EN LA COMPUTADORA</t>
  </si>
  <si>
    <t>Q3 (m3/h):</t>
  </si>
  <si>
    <r>
      <t>Q3 (m</t>
    </r>
    <r>
      <rPr>
        <b/>
        <vertAlign val="superscript"/>
        <sz val="11"/>
        <color rgb="FF000000"/>
        <rFont val="Calibri"/>
        <family val="2"/>
      </rPr>
      <t>3</t>
    </r>
    <r>
      <rPr>
        <b/>
        <sz val="10"/>
        <rFont val="Arial"/>
        <family val="2"/>
      </rPr>
      <t>/h):</t>
    </r>
  </si>
  <si>
    <t>Alcance Q3/Q1:</t>
  </si>
  <si>
    <t>MAXIMO ERROR PERMISIBLE (EMP):</t>
  </si>
  <si>
    <t>Q3</t>
  </si>
  <si>
    <t>Q2</t>
  </si>
  <si>
    <t>Q1</t>
  </si>
  <si>
    <t>Revisado por:</t>
  </si>
  <si>
    <t>Fecha:</t>
  </si>
  <si>
    <t xml:space="preserve">(±) 2% </t>
  </si>
  <si>
    <t>(±) 2%</t>
  </si>
  <si>
    <t>(±) 5%</t>
  </si>
  <si>
    <t>Aprobado por:</t>
  </si>
  <si>
    <t>Item</t>
  </si>
  <si>
    <t xml:space="preserve">Fecha de Ensayo presion estatica </t>
  </si>
  <si>
    <t>Fecha de Ensayo errores de indicacion</t>
  </si>
  <si>
    <t>N° de banco de ensayo</t>
  </si>
  <si>
    <t>1' Técnico</t>
  </si>
  <si>
    <t>Nro de ceritificado</t>
  </si>
  <si>
    <t># Medidor</t>
  </si>
  <si>
    <t>Presión Estática</t>
  </si>
  <si>
    <t>Estado</t>
  </si>
  <si>
    <t>RANGOS ACEPTABLES DE CAUDAL</t>
  </si>
  <si>
    <t>Presión (bar)</t>
  </si>
  <si>
    <t>Temperatura</t>
  </si>
  <si>
    <t>Presión Entrada</t>
  </si>
  <si>
    <t>Presión Salida</t>
  </si>
  <si>
    <t>L.I.</t>
  </si>
  <si>
    <t>L.F.</t>
  </si>
  <si>
    <t>Vol. P</t>
  </si>
  <si>
    <t>Tiempo</t>
  </si>
  <si>
    <t>E %</t>
  </si>
  <si>
    <t>Caudal</t>
  </si>
  <si>
    <t>Ley Signos y Errores</t>
  </si>
  <si>
    <t>LO VERIFICADO</t>
  </si>
  <si>
    <t>VIMA</t>
  </si>
  <si>
    <t>Presión Estática
(Estado)</t>
  </si>
  <si>
    <t>Q3
E %</t>
  </si>
  <si>
    <t>Q2
E %</t>
  </si>
  <si>
    <t>Q1
E %</t>
  </si>
  <si>
    <t>Condición</t>
  </si>
  <si>
    <r>
      <t xml:space="preserve">Presión Estática    </t>
    </r>
    <r>
      <rPr>
        <b/>
        <i/>
        <u/>
        <sz val="10"/>
        <rFont val="Arial"/>
        <family val="2"/>
      </rPr>
      <t>0=Cumple (Sin fugas y sin daños físicos)</t>
    </r>
    <r>
      <rPr>
        <b/>
        <sz val="10"/>
        <rFont val="Arial"/>
        <family val="2"/>
      </rPr>
      <t>; 1 = Daño Físico;   2 = Fuga (-) ;  3 = Picado; 4 = Desfasado; 5 = Paralizado</t>
    </r>
  </si>
  <si>
    <t>Versión: 09</t>
  </si>
  <si>
    <t>Fecha de Vigencia:  2025-12-15</t>
  </si>
  <si>
    <t>Luisa Valdivia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</si>
</sst>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0.0"/>
    <numFmt numFmtId="166" formatCode="yyyy\-mm\-dd;@"/>
    <numFmt numFmtId="167" formatCode="00000"/>
    <numFmt numFmtId="168" formatCode="#,##0.0"/>
    <numFmt numFmtId="169" formatCode="#,##0.000"/>
    <numFmt numFmtId="170" formatCode="h:mm:ss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vertAlign val="superscript"/>
      <sz val="11"/>
      <color rgb="FF000000"/>
      <name val="Calibri"/>
      <family val="2"/>
    </font>
    <font>
      <b/>
      <i/>
      <u/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sz val="10"/>
      <name val="Arial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1F497D"/>
      <name val="Arial"/>
      <family val="2"/>
    </font>
    <font>
      <b/>
      <sz val="16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FFFFAF"/>
        <bgColor rgb="FF000000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9">
    <xf numFmtId="0" fontId="0" fillId="0" borderId="0" xfId="0"/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0" xfId="2" applyFont="1"/>
    <xf numFmtId="0" fontId="4" fillId="0" borderId="0" xfId="1" applyFont="1"/>
    <xf numFmtId="0" fontId="6" fillId="3" borderId="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8" xfId="1" applyFont="1" applyBorder="1" applyAlignment="1">
      <alignment horizontal="center" shrinkToFit="1"/>
    </xf>
    <xf numFmtId="0" fontId="4" fillId="0" borderId="8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9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10" xfId="2" applyFont="1" applyBorder="1" applyAlignment="1">
      <alignment vertical="center"/>
    </xf>
    <xf numFmtId="165" fontId="4" fillId="0" borderId="8" xfId="2" applyNumberFormat="1" applyFont="1" applyBorder="1" applyAlignment="1">
      <alignment horizontal="center"/>
    </xf>
    <xf numFmtId="0" fontId="4" fillId="0" borderId="11" xfId="2" applyFont="1" applyBorder="1" applyAlignment="1">
      <alignment vertical="center"/>
    </xf>
    <xf numFmtId="0" fontId="4" fillId="0" borderId="12" xfId="2" applyFont="1" applyBorder="1" applyAlignment="1">
      <alignment vertical="center"/>
    </xf>
    <xf numFmtId="0" fontId="4" fillId="0" borderId="13" xfId="2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2" applyFont="1" applyAlignment="1">
      <alignment shrinkToFit="1"/>
    </xf>
    <xf numFmtId="0" fontId="3" fillId="0" borderId="0" xfId="1" applyFont="1" applyAlignment="1">
      <alignment shrinkToFit="1"/>
    </xf>
    <xf numFmtId="0" fontId="3" fillId="0" borderId="0" xfId="2" applyFont="1" applyAlignment="1">
      <alignment horizontal="center" shrinkToFit="1"/>
    </xf>
    <xf numFmtId="0" fontId="3" fillId="0" borderId="0" xfId="1" applyFont="1" applyAlignment="1">
      <alignment horizontal="center" shrinkToFit="1"/>
    </xf>
    <xf numFmtId="0" fontId="3" fillId="0" borderId="8" xfId="2" applyFont="1" applyBorder="1" applyAlignment="1">
      <alignment horizontal="center" shrinkToFit="1"/>
    </xf>
    <xf numFmtId="170" fontId="3" fillId="13" borderId="8" xfId="1" applyNumberFormat="1" applyFont="1" applyFill="1" applyBorder="1" applyAlignment="1">
      <alignment horizontal="center" shrinkToFit="1"/>
    </xf>
    <xf numFmtId="167" fontId="8" fillId="5" borderId="36" xfId="2" applyNumberFormat="1" applyFont="1" applyFill="1" applyBorder="1" applyAlignment="1">
      <alignment horizontal="center" vertical="center" textRotation="90" shrinkToFit="1"/>
    </xf>
    <xf numFmtId="167" fontId="8" fillId="5" borderId="38" xfId="2" applyNumberFormat="1" applyFont="1" applyFill="1" applyBorder="1" applyAlignment="1">
      <alignment vertical="center" textRotation="90" shrinkToFit="1"/>
    </xf>
    <xf numFmtId="167" fontId="8" fillId="5" borderId="37" xfId="2" applyNumberFormat="1" applyFont="1" applyFill="1" applyBorder="1" applyAlignment="1">
      <alignment vertical="center" textRotation="90" shrinkToFit="1"/>
    </xf>
    <xf numFmtId="167" fontId="8" fillId="5" borderId="38" xfId="2" applyNumberFormat="1" applyFont="1" applyFill="1" applyBorder="1" applyAlignment="1">
      <alignment horizontal="center" vertical="center" textRotation="90" shrinkToFit="1"/>
    </xf>
    <xf numFmtId="167" fontId="8" fillId="5" borderId="39" xfId="2" applyNumberFormat="1" applyFont="1" applyFill="1" applyBorder="1" applyAlignment="1">
      <alignment horizontal="center" vertical="center" textRotation="90" shrinkToFit="1"/>
    </xf>
    <xf numFmtId="167" fontId="8" fillId="5" borderId="36" xfId="2" applyNumberFormat="1" applyFont="1" applyFill="1" applyBorder="1" applyAlignment="1">
      <alignment horizontal="center" vertical="center" shrinkToFit="1"/>
    </xf>
    <xf numFmtId="167" fontId="8" fillId="4" borderId="36" xfId="2" applyNumberFormat="1" applyFont="1" applyFill="1" applyBorder="1" applyAlignment="1">
      <alignment horizontal="center" vertical="center" shrinkToFit="1"/>
    </xf>
    <xf numFmtId="167" fontId="8" fillId="4" borderId="37" xfId="2" applyNumberFormat="1" applyFont="1" applyFill="1" applyBorder="1" applyAlignment="1">
      <alignment horizontal="center" vertical="center" shrinkToFit="1"/>
    </xf>
    <xf numFmtId="167" fontId="8" fillId="8" borderId="36" xfId="2" applyNumberFormat="1" applyFont="1" applyFill="1" applyBorder="1" applyAlignment="1">
      <alignment horizontal="center" vertical="center" shrinkToFit="1"/>
    </xf>
    <xf numFmtId="0" fontId="8" fillId="8" borderId="36" xfId="2" applyFont="1" applyFill="1" applyBorder="1" applyAlignment="1">
      <alignment horizontal="center" shrinkToFit="1"/>
    </xf>
    <xf numFmtId="1" fontId="3" fillId="10" borderId="8" xfId="1" applyNumberFormat="1" applyFont="1" applyFill="1" applyBorder="1" applyAlignment="1">
      <alignment horizontal="center" shrinkToFit="1"/>
    </xf>
    <xf numFmtId="164" fontId="3" fillId="2" borderId="8" xfId="1" applyNumberFormat="1" applyFont="1" applyFill="1" applyBorder="1" applyAlignment="1">
      <alignment horizontal="center" shrinkToFit="1"/>
    </xf>
    <xf numFmtId="1" fontId="3" fillId="2" borderId="8" xfId="2" applyNumberFormat="1" applyFont="1" applyFill="1" applyBorder="1" applyAlignment="1">
      <alignment horizontal="center" vertical="center" shrinkToFit="1"/>
    </xf>
    <xf numFmtId="0" fontId="13" fillId="2" borderId="8" xfId="0" applyFont="1" applyFill="1" applyBorder="1" applyAlignment="1">
      <alignment horizontal="center"/>
    </xf>
    <xf numFmtId="167" fontId="8" fillId="0" borderId="8" xfId="1" applyNumberFormat="1" applyFont="1" applyBorder="1" applyAlignment="1">
      <alignment horizontal="center" shrinkToFit="1"/>
    </xf>
    <xf numFmtId="165" fontId="14" fillId="10" borderId="8" xfId="1" applyNumberFormat="1" applyFont="1" applyFill="1" applyBorder="1" applyAlignment="1">
      <alignment horizontal="center" shrinkToFit="1"/>
    </xf>
    <xf numFmtId="1" fontId="14" fillId="10" borderId="8" xfId="1" applyNumberFormat="1" applyFont="1" applyFill="1" applyBorder="1" applyAlignment="1">
      <alignment horizontal="center" shrinkToFit="1"/>
    </xf>
    <xf numFmtId="168" fontId="14" fillId="0" borderId="8" xfId="1" applyNumberFormat="1" applyFont="1" applyBorder="1" applyAlignment="1">
      <alignment horizontal="center" shrinkToFit="1"/>
    </xf>
    <xf numFmtId="169" fontId="14" fillId="0" borderId="8" xfId="1" applyNumberFormat="1" applyFont="1" applyBorder="1" applyAlignment="1">
      <alignment horizontal="center" shrinkToFit="1"/>
    </xf>
    <xf numFmtId="4" fontId="3" fillId="0" borderId="8" xfId="1" applyNumberFormat="1" applyFont="1" applyBorder="1" applyAlignment="1">
      <alignment horizontal="center" shrinkToFit="1"/>
    </xf>
    <xf numFmtId="4" fontId="3" fillId="9" borderId="8" xfId="1" applyNumberFormat="1" applyFont="1" applyFill="1" applyBorder="1" applyAlignment="1">
      <alignment horizontal="center" shrinkToFit="1"/>
    </xf>
    <xf numFmtId="4" fontId="3" fillId="4" borderId="8" xfId="1" applyNumberFormat="1" applyFont="1" applyFill="1" applyBorder="1" applyAlignment="1">
      <alignment horizontal="center" shrinkToFit="1"/>
    </xf>
    <xf numFmtId="165" fontId="3" fillId="11" borderId="8" xfId="1" applyNumberFormat="1" applyFont="1" applyFill="1" applyBorder="1" applyAlignment="1">
      <alignment horizontal="center" shrinkToFit="1"/>
    </xf>
    <xf numFmtId="169" fontId="4" fillId="0" borderId="8" xfId="1" applyNumberFormat="1" applyFont="1" applyBorder="1" applyAlignment="1">
      <alignment horizontal="center" shrinkToFit="1"/>
    </xf>
    <xf numFmtId="168" fontId="15" fillId="11" borderId="8" xfId="1" applyNumberFormat="1" applyFont="1" applyFill="1" applyBorder="1" applyAlignment="1">
      <alignment horizontal="center" vertical="center" shrinkToFit="1"/>
    </xf>
    <xf numFmtId="169" fontId="3" fillId="0" borderId="8" xfId="1" applyNumberFormat="1" applyFont="1" applyBorder="1" applyAlignment="1">
      <alignment horizontal="center" shrinkToFit="1"/>
    </xf>
    <xf numFmtId="0" fontId="3" fillId="0" borderId="8" xfId="1" applyFont="1" applyBorder="1" applyAlignment="1">
      <alignment horizontal="center" shrinkToFit="1"/>
    </xf>
    <xf numFmtId="0" fontId="16" fillId="12" borderId="8" xfId="5" applyFont="1" applyFill="1" applyBorder="1" applyAlignment="1">
      <alignment horizontal="center" vertical="center" shrinkToFit="1"/>
    </xf>
    <xf numFmtId="0" fontId="17" fillId="12" borderId="8" xfId="5" applyFont="1" applyFill="1" applyBorder="1" applyAlignment="1">
      <alignment horizontal="center" vertical="center" shrinkToFit="1"/>
    </xf>
    <xf numFmtId="0" fontId="4" fillId="14" borderId="8" xfId="0" applyFont="1" applyFill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13" fillId="0" borderId="0" xfId="0" applyFont="1"/>
    <xf numFmtId="167" fontId="8" fillId="15" borderId="8" xfId="1" applyNumberFormat="1" applyFont="1" applyFill="1" applyBorder="1" applyAlignment="1">
      <alignment horizontal="center" shrinkToFit="1"/>
    </xf>
    <xf numFmtId="167" fontId="8" fillId="0" borderId="44" xfId="1" applyNumberFormat="1" applyFont="1" applyBorder="1" applyAlignment="1">
      <alignment horizontal="center" shrinkToFit="1"/>
    </xf>
    <xf numFmtId="0" fontId="13" fillId="2" borderId="44" xfId="0" applyFont="1" applyFill="1" applyBorder="1" applyAlignment="1">
      <alignment horizontal="center"/>
    </xf>
    <xf numFmtId="167" fontId="8" fillId="3" borderId="8" xfId="1" applyNumberFormat="1" applyFont="1" applyFill="1" applyBorder="1" applyAlignment="1">
      <alignment horizontal="center" shrinkToFit="1"/>
    </xf>
    <xf numFmtId="167" fontId="8" fillId="3" borderId="44" xfId="1" applyNumberFormat="1" applyFont="1" applyFill="1" applyBorder="1" applyAlignment="1">
      <alignment horizontal="center" shrinkToFit="1"/>
    </xf>
    <xf numFmtId="167" fontId="8" fillId="0" borderId="21" xfId="1" applyNumberFormat="1" applyFont="1" applyBorder="1" applyAlignment="1">
      <alignment horizontal="center" shrinkToFit="1"/>
    </xf>
    <xf numFmtId="0" fontId="13" fillId="2" borderId="21" xfId="0" applyFont="1" applyFill="1" applyBorder="1" applyAlignment="1">
      <alignment horizontal="center"/>
    </xf>
    <xf numFmtId="167" fontId="8" fillId="3" borderId="21" xfId="1" applyNumberFormat="1" applyFont="1" applyFill="1" applyBorder="1" applyAlignment="1">
      <alignment horizontal="center" shrinkToFit="1"/>
    </xf>
    <xf numFmtId="0" fontId="13" fillId="2" borderId="36" xfId="0" applyFont="1" applyFill="1" applyBorder="1" applyAlignment="1">
      <alignment horizontal="center"/>
    </xf>
    <xf numFmtId="0" fontId="13" fillId="2" borderId="43" xfId="0" applyFont="1" applyFill="1" applyBorder="1" applyAlignment="1">
      <alignment horizontal="center"/>
    </xf>
    <xf numFmtId="167" fontId="8" fillId="0" borderId="43" xfId="1" applyNumberFormat="1" applyFont="1" applyBorder="1" applyAlignment="1">
      <alignment horizontal="center" shrinkToFit="1"/>
    </xf>
    <xf numFmtId="167" fontId="8" fillId="0" borderId="36" xfId="1" applyNumberFormat="1" applyFont="1" applyBorder="1" applyAlignment="1">
      <alignment horizontal="center" shrinkToFit="1"/>
    </xf>
    <xf numFmtId="167" fontId="8" fillId="0" borderId="45" xfId="1" applyNumberFormat="1" applyFont="1" applyBorder="1" applyAlignment="1">
      <alignment horizontal="center" shrinkToFit="1"/>
    </xf>
    <xf numFmtId="1" fontId="13" fillId="0" borderId="8" xfId="0" applyNumberFormat="1" applyFont="1" applyBorder="1" applyAlignment="1">
      <alignment horizontal="center"/>
    </xf>
    <xf numFmtId="1" fontId="3" fillId="0" borderId="8" xfId="12" applyNumberFormat="1" applyFont="1" applyBorder="1" applyAlignment="1">
      <alignment horizontal="center" vertical="center" shrinkToFit="1"/>
    </xf>
    <xf numFmtId="167" fontId="8" fillId="0" borderId="8" xfId="13" applyNumberFormat="1" applyFont="1" applyBorder="1" applyAlignment="1">
      <alignment horizontal="center" shrinkToFit="1"/>
    </xf>
    <xf numFmtId="1" fontId="14" fillId="0" borderId="8" xfId="13" applyNumberFormat="1" applyFont="1" applyBorder="1" applyAlignment="1">
      <alignment horizontal="center" shrinkToFit="1"/>
    </xf>
    <xf numFmtId="165" fontId="3" fillId="0" borderId="8" xfId="13" applyNumberFormat="1" applyFont="1" applyBorder="1" applyAlignment="1">
      <alignment horizontal="center" shrinkToFit="1"/>
    </xf>
    <xf numFmtId="168" fontId="15" fillId="0" borderId="8" xfId="13" applyNumberFormat="1" applyFont="1" applyBorder="1" applyAlignment="1">
      <alignment horizontal="center" vertical="center" shrinkToFit="1"/>
    </xf>
    <xf numFmtId="0" fontId="3" fillId="0" borderId="8" xfId="13" applyFont="1" applyBorder="1" applyAlignment="1">
      <alignment horizontal="center" shrinkToFit="1"/>
    </xf>
    <xf numFmtId="0" fontId="13" fillId="0" borderId="8" xfId="0" applyFont="1" applyBorder="1" applyAlignment="1">
      <alignment horizontal="center"/>
    </xf>
    <xf numFmtId="1" fontId="3" fillId="0" borderId="21" xfId="12" applyNumberFormat="1" applyFont="1" applyBorder="1" applyAlignment="1">
      <alignment horizontal="center" vertical="center" shrinkToFit="1"/>
    </xf>
    <xf numFmtId="167" fontId="8" fillId="0" borderId="21" xfId="13" applyNumberFormat="1" applyFont="1" applyBorder="1" applyAlignment="1">
      <alignment horizontal="center" vertical="center" shrinkToFit="1"/>
    </xf>
    <xf numFmtId="1" fontId="14" fillId="0" borderId="21" xfId="13" applyNumberFormat="1" applyFont="1" applyBorder="1" applyAlignment="1">
      <alignment horizontal="center" vertical="center" shrinkToFit="1"/>
    </xf>
    <xf numFmtId="165" fontId="3" fillId="0" borderId="21" xfId="13" applyNumberFormat="1" applyFont="1" applyBorder="1" applyAlignment="1">
      <alignment horizontal="center" vertical="center" shrinkToFit="1"/>
    </xf>
    <xf numFmtId="0" fontId="3" fillId="0" borderId="21" xfId="13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168" fontId="15" fillId="0" borderId="21" xfId="13" applyNumberFormat="1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/>
    </xf>
    <xf numFmtId="169" fontId="3" fillId="10" borderId="8" xfId="5" applyNumberFormat="1" applyFill="1" applyBorder="1" applyAlignment="1">
      <alignment horizontal="center" shrinkToFit="1"/>
    </xf>
    <xf numFmtId="0" fontId="8" fillId="4" borderId="14" xfId="2" applyFont="1" applyFill="1" applyBorder="1" applyAlignment="1">
      <alignment horizontal="left" vertical="center"/>
    </xf>
    <xf numFmtId="165" fontId="7" fillId="0" borderId="14" xfId="2" applyNumberFormat="1" applyFont="1" applyBorder="1" applyAlignment="1">
      <alignment horizontal="center" vertical="center"/>
    </xf>
    <xf numFmtId="0" fontId="8" fillId="4" borderId="5" xfId="2" applyFont="1" applyFill="1" applyBorder="1" applyAlignment="1">
      <alignment horizontal="left" vertical="center"/>
    </xf>
    <xf numFmtId="0" fontId="8" fillId="4" borderId="6" xfId="2" applyFont="1" applyFill="1" applyBorder="1" applyAlignment="1">
      <alignment horizontal="left" vertical="center"/>
    </xf>
    <xf numFmtId="0" fontId="8" fillId="4" borderId="7" xfId="2" applyFont="1" applyFill="1" applyBorder="1" applyAlignment="1">
      <alignment horizontal="left" vertical="center"/>
    </xf>
    <xf numFmtId="0" fontId="7" fillId="0" borderId="15" xfId="2" applyFont="1" applyBorder="1" applyAlignment="1">
      <alignment horizontal="center" vertical="center"/>
    </xf>
    <xf numFmtId="4" fontId="8" fillId="4" borderId="11" xfId="2" applyNumberFormat="1" applyFont="1" applyFill="1" applyBorder="1" applyAlignment="1">
      <alignment horizontal="left" vertical="center" shrinkToFit="1"/>
    </xf>
    <xf numFmtId="4" fontId="8" fillId="4" borderId="12" xfId="2" applyNumberFormat="1" applyFont="1" applyFill="1" applyBorder="1" applyAlignment="1">
      <alignment horizontal="left" vertical="center" shrinkToFit="1"/>
    </xf>
    <xf numFmtId="4" fontId="8" fillId="4" borderId="13" xfId="2" applyNumberFormat="1" applyFont="1" applyFill="1" applyBorder="1" applyAlignment="1">
      <alignment horizontal="left" vertical="center" shrinkToFit="1"/>
    </xf>
    <xf numFmtId="4" fontId="10" fillId="4" borderId="5" xfId="2" applyNumberFormat="1" applyFont="1" applyFill="1" applyBorder="1" applyAlignment="1">
      <alignment horizontal="center" vertical="center" shrinkToFit="1"/>
    </xf>
    <xf numFmtId="4" fontId="10" fillId="4" borderId="7" xfId="2" applyNumberFormat="1" applyFont="1" applyFill="1" applyBorder="1" applyAlignment="1">
      <alignment horizontal="center" vertical="center" shrinkToFi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4" fontId="8" fillId="4" borderId="15" xfId="2" applyNumberFormat="1" applyFont="1" applyFill="1" applyBorder="1" applyAlignment="1">
      <alignment horizontal="center" vertical="center" shrinkToFit="1"/>
    </xf>
    <xf numFmtId="4" fontId="8" fillId="4" borderId="5" xfId="2" applyNumberFormat="1" applyFont="1" applyFill="1" applyBorder="1" applyAlignment="1">
      <alignment horizontal="center" vertical="center" shrinkToFit="1"/>
    </xf>
    <xf numFmtId="4" fontId="8" fillId="4" borderId="6" xfId="2" applyNumberFormat="1" applyFont="1" applyFill="1" applyBorder="1" applyAlignment="1">
      <alignment horizontal="center" vertical="center" shrinkToFit="1"/>
    </xf>
    <xf numFmtId="4" fontId="8" fillId="4" borderId="7" xfId="2" applyNumberFormat="1" applyFont="1" applyFill="1" applyBorder="1" applyAlignment="1">
      <alignment horizontal="center" vertical="center" shrinkToFit="1"/>
    </xf>
    <xf numFmtId="167" fontId="8" fillId="5" borderId="16" xfId="2" applyNumberFormat="1" applyFont="1" applyFill="1" applyBorder="1" applyAlignment="1">
      <alignment horizontal="center" vertical="center" textRotation="90" shrinkToFit="1"/>
    </xf>
    <xf numFmtId="167" fontId="8" fillId="5" borderId="25" xfId="2" applyNumberFormat="1" applyFont="1" applyFill="1" applyBorder="1" applyAlignment="1">
      <alignment horizontal="center" vertical="center" textRotation="90" shrinkToFit="1"/>
    </xf>
    <xf numFmtId="167" fontId="8" fillId="5" borderId="35" xfId="2" applyNumberFormat="1" applyFont="1" applyFill="1" applyBorder="1" applyAlignment="1">
      <alignment horizontal="center" vertical="center" textRotation="90" shrinkToFit="1"/>
    </xf>
    <xf numFmtId="1" fontId="8" fillId="6" borderId="17" xfId="2" applyNumberFormat="1" applyFont="1" applyFill="1" applyBorder="1" applyAlignment="1">
      <alignment horizontal="center" vertical="center" textRotation="90" wrapText="1" shrinkToFit="1"/>
    </xf>
    <xf numFmtId="1" fontId="8" fillId="6" borderId="26" xfId="2" applyNumberFormat="1" applyFont="1" applyFill="1" applyBorder="1" applyAlignment="1">
      <alignment horizontal="center" vertical="center" textRotation="90" wrapText="1" shrinkToFit="1"/>
    </xf>
    <xf numFmtId="167" fontId="8" fillId="6" borderId="18" xfId="2" applyNumberFormat="1" applyFont="1" applyFill="1" applyBorder="1" applyAlignment="1">
      <alignment horizontal="center" vertical="center" textRotation="90" wrapText="1" shrinkToFit="1"/>
    </xf>
    <xf numFmtId="167" fontId="8" fillId="6" borderId="27" xfId="2" applyNumberFormat="1" applyFont="1" applyFill="1" applyBorder="1" applyAlignment="1">
      <alignment horizontal="center" vertical="center" textRotation="90" wrapText="1" shrinkToFit="1"/>
    </xf>
    <xf numFmtId="167" fontId="8" fillId="6" borderId="19" xfId="2" applyNumberFormat="1" applyFont="1" applyFill="1" applyBorder="1" applyAlignment="1">
      <alignment horizontal="center" vertical="center" textRotation="90" wrapText="1" shrinkToFit="1"/>
    </xf>
    <xf numFmtId="167" fontId="8" fillId="6" borderId="28" xfId="2" applyNumberFormat="1" applyFont="1" applyFill="1" applyBorder="1" applyAlignment="1">
      <alignment horizontal="center" vertical="center" textRotation="90" wrapText="1" shrinkToFit="1"/>
    </xf>
    <xf numFmtId="1" fontId="8" fillId="6" borderId="20" xfId="2" applyNumberFormat="1" applyFont="1" applyFill="1" applyBorder="1" applyAlignment="1">
      <alignment horizontal="center" vertical="center" textRotation="90" shrinkToFit="1"/>
    </xf>
    <xf numFmtId="1" fontId="8" fillId="6" borderId="1" xfId="2" applyNumberFormat="1" applyFont="1" applyFill="1" applyBorder="1" applyAlignment="1">
      <alignment horizontal="center" vertical="center" textRotation="90" shrinkToFit="1"/>
    </xf>
    <xf numFmtId="167" fontId="8" fillId="5" borderId="21" xfId="2" applyNumberFormat="1" applyFont="1" applyFill="1" applyBorder="1" applyAlignment="1">
      <alignment horizontal="center" vertical="center" textRotation="90" shrinkToFit="1"/>
    </xf>
    <xf numFmtId="167" fontId="8" fillId="5" borderId="8" xfId="2" applyNumberFormat="1" applyFont="1" applyFill="1" applyBorder="1" applyAlignment="1">
      <alignment horizontal="center" vertical="center" textRotation="90" shrinkToFit="1"/>
    </xf>
    <xf numFmtId="167" fontId="8" fillId="5" borderId="36" xfId="2" applyNumberFormat="1" applyFont="1" applyFill="1" applyBorder="1" applyAlignment="1">
      <alignment horizontal="center" vertical="center" textRotation="90" shrinkToFit="1"/>
    </xf>
    <xf numFmtId="167" fontId="8" fillId="5" borderId="22" xfId="2" applyNumberFormat="1" applyFont="1" applyFill="1" applyBorder="1" applyAlignment="1">
      <alignment horizontal="center" vertical="center" textRotation="90" shrinkToFit="1"/>
    </xf>
    <xf numFmtId="167" fontId="8" fillId="5" borderId="29" xfId="2" applyNumberFormat="1" applyFont="1" applyFill="1" applyBorder="1" applyAlignment="1">
      <alignment horizontal="center" vertical="center" textRotation="90" shrinkToFit="1"/>
    </xf>
    <xf numFmtId="167" fontId="8" fillId="5" borderId="37" xfId="2" applyNumberFormat="1" applyFont="1" applyFill="1" applyBorder="1" applyAlignment="1">
      <alignment horizontal="center" vertical="center" textRotation="90" shrinkToFit="1"/>
    </xf>
    <xf numFmtId="167" fontId="3" fillId="5" borderId="23" xfId="2" applyNumberFormat="1" applyFont="1" applyFill="1" applyBorder="1" applyAlignment="1">
      <alignment horizontal="center" wrapText="1" shrinkToFit="1"/>
    </xf>
    <xf numFmtId="167" fontId="3" fillId="5" borderId="22" xfId="2" applyNumberFormat="1" applyFont="1" applyFill="1" applyBorder="1" applyAlignment="1">
      <alignment horizontal="center" wrapText="1" shrinkToFit="1"/>
    </xf>
    <xf numFmtId="167" fontId="3" fillId="5" borderId="30" xfId="2" applyNumberFormat="1" applyFont="1" applyFill="1" applyBorder="1" applyAlignment="1">
      <alignment horizontal="center" wrapText="1" shrinkToFit="1"/>
    </xf>
    <xf numFmtId="167" fontId="3" fillId="5" borderId="29" xfId="2" applyNumberFormat="1" applyFont="1" applyFill="1" applyBorder="1" applyAlignment="1">
      <alignment horizontal="center" wrapText="1" shrinkToFit="1"/>
    </xf>
    <xf numFmtId="3" fontId="11" fillId="7" borderId="23" xfId="2" applyNumberFormat="1" applyFont="1" applyFill="1" applyBorder="1" applyAlignment="1">
      <alignment horizontal="center" vertical="center" wrapText="1"/>
    </xf>
    <xf numFmtId="3" fontId="11" fillId="7" borderId="21" xfId="2" applyNumberFormat="1" applyFont="1" applyFill="1" applyBorder="1" applyAlignment="1">
      <alignment horizontal="center" vertical="center" wrapText="1"/>
    </xf>
    <xf numFmtId="3" fontId="11" fillId="7" borderId="22" xfId="2" applyNumberFormat="1" applyFont="1" applyFill="1" applyBorder="1" applyAlignment="1">
      <alignment horizontal="center" vertical="center" wrapText="1"/>
    </xf>
    <xf numFmtId="4" fontId="7" fillId="0" borderId="14" xfId="2" applyNumberFormat="1" applyFont="1" applyBorder="1" applyAlignment="1">
      <alignment horizontal="center" vertical="center" shrinkToFit="1"/>
    </xf>
    <xf numFmtId="4" fontId="7" fillId="0" borderId="5" xfId="2" applyNumberFormat="1" applyFont="1" applyBorder="1" applyAlignment="1">
      <alignment horizontal="center" vertical="center" shrinkToFit="1"/>
    </xf>
    <xf numFmtId="4" fontId="7" fillId="0" borderId="6" xfId="2" applyNumberFormat="1" applyFont="1" applyBorder="1" applyAlignment="1">
      <alignment horizontal="center" vertical="center" shrinkToFit="1"/>
    </xf>
    <xf numFmtId="4" fontId="7" fillId="0" borderId="7" xfId="2" applyNumberFormat="1" applyFont="1" applyBorder="1" applyAlignment="1">
      <alignment horizontal="center" vertical="center" shrinkToFit="1"/>
    </xf>
    <xf numFmtId="3" fontId="11" fillId="7" borderId="23" xfId="2" applyNumberFormat="1" applyFont="1" applyFill="1" applyBorder="1" applyAlignment="1">
      <alignment horizontal="center" vertical="center"/>
    </xf>
    <xf numFmtId="3" fontId="11" fillId="7" borderId="21" xfId="2" applyNumberFormat="1" applyFont="1" applyFill="1" applyBorder="1" applyAlignment="1">
      <alignment horizontal="center" vertical="center"/>
    </xf>
    <xf numFmtId="3" fontId="11" fillId="7" borderId="22" xfId="2" applyNumberFormat="1" applyFont="1" applyFill="1" applyBorder="1" applyAlignment="1">
      <alignment horizontal="center" vertical="center"/>
    </xf>
    <xf numFmtId="167" fontId="8" fillId="5" borderId="24" xfId="2" applyNumberFormat="1" applyFont="1" applyFill="1" applyBorder="1" applyAlignment="1">
      <alignment horizontal="center" vertical="center" shrinkToFit="1"/>
    </xf>
    <xf numFmtId="167" fontId="8" fillId="5" borderId="31" xfId="2" applyNumberFormat="1" applyFont="1" applyFill="1" applyBorder="1" applyAlignment="1">
      <alignment horizontal="center" vertical="center" shrinkToFit="1"/>
    </xf>
    <xf numFmtId="167" fontId="8" fillId="5" borderId="42" xfId="2" applyNumberFormat="1" applyFont="1" applyFill="1" applyBorder="1" applyAlignment="1">
      <alignment horizontal="center" vertical="center" shrinkToFit="1"/>
    </xf>
    <xf numFmtId="3" fontId="11" fillId="7" borderId="30" xfId="2" applyNumberFormat="1" applyFont="1" applyFill="1" applyBorder="1" applyAlignment="1">
      <alignment horizontal="center" vertical="center" wrapText="1"/>
    </xf>
    <xf numFmtId="3" fontId="11" fillId="7" borderId="8" xfId="2" applyNumberFormat="1" applyFont="1" applyFill="1" applyBorder="1" applyAlignment="1">
      <alignment horizontal="center" vertical="center" wrapText="1"/>
    </xf>
    <xf numFmtId="3" fontId="11" fillId="7" borderId="29" xfId="2" applyNumberFormat="1" applyFont="1" applyFill="1" applyBorder="1" applyAlignment="1">
      <alignment horizontal="center" vertical="center" wrapText="1"/>
    </xf>
    <xf numFmtId="3" fontId="11" fillId="7" borderId="30" xfId="2" applyNumberFormat="1" applyFont="1" applyFill="1" applyBorder="1" applyAlignment="1">
      <alignment horizontal="center" vertical="center"/>
    </xf>
    <xf numFmtId="3" fontId="11" fillId="7" borderId="8" xfId="2" applyNumberFormat="1" applyFont="1" applyFill="1" applyBorder="1" applyAlignment="1">
      <alignment horizontal="center" vertical="center"/>
    </xf>
    <xf numFmtId="3" fontId="11" fillId="7" borderId="29" xfId="2" applyNumberFormat="1" applyFont="1" applyFill="1" applyBorder="1" applyAlignment="1">
      <alignment horizontal="center" vertical="center"/>
    </xf>
    <xf numFmtId="0" fontId="12" fillId="3" borderId="33" xfId="2" applyFont="1" applyFill="1" applyBorder="1" applyAlignment="1">
      <alignment horizontal="center" shrinkToFit="1"/>
    </xf>
    <xf numFmtId="0" fontId="12" fillId="3" borderId="34" xfId="2" applyFont="1" applyFill="1" applyBorder="1" applyAlignment="1">
      <alignment horizontal="center" shrinkToFit="1"/>
    </xf>
    <xf numFmtId="0" fontId="12" fillId="3" borderId="32" xfId="2" applyFont="1" applyFill="1" applyBorder="1" applyAlignment="1">
      <alignment horizontal="center" shrinkToFit="1"/>
    </xf>
    <xf numFmtId="167" fontId="8" fillId="4" borderId="40" xfId="2" applyNumberFormat="1" applyFont="1" applyFill="1" applyBorder="1" applyAlignment="1">
      <alignment horizontal="center" vertical="center" textRotation="1" shrinkToFit="1"/>
    </xf>
    <xf numFmtId="167" fontId="8" fillId="4" borderId="41" xfId="2" applyNumberFormat="1" applyFont="1" applyFill="1" applyBorder="1" applyAlignment="1">
      <alignment horizontal="center" vertical="center" textRotation="1" shrinkToFit="1"/>
    </xf>
    <xf numFmtId="167" fontId="8" fillId="4" borderId="39" xfId="2" applyNumberFormat="1" applyFont="1" applyFill="1" applyBorder="1" applyAlignment="1">
      <alignment horizontal="center" vertical="center" textRotation="1" shrinkToFit="1"/>
    </xf>
    <xf numFmtId="167" fontId="8" fillId="4" borderId="36" xfId="2" applyNumberFormat="1" applyFont="1" applyFill="1" applyBorder="1" applyAlignment="1">
      <alignment horizontal="center" vertical="center" textRotation="1" shrinkToFit="1"/>
    </xf>
    <xf numFmtId="167" fontId="8" fillId="9" borderId="40" xfId="2" applyNumberFormat="1" applyFont="1" applyFill="1" applyBorder="1" applyAlignment="1">
      <alignment horizontal="center" vertical="center" shrinkToFit="1"/>
    </xf>
    <xf numFmtId="167" fontId="8" fillId="9" borderId="41" xfId="2" applyNumberFormat="1" applyFont="1" applyFill="1" applyBorder="1" applyAlignment="1">
      <alignment horizontal="center" vertical="center" shrinkToFit="1"/>
    </xf>
    <xf numFmtId="167" fontId="8" fillId="9" borderId="39" xfId="2" applyNumberFormat="1" applyFont="1" applyFill="1" applyBorder="1" applyAlignment="1">
      <alignment horizontal="center" vertical="center" shrinkToFit="1"/>
    </xf>
    <xf numFmtId="3" fontId="11" fillId="0" borderId="18" xfId="11" applyNumberFormat="1" applyFont="1" applyBorder="1" applyAlignment="1">
      <alignment horizontal="center" vertical="center" wrapText="1"/>
    </xf>
    <xf numFmtId="3" fontId="11" fillId="0" borderId="27" xfId="11" applyNumberFormat="1" applyFont="1" applyBorder="1" applyAlignment="1">
      <alignment horizontal="center" vertical="center" wrapText="1"/>
    </xf>
    <xf numFmtId="167" fontId="8" fillId="0" borderId="18" xfId="11" applyNumberFormat="1" applyFont="1" applyBorder="1" applyAlignment="1">
      <alignment horizontal="center" vertical="center" shrinkToFit="1"/>
    </xf>
    <xf numFmtId="167" fontId="8" fillId="0" borderId="27" xfId="11" applyNumberFormat="1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167" fontId="8" fillId="0" borderId="18" xfId="11" applyNumberFormat="1" applyFont="1" applyBorder="1" applyAlignment="1">
      <alignment horizontal="center" vertical="center" textRotation="90" shrinkToFit="1"/>
    </xf>
    <xf numFmtId="167" fontId="8" fillId="0" borderId="27" xfId="11" applyNumberFormat="1" applyFont="1" applyBorder="1" applyAlignment="1">
      <alignment horizontal="center" vertical="center" textRotation="90" shrinkToFit="1"/>
    </xf>
    <xf numFmtId="167" fontId="8" fillId="0" borderId="19" xfId="11" applyNumberFormat="1" applyFont="1" applyBorder="1" applyAlignment="1">
      <alignment horizontal="center" vertical="center" textRotation="90" wrapText="1" shrinkToFit="1"/>
    </xf>
    <xf numFmtId="167" fontId="8" fillId="0" borderId="28" xfId="11" applyNumberFormat="1" applyFont="1" applyBorder="1" applyAlignment="1">
      <alignment horizontal="center" vertical="center" textRotation="90" wrapText="1" shrinkToFit="1"/>
    </xf>
    <xf numFmtId="167" fontId="8" fillId="0" borderId="17" xfId="11" applyNumberFormat="1" applyFont="1" applyBorder="1" applyAlignment="1">
      <alignment horizontal="center" vertical="center" textRotation="90" shrinkToFit="1"/>
    </xf>
    <xf numFmtId="167" fontId="8" fillId="0" borderId="26" xfId="11" applyNumberFormat="1" applyFont="1" applyBorder="1" applyAlignment="1">
      <alignment horizontal="center" vertical="center" textRotation="90" shrinkToFit="1"/>
    </xf>
    <xf numFmtId="3" fontId="8" fillId="0" borderId="18" xfId="11" applyNumberFormat="1" applyFont="1" applyBorder="1" applyAlignment="1">
      <alignment horizontal="center" vertical="center" wrapText="1"/>
    </xf>
    <xf numFmtId="3" fontId="8" fillId="0" borderId="27" xfId="11" applyNumberFormat="1" applyFont="1" applyBorder="1" applyAlignment="1">
      <alignment horizontal="center" vertical="center"/>
    </xf>
    <xf numFmtId="0" fontId="8" fillId="0" borderId="6" xfId="6" applyFont="1" applyBorder="1" applyAlignment="1">
      <alignment horizontal="left" vertical="center"/>
    </xf>
    <xf numFmtId="0" fontId="8" fillId="0" borderId="7" xfId="6" applyFont="1" applyBorder="1" applyAlignment="1">
      <alignment horizontal="left" vertical="center"/>
    </xf>
    <xf numFmtId="0" fontId="19" fillId="0" borderId="2" xfId="6" applyFont="1" applyBorder="1" applyAlignment="1">
      <alignment horizontal="center" vertical="center" wrapText="1"/>
    </xf>
    <xf numFmtId="0" fontId="19" fillId="0" borderId="3" xfId="6" applyFont="1" applyBorder="1" applyAlignment="1">
      <alignment horizontal="center" vertical="center" wrapText="1"/>
    </xf>
    <xf numFmtId="0" fontId="19" fillId="0" borderId="4" xfId="6" applyFont="1" applyBorder="1" applyAlignment="1">
      <alignment horizontal="center" vertical="center" wrapText="1"/>
    </xf>
    <xf numFmtId="0" fontId="19" fillId="0" borderId="5" xfId="6" applyFont="1" applyBorder="1" applyAlignment="1">
      <alignment horizontal="center" vertical="center" wrapText="1"/>
    </xf>
    <xf numFmtId="0" fontId="19" fillId="0" borderId="6" xfId="6" applyFont="1" applyBorder="1" applyAlignment="1">
      <alignment horizontal="center" vertical="center" wrapText="1"/>
    </xf>
    <xf numFmtId="0" fontId="19" fillId="0" borderId="7" xfId="6" applyFont="1" applyBorder="1" applyAlignment="1">
      <alignment horizontal="center" vertical="center" wrapText="1"/>
    </xf>
    <xf numFmtId="0" fontId="3" fillId="0" borderId="2" xfId="14" applyFont="1" applyBorder="1" applyAlignment="1">
      <alignment horizontal="center" vertical="center"/>
    </xf>
    <xf numFmtId="0" fontId="3" fillId="0" borderId="4" xfId="14" applyFont="1" applyBorder="1" applyAlignment="1">
      <alignment horizontal="center" vertical="center"/>
    </xf>
    <xf numFmtId="4" fontId="10" fillId="16" borderId="5" xfId="15" applyNumberFormat="1" applyFont="1" applyFill="1" applyBorder="1" applyAlignment="1">
      <alignment horizontal="center" vertical="center" shrinkToFit="1"/>
    </xf>
    <xf numFmtId="4" fontId="10" fillId="16" borderId="7" xfId="15" applyNumberFormat="1" applyFont="1" applyFill="1" applyBorder="1" applyAlignment="1">
      <alignment horizontal="center" vertical="center" shrinkToFit="1"/>
    </xf>
    <xf numFmtId="166" fontId="3" fillId="0" borderId="14" xfId="14" applyNumberFormat="1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 wrapText="1"/>
    </xf>
    <xf numFmtId="0" fontId="20" fillId="0" borderId="3" xfId="6" applyFont="1" applyBorder="1" applyAlignment="1">
      <alignment horizontal="center" vertical="center" wrapText="1"/>
    </xf>
    <xf numFmtId="0" fontId="20" fillId="0" borderId="4" xfId="6" applyFont="1" applyBorder="1" applyAlignment="1">
      <alignment horizontal="center" vertical="center" wrapText="1"/>
    </xf>
    <xf numFmtId="0" fontId="20" fillId="0" borderId="11" xfId="6" applyFont="1" applyBorder="1" applyAlignment="1">
      <alignment horizontal="center" vertical="center" wrapText="1"/>
    </xf>
    <xf numFmtId="0" fontId="20" fillId="0" borderId="12" xfId="6" applyFont="1" applyBorder="1" applyAlignment="1">
      <alignment horizontal="center" vertical="center" wrapText="1"/>
    </xf>
    <xf numFmtId="0" fontId="20" fillId="0" borderId="13" xfId="6" applyFont="1" applyBorder="1" applyAlignment="1">
      <alignment horizontal="center" vertical="center" wrapText="1"/>
    </xf>
  </cellXfs>
  <cellStyles count="16">
    <cellStyle name="Normal" xfId="0" builtinId="0"/>
    <cellStyle name="Normal 2" xfId="7" xr:uid="{E0F6FB4D-4F4E-4416-92F5-857AC78F9DAF}"/>
    <cellStyle name="Normal 2 2" xfId="5" xr:uid="{47E6001C-44BF-4385-A047-F35672721919}"/>
    <cellStyle name="Normal 3" xfId="1" xr:uid="{2E099B9F-8AB0-4BC3-AAF1-03E6DDD1A12E}"/>
    <cellStyle name="Normal 3 2" xfId="2" xr:uid="{7567122C-9726-4F9E-B565-39890C2E9CF5}"/>
    <cellStyle name="Normal 3 2 2" xfId="6" xr:uid="{80769C3D-7867-43DB-93AD-2A9E9953BCAB}"/>
    <cellStyle name="Normal 3 2 2 2 2" xfId="11" xr:uid="{AAAB418E-7CDD-4344-AAF7-F6A85F9CA541}"/>
    <cellStyle name="Normal 3 2 2 2 2 2" xfId="4" xr:uid="{D7A2BE9D-4984-473F-8399-A9903A147BBE}"/>
    <cellStyle name="Normal 3 2 2 2 2 2 2" xfId="9" xr:uid="{D96210A6-48F7-42B2-9FFD-5E82697DFD95}"/>
    <cellStyle name="Normal 3 2 6" xfId="12" xr:uid="{939D2A9B-89BB-49CF-BCFB-B81FE7C472C1}"/>
    <cellStyle name="Normal 3 2 7" xfId="15" xr:uid="{22C2D2E5-AB0E-4CCD-8FD5-6C2650633DFE}"/>
    <cellStyle name="Normal 3 2 8" xfId="3" xr:uid="{894FCF2B-E01F-4EE7-AABB-1D5F27AA2044}"/>
    <cellStyle name="Normal 3 2 8 2" xfId="8" xr:uid="{E139E21A-7616-4B5A-A0FC-BDC6899C50C5}"/>
    <cellStyle name="Normal 3 7" xfId="13" xr:uid="{233E89D8-E637-4405-95A7-9075F83BD436}"/>
    <cellStyle name="Normal 3 8" xfId="14" xr:uid="{645E382E-8E8B-4F64-BC41-AC97D686ECF5}"/>
    <cellStyle name="Porcentaje 2" xfId="10" xr:uid="{592989B5-280D-42B8-A409-6E31379772EA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FF00"/>
        </patternFill>
      </fill>
    </dxf>
    <dxf>
      <font>
        <b/>
        <i val="0"/>
        <strike val="0"/>
        <color rgb="FF00000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FF00"/>
        </patternFill>
      </fill>
    </dxf>
    <dxf>
      <font>
        <b/>
        <i val="0"/>
        <strike val="0"/>
        <color rgb="FF00000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rgb="FFFF000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00000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4</xdr:row>
      <xdr:rowOff>114300</xdr:rowOff>
    </xdr:to>
    <xdr:sp macro="" textlink="">
      <xdr:nvSpPr>
        <xdr:cNvPr id="6" name="AutoShape 1" descr="Mostrando Sin título-3.jpg">
          <a:extLst>
            <a:ext uri="{FF2B5EF4-FFF2-40B4-BE49-F238E27FC236}">
              <a16:creationId xmlns:a16="http://schemas.microsoft.com/office/drawing/2014/main" id="{99EEB737-3834-45CD-9E1D-F3BEDE6C2BD8}"/>
            </a:ext>
          </a:extLst>
        </xdr:cNvPr>
        <xdr:cNvSpPr>
          <a:spLocks noChangeAspect="1" noChangeArrowheads="1"/>
        </xdr:cNvSpPr>
      </xdr:nvSpPr>
      <xdr:spPr bwMode="auto">
        <a:xfrm>
          <a:off x="31746825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4</xdr:row>
      <xdr:rowOff>114300</xdr:rowOff>
    </xdr:to>
    <xdr:sp macro="" textlink="">
      <xdr:nvSpPr>
        <xdr:cNvPr id="8" name="AutoShape 1" descr="Mostrando Sin título-3.jpg">
          <a:extLst>
            <a:ext uri="{FF2B5EF4-FFF2-40B4-BE49-F238E27FC236}">
              <a16:creationId xmlns:a16="http://schemas.microsoft.com/office/drawing/2014/main" id="{DC2875D3-82CD-4B9F-BC98-18A2C76FDBD7}"/>
            </a:ext>
          </a:extLst>
        </xdr:cNvPr>
        <xdr:cNvSpPr>
          <a:spLocks noChangeAspect="1" noChangeArrowheads="1"/>
        </xdr:cNvSpPr>
      </xdr:nvSpPr>
      <xdr:spPr bwMode="auto">
        <a:xfrm>
          <a:off x="31746825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10" name="Imagen 9" descr="X:\CALIDAD\DOCUMENTOS INTERNOS\9. Logo empresa\LOGO 1200X1200PX.png">
          <a:extLst>
            <a:ext uri="{FF2B5EF4-FFF2-40B4-BE49-F238E27FC236}">
              <a16:creationId xmlns:a16="http://schemas.microsoft.com/office/drawing/2014/main" id="{DFB1486B-2204-4C0D-95E9-93DD4514C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11" name="Imagen 10" descr="X:\CALIDAD\DOCUMENTOS INTERNOS\9. Logo empresa\LOGO 1200X1200PX.png">
          <a:extLst>
            <a:ext uri="{FF2B5EF4-FFF2-40B4-BE49-F238E27FC236}">
              <a16:creationId xmlns:a16="http://schemas.microsoft.com/office/drawing/2014/main" id="{B26755F1-FE0A-4D0C-ADD6-F52C023E02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FC31-2662-49F9-BA99-558F38B57518}">
  <dimension ref="A1:BL9"/>
  <sheetViews>
    <sheetView tabSelected="1" topLeftCell="M1" zoomScale="115" zoomScaleNormal="115" workbookViewId="0">
      <selection activeCell="E2" sqref="E2:AO3"/>
    </sheetView>
  </sheetViews>
  <sheetFormatPr baseColWidth="10" defaultColWidth="7.140625" defaultRowHeight="15" x14ac:dyDescent="0.25"/>
  <cols>
    <col min="1" max="1" width="3.5703125" customWidth="1"/>
    <col min="2" max="2" width="10.85546875" customWidth="1"/>
    <col min="3" max="3" width="11" customWidth="1"/>
    <col min="4" max="4" width="4.28515625" customWidth="1"/>
    <col min="5" max="5" width="3.85546875" customWidth="1"/>
    <col min="6" max="6" width="12.7109375" hidden="1" customWidth="1"/>
    <col min="7" max="7" width="12.28515625" customWidth="1"/>
    <col min="8" max="8" width="4.5703125" customWidth="1"/>
    <col min="9" max="9" width="3.85546875" bestFit="1" customWidth="1"/>
    <col min="10" max="10" width="4.5703125" customWidth="1"/>
    <col min="11" max="12" width="5.7109375" customWidth="1"/>
    <col min="13" max="13" width="9.85546875" customWidth="1"/>
    <col min="14" max="14" width="9.5703125" customWidth="1"/>
    <col min="15" max="15" width="6.28515625" customWidth="1"/>
    <col min="16" max="16" width="9.42578125" customWidth="1"/>
    <col min="17" max="19" width="5.42578125" hidden="1" customWidth="1"/>
    <col min="20" max="20" width="8.28515625" customWidth="1"/>
    <col min="21" max="21" width="6.5703125" customWidth="1"/>
    <col min="22" max="22" width="5.42578125" customWidth="1"/>
    <col min="23" max="24" width="5.7109375" customWidth="1"/>
    <col min="25" max="25" width="9.7109375" customWidth="1"/>
    <col min="26" max="26" width="9.42578125" customWidth="1"/>
    <col min="27" max="27" width="7.7109375" customWidth="1"/>
    <col min="28" max="28" width="9.42578125" customWidth="1"/>
    <col min="29" max="31" width="4.28515625" hidden="1" customWidth="1"/>
    <col min="32" max="32" width="8.28515625" customWidth="1"/>
    <col min="33" max="36" width="6.140625" customWidth="1"/>
    <col min="37" max="38" width="9.7109375" customWidth="1"/>
    <col min="39" max="39" width="6.7109375" customWidth="1"/>
    <col min="40" max="40" width="9.140625" customWidth="1"/>
    <col min="41" max="41" width="5.7109375" hidden="1" customWidth="1"/>
    <col min="42" max="42" width="8.85546875" hidden="1" customWidth="1"/>
    <col min="43" max="43" width="9.140625" bestFit="1" customWidth="1"/>
    <col min="44" max="44" width="8.28515625" customWidth="1"/>
    <col min="45" max="45" width="9.140625" customWidth="1"/>
    <col min="46" max="46" width="15.140625" customWidth="1"/>
    <col min="47" max="49" width="11.85546875" customWidth="1"/>
    <col min="50" max="50" width="15.42578125" customWidth="1"/>
    <col min="51" max="51" width="15" customWidth="1"/>
    <col min="52" max="53" width="16" customWidth="1"/>
    <col min="54" max="54" width="15" bestFit="1" customWidth="1"/>
    <col min="55" max="55" width="15.140625" customWidth="1"/>
    <col min="56" max="56" width="9" customWidth="1"/>
    <col min="57" max="57" width="5.5703125" customWidth="1"/>
    <col min="58" max="58" width="4.28515625" customWidth="1"/>
    <col min="59" max="59" width="18.28515625" customWidth="1"/>
    <col min="61" max="61" width="6.85546875" customWidth="1"/>
    <col min="62" max="62" width="9" customWidth="1"/>
    <col min="63" max="63" width="11" customWidth="1"/>
    <col min="64" max="64" width="13.140625" customWidth="1"/>
  </cols>
  <sheetData>
    <row r="1" spans="1:64" ht="26.25" customHeight="1" thickBot="1" x14ac:dyDescent="0.3">
      <c r="A1" s="1"/>
      <c r="B1" s="2"/>
      <c r="C1" s="2"/>
      <c r="D1" s="3"/>
      <c r="E1" s="100" t="s">
        <v>0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172" t="s">
        <v>1</v>
      </c>
      <c r="AQ1" s="173"/>
      <c r="AR1" s="173"/>
      <c r="AS1" s="173"/>
      <c r="AT1" s="174"/>
      <c r="AU1" s="4"/>
      <c r="AV1" s="4"/>
      <c r="AW1" s="4"/>
      <c r="AX1" s="5"/>
      <c r="AY1" s="6" t="s">
        <v>2</v>
      </c>
      <c r="AZ1" s="7">
        <v>100</v>
      </c>
      <c r="BA1" s="7">
        <v>125</v>
      </c>
      <c r="BB1" s="7">
        <v>160</v>
      </c>
      <c r="BC1" s="8">
        <v>200</v>
      </c>
      <c r="BD1" s="8">
        <v>400</v>
      </c>
      <c r="BE1" s="9">
        <v>500</v>
      </c>
      <c r="BF1" s="10"/>
      <c r="BG1" s="10"/>
      <c r="BH1" s="10"/>
      <c r="BI1" s="10"/>
      <c r="BJ1" s="11"/>
      <c r="BK1" s="11"/>
      <c r="BL1" s="11"/>
    </row>
    <row r="2" spans="1:64" ht="21.75" customHeight="1" thickBot="1" x14ac:dyDescent="0.3">
      <c r="A2" s="12"/>
      <c r="B2" s="13"/>
      <c r="C2" s="13"/>
      <c r="D2" s="14"/>
      <c r="E2" s="183" t="s">
        <v>3</v>
      </c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75" t="s">
        <v>46</v>
      </c>
      <c r="AQ2" s="176"/>
      <c r="AR2" s="176"/>
      <c r="AS2" s="176"/>
      <c r="AT2" s="177"/>
      <c r="AU2" s="4"/>
      <c r="AV2" s="4"/>
      <c r="AW2" s="4"/>
      <c r="AX2" s="5"/>
      <c r="AY2" s="6" t="s">
        <v>4</v>
      </c>
      <c r="AZ2" s="9">
        <v>1.6</v>
      </c>
      <c r="BA2" s="9">
        <v>2.5</v>
      </c>
      <c r="BB2" s="15">
        <v>4</v>
      </c>
      <c r="BC2" s="9">
        <v>6.3</v>
      </c>
      <c r="BD2" s="9"/>
      <c r="BE2" s="9"/>
      <c r="BF2" s="10"/>
      <c r="BG2" s="10"/>
      <c r="BH2" s="10"/>
      <c r="BI2" s="10"/>
      <c r="BJ2" s="11"/>
      <c r="BK2" s="11"/>
      <c r="BL2" s="11"/>
    </row>
    <row r="3" spans="1:64" ht="26.25" customHeight="1" thickBot="1" x14ac:dyDescent="0.3">
      <c r="A3" s="16"/>
      <c r="B3" s="17"/>
      <c r="C3" s="17"/>
      <c r="D3" s="18"/>
      <c r="E3" s="186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75" t="s">
        <v>47</v>
      </c>
      <c r="AQ3" s="176"/>
      <c r="AR3" s="176"/>
      <c r="AS3" s="176"/>
      <c r="AT3" s="177"/>
      <c r="AU3" s="4"/>
      <c r="AV3" s="4"/>
      <c r="AW3" s="4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1"/>
      <c r="BK3" s="11"/>
      <c r="BL3" s="11"/>
    </row>
    <row r="4" spans="1:64" ht="24.75" customHeight="1" thickBot="1" x14ac:dyDescent="0.3">
      <c r="A4" s="89" t="s">
        <v>5</v>
      </c>
      <c r="B4" s="89"/>
      <c r="C4" s="89"/>
      <c r="D4" s="89"/>
      <c r="E4" s="90">
        <v>2.5</v>
      </c>
      <c r="F4" s="90"/>
      <c r="G4" s="90"/>
      <c r="H4" s="90"/>
      <c r="I4" s="90"/>
      <c r="J4" s="91" t="s">
        <v>6</v>
      </c>
      <c r="K4" s="92"/>
      <c r="L4" s="92"/>
      <c r="M4" s="92"/>
      <c r="N4" s="93"/>
      <c r="O4" s="94">
        <v>160</v>
      </c>
      <c r="P4" s="94"/>
      <c r="Q4" s="94"/>
      <c r="R4" s="94"/>
      <c r="S4" s="95" t="s">
        <v>7</v>
      </c>
      <c r="T4" s="96"/>
      <c r="U4" s="96"/>
      <c r="V4" s="96"/>
      <c r="W4" s="96"/>
      <c r="X4" s="96"/>
      <c r="Y4" s="96"/>
      <c r="Z4" s="97"/>
      <c r="AA4" s="5"/>
      <c r="AB4" s="5"/>
      <c r="AC4" s="5"/>
      <c r="AD4" s="5"/>
      <c r="AE4" s="5"/>
      <c r="AF4" s="103" t="s">
        <v>8</v>
      </c>
      <c r="AG4" s="103"/>
      <c r="AH4" s="104" t="s">
        <v>9</v>
      </c>
      <c r="AI4" s="105"/>
      <c r="AJ4" s="106"/>
      <c r="AK4" s="104" t="s">
        <v>10</v>
      </c>
      <c r="AL4" s="105"/>
      <c r="AM4" s="106"/>
      <c r="AN4" s="98" t="s">
        <v>11</v>
      </c>
      <c r="AO4" s="99"/>
      <c r="AP4" s="178" t="s">
        <v>48</v>
      </c>
      <c r="AQ4" s="179"/>
      <c r="AR4" s="180" t="s">
        <v>12</v>
      </c>
      <c r="AS4" s="181"/>
      <c r="AT4" s="182"/>
      <c r="AU4" s="4"/>
      <c r="AV4" s="4"/>
      <c r="AW4" s="4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1"/>
      <c r="BK4" s="11"/>
      <c r="BL4" s="11"/>
    </row>
    <row r="5" spans="1:64" ht="27" customHeight="1" thickBot="1" x14ac:dyDescent="0.3">
      <c r="A5" s="170" t="s">
        <v>45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1"/>
      <c r="AA5" s="19"/>
      <c r="AB5" s="19"/>
      <c r="AC5" s="19"/>
      <c r="AD5" s="19"/>
      <c r="AE5" s="19"/>
      <c r="AF5" s="131" t="s">
        <v>13</v>
      </c>
      <c r="AG5" s="131"/>
      <c r="AH5" s="132" t="s">
        <v>14</v>
      </c>
      <c r="AI5" s="133"/>
      <c r="AJ5" s="134"/>
      <c r="AK5" s="132" t="s">
        <v>15</v>
      </c>
      <c r="AL5" s="133"/>
      <c r="AM5" s="134"/>
      <c r="AN5" s="98" t="s">
        <v>16</v>
      </c>
      <c r="AO5" s="99"/>
      <c r="AP5" s="178" t="s">
        <v>48</v>
      </c>
      <c r="AQ5" s="179"/>
      <c r="AR5" s="180" t="s">
        <v>12</v>
      </c>
      <c r="AS5" s="181"/>
      <c r="AT5" s="182"/>
      <c r="AU5" s="4"/>
      <c r="AV5" s="4"/>
      <c r="AW5" s="4"/>
      <c r="AX5" s="19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1"/>
      <c r="BK5" s="11"/>
      <c r="BL5" s="11"/>
    </row>
    <row r="6" spans="1:64" ht="18.75" customHeight="1" x14ac:dyDescent="0.25">
      <c r="A6" s="107" t="s">
        <v>17</v>
      </c>
      <c r="B6" s="110" t="s">
        <v>18</v>
      </c>
      <c r="C6" s="112" t="s">
        <v>19</v>
      </c>
      <c r="D6" s="114" t="s">
        <v>20</v>
      </c>
      <c r="E6" s="116" t="s">
        <v>21</v>
      </c>
      <c r="F6" s="118" t="s">
        <v>22</v>
      </c>
      <c r="G6" s="121" t="s">
        <v>23</v>
      </c>
      <c r="H6" s="124" t="s">
        <v>24</v>
      </c>
      <c r="I6" s="125"/>
      <c r="J6" s="128">
        <f>+E4*1000</f>
        <v>2500</v>
      </c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30"/>
      <c r="V6" s="135">
        <f>AH6*1.6</f>
        <v>25</v>
      </c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7"/>
      <c r="AH6" s="135">
        <f>J6/O4</f>
        <v>15.625</v>
      </c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7"/>
      <c r="AT6" s="138" t="s">
        <v>25</v>
      </c>
      <c r="AU6" s="20"/>
      <c r="AV6" s="20"/>
      <c r="AW6" s="20"/>
      <c r="AX6" s="21"/>
      <c r="AY6" s="10"/>
      <c r="AZ6" s="10"/>
      <c r="BA6" s="10"/>
      <c r="BB6" s="22"/>
      <c r="BC6" s="22"/>
      <c r="BD6" s="22"/>
      <c r="BE6" s="22"/>
      <c r="BF6" s="22"/>
      <c r="BG6" s="22"/>
      <c r="BH6" s="22"/>
      <c r="BI6" s="22"/>
      <c r="BJ6" s="22"/>
      <c r="BK6" s="23"/>
      <c r="BL6" s="23"/>
    </row>
    <row r="7" spans="1:64" ht="25.5" customHeight="1" x14ac:dyDescent="0.25">
      <c r="A7" s="108"/>
      <c r="B7" s="111"/>
      <c r="C7" s="113"/>
      <c r="D7" s="115"/>
      <c r="E7" s="117"/>
      <c r="F7" s="119"/>
      <c r="G7" s="122"/>
      <c r="H7" s="126"/>
      <c r="I7" s="127"/>
      <c r="J7" s="141" t="s">
        <v>8</v>
      </c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3"/>
      <c r="V7" s="144" t="s">
        <v>9</v>
      </c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6"/>
      <c r="AH7" s="144" t="s">
        <v>10</v>
      </c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6"/>
      <c r="AT7" s="139"/>
      <c r="AU7" s="20"/>
      <c r="AV7" s="20"/>
      <c r="AW7" s="20"/>
      <c r="AX7" s="20"/>
      <c r="AY7" s="147" t="s">
        <v>26</v>
      </c>
      <c r="AZ7" s="148"/>
      <c r="BA7" s="149"/>
      <c r="BB7" s="22"/>
      <c r="BC7" s="22"/>
      <c r="BD7" s="22"/>
      <c r="BE7" s="22"/>
      <c r="BF7" s="22"/>
      <c r="BG7" s="22"/>
      <c r="BH7" s="22"/>
      <c r="BI7" s="22"/>
      <c r="BJ7" s="22"/>
      <c r="BK7" s="23"/>
      <c r="BL7" s="23"/>
    </row>
    <row r="8" spans="1:64" ht="83.25" customHeight="1" x14ac:dyDescent="0.25">
      <c r="A8" s="109"/>
      <c r="B8" s="111"/>
      <c r="C8" s="113"/>
      <c r="D8" s="115"/>
      <c r="E8" s="117"/>
      <c r="F8" s="120"/>
      <c r="G8" s="123"/>
      <c r="H8" s="27" t="s">
        <v>27</v>
      </c>
      <c r="I8" s="28" t="s">
        <v>25</v>
      </c>
      <c r="J8" s="29" t="s">
        <v>28</v>
      </c>
      <c r="K8" s="30" t="s">
        <v>29</v>
      </c>
      <c r="L8" s="30" t="s">
        <v>30</v>
      </c>
      <c r="M8" s="31" t="s">
        <v>31</v>
      </c>
      <c r="N8" s="31" t="s">
        <v>32</v>
      </c>
      <c r="O8" s="26" t="s">
        <v>33</v>
      </c>
      <c r="P8" s="150" t="s">
        <v>34</v>
      </c>
      <c r="Q8" s="151"/>
      <c r="R8" s="151"/>
      <c r="S8" s="152"/>
      <c r="T8" s="32" t="s">
        <v>8</v>
      </c>
      <c r="U8" s="33" t="s">
        <v>35</v>
      </c>
      <c r="V8" s="29" t="s">
        <v>28</v>
      </c>
      <c r="W8" s="30" t="s">
        <v>29</v>
      </c>
      <c r="X8" s="30" t="s">
        <v>30</v>
      </c>
      <c r="Y8" s="31" t="s">
        <v>31</v>
      </c>
      <c r="Z8" s="31" t="s">
        <v>32</v>
      </c>
      <c r="AA8" s="26" t="s">
        <v>33</v>
      </c>
      <c r="AB8" s="153" t="s">
        <v>34</v>
      </c>
      <c r="AC8" s="153"/>
      <c r="AD8" s="153"/>
      <c r="AE8" s="153"/>
      <c r="AF8" s="32" t="s">
        <v>9</v>
      </c>
      <c r="AG8" s="33" t="s">
        <v>35</v>
      </c>
      <c r="AH8" s="29" t="s">
        <v>28</v>
      </c>
      <c r="AI8" s="30" t="s">
        <v>29</v>
      </c>
      <c r="AJ8" s="30" t="s">
        <v>30</v>
      </c>
      <c r="AK8" s="31" t="s">
        <v>31</v>
      </c>
      <c r="AL8" s="31" t="s">
        <v>32</v>
      </c>
      <c r="AM8" s="26" t="s">
        <v>33</v>
      </c>
      <c r="AN8" s="153" t="s">
        <v>34</v>
      </c>
      <c r="AO8" s="153"/>
      <c r="AP8" s="153"/>
      <c r="AQ8" s="153"/>
      <c r="AR8" s="32" t="s">
        <v>10</v>
      </c>
      <c r="AS8" s="33" t="s">
        <v>35</v>
      </c>
      <c r="AT8" s="140"/>
      <c r="AU8" s="22"/>
      <c r="AV8" s="22"/>
      <c r="AW8" s="22"/>
      <c r="AX8" s="34" t="s">
        <v>36</v>
      </c>
      <c r="AY8" s="35" t="s">
        <v>10</v>
      </c>
      <c r="AZ8" s="35" t="s">
        <v>9</v>
      </c>
      <c r="BA8" s="35" t="s">
        <v>8</v>
      </c>
      <c r="BB8" s="154" t="s">
        <v>37</v>
      </c>
      <c r="BC8" s="155"/>
      <c r="BD8" s="155"/>
      <c r="BE8" s="155"/>
      <c r="BF8" s="155"/>
      <c r="BG8" s="155"/>
      <c r="BH8" s="155"/>
      <c r="BI8" s="155"/>
      <c r="BJ8" s="155"/>
      <c r="BK8" s="155"/>
      <c r="BL8" s="156"/>
    </row>
    <row r="9" spans="1:64" x14ac:dyDescent="0.25">
      <c r="A9" s="36">
        <v>1</v>
      </c>
      <c r="B9" s="37"/>
      <c r="C9" s="37"/>
      <c r="D9" s="38"/>
      <c r="E9" s="36"/>
      <c r="F9" s="39"/>
      <c r="G9" s="40"/>
      <c r="H9" s="41"/>
      <c r="I9" s="42"/>
      <c r="J9" s="43"/>
      <c r="K9" s="44"/>
      <c r="L9" s="44"/>
      <c r="M9" s="88"/>
      <c r="N9" s="88"/>
      <c r="O9" s="45"/>
      <c r="P9" s="25"/>
      <c r="Q9" s="46" t="str">
        <f>LEFT(P9,1)</f>
        <v/>
      </c>
      <c r="R9" s="46" t="str">
        <f>RIGHT(P9,6)</f>
        <v/>
      </c>
      <c r="S9" s="46" t="e">
        <f>+(Q9*60+R9)/(60*60)</f>
        <v>#VALUE!</v>
      </c>
      <c r="T9" s="47" t="e">
        <f>+O9/S9</f>
        <v>#VALUE!</v>
      </c>
      <c r="U9" s="48" t="e">
        <f>+(((N9-M9-O9)/O9)*100)</f>
        <v>#DIV/0!</v>
      </c>
      <c r="V9" s="43"/>
      <c r="W9" s="44"/>
      <c r="X9" s="44"/>
      <c r="Y9" s="88"/>
      <c r="Z9" s="88"/>
      <c r="AA9" s="49"/>
      <c r="AB9" s="25"/>
      <c r="AC9" s="46" t="str">
        <f>LEFT(AB9,2)</f>
        <v/>
      </c>
      <c r="AD9" s="46" t="str">
        <f>RIGHT(AB9,6)</f>
        <v/>
      </c>
      <c r="AE9" s="46" t="e">
        <f>+(AC9*60+AD9)/(60*60)</f>
        <v>#VALUE!</v>
      </c>
      <c r="AF9" s="47" t="e">
        <f>+AA9/AE9</f>
        <v>#VALUE!</v>
      </c>
      <c r="AG9" s="50" t="e">
        <f>+(((Z9-Y9-AA9)/AA9)*100)</f>
        <v>#DIV/0!</v>
      </c>
      <c r="AH9" s="43"/>
      <c r="AI9" s="44"/>
      <c r="AJ9" s="44"/>
      <c r="AK9" s="88"/>
      <c r="AL9" s="88"/>
      <c r="AM9" s="51"/>
      <c r="AN9" s="25"/>
      <c r="AO9" s="46" t="str">
        <f>LEFT(AN9,2)</f>
        <v/>
      </c>
      <c r="AP9" s="46" t="str">
        <f>RIGHT(AN9,6)</f>
        <v/>
      </c>
      <c r="AQ9" s="46" t="e">
        <f>+(AO9*60+AP9)/(60*60)</f>
        <v>#VALUE!</v>
      </c>
      <c r="AR9" s="47" t="e">
        <f>+AM9/AQ9</f>
        <v>#VALUE!</v>
      </c>
      <c r="AS9" s="50" t="e">
        <f>+(((AL9-AK9-AM9)/AM9)*100)</f>
        <v>#DIV/0!</v>
      </c>
      <c r="AT9" s="52" t="e">
        <f>IF(I9&gt;=1,"NO CONFORME",IF(BK9="SIGDIFERENTES",BC9,BL9))</f>
        <v>#DIV/0!</v>
      </c>
      <c r="AU9" s="24" t="b">
        <f>B9&lt;=C9</f>
        <v>1</v>
      </c>
      <c r="AV9" s="24" t="b">
        <f>N9&lt;Y9</f>
        <v>0</v>
      </c>
      <c r="AW9" s="24" t="b">
        <f>Z9&lt;=AK9</f>
        <v>1</v>
      </c>
      <c r="AX9" s="24" t="e">
        <f>IF(I9&gt;=1,"Qcorrecto",IF(AND(AY9="aceptable",AZ9="aceptable",BA9="aceptable"),"Qcorrecto","Qincorrecto"))</f>
        <v>#VALUE!</v>
      </c>
      <c r="AY9" s="24" t="e">
        <f t="shared" ref="AY9" si="0">IF(AR9&lt;$AH$6,"error",IF(AR9&gt;$AH$6*1.1,"error","aceptable"))</f>
        <v>#VALUE!</v>
      </c>
      <c r="AZ9" s="24" t="e">
        <f>IF(AF9&lt;$V$6,"error",IF(AF9&gt;$V$6*1.1,"error","aceptable"))</f>
        <v>#VALUE!</v>
      </c>
      <c r="BA9" s="24" t="e">
        <f>IF(T9&lt;$J$6*0.9,"error",IF(T9&gt;$J$6,"error","aceptable"))</f>
        <v>#VALUE!</v>
      </c>
      <c r="BB9" s="53" t="e">
        <f>(IF(ABS(U9)&lt;1.05,"CONFORME",IF(ABS(AG9)&lt;1.05,"CONFORME",IF(ABS(AS9)&lt;2.55,"CONFORME","NO CONFORME"))))</f>
        <v>#DIV/0!</v>
      </c>
      <c r="BC9" s="54" t="e">
        <f>(IF(ABS(U9)&gt;2.05,"NO CONFORME",IF(ABS(AG9)&gt;2.05,"NO CONFORME",IF(ABS(AS9)&gt;5.05,"NO CONFORME","CONFORME"))))</f>
        <v>#DIV/0!</v>
      </c>
      <c r="BD9" s="52" t="e">
        <f>SIGN(U9)</f>
        <v>#DIV/0!</v>
      </c>
      <c r="BE9" s="52" t="e">
        <f>SIGN(AG9)</f>
        <v>#DIV/0!</v>
      </c>
      <c r="BF9" s="52" t="e">
        <f t="shared" ref="BF9" si="1">SIGN(AS9)</f>
        <v>#DIV/0!</v>
      </c>
      <c r="BG9" s="52" t="e">
        <f t="shared" ref="BG9" si="2">CONCATENATE(BD9,BE9,BF9)</f>
        <v>#DIV/0!</v>
      </c>
      <c r="BH9" s="52" t="e">
        <f t="shared" ref="BH9" si="3">IF(BG9="111","SI","SD")</f>
        <v>#DIV/0!</v>
      </c>
      <c r="BI9" s="52" t="e">
        <f t="shared" ref="BI9" si="4">IF(BG9="-1-1-1","SI","SD")</f>
        <v>#DIV/0!</v>
      </c>
      <c r="BJ9" s="52" t="e">
        <f t="shared" ref="BJ9" si="5">OR(BH9="SI",BI9="SI")</f>
        <v>#DIV/0!</v>
      </c>
      <c r="BK9" s="52" t="e">
        <f t="shared" ref="BK9" si="6">IF(BJ9=FALSE,"SIGDIFERENTES","SIGIGUALES")</f>
        <v>#DIV/0!</v>
      </c>
      <c r="BL9" s="24" t="e">
        <f t="shared" ref="BL9" si="7">IF(BC9="NO CONFORME","NO CONFORME",IF(BB9="CONFORME","CONFORME","NO CONFORME"))</f>
        <v>#DIV/0!</v>
      </c>
    </row>
  </sheetData>
  <protectedRanges>
    <protectedRange sqref="J6 V6 AH6:AH7 E4 O4" name="Rango3"/>
    <protectedRange sqref="V9:AB9" name="Rango2"/>
    <protectedRange sqref="A9:P9" name="Rango1"/>
    <protectedRange sqref="AH9:AN9" name="Rango4"/>
  </protectedRanges>
  <autoFilter ref="A8:BL8" xr:uid="{87AFFC31-2662-49F9-BA99-558F38B57518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Y7:BA7"/>
    <mergeCell ref="P8:S8"/>
    <mergeCell ref="AB8:AE8"/>
    <mergeCell ref="AN8:AQ8"/>
    <mergeCell ref="BB8:BL8"/>
    <mergeCell ref="V6:AG6"/>
    <mergeCell ref="AH6:AS6"/>
    <mergeCell ref="AT6:AT8"/>
    <mergeCell ref="J7:U7"/>
    <mergeCell ref="V7:AG7"/>
    <mergeCell ref="AH7:AS7"/>
    <mergeCell ref="AR5:AS5"/>
    <mergeCell ref="A6:A8"/>
    <mergeCell ref="B6:B8"/>
    <mergeCell ref="C6:C8"/>
    <mergeCell ref="D6:D8"/>
    <mergeCell ref="E6:E8"/>
    <mergeCell ref="F6:F8"/>
    <mergeCell ref="G6:G8"/>
    <mergeCell ref="H6:I7"/>
    <mergeCell ref="J6:U6"/>
    <mergeCell ref="A5:Z5"/>
    <mergeCell ref="AF5:AG5"/>
    <mergeCell ref="AH5:AJ5"/>
    <mergeCell ref="AK5:AM5"/>
    <mergeCell ref="AN5:AO5"/>
    <mergeCell ref="AP5:AQ5"/>
    <mergeCell ref="AR4:AS4"/>
    <mergeCell ref="E1:AO1"/>
    <mergeCell ref="AP1:AT1"/>
    <mergeCell ref="E2:AO3"/>
    <mergeCell ref="AP2:AT2"/>
    <mergeCell ref="AP3:AT3"/>
    <mergeCell ref="AF4:AG4"/>
    <mergeCell ref="AH4:AJ4"/>
    <mergeCell ref="AK4:AM4"/>
    <mergeCell ref="AN4:AO4"/>
    <mergeCell ref="AP4:AQ4"/>
    <mergeCell ref="A4:D4"/>
    <mergeCell ref="E4:I4"/>
    <mergeCell ref="J4:N4"/>
    <mergeCell ref="O4:R4"/>
    <mergeCell ref="S4:Z4"/>
  </mergeCells>
  <conditionalFormatting sqref="U9:U1048576 AG9:AG1048576 AS9:AS1048576">
    <cfRule type="cellIs" dxfId="26" priority="20" operator="lessThanOrEqual">
      <formula>-100.01</formula>
    </cfRule>
  </conditionalFormatting>
  <conditionalFormatting sqref="U9:U1048576 AG9:AG1048576">
    <cfRule type="cellIs" dxfId="25" priority="17" operator="between">
      <formula>-2.044</formula>
      <formula>-100</formula>
    </cfRule>
    <cfRule type="cellIs" dxfId="24" priority="18" operator="between">
      <formula>2.044</formula>
      <formula>100</formula>
    </cfRule>
  </conditionalFormatting>
  <conditionalFormatting sqref="AG9 U9:U1048576 AS9:AS1048576">
    <cfRule type="cellIs" dxfId="23" priority="19" operator="between">
      <formula>100.01</formula>
      <formula>100000000</formula>
    </cfRule>
  </conditionalFormatting>
  <conditionalFormatting sqref="AS9:AS1048576">
    <cfRule type="cellIs" dxfId="22" priority="21" operator="between">
      <formula>-5.044</formula>
      <formula>-100</formula>
    </cfRule>
    <cfRule type="cellIs" dxfId="21" priority="22" operator="between">
      <formula>5.044</formula>
      <formula>100</formula>
    </cfRule>
  </conditionalFormatting>
  <conditionalFormatting sqref="AT9:AT1048576">
    <cfRule type="cellIs" dxfId="20" priority="23" operator="equal">
      <formula>"NO CONFORME"</formula>
    </cfRule>
  </conditionalFormatting>
  <conditionalFormatting sqref="AU8:AW8">
    <cfRule type="cellIs" dxfId="19" priority="16" operator="equal">
      <formula>"NO CONFORME"</formula>
    </cfRule>
  </conditionalFormatting>
  <conditionalFormatting sqref="AX9:AX1048576">
    <cfRule type="expression" dxfId="18" priority="3">
      <formula>AX9="Qincorrecto"</formula>
    </cfRule>
    <cfRule type="expression" dxfId="17" priority="4">
      <formula>AX9="Qcorrecto"</formula>
    </cfRule>
  </conditionalFormatting>
  <conditionalFormatting sqref="AY9:BA1048576">
    <cfRule type="cellIs" dxfId="16" priority="1" operator="equal">
      <formula>"error"</formula>
    </cfRule>
    <cfRule type="cellIs" dxfId="15" priority="2" operator="equal">
      <formula>#REF!</formula>
    </cfRule>
  </conditionalFormatting>
  <conditionalFormatting sqref="BB9:BC1048576">
    <cfRule type="cellIs" dxfId="14" priority="5" stopIfTrue="1" operator="notBetween">
      <formula>"APROBADO"</formula>
      <formula>"APROBADO"</formula>
    </cfRule>
  </conditionalFormatting>
  <dataValidations disablePrompts="1" count="2">
    <dataValidation type="list" allowBlank="1" showInputMessage="1" showErrorMessage="1" sqref="O4:R4" xr:uid="{BAC1DA7B-5F05-4D7A-8607-B7D742A42AEA}">
      <formula1>$AZ$1:$BE$1</formula1>
    </dataValidation>
    <dataValidation type="list" allowBlank="1" showInputMessage="1" showErrorMessage="1" sqref="E4:I4" xr:uid="{1914A141-6BA9-404D-8AA3-1C053DAE3E3C}">
      <formula1>$AZ$2:$BC$2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19C0-22B6-43D1-9C12-8B4556CBAA15}">
  <dimension ref="B1:H723"/>
  <sheetViews>
    <sheetView workbookViewId="0">
      <selection activeCell="K16" sqref="K16"/>
    </sheetView>
  </sheetViews>
  <sheetFormatPr baseColWidth="10" defaultRowHeight="12.75" x14ac:dyDescent="0.2"/>
  <cols>
    <col min="1" max="3" width="11.42578125" style="58"/>
    <col min="4" max="4" width="13.5703125" style="58" customWidth="1"/>
    <col min="5" max="7" width="11.42578125" style="58"/>
    <col min="8" max="8" width="13.42578125" style="58" customWidth="1"/>
    <col min="9" max="16384" width="11.42578125" style="58"/>
  </cols>
  <sheetData>
    <row r="1" spans="2:8" ht="15" x14ac:dyDescent="0.25">
      <c r="F1" s="55"/>
      <c r="G1" s="56"/>
    </row>
    <row r="2" spans="2:8" x14ac:dyDescent="0.2">
      <c r="B2" s="57" t="s">
        <v>38</v>
      </c>
      <c r="C2" s="57" t="s">
        <v>39</v>
      </c>
    </row>
    <row r="4" spans="2:8" x14ac:dyDescent="0.2">
      <c r="B4" s="40"/>
      <c r="C4" s="57"/>
      <c r="D4" s="58" t="b">
        <f>B4=C4</f>
        <v>1</v>
      </c>
      <c r="F4" s="58" t="str">
        <f>TEXT(E4,"000000")&amp;"-2024"</f>
        <v>000000-2024</v>
      </c>
      <c r="G4" s="39"/>
      <c r="H4" s="58" t="b">
        <f>F4=G4</f>
        <v>0</v>
      </c>
    </row>
    <row r="5" spans="2:8" x14ac:dyDescent="0.2">
      <c r="B5" s="40"/>
      <c r="C5" s="57"/>
      <c r="D5" s="58" t="b">
        <f t="shared" ref="D5:D68" si="0">B5=C5</f>
        <v>1</v>
      </c>
      <c r="F5" s="58" t="str">
        <f t="shared" ref="F5:F68" si="1">TEXT(E5,"000000")&amp;"-2024"</f>
        <v>000000-2024</v>
      </c>
      <c r="G5" s="39"/>
      <c r="H5" s="58" t="b">
        <f t="shared" ref="H5:H68" si="2">F5=G5</f>
        <v>0</v>
      </c>
    </row>
    <row r="6" spans="2:8" x14ac:dyDescent="0.2">
      <c r="B6" s="59"/>
      <c r="C6" s="57"/>
      <c r="D6" s="58" t="b">
        <f t="shared" si="0"/>
        <v>1</v>
      </c>
      <c r="F6" s="58" t="str">
        <f t="shared" si="1"/>
        <v>000000-2024</v>
      </c>
      <c r="G6" s="39"/>
      <c r="H6" s="58" t="b">
        <f t="shared" si="2"/>
        <v>0</v>
      </c>
    </row>
    <row r="7" spans="2:8" x14ac:dyDescent="0.2">
      <c r="B7" s="40"/>
      <c r="C7" s="57"/>
      <c r="D7" s="58" t="b">
        <f t="shared" si="0"/>
        <v>1</v>
      </c>
      <c r="F7" s="58" t="str">
        <f t="shared" si="1"/>
        <v>000000-2024</v>
      </c>
      <c r="G7" s="39"/>
      <c r="H7" s="58" t="b">
        <f t="shared" si="2"/>
        <v>0</v>
      </c>
    </row>
    <row r="8" spans="2:8" x14ac:dyDescent="0.2">
      <c r="B8" s="40"/>
      <c r="C8" s="57"/>
      <c r="D8" s="58" t="b">
        <f t="shared" si="0"/>
        <v>1</v>
      </c>
      <c r="F8" s="58" t="str">
        <f t="shared" si="1"/>
        <v>000000-2024</v>
      </c>
      <c r="G8" s="39"/>
      <c r="H8" s="58" t="b">
        <f t="shared" si="2"/>
        <v>0</v>
      </c>
    </row>
    <row r="9" spans="2:8" x14ac:dyDescent="0.2">
      <c r="B9" s="59"/>
      <c r="C9" s="57"/>
      <c r="D9" s="58" t="b">
        <f t="shared" si="0"/>
        <v>1</v>
      </c>
      <c r="F9" s="58" t="str">
        <f t="shared" si="1"/>
        <v>000000-2024</v>
      </c>
      <c r="G9" s="39"/>
      <c r="H9" s="58" t="b">
        <f t="shared" si="2"/>
        <v>0</v>
      </c>
    </row>
    <row r="10" spans="2:8" x14ac:dyDescent="0.2">
      <c r="B10" s="59"/>
      <c r="C10" s="57"/>
      <c r="D10" s="58" t="b">
        <f t="shared" si="0"/>
        <v>1</v>
      </c>
      <c r="F10" s="58" t="str">
        <f t="shared" si="1"/>
        <v>000000-2024</v>
      </c>
      <c r="G10" s="39"/>
      <c r="H10" s="58" t="b">
        <f t="shared" si="2"/>
        <v>0</v>
      </c>
    </row>
    <row r="11" spans="2:8" x14ac:dyDescent="0.2">
      <c r="B11" s="40"/>
      <c r="C11" s="57"/>
      <c r="D11" s="58" t="b">
        <f t="shared" si="0"/>
        <v>1</v>
      </c>
      <c r="F11" s="58" t="str">
        <f t="shared" si="1"/>
        <v>000000-2024</v>
      </c>
      <c r="G11" s="39"/>
      <c r="H11" s="58" t="b">
        <f t="shared" si="2"/>
        <v>0</v>
      </c>
    </row>
    <row r="12" spans="2:8" x14ac:dyDescent="0.2">
      <c r="B12" s="40"/>
      <c r="C12" s="57"/>
      <c r="D12" s="58" t="b">
        <f t="shared" si="0"/>
        <v>1</v>
      </c>
      <c r="F12" s="58" t="str">
        <f t="shared" si="1"/>
        <v>000000-2024</v>
      </c>
      <c r="G12" s="39"/>
      <c r="H12" s="58" t="b">
        <f t="shared" si="2"/>
        <v>0</v>
      </c>
    </row>
    <row r="13" spans="2:8" ht="13.5" thickBot="1" x14ac:dyDescent="0.25">
      <c r="B13" s="60"/>
      <c r="C13" s="57"/>
      <c r="D13" s="58" t="b">
        <f t="shared" si="0"/>
        <v>1</v>
      </c>
      <c r="F13" s="58" t="str">
        <f t="shared" si="1"/>
        <v>000000-2024</v>
      </c>
      <c r="G13" s="61"/>
      <c r="H13" s="58" t="b">
        <f t="shared" si="2"/>
        <v>0</v>
      </c>
    </row>
    <row r="14" spans="2:8" x14ac:dyDescent="0.2">
      <c r="B14" s="40"/>
      <c r="C14" s="57"/>
      <c r="D14" s="58" t="b">
        <f t="shared" si="0"/>
        <v>1</v>
      </c>
      <c r="F14" s="58" t="str">
        <f t="shared" si="1"/>
        <v>000000-2024</v>
      </c>
      <c r="G14" s="39"/>
      <c r="H14" s="58" t="b">
        <f t="shared" si="2"/>
        <v>0</v>
      </c>
    </row>
    <row r="15" spans="2:8" x14ac:dyDescent="0.2">
      <c r="B15" s="62"/>
      <c r="C15" s="57"/>
      <c r="D15" s="58" t="b">
        <f t="shared" si="0"/>
        <v>1</v>
      </c>
      <c r="F15" s="58" t="str">
        <f t="shared" si="1"/>
        <v>000000-2024</v>
      </c>
      <c r="G15" s="39"/>
      <c r="H15" s="58" t="b">
        <f t="shared" si="2"/>
        <v>0</v>
      </c>
    </row>
    <row r="16" spans="2:8" x14ac:dyDescent="0.2">
      <c r="B16" s="40"/>
      <c r="C16" s="57"/>
      <c r="D16" s="58" t="b">
        <f t="shared" si="0"/>
        <v>1</v>
      </c>
      <c r="F16" s="58" t="str">
        <f t="shared" si="1"/>
        <v>000000-2024</v>
      </c>
      <c r="G16" s="39"/>
      <c r="H16" s="58" t="b">
        <f t="shared" si="2"/>
        <v>0</v>
      </c>
    </row>
    <row r="17" spans="2:8" x14ac:dyDescent="0.2">
      <c r="B17" s="40"/>
      <c r="C17" s="57"/>
      <c r="D17" s="58" t="b">
        <f t="shared" si="0"/>
        <v>1</v>
      </c>
      <c r="F17" s="58" t="str">
        <f t="shared" si="1"/>
        <v>000000-2024</v>
      </c>
      <c r="G17" s="39"/>
      <c r="H17" s="58" t="b">
        <f t="shared" si="2"/>
        <v>0</v>
      </c>
    </row>
    <row r="18" spans="2:8" x14ac:dyDescent="0.2">
      <c r="B18" s="40"/>
      <c r="C18" s="57"/>
      <c r="D18" s="58" t="b">
        <f t="shared" si="0"/>
        <v>1</v>
      </c>
      <c r="F18" s="58" t="str">
        <f t="shared" si="1"/>
        <v>000000-2024</v>
      </c>
      <c r="G18" s="39"/>
      <c r="H18" s="58" t="b">
        <f t="shared" si="2"/>
        <v>0</v>
      </c>
    </row>
    <row r="19" spans="2:8" x14ac:dyDescent="0.2">
      <c r="B19" s="62"/>
      <c r="C19" s="57"/>
      <c r="D19" s="58" t="b">
        <f t="shared" si="0"/>
        <v>1</v>
      </c>
      <c r="F19" s="58" t="str">
        <f t="shared" si="1"/>
        <v>000000-2024</v>
      </c>
      <c r="G19" s="39"/>
      <c r="H19" s="58" t="b">
        <f t="shared" si="2"/>
        <v>0</v>
      </c>
    </row>
    <row r="20" spans="2:8" x14ac:dyDescent="0.2">
      <c r="B20" s="40"/>
      <c r="C20" s="57"/>
      <c r="D20" s="58" t="b">
        <f t="shared" si="0"/>
        <v>1</v>
      </c>
      <c r="F20" s="58" t="str">
        <f t="shared" si="1"/>
        <v>000000-2024</v>
      </c>
      <c r="G20" s="39"/>
      <c r="H20" s="58" t="b">
        <f t="shared" si="2"/>
        <v>0</v>
      </c>
    </row>
    <row r="21" spans="2:8" x14ac:dyDescent="0.2">
      <c r="B21" s="40"/>
      <c r="C21" s="57"/>
      <c r="D21" s="58" t="b">
        <f t="shared" si="0"/>
        <v>1</v>
      </c>
      <c r="F21" s="58" t="str">
        <f t="shared" si="1"/>
        <v>000000-2024</v>
      </c>
      <c r="G21" s="39"/>
      <c r="H21" s="58" t="b">
        <f t="shared" si="2"/>
        <v>0</v>
      </c>
    </row>
    <row r="22" spans="2:8" x14ac:dyDescent="0.2">
      <c r="B22" s="40"/>
      <c r="C22" s="57"/>
      <c r="D22" s="58" t="b">
        <f t="shared" si="0"/>
        <v>1</v>
      </c>
      <c r="F22" s="58" t="str">
        <f t="shared" si="1"/>
        <v>000000-2024</v>
      </c>
      <c r="G22" s="39"/>
      <c r="H22" s="58" t="b">
        <f t="shared" si="2"/>
        <v>0</v>
      </c>
    </row>
    <row r="23" spans="2:8" x14ac:dyDescent="0.2">
      <c r="B23" s="40"/>
      <c r="C23" s="57"/>
      <c r="D23" s="58" t="b">
        <f t="shared" si="0"/>
        <v>1</v>
      </c>
      <c r="F23" s="58" t="str">
        <f t="shared" si="1"/>
        <v>000000-2024</v>
      </c>
      <c r="G23" s="39"/>
      <c r="H23" s="58" t="b">
        <f t="shared" si="2"/>
        <v>0</v>
      </c>
    </row>
    <row r="24" spans="2:8" ht="13.5" thickBot="1" x14ac:dyDescent="0.25">
      <c r="B24" s="63"/>
      <c r="C24" s="57"/>
      <c r="D24" s="58" t="b">
        <f t="shared" si="0"/>
        <v>1</v>
      </c>
      <c r="F24" s="58" t="str">
        <f t="shared" si="1"/>
        <v>000000-2024</v>
      </c>
      <c r="G24" s="61"/>
      <c r="H24" s="58" t="b">
        <f t="shared" si="2"/>
        <v>0</v>
      </c>
    </row>
    <row r="25" spans="2:8" x14ac:dyDescent="0.2">
      <c r="B25" s="64"/>
      <c r="C25" s="57"/>
      <c r="D25" s="58" t="b">
        <f t="shared" si="0"/>
        <v>1</v>
      </c>
      <c r="F25" s="58" t="str">
        <f t="shared" si="1"/>
        <v>000000-2024</v>
      </c>
      <c r="G25" s="65"/>
      <c r="H25" s="58" t="b">
        <f t="shared" si="2"/>
        <v>0</v>
      </c>
    </row>
    <row r="26" spans="2:8" x14ac:dyDescent="0.2">
      <c r="B26" s="40"/>
      <c r="C26" s="57"/>
      <c r="D26" s="58" t="b">
        <f t="shared" si="0"/>
        <v>1</v>
      </c>
      <c r="F26" s="58" t="str">
        <f t="shared" si="1"/>
        <v>000000-2024</v>
      </c>
      <c r="G26" s="39"/>
      <c r="H26" s="58" t="b">
        <f t="shared" si="2"/>
        <v>0</v>
      </c>
    </row>
    <row r="27" spans="2:8" x14ac:dyDescent="0.2">
      <c r="B27" s="40"/>
      <c r="C27" s="57"/>
      <c r="D27" s="58" t="b">
        <f t="shared" si="0"/>
        <v>1</v>
      </c>
      <c r="F27" s="58" t="str">
        <f t="shared" si="1"/>
        <v>000000-2024</v>
      </c>
      <c r="G27" s="39"/>
      <c r="H27" s="58" t="b">
        <f t="shared" si="2"/>
        <v>0</v>
      </c>
    </row>
    <row r="28" spans="2:8" x14ac:dyDescent="0.2">
      <c r="B28" s="40"/>
      <c r="C28" s="57"/>
      <c r="D28" s="58" t="b">
        <f t="shared" si="0"/>
        <v>1</v>
      </c>
      <c r="F28" s="58" t="str">
        <f t="shared" si="1"/>
        <v>000000-2024</v>
      </c>
      <c r="G28" s="39"/>
      <c r="H28" s="58" t="b">
        <f t="shared" si="2"/>
        <v>0</v>
      </c>
    </row>
    <row r="29" spans="2:8" x14ac:dyDescent="0.2">
      <c r="B29" s="40"/>
      <c r="C29" s="57"/>
      <c r="D29" s="58" t="b">
        <f t="shared" si="0"/>
        <v>1</v>
      </c>
      <c r="F29" s="58" t="str">
        <f t="shared" si="1"/>
        <v>000000-2024</v>
      </c>
      <c r="G29" s="39"/>
      <c r="H29" s="58" t="b">
        <f t="shared" si="2"/>
        <v>0</v>
      </c>
    </row>
    <row r="30" spans="2:8" x14ac:dyDescent="0.2">
      <c r="B30" s="40"/>
      <c r="C30" s="57"/>
      <c r="D30" s="58" t="b">
        <f t="shared" si="0"/>
        <v>1</v>
      </c>
      <c r="F30" s="58" t="str">
        <f t="shared" si="1"/>
        <v>000000-2024</v>
      </c>
      <c r="G30" s="39"/>
      <c r="H30" s="58" t="b">
        <f t="shared" si="2"/>
        <v>0</v>
      </c>
    </row>
    <row r="31" spans="2:8" x14ac:dyDescent="0.2">
      <c r="B31" s="40"/>
      <c r="C31" s="57"/>
      <c r="D31" s="58" t="b">
        <f t="shared" si="0"/>
        <v>1</v>
      </c>
      <c r="F31" s="58" t="str">
        <f t="shared" si="1"/>
        <v>000000-2024</v>
      </c>
      <c r="G31" s="39"/>
      <c r="H31" s="58" t="b">
        <f t="shared" si="2"/>
        <v>0</v>
      </c>
    </row>
    <row r="32" spans="2:8" x14ac:dyDescent="0.2">
      <c r="B32" s="40"/>
      <c r="C32" s="57"/>
      <c r="D32" s="58" t="b">
        <f t="shared" si="0"/>
        <v>1</v>
      </c>
      <c r="F32" s="58" t="str">
        <f t="shared" si="1"/>
        <v>000000-2024</v>
      </c>
      <c r="G32" s="39"/>
      <c r="H32" s="58" t="b">
        <f t="shared" si="2"/>
        <v>0</v>
      </c>
    </row>
    <row r="33" spans="2:8" x14ac:dyDescent="0.2">
      <c r="B33" s="40"/>
      <c r="C33" s="57"/>
      <c r="D33" s="58" t="b">
        <f t="shared" si="0"/>
        <v>1</v>
      </c>
      <c r="F33" s="58" t="str">
        <f t="shared" si="1"/>
        <v>000000-2024</v>
      </c>
      <c r="G33" s="39"/>
      <c r="H33" s="58" t="b">
        <f t="shared" si="2"/>
        <v>0</v>
      </c>
    </row>
    <row r="34" spans="2:8" x14ac:dyDescent="0.2">
      <c r="B34" s="40"/>
      <c r="C34" s="57"/>
      <c r="D34" s="58" t="b">
        <f t="shared" si="0"/>
        <v>1</v>
      </c>
      <c r="F34" s="58" t="str">
        <f t="shared" si="1"/>
        <v>000000-2024</v>
      </c>
      <c r="G34" s="39"/>
      <c r="H34" s="58" t="b">
        <f t="shared" si="2"/>
        <v>0</v>
      </c>
    </row>
    <row r="35" spans="2:8" ht="13.5" thickBot="1" x14ac:dyDescent="0.25">
      <c r="B35" s="60"/>
      <c r="C35" s="57"/>
      <c r="D35" s="58" t="b">
        <f t="shared" si="0"/>
        <v>1</v>
      </c>
      <c r="F35" s="58" t="str">
        <f t="shared" si="1"/>
        <v>000000-2024</v>
      </c>
      <c r="G35" s="61"/>
      <c r="H35" s="58" t="b">
        <f t="shared" si="2"/>
        <v>0</v>
      </c>
    </row>
    <row r="36" spans="2:8" x14ac:dyDescent="0.2">
      <c r="B36" s="64"/>
      <c r="C36" s="57"/>
      <c r="D36" s="58" t="b">
        <f t="shared" si="0"/>
        <v>1</v>
      </c>
      <c r="F36" s="58" t="str">
        <f t="shared" si="1"/>
        <v>000000-2024</v>
      </c>
      <c r="G36" s="65"/>
      <c r="H36" s="58" t="b">
        <f t="shared" si="2"/>
        <v>0</v>
      </c>
    </row>
    <row r="37" spans="2:8" x14ac:dyDescent="0.2">
      <c r="B37" s="40"/>
      <c r="C37" s="57"/>
      <c r="D37" s="58" t="b">
        <f t="shared" si="0"/>
        <v>1</v>
      </c>
      <c r="F37" s="58" t="str">
        <f t="shared" si="1"/>
        <v>000000-2024</v>
      </c>
      <c r="G37" s="39"/>
      <c r="H37" s="58" t="b">
        <f t="shared" si="2"/>
        <v>0</v>
      </c>
    </row>
    <row r="38" spans="2:8" x14ac:dyDescent="0.2">
      <c r="B38" s="40"/>
      <c r="C38" s="57"/>
      <c r="D38" s="58" t="b">
        <f t="shared" si="0"/>
        <v>1</v>
      </c>
      <c r="F38" s="58" t="str">
        <f t="shared" si="1"/>
        <v>000000-2024</v>
      </c>
      <c r="G38" s="39"/>
      <c r="H38" s="58" t="b">
        <f t="shared" si="2"/>
        <v>0</v>
      </c>
    </row>
    <row r="39" spans="2:8" x14ac:dyDescent="0.2">
      <c r="B39" s="40"/>
      <c r="C39" s="57"/>
      <c r="D39" s="58" t="b">
        <f t="shared" si="0"/>
        <v>1</v>
      </c>
      <c r="F39" s="58" t="str">
        <f t="shared" si="1"/>
        <v>000000-2024</v>
      </c>
      <c r="G39" s="39"/>
      <c r="H39" s="58" t="b">
        <f t="shared" si="2"/>
        <v>0</v>
      </c>
    </row>
    <row r="40" spans="2:8" x14ac:dyDescent="0.2">
      <c r="B40" s="40"/>
      <c r="C40" s="57"/>
      <c r="D40" s="58" t="b">
        <f t="shared" si="0"/>
        <v>1</v>
      </c>
      <c r="F40" s="58" t="str">
        <f t="shared" si="1"/>
        <v>000000-2024</v>
      </c>
      <c r="G40" s="39"/>
      <c r="H40" s="58" t="b">
        <f t="shared" si="2"/>
        <v>0</v>
      </c>
    </row>
    <row r="41" spans="2:8" x14ac:dyDescent="0.2">
      <c r="B41" s="40"/>
      <c r="C41" s="57"/>
      <c r="D41" s="58" t="b">
        <f t="shared" si="0"/>
        <v>1</v>
      </c>
      <c r="F41" s="58" t="str">
        <f t="shared" si="1"/>
        <v>000000-2024</v>
      </c>
      <c r="G41" s="39"/>
      <c r="H41" s="58" t="b">
        <f t="shared" si="2"/>
        <v>0</v>
      </c>
    </row>
    <row r="42" spans="2:8" x14ac:dyDescent="0.2">
      <c r="B42" s="40"/>
      <c r="C42" s="57"/>
      <c r="D42" s="58" t="b">
        <f t="shared" si="0"/>
        <v>1</v>
      </c>
      <c r="F42" s="58" t="str">
        <f t="shared" si="1"/>
        <v>000000-2024</v>
      </c>
      <c r="G42" s="39"/>
      <c r="H42" s="58" t="b">
        <f t="shared" si="2"/>
        <v>0</v>
      </c>
    </row>
    <row r="43" spans="2:8" x14ac:dyDescent="0.2">
      <c r="B43" s="40"/>
      <c r="C43" s="57"/>
      <c r="D43" s="58" t="b">
        <f t="shared" si="0"/>
        <v>1</v>
      </c>
      <c r="F43" s="58" t="str">
        <f t="shared" si="1"/>
        <v>000000-2024</v>
      </c>
      <c r="G43" s="39"/>
      <c r="H43" s="58" t="b">
        <f t="shared" si="2"/>
        <v>0</v>
      </c>
    </row>
    <row r="44" spans="2:8" x14ac:dyDescent="0.2">
      <c r="B44" s="40"/>
      <c r="C44" s="57"/>
      <c r="D44" s="58" t="b">
        <f t="shared" si="0"/>
        <v>1</v>
      </c>
      <c r="F44" s="58" t="str">
        <f t="shared" si="1"/>
        <v>000000-2024</v>
      </c>
      <c r="G44" s="39"/>
      <c r="H44" s="58" t="b">
        <f t="shared" si="2"/>
        <v>0</v>
      </c>
    </row>
    <row r="45" spans="2:8" x14ac:dyDescent="0.2">
      <c r="B45" s="62"/>
      <c r="C45" s="57"/>
      <c r="D45" s="58" t="b">
        <f t="shared" si="0"/>
        <v>1</v>
      </c>
      <c r="F45" s="58" t="str">
        <f t="shared" si="1"/>
        <v>000000-2024</v>
      </c>
      <c r="G45" s="39"/>
      <c r="H45" s="58" t="b">
        <f t="shared" si="2"/>
        <v>0</v>
      </c>
    </row>
    <row r="46" spans="2:8" ht="13.5" thickBot="1" x14ac:dyDescent="0.25">
      <c r="B46" s="60"/>
      <c r="C46" s="57"/>
      <c r="D46" s="58" t="b">
        <f t="shared" si="0"/>
        <v>1</v>
      </c>
      <c r="F46" s="58" t="str">
        <f t="shared" si="1"/>
        <v>000000-2024</v>
      </c>
      <c r="G46" s="61"/>
      <c r="H46" s="58" t="b">
        <f t="shared" si="2"/>
        <v>0</v>
      </c>
    </row>
    <row r="47" spans="2:8" x14ac:dyDescent="0.2">
      <c r="B47" s="64"/>
      <c r="C47" s="57"/>
      <c r="D47" s="58" t="b">
        <f t="shared" si="0"/>
        <v>1</v>
      </c>
      <c r="F47" s="58" t="str">
        <f t="shared" si="1"/>
        <v>000000-2024</v>
      </c>
      <c r="G47" s="65"/>
      <c r="H47" s="58" t="b">
        <f t="shared" si="2"/>
        <v>0</v>
      </c>
    </row>
    <row r="48" spans="2:8" x14ac:dyDescent="0.2">
      <c r="B48" s="40"/>
      <c r="C48" s="57"/>
      <c r="D48" s="58" t="b">
        <f t="shared" si="0"/>
        <v>1</v>
      </c>
      <c r="F48" s="58" t="str">
        <f t="shared" si="1"/>
        <v>000000-2024</v>
      </c>
      <c r="G48" s="39"/>
      <c r="H48" s="58" t="b">
        <f t="shared" si="2"/>
        <v>0</v>
      </c>
    </row>
    <row r="49" spans="2:8" x14ac:dyDescent="0.2">
      <c r="B49" s="40"/>
      <c r="C49" s="57"/>
      <c r="D49" s="58" t="b">
        <f t="shared" si="0"/>
        <v>1</v>
      </c>
      <c r="F49" s="58" t="str">
        <f t="shared" si="1"/>
        <v>000000-2024</v>
      </c>
      <c r="G49" s="39"/>
      <c r="H49" s="58" t="b">
        <f t="shared" si="2"/>
        <v>0</v>
      </c>
    </row>
    <row r="50" spans="2:8" x14ac:dyDescent="0.2">
      <c r="B50" s="40"/>
      <c r="C50" s="57"/>
      <c r="D50" s="58" t="b">
        <f t="shared" si="0"/>
        <v>1</v>
      </c>
      <c r="F50" s="58" t="str">
        <f t="shared" si="1"/>
        <v>000000-2024</v>
      </c>
      <c r="G50" s="39"/>
      <c r="H50" s="58" t="b">
        <f t="shared" si="2"/>
        <v>0</v>
      </c>
    </row>
    <row r="51" spans="2:8" x14ac:dyDescent="0.2">
      <c r="B51" s="40"/>
      <c r="C51" s="57"/>
      <c r="D51" s="58" t="b">
        <f t="shared" si="0"/>
        <v>1</v>
      </c>
      <c r="F51" s="58" t="str">
        <f t="shared" si="1"/>
        <v>000000-2024</v>
      </c>
      <c r="G51" s="39"/>
      <c r="H51" s="58" t="b">
        <f t="shared" si="2"/>
        <v>0</v>
      </c>
    </row>
    <row r="52" spans="2:8" x14ac:dyDescent="0.2">
      <c r="B52" s="40"/>
      <c r="C52" s="57"/>
      <c r="D52" s="58" t="b">
        <f t="shared" si="0"/>
        <v>1</v>
      </c>
      <c r="F52" s="58" t="str">
        <f t="shared" si="1"/>
        <v>000000-2024</v>
      </c>
      <c r="G52" s="39"/>
      <c r="H52" s="58" t="b">
        <f t="shared" si="2"/>
        <v>0</v>
      </c>
    </row>
    <row r="53" spans="2:8" x14ac:dyDescent="0.2">
      <c r="B53" s="40"/>
      <c r="C53" s="57"/>
      <c r="D53" s="58" t="b">
        <f t="shared" si="0"/>
        <v>1</v>
      </c>
      <c r="F53" s="58" t="str">
        <f t="shared" si="1"/>
        <v>000000-2024</v>
      </c>
      <c r="G53" s="39"/>
      <c r="H53" s="58" t="b">
        <f t="shared" si="2"/>
        <v>0</v>
      </c>
    </row>
    <row r="54" spans="2:8" x14ac:dyDescent="0.2">
      <c r="B54" s="40"/>
      <c r="C54" s="57"/>
      <c r="D54" s="58" t="b">
        <f t="shared" si="0"/>
        <v>1</v>
      </c>
      <c r="F54" s="58" t="str">
        <f t="shared" si="1"/>
        <v>000000-2024</v>
      </c>
      <c r="G54" s="39"/>
      <c r="H54" s="58" t="b">
        <f t="shared" si="2"/>
        <v>0</v>
      </c>
    </row>
    <row r="55" spans="2:8" x14ac:dyDescent="0.2">
      <c r="B55" s="40"/>
      <c r="C55" s="57"/>
      <c r="D55" s="58" t="b">
        <f t="shared" si="0"/>
        <v>1</v>
      </c>
      <c r="F55" s="58" t="str">
        <f t="shared" si="1"/>
        <v>000000-2024</v>
      </c>
      <c r="G55" s="39"/>
      <c r="H55" s="58" t="b">
        <f t="shared" si="2"/>
        <v>0</v>
      </c>
    </row>
    <row r="56" spans="2:8" x14ac:dyDescent="0.2">
      <c r="B56" s="40"/>
      <c r="C56" s="57"/>
      <c r="D56" s="58" t="b">
        <f t="shared" si="0"/>
        <v>1</v>
      </c>
      <c r="F56" s="58" t="str">
        <f t="shared" si="1"/>
        <v>000000-2024</v>
      </c>
      <c r="G56" s="39"/>
      <c r="H56" s="58" t="b">
        <f t="shared" si="2"/>
        <v>0</v>
      </c>
    </row>
    <row r="57" spans="2:8" ht="13.5" thickBot="1" x14ac:dyDescent="0.25">
      <c r="B57" s="60"/>
      <c r="C57" s="57"/>
      <c r="D57" s="58" t="b">
        <f t="shared" si="0"/>
        <v>1</v>
      </c>
      <c r="F57" s="58" t="str">
        <f t="shared" si="1"/>
        <v>000000-2024</v>
      </c>
      <c r="G57" s="61"/>
      <c r="H57" s="58" t="b">
        <f t="shared" si="2"/>
        <v>0</v>
      </c>
    </row>
    <row r="58" spans="2:8" x14ac:dyDescent="0.2">
      <c r="B58" s="64"/>
      <c r="C58" s="57"/>
      <c r="D58" s="58" t="b">
        <f t="shared" si="0"/>
        <v>1</v>
      </c>
      <c r="F58" s="58" t="str">
        <f t="shared" si="1"/>
        <v>000000-2024</v>
      </c>
      <c r="G58" s="65"/>
      <c r="H58" s="58" t="b">
        <f t="shared" si="2"/>
        <v>0</v>
      </c>
    </row>
    <row r="59" spans="2:8" x14ac:dyDescent="0.2">
      <c r="B59" s="40"/>
      <c r="C59" s="57"/>
      <c r="D59" s="58" t="b">
        <f t="shared" si="0"/>
        <v>1</v>
      </c>
      <c r="F59" s="58" t="str">
        <f t="shared" si="1"/>
        <v>000000-2024</v>
      </c>
      <c r="G59" s="39"/>
      <c r="H59" s="58" t="b">
        <f t="shared" si="2"/>
        <v>0</v>
      </c>
    </row>
    <row r="60" spans="2:8" x14ac:dyDescent="0.2">
      <c r="B60" s="40"/>
      <c r="C60" s="57"/>
      <c r="D60" s="58" t="b">
        <f t="shared" si="0"/>
        <v>1</v>
      </c>
      <c r="F60" s="58" t="str">
        <f t="shared" si="1"/>
        <v>000000-2024</v>
      </c>
      <c r="G60" s="39"/>
      <c r="H60" s="58" t="b">
        <f t="shared" si="2"/>
        <v>0</v>
      </c>
    </row>
    <row r="61" spans="2:8" x14ac:dyDescent="0.2">
      <c r="B61" s="40"/>
      <c r="C61" s="57"/>
      <c r="D61" s="58" t="b">
        <f t="shared" si="0"/>
        <v>1</v>
      </c>
      <c r="F61" s="58" t="str">
        <f t="shared" si="1"/>
        <v>000000-2024</v>
      </c>
      <c r="G61" s="39"/>
      <c r="H61" s="58" t="b">
        <f t="shared" si="2"/>
        <v>0</v>
      </c>
    </row>
    <row r="62" spans="2:8" x14ac:dyDescent="0.2">
      <c r="B62" s="40"/>
      <c r="C62" s="57"/>
      <c r="D62" s="58" t="b">
        <f t="shared" si="0"/>
        <v>1</v>
      </c>
      <c r="F62" s="58" t="str">
        <f t="shared" si="1"/>
        <v>000000-2024</v>
      </c>
      <c r="G62" s="39"/>
      <c r="H62" s="58" t="b">
        <f t="shared" si="2"/>
        <v>0</v>
      </c>
    </row>
    <row r="63" spans="2:8" x14ac:dyDescent="0.2">
      <c r="B63" s="40"/>
      <c r="C63" s="57"/>
      <c r="D63" s="58" t="b">
        <f t="shared" si="0"/>
        <v>1</v>
      </c>
      <c r="F63" s="58" t="str">
        <f t="shared" si="1"/>
        <v>000000-2024</v>
      </c>
      <c r="G63" s="39"/>
      <c r="H63" s="58" t="b">
        <f t="shared" si="2"/>
        <v>0</v>
      </c>
    </row>
    <row r="64" spans="2:8" x14ac:dyDescent="0.2">
      <c r="B64" s="40"/>
      <c r="C64" s="57"/>
      <c r="D64" s="58" t="b">
        <f t="shared" si="0"/>
        <v>1</v>
      </c>
      <c r="F64" s="58" t="str">
        <f t="shared" si="1"/>
        <v>000000-2024</v>
      </c>
      <c r="G64" s="39"/>
      <c r="H64" s="58" t="b">
        <f t="shared" si="2"/>
        <v>0</v>
      </c>
    </row>
    <row r="65" spans="2:8" x14ac:dyDescent="0.2">
      <c r="B65" s="62"/>
      <c r="C65" s="57"/>
      <c r="D65" s="58" t="b">
        <f t="shared" si="0"/>
        <v>1</v>
      </c>
      <c r="F65" s="58" t="str">
        <f t="shared" si="1"/>
        <v>000000-2024</v>
      </c>
      <c r="G65" s="39"/>
      <c r="H65" s="58" t="b">
        <f t="shared" si="2"/>
        <v>0</v>
      </c>
    </row>
    <row r="66" spans="2:8" x14ac:dyDescent="0.2">
      <c r="B66" s="40"/>
      <c r="C66" s="57"/>
      <c r="D66" s="58" t="b">
        <f t="shared" si="0"/>
        <v>1</v>
      </c>
      <c r="F66" s="58" t="str">
        <f t="shared" si="1"/>
        <v>000000-2024</v>
      </c>
      <c r="G66" s="39"/>
      <c r="H66" s="58" t="b">
        <f t="shared" si="2"/>
        <v>0</v>
      </c>
    </row>
    <row r="67" spans="2:8" x14ac:dyDescent="0.2">
      <c r="B67" s="40"/>
      <c r="C67" s="57"/>
      <c r="D67" s="58" t="b">
        <f t="shared" si="0"/>
        <v>1</v>
      </c>
      <c r="F67" s="58" t="str">
        <f t="shared" si="1"/>
        <v>000000-2024</v>
      </c>
      <c r="G67" s="39"/>
      <c r="H67" s="58" t="b">
        <f t="shared" si="2"/>
        <v>0</v>
      </c>
    </row>
    <row r="68" spans="2:8" ht="13.5" thickBot="1" x14ac:dyDescent="0.25">
      <c r="B68" s="63"/>
      <c r="C68" s="57"/>
      <c r="D68" s="58" t="b">
        <f t="shared" si="0"/>
        <v>1</v>
      </c>
      <c r="F68" s="58" t="str">
        <f t="shared" si="1"/>
        <v>000000-2024</v>
      </c>
      <c r="G68" s="61"/>
      <c r="H68" s="58" t="b">
        <f t="shared" si="2"/>
        <v>0</v>
      </c>
    </row>
    <row r="69" spans="2:8" x14ac:dyDescent="0.2">
      <c r="B69" s="64"/>
      <c r="C69" s="57"/>
      <c r="D69" s="58" t="b">
        <f t="shared" ref="D69:D132" si="3">B69=C69</f>
        <v>1</v>
      </c>
      <c r="F69" s="58" t="str">
        <f t="shared" ref="F69:F132" si="4">TEXT(E69,"000000")&amp;"-2024"</f>
        <v>000000-2024</v>
      </c>
      <c r="G69" s="65"/>
      <c r="H69" s="58" t="b">
        <f t="shared" ref="H69:H132" si="5">F69=G69</f>
        <v>0</v>
      </c>
    </row>
    <row r="70" spans="2:8" x14ac:dyDescent="0.2">
      <c r="B70" s="40"/>
      <c r="C70" s="57"/>
      <c r="D70" s="58" t="b">
        <f t="shared" si="3"/>
        <v>1</v>
      </c>
      <c r="F70" s="58" t="str">
        <f t="shared" si="4"/>
        <v>000000-2024</v>
      </c>
      <c r="G70" s="39"/>
      <c r="H70" s="58" t="b">
        <f t="shared" si="5"/>
        <v>0</v>
      </c>
    </row>
    <row r="71" spans="2:8" x14ac:dyDescent="0.2">
      <c r="B71" s="40"/>
      <c r="C71" s="57"/>
      <c r="D71" s="58" t="b">
        <f t="shared" si="3"/>
        <v>1</v>
      </c>
      <c r="F71" s="58" t="str">
        <f t="shared" si="4"/>
        <v>000000-2024</v>
      </c>
      <c r="G71" s="39"/>
      <c r="H71" s="58" t="b">
        <f t="shared" si="5"/>
        <v>0</v>
      </c>
    </row>
    <row r="72" spans="2:8" x14ac:dyDescent="0.2">
      <c r="B72" s="40"/>
      <c r="C72" s="57"/>
      <c r="D72" s="58" t="b">
        <f t="shared" si="3"/>
        <v>1</v>
      </c>
      <c r="F72" s="58" t="str">
        <f t="shared" si="4"/>
        <v>000000-2024</v>
      </c>
      <c r="G72" s="39"/>
      <c r="H72" s="58" t="b">
        <f t="shared" si="5"/>
        <v>0</v>
      </c>
    </row>
    <row r="73" spans="2:8" x14ac:dyDescent="0.2">
      <c r="B73" s="40"/>
      <c r="C73" s="57"/>
      <c r="D73" s="58" t="b">
        <f t="shared" si="3"/>
        <v>1</v>
      </c>
      <c r="F73" s="58" t="str">
        <f t="shared" si="4"/>
        <v>000000-2024</v>
      </c>
      <c r="G73" s="39"/>
      <c r="H73" s="58" t="b">
        <f t="shared" si="5"/>
        <v>0</v>
      </c>
    </row>
    <row r="74" spans="2:8" x14ac:dyDescent="0.2">
      <c r="B74" s="40"/>
      <c r="C74" s="57"/>
      <c r="D74" s="58" t="b">
        <f t="shared" si="3"/>
        <v>1</v>
      </c>
      <c r="F74" s="58" t="str">
        <f t="shared" si="4"/>
        <v>000000-2024</v>
      </c>
      <c r="G74" s="39"/>
      <c r="H74" s="58" t="b">
        <f t="shared" si="5"/>
        <v>0</v>
      </c>
    </row>
    <row r="75" spans="2:8" x14ac:dyDescent="0.2">
      <c r="B75" s="40"/>
      <c r="C75" s="57"/>
      <c r="D75" s="58" t="b">
        <f t="shared" si="3"/>
        <v>1</v>
      </c>
      <c r="F75" s="58" t="str">
        <f t="shared" si="4"/>
        <v>000000-2024</v>
      </c>
      <c r="G75" s="39"/>
      <c r="H75" s="58" t="b">
        <f t="shared" si="5"/>
        <v>0</v>
      </c>
    </row>
    <row r="76" spans="2:8" x14ac:dyDescent="0.2">
      <c r="B76" s="40"/>
      <c r="C76" s="57"/>
      <c r="D76" s="58" t="b">
        <f t="shared" si="3"/>
        <v>1</v>
      </c>
      <c r="F76" s="58" t="str">
        <f t="shared" si="4"/>
        <v>000000-2024</v>
      </c>
      <c r="G76" s="39"/>
      <c r="H76" s="58" t="b">
        <f t="shared" si="5"/>
        <v>0</v>
      </c>
    </row>
    <row r="77" spans="2:8" x14ac:dyDescent="0.2">
      <c r="B77" s="40"/>
      <c r="C77" s="57"/>
      <c r="D77" s="58" t="b">
        <f t="shared" si="3"/>
        <v>1</v>
      </c>
      <c r="F77" s="58" t="str">
        <f t="shared" si="4"/>
        <v>000000-2024</v>
      </c>
      <c r="G77" s="39"/>
      <c r="H77" s="58" t="b">
        <f t="shared" si="5"/>
        <v>0</v>
      </c>
    </row>
    <row r="78" spans="2:8" x14ac:dyDescent="0.2">
      <c r="B78" s="40"/>
      <c r="C78" s="57"/>
      <c r="D78" s="58" t="b">
        <f t="shared" si="3"/>
        <v>1</v>
      </c>
      <c r="F78" s="58" t="str">
        <f t="shared" si="4"/>
        <v>000000-2024</v>
      </c>
      <c r="G78" s="39"/>
      <c r="H78" s="58" t="b">
        <f t="shared" si="5"/>
        <v>0</v>
      </c>
    </row>
    <row r="79" spans="2:8" ht="13.5" thickBot="1" x14ac:dyDescent="0.25">
      <c r="B79" s="63"/>
      <c r="C79" s="57"/>
      <c r="D79" s="58" t="b">
        <f t="shared" si="3"/>
        <v>1</v>
      </c>
      <c r="F79" s="58" t="str">
        <f t="shared" si="4"/>
        <v>000000-2024</v>
      </c>
      <c r="G79" s="61"/>
      <c r="H79" s="58" t="b">
        <f t="shared" si="5"/>
        <v>0</v>
      </c>
    </row>
    <row r="80" spans="2:8" x14ac:dyDescent="0.2">
      <c r="B80" s="64"/>
      <c r="C80" s="57"/>
      <c r="D80" s="58" t="b">
        <f t="shared" si="3"/>
        <v>1</v>
      </c>
      <c r="F80" s="58" t="str">
        <f t="shared" si="4"/>
        <v>000000-2024</v>
      </c>
      <c r="G80" s="65"/>
      <c r="H80" s="58" t="b">
        <f t="shared" si="5"/>
        <v>0</v>
      </c>
    </row>
    <row r="81" spans="2:8" x14ac:dyDescent="0.2">
      <c r="B81" s="40"/>
      <c r="C81" s="57"/>
      <c r="D81" s="58" t="b">
        <f t="shared" si="3"/>
        <v>1</v>
      </c>
      <c r="F81" s="58" t="str">
        <f t="shared" si="4"/>
        <v>000000-2024</v>
      </c>
      <c r="G81" s="39"/>
      <c r="H81" s="58" t="b">
        <f t="shared" si="5"/>
        <v>0</v>
      </c>
    </row>
    <row r="82" spans="2:8" x14ac:dyDescent="0.2">
      <c r="B82" s="40"/>
      <c r="C82" s="57"/>
      <c r="D82" s="58" t="b">
        <f t="shared" si="3"/>
        <v>1</v>
      </c>
      <c r="F82" s="58" t="str">
        <f t="shared" si="4"/>
        <v>000000-2024</v>
      </c>
      <c r="G82" s="39"/>
      <c r="H82" s="58" t="b">
        <f t="shared" si="5"/>
        <v>0</v>
      </c>
    </row>
    <row r="83" spans="2:8" x14ac:dyDescent="0.2">
      <c r="B83" s="40"/>
      <c r="C83" s="57"/>
      <c r="D83" s="58" t="b">
        <f t="shared" si="3"/>
        <v>1</v>
      </c>
      <c r="F83" s="58" t="str">
        <f t="shared" si="4"/>
        <v>000000-2024</v>
      </c>
      <c r="G83" s="39"/>
      <c r="H83" s="58" t="b">
        <f t="shared" si="5"/>
        <v>0</v>
      </c>
    </row>
    <row r="84" spans="2:8" x14ac:dyDescent="0.2">
      <c r="B84" s="40"/>
      <c r="C84" s="57"/>
      <c r="D84" s="58" t="b">
        <f t="shared" si="3"/>
        <v>1</v>
      </c>
      <c r="F84" s="58" t="str">
        <f t="shared" si="4"/>
        <v>000000-2024</v>
      </c>
      <c r="G84" s="39"/>
      <c r="H84" s="58" t="b">
        <f t="shared" si="5"/>
        <v>0</v>
      </c>
    </row>
    <row r="85" spans="2:8" x14ac:dyDescent="0.2">
      <c r="B85" s="40"/>
      <c r="C85" s="57"/>
      <c r="D85" s="58" t="b">
        <f t="shared" si="3"/>
        <v>1</v>
      </c>
      <c r="F85" s="58" t="str">
        <f t="shared" si="4"/>
        <v>000000-2024</v>
      </c>
      <c r="G85" s="39"/>
      <c r="H85" s="58" t="b">
        <f t="shared" si="5"/>
        <v>0</v>
      </c>
    </row>
    <row r="86" spans="2:8" x14ac:dyDescent="0.2">
      <c r="B86" s="40"/>
      <c r="C86" s="57"/>
      <c r="D86" s="58" t="b">
        <f t="shared" si="3"/>
        <v>1</v>
      </c>
      <c r="F86" s="58" t="str">
        <f t="shared" si="4"/>
        <v>000000-2024</v>
      </c>
      <c r="G86" s="39"/>
      <c r="H86" s="58" t="b">
        <f t="shared" si="5"/>
        <v>0</v>
      </c>
    </row>
    <row r="87" spans="2:8" x14ac:dyDescent="0.2">
      <c r="B87" s="40"/>
      <c r="C87" s="57"/>
      <c r="D87" s="58" t="b">
        <f t="shared" si="3"/>
        <v>1</v>
      </c>
      <c r="F87" s="58" t="str">
        <f t="shared" si="4"/>
        <v>000000-2024</v>
      </c>
      <c r="G87" s="39"/>
      <c r="H87" s="58" t="b">
        <f t="shared" si="5"/>
        <v>0</v>
      </c>
    </row>
    <row r="88" spans="2:8" x14ac:dyDescent="0.2">
      <c r="B88" s="40"/>
      <c r="C88" s="57"/>
      <c r="D88" s="58" t="b">
        <f t="shared" si="3"/>
        <v>1</v>
      </c>
      <c r="F88" s="58" t="str">
        <f t="shared" si="4"/>
        <v>000000-2024</v>
      </c>
      <c r="G88" s="39"/>
      <c r="H88" s="58" t="b">
        <f t="shared" si="5"/>
        <v>0</v>
      </c>
    </row>
    <row r="89" spans="2:8" x14ac:dyDescent="0.2">
      <c r="B89" s="62"/>
      <c r="C89" s="57"/>
      <c r="D89" s="58" t="b">
        <f t="shared" si="3"/>
        <v>1</v>
      </c>
      <c r="F89" s="58" t="str">
        <f t="shared" si="4"/>
        <v>000000-2024</v>
      </c>
      <c r="G89" s="39"/>
      <c r="H89" s="58" t="b">
        <f t="shared" si="5"/>
        <v>0</v>
      </c>
    </row>
    <row r="90" spans="2:8" ht="13.5" thickBot="1" x14ac:dyDescent="0.25">
      <c r="B90" s="60"/>
      <c r="C90" s="57"/>
      <c r="D90" s="58" t="b">
        <f t="shared" si="3"/>
        <v>1</v>
      </c>
      <c r="F90" s="58" t="str">
        <f t="shared" si="4"/>
        <v>000000-2024</v>
      </c>
      <c r="G90" s="61"/>
      <c r="H90" s="58" t="b">
        <f t="shared" si="5"/>
        <v>0</v>
      </c>
    </row>
    <row r="91" spans="2:8" x14ac:dyDescent="0.2">
      <c r="B91" s="64"/>
      <c r="C91" s="57"/>
      <c r="D91" s="58" t="b">
        <f t="shared" si="3"/>
        <v>1</v>
      </c>
      <c r="F91" s="58" t="str">
        <f t="shared" si="4"/>
        <v>000000-2024</v>
      </c>
      <c r="G91" s="65"/>
      <c r="H91" s="58" t="b">
        <f t="shared" si="5"/>
        <v>0</v>
      </c>
    </row>
    <row r="92" spans="2:8" x14ac:dyDescent="0.2">
      <c r="B92" s="40"/>
      <c r="C92" s="57"/>
      <c r="D92" s="58" t="b">
        <f t="shared" si="3"/>
        <v>1</v>
      </c>
      <c r="F92" s="58" t="str">
        <f t="shared" si="4"/>
        <v>000000-2024</v>
      </c>
      <c r="G92" s="39"/>
      <c r="H92" s="58" t="b">
        <f t="shared" si="5"/>
        <v>0</v>
      </c>
    </row>
    <row r="93" spans="2:8" x14ac:dyDescent="0.2">
      <c r="B93" s="40"/>
      <c r="C93" s="57"/>
      <c r="D93" s="58" t="b">
        <f t="shared" si="3"/>
        <v>1</v>
      </c>
      <c r="F93" s="58" t="str">
        <f t="shared" si="4"/>
        <v>000000-2024</v>
      </c>
      <c r="G93" s="39"/>
      <c r="H93" s="58" t="b">
        <f t="shared" si="5"/>
        <v>0</v>
      </c>
    </row>
    <row r="94" spans="2:8" x14ac:dyDescent="0.2">
      <c r="B94" s="40"/>
      <c r="C94" s="57"/>
      <c r="D94" s="58" t="b">
        <f t="shared" si="3"/>
        <v>1</v>
      </c>
      <c r="F94" s="58" t="str">
        <f t="shared" si="4"/>
        <v>000000-2024</v>
      </c>
      <c r="G94" s="39"/>
      <c r="H94" s="58" t="b">
        <f t="shared" si="5"/>
        <v>0</v>
      </c>
    </row>
    <row r="95" spans="2:8" x14ac:dyDescent="0.2">
      <c r="B95" s="40"/>
      <c r="C95" s="57"/>
      <c r="D95" s="58" t="b">
        <f t="shared" si="3"/>
        <v>1</v>
      </c>
      <c r="F95" s="58" t="str">
        <f t="shared" si="4"/>
        <v>000000-2024</v>
      </c>
      <c r="G95" s="39"/>
      <c r="H95" s="58" t="b">
        <f t="shared" si="5"/>
        <v>0</v>
      </c>
    </row>
    <row r="96" spans="2:8" x14ac:dyDescent="0.2">
      <c r="B96" s="40"/>
      <c r="C96" s="57"/>
      <c r="D96" s="58" t="b">
        <f t="shared" si="3"/>
        <v>1</v>
      </c>
      <c r="F96" s="58" t="str">
        <f t="shared" si="4"/>
        <v>000000-2024</v>
      </c>
      <c r="G96" s="39"/>
      <c r="H96" s="58" t="b">
        <f t="shared" si="5"/>
        <v>0</v>
      </c>
    </row>
    <row r="97" spans="2:8" x14ac:dyDescent="0.2">
      <c r="B97" s="40"/>
      <c r="C97" s="57"/>
      <c r="D97" s="58" t="b">
        <f t="shared" si="3"/>
        <v>1</v>
      </c>
      <c r="F97" s="58" t="str">
        <f t="shared" si="4"/>
        <v>000000-2024</v>
      </c>
      <c r="G97" s="39"/>
      <c r="H97" s="58" t="b">
        <f t="shared" si="5"/>
        <v>0</v>
      </c>
    </row>
    <row r="98" spans="2:8" x14ac:dyDescent="0.2">
      <c r="B98" s="40"/>
      <c r="C98" s="57"/>
      <c r="D98" s="58" t="b">
        <f t="shared" si="3"/>
        <v>1</v>
      </c>
      <c r="F98" s="58" t="str">
        <f t="shared" si="4"/>
        <v>000000-2024</v>
      </c>
      <c r="G98" s="39"/>
      <c r="H98" s="58" t="b">
        <f t="shared" si="5"/>
        <v>0</v>
      </c>
    </row>
    <row r="99" spans="2:8" x14ac:dyDescent="0.2">
      <c r="B99" s="40"/>
      <c r="C99" s="57"/>
      <c r="D99" s="58" t="b">
        <f t="shared" si="3"/>
        <v>1</v>
      </c>
      <c r="F99" s="58" t="str">
        <f t="shared" si="4"/>
        <v>000000-2024</v>
      </c>
      <c r="G99" s="39"/>
      <c r="H99" s="58" t="b">
        <f t="shared" si="5"/>
        <v>0</v>
      </c>
    </row>
    <row r="100" spans="2:8" x14ac:dyDescent="0.2">
      <c r="B100" s="40"/>
      <c r="C100" s="57"/>
      <c r="D100" s="58" t="b">
        <f t="shared" si="3"/>
        <v>1</v>
      </c>
      <c r="F100" s="58" t="str">
        <f t="shared" si="4"/>
        <v>000000-2024</v>
      </c>
      <c r="G100" s="39"/>
      <c r="H100" s="58" t="b">
        <f t="shared" si="5"/>
        <v>0</v>
      </c>
    </row>
    <row r="101" spans="2:8" ht="13.5" thickBot="1" x14ac:dyDescent="0.25">
      <c r="B101" s="60"/>
      <c r="C101" s="57"/>
      <c r="D101" s="58" t="b">
        <f t="shared" si="3"/>
        <v>1</v>
      </c>
      <c r="F101" s="58" t="str">
        <f t="shared" si="4"/>
        <v>000000-2024</v>
      </c>
      <c r="G101" s="61"/>
      <c r="H101" s="58" t="b">
        <f t="shared" si="5"/>
        <v>0</v>
      </c>
    </row>
    <row r="102" spans="2:8" x14ac:dyDescent="0.2">
      <c r="B102" s="66"/>
      <c r="C102" s="57"/>
      <c r="D102" s="58" t="b">
        <f t="shared" si="3"/>
        <v>1</v>
      </c>
      <c r="F102" s="58" t="str">
        <f t="shared" si="4"/>
        <v>000000-2024</v>
      </c>
      <c r="G102" s="65"/>
      <c r="H102" s="58" t="b">
        <f t="shared" si="5"/>
        <v>0</v>
      </c>
    </row>
    <row r="103" spans="2:8" x14ac:dyDescent="0.2">
      <c r="B103" s="40"/>
      <c r="C103" s="57"/>
      <c r="D103" s="58" t="b">
        <f t="shared" si="3"/>
        <v>1</v>
      </c>
      <c r="F103" s="58" t="str">
        <f t="shared" si="4"/>
        <v>000000-2024</v>
      </c>
      <c r="G103" s="39"/>
      <c r="H103" s="58" t="b">
        <f t="shared" si="5"/>
        <v>0</v>
      </c>
    </row>
    <row r="104" spans="2:8" x14ac:dyDescent="0.2">
      <c r="B104" s="40"/>
      <c r="C104" s="57"/>
      <c r="D104" s="58" t="b">
        <f t="shared" si="3"/>
        <v>1</v>
      </c>
      <c r="F104" s="58" t="str">
        <f t="shared" si="4"/>
        <v>000000-2024</v>
      </c>
      <c r="G104" s="39"/>
      <c r="H104" s="58" t="b">
        <f t="shared" si="5"/>
        <v>0</v>
      </c>
    </row>
    <row r="105" spans="2:8" x14ac:dyDescent="0.2">
      <c r="B105" s="40"/>
      <c r="C105" s="57"/>
      <c r="D105" s="58" t="b">
        <f t="shared" si="3"/>
        <v>1</v>
      </c>
      <c r="F105" s="58" t="str">
        <f t="shared" si="4"/>
        <v>000000-2024</v>
      </c>
      <c r="G105" s="39"/>
      <c r="H105" s="58" t="b">
        <f t="shared" si="5"/>
        <v>0</v>
      </c>
    </row>
    <row r="106" spans="2:8" x14ac:dyDescent="0.2">
      <c r="B106" s="40"/>
      <c r="C106" s="57"/>
      <c r="D106" s="58" t="b">
        <f t="shared" si="3"/>
        <v>1</v>
      </c>
      <c r="F106" s="58" t="str">
        <f t="shared" si="4"/>
        <v>000000-2024</v>
      </c>
      <c r="G106" s="39"/>
      <c r="H106" s="58" t="b">
        <f t="shared" si="5"/>
        <v>0</v>
      </c>
    </row>
    <row r="107" spans="2:8" x14ac:dyDescent="0.2">
      <c r="B107" s="40"/>
      <c r="C107" s="57"/>
      <c r="D107" s="58" t="b">
        <f t="shared" si="3"/>
        <v>1</v>
      </c>
      <c r="F107" s="58" t="str">
        <f t="shared" si="4"/>
        <v>000000-2024</v>
      </c>
      <c r="G107" s="39"/>
      <c r="H107" s="58" t="b">
        <f t="shared" si="5"/>
        <v>0</v>
      </c>
    </row>
    <row r="108" spans="2:8" x14ac:dyDescent="0.2">
      <c r="B108" s="62"/>
      <c r="C108" s="57"/>
      <c r="D108" s="58" t="b">
        <f t="shared" si="3"/>
        <v>1</v>
      </c>
      <c r="F108" s="58" t="str">
        <f t="shared" si="4"/>
        <v>000000-2024</v>
      </c>
      <c r="G108" s="39"/>
      <c r="H108" s="58" t="b">
        <f t="shared" si="5"/>
        <v>0</v>
      </c>
    </row>
    <row r="109" spans="2:8" x14ac:dyDescent="0.2">
      <c r="B109" s="40"/>
      <c r="C109" s="57"/>
      <c r="D109" s="58" t="b">
        <f t="shared" si="3"/>
        <v>1</v>
      </c>
      <c r="F109" s="58" t="str">
        <f t="shared" si="4"/>
        <v>000000-2024</v>
      </c>
      <c r="G109" s="39"/>
      <c r="H109" s="58" t="b">
        <f t="shared" si="5"/>
        <v>0</v>
      </c>
    </row>
    <row r="110" spans="2:8" x14ac:dyDescent="0.2">
      <c r="B110" s="40"/>
      <c r="C110" s="57"/>
      <c r="D110" s="58" t="b">
        <f t="shared" si="3"/>
        <v>1</v>
      </c>
      <c r="F110" s="58" t="str">
        <f t="shared" si="4"/>
        <v>000000-2024</v>
      </c>
      <c r="G110" s="39"/>
      <c r="H110" s="58" t="b">
        <f t="shared" si="5"/>
        <v>0</v>
      </c>
    </row>
    <row r="111" spans="2:8" x14ac:dyDescent="0.2">
      <c r="B111" s="40"/>
      <c r="C111" s="57"/>
      <c r="D111" s="58" t="b">
        <f t="shared" si="3"/>
        <v>1</v>
      </c>
      <c r="F111" s="58" t="str">
        <f t="shared" si="4"/>
        <v>000000-2024</v>
      </c>
      <c r="G111" s="39"/>
      <c r="H111" s="58" t="b">
        <f t="shared" si="5"/>
        <v>0</v>
      </c>
    </row>
    <row r="112" spans="2:8" ht="13.5" thickBot="1" x14ac:dyDescent="0.25">
      <c r="B112" s="60"/>
      <c r="C112" s="57"/>
      <c r="D112" s="58" t="b">
        <f t="shared" si="3"/>
        <v>1</v>
      </c>
      <c r="F112" s="58" t="str">
        <f t="shared" si="4"/>
        <v>000000-2024</v>
      </c>
      <c r="G112" s="61"/>
      <c r="H112" s="58" t="b">
        <f t="shared" si="5"/>
        <v>0</v>
      </c>
    </row>
    <row r="113" spans="2:8" x14ac:dyDescent="0.2">
      <c r="B113" s="64"/>
      <c r="C113" s="57"/>
      <c r="D113" s="58" t="b">
        <f t="shared" si="3"/>
        <v>1</v>
      </c>
      <c r="F113" s="58" t="str">
        <f t="shared" si="4"/>
        <v>000000-2024</v>
      </c>
      <c r="G113" s="65"/>
      <c r="H113" s="58" t="b">
        <f t="shared" si="5"/>
        <v>0</v>
      </c>
    </row>
    <row r="114" spans="2:8" x14ac:dyDescent="0.2">
      <c r="B114" s="40"/>
      <c r="C114" s="57"/>
      <c r="D114" s="58" t="b">
        <f t="shared" si="3"/>
        <v>1</v>
      </c>
      <c r="F114" s="58" t="str">
        <f t="shared" si="4"/>
        <v>000000-2024</v>
      </c>
      <c r="G114" s="39"/>
      <c r="H114" s="58" t="b">
        <f t="shared" si="5"/>
        <v>0</v>
      </c>
    </row>
    <row r="115" spans="2:8" x14ac:dyDescent="0.2">
      <c r="B115" s="40"/>
      <c r="C115" s="57"/>
      <c r="D115" s="58" t="b">
        <f t="shared" si="3"/>
        <v>1</v>
      </c>
      <c r="F115" s="58" t="str">
        <f t="shared" si="4"/>
        <v>000000-2024</v>
      </c>
      <c r="G115" s="39"/>
      <c r="H115" s="58" t="b">
        <f t="shared" si="5"/>
        <v>0</v>
      </c>
    </row>
    <row r="116" spans="2:8" x14ac:dyDescent="0.2">
      <c r="B116" s="40"/>
      <c r="C116" s="57"/>
      <c r="D116" s="58" t="b">
        <f t="shared" si="3"/>
        <v>1</v>
      </c>
      <c r="F116" s="58" t="str">
        <f t="shared" si="4"/>
        <v>000000-2024</v>
      </c>
      <c r="G116" s="39"/>
      <c r="H116" s="58" t="b">
        <f t="shared" si="5"/>
        <v>0</v>
      </c>
    </row>
    <row r="117" spans="2:8" x14ac:dyDescent="0.2">
      <c r="B117" s="40"/>
      <c r="C117" s="57"/>
      <c r="D117" s="58" t="b">
        <f t="shared" si="3"/>
        <v>1</v>
      </c>
      <c r="F117" s="58" t="str">
        <f t="shared" si="4"/>
        <v>000000-2024</v>
      </c>
      <c r="G117" s="39"/>
      <c r="H117" s="58" t="b">
        <f t="shared" si="5"/>
        <v>0</v>
      </c>
    </row>
    <row r="118" spans="2:8" x14ac:dyDescent="0.2">
      <c r="B118" s="40"/>
      <c r="C118" s="57"/>
      <c r="D118" s="58" t="b">
        <f t="shared" si="3"/>
        <v>1</v>
      </c>
      <c r="F118" s="58" t="str">
        <f t="shared" si="4"/>
        <v>000000-2024</v>
      </c>
      <c r="G118" s="39"/>
      <c r="H118" s="58" t="b">
        <f t="shared" si="5"/>
        <v>0</v>
      </c>
    </row>
    <row r="119" spans="2:8" x14ac:dyDescent="0.2">
      <c r="B119" s="40"/>
      <c r="C119" s="57"/>
      <c r="D119" s="58" t="b">
        <f t="shared" si="3"/>
        <v>1</v>
      </c>
      <c r="F119" s="58" t="str">
        <f t="shared" si="4"/>
        <v>000000-2024</v>
      </c>
      <c r="G119" s="39"/>
      <c r="H119" s="58" t="b">
        <f t="shared" si="5"/>
        <v>0</v>
      </c>
    </row>
    <row r="120" spans="2:8" x14ac:dyDescent="0.2">
      <c r="B120" s="40"/>
      <c r="C120" s="57"/>
      <c r="D120" s="58" t="b">
        <f t="shared" si="3"/>
        <v>1</v>
      </c>
      <c r="F120" s="58" t="str">
        <f t="shared" si="4"/>
        <v>000000-2024</v>
      </c>
      <c r="G120" s="39"/>
      <c r="H120" s="58" t="b">
        <f t="shared" si="5"/>
        <v>0</v>
      </c>
    </row>
    <row r="121" spans="2:8" x14ac:dyDescent="0.2">
      <c r="B121" s="40"/>
      <c r="C121" s="57"/>
      <c r="D121" s="58" t="b">
        <f t="shared" si="3"/>
        <v>1</v>
      </c>
      <c r="F121" s="58" t="str">
        <f t="shared" si="4"/>
        <v>000000-2024</v>
      </c>
      <c r="G121" s="39"/>
      <c r="H121" s="58" t="b">
        <f t="shared" si="5"/>
        <v>0</v>
      </c>
    </row>
    <row r="122" spans="2:8" x14ac:dyDescent="0.2">
      <c r="B122" s="40"/>
      <c r="C122" s="57"/>
      <c r="D122" s="58" t="b">
        <f t="shared" si="3"/>
        <v>1</v>
      </c>
      <c r="F122" s="58" t="str">
        <f t="shared" si="4"/>
        <v>000000-2024</v>
      </c>
      <c r="G122" s="39"/>
      <c r="H122" s="58" t="b">
        <f t="shared" si="5"/>
        <v>0</v>
      </c>
    </row>
    <row r="123" spans="2:8" ht="13.5" thickBot="1" x14ac:dyDescent="0.25">
      <c r="B123" s="60"/>
      <c r="C123" s="57"/>
      <c r="D123" s="58" t="b">
        <f t="shared" si="3"/>
        <v>1</v>
      </c>
      <c r="F123" s="58" t="str">
        <f t="shared" si="4"/>
        <v>000000-2024</v>
      </c>
      <c r="G123" s="61"/>
      <c r="H123" s="58" t="b">
        <f t="shared" si="5"/>
        <v>0</v>
      </c>
    </row>
    <row r="124" spans="2:8" x14ac:dyDescent="0.2">
      <c r="B124" s="64"/>
      <c r="C124" s="57"/>
      <c r="D124" s="58" t="b">
        <f t="shared" si="3"/>
        <v>1</v>
      </c>
      <c r="F124" s="58" t="str">
        <f t="shared" si="4"/>
        <v>000000-2024</v>
      </c>
      <c r="G124" s="65"/>
      <c r="H124" s="58" t="b">
        <f t="shared" si="5"/>
        <v>0</v>
      </c>
    </row>
    <row r="125" spans="2:8" x14ac:dyDescent="0.2">
      <c r="B125" s="40"/>
      <c r="C125" s="57"/>
      <c r="D125" s="58" t="b">
        <f t="shared" si="3"/>
        <v>1</v>
      </c>
      <c r="F125" s="58" t="str">
        <f t="shared" si="4"/>
        <v>000000-2024</v>
      </c>
      <c r="G125" s="39"/>
      <c r="H125" s="58" t="b">
        <f t="shared" si="5"/>
        <v>0</v>
      </c>
    </row>
    <row r="126" spans="2:8" x14ac:dyDescent="0.2">
      <c r="B126" s="40"/>
      <c r="C126" s="57"/>
      <c r="D126" s="58" t="b">
        <f t="shared" si="3"/>
        <v>1</v>
      </c>
      <c r="F126" s="58" t="str">
        <f t="shared" si="4"/>
        <v>000000-2024</v>
      </c>
      <c r="G126" s="39"/>
      <c r="H126" s="58" t="b">
        <f t="shared" si="5"/>
        <v>0</v>
      </c>
    </row>
    <row r="127" spans="2:8" x14ac:dyDescent="0.2">
      <c r="B127" s="40"/>
      <c r="C127" s="57"/>
      <c r="D127" s="58" t="b">
        <f t="shared" si="3"/>
        <v>1</v>
      </c>
      <c r="F127" s="58" t="str">
        <f t="shared" si="4"/>
        <v>000000-2024</v>
      </c>
      <c r="G127" s="39"/>
      <c r="H127" s="58" t="b">
        <f t="shared" si="5"/>
        <v>0</v>
      </c>
    </row>
    <row r="128" spans="2:8" x14ac:dyDescent="0.2">
      <c r="B128" s="40"/>
      <c r="C128" s="57"/>
      <c r="D128" s="58" t="b">
        <f t="shared" si="3"/>
        <v>1</v>
      </c>
      <c r="F128" s="58" t="str">
        <f t="shared" si="4"/>
        <v>000000-2024</v>
      </c>
      <c r="G128" s="39"/>
      <c r="H128" s="58" t="b">
        <f t="shared" si="5"/>
        <v>0</v>
      </c>
    </row>
    <row r="129" spans="2:8" x14ac:dyDescent="0.2">
      <c r="B129" s="40"/>
      <c r="C129" s="57"/>
      <c r="D129" s="58" t="b">
        <f t="shared" si="3"/>
        <v>1</v>
      </c>
      <c r="F129" s="58" t="str">
        <f t="shared" si="4"/>
        <v>000000-2024</v>
      </c>
      <c r="G129" s="39"/>
      <c r="H129" s="58" t="b">
        <f t="shared" si="5"/>
        <v>0</v>
      </c>
    </row>
    <row r="130" spans="2:8" x14ac:dyDescent="0.2">
      <c r="B130" s="40"/>
      <c r="C130" s="57"/>
      <c r="D130" s="58" t="b">
        <f t="shared" si="3"/>
        <v>1</v>
      </c>
      <c r="F130" s="58" t="str">
        <f t="shared" si="4"/>
        <v>000000-2024</v>
      </c>
      <c r="G130" s="39"/>
      <c r="H130" s="58" t="b">
        <f t="shared" si="5"/>
        <v>0</v>
      </c>
    </row>
    <row r="131" spans="2:8" x14ac:dyDescent="0.2">
      <c r="B131" s="62"/>
      <c r="C131" s="57"/>
      <c r="D131" s="58" t="b">
        <f t="shared" si="3"/>
        <v>1</v>
      </c>
      <c r="F131" s="58" t="str">
        <f t="shared" si="4"/>
        <v>000000-2024</v>
      </c>
      <c r="G131" s="39"/>
      <c r="H131" s="58" t="b">
        <f t="shared" si="5"/>
        <v>0</v>
      </c>
    </row>
    <row r="132" spans="2:8" x14ac:dyDescent="0.2">
      <c r="B132" s="40"/>
      <c r="C132" s="57"/>
      <c r="D132" s="58" t="b">
        <f t="shared" si="3"/>
        <v>1</v>
      </c>
      <c r="F132" s="58" t="str">
        <f t="shared" si="4"/>
        <v>000000-2024</v>
      </c>
      <c r="G132" s="39"/>
      <c r="H132" s="58" t="b">
        <f t="shared" si="5"/>
        <v>0</v>
      </c>
    </row>
    <row r="133" spans="2:8" x14ac:dyDescent="0.2">
      <c r="B133" s="40"/>
      <c r="C133" s="57"/>
      <c r="D133" s="58" t="b">
        <f t="shared" ref="D133:D196" si="6">B133=C133</f>
        <v>1</v>
      </c>
      <c r="F133" s="58" t="str">
        <f t="shared" ref="F133:F196" si="7">TEXT(E133,"000000")&amp;"-2024"</f>
        <v>000000-2024</v>
      </c>
      <c r="G133" s="39"/>
      <c r="H133" s="58" t="b">
        <f t="shared" ref="H133:H196" si="8">F133=G133</f>
        <v>0</v>
      </c>
    </row>
    <row r="134" spans="2:8" ht="13.5" thickBot="1" x14ac:dyDescent="0.25">
      <c r="B134" s="60"/>
      <c r="C134" s="57"/>
      <c r="D134" s="58" t="b">
        <f t="shared" si="6"/>
        <v>1</v>
      </c>
      <c r="F134" s="58" t="str">
        <f t="shared" si="7"/>
        <v>000000-2024</v>
      </c>
      <c r="G134" s="61"/>
      <c r="H134" s="58" t="b">
        <f t="shared" si="8"/>
        <v>0</v>
      </c>
    </row>
    <row r="135" spans="2:8" x14ac:dyDescent="0.2">
      <c r="B135" s="40"/>
      <c r="C135" s="57"/>
      <c r="D135" s="58" t="b">
        <f t="shared" si="6"/>
        <v>1</v>
      </c>
      <c r="F135" s="58" t="str">
        <f t="shared" si="7"/>
        <v>000000-2024</v>
      </c>
      <c r="G135" s="39"/>
      <c r="H135" s="58" t="b">
        <f t="shared" si="8"/>
        <v>0</v>
      </c>
    </row>
    <row r="136" spans="2:8" x14ac:dyDescent="0.2">
      <c r="B136" s="40"/>
      <c r="C136" s="57"/>
      <c r="D136" s="58" t="b">
        <f t="shared" si="6"/>
        <v>1</v>
      </c>
      <c r="F136" s="58" t="str">
        <f t="shared" si="7"/>
        <v>000000-2024</v>
      </c>
      <c r="G136" s="39"/>
      <c r="H136" s="58" t="b">
        <f t="shared" si="8"/>
        <v>0</v>
      </c>
    </row>
    <row r="137" spans="2:8" x14ac:dyDescent="0.2">
      <c r="B137" s="40"/>
      <c r="C137" s="57"/>
      <c r="D137" s="58" t="b">
        <f t="shared" si="6"/>
        <v>1</v>
      </c>
      <c r="F137" s="58" t="str">
        <f t="shared" si="7"/>
        <v>000000-2024</v>
      </c>
      <c r="G137" s="39"/>
      <c r="H137" s="58" t="b">
        <f t="shared" si="8"/>
        <v>0</v>
      </c>
    </row>
    <row r="138" spans="2:8" x14ac:dyDescent="0.2">
      <c r="B138" s="40"/>
      <c r="C138" s="57"/>
      <c r="D138" s="58" t="b">
        <f t="shared" si="6"/>
        <v>1</v>
      </c>
      <c r="F138" s="58" t="str">
        <f t="shared" si="7"/>
        <v>000000-2024</v>
      </c>
      <c r="G138" s="39"/>
      <c r="H138" s="58" t="b">
        <f t="shared" si="8"/>
        <v>0</v>
      </c>
    </row>
    <row r="139" spans="2:8" x14ac:dyDescent="0.2">
      <c r="B139" s="40"/>
      <c r="C139" s="57"/>
      <c r="D139" s="58" t="b">
        <f t="shared" si="6"/>
        <v>1</v>
      </c>
      <c r="F139" s="58" t="str">
        <f t="shared" si="7"/>
        <v>000000-2024</v>
      </c>
      <c r="G139" s="39"/>
      <c r="H139" s="58" t="b">
        <f t="shared" si="8"/>
        <v>0</v>
      </c>
    </row>
    <row r="140" spans="2:8" x14ac:dyDescent="0.2">
      <c r="B140" s="40"/>
      <c r="C140" s="57"/>
      <c r="D140" s="58" t="b">
        <f t="shared" si="6"/>
        <v>1</v>
      </c>
      <c r="F140" s="58" t="str">
        <f t="shared" si="7"/>
        <v>000000-2024</v>
      </c>
      <c r="G140" s="39"/>
      <c r="H140" s="58" t="b">
        <f t="shared" si="8"/>
        <v>0</v>
      </c>
    </row>
    <row r="141" spans="2:8" x14ac:dyDescent="0.2">
      <c r="B141" s="40"/>
      <c r="C141" s="57"/>
      <c r="D141" s="58" t="b">
        <f t="shared" si="6"/>
        <v>1</v>
      </c>
      <c r="F141" s="58" t="str">
        <f t="shared" si="7"/>
        <v>000000-2024</v>
      </c>
      <c r="G141" s="39"/>
      <c r="H141" s="58" t="b">
        <f t="shared" si="8"/>
        <v>0</v>
      </c>
    </row>
    <row r="142" spans="2:8" x14ac:dyDescent="0.2">
      <c r="B142" s="40"/>
      <c r="C142" s="57"/>
      <c r="D142" s="58" t="b">
        <f t="shared" si="6"/>
        <v>1</v>
      </c>
      <c r="F142" s="58" t="str">
        <f t="shared" si="7"/>
        <v>000000-2024</v>
      </c>
      <c r="G142" s="39"/>
      <c r="H142" s="58" t="b">
        <f t="shared" si="8"/>
        <v>0</v>
      </c>
    </row>
    <row r="143" spans="2:8" ht="13.5" thickBot="1" x14ac:dyDescent="0.25">
      <c r="B143" s="60"/>
      <c r="C143" s="57"/>
      <c r="D143" s="58" t="b">
        <f t="shared" si="6"/>
        <v>1</v>
      </c>
      <c r="F143" s="58" t="str">
        <f t="shared" si="7"/>
        <v>000000-2024</v>
      </c>
      <c r="G143" s="61"/>
      <c r="H143" s="58" t="b">
        <f t="shared" si="8"/>
        <v>0</v>
      </c>
    </row>
    <row r="144" spans="2:8" x14ac:dyDescent="0.2">
      <c r="B144" s="64"/>
      <c r="C144" s="57"/>
      <c r="D144" s="58" t="b">
        <f t="shared" si="6"/>
        <v>1</v>
      </c>
      <c r="F144" s="58" t="str">
        <f t="shared" si="7"/>
        <v>000000-2024</v>
      </c>
      <c r="G144" s="65"/>
      <c r="H144" s="58" t="b">
        <f t="shared" si="8"/>
        <v>0</v>
      </c>
    </row>
    <row r="145" spans="2:8" x14ac:dyDescent="0.2">
      <c r="B145" s="40"/>
      <c r="C145" s="57"/>
      <c r="D145" s="58" t="b">
        <f t="shared" si="6"/>
        <v>1</v>
      </c>
      <c r="F145" s="58" t="str">
        <f t="shared" si="7"/>
        <v>000000-2024</v>
      </c>
      <c r="G145" s="39"/>
      <c r="H145" s="58" t="b">
        <f t="shared" si="8"/>
        <v>0</v>
      </c>
    </row>
    <row r="146" spans="2:8" x14ac:dyDescent="0.2">
      <c r="B146" s="40"/>
      <c r="C146" s="57"/>
      <c r="D146" s="58" t="b">
        <f t="shared" si="6"/>
        <v>1</v>
      </c>
      <c r="F146" s="58" t="str">
        <f t="shared" si="7"/>
        <v>000000-2024</v>
      </c>
      <c r="G146" s="39"/>
      <c r="H146" s="58" t="b">
        <f t="shared" si="8"/>
        <v>0</v>
      </c>
    </row>
    <row r="147" spans="2:8" x14ac:dyDescent="0.2">
      <c r="B147" s="40"/>
      <c r="C147" s="57"/>
      <c r="D147" s="58" t="b">
        <f t="shared" si="6"/>
        <v>1</v>
      </c>
      <c r="F147" s="58" t="str">
        <f t="shared" si="7"/>
        <v>000000-2024</v>
      </c>
      <c r="G147" s="67"/>
      <c r="H147" s="58" t="b">
        <f t="shared" si="8"/>
        <v>0</v>
      </c>
    </row>
    <row r="148" spans="2:8" x14ac:dyDescent="0.2">
      <c r="B148" s="40"/>
      <c r="C148" s="57"/>
      <c r="D148" s="58" t="b">
        <f t="shared" si="6"/>
        <v>1</v>
      </c>
      <c r="F148" s="58" t="str">
        <f t="shared" si="7"/>
        <v>000000-2024</v>
      </c>
      <c r="G148" s="39"/>
      <c r="H148" s="58" t="b">
        <f t="shared" si="8"/>
        <v>0</v>
      </c>
    </row>
    <row r="149" spans="2:8" x14ac:dyDescent="0.2">
      <c r="B149" s="40"/>
      <c r="C149" s="57"/>
      <c r="D149" s="58" t="b">
        <f t="shared" si="6"/>
        <v>1</v>
      </c>
      <c r="F149" s="58" t="str">
        <f t="shared" si="7"/>
        <v>000000-2024</v>
      </c>
      <c r="G149" s="68"/>
      <c r="H149" s="58" t="b">
        <f t="shared" si="8"/>
        <v>0</v>
      </c>
    </row>
    <row r="150" spans="2:8" x14ac:dyDescent="0.2">
      <c r="B150" s="40"/>
      <c r="C150" s="57"/>
      <c r="D150" s="58" t="b">
        <f t="shared" si="6"/>
        <v>1</v>
      </c>
      <c r="F150" s="58" t="str">
        <f t="shared" si="7"/>
        <v>000000-2024</v>
      </c>
      <c r="G150" s="39"/>
      <c r="H150" s="58" t="b">
        <f t="shared" si="8"/>
        <v>0</v>
      </c>
    </row>
    <row r="151" spans="2:8" x14ac:dyDescent="0.2">
      <c r="B151" s="40"/>
      <c r="C151" s="57"/>
      <c r="D151" s="58" t="b">
        <f t="shared" si="6"/>
        <v>1</v>
      </c>
      <c r="F151" s="58" t="str">
        <f t="shared" si="7"/>
        <v>000000-2024</v>
      </c>
      <c r="G151" s="39"/>
      <c r="H151" s="58" t="b">
        <f t="shared" si="8"/>
        <v>0</v>
      </c>
    </row>
    <row r="152" spans="2:8" x14ac:dyDescent="0.2">
      <c r="B152" s="40"/>
      <c r="C152" s="57"/>
      <c r="D152" s="58" t="b">
        <f t="shared" si="6"/>
        <v>1</v>
      </c>
      <c r="F152" s="58" t="str">
        <f t="shared" si="7"/>
        <v>000000-2024</v>
      </c>
      <c r="G152" s="39"/>
      <c r="H152" s="58" t="b">
        <f t="shared" si="8"/>
        <v>0</v>
      </c>
    </row>
    <row r="153" spans="2:8" ht="13.5" thickBot="1" x14ac:dyDescent="0.25">
      <c r="B153" s="60"/>
      <c r="C153" s="57"/>
      <c r="D153" s="58" t="b">
        <f t="shared" si="6"/>
        <v>1</v>
      </c>
      <c r="F153" s="58" t="str">
        <f t="shared" si="7"/>
        <v>000000-2024</v>
      </c>
      <c r="G153" s="61"/>
      <c r="H153" s="58" t="b">
        <f t="shared" si="8"/>
        <v>0</v>
      </c>
    </row>
    <row r="154" spans="2:8" x14ac:dyDescent="0.2">
      <c r="B154" s="64"/>
      <c r="C154" s="57"/>
      <c r="D154" s="58" t="b">
        <f t="shared" si="6"/>
        <v>1</v>
      </c>
      <c r="F154" s="58" t="str">
        <f t="shared" si="7"/>
        <v>000000-2024</v>
      </c>
      <c r="G154" s="65"/>
      <c r="H154" s="58" t="b">
        <f t="shared" si="8"/>
        <v>0</v>
      </c>
    </row>
    <row r="155" spans="2:8" x14ac:dyDescent="0.2">
      <c r="B155" s="40"/>
      <c r="C155" s="57"/>
      <c r="D155" s="58" t="b">
        <f t="shared" si="6"/>
        <v>1</v>
      </c>
      <c r="F155" s="58" t="str">
        <f t="shared" si="7"/>
        <v>000000-2024</v>
      </c>
      <c r="G155" s="39"/>
      <c r="H155" s="58" t="b">
        <f t="shared" si="8"/>
        <v>0</v>
      </c>
    </row>
    <row r="156" spans="2:8" x14ac:dyDescent="0.2">
      <c r="B156" s="40"/>
      <c r="C156" s="57"/>
      <c r="D156" s="58" t="b">
        <f t="shared" si="6"/>
        <v>1</v>
      </c>
      <c r="F156" s="58" t="str">
        <f t="shared" si="7"/>
        <v>000000-2024</v>
      </c>
      <c r="G156" s="39"/>
      <c r="H156" s="58" t="b">
        <f t="shared" si="8"/>
        <v>0</v>
      </c>
    </row>
    <row r="157" spans="2:8" x14ac:dyDescent="0.2">
      <c r="B157" s="40"/>
      <c r="C157" s="57"/>
      <c r="D157" s="58" t="b">
        <f t="shared" si="6"/>
        <v>1</v>
      </c>
      <c r="F157" s="58" t="str">
        <f t="shared" si="7"/>
        <v>000000-2024</v>
      </c>
      <c r="G157" s="39"/>
      <c r="H157" s="58" t="b">
        <f t="shared" si="8"/>
        <v>0</v>
      </c>
    </row>
    <row r="158" spans="2:8" x14ac:dyDescent="0.2">
      <c r="B158" s="40"/>
      <c r="C158" s="57"/>
      <c r="D158" s="58" t="b">
        <f t="shared" si="6"/>
        <v>1</v>
      </c>
      <c r="F158" s="58" t="str">
        <f t="shared" si="7"/>
        <v>000000-2024</v>
      </c>
      <c r="G158" s="39"/>
      <c r="H158" s="58" t="b">
        <f t="shared" si="8"/>
        <v>0</v>
      </c>
    </row>
    <row r="159" spans="2:8" x14ac:dyDescent="0.2">
      <c r="B159" s="40"/>
      <c r="C159" s="57"/>
      <c r="D159" s="58" t="b">
        <f t="shared" si="6"/>
        <v>1</v>
      </c>
      <c r="F159" s="58" t="str">
        <f t="shared" si="7"/>
        <v>000000-2024</v>
      </c>
      <c r="G159" s="39"/>
      <c r="H159" s="58" t="b">
        <f t="shared" si="8"/>
        <v>0</v>
      </c>
    </row>
    <row r="160" spans="2:8" x14ac:dyDescent="0.2">
      <c r="B160" s="40"/>
      <c r="C160" s="57"/>
      <c r="D160" s="58" t="b">
        <f t="shared" si="6"/>
        <v>1</v>
      </c>
      <c r="F160" s="58" t="str">
        <f t="shared" si="7"/>
        <v>000000-2024</v>
      </c>
      <c r="G160" s="39"/>
      <c r="H160" s="58" t="b">
        <f t="shared" si="8"/>
        <v>0</v>
      </c>
    </row>
    <row r="161" spans="2:8" x14ac:dyDescent="0.2">
      <c r="B161" s="40"/>
      <c r="C161" s="57"/>
      <c r="D161" s="58" t="b">
        <f t="shared" si="6"/>
        <v>1</v>
      </c>
      <c r="F161" s="58" t="str">
        <f t="shared" si="7"/>
        <v>000000-2024</v>
      </c>
      <c r="G161" s="39"/>
      <c r="H161" s="58" t="b">
        <f t="shared" si="8"/>
        <v>0</v>
      </c>
    </row>
    <row r="162" spans="2:8" x14ac:dyDescent="0.2">
      <c r="B162" s="40"/>
      <c r="C162" s="57"/>
      <c r="D162" s="58" t="b">
        <f t="shared" si="6"/>
        <v>1</v>
      </c>
      <c r="F162" s="58" t="str">
        <f t="shared" si="7"/>
        <v>000000-2024</v>
      </c>
      <c r="G162" s="39"/>
      <c r="H162" s="58" t="b">
        <f t="shared" si="8"/>
        <v>0</v>
      </c>
    </row>
    <row r="163" spans="2:8" x14ac:dyDescent="0.2">
      <c r="B163" s="40"/>
      <c r="C163" s="57"/>
      <c r="D163" s="58" t="b">
        <f t="shared" si="6"/>
        <v>1</v>
      </c>
      <c r="F163" s="58" t="str">
        <f t="shared" si="7"/>
        <v>000000-2024</v>
      </c>
      <c r="G163" s="39"/>
      <c r="H163" s="58" t="b">
        <f t="shared" si="8"/>
        <v>0</v>
      </c>
    </row>
    <row r="164" spans="2:8" ht="13.5" thickBot="1" x14ac:dyDescent="0.25">
      <c r="B164" s="60"/>
      <c r="C164" s="57"/>
      <c r="D164" s="58" t="b">
        <f t="shared" si="6"/>
        <v>1</v>
      </c>
      <c r="F164" s="58" t="str">
        <f t="shared" si="7"/>
        <v>000000-2024</v>
      </c>
      <c r="G164" s="61"/>
      <c r="H164" s="58" t="b">
        <f t="shared" si="8"/>
        <v>0</v>
      </c>
    </row>
    <row r="165" spans="2:8" x14ac:dyDescent="0.2">
      <c r="B165" s="64"/>
      <c r="C165" s="57"/>
      <c r="D165" s="58" t="b">
        <f t="shared" si="6"/>
        <v>1</v>
      </c>
      <c r="F165" s="58" t="str">
        <f t="shared" si="7"/>
        <v>000000-2024</v>
      </c>
      <c r="G165" s="65"/>
      <c r="H165" s="58" t="b">
        <f t="shared" si="8"/>
        <v>0</v>
      </c>
    </row>
    <row r="166" spans="2:8" x14ac:dyDescent="0.2">
      <c r="B166" s="40"/>
      <c r="C166" s="57"/>
      <c r="D166" s="58" t="b">
        <f t="shared" si="6"/>
        <v>1</v>
      </c>
      <c r="F166" s="58" t="str">
        <f t="shared" si="7"/>
        <v>000000-2024</v>
      </c>
      <c r="G166" s="39"/>
      <c r="H166" s="58" t="b">
        <f t="shared" si="8"/>
        <v>0</v>
      </c>
    </row>
    <row r="167" spans="2:8" x14ac:dyDescent="0.2">
      <c r="B167" s="40"/>
      <c r="C167" s="57"/>
      <c r="D167" s="58" t="b">
        <f t="shared" si="6"/>
        <v>1</v>
      </c>
      <c r="F167" s="58" t="str">
        <f t="shared" si="7"/>
        <v>000000-2024</v>
      </c>
      <c r="G167" s="39"/>
      <c r="H167" s="58" t="b">
        <f t="shared" si="8"/>
        <v>0</v>
      </c>
    </row>
    <row r="168" spans="2:8" x14ac:dyDescent="0.2">
      <c r="B168" s="40"/>
      <c r="C168" s="57"/>
      <c r="D168" s="58" t="b">
        <f t="shared" si="6"/>
        <v>1</v>
      </c>
      <c r="F168" s="58" t="str">
        <f t="shared" si="7"/>
        <v>000000-2024</v>
      </c>
      <c r="G168" s="39"/>
      <c r="H168" s="58" t="b">
        <f t="shared" si="8"/>
        <v>0</v>
      </c>
    </row>
    <row r="169" spans="2:8" x14ac:dyDescent="0.2">
      <c r="B169" s="40"/>
      <c r="C169" s="57"/>
      <c r="D169" s="58" t="b">
        <f t="shared" si="6"/>
        <v>1</v>
      </c>
      <c r="F169" s="58" t="str">
        <f t="shared" si="7"/>
        <v>000000-2024</v>
      </c>
      <c r="G169" s="39"/>
      <c r="H169" s="58" t="b">
        <f t="shared" si="8"/>
        <v>0</v>
      </c>
    </row>
    <row r="170" spans="2:8" x14ac:dyDescent="0.2">
      <c r="B170" s="40"/>
      <c r="C170" s="57"/>
      <c r="D170" s="58" t="b">
        <f t="shared" si="6"/>
        <v>1</v>
      </c>
      <c r="F170" s="58" t="str">
        <f t="shared" si="7"/>
        <v>000000-2024</v>
      </c>
      <c r="G170" s="39"/>
      <c r="H170" s="58" t="b">
        <f t="shared" si="8"/>
        <v>0</v>
      </c>
    </row>
    <row r="171" spans="2:8" x14ac:dyDescent="0.2">
      <c r="B171" s="40"/>
      <c r="C171" s="57"/>
      <c r="D171" s="58" t="b">
        <f t="shared" si="6"/>
        <v>1</v>
      </c>
      <c r="F171" s="58" t="str">
        <f t="shared" si="7"/>
        <v>000000-2024</v>
      </c>
      <c r="G171" s="39"/>
      <c r="H171" s="58" t="b">
        <f t="shared" si="8"/>
        <v>0</v>
      </c>
    </row>
    <row r="172" spans="2:8" x14ac:dyDescent="0.2">
      <c r="B172" s="40"/>
      <c r="C172" s="57"/>
      <c r="D172" s="58" t="b">
        <f t="shared" si="6"/>
        <v>1</v>
      </c>
      <c r="F172" s="58" t="str">
        <f t="shared" si="7"/>
        <v>000000-2024</v>
      </c>
      <c r="G172" s="39"/>
      <c r="H172" s="58" t="b">
        <f t="shared" si="8"/>
        <v>0</v>
      </c>
    </row>
    <row r="173" spans="2:8" x14ac:dyDescent="0.2">
      <c r="B173" s="40"/>
      <c r="C173" s="57"/>
      <c r="D173" s="58" t="b">
        <f t="shared" si="6"/>
        <v>1</v>
      </c>
      <c r="F173" s="58" t="str">
        <f t="shared" si="7"/>
        <v>000000-2024</v>
      </c>
      <c r="G173" s="39"/>
      <c r="H173" s="58" t="b">
        <f t="shared" si="8"/>
        <v>0</v>
      </c>
    </row>
    <row r="174" spans="2:8" x14ac:dyDescent="0.2">
      <c r="B174" s="40"/>
      <c r="C174" s="57"/>
      <c r="D174" s="58" t="b">
        <f t="shared" si="6"/>
        <v>1</v>
      </c>
      <c r="F174" s="58" t="str">
        <f t="shared" si="7"/>
        <v>000000-2024</v>
      </c>
      <c r="G174" s="39"/>
      <c r="H174" s="58" t="b">
        <f t="shared" si="8"/>
        <v>0</v>
      </c>
    </row>
    <row r="175" spans="2:8" ht="13.5" thickBot="1" x14ac:dyDescent="0.25">
      <c r="B175" s="60"/>
      <c r="C175" s="57"/>
      <c r="D175" s="58" t="b">
        <f t="shared" si="6"/>
        <v>1</v>
      </c>
      <c r="F175" s="58" t="str">
        <f t="shared" si="7"/>
        <v>000000-2024</v>
      </c>
      <c r="G175" s="61"/>
      <c r="H175" s="58" t="b">
        <f t="shared" si="8"/>
        <v>0</v>
      </c>
    </row>
    <row r="176" spans="2:8" x14ac:dyDescent="0.2">
      <c r="B176" s="64"/>
      <c r="C176" s="57"/>
      <c r="D176" s="58" t="b">
        <f t="shared" si="6"/>
        <v>1</v>
      </c>
      <c r="F176" s="58" t="str">
        <f t="shared" si="7"/>
        <v>000000-2024</v>
      </c>
      <c r="G176" s="65"/>
      <c r="H176" s="58" t="b">
        <f t="shared" si="8"/>
        <v>0</v>
      </c>
    </row>
    <row r="177" spans="2:8" x14ac:dyDescent="0.2">
      <c r="B177" s="40"/>
      <c r="C177" s="57"/>
      <c r="D177" s="58" t="b">
        <f t="shared" si="6"/>
        <v>1</v>
      </c>
      <c r="F177" s="58" t="str">
        <f t="shared" si="7"/>
        <v>000000-2024</v>
      </c>
      <c r="G177" s="39"/>
      <c r="H177" s="58" t="b">
        <f t="shared" si="8"/>
        <v>0</v>
      </c>
    </row>
    <row r="178" spans="2:8" x14ac:dyDescent="0.2">
      <c r="B178" s="40"/>
      <c r="C178" s="57"/>
      <c r="D178" s="58" t="b">
        <f t="shared" si="6"/>
        <v>1</v>
      </c>
      <c r="F178" s="58" t="str">
        <f t="shared" si="7"/>
        <v>000000-2024</v>
      </c>
      <c r="G178" s="39"/>
      <c r="H178" s="58" t="b">
        <f t="shared" si="8"/>
        <v>0</v>
      </c>
    </row>
    <row r="179" spans="2:8" x14ac:dyDescent="0.2">
      <c r="B179" s="40"/>
      <c r="C179" s="57"/>
      <c r="D179" s="58" t="b">
        <f t="shared" si="6"/>
        <v>1</v>
      </c>
      <c r="F179" s="58" t="str">
        <f t="shared" si="7"/>
        <v>000000-2024</v>
      </c>
      <c r="G179" s="39"/>
      <c r="H179" s="58" t="b">
        <f t="shared" si="8"/>
        <v>0</v>
      </c>
    </row>
    <row r="180" spans="2:8" x14ac:dyDescent="0.2">
      <c r="B180" s="40"/>
      <c r="C180" s="57"/>
      <c r="D180" s="58" t="b">
        <f t="shared" si="6"/>
        <v>1</v>
      </c>
      <c r="F180" s="58" t="str">
        <f t="shared" si="7"/>
        <v>000000-2024</v>
      </c>
      <c r="G180" s="39"/>
      <c r="H180" s="58" t="b">
        <f t="shared" si="8"/>
        <v>0</v>
      </c>
    </row>
    <row r="181" spans="2:8" x14ac:dyDescent="0.2">
      <c r="B181" s="40"/>
      <c r="C181" s="57"/>
      <c r="D181" s="58" t="b">
        <f t="shared" si="6"/>
        <v>1</v>
      </c>
      <c r="F181" s="58" t="str">
        <f t="shared" si="7"/>
        <v>000000-2024</v>
      </c>
      <c r="G181" s="39"/>
      <c r="H181" s="58" t="b">
        <f t="shared" si="8"/>
        <v>0</v>
      </c>
    </row>
    <row r="182" spans="2:8" x14ac:dyDescent="0.2">
      <c r="B182" s="40"/>
      <c r="C182" s="57"/>
      <c r="D182" s="58" t="b">
        <f t="shared" si="6"/>
        <v>1</v>
      </c>
      <c r="F182" s="58" t="str">
        <f t="shared" si="7"/>
        <v>000000-2024</v>
      </c>
      <c r="G182" s="39"/>
      <c r="H182" s="58" t="b">
        <f t="shared" si="8"/>
        <v>0</v>
      </c>
    </row>
    <row r="183" spans="2:8" x14ac:dyDescent="0.2">
      <c r="B183" s="40"/>
      <c r="C183" s="57"/>
      <c r="D183" s="58" t="b">
        <f t="shared" si="6"/>
        <v>1</v>
      </c>
      <c r="F183" s="58" t="str">
        <f t="shared" si="7"/>
        <v>000000-2024</v>
      </c>
      <c r="G183" s="39"/>
      <c r="H183" s="58" t="b">
        <f t="shared" si="8"/>
        <v>0</v>
      </c>
    </row>
    <row r="184" spans="2:8" x14ac:dyDescent="0.2">
      <c r="B184" s="40"/>
      <c r="C184" s="57"/>
      <c r="D184" s="58" t="b">
        <f t="shared" si="6"/>
        <v>1</v>
      </c>
      <c r="F184" s="58" t="str">
        <f t="shared" si="7"/>
        <v>000000-2024</v>
      </c>
      <c r="G184" s="39"/>
      <c r="H184" s="58" t="b">
        <f t="shared" si="8"/>
        <v>0</v>
      </c>
    </row>
    <row r="185" spans="2:8" x14ac:dyDescent="0.2">
      <c r="B185" s="40"/>
      <c r="C185" s="57"/>
      <c r="D185" s="58" t="b">
        <f t="shared" si="6"/>
        <v>1</v>
      </c>
      <c r="F185" s="58" t="str">
        <f t="shared" si="7"/>
        <v>000000-2024</v>
      </c>
      <c r="G185" s="39"/>
      <c r="H185" s="58" t="b">
        <f t="shared" si="8"/>
        <v>0</v>
      </c>
    </row>
    <row r="186" spans="2:8" ht="13.5" thickBot="1" x14ac:dyDescent="0.25">
      <c r="B186" s="60"/>
      <c r="C186" s="57"/>
      <c r="D186" s="58" t="b">
        <f t="shared" si="6"/>
        <v>1</v>
      </c>
      <c r="F186" s="58" t="str">
        <f t="shared" si="7"/>
        <v>000000-2024</v>
      </c>
      <c r="G186" s="61"/>
      <c r="H186" s="58" t="b">
        <f t="shared" si="8"/>
        <v>0</v>
      </c>
    </row>
    <row r="187" spans="2:8" x14ac:dyDescent="0.2">
      <c r="B187" s="64"/>
      <c r="C187" s="57"/>
      <c r="D187" s="58" t="b">
        <f t="shared" si="6"/>
        <v>1</v>
      </c>
      <c r="F187" s="58" t="str">
        <f t="shared" si="7"/>
        <v>000000-2024</v>
      </c>
      <c r="G187" s="65"/>
      <c r="H187" s="58" t="b">
        <f t="shared" si="8"/>
        <v>0</v>
      </c>
    </row>
    <row r="188" spans="2:8" x14ac:dyDescent="0.2">
      <c r="B188" s="40"/>
      <c r="C188" s="57"/>
      <c r="D188" s="58" t="b">
        <f t="shared" si="6"/>
        <v>1</v>
      </c>
      <c r="F188" s="58" t="str">
        <f t="shared" si="7"/>
        <v>000000-2024</v>
      </c>
      <c r="G188" s="39"/>
      <c r="H188" s="58" t="b">
        <f t="shared" si="8"/>
        <v>0</v>
      </c>
    </row>
    <row r="189" spans="2:8" x14ac:dyDescent="0.2">
      <c r="B189" s="40"/>
      <c r="C189" s="57"/>
      <c r="D189" s="58" t="b">
        <f t="shared" si="6"/>
        <v>1</v>
      </c>
      <c r="F189" s="58" t="str">
        <f t="shared" si="7"/>
        <v>000000-2024</v>
      </c>
      <c r="G189" s="39"/>
      <c r="H189" s="58" t="b">
        <f t="shared" si="8"/>
        <v>0</v>
      </c>
    </row>
    <row r="190" spans="2:8" x14ac:dyDescent="0.2">
      <c r="B190" s="40"/>
      <c r="C190" s="57"/>
      <c r="D190" s="58" t="b">
        <f t="shared" si="6"/>
        <v>1</v>
      </c>
      <c r="F190" s="58" t="str">
        <f t="shared" si="7"/>
        <v>000000-2024</v>
      </c>
      <c r="G190" s="39"/>
      <c r="H190" s="58" t="b">
        <f t="shared" si="8"/>
        <v>0</v>
      </c>
    </row>
    <row r="191" spans="2:8" x14ac:dyDescent="0.2">
      <c r="B191" s="40"/>
      <c r="C191" s="57"/>
      <c r="D191" s="58" t="b">
        <f t="shared" si="6"/>
        <v>1</v>
      </c>
      <c r="F191" s="58" t="str">
        <f t="shared" si="7"/>
        <v>000000-2024</v>
      </c>
      <c r="G191" s="39"/>
      <c r="H191" s="58" t="b">
        <f t="shared" si="8"/>
        <v>0</v>
      </c>
    </row>
    <row r="192" spans="2:8" x14ac:dyDescent="0.2">
      <c r="B192" s="40"/>
      <c r="C192" s="57"/>
      <c r="D192" s="58" t="b">
        <f t="shared" si="6"/>
        <v>1</v>
      </c>
      <c r="F192" s="58" t="str">
        <f t="shared" si="7"/>
        <v>000000-2024</v>
      </c>
      <c r="G192" s="39"/>
      <c r="H192" s="58" t="b">
        <f t="shared" si="8"/>
        <v>0</v>
      </c>
    </row>
    <row r="193" spans="2:8" x14ac:dyDescent="0.2">
      <c r="B193" s="40"/>
      <c r="C193" s="57"/>
      <c r="D193" s="58" t="b">
        <f t="shared" si="6"/>
        <v>1</v>
      </c>
      <c r="F193" s="58" t="str">
        <f t="shared" si="7"/>
        <v>000000-2024</v>
      </c>
      <c r="G193" s="39"/>
      <c r="H193" s="58" t="b">
        <f t="shared" si="8"/>
        <v>0</v>
      </c>
    </row>
    <row r="194" spans="2:8" x14ac:dyDescent="0.2">
      <c r="B194" s="40"/>
      <c r="C194" s="57"/>
      <c r="D194" s="58" t="b">
        <f t="shared" si="6"/>
        <v>1</v>
      </c>
      <c r="F194" s="58" t="str">
        <f t="shared" si="7"/>
        <v>000000-2024</v>
      </c>
      <c r="G194" s="39"/>
      <c r="H194" s="58" t="b">
        <f t="shared" si="8"/>
        <v>0</v>
      </c>
    </row>
    <row r="195" spans="2:8" x14ac:dyDescent="0.2">
      <c r="B195" s="40"/>
      <c r="C195" s="57"/>
      <c r="D195" s="58" t="b">
        <f t="shared" si="6"/>
        <v>1</v>
      </c>
      <c r="F195" s="58" t="str">
        <f t="shared" si="7"/>
        <v>000000-2024</v>
      </c>
      <c r="G195" s="39"/>
      <c r="H195" s="58" t="b">
        <f t="shared" si="8"/>
        <v>0</v>
      </c>
    </row>
    <row r="196" spans="2:8" x14ac:dyDescent="0.2">
      <c r="B196" s="40"/>
      <c r="C196" s="57"/>
      <c r="D196" s="58" t="b">
        <f t="shared" si="6"/>
        <v>1</v>
      </c>
      <c r="F196" s="58" t="str">
        <f t="shared" si="7"/>
        <v>000000-2024</v>
      </c>
      <c r="G196" s="39"/>
      <c r="H196" s="58" t="b">
        <f t="shared" si="8"/>
        <v>0</v>
      </c>
    </row>
    <row r="197" spans="2:8" ht="13.5" thickBot="1" x14ac:dyDescent="0.25">
      <c r="B197" s="60"/>
      <c r="C197" s="57"/>
      <c r="D197" s="58" t="b">
        <f t="shared" ref="D197:D260" si="9">B197=C197</f>
        <v>1</v>
      </c>
      <c r="F197" s="58" t="str">
        <f t="shared" ref="F197:F260" si="10">TEXT(E197,"000000")&amp;"-2024"</f>
        <v>000000-2024</v>
      </c>
      <c r="G197" s="61"/>
      <c r="H197" s="58" t="b">
        <f t="shared" ref="H197:H260" si="11">F197=G197</f>
        <v>0</v>
      </c>
    </row>
    <row r="198" spans="2:8" x14ac:dyDescent="0.2">
      <c r="B198" s="64"/>
      <c r="C198" s="57"/>
      <c r="D198" s="58" t="b">
        <f t="shared" si="9"/>
        <v>1</v>
      </c>
      <c r="F198" s="58" t="str">
        <f t="shared" si="10"/>
        <v>000000-2024</v>
      </c>
      <c r="G198" s="65"/>
      <c r="H198" s="58" t="b">
        <f t="shared" si="11"/>
        <v>0</v>
      </c>
    </row>
    <row r="199" spans="2:8" x14ac:dyDescent="0.2">
      <c r="B199" s="40"/>
      <c r="C199" s="57"/>
      <c r="D199" s="58" t="b">
        <f t="shared" si="9"/>
        <v>1</v>
      </c>
      <c r="F199" s="58" t="str">
        <f t="shared" si="10"/>
        <v>000000-2024</v>
      </c>
      <c r="G199" s="39"/>
      <c r="H199" s="58" t="b">
        <f t="shared" si="11"/>
        <v>0</v>
      </c>
    </row>
    <row r="200" spans="2:8" x14ac:dyDescent="0.2">
      <c r="B200" s="40"/>
      <c r="C200" s="57"/>
      <c r="D200" s="58" t="b">
        <f t="shared" si="9"/>
        <v>1</v>
      </c>
      <c r="F200" s="58" t="str">
        <f t="shared" si="10"/>
        <v>000000-2024</v>
      </c>
      <c r="G200" s="39"/>
      <c r="H200" s="58" t="b">
        <f t="shared" si="11"/>
        <v>0</v>
      </c>
    </row>
    <row r="201" spans="2:8" x14ac:dyDescent="0.2">
      <c r="B201" s="40"/>
      <c r="C201" s="57"/>
      <c r="D201" s="58" t="b">
        <f t="shared" si="9"/>
        <v>1</v>
      </c>
      <c r="F201" s="58" t="str">
        <f t="shared" si="10"/>
        <v>000000-2024</v>
      </c>
      <c r="G201" s="39"/>
      <c r="H201" s="58" t="b">
        <f t="shared" si="11"/>
        <v>0</v>
      </c>
    </row>
    <row r="202" spans="2:8" x14ac:dyDescent="0.2">
      <c r="B202" s="40"/>
      <c r="C202" s="57"/>
      <c r="D202" s="58" t="b">
        <f t="shared" si="9"/>
        <v>1</v>
      </c>
      <c r="F202" s="58" t="str">
        <f t="shared" si="10"/>
        <v>000000-2024</v>
      </c>
      <c r="G202" s="39"/>
      <c r="H202" s="58" t="b">
        <f t="shared" si="11"/>
        <v>0</v>
      </c>
    </row>
    <row r="203" spans="2:8" x14ac:dyDescent="0.2">
      <c r="B203" s="40"/>
      <c r="C203" s="57"/>
      <c r="D203" s="58" t="b">
        <f t="shared" si="9"/>
        <v>1</v>
      </c>
      <c r="F203" s="58" t="str">
        <f t="shared" si="10"/>
        <v>000000-2024</v>
      </c>
      <c r="G203" s="39"/>
      <c r="H203" s="58" t="b">
        <f t="shared" si="11"/>
        <v>0</v>
      </c>
    </row>
    <row r="204" spans="2:8" x14ac:dyDescent="0.2">
      <c r="B204" s="40"/>
      <c r="C204" s="57"/>
      <c r="D204" s="58" t="b">
        <f t="shared" si="9"/>
        <v>1</v>
      </c>
      <c r="F204" s="58" t="str">
        <f t="shared" si="10"/>
        <v>000000-2024</v>
      </c>
      <c r="G204" s="39"/>
      <c r="H204" s="58" t="b">
        <f t="shared" si="11"/>
        <v>0</v>
      </c>
    </row>
    <row r="205" spans="2:8" x14ac:dyDescent="0.2">
      <c r="B205" s="40"/>
      <c r="C205" s="57"/>
      <c r="D205" s="58" t="b">
        <f t="shared" si="9"/>
        <v>1</v>
      </c>
      <c r="F205" s="58" t="str">
        <f t="shared" si="10"/>
        <v>000000-2024</v>
      </c>
      <c r="G205" s="39"/>
      <c r="H205" s="58" t="b">
        <f t="shared" si="11"/>
        <v>0</v>
      </c>
    </row>
    <row r="206" spans="2:8" x14ac:dyDescent="0.2">
      <c r="B206" s="40"/>
      <c r="C206" s="57"/>
      <c r="D206" s="58" t="b">
        <f t="shared" si="9"/>
        <v>1</v>
      </c>
      <c r="F206" s="58" t="str">
        <f t="shared" si="10"/>
        <v>000000-2024</v>
      </c>
      <c r="G206" s="39"/>
      <c r="H206" s="58" t="b">
        <f t="shared" si="11"/>
        <v>0</v>
      </c>
    </row>
    <row r="207" spans="2:8" x14ac:dyDescent="0.2">
      <c r="B207" s="40"/>
      <c r="C207" s="57"/>
      <c r="D207" s="58" t="b">
        <f t="shared" si="9"/>
        <v>1</v>
      </c>
      <c r="F207" s="58" t="str">
        <f t="shared" si="10"/>
        <v>000000-2024</v>
      </c>
      <c r="G207" s="39"/>
      <c r="H207" s="58" t="b">
        <f t="shared" si="11"/>
        <v>0</v>
      </c>
    </row>
    <row r="208" spans="2:8" ht="13.5" thickBot="1" x14ac:dyDescent="0.25">
      <c r="B208" s="60"/>
      <c r="C208" s="57"/>
      <c r="D208" s="58" t="b">
        <f t="shared" si="9"/>
        <v>1</v>
      </c>
      <c r="F208" s="58" t="str">
        <f t="shared" si="10"/>
        <v>000000-2024</v>
      </c>
      <c r="G208" s="61"/>
      <c r="H208" s="58" t="b">
        <f t="shared" si="11"/>
        <v>0</v>
      </c>
    </row>
    <row r="209" spans="2:8" x14ac:dyDescent="0.2">
      <c r="B209" s="64"/>
      <c r="C209" s="57"/>
      <c r="D209" s="58" t="b">
        <f t="shared" si="9"/>
        <v>1</v>
      </c>
      <c r="F209" s="58" t="str">
        <f t="shared" si="10"/>
        <v>000000-2024</v>
      </c>
      <c r="G209" s="65"/>
      <c r="H209" s="58" t="b">
        <f t="shared" si="11"/>
        <v>0</v>
      </c>
    </row>
    <row r="210" spans="2:8" x14ac:dyDescent="0.2">
      <c r="B210" s="40"/>
      <c r="C210" s="57"/>
      <c r="D210" s="58" t="b">
        <f t="shared" si="9"/>
        <v>1</v>
      </c>
      <c r="F210" s="58" t="str">
        <f t="shared" si="10"/>
        <v>000000-2024</v>
      </c>
      <c r="G210" s="39"/>
      <c r="H210" s="58" t="b">
        <f t="shared" si="11"/>
        <v>0</v>
      </c>
    </row>
    <row r="211" spans="2:8" x14ac:dyDescent="0.2">
      <c r="B211" s="40"/>
      <c r="C211" s="57"/>
      <c r="D211" s="58" t="b">
        <f t="shared" si="9"/>
        <v>1</v>
      </c>
      <c r="F211" s="58" t="str">
        <f t="shared" si="10"/>
        <v>000000-2024</v>
      </c>
      <c r="G211" s="39"/>
      <c r="H211" s="58" t="b">
        <f t="shared" si="11"/>
        <v>0</v>
      </c>
    </row>
    <row r="212" spans="2:8" x14ac:dyDescent="0.2">
      <c r="B212" s="40"/>
      <c r="C212" s="57"/>
      <c r="D212" s="58" t="b">
        <f t="shared" si="9"/>
        <v>1</v>
      </c>
      <c r="F212" s="58" t="str">
        <f t="shared" si="10"/>
        <v>000000-2024</v>
      </c>
      <c r="G212" s="39"/>
      <c r="H212" s="58" t="b">
        <f t="shared" si="11"/>
        <v>0</v>
      </c>
    </row>
    <row r="213" spans="2:8" x14ac:dyDescent="0.2">
      <c r="B213" s="40"/>
      <c r="C213" s="57"/>
      <c r="D213" s="58" t="b">
        <f t="shared" si="9"/>
        <v>1</v>
      </c>
      <c r="F213" s="58" t="str">
        <f t="shared" si="10"/>
        <v>000000-2024</v>
      </c>
      <c r="G213" s="39"/>
      <c r="H213" s="58" t="b">
        <f t="shared" si="11"/>
        <v>0</v>
      </c>
    </row>
    <row r="214" spans="2:8" x14ac:dyDescent="0.2">
      <c r="B214" s="40"/>
      <c r="C214" s="57"/>
      <c r="D214" s="58" t="b">
        <f t="shared" si="9"/>
        <v>1</v>
      </c>
      <c r="F214" s="58" t="str">
        <f t="shared" si="10"/>
        <v>000000-2024</v>
      </c>
      <c r="G214" s="39"/>
      <c r="H214" s="58" t="b">
        <f t="shared" si="11"/>
        <v>0</v>
      </c>
    </row>
    <row r="215" spans="2:8" x14ac:dyDescent="0.2">
      <c r="B215" s="40"/>
      <c r="C215" s="57"/>
      <c r="D215" s="58" t="b">
        <f t="shared" si="9"/>
        <v>1</v>
      </c>
      <c r="F215" s="58" t="str">
        <f t="shared" si="10"/>
        <v>000000-2024</v>
      </c>
      <c r="G215" s="39"/>
      <c r="H215" s="58" t="b">
        <f t="shared" si="11"/>
        <v>0</v>
      </c>
    </row>
    <row r="216" spans="2:8" x14ac:dyDescent="0.2">
      <c r="B216" s="40"/>
      <c r="C216" s="57"/>
      <c r="D216" s="58" t="b">
        <f t="shared" si="9"/>
        <v>1</v>
      </c>
      <c r="F216" s="58" t="str">
        <f t="shared" si="10"/>
        <v>000000-2024</v>
      </c>
      <c r="G216" s="39"/>
      <c r="H216" s="58" t="b">
        <f t="shared" si="11"/>
        <v>0</v>
      </c>
    </row>
    <row r="217" spans="2:8" x14ac:dyDescent="0.2">
      <c r="B217" s="40"/>
      <c r="C217" s="57"/>
      <c r="D217" s="58" t="b">
        <f t="shared" si="9"/>
        <v>1</v>
      </c>
      <c r="F217" s="58" t="str">
        <f t="shared" si="10"/>
        <v>000000-2024</v>
      </c>
      <c r="G217" s="39"/>
      <c r="H217" s="58" t="b">
        <f t="shared" si="11"/>
        <v>0</v>
      </c>
    </row>
    <row r="218" spans="2:8" x14ac:dyDescent="0.2">
      <c r="B218" s="40"/>
      <c r="C218" s="57"/>
      <c r="D218" s="58" t="b">
        <f t="shared" si="9"/>
        <v>1</v>
      </c>
      <c r="F218" s="58" t="str">
        <f t="shared" si="10"/>
        <v>000000-2024</v>
      </c>
      <c r="G218" s="39"/>
      <c r="H218" s="58" t="b">
        <f t="shared" si="11"/>
        <v>0</v>
      </c>
    </row>
    <row r="219" spans="2:8" ht="13.5" thickBot="1" x14ac:dyDescent="0.25">
      <c r="B219" s="60"/>
      <c r="C219" s="57"/>
      <c r="D219" s="58" t="b">
        <f t="shared" si="9"/>
        <v>1</v>
      </c>
      <c r="F219" s="58" t="str">
        <f t="shared" si="10"/>
        <v>000000-2024</v>
      </c>
      <c r="G219" s="61"/>
      <c r="H219" s="58" t="b">
        <f t="shared" si="11"/>
        <v>0</v>
      </c>
    </row>
    <row r="220" spans="2:8" x14ac:dyDescent="0.2">
      <c r="B220" s="64"/>
      <c r="C220" s="57"/>
      <c r="D220" s="58" t="b">
        <f t="shared" si="9"/>
        <v>1</v>
      </c>
      <c r="F220" s="58" t="str">
        <f t="shared" si="10"/>
        <v>000000-2024</v>
      </c>
      <c r="G220" s="65"/>
      <c r="H220" s="58" t="b">
        <f t="shared" si="11"/>
        <v>0</v>
      </c>
    </row>
    <row r="221" spans="2:8" x14ac:dyDescent="0.2">
      <c r="B221" s="40"/>
      <c r="C221" s="57"/>
      <c r="D221" s="58" t="b">
        <f t="shared" si="9"/>
        <v>1</v>
      </c>
      <c r="F221" s="58" t="str">
        <f t="shared" si="10"/>
        <v>000000-2024</v>
      </c>
      <c r="G221" s="39"/>
      <c r="H221" s="58" t="b">
        <f t="shared" si="11"/>
        <v>0</v>
      </c>
    </row>
    <row r="222" spans="2:8" x14ac:dyDescent="0.2">
      <c r="B222" s="40"/>
      <c r="C222" s="57"/>
      <c r="D222" s="58" t="b">
        <f t="shared" si="9"/>
        <v>1</v>
      </c>
      <c r="F222" s="58" t="str">
        <f t="shared" si="10"/>
        <v>000000-2024</v>
      </c>
      <c r="G222" s="39"/>
      <c r="H222" s="58" t="b">
        <f t="shared" si="11"/>
        <v>0</v>
      </c>
    </row>
    <row r="223" spans="2:8" x14ac:dyDescent="0.2">
      <c r="B223" s="40"/>
      <c r="C223" s="57"/>
      <c r="D223" s="58" t="b">
        <f t="shared" si="9"/>
        <v>1</v>
      </c>
      <c r="F223" s="58" t="str">
        <f t="shared" si="10"/>
        <v>000000-2024</v>
      </c>
      <c r="G223" s="39"/>
      <c r="H223" s="58" t="b">
        <f t="shared" si="11"/>
        <v>0</v>
      </c>
    </row>
    <row r="224" spans="2:8" x14ac:dyDescent="0.2">
      <c r="B224" s="40"/>
      <c r="C224" s="57"/>
      <c r="D224" s="58" t="b">
        <f t="shared" si="9"/>
        <v>1</v>
      </c>
      <c r="F224" s="58" t="str">
        <f t="shared" si="10"/>
        <v>000000-2024</v>
      </c>
      <c r="G224" s="39"/>
      <c r="H224" s="58" t="b">
        <f t="shared" si="11"/>
        <v>0</v>
      </c>
    </row>
    <row r="225" spans="2:8" x14ac:dyDescent="0.2">
      <c r="B225" s="40"/>
      <c r="C225" s="57"/>
      <c r="D225" s="58" t="b">
        <f t="shared" si="9"/>
        <v>1</v>
      </c>
      <c r="F225" s="58" t="str">
        <f t="shared" si="10"/>
        <v>000000-2024</v>
      </c>
      <c r="G225" s="39"/>
      <c r="H225" s="58" t="b">
        <f t="shared" si="11"/>
        <v>0</v>
      </c>
    </row>
    <row r="226" spans="2:8" x14ac:dyDescent="0.2">
      <c r="B226" s="40"/>
      <c r="C226" s="57"/>
      <c r="D226" s="58" t="b">
        <f t="shared" si="9"/>
        <v>1</v>
      </c>
      <c r="F226" s="58" t="str">
        <f t="shared" si="10"/>
        <v>000000-2024</v>
      </c>
      <c r="G226" s="39"/>
      <c r="H226" s="58" t="b">
        <f t="shared" si="11"/>
        <v>0</v>
      </c>
    </row>
    <row r="227" spans="2:8" x14ac:dyDescent="0.2">
      <c r="B227" s="40"/>
      <c r="C227" s="57"/>
      <c r="D227" s="58" t="b">
        <f t="shared" si="9"/>
        <v>1</v>
      </c>
      <c r="F227" s="58" t="str">
        <f t="shared" si="10"/>
        <v>000000-2024</v>
      </c>
      <c r="G227" s="39"/>
      <c r="H227" s="58" t="b">
        <f t="shared" si="11"/>
        <v>0</v>
      </c>
    </row>
    <row r="228" spans="2:8" x14ac:dyDescent="0.2">
      <c r="B228" s="40"/>
      <c r="C228" s="57"/>
      <c r="D228" s="58" t="b">
        <f t="shared" si="9"/>
        <v>1</v>
      </c>
      <c r="F228" s="58" t="str">
        <f t="shared" si="10"/>
        <v>000000-2024</v>
      </c>
      <c r="G228" s="39"/>
      <c r="H228" s="58" t="b">
        <f t="shared" si="11"/>
        <v>0</v>
      </c>
    </row>
    <row r="229" spans="2:8" x14ac:dyDescent="0.2">
      <c r="B229" s="40"/>
      <c r="C229" s="57"/>
      <c r="D229" s="58" t="b">
        <f t="shared" si="9"/>
        <v>1</v>
      </c>
      <c r="F229" s="58" t="str">
        <f t="shared" si="10"/>
        <v>000000-2024</v>
      </c>
      <c r="G229" s="39"/>
      <c r="H229" s="58" t="b">
        <f t="shared" si="11"/>
        <v>0</v>
      </c>
    </row>
    <row r="230" spans="2:8" ht="13.5" thickBot="1" x14ac:dyDescent="0.25">
      <c r="B230" s="60"/>
      <c r="C230" s="57"/>
      <c r="D230" s="58" t="b">
        <f t="shared" si="9"/>
        <v>1</v>
      </c>
      <c r="F230" s="58" t="str">
        <f t="shared" si="10"/>
        <v>000000-2024</v>
      </c>
      <c r="G230" s="61"/>
      <c r="H230" s="58" t="b">
        <f t="shared" si="11"/>
        <v>0</v>
      </c>
    </row>
    <row r="231" spans="2:8" x14ac:dyDescent="0.2">
      <c r="B231" s="64"/>
      <c r="C231" s="57"/>
      <c r="D231" s="58" t="b">
        <f t="shared" si="9"/>
        <v>1</v>
      </c>
      <c r="F231" s="58" t="str">
        <f t="shared" si="10"/>
        <v>000000-2024</v>
      </c>
      <c r="G231" s="65"/>
      <c r="H231" s="58" t="b">
        <f t="shared" si="11"/>
        <v>0</v>
      </c>
    </row>
    <row r="232" spans="2:8" x14ac:dyDescent="0.2">
      <c r="B232" s="40"/>
      <c r="C232" s="57"/>
      <c r="D232" s="58" t="b">
        <f t="shared" si="9"/>
        <v>1</v>
      </c>
      <c r="F232" s="58" t="str">
        <f t="shared" si="10"/>
        <v>000000-2024</v>
      </c>
      <c r="G232" s="39"/>
      <c r="H232" s="58" t="b">
        <f t="shared" si="11"/>
        <v>0</v>
      </c>
    </row>
    <row r="233" spans="2:8" x14ac:dyDescent="0.2">
      <c r="B233" s="40"/>
      <c r="C233" s="57"/>
      <c r="D233" s="58" t="b">
        <f t="shared" si="9"/>
        <v>1</v>
      </c>
      <c r="F233" s="58" t="str">
        <f t="shared" si="10"/>
        <v>000000-2024</v>
      </c>
      <c r="G233" s="39"/>
      <c r="H233" s="58" t="b">
        <f t="shared" si="11"/>
        <v>0</v>
      </c>
    </row>
    <row r="234" spans="2:8" x14ac:dyDescent="0.2">
      <c r="B234" s="40"/>
      <c r="C234" s="57"/>
      <c r="D234" s="58" t="b">
        <f t="shared" si="9"/>
        <v>1</v>
      </c>
      <c r="F234" s="58" t="str">
        <f t="shared" si="10"/>
        <v>000000-2024</v>
      </c>
      <c r="G234" s="39"/>
      <c r="H234" s="58" t="b">
        <f t="shared" si="11"/>
        <v>0</v>
      </c>
    </row>
    <row r="235" spans="2:8" x14ac:dyDescent="0.2">
      <c r="B235" s="40"/>
      <c r="C235" s="57"/>
      <c r="D235" s="58" t="b">
        <f t="shared" si="9"/>
        <v>1</v>
      </c>
      <c r="F235" s="58" t="str">
        <f t="shared" si="10"/>
        <v>000000-2024</v>
      </c>
      <c r="G235" s="39"/>
      <c r="H235" s="58" t="b">
        <f t="shared" si="11"/>
        <v>0</v>
      </c>
    </row>
    <row r="236" spans="2:8" x14ac:dyDescent="0.2">
      <c r="B236" s="40"/>
      <c r="C236" s="57"/>
      <c r="D236" s="58" t="b">
        <f t="shared" si="9"/>
        <v>1</v>
      </c>
      <c r="F236" s="58" t="str">
        <f t="shared" si="10"/>
        <v>000000-2024</v>
      </c>
      <c r="G236" s="39"/>
      <c r="H236" s="58" t="b">
        <f t="shared" si="11"/>
        <v>0</v>
      </c>
    </row>
    <row r="237" spans="2:8" x14ac:dyDescent="0.2">
      <c r="B237" s="40"/>
      <c r="C237" s="57"/>
      <c r="D237" s="58" t="b">
        <f t="shared" si="9"/>
        <v>1</v>
      </c>
      <c r="F237" s="58" t="str">
        <f t="shared" si="10"/>
        <v>000000-2024</v>
      </c>
      <c r="G237" s="39"/>
      <c r="H237" s="58" t="b">
        <f t="shared" si="11"/>
        <v>0</v>
      </c>
    </row>
    <row r="238" spans="2:8" x14ac:dyDescent="0.2">
      <c r="B238" s="40"/>
      <c r="C238" s="57"/>
      <c r="D238" s="58" t="b">
        <f t="shared" si="9"/>
        <v>1</v>
      </c>
      <c r="F238" s="58" t="str">
        <f t="shared" si="10"/>
        <v>000000-2024</v>
      </c>
      <c r="G238" s="39"/>
      <c r="H238" s="58" t="b">
        <f t="shared" si="11"/>
        <v>0</v>
      </c>
    </row>
    <row r="239" spans="2:8" x14ac:dyDescent="0.2">
      <c r="B239" s="40"/>
      <c r="C239" s="57"/>
      <c r="D239" s="58" t="b">
        <f t="shared" si="9"/>
        <v>1</v>
      </c>
      <c r="F239" s="58" t="str">
        <f t="shared" si="10"/>
        <v>000000-2024</v>
      </c>
      <c r="G239" s="39"/>
      <c r="H239" s="58" t="b">
        <f t="shared" si="11"/>
        <v>0</v>
      </c>
    </row>
    <row r="240" spans="2:8" x14ac:dyDescent="0.2">
      <c r="B240" s="40"/>
      <c r="C240" s="57"/>
      <c r="D240" s="58" t="b">
        <f t="shared" si="9"/>
        <v>1</v>
      </c>
      <c r="F240" s="58" t="str">
        <f t="shared" si="10"/>
        <v>000000-2024</v>
      </c>
      <c r="G240" s="39"/>
      <c r="H240" s="58" t="b">
        <f t="shared" si="11"/>
        <v>0</v>
      </c>
    </row>
    <row r="241" spans="2:8" ht="13.5" thickBot="1" x14ac:dyDescent="0.25">
      <c r="B241" s="60"/>
      <c r="C241" s="57"/>
      <c r="D241" s="58" t="b">
        <f t="shared" si="9"/>
        <v>1</v>
      </c>
      <c r="F241" s="58" t="str">
        <f t="shared" si="10"/>
        <v>000000-2024</v>
      </c>
      <c r="G241" s="61"/>
      <c r="H241" s="58" t="b">
        <f t="shared" si="11"/>
        <v>0</v>
      </c>
    </row>
    <row r="242" spans="2:8" x14ac:dyDescent="0.2">
      <c r="B242" s="64"/>
      <c r="C242" s="57"/>
      <c r="D242" s="58" t="b">
        <f t="shared" si="9"/>
        <v>1</v>
      </c>
      <c r="F242" s="58" t="str">
        <f t="shared" si="10"/>
        <v>000000-2024</v>
      </c>
      <c r="G242" s="65"/>
      <c r="H242" s="58" t="b">
        <f t="shared" si="11"/>
        <v>0</v>
      </c>
    </row>
    <row r="243" spans="2:8" x14ac:dyDescent="0.2">
      <c r="B243" s="40"/>
      <c r="C243" s="57"/>
      <c r="D243" s="58" t="b">
        <f t="shared" si="9"/>
        <v>1</v>
      </c>
      <c r="F243" s="58" t="str">
        <f t="shared" si="10"/>
        <v>000000-2024</v>
      </c>
      <c r="G243" s="39"/>
      <c r="H243" s="58" t="b">
        <f t="shared" si="11"/>
        <v>0</v>
      </c>
    </row>
    <row r="244" spans="2:8" x14ac:dyDescent="0.2">
      <c r="B244" s="40"/>
      <c r="C244" s="57"/>
      <c r="D244" s="58" t="b">
        <f t="shared" si="9"/>
        <v>1</v>
      </c>
      <c r="F244" s="58" t="str">
        <f t="shared" si="10"/>
        <v>000000-2024</v>
      </c>
      <c r="G244" s="39"/>
      <c r="H244" s="58" t="b">
        <f t="shared" si="11"/>
        <v>0</v>
      </c>
    </row>
    <row r="245" spans="2:8" x14ac:dyDescent="0.2">
      <c r="B245" s="40"/>
      <c r="C245" s="57"/>
      <c r="D245" s="58" t="b">
        <f t="shared" si="9"/>
        <v>1</v>
      </c>
      <c r="F245" s="58" t="str">
        <f t="shared" si="10"/>
        <v>000000-2024</v>
      </c>
      <c r="G245" s="39"/>
      <c r="H245" s="58" t="b">
        <f t="shared" si="11"/>
        <v>0</v>
      </c>
    </row>
    <row r="246" spans="2:8" x14ac:dyDescent="0.2">
      <c r="B246" s="40"/>
      <c r="C246" s="57"/>
      <c r="D246" s="58" t="b">
        <f t="shared" si="9"/>
        <v>1</v>
      </c>
      <c r="F246" s="58" t="str">
        <f t="shared" si="10"/>
        <v>000000-2024</v>
      </c>
      <c r="G246" s="39"/>
      <c r="H246" s="58" t="b">
        <f t="shared" si="11"/>
        <v>0</v>
      </c>
    </row>
    <row r="247" spans="2:8" x14ac:dyDescent="0.2">
      <c r="B247" s="40"/>
      <c r="C247" s="57"/>
      <c r="D247" s="58" t="b">
        <f t="shared" si="9"/>
        <v>1</v>
      </c>
      <c r="F247" s="58" t="str">
        <f t="shared" si="10"/>
        <v>000000-2024</v>
      </c>
      <c r="G247" s="39"/>
      <c r="H247" s="58" t="b">
        <f t="shared" si="11"/>
        <v>0</v>
      </c>
    </row>
    <row r="248" spans="2:8" x14ac:dyDescent="0.2">
      <c r="B248" s="40"/>
      <c r="C248" s="57"/>
      <c r="D248" s="58" t="b">
        <f t="shared" si="9"/>
        <v>1</v>
      </c>
      <c r="F248" s="58" t="str">
        <f t="shared" si="10"/>
        <v>000000-2024</v>
      </c>
      <c r="G248" s="39"/>
      <c r="H248" s="58" t="b">
        <f t="shared" si="11"/>
        <v>0</v>
      </c>
    </row>
    <row r="249" spans="2:8" x14ac:dyDescent="0.2">
      <c r="B249" s="40"/>
      <c r="C249" s="57"/>
      <c r="D249" s="58" t="b">
        <f t="shared" si="9"/>
        <v>1</v>
      </c>
      <c r="F249" s="58" t="str">
        <f t="shared" si="10"/>
        <v>000000-2024</v>
      </c>
      <c r="G249" s="39"/>
      <c r="H249" s="58" t="b">
        <f t="shared" si="11"/>
        <v>0</v>
      </c>
    </row>
    <row r="250" spans="2:8" x14ac:dyDescent="0.2">
      <c r="B250" s="40"/>
      <c r="C250" s="57"/>
      <c r="D250" s="58" t="b">
        <f t="shared" si="9"/>
        <v>1</v>
      </c>
      <c r="F250" s="58" t="str">
        <f t="shared" si="10"/>
        <v>000000-2024</v>
      </c>
      <c r="G250" s="39"/>
      <c r="H250" s="58" t="b">
        <f t="shared" si="11"/>
        <v>0</v>
      </c>
    </row>
    <row r="251" spans="2:8" x14ac:dyDescent="0.2">
      <c r="B251" s="40"/>
      <c r="C251" s="57"/>
      <c r="D251" s="58" t="b">
        <f t="shared" si="9"/>
        <v>1</v>
      </c>
      <c r="F251" s="58" t="str">
        <f t="shared" si="10"/>
        <v>000000-2024</v>
      </c>
      <c r="G251" s="39"/>
      <c r="H251" s="58" t="b">
        <f t="shared" si="11"/>
        <v>0</v>
      </c>
    </row>
    <row r="252" spans="2:8" ht="13.5" thickBot="1" x14ac:dyDescent="0.25">
      <c r="B252" s="60"/>
      <c r="C252" s="57"/>
      <c r="D252" s="58" t="b">
        <f t="shared" si="9"/>
        <v>1</v>
      </c>
      <c r="F252" s="58" t="str">
        <f t="shared" si="10"/>
        <v>000000-2024</v>
      </c>
      <c r="G252" s="61"/>
      <c r="H252" s="58" t="b">
        <f t="shared" si="11"/>
        <v>0</v>
      </c>
    </row>
    <row r="253" spans="2:8" x14ac:dyDescent="0.2">
      <c r="B253" s="64"/>
      <c r="C253" s="57"/>
      <c r="D253" s="58" t="b">
        <f t="shared" si="9"/>
        <v>1</v>
      </c>
      <c r="F253" s="58" t="str">
        <f t="shared" si="10"/>
        <v>000000-2024</v>
      </c>
      <c r="G253" s="65"/>
      <c r="H253" s="58" t="b">
        <f t="shared" si="11"/>
        <v>0</v>
      </c>
    </row>
    <row r="254" spans="2:8" x14ac:dyDescent="0.2">
      <c r="B254" s="40"/>
      <c r="C254" s="57"/>
      <c r="D254" s="58" t="b">
        <f t="shared" si="9"/>
        <v>1</v>
      </c>
      <c r="F254" s="58" t="str">
        <f t="shared" si="10"/>
        <v>000000-2024</v>
      </c>
      <c r="G254" s="39"/>
      <c r="H254" s="58" t="b">
        <f t="shared" si="11"/>
        <v>0</v>
      </c>
    </row>
    <row r="255" spans="2:8" x14ac:dyDescent="0.2">
      <c r="B255" s="40"/>
      <c r="C255" s="57"/>
      <c r="D255" s="58" t="b">
        <f t="shared" si="9"/>
        <v>1</v>
      </c>
      <c r="F255" s="58" t="str">
        <f t="shared" si="10"/>
        <v>000000-2024</v>
      </c>
      <c r="G255" s="39"/>
      <c r="H255" s="58" t="b">
        <f t="shared" si="11"/>
        <v>0</v>
      </c>
    </row>
    <row r="256" spans="2:8" x14ac:dyDescent="0.2">
      <c r="B256" s="40"/>
      <c r="C256" s="57"/>
      <c r="D256" s="58" t="b">
        <f t="shared" si="9"/>
        <v>1</v>
      </c>
      <c r="F256" s="58" t="str">
        <f t="shared" si="10"/>
        <v>000000-2024</v>
      </c>
      <c r="G256" s="39"/>
      <c r="H256" s="58" t="b">
        <f t="shared" si="11"/>
        <v>0</v>
      </c>
    </row>
    <row r="257" spans="2:8" x14ac:dyDescent="0.2">
      <c r="B257" s="40"/>
      <c r="C257" s="57"/>
      <c r="D257" s="58" t="b">
        <f t="shared" si="9"/>
        <v>1</v>
      </c>
      <c r="F257" s="58" t="str">
        <f t="shared" si="10"/>
        <v>000000-2024</v>
      </c>
      <c r="G257" s="39"/>
      <c r="H257" s="58" t="b">
        <f t="shared" si="11"/>
        <v>0</v>
      </c>
    </row>
    <row r="258" spans="2:8" x14ac:dyDescent="0.2">
      <c r="B258" s="40"/>
      <c r="C258" s="57"/>
      <c r="D258" s="58" t="b">
        <f t="shared" si="9"/>
        <v>1</v>
      </c>
      <c r="F258" s="58" t="str">
        <f t="shared" si="10"/>
        <v>000000-2024</v>
      </c>
      <c r="G258" s="39"/>
      <c r="H258" s="58" t="b">
        <f t="shared" si="11"/>
        <v>0</v>
      </c>
    </row>
    <row r="259" spans="2:8" x14ac:dyDescent="0.2">
      <c r="B259" s="40"/>
      <c r="C259" s="57"/>
      <c r="D259" s="58" t="b">
        <f t="shared" si="9"/>
        <v>1</v>
      </c>
      <c r="F259" s="58" t="str">
        <f t="shared" si="10"/>
        <v>000000-2024</v>
      </c>
      <c r="G259" s="39"/>
      <c r="H259" s="58" t="b">
        <f t="shared" si="11"/>
        <v>0</v>
      </c>
    </row>
    <row r="260" spans="2:8" x14ac:dyDescent="0.2">
      <c r="B260" s="40"/>
      <c r="C260" s="57"/>
      <c r="D260" s="58" t="b">
        <f t="shared" si="9"/>
        <v>1</v>
      </c>
      <c r="F260" s="58" t="str">
        <f t="shared" si="10"/>
        <v>000000-2024</v>
      </c>
      <c r="G260" s="39"/>
      <c r="H260" s="58" t="b">
        <f t="shared" si="11"/>
        <v>0</v>
      </c>
    </row>
    <row r="261" spans="2:8" x14ac:dyDescent="0.2">
      <c r="B261" s="40"/>
      <c r="C261" s="57"/>
      <c r="D261" s="58" t="b">
        <f t="shared" ref="D261:D324" si="12">B261=C261</f>
        <v>1</v>
      </c>
      <c r="F261" s="58" t="str">
        <f t="shared" ref="F261:F324" si="13">TEXT(E261,"000000")&amp;"-2024"</f>
        <v>000000-2024</v>
      </c>
      <c r="G261" s="39"/>
      <c r="H261" s="58" t="b">
        <f t="shared" ref="H261:H324" si="14">F261=G261</f>
        <v>0</v>
      </c>
    </row>
    <row r="262" spans="2:8" x14ac:dyDescent="0.2">
      <c r="B262" s="40"/>
      <c r="C262" s="57"/>
      <c r="D262" s="58" t="b">
        <f t="shared" si="12"/>
        <v>1</v>
      </c>
      <c r="F262" s="58" t="str">
        <f t="shared" si="13"/>
        <v>000000-2024</v>
      </c>
      <c r="G262" s="39"/>
      <c r="H262" s="58" t="b">
        <f t="shared" si="14"/>
        <v>0</v>
      </c>
    </row>
    <row r="263" spans="2:8" ht="13.5" thickBot="1" x14ac:dyDescent="0.25">
      <c r="B263" s="60"/>
      <c r="C263" s="57"/>
      <c r="D263" s="58" t="b">
        <f t="shared" si="12"/>
        <v>1</v>
      </c>
      <c r="F263" s="58" t="str">
        <f t="shared" si="13"/>
        <v>000000-2024</v>
      </c>
      <c r="G263" s="61"/>
      <c r="H263" s="58" t="b">
        <f t="shared" si="14"/>
        <v>0</v>
      </c>
    </row>
    <row r="264" spans="2:8" x14ac:dyDescent="0.2">
      <c r="B264" s="64"/>
      <c r="C264" s="57"/>
      <c r="D264" s="58" t="b">
        <f t="shared" si="12"/>
        <v>1</v>
      </c>
      <c r="F264" s="58" t="str">
        <f t="shared" si="13"/>
        <v>000000-2024</v>
      </c>
      <c r="G264" s="65"/>
      <c r="H264" s="58" t="b">
        <f t="shared" si="14"/>
        <v>0</v>
      </c>
    </row>
    <row r="265" spans="2:8" x14ac:dyDescent="0.2">
      <c r="B265" s="40"/>
      <c r="C265" s="57"/>
      <c r="D265" s="58" t="b">
        <f t="shared" si="12"/>
        <v>1</v>
      </c>
      <c r="F265" s="58" t="str">
        <f t="shared" si="13"/>
        <v>000000-2024</v>
      </c>
      <c r="G265" s="39"/>
      <c r="H265" s="58" t="b">
        <f t="shared" si="14"/>
        <v>0</v>
      </c>
    </row>
    <row r="266" spans="2:8" x14ac:dyDescent="0.2">
      <c r="B266" s="40"/>
      <c r="C266" s="57"/>
      <c r="D266" s="58" t="b">
        <f t="shared" si="12"/>
        <v>1</v>
      </c>
      <c r="F266" s="58" t="str">
        <f t="shared" si="13"/>
        <v>000000-2024</v>
      </c>
      <c r="G266" s="39"/>
      <c r="H266" s="58" t="b">
        <f t="shared" si="14"/>
        <v>0</v>
      </c>
    </row>
    <row r="267" spans="2:8" x14ac:dyDescent="0.2">
      <c r="B267" s="40"/>
      <c r="C267" s="57"/>
      <c r="D267" s="58" t="b">
        <f t="shared" si="12"/>
        <v>1</v>
      </c>
      <c r="F267" s="58" t="str">
        <f t="shared" si="13"/>
        <v>000000-2024</v>
      </c>
      <c r="G267" s="39"/>
      <c r="H267" s="58" t="b">
        <f t="shared" si="14"/>
        <v>0</v>
      </c>
    </row>
    <row r="268" spans="2:8" x14ac:dyDescent="0.2">
      <c r="B268" s="40"/>
      <c r="C268" s="57"/>
      <c r="D268" s="58" t="b">
        <f t="shared" si="12"/>
        <v>1</v>
      </c>
      <c r="F268" s="58" t="str">
        <f t="shared" si="13"/>
        <v>000000-2024</v>
      </c>
      <c r="G268" s="39"/>
      <c r="H268" s="58" t="b">
        <f t="shared" si="14"/>
        <v>0</v>
      </c>
    </row>
    <row r="269" spans="2:8" x14ac:dyDescent="0.2">
      <c r="B269" s="40"/>
      <c r="C269" s="57"/>
      <c r="D269" s="58" t="b">
        <f t="shared" si="12"/>
        <v>1</v>
      </c>
      <c r="F269" s="58" t="str">
        <f t="shared" si="13"/>
        <v>000000-2024</v>
      </c>
      <c r="G269" s="39"/>
      <c r="H269" s="58" t="b">
        <f t="shared" si="14"/>
        <v>0</v>
      </c>
    </row>
    <row r="270" spans="2:8" x14ac:dyDescent="0.2">
      <c r="B270" s="40"/>
      <c r="C270" s="57"/>
      <c r="D270" s="58" t="b">
        <f t="shared" si="12"/>
        <v>1</v>
      </c>
      <c r="F270" s="58" t="str">
        <f t="shared" si="13"/>
        <v>000000-2024</v>
      </c>
      <c r="G270" s="39"/>
      <c r="H270" s="58" t="b">
        <f t="shared" si="14"/>
        <v>0</v>
      </c>
    </row>
    <row r="271" spans="2:8" x14ac:dyDescent="0.2">
      <c r="B271" s="40"/>
      <c r="C271" s="57"/>
      <c r="D271" s="58" t="b">
        <f t="shared" si="12"/>
        <v>1</v>
      </c>
      <c r="F271" s="58" t="str">
        <f t="shared" si="13"/>
        <v>000000-2024</v>
      </c>
      <c r="G271" s="39"/>
      <c r="H271" s="58" t="b">
        <f t="shared" si="14"/>
        <v>0</v>
      </c>
    </row>
    <row r="272" spans="2:8" x14ac:dyDescent="0.2">
      <c r="B272" s="40"/>
      <c r="C272" s="57"/>
      <c r="D272" s="58" t="b">
        <f t="shared" si="12"/>
        <v>1</v>
      </c>
      <c r="F272" s="58" t="str">
        <f t="shared" si="13"/>
        <v>000000-2024</v>
      </c>
      <c r="G272" s="39"/>
      <c r="H272" s="58" t="b">
        <f t="shared" si="14"/>
        <v>0</v>
      </c>
    </row>
    <row r="273" spans="2:8" x14ac:dyDescent="0.2">
      <c r="B273" s="40"/>
      <c r="C273" s="57"/>
      <c r="D273" s="58" t="b">
        <f t="shared" si="12"/>
        <v>1</v>
      </c>
      <c r="F273" s="58" t="str">
        <f t="shared" si="13"/>
        <v>000000-2024</v>
      </c>
      <c r="G273" s="39"/>
      <c r="H273" s="58" t="b">
        <f t="shared" si="14"/>
        <v>0</v>
      </c>
    </row>
    <row r="274" spans="2:8" ht="13.5" thickBot="1" x14ac:dyDescent="0.25">
      <c r="B274" s="60"/>
      <c r="C274" s="57"/>
      <c r="D274" s="58" t="b">
        <f t="shared" si="12"/>
        <v>1</v>
      </c>
      <c r="F274" s="58" t="str">
        <f t="shared" si="13"/>
        <v>000000-2024</v>
      </c>
      <c r="G274" s="61"/>
      <c r="H274" s="58" t="b">
        <f t="shared" si="14"/>
        <v>0</v>
      </c>
    </row>
    <row r="275" spans="2:8" x14ac:dyDescent="0.2">
      <c r="B275" s="69"/>
      <c r="C275" s="57"/>
      <c r="D275" s="58" t="b">
        <f t="shared" si="12"/>
        <v>1</v>
      </c>
      <c r="F275" s="58" t="str">
        <f t="shared" si="13"/>
        <v>000000-2024</v>
      </c>
      <c r="G275" s="68"/>
      <c r="H275" s="58" t="b">
        <f t="shared" si="14"/>
        <v>0</v>
      </c>
    </row>
    <row r="276" spans="2:8" x14ac:dyDescent="0.2">
      <c r="B276" s="40"/>
      <c r="C276" s="57"/>
      <c r="D276" s="58" t="b">
        <f t="shared" si="12"/>
        <v>1</v>
      </c>
      <c r="F276" s="58" t="str">
        <f t="shared" si="13"/>
        <v>000000-2024</v>
      </c>
      <c r="G276" s="39"/>
      <c r="H276" s="58" t="b">
        <f t="shared" si="14"/>
        <v>0</v>
      </c>
    </row>
    <row r="277" spans="2:8" x14ac:dyDescent="0.2">
      <c r="B277" s="40"/>
      <c r="C277" s="57"/>
      <c r="D277" s="58" t="b">
        <f t="shared" si="12"/>
        <v>1</v>
      </c>
      <c r="F277" s="58" t="str">
        <f t="shared" si="13"/>
        <v>000000-2024</v>
      </c>
      <c r="G277" s="39"/>
      <c r="H277" s="58" t="b">
        <f t="shared" si="14"/>
        <v>0</v>
      </c>
    </row>
    <row r="278" spans="2:8" x14ac:dyDescent="0.2">
      <c r="B278" s="40"/>
      <c r="C278" s="57"/>
      <c r="D278" s="58" t="b">
        <f t="shared" si="12"/>
        <v>1</v>
      </c>
      <c r="F278" s="58" t="str">
        <f t="shared" si="13"/>
        <v>000000-2024</v>
      </c>
      <c r="G278" s="39"/>
      <c r="H278" s="58" t="b">
        <f t="shared" si="14"/>
        <v>0</v>
      </c>
    </row>
    <row r="279" spans="2:8" x14ac:dyDescent="0.2">
      <c r="B279" s="40"/>
      <c r="C279" s="57"/>
      <c r="D279" s="58" t="b">
        <f t="shared" si="12"/>
        <v>1</v>
      </c>
      <c r="F279" s="58" t="str">
        <f t="shared" si="13"/>
        <v>000000-2024</v>
      </c>
      <c r="G279" s="39"/>
      <c r="H279" s="58" t="b">
        <f t="shared" si="14"/>
        <v>0</v>
      </c>
    </row>
    <row r="280" spans="2:8" x14ac:dyDescent="0.2">
      <c r="B280" s="40"/>
      <c r="C280" s="57"/>
      <c r="D280" s="58" t="b">
        <f t="shared" si="12"/>
        <v>1</v>
      </c>
      <c r="F280" s="58" t="str">
        <f t="shared" si="13"/>
        <v>000000-2024</v>
      </c>
      <c r="G280" s="39"/>
      <c r="H280" s="58" t="b">
        <f t="shared" si="14"/>
        <v>0</v>
      </c>
    </row>
    <row r="281" spans="2:8" x14ac:dyDescent="0.2">
      <c r="B281" s="40"/>
      <c r="C281" s="57"/>
      <c r="D281" s="58" t="b">
        <f t="shared" si="12"/>
        <v>1</v>
      </c>
      <c r="F281" s="58" t="str">
        <f t="shared" si="13"/>
        <v>000000-2024</v>
      </c>
      <c r="G281" s="39"/>
      <c r="H281" s="58" t="b">
        <f t="shared" si="14"/>
        <v>0</v>
      </c>
    </row>
    <row r="282" spans="2:8" x14ac:dyDescent="0.2">
      <c r="B282" s="40"/>
      <c r="C282" s="57"/>
      <c r="D282" s="58" t="b">
        <f t="shared" si="12"/>
        <v>1</v>
      </c>
      <c r="F282" s="58" t="str">
        <f t="shared" si="13"/>
        <v>000000-2024</v>
      </c>
      <c r="G282" s="39"/>
      <c r="H282" s="58" t="b">
        <f t="shared" si="14"/>
        <v>0</v>
      </c>
    </row>
    <row r="283" spans="2:8" ht="13.5" thickBot="1" x14ac:dyDescent="0.25">
      <c r="B283" s="40"/>
      <c r="C283" s="57"/>
      <c r="D283" s="58" t="b">
        <f t="shared" si="12"/>
        <v>1</v>
      </c>
      <c r="F283" s="58" t="str">
        <f t="shared" si="13"/>
        <v>000000-2024</v>
      </c>
      <c r="G283" s="39"/>
      <c r="H283" s="58" t="b">
        <f t="shared" si="14"/>
        <v>0</v>
      </c>
    </row>
    <row r="284" spans="2:8" x14ac:dyDescent="0.2">
      <c r="B284" s="64"/>
      <c r="C284" s="57"/>
      <c r="D284" s="58" t="b">
        <f t="shared" si="12"/>
        <v>1</v>
      </c>
      <c r="F284" s="58" t="str">
        <f t="shared" si="13"/>
        <v>000000-2024</v>
      </c>
      <c r="G284" s="65"/>
      <c r="H284" s="58" t="b">
        <f t="shared" si="14"/>
        <v>0</v>
      </c>
    </row>
    <row r="285" spans="2:8" x14ac:dyDescent="0.2">
      <c r="B285" s="40"/>
      <c r="C285" s="57"/>
      <c r="D285" s="58" t="b">
        <f t="shared" si="12"/>
        <v>1</v>
      </c>
      <c r="F285" s="58" t="str">
        <f t="shared" si="13"/>
        <v>000000-2024</v>
      </c>
      <c r="G285" s="39"/>
      <c r="H285" s="58" t="b">
        <f t="shared" si="14"/>
        <v>0</v>
      </c>
    </row>
    <row r="286" spans="2:8" x14ac:dyDescent="0.2">
      <c r="B286" s="40"/>
      <c r="C286" s="57"/>
      <c r="D286" s="58" t="b">
        <f t="shared" si="12"/>
        <v>1</v>
      </c>
      <c r="F286" s="58" t="str">
        <f t="shared" si="13"/>
        <v>000000-2024</v>
      </c>
      <c r="G286" s="39"/>
      <c r="H286" s="58" t="b">
        <f t="shared" si="14"/>
        <v>0</v>
      </c>
    </row>
    <row r="287" spans="2:8" x14ac:dyDescent="0.2">
      <c r="B287" s="40"/>
      <c r="C287" s="57"/>
      <c r="D287" s="58" t="b">
        <f t="shared" si="12"/>
        <v>1</v>
      </c>
      <c r="F287" s="58" t="str">
        <f t="shared" si="13"/>
        <v>000000-2024</v>
      </c>
      <c r="G287" s="39"/>
      <c r="H287" s="58" t="b">
        <f t="shared" si="14"/>
        <v>0</v>
      </c>
    </row>
    <row r="288" spans="2:8" ht="13.5" thickBot="1" x14ac:dyDescent="0.25">
      <c r="B288" s="60"/>
      <c r="C288" s="57"/>
      <c r="D288" s="58" t="b">
        <f t="shared" si="12"/>
        <v>1</v>
      </c>
      <c r="F288" s="58" t="str">
        <f t="shared" si="13"/>
        <v>000000-2024</v>
      </c>
      <c r="G288" s="61"/>
      <c r="H288" s="58" t="b">
        <f t="shared" si="14"/>
        <v>0</v>
      </c>
    </row>
    <row r="289" spans="2:8" x14ac:dyDescent="0.2">
      <c r="B289" s="64"/>
      <c r="C289" s="57"/>
      <c r="D289" s="58" t="b">
        <f t="shared" si="12"/>
        <v>1</v>
      </c>
      <c r="F289" s="58" t="str">
        <f t="shared" si="13"/>
        <v>000000-2024</v>
      </c>
      <c r="G289" s="65"/>
      <c r="H289" s="58" t="b">
        <f t="shared" si="14"/>
        <v>0</v>
      </c>
    </row>
    <row r="290" spans="2:8" x14ac:dyDescent="0.2">
      <c r="B290" s="40"/>
      <c r="C290" s="57"/>
      <c r="D290" s="58" t="b">
        <f t="shared" si="12"/>
        <v>1</v>
      </c>
      <c r="F290" s="58" t="str">
        <f t="shared" si="13"/>
        <v>000000-2024</v>
      </c>
      <c r="G290" s="39"/>
      <c r="H290" s="58" t="b">
        <f t="shared" si="14"/>
        <v>0</v>
      </c>
    </row>
    <row r="291" spans="2:8" x14ac:dyDescent="0.2">
      <c r="B291" s="40"/>
      <c r="C291" s="57"/>
      <c r="D291" s="58" t="b">
        <f t="shared" si="12"/>
        <v>1</v>
      </c>
      <c r="F291" s="58" t="str">
        <f t="shared" si="13"/>
        <v>000000-2024</v>
      </c>
      <c r="G291" s="39"/>
      <c r="H291" s="58" t="b">
        <f t="shared" si="14"/>
        <v>0</v>
      </c>
    </row>
    <row r="292" spans="2:8" x14ac:dyDescent="0.2">
      <c r="B292" s="40"/>
      <c r="C292" s="57"/>
      <c r="D292" s="58" t="b">
        <f t="shared" si="12"/>
        <v>1</v>
      </c>
      <c r="F292" s="58" t="str">
        <f t="shared" si="13"/>
        <v>000000-2024</v>
      </c>
      <c r="G292" s="39"/>
      <c r="H292" s="58" t="b">
        <f t="shared" si="14"/>
        <v>0</v>
      </c>
    </row>
    <row r="293" spans="2:8" x14ac:dyDescent="0.2">
      <c r="B293" s="40"/>
      <c r="C293" s="57"/>
      <c r="D293" s="58" t="b">
        <f t="shared" si="12"/>
        <v>1</v>
      </c>
      <c r="F293" s="58" t="str">
        <f t="shared" si="13"/>
        <v>000000-2024</v>
      </c>
      <c r="G293" s="39"/>
      <c r="H293" s="58" t="b">
        <f t="shared" si="14"/>
        <v>0</v>
      </c>
    </row>
    <row r="294" spans="2:8" x14ac:dyDescent="0.2">
      <c r="B294" s="40"/>
      <c r="C294" s="57"/>
      <c r="D294" s="58" t="b">
        <f t="shared" si="12"/>
        <v>1</v>
      </c>
      <c r="F294" s="58" t="str">
        <f t="shared" si="13"/>
        <v>000000-2024</v>
      </c>
      <c r="G294" s="39"/>
      <c r="H294" s="58" t="b">
        <f t="shared" si="14"/>
        <v>0</v>
      </c>
    </row>
    <row r="295" spans="2:8" x14ac:dyDescent="0.2">
      <c r="B295" s="40"/>
      <c r="C295" s="57"/>
      <c r="D295" s="58" t="b">
        <f t="shared" si="12"/>
        <v>1</v>
      </c>
      <c r="F295" s="58" t="str">
        <f t="shared" si="13"/>
        <v>000000-2024</v>
      </c>
      <c r="G295" s="39"/>
      <c r="H295" s="58" t="b">
        <f t="shared" si="14"/>
        <v>0</v>
      </c>
    </row>
    <row r="296" spans="2:8" x14ac:dyDescent="0.2">
      <c r="B296" s="40"/>
      <c r="C296" s="57"/>
      <c r="D296" s="58" t="b">
        <f t="shared" si="12"/>
        <v>1</v>
      </c>
      <c r="F296" s="58" t="str">
        <f t="shared" si="13"/>
        <v>000000-2024</v>
      </c>
      <c r="G296" s="39"/>
      <c r="H296" s="58" t="b">
        <f t="shared" si="14"/>
        <v>0</v>
      </c>
    </row>
    <row r="297" spans="2:8" x14ac:dyDescent="0.2">
      <c r="B297" s="40"/>
      <c r="C297" s="57"/>
      <c r="D297" s="58" t="b">
        <f t="shared" si="12"/>
        <v>1</v>
      </c>
      <c r="F297" s="58" t="str">
        <f t="shared" si="13"/>
        <v>000000-2024</v>
      </c>
      <c r="G297" s="39"/>
      <c r="H297" s="58" t="b">
        <f t="shared" si="14"/>
        <v>0</v>
      </c>
    </row>
    <row r="298" spans="2:8" x14ac:dyDescent="0.2">
      <c r="B298" s="40"/>
      <c r="C298" s="57"/>
      <c r="D298" s="58" t="b">
        <f t="shared" si="12"/>
        <v>1</v>
      </c>
      <c r="F298" s="58" t="str">
        <f t="shared" si="13"/>
        <v>000000-2024</v>
      </c>
      <c r="G298" s="39"/>
      <c r="H298" s="58" t="b">
        <f t="shared" si="14"/>
        <v>0</v>
      </c>
    </row>
    <row r="299" spans="2:8" x14ac:dyDescent="0.2">
      <c r="B299" s="40"/>
      <c r="C299" s="57"/>
      <c r="D299" s="58" t="b">
        <f t="shared" si="12"/>
        <v>1</v>
      </c>
      <c r="F299" s="58" t="str">
        <f t="shared" si="13"/>
        <v>000000-2024</v>
      </c>
      <c r="G299" s="39"/>
      <c r="H299" s="58" t="b">
        <f t="shared" si="14"/>
        <v>0</v>
      </c>
    </row>
    <row r="300" spans="2:8" x14ac:dyDescent="0.2">
      <c r="B300" s="40"/>
      <c r="C300" s="57"/>
      <c r="D300" s="58" t="b">
        <f t="shared" si="12"/>
        <v>1</v>
      </c>
      <c r="F300" s="58" t="str">
        <f t="shared" si="13"/>
        <v>000000-2024</v>
      </c>
      <c r="G300" s="39"/>
      <c r="H300" s="58" t="b">
        <f t="shared" si="14"/>
        <v>0</v>
      </c>
    </row>
    <row r="301" spans="2:8" x14ac:dyDescent="0.2">
      <c r="B301" s="40"/>
      <c r="C301" s="57"/>
      <c r="D301" s="58" t="b">
        <f t="shared" si="12"/>
        <v>1</v>
      </c>
      <c r="F301" s="58" t="str">
        <f t="shared" si="13"/>
        <v>000000-2024</v>
      </c>
      <c r="G301" s="39"/>
      <c r="H301" s="58" t="b">
        <f t="shared" si="14"/>
        <v>0</v>
      </c>
    </row>
    <row r="302" spans="2:8" x14ac:dyDescent="0.2">
      <c r="B302" s="40"/>
      <c r="C302" s="57"/>
      <c r="D302" s="58" t="b">
        <f t="shared" si="12"/>
        <v>1</v>
      </c>
      <c r="F302" s="58" t="str">
        <f t="shared" si="13"/>
        <v>000000-2024</v>
      </c>
      <c r="G302" s="39"/>
      <c r="H302" s="58" t="b">
        <f t="shared" si="14"/>
        <v>0</v>
      </c>
    </row>
    <row r="303" spans="2:8" ht="13.5" thickBot="1" x14ac:dyDescent="0.25">
      <c r="B303" s="60"/>
      <c r="C303" s="57"/>
      <c r="D303" s="58" t="b">
        <f t="shared" si="12"/>
        <v>1</v>
      </c>
      <c r="F303" s="58" t="str">
        <f t="shared" si="13"/>
        <v>000000-2024</v>
      </c>
      <c r="G303" s="61"/>
      <c r="H303" s="58" t="b">
        <f t="shared" si="14"/>
        <v>0</v>
      </c>
    </row>
    <row r="304" spans="2:8" x14ac:dyDescent="0.2">
      <c r="B304" s="64"/>
      <c r="C304" s="57"/>
      <c r="D304" s="58" t="b">
        <f t="shared" si="12"/>
        <v>1</v>
      </c>
      <c r="F304" s="58" t="str">
        <f t="shared" si="13"/>
        <v>000000-2024</v>
      </c>
      <c r="G304" s="65"/>
      <c r="H304" s="58" t="b">
        <f t="shared" si="14"/>
        <v>0</v>
      </c>
    </row>
    <row r="305" spans="2:8" x14ac:dyDescent="0.2">
      <c r="B305" s="40"/>
      <c r="C305" s="57"/>
      <c r="D305" s="58" t="b">
        <f t="shared" si="12"/>
        <v>1</v>
      </c>
      <c r="F305" s="58" t="str">
        <f t="shared" si="13"/>
        <v>000000-2024</v>
      </c>
      <c r="G305" s="39"/>
      <c r="H305" s="58" t="b">
        <f t="shared" si="14"/>
        <v>0</v>
      </c>
    </row>
    <row r="306" spans="2:8" x14ac:dyDescent="0.2">
      <c r="B306" s="40"/>
      <c r="C306" s="57"/>
      <c r="D306" s="58" t="b">
        <f t="shared" si="12"/>
        <v>1</v>
      </c>
      <c r="F306" s="58" t="str">
        <f t="shared" si="13"/>
        <v>000000-2024</v>
      </c>
      <c r="G306" s="39"/>
      <c r="H306" s="58" t="b">
        <f t="shared" si="14"/>
        <v>0</v>
      </c>
    </row>
    <row r="307" spans="2:8" x14ac:dyDescent="0.2">
      <c r="B307" s="40"/>
      <c r="C307" s="57"/>
      <c r="D307" s="58" t="b">
        <f t="shared" si="12"/>
        <v>1</v>
      </c>
      <c r="F307" s="58" t="str">
        <f t="shared" si="13"/>
        <v>000000-2024</v>
      </c>
      <c r="G307" s="39"/>
      <c r="H307" s="58" t="b">
        <f t="shared" si="14"/>
        <v>0</v>
      </c>
    </row>
    <row r="308" spans="2:8" x14ac:dyDescent="0.2">
      <c r="B308" s="40"/>
      <c r="C308" s="57"/>
      <c r="D308" s="58" t="b">
        <f t="shared" si="12"/>
        <v>1</v>
      </c>
      <c r="F308" s="58" t="str">
        <f t="shared" si="13"/>
        <v>000000-2024</v>
      </c>
      <c r="G308" s="39"/>
      <c r="H308" s="58" t="b">
        <f t="shared" si="14"/>
        <v>0</v>
      </c>
    </row>
    <row r="309" spans="2:8" x14ac:dyDescent="0.2">
      <c r="B309" s="40"/>
      <c r="C309" s="57"/>
      <c r="D309" s="58" t="b">
        <f t="shared" si="12"/>
        <v>1</v>
      </c>
      <c r="F309" s="58" t="str">
        <f t="shared" si="13"/>
        <v>000000-2024</v>
      </c>
      <c r="G309" s="39"/>
      <c r="H309" s="58" t="b">
        <f t="shared" si="14"/>
        <v>0</v>
      </c>
    </row>
    <row r="310" spans="2:8" x14ac:dyDescent="0.2">
      <c r="B310" s="40"/>
      <c r="C310" s="57"/>
      <c r="D310" s="58" t="b">
        <f t="shared" si="12"/>
        <v>1</v>
      </c>
      <c r="F310" s="58" t="str">
        <f t="shared" si="13"/>
        <v>000000-2024</v>
      </c>
      <c r="G310" s="39"/>
      <c r="H310" s="58" t="b">
        <f t="shared" si="14"/>
        <v>0</v>
      </c>
    </row>
    <row r="311" spans="2:8" x14ac:dyDescent="0.2">
      <c r="B311" s="40"/>
      <c r="C311" s="57"/>
      <c r="D311" s="58" t="b">
        <f t="shared" si="12"/>
        <v>1</v>
      </c>
      <c r="F311" s="58" t="str">
        <f t="shared" si="13"/>
        <v>000000-2024</v>
      </c>
      <c r="G311" s="39"/>
      <c r="H311" s="58" t="b">
        <f t="shared" si="14"/>
        <v>0</v>
      </c>
    </row>
    <row r="312" spans="2:8" x14ac:dyDescent="0.2">
      <c r="B312" s="40"/>
      <c r="C312" s="57"/>
      <c r="D312" s="58" t="b">
        <f t="shared" si="12"/>
        <v>1</v>
      </c>
      <c r="F312" s="58" t="str">
        <f t="shared" si="13"/>
        <v>000000-2024</v>
      </c>
      <c r="G312" s="39"/>
      <c r="H312" s="58" t="b">
        <f t="shared" si="14"/>
        <v>0</v>
      </c>
    </row>
    <row r="313" spans="2:8" x14ac:dyDescent="0.2">
      <c r="B313" s="40"/>
      <c r="C313" s="57"/>
      <c r="D313" s="58" t="b">
        <f t="shared" si="12"/>
        <v>1</v>
      </c>
      <c r="F313" s="58" t="str">
        <f t="shared" si="13"/>
        <v>000000-2024</v>
      </c>
      <c r="G313" s="39"/>
      <c r="H313" s="58" t="b">
        <f t="shared" si="14"/>
        <v>0</v>
      </c>
    </row>
    <row r="314" spans="2:8" x14ac:dyDescent="0.2">
      <c r="B314" s="40"/>
      <c r="C314" s="57"/>
      <c r="D314" s="58" t="b">
        <f t="shared" si="12"/>
        <v>1</v>
      </c>
      <c r="F314" s="58" t="str">
        <f t="shared" si="13"/>
        <v>000000-2024</v>
      </c>
      <c r="G314" s="39"/>
      <c r="H314" s="58" t="b">
        <f t="shared" si="14"/>
        <v>0</v>
      </c>
    </row>
    <row r="315" spans="2:8" x14ac:dyDescent="0.2">
      <c r="B315" s="40"/>
      <c r="C315" s="57"/>
      <c r="D315" s="58" t="b">
        <f t="shared" si="12"/>
        <v>1</v>
      </c>
      <c r="F315" s="58" t="str">
        <f t="shared" si="13"/>
        <v>000000-2024</v>
      </c>
      <c r="G315" s="39"/>
      <c r="H315" s="58" t="b">
        <f t="shared" si="14"/>
        <v>0</v>
      </c>
    </row>
    <row r="316" spans="2:8" x14ac:dyDescent="0.2">
      <c r="B316" s="40"/>
      <c r="C316" s="57"/>
      <c r="D316" s="58" t="b">
        <f t="shared" si="12"/>
        <v>1</v>
      </c>
      <c r="F316" s="58" t="str">
        <f t="shared" si="13"/>
        <v>000000-2024</v>
      </c>
      <c r="G316" s="39"/>
      <c r="H316" s="58" t="b">
        <f t="shared" si="14"/>
        <v>0</v>
      </c>
    </row>
    <row r="317" spans="2:8" x14ac:dyDescent="0.2">
      <c r="B317" s="40"/>
      <c r="C317" s="57"/>
      <c r="D317" s="58" t="b">
        <f t="shared" si="12"/>
        <v>1</v>
      </c>
      <c r="F317" s="58" t="str">
        <f t="shared" si="13"/>
        <v>000000-2024</v>
      </c>
      <c r="G317" s="39"/>
      <c r="H317" s="58" t="b">
        <f t="shared" si="14"/>
        <v>0</v>
      </c>
    </row>
    <row r="318" spans="2:8" ht="13.5" thickBot="1" x14ac:dyDescent="0.25">
      <c r="B318" s="60"/>
      <c r="C318" s="57"/>
      <c r="D318" s="58" t="b">
        <f t="shared" si="12"/>
        <v>1</v>
      </c>
      <c r="F318" s="58" t="str">
        <f t="shared" si="13"/>
        <v>000000-2024</v>
      </c>
      <c r="G318" s="61"/>
      <c r="H318" s="58" t="b">
        <f t="shared" si="14"/>
        <v>0</v>
      </c>
    </row>
    <row r="319" spans="2:8" x14ac:dyDescent="0.2">
      <c r="B319" s="64"/>
      <c r="C319" s="57"/>
      <c r="D319" s="58" t="b">
        <f t="shared" si="12"/>
        <v>1</v>
      </c>
      <c r="F319" s="58" t="str">
        <f t="shared" si="13"/>
        <v>000000-2024</v>
      </c>
      <c r="G319" s="65"/>
      <c r="H319" s="58" t="b">
        <f t="shared" si="14"/>
        <v>0</v>
      </c>
    </row>
    <row r="320" spans="2:8" x14ac:dyDescent="0.2">
      <c r="B320" s="40"/>
      <c r="C320" s="57"/>
      <c r="D320" s="58" t="b">
        <f t="shared" si="12"/>
        <v>1</v>
      </c>
      <c r="F320" s="58" t="str">
        <f t="shared" si="13"/>
        <v>000000-2024</v>
      </c>
      <c r="G320" s="39"/>
      <c r="H320" s="58" t="b">
        <f t="shared" si="14"/>
        <v>0</v>
      </c>
    </row>
    <row r="321" spans="2:8" x14ac:dyDescent="0.2">
      <c r="B321" s="40"/>
      <c r="C321" s="57"/>
      <c r="D321" s="58" t="b">
        <f t="shared" si="12"/>
        <v>1</v>
      </c>
      <c r="F321" s="58" t="str">
        <f t="shared" si="13"/>
        <v>000000-2024</v>
      </c>
      <c r="G321" s="39"/>
      <c r="H321" s="58" t="b">
        <f t="shared" si="14"/>
        <v>0</v>
      </c>
    </row>
    <row r="322" spans="2:8" x14ac:dyDescent="0.2">
      <c r="B322" s="40"/>
      <c r="C322" s="57"/>
      <c r="D322" s="58" t="b">
        <f t="shared" si="12"/>
        <v>1</v>
      </c>
      <c r="F322" s="58" t="str">
        <f t="shared" si="13"/>
        <v>000000-2024</v>
      </c>
      <c r="G322" s="39"/>
      <c r="H322" s="58" t="b">
        <f t="shared" si="14"/>
        <v>0</v>
      </c>
    </row>
    <row r="323" spans="2:8" x14ac:dyDescent="0.2">
      <c r="B323" s="40"/>
      <c r="C323" s="57"/>
      <c r="D323" s="58" t="b">
        <f t="shared" si="12"/>
        <v>1</v>
      </c>
      <c r="F323" s="58" t="str">
        <f t="shared" si="13"/>
        <v>000000-2024</v>
      </c>
      <c r="G323" s="39"/>
      <c r="H323" s="58" t="b">
        <f t="shared" si="14"/>
        <v>0</v>
      </c>
    </row>
    <row r="324" spans="2:8" x14ac:dyDescent="0.2">
      <c r="B324" s="40"/>
      <c r="C324" s="57"/>
      <c r="D324" s="58" t="b">
        <f t="shared" si="12"/>
        <v>1</v>
      </c>
      <c r="F324" s="58" t="str">
        <f t="shared" si="13"/>
        <v>000000-2024</v>
      </c>
      <c r="G324" s="39"/>
      <c r="H324" s="58" t="b">
        <f t="shared" si="14"/>
        <v>0</v>
      </c>
    </row>
    <row r="325" spans="2:8" x14ac:dyDescent="0.2">
      <c r="B325" s="40"/>
      <c r="C325" s="57"/>
      <c r="D325" s="58" t="b">
        <f t="shared" ref="D325:D388" si="15">B325=C325</f>
        <v>1</v>
      </c>
      <c r="F325" s="58" t="str">
        <f t="shared" ref="F325:F388" si="16">TEXT(E325,"000000")&amp;"-2024"</f>
        <v>000000-2024</v>
      </c>
      <c r="G325" s="39"/>
      <c r="H325" s="58" t="b">
        <f t="shared" ref="H325:H388" si="17">F325=G325</f>
        <v>0</v>
      </c>
    </row>
    <row r="326" spans="2:8" x14ac:dyDescent="0.2">
      <c r="B326" s="40"/>
      <c r="C326" s="57"/>
      <c r="D326" s="58" t="b">
        <f t="shared" si="15"/>
        <v>1</v>
      </c>
      <c r="F326" s="58" t="str">
        <f t="shared" si="16"/>
        <v>000000-2024</v>
      </c>
      <c r="G326" s="39"/>
      <c r="H326" s="58" t="b">
        <f t="shared" si="17"/>
        <v>0</v>
      </c>
    </row>
    <row r="327" spans="2:8" x14ac:dyDescent="0.2">
      <c r="B327" s="40"/>
      <c r="C327" s="57"/>
      <c r="D327" s="58" t="b">
        <f t="shared" si="15"/>
        <v>1</v>
      </c>
      <c r="F327" s="58" t="str">
        <f t="shared" si="16"/>
        <v>000000-2024</v>
      </c>
      <c r="G327" s="39"/>
      <c r="H327" s="58" t="b">
        <f t="shared" si="17"/>
        <v>0</v>
      </c>
    </row>
    <row r="328" spans="2:8" x14ac:dyDescent="0.2">
      <c r="B328" s="40"/>
      <c r="C328" s="57"/>
      <c r="D328" s="58" t="b">
        <f t="shared" si="15"/>
        <v>1</v>
      </c>
      <c r="F328" s="58" t="str">
        <f t="shared" si="16"/>
        <v>000000-2024</v>
      </c>
      <c r="G328" s="39"/>
      <c r="H328" s="58" t="b">
        <f t="shared" si="17"/>
        <v>0</v>
      </c>
    </row>
    <row r="329" spans="2:8" x14ac:dyDescent="0.2">
      <c r="B329" s="40"/>
      <c r="C329" s="57"/>
      <c r="D329" s="58" t="b">
        <f t="shared" si="15"/>
        <v>1</v>
      </c>
      <c r="F329" s="58" t="str">
        <f t="shared" si="16"/>
        <v>000000-2024</v>
      </c>
      <c r="G329" s="39"/>
      <c r="H329" s="58" t="b">
        <f t="shared" si="17"/>
        <v>0</v>
      </c>
    </row>
    <row r="330" spans="2:8" x14ac:dyDescent="0.2">
      <c r="B330" s="40"/>
      <c r="C330" s="57"/>
      <c r="D330" s="58" t="b">
        <f t="shared" si="15"/>
        <v>1</v>
      </c>
      <c r="F330" s="58" t="str">
        <f t="shared" si="16"/>
        <v>000000-2024</v>
      </c>
      <c r="G330" s="39"/>
      <c r="H330" s="58" t="b">
        <f t="shared" si="17"/>
        <v>0</v>
      </c>
    </row>
    <row r="331" spans="2:8" x14ac:dyDescent="0.2">
      <c r="B331" s="40"/>
      <c r="C331" s="57"/>
      <c r="D331" s="58" t="b">
        <f t="shared" si="15"/>
        <v>1</v>
      </c>
      <c r="F331" s="58" t="str">
        <f t="shared" si="16"/>
        <v>000000-2024</v>
      </c>
      <c r="G331" s="39"/>
      <c r="H331" s="58" t="b">
        <f t="shared" si="17"/>
        <v>0</v>
      </c>
    </row>
    <row r="332" spans="2:8" x14ac:dyDescent="0.2">
      <c r="B332" s="40"/>
      <c r="C332" s="57"/>
      <c r="D332" s="58" t="b">
        <f t="shared" si="15"/>
        <v>1</v>
      </c>
      <c r="F332" s="58" t="str">
        <f t="shared" si="16"/>
        <v>000000-2024</v>
      </c>
      <c r="G332" s="39"/>
      <c r="H332" s="58" t="b">
        <f t="shared" si="17"/>
        <v>0</v>
      </c>
    </row>
    <row r="333" spans="2:8" ht="13.5" thickBot="1" x14ac:dyDescent="0.25">
      <c r="B333" s="60"/>
      <c r="C333" s="57"/>
      <c r="D333" s="58" t="b">
        <f t="shared" si="15"/>
        <v>1</v>
      </c>
      <c r="F333" s="58" t="str">
        <f t="shared" si="16"/>
        <v>000000-2024</v>
      </c>
      <c r="G333" s="61"/>
      <c r="H333" s="58" t="b">
        <f t="shared" si="17"/>
        <v>0</v>
      </c>
    </row>
    <row r="334" spans="2:8" x14ac:dyDescent="0.2">
      <c r="B334" s="64"/>
      <c r="C334" s="57"/>
      <c r="D334" s="58" t="b">
        <f t="shared" si="15"/>
        <v>1</v>
      </c>
      <c r="F334" s="58" t="str">
        <f t="shared" si="16"/>
        <v>000000-2024</v>
      </c>
      <c r="G334" s="65"/>
      <c r="H334" s="58" t="b">
        <f t="shared" si="17"/>
        <v>0</v>
      </c>
    </row>
    <row r="335" spans="2:8" x14ac:dyDescent="0.2">
      <c r="B335" s="40"/>
      <c r="C335" s="57"/>
      <c r="D335" s="58" t="b">
        <f t="shared" si="15"/>
        <v>1</v>
      </c>
      <c r="F335" s="58" t="str">
        <f t="shared" si="16"/>
        <v>000000-2024</v>
      </c>
      <c r="G335" s="39"/>
      <c r="H335" s="58" t="b">
        <f t="shared" si="17"/>
        <v>0</v>
      </c>
    </row>
    <row r="336" spans="2:8" x14ac:dyDescent="0.2">
      <c r="B336" s="40"/>
      <c r="C336" s="57"/>
      <c r="D336" s="58" t="b">
        <f t="shared" si="15"/>
        <v>1</v>
      </c>
      <c r="F336" s="58" t="str">
        <f t="shared" si="16"/>
        <v>000000-2024</v>
      </c>
      <c r="G336" s="39"/>
      <c r="H336" s="58" t="b">
        <f t="shared" si="17"/>
        <v>0</v>
      </c>
    </row>
    <row r="337" spans="2:8" x14ac:dyDescent="0.2">
      <c r="B337" s="70"/>
      <c r="C337" s="57"/>
      <c r="D337" s="58" t="b">
        <f t="shared" si="15"/>
        <v>1</v>
      </c>
      <c r="F337" s="58" t="str">
        <f t="shared" si="16"/>
        <v>000000-2024</v>
      </c>
      <c r="G337" s="67"/>
      <c r="H337" s="58" t="b">
        <f t="shared" si="17"/>
        <v>0</v>
      </c>
    </row>
    <row r="338" spans="2:8" x14ac:dyDescent="0.2">
      <c r="B338" s="40"/>
      <c r="C338" s="57"/>
      <c r="D338" s="58" t="b">
        <f t="shared" si="15"/>
        <v>1</v>
      </c>
      <c r="F338" s="58" t="str">
        <f t="shared" si="16"/>
        <v>000000-2024</v>
      </c>
      <c r="G338" s="39"/>
      <c r="H338" s="58" t="b">
        <f t="shared" si="17"/>
        <v>0</v>
      </c>
    </row>
    <row r="339" spans="2:8" x14ac:dyDescent="0.2">
      <c r="B339" s="69"/>
      <c r="C339" s="57"/>
      <c r="D339" s="58" t="b">
        <f t="shared" si="15"/>
        <v>1</v>
      </c>
      <c r="F339" s="58" t="str">
        <f t="shared" si="16"/>
        <v>000000-2024</v>
      </c>
      <c r="G339" s="68"/>
      <c r="H339" s="58" t="b">
        <f t="shared" si="17"/>
        <v>0</v>
      </c>
    </row>
    <row r="340" spans="2:8" x14ac:dyDescent="0.2">
      <c r="B340" s="40"/>
      <c r="C340" s="57"/>
      <c r="D340" s="58" t="b">
        <f t="shared" si="15"/>
        <v>1</v>
      </c>
      <c r="F340" s="58" t="str">
        <f t="shared" si="16"/>
        <v>000000-2024</v>
      </c>
      <c r="G340" s="39"/>
      <c r="H340" s="58" t="b">
        <f t="shared" si="17"/>
        <v>0</v>
      </c>
    </row>
    <row r="341" spans="2:8" x14ac:dyDescent="0.2">
      <c r="B341" s="40"/>
      <c r="C341" s="57"/>
      <c r="D341" s="58" t="b">
        <f t="shared" si="15"/>
        <v>1</v>
      </c>
      <c r="F341" s="58" t="str">
        <f t="shared" si="16"/>
        <v>000000-2024</v>
      </c>
      <c r="G341" s="39"/>
      <c r="H341" s="58" t="b">
        <f t="shared" si="17"/>
        <v>0</v>
      </c>
    </row>
    <row r="342" spans="2:8" x14ac:dyDescent="0.2">
      <c r="B342" s="40"/>
      <c r="C342" s="57"/>
      <c r="D342" s="58" t="b">
        <f t="shared" si="15"/>
        <v>1</v>
      </c>
      <c r="F342" s="58" t="str">
        <f t="shared" si="16"/>
        <v>000000-2024</v>
      </c>
      <c r="G342" s="39"/>
      <c r="H342" s="58" t="b">
        <f t="shared" si="17"/>
        <v>0</v>
      </c>
    </row>
    <row r="343" spans="2:8" x14ac:dyDescent="0.2">
      <c r="B343" s="40"/>
      <c r="C343" s="57"/>
      <c r="D343" s="58" t="b">
        <f t="shared" si="15"/>
        <v>1</v>
      </c>
      <c r="F343" s="58" t="str">
        <f t="shared" si="16"/>
        <v>000000-2024</v>
      </c>
      <c r="G343" s="39"/>
      <c r="H343" s="58" t="b">
        <f t="shared" si="17"/>
        <v>0</v>
      </c>
    </row>
    <row r="344" spans="2:8" x14ac:dyDescent="0.2">
      <c r="B344" s="40"/>
      <c r="C344" s="57"/>
      <c r="D344" s="58" t="b">
        <f t="shared" si="15"/>
        <v>1</v>
      </c>
      <c r="F344" s="58" t="str">
        <f t="shared" si="16"/>
        <v>000000-2024</v>
      </c>
      <c r="G344" s="39"/>
      <c r="H344" s="58" t="b">
        <f t="shared" si="17"/>
        <v>0</v>
      </c>
    </row>
    <row r="345" spans="2:8" x14ac:dyDescent="0.2">
      <c r="B345" s="40"/>
      <c r="C345" s="57"/>
      <c r="D345" s="58" t="b">
        <f t="shared" si="15"/>
        <v>1</v>
      </c>
      <c r="F345" s="58" t="str">
        <f t="shared" si="16"/>
        <v>000000-2024</v>
      </c>
      <c r="G345" s="39"/>
      <c r="H345" s="58" t="b">
        <f t="shared" si="17"/>
        <v>0</v>
      </c>
    </row>
    <row r="346" spans="2:8" x14ac:dyDescent="0.2">
      <c r="B346" s="40"/>
      <c r="C346" s="57"/>
      <c r="D346" s="58" t="b">
        <f t="shared" si="15"/>
        <v>1</v>
      </c>
      <c r="F346" s="58" t="str">
        <f t="shared" si="16"/>
        <v>000000-2024</v>
      </c>
      <c r="G346" s="39"/>
      <c r="H346" s="58" t="b">
        <f t="shared" si="17"/>
        <v>0</v>
      </c>
    </row>
    <row r="347" spans="2:8" x14ac:dyDescent="0.2">
      <c r="B347" s="40"/>
      <c r="C347" s="57"/>
      <c r="D347" s="58" t="b">
        <f t="shared" si="15"/>
        <v>1</v>
      </c>
      <c r="F347" s="58" t="str">
        <f t="shared" si="16"/>
        <v>000000-2024</v>
      </c>
      <c r="G347" s="39"/>
      <c r="H347" s="58" t="b">
        <f t="shared" si="17"/>
        <v>0</v>
      </c>
    </row>
    <row r="348" spans="2:8" ht="13.5" thickBot="1" x14ac:dyDescent="0.25">
      <c r="B348" s="60"/>
      <c r="C348" s="57"/>
      <c r="D348" s="58" t="b">
        <f t="shared" si="15"/>
        <v>1</v>
      </c>
      <c r="F348" s="58" t="str">
        <f t="shared" si="16"/>
        <v>000000-2024</v>
      </c>
      <c r="G348" s="61"/>
      <c r="H348" s="58" t="b">
        <f t="shared" si="17"/>
        <v>0</v>
      </c>
    </row>
    <row r="349" spans="2:8" x14ac:dyDescent="0.2">
      <c r="B349" s="64"/>
      <c r="C349" s="57"/>
      <c r="D349" s="58" t="b">
        <f t="shared" si="15"/>
        <v>1</v>
      </c>
      <c r="F349" s="58" t="str">
        <f t="shared" si="16"/>
        <v>000000-2024</v>
      </c>
      <c r="G349" s="65"/>
      <c r="H349" s="58" t="b">
        <f t="shared" si="17"/>
        <v>0</v>
      </c>
    </row>
    <row r="350" spans="2:8" x14ac:dyDescent="0.2">
      <c r="B350" s="40"/>
      <c r="C350" s="57"/>
      <c r="D350" s="58" t="b">
        <f t="shared" si="15"/>
        <v>1</v>
      </c>
      <c r="F350" s="58" t="str">
        <f t="shared" si="16"/>
        <v>000000-2024</v>
      </c>
      <c r="G350" s="39"/>
      <c r="H350" s="58" t="b">
        <f t="shared" si="17"/>
        <v>0</v>
      </c>
    </row>
    <row r="351" spans="2:8" x14ac:dyDescent="0.2">
      <c r="B351" s="40"/>
      <c r="C351" s="57"/>
      <c r="D351" s="58" t="b">
        <f t="shared" si="15"/>
        <v>1</v>
      </c>
      <c r="F351" s="58" t="str">
        <f t="shared" si="16"/>
        <v>000000-2024</v>
      </c>
      <c r="G351" s="39"/>
      <c r="H351" s="58" t="b">
        <f t="shared" si="17"/>
        <v>0</v>
      </c>
    </row>
    <row r="352" spans="2:8" x14ac:dyDescent="0.2">
      <c r="B352" s="40"/>
      <c r="C352" s="57"/>
      <c r="D352" s="58" t="b">
        <f t="shared" si="15"/>
        <v>1</v>
      </c>
      <c r="F352" s="58" t="str">
        <f t="shared" si="16"/>
        <v>000000-2024</v>
      </c>
      <c r="G352" s="39"/>
      <c r="H352" s="58" t="b">
        <f t="shared" si="17"/>
        <v>0</v>
      </c>
    </row>
    <row r="353" spans="2:8" x14ac:dyDescent="0.2">
      <c r="B353" s="40"/>
      <c r="C353" s="57"/>
      <c r="D353" s="58" t="b">
        <f t="shared" si="15"/>
        <v>1</v>
      </c>
      <c r="F353" s="58" t="str">
        <f t="shared" si="16"/>
        <v>000000-2024</v>
      </c>
      <c r="G353" s="39"/>
      <c r="H353" s="58" t="b">
        <f t="shared" si="17"/>
        <v>0</v>
      </c>
    </row>
    <row r="354" spans="2:8" x14ac:dyDescent="0.2">
      <c r="B354" s="40"/>
      <c r="C354" s="57"/>
      <c r="D354" s="58" t="b">
        <f t="shared" si="15"/>
        <v>1</v>
      </c>
      <c r="F354" s="58" t="str">
        <f t="shared" si="16"/>
        <v>000000-2024</v>
      </c>
      <c r="G354" s="39"/>
      <c r="H354" s="58" t="b">
        <f t="shared" si="17"/>
        <v>0</v>
      </c>
    </row>
    <row r="355" spans="2:8" x14ac:dyDescent="0.2">
      <c r="B355" s="40"/>
      <c r="C355" s="57"/>
      <c r="D355" s="58" t="b">
        <f t="shared" si="15"/>
        <v>1</v>
      </c>
      <c r="F355" s="58" t="str">
        <f t="shared" si="16"/>
        <v>000000-2024</v>
      </c>
      <c r="G355" s="39"/>
      <c r="H355" s="58" t="b">
        <f t="shared" si="17"/>
        <v>0</v>
      </c>
    </row>
    <row r="356" spans="2:8" x14ac:dyDescent="0.2">
      <c r="B356" s="40"/>
      <c r="C356" s="57"/>
      <c r="D356" s="58" t="b">
        <f t="shared" si="15"/>
        <v>1</v>
      </c>
      <c r="F356" s="58" t="str">
        <f t="shared" si="16"/>
        <v>000000-2024</v>
      </c>
      <c r="G356" s="39"/>
      <c r="H356" s="58" t="b">
        <f t="shared" si="17"/>
        <v>0</v>
      </c>
    </row>
    <row r="357" spans="2:8" x14ac:dyDescent="0.2">
      <c r="B357" s="40"/>
      <c r="C357" s="57"/>
      <c r="D357" s="58" t="b">
        <f t="shared" si="15"/>
        <v>1</v>
      </c>
      <c r="F357" s="58" t="str">
        <f t="shared" si="16"/>
        <v>000000-2024</v>
      </c>
      <c r="G357" s="39"/>
      <c r="H357" s="58" t="b">
        <f t="shared" si="17"/>
        <v>0</v>
      </c>
    </row>
    <row r="358" spans="2:8" x14ac:dyDescent="0.2">
      <c r="B358" s="40"/>
      <c r="C358" s="57"/>
      <c r="D358" s="58" t="b">
        <f t="shared" si="15"/>
        <v>1</v>
      </c>
      <c r="F358" s="58" t="str">
        <f t="shared" si="16"/>
        <v>000000-2024</v>
      </c>
      <c r="G358" s="39"/>
      <c r="H358" s="58" t="b">
        <f t="shared" si="17"/>
        <v>0</v>
      </c>
    </row>
    <row r="359" spans="2:8" x14ac:dyDescent="0.2">
      <c r="B359" s="40"/>
      <c r="C359" s="57"/>
      <c r="D359" s="58" t="b">
        <f t="shared" si="15"/>
        <v>1</v>
      </c>
      <c r="F359" s="58" t="str">
        <f t="shared" si="16"/>
        <v>000000-2024</v>
      </c>
      <c r="G359" s="39"/>
      <c r="H359" s="58" t="b">
        <f t="shared" si="17"/>
        <v>0</v>
      </c>
    </row>
    <row r="360" spans="2:8" x14ac:dyDescent="0.2">
      <c r="B360" s="40"/>
      <c r="C360" s="57"/>
      <c r="D360" s="58" t="b">
        <f t="shared" si="15"/>
        <v>1</v>
      </c>
      <c r="F360" s="58" t="str">
        <f t="shared" si="16"/>
        <v>000000-2024</v>
      </c>
      <c r="G360" s="39"/>
      <c r="H360" s="58" t="b">
        <f t="shared" si="17"/>
        <v>0</v>
      </c>
    </row>
    <row r="361" spans="2:8" x14ac:dyDescent="0.2">
      <c r="B361" s="40"/>
      <c r="C361" s="57"/>
      <c r="D361" s="58" t="b">
        <f t="shared" si="15"/>
        <v>1</v>
      </c>
      <c r="F361" s="58" t="str">
        <f t="shared" si="16"/>
        <v>000000-2024</v>
      </c>
      <c r="G361" s="39"/>
      <c r="H361" s="58" t="b">
        <f t="shared" si="17"/>
        <v>0</v>
      </c>
    </row>
    <row r="362" spans="2:8" x14ac:dyDescent="0.2">
      <c r="B362" s="40"/>
      <c r="C362" s="57"/>
      <c r="D362" s="58" t="b">
        <f t="shared" si="15"/>
        <v>1</v>
      </c>
      <c r="F362" s="58" t="str">
        <f t="shared" si="16"/>
        <v>000000-2024</v>
      </c>
      <c r="G362" s="39"/>
      <c r="H362" s="58" t="b">
        <f t="shared" si="17"/>
        <v>0</v>
      </c>
    </row>
    <row r="363" spans="2:8" ht="13.5" thickBot="1" x14ac:dyDescent="0.25">
      <c r="B363" s="60"/>
      <c r="C363" s="57"/>
      <c r="D363" s="58" t="b">
        <f t="shared" si="15"/>
        <v>1</v>
      </c>
      <c r="F363" s="58" t="str">
        <f t="shared" si="16"/>
        <v>000000-2024</v>
      </c>
      <c r="G363" s="61"/>
      <c r="H363" s="58" t="b">
        <f t="shared" si="17"/>
        <v>0</v>
      </c>
    </row>
    <row r="364" spans="2:8" x14ac:dyDescent="0.2">
      <c r="B364" s="62"/>
      <c r="C364" s="57"/>
      <c r="D364" s="58" t="b">
        <f t="shared" si="15"/>
        <v>1</v>
      </c>
      <c r="F364" s="58" t="str">
        <f t="shared" si="16"/>
        <v>000000-2024</v>
      </c>
      <c r="G364" s="39"/>
      <c r="H364" s="58" t="b">
        <f t="shared" si="17"/>
        <v>0</v>
      </c>
    </row>
    <row r="365" spans="2:8" x14ac:dyDescent="0.2">
      <c r="B365" s="40"/>
      <c r="C365" s="57"/>
      <c r="D365" s="58" t="b">
        <f t="shared" si="15"/>
        <v>1</v>
      </c>
      <c r="F365" s="58" t="str">
        <f t="shared" si="16"/>
        <v>000000-2024</v>
      </c>
      <c r="G365" s="39"/>
      <c r="H365" s="58" t="b">
        <f t="shared" si="17"/>
        <v>0</v>
      </c>
    </row>
    <row r="366" spans="2:8" x14ac:dyDescent="0.2">
      <c r="B366" s="40"/>
      <c r="C366" s="57"/>
      <c r="D366" s="58" t="b">
        <f t="shared" si="15"/>
        <v>1</v>
      </c>
      <c r="F366" s="58" t="str">
        <f t="shared" si="16"/>
        <v>000000-2024</v>
      </c>
      <c r="G366" s="39"/>
      <c r="H366" s="58" t="b">
        <f t="shared" si="17"/>
        <v>0</v>
      </c>
    </row>
    <row r="367" spans="2:8" x14ac:dyDescent="0.2">
      <c r="B367" s="40"/>
      <c r="C367" s="57"/>
      <c r="D367" s="58" t="b">
        <f t="shared" si="15"/>
        <v>1</v>
      </c>
      <c r="F367" s="58" t="str">
        <f t="shared" si="16"/>
        <v>000000-2024</v>
      </c>
      <c r="G367" s="67"/>
      <c r="H367" s="58" t="b">
        <f t="shared" si="17"/>
        <v>0</v>
      </c>
    </row>
    <row r="368" spans="2:8" x14ac:dyDescent="0.2">
      <c r="B368" s="40"/>
      <c r="C368" s="57"/>
      <c r="D368" s="58" t="b">
        <f t="shared" si="15"/>
        <v>1</v>
      </c>
      <c r="F368" s="58" t="str">
        <f t="shared" si="16"/>
        <v>000000-2024</v>
      </c>
      <c r="G368" s="39"/>
      <c r="H368" s="58" t="b">
        <f t="shared" si="17"/>
        <v>0</v>
      </c>
    </row>
    <row r="369" spans="2:8" x14ac:dyDescent="0.2">
      <c r="B369" s="40"/>
      <c r="C369" s="57"/>
      <c r="D369" s="58" t="b">
        <f t="shared" si="15"/>
        <v>1</v>
      </c>
      <c r="F369" s="58" t="str">
        <f t="shared" si="16"/>
        <v>000000-2024</v>
      </c>
      <c r="G369" s="68"/>
      <c r="H369" s="58" t="b">
        <f t="shared" si="17"/>
        <v>0</v>
      </c>
    </row>
    <row r="370" spans="2:8" x14ac:dyDescent="0.2">
      <c r="B370" s="40"/>
      <c r="C370" s="57"/>
      <c r="D370" s="58" t="b">
        <f t="shared" si="15"/>
        <v>1</v>
      </c>
      <c r="F370" s="58" t="str">
        <f t="shared" si="16"/>
        <v>000000-2024</v>
      </c>
      <c r="G370" s="39"/>
      <c r="H370" s="58" t="b">
        <f t="shared" si="17"/>
        <v>0</v>
      </c>
    </row>
    <row r="371" spans="2:8" ht="13.5" thickBot="1" x14ac:dyDescent="0.25">
      <c r="B371" s="60"/>
      <c r="C371" s="57"/>
      <c r="D371" s="58" t="b">
        <f t="shared" si="15"/>
        <v>1</v>
      </c>
      <c r="F371" s="58" t="str">
        <f t="shared" si="16"/>
        <v>000000-2024</v>
      </c>
      <c r="G371" s="61"/>
      <c r="H371" s="58" t="b">
        <f t="shared" si="17"/>
        <v>0</v>
      </c>
    </row>
    <row r="372" spans="2:8" x14ac:dyDescent="0.2">
      <c r="B372" s="64"/>
      <c r="C372" s="57"/>
      <c r="D372" s="58" t="b">
        <f t="shared" si="15"/>
        <v>1</v>
      </c>
      <c r="F372" s="58" t="str">
        <f t="shared" si="16"/>
        <v>000000-2024</v>
      </c>
      <c r="G372" s="65"/>
      <c r="H372" s="58" t="b">
        <f t="shared" si="17"/>
        <v>0</v>
      </c>
    </row>
    <row r="373" spans="2:8" x14ac:dyDescent="0.2">
      <c r="B373" s="40"/>
      <c r="C373" s="57"/>
      <c r="D373" s="58" t="b">
        <f t="shared" si="15"/>
        <v>1</v>
      </c>
      <c r="F373" s="58" t="str">
        <f t="shared" si="16"/>
        <v>000000-2024</v>
      </c>
      <c r="G373" s="39"/>
      <c r="H373" s="58" t="b">
        <f t="shared" si="17"/>
        <v>0</v>
      </c>
    </row>
    <row r="374" spans="2:8" x14ac:dyDescent="0.2">
      <c r="B374" s="40"/>
      <c r="C374" s="57"/>
      <c r="D374" s="58" t="b">
        <f t="shared" si="15"/>
        <v>1</v>
      </c>
      <c r="F374" s="58" t="str">
        <f t="shared" si="16"/>
        <v>000000-2024</v>
      </c>
      <c r="G374" s="39"/>
      <c r="H374" s="58" t="b">
        <f t="shared" si="17"/>
        <v>0</v>
      </c>
    </row>
    <row r="375" spans="2:8" x14ac:dyDescent="0.2">
      <c r="B375" s="40"/>
      <c r="C375" s="57"/>
      <c r="D375" s="58" t="b">
        <f t="shared" si="15"/>
        <v>1</v>
      </c>
      <c r="F375" s="58" t="str">
        <f t="shared" si="16"/>
        <v>000000-2024</v>
      </c>
      <c r="G375" s="39"/>
      <c r="H375" s="58" t="b">
        <f t="shared" si="17"/>
        <v>0</v>
      </c>
    </row>
    <row r="376" spans="2:8" x14ac:dyDescent="0.2">
      <c r="B376" s="40"/>
      <c r="C376" s="57"/>
      <c r="D376" s="58" t="b">
        <f t="shared" si="15"/>
        <v>1</v>
      </c>
      <c r="F376" s="58" t="str">
        <f t="shared" si="16"/>
        <v>000000-2024</v>
      </c>
      <c r="G376" s="39"/>
      <c r="H376" s="58" t="b">
        <f t="shared" si="17"/>
        <v>0</v>
      </c>
    </row>
    <row r="377" spans="2:8" x14ac:dyDescent="0.2">
      <c r="B377" s="40"/>
      <c r="C377" s="57"/>
      <c r="D377" s="58" t="b">
        <f t="shared" si="15"/>
        <v>1</v>
      </c>
      <c r="F377" s="58" t="str">
        <f t="shared" si="16"/>
        <v>000000-2024</v>
      </c>
      <c r="G377" s="39"/>
      <c r="H377" s="58" t="b">
        <f t="shared" si="17"/>
        <v>0</v>
      </c>
    </row>
    <row r="378" spans="2:8" x14ac:dyDescent="0.2">
      <c r="B378" s="40"/>
      <c r="C378" s="57"/>
      <c r="D378" s="58" t="b">
        <f t="shared" si="15"/>
        <v>1</v>
      </c>
      <c r="F378" s="58" t="str">
        <f t="shared" si="16"/>
        <v>000000-2024</v>
      </c>
      <c r="G378" s="39"/>
      <c r="H378" s="58" t="b">
        <f t="shared" si="17"/>
        <v>0</v>
      </c>
    </row>
    <row r="379" spans="2:8" x14ac:dyDescent="0.2">
      <c r="B379" s="40"/>
      <c r="C379" s="57"/>
      <c r="D379" s="58" t="b">
        <f t="shared" si="15"/>
        <v>1</v>
      </c>
      <c r="F379" s="58" t="str">
        <f t="shared" si="16"/>
        <v>000000-2024</v>
      </c>
      <c r="G379" s="39"/>
      <c r="H379" s="58" t="b">
        <f t="shared" si="17"/>
        <v>0</v>
      </c>
    </row>
    <row r="380" spans="2:8" x14ac:dyDescent="0.2">
      <c r="B380" s="40"/>
      <c r="C380" s="57"/>
      <c r="D380" s="58" t="b">
        <f t="shared" si="15"/>
        <v>1</v>
      </c>
      <c r="F380" s="58" t="str">
        <f t="shared" si="16"/>
        <v>000000-2024</v>
      </c>
      <c r="G380" s="39"/>
      <c r="H380" s="58" t="b">
        <f t="shared" si="17"/>
        <v>0</v>
      </c>
    </row>
    <row r="381" spans="2:8" x14ac:dyDescent="0.2">
      <c r="B381" s="40"/>
      <c r="C381" s="57"/>
      <c r="D381" s="58" t="b">
        <f t="shared" si="15"/>
        <v>1</v>
      </c>
      <c r="F381" s="58" t="str">
        <f t="shared" si="16"/>
        <v>000000-2024</v>
      </c>
      <c r="G381" s="39"/>
      <c r="H381" s="58" t="b">
        <f t="shared" si="17"/>
        <v>0</v>
      </c>
    </row>
    <row r="382" spans="2:8" x14ac:dyDescent="0.2">
      <c r="B382" s="40"/>
      <c r="C382" s="57"/>
      <c r="D382" s="58" t="b">
        <f t="shared" si="15"/>
        <v>1</v>
      </c>
      <c r="F382" s="58" t="str">
        <f t="shared" si="16"/>
        <v>000000-2024</v>
      </c>
      <c r="G382" s="39"/>
      <c r="H382" s="58" t="b">
        <f t="shared" si="17"/>
        <v>0</v>
      </c>
    </row>
    <row r="383" spans="2:8" x14ac:dyDescent="0.2">
      <c r="B383" s="40"/>
      <c r="C383" s="57"/>
      <c r="D383" s="58" t="b">
        <f t="shared" si="15"/>
        <v>1</v>
      </c>
      <c r="F383" s="58" t="str">
        <f t="shared" si="16"/>
        <v>000000-2024</v>
      </c>
      <c r="G383" s="39"/>
      <c r="H383" s="58" t="b">
        <f t="shared" si="17"/>
        <v>0</v>
      </c>
    </row>
    <row r="384" spans="2:8" x14ac:dyDescent="0.2">
      <c r="B384" s="40"/>
      <c r="C384" s="57"/>
      <c r="D384" s="58" t="b">
        <f t="shared" si="15"/>
        <v>1</v>
      </c>
      <c r="F384" s="58" t="str">
        <f t="shared" si="16"/>
        <v>000000-2024</v>
      </c>
      <c r="G384" s="39"/>
      <c r="H384" s="58" t="b">
        <f t="shared" si="17"/>
        <v>0</v>
      </c>
    </row>
    <row r="385" spans="2:8" x14ac:dyDescent="0.2">
      <c r="B385" s="40"/>
      <c r="C385" s="57"/>
      <c r="D385" s="58" t="b">
        <f t="shared" si="15"/>
        <v>1</v>
      </c>
      <c r="F385" s="58" t="str">
        <f t="shared" si="16"/>
        <v>000000-2024</v>
      </c>
      <c r="G385" s="39"/>
      <c r="H385" s="58" t="b">
        <f t="shared" si="17"/>
        <v>0</v>
      </c>
    </row>
    <row r="386" spans="2:8" x14ac:dyDescent="0.2">
      <c r="B386" s="40"/>
      <c r="C386" s="57"/>
      <c r="D386" s="58" t="b">
        <f t="shared" si="15"/>
        <v>1</v>
      </c>
      <c r="F386" s="58" t="str">
        <f t="shared" si="16"/>
        <v>000000-2024</v>
      </c>
      <c r="G386" s="39"/>
      <c r="H386" s="58" t="b">
        <f t="shared" si="17"/>
        <v>0</v>
      </c>
    </row>
    <row r="387" spans="2:8" ht="13.5" thickBot="1" x14ac:dyDescent="0.25">
      <c r="B387" s="60"/>
      <c r="C387" s="57"/>
      <c r="D387" s="58" t="b">
        <f t="shared" si="15"/>
        <v>1</v>
      </c>
      <c r="F387" s="58" t="str">
        <f t="shared" si="16"/>
        <v>000000-2024</v>
      </c>
      <c r="G387" s="61"/>
      <c r="H387" s="58" t="b">
        <f t="shared" si="17"/>
        <v>0</v>
      </c>
    </row>
    <row r="388" spans="2:8" x14ac:dyDescent="0.2">
      <c r="B388" s="64"/>
      <c r="C388" s="57"/>
      <c r="D388" s="58" t="b">
        <f t="shared" si="15"/>
        <v>1</v>
      </c>
      <c r="F388" s="58" t="str">
        <f t="shared" si="16"/>
        <v>000000-2024</v>
      </c>
      <c r="G388" s="65"/>
      <c r="H388" s="58" t="b">
        <f t="shared" si="17"/>
        <v>0</v>
      </c>
    </row>
    <row r="389" spans="2:8" x14ac:dyDescent="0.2">
      <c r="B389" s="40"/>
      <c r="C389" s="57"/>
      <c r="D389" s="58" t="b">
        <f t="shared" ref="D389:D452" si="18">B389=C389</f>
        <v>1</v>
      </c>
      <c r="F389" s="58" t="str">
        <f t="shared" ref="F389:F452" si="19">TEXT(E389,"000000")&amp;"-2024"</f>
        <v>000000-2024</v>
      </c>
      <c r="G389" s="39"/>
      <c r="H389" s="58" t="b">
        <f t="shared" ref="H389:H452" si="20">F389=G389</f>
        <v>0</v>
      </c>
    </row>
    <row r="390" spans="2:8" x14ac:dyDescent="0.2">
      <c r="B390" s="40"/>
      <c r="C390" s="57"/>
      <c r="D390" s="58" t="b">
        <f t="shared" si="18"/>
        <v>1</v>
      </c>
      <c r="F390" s="58" t="str">
        <f t="shared" si="19"/>
        <v>000000-2024</v>
      </c>
      <c r="G390" s="39"/>
      <c r="H390" s="58" t="b">
        <f t="shared" si="20"/>
        <v>0</v>
      </c>
    </row>
    <row r="391" spans="2:8" x14ac:dyDescent="0.2">
      <c r="B391" s="40"/>
      <c r="C391" s="57"/>
      <c r="D391" s="58" t="b">
        <f t="shared" si="18"/>
        <v>1</v>
      </c>
      <c r="F391" s="58" t="str">
        <f t="shared" si="19"/>
        <v>000000-2024</v>
      </c>
      <c r="G391" s="39"/>
      <c r="H391" s="58" t="b">
        <f t="shared" si="20"/>
        <v>0</v>
      </c>
    </row>
    <row r="392" spans="2:8" x14ac:dyDescent="0.2">
      <c r="B392" s="40"/>
      <c r="C392" s="57"/>
      <c r="D392" s="58" t="b">
        <f t="shared" si="18"/>
        <v>1</v>
      </c>
      <c r="F392" s="58" t="str">
        <f t="shared" si="19"/>
        <v>000000-2024</v>
      </c>
      <c r="G392" s="39"/>
      <c r="H392" s="58" t="b">
        <f t="shared" si="20"/>
        <v>0</v>
      </c>
    </row>
    <row r="393" spans="2:8" x14ac:dyDescent="0.2">
      <c r="B393" s="40"/>
      <c r="C393" s="57"/>
      <c r="D393" s="58" t="b">
        <f t="shared" si="18"/>
        <v>1</v>
      </c>
      <c r="F393" s="58" t="str">
        <f t="shared" si="19"/>
        <v>000000-2024</v>
      </c>
      <c r="G393" s="39"/>
      <c r="H393" s="58" t="b">
        <f t="shared" si="20"/>
        <v>0</v>
      </c>
    </row>
    <row r="394" spans="2:8" x14ac:dyDescent="0.2">
      <c r="B394" s="40"/>
      <c r="C394" s="57"/>
      <c r="D394" s="58" t="b">
        <f t="shared" si="18"/>
        <v>1</v>
      </c>
      <c r="F394" s="58" t="str">
        <f t="shared" si="19"/>
        <v>000000-2024</v>
      </c>
      <c r="G394" s="39"/>
      <c r="H394" s="58" t="b">
        <f t="shared" si="20"/>
        <v>0</v>
      </c>
    </row>
    <row r="395" spans="2:8" x14ac:dyDescent="0.2">
      <c r="B395" s="40"/>
      <c r="C395" s="57"/>
      <c r="D395" s="58" t="b">
        <f t="shared" si="18"/>
        <v>1</v>
      </c>
      <c r="F395" s="58" t="str">
        <f t="shared" si="19"/>
        <v>000000-2024</v>
      </c>
      <c r="G395" s="39"/>
      <c r="H395" s="58" t="b">
        <f t="shared" si="20"/>
        <v>0</v>
      </c>
    </row>
    <row r="396" spans="2:8" x14ac:dyDescent="0.2">
      <c r="B396" s="40"/>
      <c r="C396" s="57"/>
      <c r="D396" s="58" t="b">
        <f t="shared" si="18"/>
        <v>1</v>
      </c>
      <c r="F396" s="58" t="str">
        <f t="shared" si="19"/>
        <v>000000-2024</v>
      </c>
      <c r="G396" s="39"/>
      <c r="H396" s="58" t="b">
        <f t="shared" si="20"/>
        <v>0</v>
      </c>
    </row>
    <row r="397" spans="2:8" x14ac:dyDescent="0.2">
      <c r="B397" s="40"/>
      <c r="C397" s="57"/>
      <c r="D397" s="58" t="b">
        <f t="shared" si="18"/>
        <v>1</v>
      </c>
      <c r="F397" s="58" t="str">
        <f t="shared" si="19"/>
        <v>000000-2024</v>
      </c>
      <c r="G397" s="39"/>
      <c r="H397" s="58" t="b">
        <f t="shared" si="20"/>
        <v>0</v>
      </c>
    </row>
    <row r="398" spans="2:8" x14ac:dyDescent="0.2">
      <c r="B398" s="40"/>
      <c r="C398" s="57"/>
      <c r="D398" s="58" t="b">
        <f t="shared" si="18"/>
        <v>1</v>
      </c>
      <c r="F398" s="58" t="str">
        <f t="shared" si="19"/>
        <v>000000-2024</v>
      </c>
      <c r="G398" s="39"/>
      <c r="H398" s="58" t="b">
        <f t="shared" si="20"/>
        <v>0</v>
      </c>
    </row>
    <row r="399" spans="2:8" x14ac:dyDescent="0.2">
      <c r="B399" s="40"/>
      <c r="C399" s="57"/>
      <c r="D399" s="58" t="b">
        <f t="shared" si="18"/>
        <v>1</v>
      </c>
      <c r="F399" s="58" t="str">
        <f t="shared" si="19"/>
        <v>000000-2024</v>
      </c>
      <c r="G399" s="39"/>
      <c r="H399" s="58" t="b">
        <f t="shared" si="20"/>
        <v>0</v>
      </c>
    </row>
    <row r="400" spans="2:8" x14ac:dyDescent="0.2">
      <c r="B400" s="40"/>
      <c r="C400" s="57"/>
      <c r="D400" s="58" t="b">
        <f t="shared" si="18"/>
        <v>1</v>
      </c>
      <c r="F400" s="58" t="str">
        <f t="shared" si="19"/>
        <v>000000-2024</v>
      </c>
      <c r="G400" s="39"/>
      <c r="H400" s="58" t="b">
        <f t="shared" si="20"/>
        <v>0</v>
      </c>
    </row>
    <row r="401" spans="2:8" x14ac:dyDescent="0.2">
      <c r="B401" s="40"/>
      <c r="C401" s="57"/>
      <c r="D401" s="58" t="b">
        <f t="shared" si="18"/>
        <v>1</v>
      </c>
      <c r="F401" s="58" t="str">
        <f t="shared" si="19"/>
        <v>000000-2024</v>
      </c>
      <c r="G401" s="39"/>
      <c r="H401" s="58" t="b">
        <f t="shared" si="20"/>
        <v>0</v>
      </c>
    </row>
    <row r="402" spans="2:8" x14ac:dyDescent="0.2">
      <c r="B402" s="40"/>
      <c r="C402" s="57"/>
      <c r="D402" s="58" t="b">
        <f t="shared" si="18"/>
        <v>1</v>
      </c>
      <c r="F402" s="58" t="str">
        <f t="shared" si="19"/>
        <v>000000-2024</v>
      </c>
      <c r="G402" s="39"/>
      <c r="H402" s="58" t="b">
        <f t="shared" si="20"/>
        <v>0</v>
      </c>
    </row>
    <row r="403" spans="2:8" ht="13.5" thickBot="1" x14ac:dyDescent="0.25">
      <c r="B403" s="60"/>
      <c r="C403" s="57"/>
      <c r="D403" s="58" t="b">
        <f t="shared" si="18"/>
        <v>1</v>
      </c>
      <c r="F403" s="58" t="str">
        <f t="shared" si="19"/>
        <v>000000-2024</v>
      </c>
      <c r="G403" s="61"/>
      <c r="H403" s="58" t="b">
        <f t="shared" si="20"/>
        <v>0</v>
      </c>
    </row>
    <row r="404" spans="2:8" x14ac:dyDescent="0.2">
      <c r="B404" s="64"/>
      <c r="C404" s="57"/>
      <c r="D404" s="58" t="b">
        <f t="shared" si="18"/>
        <v>1</v>
      </c>
      <c r="F404" s="58" t="str">
        <f t="shared" si="19"/>
        <v>000000-2024</v>
      </c>
      <c r="G404" s="65"/>
      <c r="H404" s="58" t="b">
        <f t="shared" si="20"/>
        <v>0</v>
      </c>
    </row>
    <row r="405" spans="2:8" x14ac:dyDescent="0.2">
      <c r="B405" s="40"/>
      <c r="C405" s="57"/>
      <c r="D405" s="58" t="b">
        <f t="shared" si="18"/>
        <v>1</v>
      </c>
      <c r="F405" s="58" t="str">
        <f t="shared" si="19"/>
        <v>000000-2024</v>
      </c>
      <c r="G405" s="39"/>
      <c r="H405" s="58" t="b">
        <f t="shared" si="20"/>
        <v>0</v>
      </c>
    </row>
    <row r="406" spans="2:8" x14ac:dyDescent="0.2">
      <c r="B406" s="40"/>
      <c r="C406" s="57"/>
      <c r="D406" s="58" t="b">
        <f t="shared" si="18"/>
        <v>1</v>
      </c>
      <c r="F406" s="58" t="str">
        <f t="shared" si="19"/>
        <v>000000-2024</v>
      </c>
      <c r="G406" s="39"/>
      <c r="H406" s="58" t="b">
        <f t="shared" si="20"/>
        <v>0</v>
      </c>
    </row>
    <row r="407" spans="2:8" x14ac:dyDescent="0.2">
      <c r="B407" s="40"/>
      <c r="C407" s="57"/>
      <c r="D407" s="58" t="b">
        <f t="shared" si="18"/>
        <v>1</v>
      </c>
      <c r="F407" s="58" t="str">
        <f t="shared" si="19"/>
        <v>000000-2024</v>
      </c>
      <c r="G407" s="39"/>
      <c r="H407" s="58" t="b">
        <f t="shared" si="20"/>
        <v>0</v>
      </c>
    </row>
    <row r="408" spans="2:8" x14ac:dyDescent="0.2">
      <c r="B408" s="40"/>
      <c r="C408" s="57"/>
      <c r="D408" s="58" t="b">
        <f t="shared" si="18"/>
        <v>1</v>
      </c>
      <c r="F408" s="58" t="str">
        <f t="shared" si="19"/>
        <v>000000-2024</v>
      </c>
      <c r="G408" s="39"/>
      <c r="H408" s="58" t="b">
        <f t="shared" si="20"/>
        <v>0</v>
      </c>
    </row>
    <row r="409" spans="2:8" x14ac:dyDescent="0.2">
      <c r="B409" s="40"/>
      <c r="C409" s="57"/>
      <c r="D409" s="58" t="b">
        <f t="shared" si="18"/>
        <v>1</v>
      </c>
      <c r="F409" s="58" t="str">
        <f t="shared" si="19"/>
        <v>000000-2024</v>
      </c>
      <c r="G409" s="39"/>
      <c r="H409" s="58" t="b">
        <f t="shared" si="20"/>
        <v>0</v>
      </c>
    </row>
    <row r="410" spans="2:8" x14ac:dyDescent="0.2">
      <c r="B410" s="40"/>
      <c r="C410" s="57"/>
      <c r="D410" s="58" t="b">
        <f t="shared" si="18"/>
        <v>1</v>
      </c>
      <c r="F410" s="58" t="str">
        <f t="shared" si="19"/>
        <v>000000-2024</v>
      </c>
      <c r="G410" s="39"/>
      <c r="H410" s="58" t="b">
        <f t="shared" si="20"/>
        <v>0</v>
      </c>
    </row>
    <row r="411" spans="2:8" x14ac:dyDescent="0.2">
      <c r="B411" s="40"/>
      <c r="C411" s="57"/>
      <c r="D411" s="58" t="b">
        <f t="shared" si="18"/>
        <v>1</v>
      </c>
      <c r="F411" s="58" t="str">
        <f t="shared" si="19"/>
        <v>000000-2024</v>
      </c>
      <c r="G411" s="39"/>
      <c r="H411" s="58" t="b">
        <f t="shared" si="20"/>
        <v>0</v>
      </c>
    </row>
    <row r="412" spans="2:8" x14ac:dyDescent="0.2">
      <c r="B412" s="40"/>
      <c r="C412" s="57"/>
      <c r="D412" s="58" t="b">
        <f t="shared" si="18"/>
        <v>1</v>
      </c>
      <c r="F412" s="58" t="str">
        <f t="shared" si="19"/>
        <v>000000-2024</v>
      </c>
      <c r="G412" s="39"/>
      <c r="H412" s="58" t="b">
        <f t="shared" si="20"/>
        <v>0</v>
      </c>
    </row>
    <row r="413" spans="2:8" x14ac:dyDescent="0.2">
      <c r="B413" s="40"/>
      <c r="C413" s="57"/>
      <c r="D413" s="58" t="b">
        <f t="shared" si="18"/>
        <v>1</v>
      </c>
      <c r="F413" s="58" t="str">
        <f t="shared" si="19"/>
        <v>000000-2024</v>
      </c>
      <c r="G413" s="39"/>
      <c r="H413" s="58" t="b">
        <f t="shared" si="20"/>
        <v>0</v>
      </c>
    </row>
    <row r="414" spans="2:8" x14ac:dyDescent="0.2">
      <c r="B414" s="40"/>
      <c r="C414" s="57"/>
      <c r="D414" s="58" t="b">
        <f t="shared" si="18"/>
        <v>1</v>
      </c>
      <c r="F414" s="58" t="str">
        <f t="shared" si="19"/>
        <v>000000-2024</v>
      </c>
      <c r="G414" s="39"/>
      <c r="H414" s="58" t="b">
        <f t="shared" si="20"/>
        <v>0</v>
      </c>
    </row>
    <row r="415" spans="2:8" x14ac:dyDescent="0.2">
      <c r="B415" s="40"/>
      <c r="C415" s="57"/>
      <c r="D415" s="58" t="b">
        <f t="shared" si="18"/>
        <v>1</v>
      </c>
      <c r="F415" s="58" t="str">
        <f t="shared" si="19"/>
        <v>000000-2024</v>
      </c>
      <c r="G415" s="39"/>
      <c r="H415" s="58" t="b">
        <f t="shared" si="20"/>
        <v>0</v>
      </c>
    </row>
    <row r="416" spans="2:8" x14ac:dyDescent="0.2">
      <c r="B416" s="40"/>
      <c r="C416" s="57"/>
      <c r="D416" s="58" t="b">
        <f t="shared" si="18"/>
        <v>1</v>
      </c>
      <c r="F416" s="58" t="str">
        <f t="shared" si="19"/>
        <v>000000-2024</v>
      </c>
      <c r="G416" s="39"/>
      <c r="H416" s="58" t="b">
        <f t="shared" si="20"/>
        <v>0</v>
      </c>
    </row>
    <row r="417" spans="2:8" x14ac:dyDescent="0.2">
      <c r="B417" s="40"/>
      <c r="C417" s="57"/>
      <c r="D417" s="58" t="b">
        <f t="shared" si="18"/>
        <v>1</v>
      </c>
      <c r="F417" s="58" t="str">
        <f t="shared" si="19"/>
        <v>000000-2024</v>
      </c>
      <c r="G417" s="39"/>
      <c r="H417" s="58" t="b">
        <f t="shared" si="20"/>
        <v>0</v>
      </c>
    </row>
    <row r="418" spans="2:8" x14ac:dyDescent="0.2">
      <c r="B418" s="40"/>
      <c r="C418" s="57"/>
      <c r="D418" s="58" t="b">
        <f t="shared" si="18"/>
        <v>1</v>
      </c>
      <c r="F418" s="58" t="str">
        <f t="shared" si="19"/>
        <v>000000-2024</v>
      </c>
      <c r="G418" s="39"/>
      <c r="H418" s="58" t="b">
        <f t="shared" si="20"/>
        <v>0</v>
      </c>
    </row>
    <row r="419" spans="2:8" ht="13.5" thickBot="1" x14ac:dyDescent="0.25">
      <c r="B419" s="60"/>
      <c r="C419" s="57"/>
      <c r="D419" s="58" t="b">
        <f t="shared" si="18"/>
        <v>1</v>
      </c>
      <c r="F419" s="58" t="str">
        <f t="shared" si="19"/>
        <v>000000-2024</v>
      </c>
      <c r="G419" s="61"/>
      <c r="H419" s="58" t="b">
        <f t="shared" si="20"/>
        <v>0</v>
      </c>
    </row>
    <row r="420" spans="2:8" x14ac:dyDescent="0.2">
      <c r="B420" s="64"/>
      <c r="C420" s="57"/>
      <c r="D420" s="58" t="b">
        <f t="shared" si="18"/>
        <v>1</v>
      </c>
      <c r="F420" s="58" t="str">
        <f t="shared" si="19"/>
        <v>000000-2024</v>
      </c>
      <c r="G420" s="65"/>
      <c r="H420" s="58" t="b">
        <f t="shared" si="20"/>
        <v>0</v>
      </c>
    </row>
    <row r="421" spans="2:8" x14ac:dyDescent="0.2">
      <c r="B421" s="40"/>
      <c r="C421" s="57"/>
      <c r="D421" s="58" t="b">
        <f t="shared" si="18"/>
        <v>1</v>
      </c>
      <c r="F421" s="58" t="str">
        <f t="shared" si="19"/>
        <v>000000-2024</v>
      </c>
      <c r="G421" s="39"/>
      <c r="H421" s="58" t="b">
        <f t="shared" si="20"/>
        <v>0</v>
      </c>
    </row>
    <row r="422" spans="2:8" x14ac:dyDescent="0.2">
      <c r="B422" s="40"/>
      <c r="C422" s="57"/>
      <c r="D422" s="58" t="b">
        <f t="shared" si="18"/>
        <v>1</v>
      </c>
      <c r="F422" s="58" t="str">
        <f t="shared" si="19"/>
        <v>000000-2024</v>
      </c>
      <c r="G422" s="39"/>
      <c r="H422" s="58" t="b">
        <f t="shared" si="20"/>
        <v>0</v>
      </c>
    </row>
    <row r="423" spans="2:8" x14ac:dyDescent="0.2">
      <c r="B423" s="40"/>
      <c r="C423" s="57"/>
      <c r="D423" s="58" t="b">
        <f t="shared" si="18"/>
        <v>1</v>
      </c>
      <c r="F423" s="58" t="str">
        <f t="shared" si="19"/>
        <v>000000-2024</v>
      </c>
      <c r="G423" s="39"/>
      <c r="H423" s="58" t="b">
        <f t="shared" si="20"/>
        <v>0</v>
      </c>
    </row>
    <row r="424" spans="2:8" x14ac:dyDescent="0.2">
      <c r="B424" s="62"/>
      <c r="C424" s="57"/>
      <c r="D424" s="58" t="b">
        <f t="shared" si="18"/>
        <v>1</v>
      </c>
      <c r="F424" s="58" t="str">
        <f t="shared" si="19"/>
        <v>000000-2024</v>
      </c>
      <c r="G424" s="39"/>
      <c r="H424" s="58" t="b">
        <f t="shared" si="20"/>
        <v>0</v>
      </c>
    </row>
    <row r="425" spans="2:8" x14ac:dyDescent="0.2">
      <c r="B425" s="40"/>
      <c r="C425" s="57"/>
      <c r="D425" s="58" t="b">
        <f t="shared" si="18"/>
        <v>1</v>
      </c>
      <c r="F425" s="58" t="str">
        <f t="shared" si="19"/>
        <v>000000-2024</v>
      </c>
      <c r="G425" s="39"/>
      <c r="H425" s="58" t="b">
        <f t="shared" si="20"/>
        <v>0</v>
      </c>
    </row>
    <row r="426" spans="2:8" x14ac:dyDescent="0.2">
      <c r="B426" s="40"/>
      <c r="C426" s="57"/>
      <c r="D426" s="58" t="b">
        <f t="shared" si="18"/>
        <v>1</v>
      </c>
      <c r="F426" s="58" t="str">
        <f t="shared" si="19"/>
        <v>000000-2024</v>
      </c>
      <c r="G426" s="39"/>
      <c r="H426" s="58" t="b">
        <f t="shared" si="20"/>
        <v>0</v>
      </c>
    </row>
    <row r="427" spans="2:8" x14ac:dyDescent="0.2">
      <c r="B427" s="40"/>
      <c r="C427" s="57"/>
      <c r="D427" s="58" t="b">
        <f t="shared" si="18"/>
        <v>1</v>
      </c>
      <c r="F427" s="58" t="str">
        <f t="shared" si="19"/>
        <v>000000-2024</v>
      </c>
      <c r="G427" s="39"/>
      <c r="H427" s="58" t="b">
        <f t="shared" si="20"/>
        <v>0</v>
      </c>
    </row>
    <row r="428" spans="2:8" x14ac:dyDescent="0.2">
      <c r="B428" s="40"/>
      <c r="C428" s="57"/>
      <c r="D428" s="58" t="b">
        <f t="shared" si="18"/>
        <v>1</v>
      </c>
      <c r="F428" s="58" t="str">
        <f t="shared" si="19"/>
        <v>000000-2024</v>
      </c>
      <c r="G428" s="39"/>
      <c r="H428" s="58" t="b">
        <f t="shared" si="20"/>
        <v>0</v>
      </c>
    </row>
    <row r="429" spans="2:8" x14ac:dyDescent="0.2">
      <c r="B429" s="40"/>
      <c r="C429" s="57"/>
      <c r="D429" s="58" t="b">
        <f t="shared" si="18"/>
        <v>1</v>
      </c>
      <c r="F429" s="58" t="str">
        <f t="shared" si="19"/>
        <v>000000-2024</v>
      </c>
      <c r="G429" s="39"/>
      <c r="H429" s="58" t="b">
        <f t="shared" si="20"/>
        <v>0</v>
      </c>
    </row>
    <row r="430" spans="2:8" x14ac:dyDescent="0.2">
      <c r="B430" s="40"/>
      <c r="C430" s="57"/>
      <c r="D430" s="58" t="b">
        <f t="shared" si="18"/>
        <v>1</v>
      </c>
      <c r="F430" s="58" t="str">
        <f t="shared" si="19"/>
        <v>000000-2024</v>
      </c>
      <c r="G430" s="39"/>
      <c r="H430" s="58" t="b">
        <f t="shared" si="20"/>
        <v>0</v>
      </c>
    </row>
    <row r="431" spans="2:8" x14ac:dyDescent="0.2">
      <c r="B431" s="40"/>
      <c r="C431" s="57"/>
      <c r="D431" s="58" t="b">
        <f t="shared" si="18"/>
        <v>1</v>
      </c>
      <c r="F431" s="58" t="str">
        <f t="shared" si="19"/>
        <v>000000-2024</v>
      </c>
      <c r="G431" s="39"/>
      <c r="H431" s="58" t="b">
        <f t="shared" si="20"/>
        <v>0</v>
      </c>
    </row>
    <row r="432" spans="2:8" x14ac:dyDescent="0.2">
      <c r="B432" s="40"/>
      <c r="C432" s="57"/>
      <c r="D432" s="58" t="b">
        <f t="shared" si="18"/>
        <v>1</v>
      </c>
      <c r="F432" s="58" t="str">
        <f t="shared" si="19"/>
        <v>000000-2024</v>
      </c>
      <c r="G432" s="39"/>
      <c r="H432" s="58" t="b">
        <f t="shared" si="20"/>
        <v>0</v>
      </c>
    </row>
    <row r="433" spans="2:8" x14ac:dyDescent="0.2">
      <c r="B433" s="40"/>
      <c r="C433" s="57"/>
      <c r="D433" s="58" t="b">
        <f t="shared" si="18"/>
        <v>1</v>
      </c>
      <c r="F433" s="58" t="str">
        <f t="shared" si="19"/>
        <v>000000-2024</v>
      </c>
      <c r="G433" s="39"/>
      <c r="H433" s="58" t="b">
        <f t="shared" si="20"/>
        <v>0</v>
      </c>
    </row>
    <row r="434" spans="2:8" x14ac:dyDescent="0.2">
      <c r="B434" s="40"/>
      <c r="C434" s="57"/>
      <c r="D434" s="58" t="b">
        <f t="shared" si="18"/>
        <v>1</v>
      </c>
      <c r="F434" s="58" t="str">
        <f t="shared" si="19"/>
        <v>000000-2024</v>
      </c>
      <c r="G434" s="39"/>
      <c r="H434" s="58" t="b">
        <f t="shared" si="20"/>
        <v>0</v>
      </c>
    </row>
    <row r="435" spans="2:8" ht="13.5" thickBot="1" x14ac:dyDescent="0.25">
      <c r="B435" s="63"/>
      <c r="C435" s="57"/>
      <c r="D435" s="58" t="b">
        <f t="shared" si="18"/>
        <v>1</v>
      </c>
      <c r="F435" s="58" t="str">
        <f t="shared" si="19"/>
        <v>000000-2024</v>
      </c>
      <c r="G435" s="61"/>
      <c r="H435" s="58" t="b">
        <f t="shared" si="20"/>
        <v>0</v>
      </c>
    </row>
    <row r="436" spans="2:8" x14ac:dyDescent="0.2">
      <c r="B436" s="64"/>
      <c r="C436" s="57"/>
      <c r="D436" s="58" t="b">
        <f t="shared" si="18"/>
        <v>1</v>
      </c>
      <c r="F436" s="58" t="str">
        <f t="shared" si="19"/>
        <v>000000-2024</v>
      </c>
      <c r="G436" s="65"/>
      <c r="H436" s="58" t="b">
        <f t="shared" si="20"/>
        <v>0</v>
      </c>
    </row>
    <row r="437" spans="2:8" x14ac:dyDescent="0.2">
      <c r="B437" s="40"/>
      <c r="C437" s="57"/>
      <c r="D437" s="58" t="b">
        <f t="shared" si="18"/>
        <v>1</v>
      </c>
      <c r="F437" s="58" t="str">
        <f t="shared" si="19"/>
        <v>000000-2024</v>
      </c>
      <c r="G437" s="39"/>
      <c r="H437" s="58" t="b">
        <f t="shared" si="20"/>
        <v>0</v>
      </c>
    </row>
    <row r="438" spans="2:8" x14ac:dyDescent="0.2">
      <c r="B438" s="40"/>
      <c r="C438" s="57"/>
      <c r="D438" s="58" t="b">
        <f t="shared" si="18"/>
        <v>1</v>
      </c>
      <c r="F438" s="58" t="str">
        <f t="shared" si="19"/>
        <v>000000-2024</v>
      </c>
      <c r="G438" s="39"/>
      <c r="H438" s="58" t="b">
        <f t="shared" si="20"/>
        <v>0</v>
      </c>
    </row>
    <row r="439" spans="2:8" x14ac:dyDescent="0.2">
      <c r="B439" s="40"/>
      <c r="C439" s="57"/>
      <c r="D439" s="58" t="b">
        <f t="shared" si="18"/>
        <v>1</v>
      </c>
      <c r="F439" s="58" t="str">
        <f t="shared" si="19"/>
        <v>000000-2024</v>
      </c>
      <c r="G439" s="39"/>
      <c r="H439" s="58" t="b">
        <f t="shared" si="20"/>
        <v>0</v>
      </c>
    </row>
    <row r="440" spans="2:8" x14ac:dyDescent="0.2">
      <c r="B440" s="40"/>
      <c r="C440" s="57"/>
      <c r="D440" s="58" t="b">
        <f t="shared" si="18"/>
        <v>1</v>
      </c>
      <c r="F440" s="58" t="str">
        <f t="shared" si="19"/>
        <v>000000-2024</v>
      </c>
      <c r="G440" s="39"/>
      <c r="H440" s="58" t="b">
        <f t="shared" si="20"/>
        <v>0</v>
      </c>
    </row>
    <row r="441" spans="2:8" x14ac:dyDescent="0.2">
      <c r="B441" s="40"/>
      <c r="C441" s="57"/>
      <c r="D441" s="58" t="b">
        <f t="shared" si="18"/>
        <v>1</v>
      </c>
      <c r="F441" s="58" t="str">
        <f t="shared" si="19"/>
        <v>000000-2024</v>
      </c>
      <c r="G441" s="39"/>
      <c r="H441" s="58" t="b">
        <f t="shared" si="20"/>
        <v>0</v>
      </c>
    </row>
    <row r="442" spans="2:8" x14ac:dyDescent="0.2">
      <c r="B442" s="40"/>
      <c r="C442" s="57"/>
      <c r="D442" s="58" t="b">
        <f t="shared" si="18"/>
        <v>1</v>
      </c>
      <c r="F442" s="58" t="str">
        <f t="shared" si="19"/>
        <v>000000-2024</v>
      </c>
      <c r="G442" s="39"/>
      <c r="H442" s="58" t="b">
        <f t="shared" si="20"/>
        <v>0</v>
      </c>
    </row>
    <row r="443" spans="2:8" x14ac:dyDescent="0.2">
      <c r="B443" s="40"/>
      <c r="C443" s="57"/>
      <c r="D443" s="58" t="b">
        <f t="shared" si="18"/>
        <v>1</v>
      </c>
      <c r="F443" s="58" t="str">
        <f t="shared" si="19"/>
        <v>000000-2024</v>
      </c>
      <c r="G443" s="39"/>
      <c r="H443" s="58" t="b">
        <f t="shared" si="20"/>
        <v>0</v>
      </c>
    </row>
    <row r="444" spans="2:8" x14ac:dyDescent="0.2">
      <c r="B444" s="40"/>
      <c r="C444" s="57"/>
      <c r="D444" s="58" t="b">
        <f t="shared" si="18"/>
        <v>1</v>
      </c>
      <c r="F444" s="58" t="str">
        <f t="shared" si="19"/>
        <v>000000-2024</v>
      </c>
      <c r="G444" s="39"/>
      <c r="H444" s="58" t="b">
        <f t="shared" si="20"/>
        <v>0</v>
      </c>
    </row>
    <row r="445" spans="2:8" x14ac:dyDescent="0.2">
      <c r="B445" s="40"/>
      <c r="C445" s="57"/>
      <c r="D445" s="58" t="b">
        <f t="shared" si="18"/>
        <v>1</v>
      </c>
      <c r="F445" s="58" t="str">
        <f t="shared" si="19"/>
        <v>000000-2024</v>
      </c>
      <c r="G445" s="39"/>
      <c r="H445" s="58" t="b">
        <f t="shared" si="20"/>
        <v>0</v>
      </c>
    </row>
    <row r="446" spans="2:8" x14ac:dyDescent="0.2">
      <c r="B446" s="40"/>
      <c r="C446" s="57"/>
      <c r="D446" s="58" t="b">
        <f t="shared" si="18"/>
        <v>1</v>
      </c>
      <c r="F446" s="58" t="str">
        <f t="shared" si="19"/>
        <v>000000-2024</v>
      </c>
      <c r="G446" s="39"/>
      <c r="H446" s="58" t="b">
        <f t="shared" si="20"/>
        <v>0</v>
      </c>
    </row>
    <row r="447" spans="2:8" x14ac:dyDescent="0.2">
      <c r="B447" s="40"/>
      <c r="C447" s="57"/>
      <c r="D447" s="58" t="b">
        <f t="shared" si="18"/>
        <v>1</v>
      </c>
      <c r="F447" s="58" t="str">
        <f t="shared" si="19"/>
        <v>000000-2024</v>
      </c>
      <c r="G447" s="39"/>
      <c r="H447" s="58" t="b">
        <f t="shared" si="20"/>
        <v>0</v>
      </c>
    </row>
    <row r="448" spans="2:8" x14ac:dyDescent="0.2">
      <c r="B448" s="40"/>
      <c r="C448" s="57"/>
      <c r="D448" s="58" t="b">
        <f t="shared" si="18"/>
        <v>1</v>
      </c>
      <c r="F448" s="58" t="str">
        <f t="shared" si="19"/>
        <v>000000-2024</v>
      </c>
      <c r="G448" s="39"/>
      <c r="H448" s="58" t="b">
        <f t="shared" si="20"/>
        <v>0</v>
      </c>
    </row>
    <row r="449" spans="2:8" x14ac:dyDescent="0.2">
      <c r="B449" s="40"/>
      <c r="C449" s="57"/>
      <c r="D449" s="58" t="b">
        <f t="shared" si="18"/>
        <v>1</v>
      </c>
      <c r="F449" s="58" t="str">
        <f t="shared" si="19"/>
        <v>000000-2024</v>
      </c>
      <c r="G449" s="39"/>
      <c r="H449" s="58" t="b">
        <f t="shared" si="20"/>
        <v>0</v>
      </c>
    </row>
    <row r="450" spans="2:8" x14ac:dyDescent="0.2">
      <c r="B450" s="40"/>
      <c r="C450" s="57"/>
      <c r="D450" s="58" t="b">
        <f t="shared" si="18"/>
        <v>1</v>
      </c>
      <c r="F450" s="58" t="str">
        <f t="shared" si="19"/>
        <v>000000-2024</v>
      </c>
      <c r="G450" s="39"/>
      <c r="H450" s="58" t="b">
        <f t="shared" si="20"/>
        <v>0</v>
      </c>
    </row>
    <row r="451" spans="2:8" ht="13.5" thickBot="1" x14ac:dyDescent="0.25">
      <c r="B451" s="60"/>
      <c r="C451" s="57"/>
      <c r="D451" s="58" t="b">
        <f t="shared" si="18"/>
        <v>1</v>
      </c>
      <c r="F451" s="58" t="str">
        <f t="shared" si="19"/>
        <v>000000-2024</v>
      </c>
      <c r="G451" s="61"/>
      <c r="H451" s="58" t="b">
        <f t="shared" si="20"/>
        <v>0</v>
      </c>
    </row>
    <row r="452" spans="2:8" x14ac:dyDescent="0.2">
      <c r="B452" s="64"/>
      <c r="C452" s="57"/>
      <c r="D452" s="58" t="b">
        <f t="shared" si="18"/>
        <v>1</v>
      </c>
      <c r="F452" s="58" t="str">
        <f t="shared" si="19"/>
        <v>000000-2024</v>
      </c>
      <c r="G452" s="65"/>
      <c r="H452" s="58" t="b">
        <f t="shared" si="20"/>
        <v>0</v>
      </c>
    </row>
    <row r="453" spans="2:8" x14ac:dyDescent="0.2">
      <c r="B453" s="40"/>
      <c r="C453" s="57"/>
      <c r="D453" s="58" t="b">
        <f t="shared" ref="D453:D516" si="21">B453=C453</f>
        <v>1</v>
      </c>
      <c r="F453" s="58" t="str">
        <f t="shared" ref="F453:F516" si="22">TEXT(E453,"000000")&amp;"-2024"</f>
        <v>000000-2024</v>
      </c>
      <c r="G453" s="39"/>
      <c r="H453" s="58" t="b">
        <f t="shared" ref="H453:H516" si="23">F453=G453</f>
        <v>0</v>
      </c>
    </row>
    <row r="454" spans="2:8" x14ac:dyDescent="0.2">
      <c r="B454" s="40"/>
      <c r="C454" s="57"/>
      <c r="D454" s="58" t="b">
        <f t="shared" si="21"/>
        <v>1</v>
      </c>
      <c r="F454" s="58" t="str">
        <f t="shared" si="22"/>
        <v>000000-2024</v>
      </c>
      <c r="G454" s="39"/>
      <c r="H454" s="58" t="b">
        <f t="shared" si="23"/>
        <v>0</v>
      </c>
    </row>
    <row r="455" spans="2:8" x14ac:dyDescent="0.2">
      <c r="B455" s="40"/>
      <c r="C455" s="57"/>
      <c r="D455" s="58" t="b">
        <f t="shared" si="21"/>
        <v>1</v>
      </c>
      <c r="F455" s="58" t="str">
        <f t="shared" si="22"/>
        <v>000000-2024</v>
      </c>
      <c r="G455" s="39"/>
      <c r="H455" s="58" t="b">
        <f t="shared" si="23"/>
        <v>0</v>
      </c>
    </row>
    <row r="456" spans="2:8" x14ac:dyDescent="0.2">
      <c r="B456" s="40"/>
      <c r="C456" s="57"/>
      <c r="D456" s="58" t="b">
        <f t="shared" si="21"/>
        <v>1</v>
      </c>
      <c r="F456" s="58" t="str">
        <f t="shared" si="22"/>
        <v>000000-2024</v>
      </c>
      <c r="G456" s="39"/>
      <c r="H456" s="58" t="b">
        <f t="shared" si="23"/>
        <v>0</v>
      </c>
    </row>
    <row r="457" spans="2:8" x14ac:dyDescent="0.2">
      <c r="B457" s="40"/>
      <c r="C457" s="57"/>
      <c r="D457" s="58" t="b">
        <f t="shared" si="21"/>
        <v>1</v>
      </c>
      <c r="F457" s="58" t="str">
        <f t="shared" si="22"/>
        <v>000000-2024</v>
      </c>
      <c r="G457" s="39"/>
      <c r="H457" s="58" t="b">
        <f t="shared" si="23"/>
        <v>0</v>
      </c>
    </row>
    <row r="458" spans="2:8" x14ac:dyDescent="0.2">
      <c r="B458" s="40"/>
      <c r="C458" s="57"/>
      <c r="D458" s="58" t="b">
        <f t="shared" si="21"/>
        <v>1</v>
      </c>
      <c r="F458" s="58" t="str">
        <f t="shared" si="22"/>
        <v>000000-2024</v>
      </c>
      <c r="G458" s="39"/>
      <c r="H458" s="58" t="b">
        <f t="shared" si="23"/>
        <v>0</v>
      </c>
    </row>
    <row r="459" spans="2:8" x14ac:dyDescent="0.2">
      <c r="B459" s="40"/>
      <c r="C459" s="57"/>
      <c r="D459" s="58" t="b">
        <f t="shared" si="21"/>
        <v>1</v>
      </c>
      <c r="F459" s="58" t="str">
        <f t="shared" si="22"/>
        <v>000000-2024</v>
      </c>
      <c r="G459" s="39"/>
      <c r="H459" s="58" t="b">
        <f t="shared" si="23"/>
        <v>0</v>
      </c>
    </row>
    <row r="460" spans="2:8" x14ac:dyDescent="0.2">
      <c r="B460" s="40"/>
      <c r="C460" s="57"/>
      <c r="D460" s="58" t="b">
        <f t="shared" si="21"/>
        <v>1</v>
      </c>
      <c r="F460" s="58" t="str">
        <f t="shared" si="22"/>
        <v>000000-2024</v>
      </c>
      <c r="G460" s="39"/>
      <c r="H460" s="58" t="b">
        <f t="shared" si="23"/>
        <v>0</v>
      </c>
    </row>
    <row r="461" spans="2:8" x14ac:dyDescent="0.2">
      <c r="B461" s="40"/>
      <c r="C461" s="57"/>
      <c r="D461" s="58" t="b">
        <f t="shared" si="21"/>
        <v>1</v>
      </c>
      <c r="F461" s="58" t="str">
        <f t="shared" si="22"/>
        <v>000000-2024</v>
      </c>
      <c r="G461" s="39"/>
      <c r="H461" s="58" t="b">
        <f t="shared" si="23"/>
        <v>0</v>
      </c>
    </row>
    <row r="462" spans="2:8" x14ac:dyDescent="0.2">
      <c r="B462" s="40"/>
      <c r="C462" s="57"/>
      <c r="D462" s="58" t="b">
        <f t="shared" si="21"/>
        <v>1</v>
      </c>
      <c r="F462" s="58" t="str">
        <f t="shared" si="22"/>
        <v>000000-2024</v>
      </c>
      <c r="G462" s="39"/>
      <c r="H462" s="58" t="b">
        <f t="shared" si="23"/>
        <v>0</v>
      </c>
    </row>
    <row r="463" spans="2:8" x14ac:dyDescent="0.2">
      <c r="B463" s="40"/>
      <c r="C463" s="57"/>
      <c r="D463" s="58" t="b">
        <f t="shared" si="21"/>
        <v>1</v>
      </c>
      <c r="F463" s="58" t="str">
        <f t="shared" si="22"/>
        <v>000000-2024</v>
      </c>
      <c r="G463" s="39"/>
      <c r="H463" s="58" t="b">
        <f t="shared" si="23"/>
        <v>0</v>
      </c>
    </row>
    <row r="464" spans="2:8" x14ac:dyDescent="0.2">
      <c r="B464" s="40"/>
      <c r="C464" s="57"/>
      <c r="D464" s="58" t="b">
        <f t="shared" si="21"/>
        <v>1</v>
      </c>
      <c r="F464" s="58" t="str">
        <f t="shared" si="22"/>
        <v>000000-2024</v>
      </c>
      <c r="G464" s="39"/>
      <c r="H464" s="58" t="b">
        <f t="shared" si="23"/>
        <v>0</v>
      </c>
    </row>
    <row r="465" spans="2:8" x14ac:dyDescent="0.2">
      <c r="B465" s="40"/>
      <c r="C465" s="57"/>
      <c r="D465" s="58" t="b">
        <f t="shared" si="21"/>
        <v>1</v>
      </c>
      <c r="F465" s="58" t="str">
        <f t="shared" si="22"/>
        <v>000000-2024</v>
      </c>
      <c r="G465" s="39"/>
      <c r="H465" s="58" t="b">
        <f t="shared" si="23"/>
        <v>0</v>
      </c>
    </row>
    <row r="466" spans="2:8" x14ac:dyDescent="0.2">
      <c r="B466" s="40"/>
      <c r="C466" s="57"/>
      <c r="D466" s="58" t="b">
        <f t="shared" si="21"/>
        <v>1</v>
      </c>
      <c r="F466" s="58" t="str">
        <f t="shared" si="22"/>
        <v>000000-2024</v>
      </c>
      <c r="G466" s="39"/>
      <c r="H466" s="58" t="b">
        <f t="shared" si="23"/>
        <v>0</v>
      </c>
    </row>
    <row r="467" spans="2:8" ht="13.5" thickBot="1" x14ac:dyDescent="0.25">
      <c r="B467" s="60"/>
      <c r="C467" s="57"/>
      <c r="D467" s="58" t="b">
        <f t="shared" si="21"/>
        <v>1</v>
      </c>
      <c r="F467" s="58" t="str">
        <f t="shared" si="22"/>
        <v>000000-2024</v>
      </c>
      <c r="G467" s="61"/>
      <c r="H467" s="58" t="b">
        <f t="shared" si="23"/>
        <v>0</v>
      </c>
    </row>
    <row r="468" spans="2:8" x14ac:dyDescent="0.2">
      <c r="B468" s="64"/>
      <c r="C468" s="57"/>
      <c r="D468" s="58" t="b">
        <f t="shared" si="21"/>
        <v>1</v>
      </c>
      <c r="F468" s="58" t="str">
        <f t="shared" si="22"/>
        <v>000000-2024</v>
      </c>
      <c r="G468" s="65"/>
      <c r="H468" s="58" t="b">
        <f t="shared" si="23"/>
        <v>0</v>
      </c>
    </row>
    <row r="469" spans="2:8" x14ac:dyDescent="0.2">
      <c r="B469" s="40"/>
      <c r="C469" s="57"/>
      <c r="D469" s="58" t="b">
        <f t="shared" si="21"/>
        <v>1</v>
      </c>
      <c r="F469" s="58" t="str">
        <f t="shared" si="22"/>
        <v>000000-2024</v>
      </c>
      <c r="G469" s="39"/>
      <c r="H469" s="58" t="b">
        <f t="shared" si="23"/>
        <v>0</v>
      </c>
    </row>
    <row r="470" spans="2:8" x14ac:dyDescent="0.2">
      <c r="B470" s="40"/>
      <c r="C470" s="57"/>
      <c r="D470" s="58" t="b">
        <f t="shared" si="21"/>
        <v>1</v>
      </c>
      <c r="F470" s="58" t="str">
        <f t="shared" si="22"/>
        <v>000000-2024</v>
      </c>
      <c r="G470" s="39"/>
      <c r="H470" s="58" t="b">
        <f t="shared" si="23"/>
        <v>0</v>
      </c>
    </row>
    <row r="471" spans="2:8" x14ac:dyDescent="0.2">
      <c r="B471" s="40"/>
      <c r="C471" s="57"/>
      <c r="D471" s="58" t="b">
        <f t="shared" si="21"/>
        <v>1</v>
      </c>
      <c r="F471" s="58" t="str">
        <f t="shared" si="22"/>
        <v>000000-2024</v>
      </c>
      <c r="G471" s="39"/>
      <c r="H471" s="58" t="b">
        <f t="shared" si="23"/>
        <v>0</v>
      </c>
    </row>
    <row r="472" spans="2:8" x14ac:dyDescent="0.2">
      <c r="B472" s="62"/>
      <c r="C472" s="57"/>
      <c r="D472" s="58" t="b">
        <f t="shared" si="21"/>
        <v>1</v>
      </c>
      <c r="F472" s="58" t="str">
        <f t="shared" si="22"/>
        <v>000000-2024</v>
      </c>
      <c r="G472" s="39"/>
      <c r="H472" s="58" t="b">
        <f t="shared" si="23"/>
        <v>0</v>
      </c>
    </row>
    <row r="473" spans="2:8" x14ac:dyDescent="0.2">
      <c r="B473" s="40"/>
      <c r="C473" s="57"/>
      <c r="D473" s="58" t="b">
        <f t="shared" si="21"/>
        <v>1</v>
      </c>
      <c r="F473" s="58" t="str">
        <f t="shared" si="22"/>
        <v>000000-2024</v>
      </c>
      <c r="G473" s="39"/>
      <c r="H473" s="58" t="b">
        <f t="shared" si="23"/>
        <v>0</v>
      </c>
    </row>
    <row r="474" spans="2:8" x14ac:dyDescent="0.2">
      <c r="B474" s="40"/>
      <c r="C474" s="57"/>
      <c r="D474" s="58" t="b">
        <f t="shared" si="21"/>
        <v>1</v>
      </c>
      <c r="F474" s="58" t="str">
        <f t="shared" si="22"/>
        <v>000000-2024</v>
      </c>
      <c r="G474" s="39"/>
      <c r="H474" s="58" t="b">
        <f t="shared" si="23"/>
        <v>0</v>
      </c>
    </row>
    <row r="475" spans="2:8" x14ac:dyDescent="0.2">
      <c r="B475" s="40"/>
      <c r="C475" s="57"/>
      <c r="D475" s="58" t="b">
        <f t="shared" si="21"/>
        <v>1</v>
      </c>
      <c r="F475" s="58" t="str">
        <f t="shared" si="22"/>
        <v>000000-2024</v>
      </c>
      <c r="G475" s="39"/>
      <c r="H475" s="58" t="b">
        <f t="shared" si="23"/>
        <v>0</v>
      </c>
    </row>
    <row r="476" spans="2:8" x14ac:dyDescent="0.2">
      <c r="B476" s="40"/>
      <c r="C476" s="57"/>
      <c r="D476" s="58" t="b">
        <f t="shared" si="21"/>
        <v>1</v>
      </c>
      <c r="F476" s="58" t="str">
        <f t="shared" si="22"/>
        <v>000000-2024</v>
      </c>
      <c r="G476" s="39"/>
      <c r="H476" s="58" t="b">
        <f t="shared" si="23"/>
        <v>0</v>
      </c>
    </row>
    <row r="477" spans="2:8" x14ac:dyDescent="0.2">
      <c r="B477" s="40"/>
      <c r="C477" s="57"/>
      <c r="D477" s="58" t="b">
        <f t="shared" si="21"/>
        <v>1</v>
      </c>
      <c r="F477" s="58" t="str">
        <f t="shared" si="22"/>
        <v>000000-2024</v>
      </c>
      <c r="G477" s="39"/>
      <c r="H477" s="58" t="b">
        <f t="shared" si="23"/>
        <v>0</v>
      </c>
    </row>
    <row r="478" spans="2:8" x14ac:dyDescent="0.2">
      <c r="B478" s="40"/>
      <c r="C478" s="57"/>
      <c r="D478" s="58" t="b">
        <f t="shared" si="21"/>
        <v>1</v>
      </c>
      <c r="F478" s="58" t="str">
        <f t="shared" si="22"/>
        <v>000000-2024</v>
      </c>
      <c r="G478" s="39"/>
      <c r="H478" s="58" t="b">
        <f t="shared" si="23"/>
        <v>0</v>
      </c>
    </row>
    <row r="479" spans="2:8" x14ac:dyDescent="0.2">
      <c r="B479" s="40"/>
      <c r="C479" s="57"/>
      <c r="D479" s="58" t="b">
        <f t="shared" si="21"/>
        <v>1</v>
      </c>
      <c r="F479" s="58" t="str">
        <f t="shared" si="22"/>
        <v>000000-2024</v>
      </c>
      <c r="G479" s="39"/>
      <c r="H479" s="58" t="b">
        <f t="shared" si="23"/>
        <v>0</v>
      </c>
    </row>
    <row r="480" spans="2:8" x14ac:dyDescent="0.2">
      <c r="B480" s="40"/>
      <c r="C480" s="57"/>
      <c r="D480" s="58" t="b">
        <f t="shared" si="21"/>
        <v>1</v>
      </c>
      <c r="F480" s="58" t="str">
        <f t="shared" si="22"/>
        <v>000000-2024</v>
      </c>
      <c r="G480" s="39"/>
      <c r="H480" s="58" t="b">
        <f t="shared" si="23"/>
        <v>0</v>
      </c>
    </row>
    <row r="481" spans="2:8" x14ac:dyDescent="0.2">
      <c r="B481" s="40"/>
      <c r="C481" s="57"/>
      <c r="D481" s="58" t="b">
        <f t="shared" si="21"/>
        <v>1</v>
      </c>
      <c r="F481" s="58" t="str">
        <f t="shared" si="22"/>
        <v>000000-2024</v>
      </c>
      <c r="G481" s="39"/>
      <c r="H481" s="58" t="b">
        <f t="shared" si="23"/>
        <v>0</v>
      </c>
    </row>
    <row r="482" spans="2:8" x14ac:dyDescent="0.2">
      <c r="B482" s="40"/>
      <c r="C482" s="57"/>
      <c r="D482" s="58" t="b">
        <f t="shared" si="21"/>
        <v>1</v>
      </c>
      <c r="F482" s="58" t="str">
        <f t="shared" si="22"/>
        <v>000000-2024</v>
      </c>
      <c r="G482" s="39"/>
      <c r="H482" s="58" t="b">
        <f t="shared" si="23"/>
        <v>0</v>
      </c>
    </row>
    <row r="483" spans="2:8" ht="13.5" thickBot="1" x14ac:dyDescent="0.25">
      <c r="B483" s="60"/>
      <c r="C483" s="57"/>
      <c r="D483" s="58" t="b">
        <f t="shared" si="21"/>
        <v>1</v>
      </c>
      <c r="F483" s="58" t="str">
        <f t="shared" si="22"/>
        <v>000000-2024</v>
      </c>
      <c r="G483" s="61"/>
      <c r="H483" s="58" t="b">
        <f t="shared" si="23"/>
        <v>0</v>
      </c>
    </row>
    <row r="484" spans="2:8" x14ac:dyDescent="0.2">
      <c r="B484" s="64"/>
      <c r="C484" s="57"/>
      <c r="D484" s="58" t="b">
        <f t="shared" si="21"/>
        <v>1</v>
      </c>
      <c r="F484" s="58" t="str">
        <f t="shared" si="22"/>
        <v>000000-2024</v>
      </c>
      <c r="G484" s="65"/>
      <c r="H484" s="58" t="b">
        <f t="shared" si="23"/>
        <v>0</v>
      </c>
    </row>
    <row r="485" spans="2:8" x14ac:dyDescent="0.2">
      <c r="B485" s="40"/>
      <c r="C485" s="57"/>
      <c r="D485" s="58" t="b">
        <f t="shared" si="21"/>
        <v>1</v>
      </c>
      <c r="F485" s="58" t="str">
        <f t="shared" si="22"/>
        <v>000000-2024</v>
      </c>
      <c r="G485" s="39"/>
      <c r="H485" s="58" t="b">
        <f t="shared" si="23"/>
        <v>0</v>
      </c>
    </row>
    <row r="486" spans="2:8" x14ac:dyDescent="0.2">
      <c r="B486" s="40"/>
      <c r="C486" s="57"/>
      <c r="D486" s="58" t="b">
        <f t="shared" si="21"/>
        <v>1</v>
      </c>
      <c r="F486" s="58" t="str">
        <f t="shared" si="22"/>
        <v>000000-2024</v>
      </c>
      <c r="G486" s="39"/>
      <c r="H486" s="58" t="b">
        <f t="shared" si="23"/>
        <v>0</v>
      </c>
    </row>
    <row r="487" spans="2:8" x14ac:dyDescent="0.2">
      <c r="B487" s="40"/>
      <c r="C487" s="57"/>
      <c r="D487" s="58" t="b">
        <f t="shared" si="21"/>
        <v>1</v>
      </c>
      <c r="F487" s="58" t="str">
        <f t="shared" si="22"/>
        <v>000000-2024</v>
      </c>
      <c r="G487" s="39"/>
      <c r="H487" s="58" t="b">
        <f t="shared" si="23"/>
        <v>0</v>
      </c>
    </row>
    <row r="488" spans="2:8" x14ac:dyDescent="0.2">
      <c r="B488" s="40"/>
      <c r="C488" s="57"/>
      <c r="D488" s="58" t="b">
        <f t="shared" si="21"/>
        <v>1</v>
      </c>
      <c r="F488" s="58" t="str">
        <f t="shared" si="22"/>
        <v>000000-2024</v>
      </c>
      <c r="G488" s="39"/>
      <c r="H488" s="58" t="b">
        <f t="shared" si="23"/>
        <v>0</v>
      </c>
    </row>
    <row r="489" spans="2:8" x14ac:dyDescent="0.2">
      <c r="B489" s="40"/>
      <c r="C489" s="57"/>
      <c r="D489" s="58" t="b">
        <f t="shared" si="21"/>
        <v>1</v>
      </c>
      <c r="F489" s="58" t="str">
        <f t="shared" si="22"/>
        <v>000000-2024</v>
      </c>
      <c r="G489" s="39"/>
      <c r="H489" s="58" t="b">
        <f t="shared" si="23"/>
        <v>0</v>
      </c>
    </row>
    <row r="490" spans="2:8" x14ac:dyDescent="0.2">
      <c r="B490" s="40"/>
      <c r="C490" s="57"/>
      <c r="D490" s="58" t="b">
        <f t="shared" si="21"/>
        <v>1</v>
      </c>
      <c r="F490" s="58" t="str">
        <f t="shared" si="22"/>
        <v>000000-2024</v>
      </c>
      <c r="G490" s="39"/>
      <c r="H490" s="58" t="b">
        <f t="shared" si="23"/>
        <v>0</v>
      </c>
    </row>
    <row r="491" spans="2:8" x14ac:dyDescent="0.2">
      <c r="B491" s="62"/>
      <c r="C491" s="57"/>
      <c r="D491" s="58" t="b">
        <f t="shared" si="21"/>
        <v>1</v>
      </c>
      <c r="F491" s="58" t="str">
        <f t="shared" si="22"/>
        <v>000000-2024</v>
      </c>
      <c r="G491" s="39"/>
      <c r="H491" s="58" t="b">
        <f t="shared" si="23"/>
        <v>0</v>
      </c>
    </row>
    <row r="492" spans="2:8" x14ac:dyDescent="0.2">
      <c r="B492" s="40"/>
      <c r="C492" s="57"/>
      <c r="D492" s="58" t="b">
        <f t="shared" si="21"/>
        <v>1</v>
      </c>
      <c r="F492" s="58" t="str">
        <f t="shared" si="22"/>
        <v>000000-2024</v>
      </c>
      <c r="G492" s="39"/>
      <c r="H492" s="58" t="b">
        <f t="shared" si="23"/>
        <v>0</v>
      </c>
    </row>
    <row r="493" spans="2:8" x14ac:dyDescent="0.2">
      <c r="B493" s="40"/>
      <c r="C493" s="57"/>
      <c r="D493" s="58" t="b">
        <f t="shared" si="21"/>
        <v>1</v>
      </c>
      <c r="F493" s="58" t="str">
        <f t="shared" si="22"/>
        <v>000000-2024</v>
      </c>
      <c r="G493" s="39"/>
      <c r="H493" s="58" t="b">
        <f t="shared" si="23"/>
        <v>0</v>
      </c>
    </row>
    <row r="494" spans="2:8" x14ac:dyDescent="0.2">
      <c r="B494" s="40"/>
      <c r="C494" s="57"/>
      <c r="D494" s="58" t="b">
        <f t="shared" si="21"/>
        <v>1</v>
      </c>
      <c r="F494" s="58" t="str">
        <f t="shared" si="22"/>
        <v>000000-2024</v>
      </c>
      <c r="G494" s="39"/>
      <c r="H494" s="58" t="b">
        <f t="shared" si="23"/>
        <v>0</v>
      </c>
    </row>
    <row r="495" spans="2:8" x14ac:dyDescent="0.2">
      <c r="B495" s="62"/>
      <c r="C495" s="57"/>
      <c r="D495" s="58" t="b">
        <f t="shared" si="21"/>
        <v>1</v>
      </c>
      <c r="F495" s="58" t="str">
        <f t="shared" si="22"/>
        <v>000000-2024</v>
      </c>
      <c r="G495" s="39"/>
      <c r="H495" s="58" t="b">
        <f t="shared" si="23"/>
        <v>0</v>
      </c>
    </row>
    <row r="496" spans="2:8" x14ac:dyDescent="0.2">
      <c r="B496" s="40"/>
      <c r="C496" s="57"/>
      <c r="D496" s="58" t="b">
        <f t="shared" si="21"/>
        <v>1</v>
      </c>
      <c r="F496" s="58" t="str">
        <f t="shared" si="22"/>
        <v>000000-2024</v>
      </c>
      <c r="G496" s="39"/>
      <c r="H496" s="58" t="b">
        <f t="shared" si="23"/>
        <v>0</v>
      </c>
    </row>
    <row r="497" spans="2:8" x14ac:dyDescent="0.2">
      <c r="B497" s="40"/>
      <c r="C497" s="57"/>
      <c r="D497" s="58" t="b">
        <f t="shared" si="21"/>
        <v>1</v>
      </c>
      <c r="F497" s="58" t="str">
        <f t="shared" si="22"/>
        <v>000000-2024</v>
      </c>
      <c r="G497" s="39"/>
      <c r="H497" s="58" t="b">
        <f t="shared" si="23"/>
        <v>0</v>
      </c>
    </row>
    <row r="498" spans="2:8" x14ac:dyDescent="0.2">
      <c r="B498" s="62"/>
      <c r="C498" s="57"/>
      <c r="D498" s="58" t="b">
        <f t="shared" si="21"/>
        <v>1</v>
      </c>
      <c r="F498" s="58" t="str">
        <f t="shared" si="22"/>
        <v>000000-2024</v>
      </c>
      <c r="G498" s="39"/>
      <c r="H498" s="58" t="b">
        <f t="shared" si="23"/>
        <v>0</v>
      </c>
    </row>
    <row r="499" spans="2:8" ht="13.5" thickBot="1" x14ac:dyDescent="0.25">
      <c r="B499" s="60"/>
      <c r="C499" s="57"/>
      <c r="D499" s="58" t="b">
        <f t="shared" si="21"/>
        <v>1</v>
      </c>
      <c r="F499" s="58" t="str">
        <f t="shared" si="22"/>
        <v>000000-2024</v>
      </c>
      <c r="G499" s="61"/>
      <c r="H499" s="58" t="b">
        <f t="shared" si="23"/>
        <v>0</v>
      </c>
    </row>
    <row r="500" spans="2:8" x14ac:dyDescent="0.2">
      <c r="B500" s="40"/>
      <c r="C500" s="57"/>
      <c r="D500" s="58" t="b">
        <f t="shared" si="21"/>
        <v>1</v>
      </c>
      <c r="F500" s="58" t="str">
        <f t="shared" si="22"/>
        <v>000000-2024</v>
      </c>
      <c r="G500" s="39"/>
      <c r="H500" s="58" t="b">
        <f t="shared" si="23"/>
        <v>0</v>
      </c>
    </row>
    <row r="501" spans="2:8" x14ac:dyDescent="0.2">
      <c r="B501" s="40"/>
      <c r="C501" s="57"/>
      <c r="D501" s="58" t="b">
        <f t="shared" si="21"/>
        <v>1</v>
      </c>
      <c r="F501" s="58" t="str">
        <f t="shared" si="22"/>
        <v>000000-2024</v>
      </c>
      <c r="G501" s="39"/>
      <c r="H501" s="58" t="b">
        <f t="shared" si="23"/>
        <v>0</v>
      </c>
    </row>
    <row r="502" spans="2:8" x14ac:dyDescent="0.2">
      <c r="B502" s="40"/>
      <c r="C502" s="57"/>
      <c r="D502" s="58" t="b">
        <f t="shared" si="21"/>
        <v>1</v>
      </c>
      <c r="F502" s="58" t="str">
        <f t="shared" si="22"/>
        <v>000000-2024</v>
      </c>
      <c r="G502" s="39"/>
      <c r="H502" s="58" t="b">
        <f t="shared" si="23"/>
        <v>0</v>
      </c>
    </row>
    <row r="503" spans="2:8" x14ac:dyDescent="0.2">
      <c r="B503" s="40"/>
      <c r="C503" s="57"/>
      <c r="D503" s="58" t="b">
        <f t="shared" si="21"/>
        <v>1</v>
      </c>
      <c r="F503" s="58" t="str">
        <f t="shared" si="22"/>
        <v>000000-2024</v>
      </c>
      <c r="G503" s="67"/>
      <c r="H503" s="58" t="b">
        <f t="shared" si="23"/>
        <v>0</v>
      </c>
    </row>
    <row r="504" spans="2:8" x14ac:dyDescent="0.2">
      <c r="B504" s="40"/>
      <c r="C504" s="57"/>
      <c r="D504" s="58" t="b">
        <f t="shared" si="21"/>
        <v>1</v>
      </c>
      <c r="F504" s="58" t="str">
        <f t="shared" si="22"/>
        <v>000000-2024</v>
      </c>
      <c r="G504" s="39"/>
      <c r="H504" s="58" t="b">
        <f t="shared" si="23"/>
        <v>0</v>
      </c>
    </row>
    <row r="505" spans="2:8" x14ac:dyDescent="0.2">
      <c r="B505" s="40"/>
      <c r="C505" s="57"/>
      <c r="D505" s="58" t="b">
        <f t="shared" si="21"/>
        <v>1</v>
      </c>
      <c r="F505" s="58" t="str">
        <f t="shared" si="22"/>
        <v>000000-2024</v>
      </c>
      <c r="G505" s="68"/>
      <c r="H505" s="58" t="b">
        <f t="shared" si="23"/>
        <v>0</v>
      </c>
    </row>
    <row r="506" spans="2:8" x14ac:dyDescent="0.2">
      <c r="B506" s="40"/>
      <c r="C506" s="57"/>
      <c r="D506" s="58" t="b">
        <f t="shared" si="21"/>
        <v>1</v>
      </c>
      <c r="F506" s="58" t="str">
        <f t="shared" si="22"/>
        <v>000000-2024</v>
      </c>
      <c r="G506" s="39"/>
      <c r="H506" s="58" t="b">
        <f t="shared" si="23"/>
        <v>0</v>
      </c>
    </row>
    <row r="507" spans="2:8" x14ac:dyDescent="0.2">
      <c r="B507" s="40"/>
      <c r="C507" s="57"/>
      <c r="D507" s="58" t="b">
        <f t="shared" si="21"/>
        <v>1</v>
      </c>
      <c r="F507" s="58" t="str">
        <f t="shared" si="22"/>
        <v>000000-2024</v>
      </c>
      <c r="G507" s="39"/>
      <c r="H507" s="58" t="b">
        <f t="shared" si="23"/>
        <v>0</v>
      </c>
    </row>
    <row r="508" spans="2:8" x14ac:dyDescent="0.2">
      <c r="B508" s="40"/>
      <c r="C508" s="57"/>
      <c r="D508" s="58" t="b">
        <f t="shared" si="21"/>
        <v>1</v>
      </c>
      <c r="F508" s="58" t="str">
        <f t="shared" si="22"/>
        <v>000000-2024</v>
      </c>
      <c r="G508" s="39"/>
      <c r="H508" s="58" t="b">
        <f t="shared" si="23"/>
        <v>0</v>
      </c>
    </row>
    <row r="509" spans="2:8" x14ac:dyDescent="0.2">
      <c r="B509" s="40"/>
      <c r="C509" s="57"/>
      <c r="D509" s="58" t="b">
        <f t="shared" si="21"/>
        <v>1</v>
      </c>
      <c r="F509" s="58" t="str">
        <f t="shared" si="22"/>
        <v>000000-2024</v>
      </c>
      <c r="G509" s="39"/>
      <c r="H509" s="58" t="b">
        <f t="shared" si="23"/>
        <v>0</v>
      </c>
    </row>
    <row r="510" spans="2:8" x14ac:dyDescent="0.2">
      <c r="B510" s="40"/>
      <c r="C510" s="57"/>
      <c r="D510" s="58" t="b">
        <f t="shared" si="21"/>
        <v>1</v>
      </c>
      <c r="F510" s="58" t="str">
        <f t="shared" si="22"/>
        <v>000000-2024</v>
      </c>
      <c r="G510" s="39"/>
      <c r="H510" s="58" t="b">
        <f t="shared" si="23"/>
        <v>0</v>
      </c>
    </row>
    <row r="511" spans="2:8" x14ac:dyDescent="0.2">
      <c r="B511" s="40"/>
      <c r="C511" s="57"/>
      <c r="D511" s="58" t="b">
        <f t="shared" si="21"/>
        <v>1</v>
      </c>
      <c r="F511" s="58" t="str">
        <f t="shared" si="22"/>
        <v>000000-2024</v>
      </c>
      <c r="G511" s="39"/>
      <c r="H511" s="58" t="b">
        <f t="shared" si="23"/>
        <v>0</v>
      </c>
    </row>
    <row r="512" spans="2:8" x14ac:dyDescent="0.2">
      <c r="B512" s="40"/>
      <c r="C512" s="57"/>
      <c r="D512" s="58" t="b">
        <f t="shared" si="21"/>
        <v>1</v>
      </c>
      <c r="F512" s="58" t="str">
        <f t="shared" si="22"/>
        <v>000000-2024</v>
      </c>
      <c r="G512" s="39"/>
      <c r="H512" s="58" t="b">
        <f t="shared" si="23"/>
        <v>0</v>
      </c>
    </row>
    <row r="513" spans="2:8" x14ac:dyDescent="0.2">
      <c r="B513" s="40"/>
      <c r="C513" s="57"/>
      <c r="D513" s="58" t="b">
        <f t="shared" si="21"/>
        <v>1</v>
      </c>
      <c r="F513" s="58" t="str">
        <f t="shared" si="22"/>
        <v>000000-2024</v>
      </c>
      <c r="G513" s="39"/>
      <c r="H513" s="58" t="b">
        <f t="shared" si="23"/>
        <v>0</v>
      </c>
    </row>
    <row r="514" spans="2:8" x14ac:dyDescent="0.2">
      <c r="B514" s="40"/>
      <c r="C514" s="57"/>
      <c r="D514" s="58" t="b">
        <f t="shared" si="21"/>
        <v>1</v>
      </c>
      <c r="F514" s="58" t="str">
        <f t="shared" si="22"/>
        <v>000000-2024</v>
      </c>
      <c r="G514" s="39"/>
      <c r="H514" s="58" t="b">
        <f t="shared" si="23"/>
        <v>0</v>
      </c>
    </row>
    <row r="515" spans="2:8" ht="13.5" thickBot="1" x14ac:dyDescent="0.25">
      <c r="B515" s="60"/>
      <c r="C515" s="57"/>
      <c r="D515" s="58" t="b">
        <f t="shared" si="21"/>
        <v>1</v>
      </c>
      <c r="F515" s="58" t="str">
        <f t="shared" si="22"/>
        <v>000000-2024</v>
      </c>
      <c r="G515" s="61"/>
      <c r="H515" s="58" t="b">
        <f t="shared" si="23"/>
        <v>0</v>
      </c>
    </row>
    <row r="516" spans="2:8" x14ac:dyDescent="0.2">
      <c r="B516" s="69"/>
      <c r="C516" s="57"/>
      <c r="D516" s="58" t="b">
        <f t="shared" si="21"/>
        <v>1</v>
      </c>
      <c r="F516" s="58" t="str">
        <f t="shared" si="22"/>
        <v>000000-2024</v>
      </c>
      <c r="G516" s="68"/>
      <c r="H516" s="58" t="b">
        <f t="shared" si="23"/>
        <v>0</v>
      </c>
    </row>
    <row r="517" spans="2:8" x14ac:dyDescent="0.2">
      <c r="B517" s="40"/>
      <c r="C517" s="57"/>
      <c r="D517" s="58" t="b">
        <f t="shared" ref="D517:D580" si="24">B517=C517</f>
        <v>1</v>
      </c>
      <c r="F517" s="58" t="str">
        <f t="shared" ref="F517:F580" si="25">TEXT(E517,"000000")&amp;"-2024"</f>
        <v>000000-2024</v>
      </c>
      <c r="G517" s="39"/>
      <c r="H517" s="58" t="b">
        <f t="shared" ref="H517:H580" si="26">F517=G517</f>
        <v>0</v>
      </c>
    </row>
    <row r="518" spans="2:8" x14ac:dyDescent="0.2">
      <c r="B518" s="40"/>
      <c r="C518" s="57"/>
      <c r="D518" s="58" t="b">
        <f t="shared" si="24"/>
        <v>1</v>
      </c>
      <c r="F518" s="58" t="str">
        <f t="shared" si="25"/>
        <v>000000-2024</v>
      </c>
      <c r="G518" s="39"/>
      <c r="H518" s="58" t="b">
        <f t="shared" si="26"/>
        <v>0</v>
      </c>
    </row>
    <row r="519" spans="2:8" x14ac:dyDescent="0.2">
      <c r="B519" s="40"/>
      <c r="C519" s="57"/>
      <c r="D519" s="58" t="b">
        <f t="shared" si="24"/>
        <v>1</v>
      </c>
      <c r="F519" s="58" t="str">
        <f t="shared" si="25"/>
        <v>000000-2024</v>
      </c>
      <c r="G519" s="39"/>
      <c r="H519" s="58" t="b">
        <f t="shared" si="26"/>
        <v>0</v>
      </c>
    </row>
    <row r="520" spans="2:8" x14ac:dyDescent="0.2">
      <c r="B520" s="40"/>
      <c r="C520" s="57"/>
      <c r="D520" s="58" t="b">
        <f t="shared" si="24"/>
        <v>1</v>
      </c>
      <c r="F520" s="58" t="str">
        <f t="shared" si="25"/>
        <v>000000-2024</v>
      </c>
      <c r="G520" s="39"/>
      <c r="H520" s="58" t="b">
        <f t="shared" si="26"/>
        <v>0</v>
      </c>
    </row>
    <row r="521" spans="2:8" x14ac:dyDescent="0.2">
      <c r="B521" s="40"/>
      <c r="C521" s="57"/>
      <c r="D521" s="58" t="b">
        <f t="shared" si="24"/>
        <v>1</v>
      </c>
      <c r="F521" s="58" t="str">
        <f t="shared" si="25"/>
        <v>000000-2024</v>
      </c>
      <c r="G521" s="39"/>
      <c r="H521" s="58" t="b">
        <f t="shared" si="26"/>
        <v>0</v>
      </c>
    </row>
    <row r="522" spans="2:8" x14ac:dyDescent="0.2">
      <c r="B522" s="40"/>
      <c r="C522" s="57"/>
      <c r="D522" s="58" t="b">
        <f t="shared" si="24"/>
        <v>1</v>
      </c>
      <c r="F522" s="58" t="str">
        <f t="shared" si="25"/>
        <v>000000-2024</v>
      </c>
      <c r="G522" s="39"/>
      <c r="H522" s="58" t="b">
        <f t="shared" si="26"/>
        <v>0</v>
      </c>
    </row>
    <row r="523" spans="2:8" x14ac:dyDescent="0.2">
      <c r="B523" s="40"/>
      <c r="C523" s="57"/>
      <c r="D523" s="58" t="b">
        <f t="shared" si="24"/>
        <v>1</v>
      </c>
      <c r="F523" s="58" t="str">
        <f t="shared" si="25"/>
        <v>000000-2024</v>
      </c>
      <c r="G523" s="39"/>
      <c r="H523" s="58" t="b">
        <f t="shared" si="26"/>
        <v>0</v>
      </c>
    </row>
    <row r="524" spans="2:8" x14ac:dyDescent="0.2">
      <c r="B524" s="40"/>
      <c r="C524" s="57"/>
      <c r="D524" s="58" t="b">
        <f t="shared" si="24"/>
        <v>1</v>
      </c>
      <c r="F524" s="58" t="str">
        <f t="shared" si="25"/>
        <v>000000-2024</v>
      </c>
      <c r="G524" s="39"/>
      <c r="H524" s="58" t="b">
        <f t="shared" si="26"/>
        <v>0</v>
      </c>
    </row>
    <row r="525" spans="2:8" x14ac:dyDescent="0.2">
      <c r="B525" s="40"/>
      <c r="C525" s="57"/>
      <c r="D525" s="58" t="b">
        <f t="shared" si="24"/>
        <v>1</v>
      </c>
      <c r="F525" s="58" t="str">
        <f t="shared" si="25"/>
        <v>000000-2024</v>
      </c>
      <c r="G525" s="39"/>
      <c r="H525" s="58" t="b">
        <f t="shared" si="26"/>
        <v>0</v>
      </c>
    </row>
    <row r="526" spans="2:8" x14ac:dyDescent="0.2">
      <c r="B526" s="62"/>
      <c r="C526" s="57"/>
      <c r="D526" s="58" t="b">
        <f t="shared" si="24"/>
        <v>1</v>
      </c>
      <c r="F526" s="58" t="str">
        <f t="shared" si="25"/>
        <v>000000-2024</v>
      </c>
      <c r="G526" s="39"/>
      <c r="H526" s="58" t="b">
        <f t="shared" si="26"/>
        <v>0</v>
      </c>
    </row>
    <row r="527" spans="2:8" x14ac:dyDescent="0.2">
      <c r="B527" s="40"/>
      <c r="C527" s="57"/>
      <c r="D527" s="58" t="b">
        <f t="shared" si="24"/>
        <v>1</v>
      </c>
      <c r="F527" s="58" t="str">
        <f t="shared" si="25"/>
        <v>000000-2024</v>
      </c>
      <c r="G527" s="39"/>
      <c r="H527" s="58" t="b">
        <f t="shared" si="26"/>
        <v>0</v>
      </c>
    </row>
    <row r="528" spans="2:8" x14ac:dyDescent="0.2">
      <c r="B528" s="40"/>
      <c r="C528" s="57"/>
      <c r="D528" s="58" t="b">
        <f t="shared" si="24"/>
        <v>1</v>
      </c>
      <c r="F528" s="58" t="str">
        <f t="shared" si="25"/>
        <v>000000-2024</v>
      </c>
      <c r="G528" s="39"/>
      <c r="H528" s="58" t="b">
        <f t="shared" si="26"/>
        <v>0</v>
      </c>
    </row>
    <row r="529" spans="2:8" x14ac:dyDescent="0.2">
      <c r="B529" s="40"/>
      <c r="C529" s="57"/>
      <c r="D529" s="58" t="b">
        <f t="shared" si="24"/>
        <v>1</v>
      </c>
      <c r="F529" s="58" t="str">
        <f t="shared" si="25"/>
        <v>000000-2024</v>
      </c>
      <c r="G529" s="39"/>
      <c r="H529" s="58" t="b">
        <f t="shared" si="26"/>
        <v>0</v>
      </c>
    </row>
    <row r="530" spans="2:8" x14ac:dyDescent="0.2">
      <c r="B530" s="40"/>
      <c r="C530" s="57"/>
      <c r="D530" s="58" t="b">
        <f t="shared" si="24"/>
        <v>1</v>
      </c>
      <c r="F530" s="58" t="str">
        <f t="shared" si="25"/>
        <v>000000-2024</v>
      </c>
      <c r="G530" s="39"/>
      <c r="H530" s="58" t="b">
        <f t="shared" si="26"/>
        <v>0</v>
      </c>
    </row>
    <row r="531" spans="2:8" ht="13.5" thickBot="1" x14ac:dyDescent="0.25">
      <c r="B531" s="60"/>
      <c r="C531" s="57"/>
      <c r="D531" s="58" t="b">
        <f t="shared" si="24"/>
        <v>1</v>
      </c>
      <c r="F531" s="58" t="str">
        <f t="shared" si="25"/>
        <v>000000-2024</v>
      </c>
      <c r="G531" s="61"/>
      <c r="H531" s="58" t="b">
        <f t="shared" si="26"/>
        <v>0</v>
      </c>
    </row>
    <row r="532" spans="2:8" x14ac:dyDescent="0.2">
      <c r="B532" s="69"/>
      <c r="C532" s="57"/>
      <c r="D532" s="58" t="b">
        <f t="shared" si="24"/>
        <v>1</v>
      </c>
      <c r="F532" s="58" t="str">
        <f t="shared" si="25"/>
        <v>000000-2024</v>
      </c>
      <c r="G532" s="68"/>
      <c r="H532" s="58" t="b">
        <f t="shared" si="26"/>
        <v>0</v>
      </c>
    </row>
    <row r="533" spans="2:8" x14ac:dyDescent="0.2">
      <c r="B533" s="40"/>
      <c r="C533" s="57"/>
      <c r="D533" s="58" t="b">
        <f t="shared" si="24"/>
        <v>1</v>
      </c>
      <c r="F533" s="58" t="str">
        <f t="shared" si="25"/>
        <v>000000-2024</v>
      </c>
      <c r="G533" s="39"/>
      <c r="H533" s="58" t="b">
        <f t="shared" si="26"/>
        <v>0</v>
      </c>
    </row>
    <row r="534" spans="2:8" x14ac:dyDescent="0.2">
      <c r="B534" s="40"/>
      <c r="C534" s="57"/>
      <c r="D534" s="58" t="b">
        <f t="shared" si="24"/>
        <v>1</v>
      </c>
      <c r="F534" s="58" t="str">
        <f t="shared" si="25"/>
        <v>000000-2024</v>
      </c>
      <c r="G534" s="39"/>
      <c r="H534" s="58" t="b">
        <f t="shared" si="26"/>
        <v>0</v>
      </c>
    </row>
    <row r="535" spans="2:8" x14ac:dyDescent="0.2">
      <c r="B535" s="40"/>
      <c r="C535" s="57"/>
      <c r="D535" s="58" t="b">
        <f t="shared" si="24"/>
        <v>1</v>
      </c>
      <c r="F535" s="58" t="str">
        <f t="shared" si="25"/>
        <v>000000-2024</v>
      </c>
      <c r="G535" s="39"/>
      <c r="H535" s="58" t="b">
        <f t="shared" si="26"/>
        <v>0</v>
      </c>
    </row>
    <row r="536" spans="2:8" x14ac:dyDescent="0.2">
      <c r="B536" s="62"/>
      <c r="C536" s="57"/>
      <c r="D536" s="58" t="b">
        <f t="shared" si="24"/>
        <v>1</v>
      </c>
      <c r="F536" s="58" t="str">
        <f t="shared" si="25"/>
        <v>000000-2024</v>
      </c>
      <c r="G536" s="39"/>
      <c r="H536" s="58" t="b">
        <f t="shared" si="26"/>
        <v>0</v>
      </c>
    </row>
    <row r="537" spans="2:8" x14ac:dyDescent="0.2">
      <c r="B537" s="62"/>
      <c r="C537" s="57"/>
      <c r="D537" s="58" t="b">
        <f t="shared" si="24"/>
        <v>1</v>
      </c>
      <c r="F537" s="58" t="str">
        <f t="shared" si="25"/>
        <v>000000-2024</v>
      </c>
      <c r="G537" s="39"/>
      <c r="H537" s="58" t="b">
        <f t="shared" si="26"/>
        <v>0</v>
      </c>
    </row>
    <row r="538" spans="2:8" x14ac:dyDescent="0.2">
      <c r="B538" s="62"/>
      <c r="C538" s="57"/>
      <c r="D538" s="58" t="b">
        <f t="shared" si="24"/>
        <v>1</v>
      </c>
      <c r="F538" s="58" t="str">
        <f t="shared" si="25"/>
        <v>000000-2024</v>
      </c>
      <c r="G538" s="39"/>
      <c r="H538" s="58" t="b">
        <f t="shared" si="26"/>
        <v>0</v>
      </c>
    </row>
    <row r="539" spans="2:8" x14ac:dyDescent="0.2">
      <c r="B539" s="40"/>
      <c r="C539" s="57"/>
      <c r="D539" s="58" t="b">
        <f t="shared" si="24"/>
        <v>1</v>
      </c>
      <c r="F539" s="58" t="str">
        <f t="shared" si="25"/>
        <v>000000-2024</v>
      </c>
      <c r="G539" s="39"/>
      <c r="H539" s="58" t="b">
        <f t="shared" si="26"/>
        <v>0</v>
      </c>
    </row>
    <row r="540" spans="2:8" x14ac:dyDescent="0.2">
      <c r="B540" s="40"/>
      <c r="C540" s="57"/>
      <c r="D540" s="58" t="b">
        <f t="shared" si="24"/>
        <v>1</v>
      </c>
      <c r="F540" s="58" t="str">
        <f t="shared" si="25"/>
        <v>000000-2024</v>
      </c>
      <c r="G540" s="39"/>
      <c r="H540" s="58" t="b">
        <f t="shared" si="26"/>
        <v>0</v>
      </c>
    </row>
    <row r="541" spans="2:8" x14ac:dyDescent="0.2">
      <c r="B541" s="40"/>
      <c r="C541" s="57"/>
      <c r="D541" s="58" t="b">
        <f t="shared" si="24"/>
        <v>1</v>
      </c>
      <c r="F541" s="58" t="str">
        <f t="shared" si="25"/>
        <v>000000-2024</v>
      </c>
      <c r="G541" s="39"/>
      <c r="H541" s="58" t="b">
        <f t="shared" si="26"/>
        <v>0</v>
      </c>
    </row>
    <row r="542" spans="2:8" x14ac:dyDescent="0.2">
      <c r="B542" s="40"/>
      <c r="C542" s="57"/>
      <c r="D542" s="58" t="b">
        <f t="shared" si="24"/>
        <v>1</v>
      </c>
      <c r="F542" s="58" t="str">
        <f t="shared" si="25"/>
        <v>000000-2024</v>
      </c>
      <c r="G542" s="39"/>
      <c r="H542" s="58" t="b">
        <f t="shared" si="26"/>
        <v>0</v>
      </c>
    </row>
    <row r="543" spans="2:8" ht="13.5" thickBot="1" x14ac:dyDescent="0.25">
      <c r="B543" s="63"/>
      <c r="C543" s="57"/>
      <c r="D543" s="58" t="b">
        <f t="shared" si="24"/>
        <v>1</v>
      </c>
      <c r="F543" s="58" t="str">
        <f t="shared" si="25"/>
        <v>000000-2024</v>
      </c>
      <c r="G543" s="61"/>
      <c r="H543" s="58" t="b">
        <f t="shared" si="26"/>
        <v>0</v>
      </c>
    </row>
    <row r="544" spans="2:8" x14ac:dyDescent="0.2">
      <c r="B544" s="64"/>
      <c r="C544" s="57"/>
      <c r="D544" s="58" t="b">
        <f t="shared" si="24"/>
        <v>1</v>
      </c>
      <c r="F544" s="58" t="str">
        <f t="shared" si="25"/>
        <v>000000-2024</v>
      </c>
      <c r="G544" s="65"/>
      <c r="H544" s="58" t="b">
        <f t="shared" si="26"/>
        <v>0</v>
      </c>
    </row>
    <row r="545" spans="2:8" x14ac:dyDescent="0.2">
      <c r="B545" s="69"/>
      <c r="C545" s="57"/>
      <c r="D545" s="58" t="b">
        <f t="shared" si="24"/>
        <v>1</v>
      </c>
      <c r="F545" s="58" t="str">
        <f t="shared" si="25"/>
        <v>000000-2024</v>
      </c>
      <c r="G545" s="39"/>
      <c r="H545" s="58" t="b">
        <f t="shared" si="26"/>
        <v>0</v>
      </c>
    </row>
    <row r="546" spans="2:8" x14ac:dyDescent="0.2">
      <c r="B546" s="69"/>
      <c r="C546" s="57"/>
      <c r="D546" s="58" t="b">
        <f t="shared" si="24"/>
        <v>1</v>
      </c>
      <c r="F546" s="58" t="str">
        <f t="shared" si="25"/>
        <v>000000-2024</v>
      </c>
      <c r="G546" s="39"/>
      <c r="H546" s="58" t="b">
        <f t="shared" si="26"/>
        <v>0</v>
      </c>
    </row>
    <row r="547" spans="2:8" x14ac:dyDescent="0.2">
      <c r="B547" s="69"/>
      <c r="C547" s="57"/>
      <c r="D547" s="58" t="b">
        <f t="shared" si="24"/>
        <v>1</v>
      </c>
      <c r="F547" s="58" t="str">
        <f t="shared" si="25"/>
        <v>000000-2024</v>
      </c>
      <c r="G547" s="39"/>
      <c r="H547" s="58" t="b">
        <f t="shared" si="26"/>
        <v>0</v>
      </c>
    </row>
    <row r="548" spans="2:8" x14ac:dyDescent="0.2">
      <c r="B548" s="69"/>
      <c r="C548" s="57"/>
      <c r="D548" s="58" t="b">
        <f t="shared" si="24"/>
        <v>1</v>
      </c>
      <c r="F548" s="58" t="str">
        <f t="shared" si="25"/>
        <v>000000-2024</v>
      </c>
      <c r="G548" s="39"/>
      <c r="H548" s="58" t="b">
        <f t="shared" si="26"/>
        <v>0</v>
      </c>
    </row>
    <row r="549" spans="2:8" x14ac:dyDescent="0.2">
      <c r="B549" s="69"/>
      <c r="C549" s="57"/>
      <c r="D549" s="58" t="b">
        <f t="shared" si="24"/>
        <v>1</v>
      </c>
      <c r="F549" s="58" t="str">
        <f t="shared" si="25"/>
        <v>000000-2024</v>
      </c>
      <c r="G549" s="39"/>
      <c r="H549" s="58" t="b">
        <f t="shared" si="26"/>
        <v>0</v>
      </c>
    </row>
    <row r="550" spans="2:8" x14ac:dyDescent="0.2">
      <c r="B550" s="69"/>
      <c r="C550" s="57"/>
      <c r="D550" s="58" t="b">
        <f t="shared" si="24"/>
        <v>1</v>
      </c>
      <c r="F550" s="58" t="str">
        <f t="shared" si="25"/>
        <v>000000-2024</v>
      </c>
      <c r="G550" s="39"/>
      <c r="H550" s="58" t="b">
        <f t="shared" si="26"/>
        <v>0</v>
      </c>
    </row>
    <row r="551" spans="2:8" x14ac:dyDescent="0.2">
      <c r="B551" s="69"/>
      <c r="C551" s="57"/>
      <c r="D551" s="58" t="b">
        <f t="shared" si="24"/>
        <v>1</v>
      </c>
      <c r="F551" s="58" t="str">
        <f t="shared" si="25"/>
        <v>000000-2024</v>
      </c>
      <c r="G551" s="39"/>
      <c r="H551" s="58" t="b">
        <f t="shared" si="26"/>
        <v>0</v>
      </c>
    </row>
    <row r="552" spans="2:8" x14ac:dyDescent="0.2">
      <c r="B552" s="69"/>
      <c r="C552" s="57"/>
      <c r="D552" s="58" t="b">
        <f t="shared" si="24"/>
        <v>1</v>
      </c>
      <c r="F552" s="58" t="str">
        <f t="shared" si="25"/>
        <v>000000-2024</v>
      </c>
      <c r="G552" s="39"/>
      <c r="H552" s="58" t="b">
        <f t="shared" si="26"/>
        <v>0</v>
      </c>
    </row>
    <row r="553" spans="2:8" x14ac:dyDescent="0.2">
      <c r="B553" s="69"/>
      <c r="C553" s="57"/>
      <c r="D553" s="58" t="b">
        <f t="shared" si="24"/>
        <v>1</v>
      </c>
      <c r="F553" s="58" t="str">
        <f t="shared" si="25"/>
        <v>000000-2024</v>
      </c>
      <c r="G553" s="39"/>
      <c r="H553" s="58" t="b">
        <f t="shared" si="26"/>
        <v>0</v>
      </c>
    </row>
    <row r="554" spans="2:8" x14ac:dyDescent="0.2">
      <c r="B554" s="69"/>
      <c r="C554" s="57"/>
      <c r="D554" s="58" t="b">
        <f t="shared" si="24"/>
        <v>1</v>
      </c>
      <c r="F554" s="58" t="str">
        <f t="shared" si="25"/>
        <v>000000-2024</v>
      </c>
      <c r="G554" s="39"/>
      <c r="H554" s="58" t="b">
        <f t="shared" si="26"/>
        <v>0</v>
      </c>
    </row>
    <row r="555" spans="2:8" x14ac:dyDescent="0.2">
      <c r="B555" s="69"/>
      <c r="C555" s="57"/>
      <c r="D555" s="58" t="b">
        <f t="shared" si="24"/>
        <v>1</v>
      </c>
      <c r="F555" s="58" t="str">
        <f t="shared" si="25"/>
        <v>000000-2024</v>
      </c>
      <c r="G555" s="39"/>
      <c r="H555" s="58" t="b">
        <f t="shared" si="26"/>
        <v>0</v>
      </c>
    </row>
    <row r="556" spans="2:8" x14ac:dyDescent="0.2">
      <c r="B556" s="69"/>
      <c r="C556" s="57"/>
      <c r="D556" s="58" t="b">
        <f t="shared" si="24"/>
        <v>1</v>
      </c>
      <c r="F556" s="58" t="str">
        <f t="shared" si="25"/>
        <v>000000-2024</v>
      </c>
      <c r="G556" s="39"/>
      <c r="H556" s="58" t="b">
        <f t="shared" si="26"/>
        <v>0</v>
      </c>
    </row>
    <row r="557" spans="2:8" x14ac:dyDescent="0.2">
      <c r="B557" s="69"/>
      <c r="C557" s="57"/>
      <c r="D557" s="58" t="b">
        <f t="shared" si="24"/>
        <v>1</v>
      </c>
      <c r="F557" s="58" t="str">
        <f t="shared" si="25"/>
        <v>000000-2024</v>
      </c>
      <c r="G557" s="39"/>
      <c r="H557" s="58" t="b">
        <f t="shared" si="26"/>
        <v>0</v>
      </c>
    </row>
    <row r="558" spans="2:8" ht="13.5" thickBot="1" x14ac:dyDescent="0.25">
      <c r="B558" s="71"/>
      <c r="C558" s="57"/>
      <c r="D558" s="58" t="b">
        <f t="shared" si="24"/>
        <v>1</v>
      </c>
      <c r="F558" s="58" t="str">
        <f t="shared" si="25"/>
        <v>000000-2024</v>
      </c>
      <c r="G558" s="61"/>
      <c r="H558" s="58" t="b">
        <f t="shared" si="26"/>
        <v>0</v>
      </c>
    </row>
    <row r="559" spans="2:8" x14ac:dyDescent="0.2">
      <c r="B559" s="64"/>
      <c r="C559" s="57"/>
      <c r="D559" s="58" t="b">
        <f t="shared" si="24"/>
        <v>1</v>
      </c>
      <c r="F559" s="58" t="str">
        <f t="shared" si="25"/>
        <v>000000-2024</v>
      </c>
      <c r="G559" s="65"/>
      <c r="H559" s="58" t="b">
        <f t="shared" si="26"/>
        <v>0</v>
      </c>
    </row>
    <row r="560" spans="2:8" x14ac:dyDescent="0.2">
      <c r="B560" s="69"/>
      <c r="C560" s="57"/>
      <c r="D560" s="58" t="b">
        <f t="shared" si="24"/>
        <v>1</v>
      </c>
      <c r="F560" s="58" t="str">
        <f t="shared" si="25"/>
        <v>000000-2024</v>
      </c>
      <c r="G560" s="39"/>
      <c r="H560" s="58" t="b">
        <f t="shared" si="26"/>
        <v>0</v>
      </c>
    </row>
    <row r="561" spans="2:8" x14ac:dyDescent="0.2">
      <c r="B561" s="69"/>
      <c r="C561" s="57"/>
      <c r="D561" s="58" t="b">
        <f t="shared" si="24"/>
        <v>1</v>
      </c>
      <c r="F561" s="58" t="str">
        <f t="shared" si="25"/>
        <v>000000-2024</v>
      </c>
      <c r="G561" s="39"/>
      <c r="H561" s="58" t="b">
        <f t="shared" si="26"/>
        <v>0</v>
      </c>
    </row>
    <row r="562" spans="2:8" x14ac:dyDescent="0.2">
      <c r="B562" s="69"/>
      <c r="C562" s="57"/>
      <c r="D562" s="58" t="b">
        <f t="shared" si="24"/>
        <v>1</v>
      </c>
      <c r="F562" s="58" t="str">
        <f t="shared" si="25"/>
        <v>000000-2024</v>
      </c>
      <c r="G562" s="39"/>
      <c r="H562" s="58" t="b">
        <f t="shared" si="26"/>
        <v>0</v>
      </c>
    </row>
    <row r="563" spans="2:8" x14ac:dyDescent="0.2">
      <c r="B563" s="69"/>
      <c r="C563" s="57"/>
      <c r="D563" s="58" t="b">
        <f t="shared" si="24"/>
        <v>1</v>
      </c>
      <c r="F563" s="58" t="str">
        <f t="shared" si="25"/>
        <v>000000-2024</v>
      </c>
      <c r="G563" s="39"/>
      <c r="H563" s="58" t="b">
        <f t="shared" si="26"/>
        <v>0</v>
      </c>
    </row>
    <row r="564" spans="2:8" x14ac:dyDescent="0.2">
      <c r="B564" s="69"/>
      <c r="C564" s="57"/>
      <c r="D564" s="58" t="b">
        <f t="shared" si="24"/>
        <v>1</v>
      </c>
      <c r="F564" s="58" t="str">
        <f t="shared" si="25"/>
        <v>000000-2024</v>
      </c>
      <c r="G564" s="39"/>
      <c r="H564" s="58" t="b">
        <f t="shared" si="26"/>
        <v>0</v>
      </c>
    </row>
    <row r="565" spans="2:8" x14ac:dyDescent="0.2">
      <c r="B565" s="69"/>
      <c r="C565" s="57"/>
      <c r="D565" s="58" t="b">
        <f t="shared" si="24"/>
        <v>1</v>
      </c>
      <c r="F565" s="58" t="str">
        <f t="shared" si="25"/>
        <v>000000-2024</v>
      </c>
      <c r="G565" s="39"/>
      <c r="H565" s="58" t="b">
        <f t="shared" si="26"/>
        <v>0</v>
      </c>
    </row>
    <row r="566" spans="2:8" x14ac:dyDescent="0.2">
      <c r="B566" s="69"/>
      <c r="C566" s="57"/>
      <c r="D566" s="58" t="b">
        <f t="shared" si="24"/>
        <v>1</v>
      </c>
      <c r="F566" s="58" t="str">
        <f t="shared" si="25"/>
        <v>000000-2024</v>
      </c>
      <c r="G566" s="39"/>
      <c r="H566" s="58" t="b">
        <f t="shared" si="26"/>
        <v>0</v>
      </c>
    </row>
    <row r="567" spans="2:8" x14ac:dyDescent="0.2">
      <c r="B567" s="69"/>
      <c r="C567" s="57"/>
      <c r="D567" s="58" t="b">
        <f t="shared" si="24"/>
        <v>1</v>
      </c>
      <c r="F567" s="58" t="str">
        <f t="shared" si="25"/>
        <v>000000-2024</v>
      </c>
      <c r="G567" s="39"/>
      <c r="H567" s="58" t="b">
        <f t="shared" si="26"/>
        <v>0</v>
      </c>
    </row>
    <row r="568" spans="2:8" x14ac:dyDescent="0.2">
      <c r="B568" s="69"/>
      <c r="C568" s="57"/>
      <c r="D568" s="58" t="b">
        <f t="shared" si="24"/>
        <v>1</v>
      </c>
      <c r="F568" s="58" t="str">
        <f t="shared" si="25"/>
        <v>000000-2024</v>
      </c>
      <c r="G568" s="39"/>
      <c r="H568" s="58" t="b">
        <f t="shared" si="26"/>
        <v>0</v>
      </c>
    </row>
    <row r="569" spans="2:8" x14ac:dyDescent="0.2">
      <c r="B569" s="69"/>
      <c r="C569" s="57"/>
      <c r="D569" s="58" t="b">
        <f t="shared" si="24"/>
        <v>1</v>
      </c>
      <c r="F569" s="58" t="str">
        <f t="shared" si="25"/>
        <v>000000-2024</v>
      </c>
      <c r="G569" s="39"/>
      <c r="H569" s="58" t="b">
        <f t="shared" si="26"/>
        <v>0</v>
      </c>
    </row>
    <row r="570" spans="2:8" x14ac:dyDescent="0.2">
      <c r="B570" s="69"/>
      <c r="C570" s="57"/>
      <c r="D570" s="58" t="b">
        <f t="shared" si="24"/>
        <v>1</v>
      </c>
      <c r="F570" s="58" t="str">
        <f t="shared" si="25"/>
        <v>000000-2024</v>
      </c>
      <c r="G570" s="39"/>
      <c r="H570" s="58" t="b">
        <f t="shared" si="26"/>
        <v>0</v>
      </c>
    </row>
    <row r="571" spans="2:8" x14ac:dyDescent="0.2">
      <c r="B571" s="69"/>
      <c r="C571" s="57"/>
      <c r="D571" s="58" t="b">
        <f t="shared" si="24"/>
        <v>1</v>
      </c>
      <c r="F571" s="58" t="str">
        <f t="shared" si="25"/>
        <v>000000-2024</v>
      </c>
      <c r="G571" s="39"/>
      <c r="H571" s="58" t="b">
        <f t="shared" si="26"/>
        <v>0</v>
      </c>
    </row>
    <row r="572" spans="2:8" x14ac:dyDescent="0.2">
      <c r="B572" s="69"/>
      <c r="C572" s="57"/>
      <c r="D572" s="58" t="b">
        <f t="shared" si="24"/>
        <v>1</v>
      </c>
      <c r="F572" s="58" t="str">
        <f t="shared" si="25"/>
        <v>000000-2024</v>
      </c>
      <c r="G572" s="39"/>
      <c r="H572" s="58" t="b">
        <f t="shared" si="26"/>
        <v>0</v>
      </c>
    </row>
    <row r="573" spans="2:8" ht="13.5" thickBot="1" x14ac:dyDescent="0.25">
      <c r="B573" s="71"/>
      <c r="C573" s="57"/>
      <c r="D573" s="58" t="b">
        <f t="shared" si="24"/>
        <v>1</v>
      </c>
      <c r="F573" s="58" t="str">
        <f t="shared" si="25"/>
        <v>000000-2024</v>
      </c>
      <c r="G573" s="61"/>
      <c r="H573" s="58" t="b">
        <f t="shared" si="26"/>
        <v>0</v>
      </c>
    </row>
    <row r="574" spans="2:8" x14ac:dyDescent="0.2">
      <c r="B574" s="64"/>
      <c r="C574" s="57"/>
      <c r="D574" s="58" t="b">
        <f t="shared" si="24"/>
        <v>1</v>
      </c>
      <c r="F574" s="58" t="str">
        <f t="shared" si="25"/>
        <v>000000-2024</v>
      </c>
      <c r="G574" s="65"/>
      <c r="H574" s="58" t="b">
        <f t="shared" si="26"/>
        <v>0</v>
      </c>
    </row>
    <row r="575" spans="2:8" x14ac:dyDescent="0.2">
      <c r="B575" s="69"/>
      <c r="C575" s="57"/>
      <c r="D575" s="58" t="b">
        <f t="shared" si="24"/>
        <v>1</v>
      </c>
      <c r="F575" s="58" t="str">
        <f t="shared" si="25"/>
        <v>000000-2024</v>
      </c>
      <c r="G575" s="39"/>
      <c r="H575" s="58" t="b">
        <f t="shared" si="26"/>
        <v>0</v>
      </c>
    </row>
    <row r="576" spans="2:8" x14ac:dyDescent="0.2">
      <c r="B576" s="69"/>
      <c r="C576" s="57"/>
      <c r="D576" s="58" t="b">
        <f t="shared" si="24"/>
        <v>1</v>
      </c>
      <c r="F576" s="58" t="str">
        <f t="shared" si="25"/>
        <v>000000-2024</v>
      </c>
      <c r="G576" s="39"/>
      <c r="H576" s="58" t="b">
        <f t="shared" si="26"/>
        <v>0</v>
      </c>
    </row>
    <row r="577" spans="2:8" x14ac:dyDescent="0.2">
      <c r="B577" s="69"/>
      <c r="C577" s="57"/>
      <c r="D577" s="58" t="b">
        <f t="shared" si="24"/>
        <v>1</v>
      </c>
      <c r="F577" s="58" t="str">
        <f t="shared" si="25"/>
        <v>000000-2024</v>
      </c>
      <c r="G577" s="39"/>
      <c r="H577" s="58" t="b">
        <f t="shared" si="26"/>
        <v>0</v>
      </c>
    </row>
    <row r="578" spans="2:8" x14ac:dyDescent="0.2">
      <c r="B578" s="69"/>
      <c r="C578" s="57"/>
      <c r="D578" s="58" t="b">
        <f t="shared" si="24"/>
        <v>1</v>
      </c>
      <c r="F578" s="58" t="str">
        <f t="shared" si="25"/>
        <v>000000-2024</v>
      </c>
      <c r="G578" s="39"/>
      <c r="H578" s="58" t="b">
        <f t="shared" si="26"/>
        <v>0</v>
      </c>
    </row>
    <row r="579" spans="2:8" x14ac:dyDescent="0.2">
      <c r="B579" s="69"/>
      <c r="C579" s="57"/>
      <c r="D579" s="58" t="b">
        <f t="shared" si="24"/>
        <v>1</v>
      </c>
      <c r="F579" s="58" t="str">
        <f t="shared" si="25"/>
        <v>000000-2024</v>
      </c>
      <c r="G579" s="39"/>
      <c r="H579" s="58" t="b">
        <f t="shared" si="26"/>
        <v>0</v>
      </c>
    </row>
    <row r="580" spans="2:8" x14ac:dyDescent="0.2">
      <c r="B580" s="69"/>
      <c r="C580" s="57"/>
      <c r="D580" s="58" t="b">
        <f t="shared" si="24"/>
        <v>1</v>
      </c>
      <c r="F580" s="58" t="str">
        <f t="shared" si="25"/>
        <v>000000-2024</v>
      </c>
      <c r="G580" s="39"/>
      <c r="H580" s="58" t="b">
        <f t="shared" si="26"/>
        <v>0</v>
      </c>
    </row>
    <row r="581" spans="2:8" x14ac:dyDescent="0.2">
      <c r="B581" s="69"/>
      <c r="C581" s="57"/>
      <c r="D581" s="58" t="b">
        <f t="shared" ref="D581:D644" si="27">B581=C581</f>
        <v>1</v>
      </c>
      <c r="F581" s="58" t="str">
        <f t="shared" ref="F581:F644" si="28">TEXT(E581,"000000")&amp;"-2024"</f>
        <v>000000-2024</v>
      </c>
      <c r="G581" s="39"/>
      <c r="H581" s="58" t="b">
        <f t="shared" ref="H581:H644" si="29">F581=G581</f>
        <v>0</v>
      </c>
    </row>
    <row r="582" spans="2:8" x14ac:dyDescent="0.2">
      <c r="B582" s="69"/>
      <c r="C582" s="57"/>
      <c r="D582" s="58" t="b">
        <f t="shared" si="27"/>
        <v>1</v>
      </c>
      <c r="F582" s="58" t="str">
        <f t="shared" si="28"/>
        <v>000000-2024</v>
      </c>
      <c r="G582" s="39"/>
      <c r="H582" s="58" t="b">
        <f t="shared" si="29"/>
        <v>0</v>
      </c>
    </row>
    <row r="583" spans="2:8" x14ac:dyDescent="0.2">
      <c r="B583" s="69"/>
      <c r="C583" s="57"/>
      <c r="D583" s="58" t="b">
        <f t="shared" si="27"/>
        <v>1</v>
      </c>
      <c r="F583" s="58" t="str">
        <f t="shared" si="28"/>
        <v>000000-2024</v>
      </c>
      <c r="G583" s="39"/>
      <c r="H583" s="58" t="b">
        <f t="shared" si="29"/>
        <v>0</v>
      </c>
    </row>
    <row r="584" spans="2:8" x14ac:dyDescent="0.2">
      <c r="B584" s="69"/>
      <c r="C584" s="57"/>
      <c r="D584" s="58" t="b">
        <f t="shared" si="27"/>
        <v>1</v>
      </c>
      <c r="F584" s="58" t="str">
        <f t="shared" si="28"/>
        <v>000000-2024</v>
      </c>
      <c r="G584" s="39"/>
      <c r="H584" s="58" t="b">
        <f t="shared" si="29"/>
        <v>0</v>
      </c>
    </row>
    <row r="585" spans="2:8" x14ac:dyDescent="0.2">
      <c r="B585" s="69"/>
      <c r="C585" s="57"/>
      <c r="D585" s="58" t="b">
        <f t="shared" si="27"/>
        <v>1</v>
      </c>
      <c r="F585" s="58" t="str">
        <f t="shared" si="28"/>
        <v>000000-2024</v>
      </c>
      <c r="G585" s="39"/>
      <c r="H585" s="58" t="b">
        <f t="shared" si="29"/>
        <v>0</v>
      </c>
    </row>
    <row r="586" spans="2:8" x14ac:dyDescent="0.2">
      <c r="B586" s="69"/>
      <c r="C586" s="57"/>
      <c r="D586" s="58" t="b">
        <f t="shared" si="27"/>
        <v>1</v>
      </c>
      <c r="F586" s="58" t="str">
        <f t="shared" si="28"/>
        <v>000000-2024</v>
      </c>
      <c r="G586" s="39"/>
      <c r="H586" s="58" t="b">
        <f t="shared" si="29"/>
        <v>0</v>
      </c>
    </row>
    <row r="587" spans="2:8" x14ac:dyDescent="0.2">
      <c r="B587" s="69"/>
      <c r="C587" s="57"/>
      <c r="D587" s="58" t="b">
        <f t="shared" si="27"/>
        <v>1</v>
      </c>
      <c r="F587" s="58" t="str">
        <f t="shared" si="28"/>
        <v>000000-2024</v>
      </c>
      <c r="G587" s="39"/>
      <c r="H587" s="58" t="b">
        <f t="shared" si="29"/>
        <v>0</v>
      </c>
    </row>
    <row r="588" spans="2:8" ht="13.5" thickBot="1" x14ac:dyDescent="0.25">
      <c r="B588" s="71"/>
      <c r="C588" s="57"/>
      <c r="D588" s="58" t="b">
        <f t="shared" si="27"/>
        <v>1</v>
      </c>
      <c r="F588" s="58" t="str">
        <f t="shared" si="28"/>
        <v>000000-2024</v>
      </c>
      <c r="G588" s="61"/>
      <c r="H588" s="58" t="b">
        <f t="shared" si="29"/>
        <v>0</v>
      </c>
    </row>
    <row r="589" spans="2:8" x14ac:dyDescent="0.2">
      <c r="B589" s="64"/>
      <c r="C589" s="57"/>
      <c r="D589" s="58" t="b">
        <f t="shared" si="27"/>
        <v>1</v>
      </c>
      <c r="F589" s="58" t="str">
        <f t="shared" si="28"/>
        <v>000000-2024</v>
      </c>
      <c r="G589" s="65"/>
      <c r="H589" s="58" t="b">
        <f t="shared" si="29"/>
        <v>0</v>
      </c>
    </row>
    <row r="590" spans="2:8" x14ac:dyDescent="0.2">
      <c r="B590" s="69"/>
      <c r="C590" s="57"/>
      <c r="D590" s="58" t="b">
        <f t="shared" si="27"/>
        <v>1</v>
      </c>
      <c r="F590" s="58" t="str">
        <f t="shared" si="28"/>
        <v>000000-2024</v>
      </c>
      <c r="G590" s="39"/>
      <c r="H590" s="58" t="b">
        <f t="shared" si="29"/>
        <v>0</v>
      </c>
    </row>
    <row r="591" spans="2:8" x14ac:dyDescent="0.2">
      <c r="B591" s="69"/>
      <c r="C591" s="57"/>
      <c r="D591" s="58" t="b">
        <f t="shared" si="27"/>
        <v>1</v>
      </c>
      <c r="F591" s="58" t="str">
        <f t="shared" si="28"/>
        <v>000000-2024</v>
      </c>
      <c r="G591" s="39"/>
      <c r="H591" s="58" t="b">
        <f t="shared" si="29"/>
        <v>0</v>
      </c>
    </row>
    <row r="592" spans="2:8" x14ac:dyDescent="0.2">
      <c r="B592" s="69"/>
      <c r="C592" s="57"/>
      <c r="D592" s="58" t="b">
        <f t="shared" si="27"/>
        <v>1</v>
      </c>
      <c r="F592" s="58" t="str">
        <f t="shared" si="28"/>
        <v>000000-2024</v>
      </c>
      <c r="G592" s="39"/>
      <c r="H592" s="58" t="b">
        <f t="shared" si="29"/>
        <v>0</v>
      </c>
    </row>
    <row r="593" spans="2:8" x14ac:dyDescent="0.2">
      <c r="B593" s="69"/>
      <c r="C593" s="57"/>
      <c r="D593" s="58" t="b">
        <f t="shared" si="27"/>
        <v>1</v>
      </c>
      <c r="F593" s="58" t="str">
        <f t="shared" si="28"/>
        <v>000000-2024</v>
      </c>
      <c r="G593" s="39"/>
      <c r="H593" s="58" t="b">
        <f t="shared" si="29"/>
        <v>0</v>
      </c>
    </row>
    <row r="594" spans="2:8" x14ac:dyDescent="0.2">
      <c r="B594" s="69"/>
      <c r="C594" s="57"/>
      <c r="D594" s="58" t="b">
        <f t="shared" si="27"/>
        <v>1</v>
      </c>
      <c r="F594" s="58" t="str">
        <f t="shared" si="28"/>
        <v>000000-2024</v>
      </c>
      <c r="G594" s="39"/>
      <c r="H594" s="58" t="b">
        <f t="shared" si="29"/>
        <v>0</v>
      </c>
    </row>
    <row r="595" spans="2:8" x14ac:dyDescent="0.2">
      <c r="B595" s="69"/>
      <c r="C595" s="57"/>
      <c r="D595" s="58" t="b">
        <f t="shared" si="27"/>
        <v>1</v>
      </c>
      <c r="F595" s="58" t="str">
        <f t="shared" si="28"/>
        <v>000000-2024</v>
      </c>
      <c r="G595" s="39"/>
      <c r="H595" s="58" t="b">
        <f t="shared" si="29"/>
        <v>0</v>
      </c>
    </row>
    <row r="596" spans="2:8" x14ac:dyDescent="0.2">
      <c r="B596" s="69"/>
      <c r="C596" s="57"/>
      <c r="D596" s="58" t="b">
        <f t="shared" si="27"/>
        <v>1</v>
      </c>
      <c r="F596" s="58" t="str">
        <f t="shared" si="28"/>
        <v>000000-2024</v>
      </c>
      <c r="G596" s="39"/>
      <c r="H596" s="58" t="b">
        <f t="shared" si="29"/>
        <v>0</v>
      </c>
    </row>
    <row r="597" spans="2:8" x14ac:dyDescent="0.2">
      <c r="B597" s="69"/>
      <c r="C597" s="57"/>
      <c r="D597" s="58" t="b">
        <f t="shared" si="27"/>
        <v>1</v>
      </c>
      <c r="F597" s="58" t="str">
        <f t="shared" si="28"/>
        <v>000000-2024</v>
      </c>
      <c r="G597" s="39"/>
      <c r="H597" s="58" t="b">
        <f t="shared" si="29"/>
        <v>0</v>
      </c>
    </row>
    <row r="598" spans="2:8" x14ac:dyDescent="0.2">
      <c r="B598" s="69"/>
      <c r="C598" s="57"/>
      <c r="D598" s="58" t="b">
        <f t="shared" si="27"/>
        <v>1</v>
      </c>
      <c r="F598" s="58" t="str">
        <f t="shared" si="28"/>
        <v>000000-2024</v>
      </c>
      <c r="G598" s="39"/>
      <c r="H598" s="58" t="b">
        <f t="shared" si="29"/>
        <v>0</v>
      </c>
    </row>
    <row r="599" spans="2:8" x14ac:dyDescent="0.2">
      <c r="B599" s="69"/>
      <c r="C599" s="57"/>
      <c r="D599" s="58" t="b">
        <f t="shared" si="27"/>
        <v>1</v>
      </c>
      <c r="F599" s="58" t="str">
        <f t="shared" si="28"/>
        <v>000000-2024</v>
      </c>
      <c r="G599" s="39"/>
      <c r="H599" s="58" t="b">
        <f t="shared" si="29"/>
        <v>0</v>
      </c>
    </row>
    <row r="600" spans="2:8" x14ac:dyDescent="0.2">
      <c r="B600" s="69"/>
      <c r="C600" s="57"/>
      <c r="D600" s="58" t="b">
        <f t="shared" si="27"/>
        <v>1</v>
      </c>
      <c r="F600" s="58" t="str">
        <f t="shared" si="28"/>
        <v>000000-2024</v>
      </c>
      <c r="G600" s="39"/>
      <c r="H600" s="58" t="b">
        <f t="shared" si="29"/>
        <v>0</v>
      </c>
    </row>
    <row r="601" spans="2:8" x14ac:dyDescent="0.2">
      <c r="B601" s="69"/>
      <c r="C601" s="57"/>
      <c r="D601" s="58" t="b">
        <f t="shared" si="27"/>
        <v>1</v>
      </c>
      <c r="F601" s="58" t="str">
        <f t="shared" si="28"/>
        <v>000000-2024</v>
      </c>
      <c r="G601" s="39"/>
      <c r="H601" s="58" t="b">
        <f t="shared" si="29"/>
        <v>0</v>
      </c>
    </row>
    <row r="602" spans="2:8" x14ac:dyDescent="0.2">
      <c r="B602" s="69"/>
      <c r="C602" s="57"/>
      <c r="D602" s="58" t="b">
        <f t="shared" si="27"/>
        <v>1</v>
      </c>
      <c r="F602" s="58" t="str">
        <f t="shared" si="28"/>
        <v>000000-2024</v>
      </c>
      <c r="G602" s="39"/>
      <c r="H602" s="58" t="b">
        <f t="shared" si="29"/>
        <v>0</v>
      </c>
    </row>
    <row r="603" spans="2:8" ht="13.5" thickBot="1" x14ac:dyDescent="0.25">
      <c r="B603" s="71"/>
      <c r="C603" s="57"/>
      <c r="D603" s="58" t="b">
        <f t="shared" si="27"/>
        <v>1</v>
      </c>
      <c r="F603" s="58" t="str">
        <f t="shared" si="28"/>
        <v>000000-2024</v>
      </c>
      <c r="G603" s="61"/>
      <c r="H603" s="58" t="b">
        <f t="shared" si="29"/>
        <v>0</v>
      </c>
    </row>
    <row r="604" spans="2:8" x14ac:dyDescent="0.2">
      <c r="B604" s="40"/>
      <c r="C604" s="57"/>
      <c r="D604" s="58" t="b">
        <f t="shared" si="27"/>
        <v>1</v>
      </c>
      <c r="F604" s="58" t="str">
        <f t="shared" si="28"/>
        <v>000000-2024</v>
      </c>
      <c r="G604" s="39"/>
      <c r="H604" s="58" t="b">
        <f t="shared" si="29"/>
        <v>0</v>
      </c>
    </row>
    <row r="605" spans="2:8" x14ac:dyDescent="0.2">
      <c r="B605" s="40"/>
      <c r="C605" s="57"/>
      <c r="D605" s="58" t="b">
        <f t="shared" si="27"/>
        <v>1</v>
      </c>
      <c r="F605" s="58" t="str">
        <f t="shared" si="28"/>
        <v>000000-2024</v>
      </c>
      <c r="G605" s="39"/>
      <c r="H605" s="58" t="b">
        <f t="shared" si="29"/>
        <v>0</v>
      </c>
    </row>
    <row r="606" spans="2:8" x14ac:dyDescent="0.2">
      <c r="B606" s="40"/>
      <c r="C606" s="57"/>
      <c r="D606" s="58" t="b">
        <f t="shared" si="27"/>
        <v>1</v>
      </c>
      <c r="F606" s="58" t="str">
        <f t="shared" si="28"/>
        <v>000000-2024</v>
      </c>
      <c r="G606" s="39"/>
      <c r="H606" s="58" t="b">
        <f t="shared" si="29"/>
        <v>0</v>
      </c>
    </row>
    <row r="607" spans="2:8" x14ac:dyDescent="0.2">
      <c r="B607" s="40"/>
      <c r="C607" s="57"/>
      <c r="D607" s="58" t="b">
        <f t="shared" si="27"/>
        <v>1</v>
      </c>
      <c r="F607" s="58" t="str">
        <f t="shared" si="28"/>
        <v>000000-2024</v>
      </c>
      <c r="G607" s="39"/>
      <c r="H607" s="58" t="b">
        <f t="shared" si="29"/>
        <v>0</v>
      </c>
    </row>
    <row r="608" spans="2:8" x14ac:dyDescent="0.2">
      <c r="B608" s="40"/>
      <c r="C608" s="57"/>
      <c r="D608" s="58" t="b">
        <f t="shared" si="27"/>
        <v>1</v>
      </c>
      <c r="F608" s="58" t="str">
        <f t="shared" si="28"/>
        <v>000000-2024</v>
      </c>
      <c r="G608" s="39"/>
      <c r="H608" s="58" t="b">
        <f t="shared" si="29"/>
        <v>0</v>
      </c>
    </row>
    <row r="609" spans="2:8" x14ac:dyDescent="0.2">
      <c r="B609" s="40"/>
      <c r="C609" s="57"/>
      <c r="D609" s="58" t="b">
        <f t="shared" si="27"/>
        <v>1</v>
      </c>
      <c r="F609" s="58" t="str">
        <f t="shared" si="28"/>
        <v>000000-2024</v>
      </c>
      <c r="G609" s="39"/>
      <c r="H609" s="58" t="b">
        <f t="shared" si="29"/>
        <v>0</v>
      </c>
    </row>
    <row r="610" spans="2:8" x14ac:dyDescent="0.2">
      <c r="B610" s="40"/>
      <c r="C610" s="57"/>
      <c r="D610" s="58" t="b">
        <f t="shared" si="27"/>
        <v>1</v>
      </c>
      <c r="F610" s="58" t="str">
        <f t="shared" si="28"/>
        <v>000000-2024</v>
      </c>
      <c r="G610" s="39"/>
      <c r="H610" s="58" t="b">
        <f t="shared" si="29"/>
        <v>0</v>
      </c>
    </row>
    <row r="611" spans="2:8" x14ac:dyDescent="0.2">
      <c r="B611" s="40"/>
      <c r="C611" s="57"/>
      <c r="D611" s="58" t="b">
        <f t="shared" si="27"/>
        <v>1</v>
      </c>
      <c r="F611" s="58" t="str">
        <f t="shared" si="28"/>
        <v>000000-2024</v>
      </c>
      <c r="G611" s="39"/>
      <c r="H611" s="58" t="b">
        <f t="shared" si="29"/>
        <v>0</v>
      </c>
    </row>
    <row r="612" spans="2:8" x14ac:dyDescent="0.2">
      <c r="B612" s="40"/>
      <c r="C612" s="57"/>
      <c r="D612" s="58" t="b">
        <f t="shared" si="27"/>
        <v>1</v>
      </c>
      <c r="F612" s="58" t="str">
        <f t="shared" si="28"/>
        <v>000000-2024</v>
      </c>
      <c r="G612" s="39"/>
      <c r="H612" s="58" t="b">
        <f t="shared" si="29"/>
        <v>0</v>
      </c>
    </row>
    <row r="613" spans="2:8" x14ac:dyDescent="0.2">
      <c r="B613" s="40"/>
      <c r="C613" s="57"/>
      <c r="D613" s="58" t="b">
        <f t="shared" si="27"/>
        <v>1</v>
      </c>
      <c r="F613" s="58" t="str">
        <f t="shared" si="28"/>
        <v>000000-2024</v>
      </c>
      <c r="G613" s="39"/>
      <c r="H613" s="58" t="b">
        <f t="shared" si="29"/>
        <v>0</v>
      </c>
    </row>
    <row r="614" spans="2:8" x14ac:dyDescent="0.2">
      <c r="B614" s="40"/>
      <c r="C614" s="57"/>
      <c r="D614" s="58" t="b">
        <f t="shared" si="27"/>
        <v>1</v>
      </c>
      <c r="F614" s="58" t="str">
        <f t="shared" si="28"/>
        <v>000000-2024</v>
      </c>
      <c r="G614" s="39"/>
      <c r="H614" s="58" t="b">
        <f t="shared" si="29"/>
        <v>0</v>
      </c>
    </row>
    <row r="615" spans="2:8" x14ac:dyDescent="0.2">
      <c r="B615" s="40"/>
      <c r="C615" s="57"/>
      <c r="D615" s="58" t="b">
        <f t="shared" si="27"/>
        <v>1</v>
      </c>
      <c r="F615" s="58" t="str">
        <f t="shared" si="28"/>
        <v>000000-2024</v>
      </c>
      <c r="G615" s="39"/>
      <c r="H615" s="58" t="b">
        <f t="shared" si="29"/>
        <v>0</v>
      </c>
    </row>
    <row r="616" spans="2:8" x14ac:dyDescent="0.2">
      <c r="B616" s="40"/>
      <c r="C616" s="57"/>
      <c r="D616" s="58" t="b">
        <f t="shared" si="27"/>
        <v>1</v>
      </c>
      <c r="F616" s="58" t="str">
        <f t="shared" si="28"/>
        <v>000000-2024</v>
      </c>
      <c r="G616" s="39"/>
      <c r="H616" s="58" t="b">
        <f t="shared" si="29"/>
        <v>0</v>
      </c>
    </row>
    <row r="617" spans="2:8" x14ac:dyDescent="0.2">
      <c r="B617" s="40"/>
      <c r="C617" s="57"/>
      <c r="D617" s="58" t="b">
        <f t="shared" si="27"/>
        <v>1</v>
      </c>
      <c r="F617" s="58" t="str">
        <f t="shared" si="28"/>
        <v>000000-2024</v>
      </c>
      <c r="G617" s="39"/>
      <c r="H617" s="58" t="b">
        <f t="shared" si="29"/>
        <v>0</v>
      </c>
    </row>
    <row r="618" spans="2:8" ht="13.5" thickBot="1" x14ac:dyDescent="0.25">
      <c r="B618" s="40"/>
      <c r="C618" s="57"/>
      <c r="D618" s="58" t="b">
        <f t="shared" si="27"/>
        <v>1</v>
      </c>
      <c r="F618" s="58" t="str">
        <f t="shared" si="28"/>
        <v>000000-2024</v>
      </c>
      <c r="G618" s="61"/>
      <c r="H618" s="58" t="b">
        <f t="shared" si="29"/>
        <v>0</v>
      </c>
    </row>
    <row r="619" spans="2:8" x14ac:dyDescent="0.2">
      <c r="B619" s="40"/>
      <c r="C619" s="57"/>
      <c r="D619" s="58" t="b">
        <f t="shared" si="27"/>
        <v>1</v>
      </c>
      <c r="F619" s="58" t="str">
        <f t="shared" si="28"/>
        <v>000000-2024</v>
      </c>
      <c r="G619" s="68"/>
      <c r="H619" s="58" t="b">
        <f t="shared" si="29"/>
        <v>0</v>
      </c>
    </row>
    <row r="620" spans="2:8" x14ac:dyDescent="0.2">
      <c r="B620" s="40"/>
      <c r="C620" s="57"/>
      <c r="D620" s="58" t="b">
        <f t="shared" si="27"/>
        <v>1</v>
      </c>
      <c r="F620" s="58" t="str">
        <f t="shared" si="28"/>
        <v>000000-2024</v>
      </c>
      <c r="G620" s="39"/>
      <c r="H620" s="58" t="b">
        <f t="shared" si="29"/>
        <v>0</v>
      </c>
    </row>
    <row r="621" spans="2:8" x14ac:dyDescent="0.2">
      <c r="B621" s="40"/>
      <c r="C621" s="57"/>
      <c r="D621" s="58" t="b">
        <f t="shared" si="27"/>
        <v>1</v>
      </c>
      <c r="F621" s="58" t="str">
        <f t="shared" si="28"/>
        <v>000000-2024</v>
      </c>
      <c r="G621" s="39"/>
      <c r="H621" s="58" t="b">
        <f t="shared" si="29"/>
        <v>0</v>
      </c>
    </row>
    <row r="622" spans="2:8" x14ac:dyDescent="0.2">
      <c r="B622" s="40"/>
      <c r="C622" s="57"/>
      <c r="D622" s="58" t="b">
        <f t="shared" si="27"/>
        <v>1</v>
      </c>
      <c r="F622" s="58" t="str">
        <f t="shared" si="28"/>
        <v>000000-2024</v>
      </c>
      <c r="G622" s="39"/>
      <c r="H622" s="58" t="b">
        <f t="shared" si="29"/>
        <v>0</v>
      </c>
    </row>
    <row r="623" spans="2:8" x14ac:dyDescent="0.2">
      <c r="B623" s="40"/>
      <c r="C623" s="57"/>
      <c r="D623" s="58" t="b">
        <f t="shared" si="27"/>
        <v>1</v>
      </c>
      <c r="F623" s="58" t="str">
        <f t="shared" si="28"/>
        <v>000000-2024</v>
      </c>
      <c r="G623" s="39"/>
      <c r="H623" s="58" t="b">
        <f t="shared" si="29"/>
        <v>0</v>
      </c>
    </row>
    <row r="624" spans="2:8" x14ac:dyDescent="0.2">
      <c r="B624" s="40"/>
      <c r="C624" s="57"/>
      <c r="D624" s="58" t="b">
        <f t="shared" si="27"/>
        <v>1</v>
      </c>
      <c r="F624" s="58" t="str">
        <f t="shared" si="28"/>
        <v>000000-2024</v>
      </c>
      <c r="G624" s="39"/>
      <c r="H624" s="58" t="b">
        <f t="shared" si="29"/>
        <v>0</v>
      </c>
    </row>
    <row r="625" spans="2:8" x14ac:dyDescent="0.2">
      <c r="B625" s="40"/>
      <c r="C625" s="57"/>
      <c r="D625" s="58" t="b">
        <f t="shared" si="27"/>
        <v>1</v>
      </c>
      <c r="F625" s="58" t="str">
        <f t="shared" si="28"/>
        <v>000000-2024</v>
      </c>
      <c r="G625" s="39"/>
      <c r="H625" s="58" t="b">
        <f t="shared" si="29"/>
        <v>0</v>
      </c>
    </row>
    <row r="626" spans="2:8" x14ac:dyDescent="0.2">
      <c r="B626" s="40"/>
      <c r="C626" s="57"/>
      <c r="D626" s="58" t="b">
        <f t="shared" si="27"/>
        <v>1</v>
      </c>
      <c r="F626" s="58" t="str">
        <f t="shared" si="28"/>
        <v>000000-2024</v>
      </c>
      <c r="G626" s="39"/>
      <c r="H626" s="58" t="b">
        <f t="shared" si="29"/>
        <v>0</v>
      </c>
    </row>
    <row r="627" spans="2:8" x14ac:dyDescent="0.2">
      <c r="B627" s="40"/>
      <c r="C627" s="57"/>
      <c r="D627" s="58" t="b">
        <f t="shared" si="27"/>
        <v>1</v>
      </c>
      <c r="F627" s="58" t="str">
        <f t="shared" si="28"/>
        <v>000000-2024</v>
      </c>
      <c r="G627" s="39"/>
      <c r="H627" s="58" t="b">
        <f t="shared" si="29"/>
        <v>0</v>
      </c>
    </row>
    <row r="628" spans="2:8" x14ac:dyDescent="0.2">
      <c r="B628" s="40"/>
      <c r="C628" s="57"/>
      <c r="D628" s="58" t="b">
        <f t="shared" si="27"/>
        <v>1</v>
      </c>
      <c r="F628" s="58" t="str">
        <f t="shared" si="28"/>
        <v>000000-2024</v>
      </c>
      <c r="G628" s="39"/>
      <c r="H628" s="58" t="b">
        <f t="shared" si="29"/>
        <v>0</v>
      </c>
    </row>
    <row r="629" spans="2:8" x14ac:dyDescent="0.2">
      <c r="B629" s="40"/>
      <c r="C629" s="57"/>
      <c r="D629" s="58" t="b">
        <f t="shared" si="27"/>
        <v>1</v>
      </c>
      <c r="F629" s="58" t="str">
        <f t="shared" si="28"/>
        <v>000000-2024</v>
      </c>
      <c r="G629" s="39"/>
      <c r="H629" s="58" t="b">
        <f t="shared" si="29"/>
        <v>0</v>
      </c>
    </row>
    <row r="630" spans="2:8" x14ac:dyDescent="0.2">
      <c r="B630" s="40"/>
      <c r="C630" s="57"/>
      <c r="D630" s="58" t="b">
        <f t="shared" si="27"/>
        <v>1</v>
      </c>
      <c r="F630" s="58" t="str">
        <f t="shared" si="28"/>
        <v>000000-2024</v>
      </c>
      <c r="G630" s="39"/>
      <c r="H630" s="58" t="b">
        <f t="shared" si="29"/>
        <v>0</v>
      </c>
    </row>
    <row r="631" spans="2:8" x14ac:dyDescent="0.2">
      <c r="B631" s="40"/>
      <c r="C631" s="57"/>
      <c r="D631" s="58" t="b">
        <f t="shared" si="27"/>
        <v>1</v>
      </c>
      <c r="F631" s="58" t="str">
        <f t="shared" si="28"/>
        <v>000000-2024</v>
      </c>
      <c r="G631" s="39"/>
      <c r="H631" s="58" t="b">
        <f t="shared" si="29"/>
        <v>0</v>
      </c>
    </row>
    <row r="632" spans="2:8" x14ac:dyDescent="0.2">
      <c r="B632" s="40"/>
      <c r="C632" s="57"/>
      <c r="D632" s="58" t="b">
        <f t="shared" si="27"/>
        <v>1</v>
      </c>
      <c r="F632" s="58" t="str">
        <f t="shared" si="28"/>
        <v>000000-2024</v>
      </c>
      <c r="G632" s="39"/>
      <c r="H632" s="58" t="b">
        <f t="shared" si="29"/>
        <v>0</v>
      </c>
    </row>
    <row r="633" spans="2:8" ht="13.5" thickBot="1" x14ac:dyDescent="0.25">
      <c r="B633" s="40"/>
      <c r="C633" s="57"/>
      <c r="D633" s="58" t="b">
        <f t="shared" si="27"/>
        <v>1</v>
      </c>
      <c r="F633" s="58" t="str">
        <f t="shared" si="28"/>
        <v>000000-2024</v>
      </c>
      <c r="G633" s="61"/>
      <c r="H633" s="58" t="b">
        <f t="shared" si="29"/>
        <v>0</v>
      </c>
    </row>
    <row r="634" spans="2:8" x14ac:dyDescent="0.2">
      <c r="B634" s="40"/>
      <c r="C634" s="57"/>
      <c r="D634" s="58" t="b">
        <f t="shared" si="27"/>
        <v>1</v>
      </c>
      <c r="F634" s="58" t="str">
        <f t="shared" si="28"/>
        <v>000000-2024</v>
      </c>
      <c r="G634" s="68"/>
      <c r="H634" s="58" t="b">
        <f t="shared" si="29"/>
        <v>0</v>
      </c>
    </row>
    <row r="635" spans="2:8" x14ac:dyDescent="0.2">
      <c r="B635" s="40"/>
      <c r="C635" s="57"/>
      <c r="D635" s="58" t="b">
        <f t="shared" si="27"/>
        <v>1</v>
      </c>
      <c r="F635" s="58" t="str">
        <f t="shared" si="28"/>
        <v>000000-2024</v>
      </c>
      <c r="G635" s="39"/>
      <c r="H635" s="58" t="b">
        <f t="shared" si="29"/>
        <v>0</v>
      </c>
    </row>
    <row r="636" spans="2:8" x14ac:dyDescent="0.2">
      <c r="B636" s="40"/>
      <c r="C636" s="57"/>
      <c r="D636" s="58" t="b">
        <f t="shared" si="27"/>
        <v>1</v>
      </c>
      <c r="F636" s="58" t="str">
        <f t="shared" si="28"/>
        <v>000000-2024</v>
      </c>
      <c r="G636" s="39"/>
      <c r="H636" s="58" t="b">
        <f t="shared" si="29"/>
        <v>0</v>
      </c>
    </row>
    <row r="637" spans="2:8" x14ac:dyDescent="0.2">
      <c r="B637" s="40"/>
      <c r="C637" s="57"/>
      <c r="D637" s="58" t="b">
        <f t="shared" si="27"/>
        <v>1</v>
      </c>
      <c r="F637" s="58" t="str">
        <f t="shared" si="28"/>
        <v>000000-2024</v>
      </c>
      <c r="G637" s="39"/>
      <c r="H637" s="58" t="b">
        <f t="shared" si="29"/>
        <v>0</v>
      </c>
    </row>
    <row r="638" spans="2:8" x14ac:dyDescent="0.2">
      <c r="B638" s="40"/>
      <c r="C638" s="57"/>
      <c r="D638" s="58" t="b">
        <f t="shared" si="27"/>
        <v>1</v>
      </c>
      <c r="F638" s="58" t="str">
        <f t="shared" si="28"/>
        <v>000000-2024</v>
      </c>
      <c r="G638" s="39"/>
      <c r="H638" s="58" t="b">
        <f t="shared" si="29"/>
        <v>0</v>
      </c>
    </row>
    <row r="639" spans="2:8" x14ac:dyDescent="0.2">
      <c r="B639" s="40"/>
      <c r="C639" s="57"/>
      <c r="D639" s="58" t="b">
        <f t="shared" si="27"/>
        <v>1</v>
      </c>
      <c r="F639" s="58" t="str">
        <f t="shared" si="28"/>
        <v>000000-2024</v>
      </c>
      <c r="G639" s="39"/>
      <c r="H639" s="58" t="b">
        <f t="shared" si="29"/>
        <v>0</v>
      </c>
    </row>
    <row r="640" spans="2:8" x14ac:dyDescent="0.2">
      <c r="B640" s="40"/>
      <c r="C640" s="57"/>
      <c r="D640" s="58" t="b">
        <f t="shared" si="27"/>
        <v>1</v>
      </c>
      <c r="F640" s="58" t="str">
        <f t="shared" si="28"/>
        <v>000000-2024</v>
      </c>
      <c r="G640" s="39"/>
      <c r="H640" s="58" t="b">
        <f t="shared" si="29"/>
        <v>0</v>
      </c>
    </row>
    <row r="641" spans="2:8" x14ac:dyDescent="0.2">
      <c r="B641" s="40"/>
      <c r="C641" s="57"/>
      <c r="D641" s="58" t="b">
        <f t="shared" si="27"/>
        <v>1</v>
      </c>
      <c r="F641" s="58" t="str">
        <f t="shared" si="28"/>
        <v>000000-2024</v>
      </c>
      <c r="G641" s="39"/>
      <c r="H641" s="58" t="b">
        <f t="shared" si="29"/>
        <v>0</v>
      </c>
    </row>
    <row r="642" spans="2:8" x14ac:dyDescent="0.2">
      <c r="B642" s="40"/>
      <c r="C642" s="57"/>
      <c r="D642" s="58" t="b">
        <f t="shared" si="27"/>
        <v>1</v>
      </c>
      <c r="F642" s="58" t="str">
        <f t="shared" si="28"/>
        <v>000000-2024</v>
      </c>
      <c r="G642" s="39"/>
      <c r="H642" s="58" t="b">
        <f t="shared" si="29"/>
        <v>0</v>
      </c>
    </row>
    <row r="643" spans="2:8" x14ac:dyDescent="0.2">
      <c r="B643" s="40"/>
      <c r="C643" s="57"/>
      <c r="D643" s="58" t="b">
        <f t="shared" si="27"/>
        <v>1</v>
      </c>
      <c r="F643" s="58" t="str">
        <f t="shared" si="28"/>
        <v>000000-2024</v>
      </c>
      <c r="G643" s="39"/>
      <c r="H643" s="58" t="b">
        <f t="shared" si="29"/>
        <v>0</v>
      </c>
    </row>
    <row r="644" spans="2:8" x14ac:dyDescent="0.2">
      <c r="B644" s="40"/>
      <c r="C644" s="57"/>
      <c r="D644" s="58" t="b">
        <f t="shared" si="27"/>
        <v>1</v>
      </c>
      <c r="F644" s="58" t="str">
        <f t="shared" si="28"/>
        <v>000000-2024</v>
      </c>
      <c r="G644" s="39"/>
      <c r="H644" s="58" t="b">
        <f t="shared" si="29"/>
        <v>0</v>
      </c>
    </row>
    <row r="645" spans="2:8" x14ac:dyDescent="0.2">
      <c r="B645" s="40"/>
      <c r="C645" s="57"/>
      <c r="D645" s="58" t="b">
        <f t="shared" ref="D645:D708" si="30">B645=C645</f>
        <v>1</v>
      </c>
      <c r="F645" s="58" t="str">
        <f t="shared" ref="F645:F708" si="31">TEXT(E645,"000000")&amp;"-2024"</f>
        <v>000000-2024</v>
      </c>
      <c r="G645" s="39"/>
      <c r="H645" s="58" t="b">
        <f t="shared" ref="H645:H708" si="32">F645=G645</f>
        <v>0</v>
      </c>
    </row>
    <row r="646" spans="2:8" x14ac:dyDescent="0.2">
      <c r="B646" s="40"/>
      <c r="C646" s="57"/>
      <c r="D646" s="58" t="b">
        <f t="shared" si="30"/>
        <v>1</v>
      </c>
      <c r="F646" s="58" t="str">
        <f t="shared" si="31"/>
        <v>000000-2024</v>
      </c>
      <c r="G646" s="39"/>
      <c r="H646" s="58" t="b">
        <f t="shared" si="32"/>
        <v>0</v>
      </c>
    </row>
    <row r="647" spans="2:8" x14ac:dyDescent="0.2">
      <c r="B647" s="40"/>
      <c r="C647" s="57"/>
      <c r="D647" s="58" t="b">
        <f t="shared" si="30"/>
        <v>1</v>
      </c>
      <c r="F647" s="58" t="str">
        <f t="shared" si="31"/>
        <v>000000-2024</v>
      </c>
      <c r="G647" s="39"/>
      <c r="H647" s="58" t="b">
        <f t="shared" si="32"/>
        <v>0</v>
      </c>
    </row>
    <row r="648" spans="2:8" ht="13.5" thickBot="1" x14ac:dyDescent="0.25">
      <c r="B648" s="40"/>
      <c r="C648" s="57"/>
      <c r="D648" s="58" t="b">
        <f t="shared" si="30"/>
        <v>1</v>
      </c>
      <c r="F648" s="58" t="str">
        <f t="shared" si="31"/>
        <v>000000-2024</v>
      </c>
      <c r="G648" s="61"/>
      <c r="H648" s="58" t="b">
        <f t="shared" si="32"/>
        <v>0</v>
      </c>
    </row>
    <row r="649" spans="2:8" x14ac:dyDescent="0.2">
      <c r="B649" s="40"/>
      <c r="C649" s="57"/>
      <c r="D649" s="58" t="b">
        <f t="shared" si="30"/>
        <v>1</v>
      </c>
      <c r="F649" s="58" t="str">
        <f t="shared" si="31"/>
        <v>000000-2024</v>
      </c>
      <c r="G649" s="68"/>
      <c r="H649" s="58" t="b">
        <f t="shared" si="32"/>
        <v>0</v>
      </c>
    </row>
    <row r="650" spans="2:8" x14ac:dyDescent="0.2">
      <c r="B650" s="40"/>
      <c r="C650" s="57"/>
      <c r="D650" s="58" t="b">
        <f t="shared" si="30"/>
        <v>1</v>
      </c>
      <c r="F650" s="58" t="str">
        <f t="shared" si="31"/>
        <v>000000-2024</v>
      </c>
      <c r="G650" s="39"/>
      <c r="H650" s="58" t="b">
        <f t="shared" si="32"/>
        <v>0</v>
      </c>
    </row>
    <row r="651" spans="2:8" x14ac:dyDescent="0.2">
      <c r="B651" s="40"/>
      <c r="C651" s="57"/>
      <c r="D651" s="58" t="b">
        <f t="shared" si="30"/>
        <v>1</v>
      </c>
      <c r="F651" s="58" t="str">
        <f t="shared" si="31"/>
        <v>000000-2024</v>
      </c>
      <c r="G651" s="39"/>
      <c r="H651" s="58" t="b">
        <f t="shared" si="32"/>
        <v>0</v>
      </c>
    </row>
    <row r="652" spans="2:8" x14ac:dyDescent="0.2">
      <c r="B652" s="40"/>
      <c r="C652" s="57"/>
      <c r="D652" s="58" t="b">
        <f t="shared" si="30"/>
        <v>1</v>
      </c>
      <c r="F652" s="58" t="str">
        <f t="shared" si="31"/>
        <v>000000-2024</v>
      </c>
      <c r="G652" s="39"/>
      <c r="H652" s="58" t="b">
        <f t="shared" si="32"/>
        <v>0</v>
      </c>
    </row>
    <row r="653" spans="2:8" x14ac:dyDescent="0.2">
      <c r="B653" s="40"/>
      <c r="C653" s="57"/>
      <c r="D653" s="58" t="b">
        <f t="shared" si="30"/>
        <v>1</v>
      </c>
      <c r="F653" s="58" t="str">
        <f t="shared" si="31"/>
        <v>000000-2024</v>
      </c>
      <c r="G653" s="39"/>
      <c r="H653" s="58" t="b">
        <f t="shared" si="32"/>
        <v>0</v>
      </c>
    </row>
    <row r="654" spans="2:8" x14ac:dyDescent="0.2">
      <c r="B654" s="40"/>
      <c r="C654" s="57"/>
      <c r="D654" s="58" t="b">
        <f t="shared" si="30"/>
        <v>1</v>
      </c>
      <c r="F654" s="58" t="str">
        <f t="shared" si="31"/>
        <v>000000-2024</v>
      </c>
      <c r="G654" s="39"/>
      <c r="H654" s="58" t="b">
        <f t="shared" si="32"/>
        <v>0</v>
      </c>
    </row>
    <row r="655" spans="2:8" x14ac:dyDescent="0.2">
      <c r="B655" s="40"/>
      <c r="C655" s="57"/>
      <c r="D655" s="58" t="b">
        <f t="shared" si="30"/>
        <v>1</v>
      </c>
      <c r="F655" s="58" t="str">
        <f t="shared" si="31"/>
        <v>000000-2024</v>
      </c>
      <c r="G655" s="39"/>
      <c r="H655" s="58" t="b">
        <f t="shared" si="32"/>
        <v>0</v>
      </c>
    </row>
    <row r="656" spans="2:8" x14ac:dyDescent="0.2">
      <c r="B656" s="40"/>
      <c r="C656" s="57"/>
      <c r="D656" s="58" t="b">
        <f t="shared" si="30"/>
        <v>1</v>
      </c>
      <c r="F656" s="58" t="str">
        <f t="shared" si="31"/>
        <v>000000-2024</v>
      </c>
      <c r="G656" s="39"/>
      <c r="H656" s="58" t="b">
        <f t="shared" si="32"/>
        <v>0</v>
      </c>
    </row>
    <row r="657" spans="2:8" x14ac:dyDescent="0.2">
      <c r="B657" s="40"/>
      <c r="C657" s="57"/>
      <c r="D657" s="58" t="b">
        <f t="shared" si="30"/>
        <v>1</v>
      </c>
      <c r="F657" s="58" t="str">
        <f t="shared" si="31"/>
        <v>000000-2024</v>
      </c>
      <c r="G657" s="39"/>
      <c r="H657" s="58" t="b">
        <f t="shared" si="32"/>
        <v>0</v>
      </c>
    </row>
    <row r="658" spans="2:8" x14ac:dyDescent="0.2">
      <c r="B658" s="40"/>
      <c r="C658" s="57"/>
      <c r="D658" s="58" t="b">
        <f t="shared" si="30"/>
        <v>1</v>
      </c>
      <c r="F658" s="58" t="str">
        <f t="shared" si="31"/>
        <v>000000-2024</v>
      </c>
      <c r="G658" s="39"/>
      <c r="H658" s="58" t="b">
        <f t="shared" si="32"/>
        <v>0</v>
      </c>
    </row>
    <row r="659" spans="2:8" x14ac:dyDescent="0.2">
      <c r="B659" s="40"/>
      <c r="C659" s="57"/>
      <c r="D659" s="58" t="b">
        <f t="shared" si="30"/>
        <v>1</v>
      </c>
      <c r="F659" s="58" t="str">
        <f t="shared" si="31"/>
        <v>000000-2024</v>
      </c>
      <c r="G659" s="39"/>
      <c r="H659" s="58" t="b">
        <f t="shared" si="32"/>
        <v>0</v>
      </c>
    </row>
    <row r="660" spans="2:8" x14ac:dyDescent="0.2">
      <c r="B660" s="40"/>
      <c r="C660" s="57"/>
      <c r="D660" s="58" t="b">
        <f t="shared" si="30"/>
        <v>1</v>
      </c>
      <c r="F660" s="58" t="str">
        <f t="shared" si="31"/>
        <v>000000-2024</v>
      </c>
      <c r="G660" s="39"/>
      <c r="H660" s="58" t="b">
        <f t="shared" si="32"/>
        <v>0</v>
      </c>
    </row>
    <row r="661" spans="2:8" x14ac:dyDescent="0.2">
      <c r="B661" s="70"/>
      <c r="C661" s="57"/>
      <c r="D661" s="58" t="b">
        <f t="shared" si="30"/>
        <v>1</v>
      </c>
      <c r="F661" s="58" t="str">
        <f t="shared" si="31"/>
        <v>000000-2024</v>
      </c>
      <c r="G661" s="67"/>
      <c r="H661" s="58" t="b">
        <f t="shared" si="32"/>
        <v>0</v>
      </c>
    </row>
    <row r="662" spans="2:8" x14ac:dyDescent="0.2">
      <c r="B662" s="40"/>
      <c r="C662" s="57"/>
      <c r="D662" s="58" t="b">
        <f t="shared" si="30"/>
        <v>1</v>
      </c>
      <c r="F662" s="58" t="str">
        <f t="shared" si="31"/>
        <v>000000-2024</v>
      </c>
      <c r="G662" s="39"/>
      <c r="H662" s="58" t="b">
        <f t="shared" si="32"/>
        <v>0</v>
      </c>
    </row>
    <row r="663" spans="2:8" ht="13.5" thickBot="1" x14ac:dyDescent="0.25">
      <c r="B663" s="60"/>
      <c r="C663" s="57"/>
      <c r="D663" s="58" t="b">
        <f t="shared" si="30"/>
        <v>1</v>
      </c>
      <c r="F663" s="58" t="str">
        <f t="shared" si="31"/>
        <v>000000-2024</v>
      </c>
      <c r="G663" s="61"/>
      <c r="H663" s="58" t="b">
        <f t="shared" si="32"/>
        <v>0</v>
      </c>
    </row>
    <row r="664" spans="2:8" x14ac:dyDescent="0.2">
      <c r="B664" s="69"/>
      <c r="C664" s="57"/>
      <c r="D664" s="58" t="b">
        <f t="shared" si="30"/>
        <v>1</v>
      </c>
      <c r="F664" s="58" t="str">
        <f t="shared" si="31"/>
        <v>000000-2024</v>
      </c>
      <c r="G664" s="68"/>
      <c r="H664" s="58" t="b">
        <f t="shared" si="32"/>
        <v>0</v>
      </c>
    </row>
    <row r="665" spans="2:8" x14ac:dyDescent="0.2">
      <c r="B665" s="40"/>
      <c r="C665" s="57"/>
      <c r="D665" s="58" t="b">
        <f t="shared" si="30"/>
        <v>1</v>
      </c>
      <c r="F665" s="58" t="str">
        <f t="shared" si="31"/>
        <v>000000-2024</v>
      </c>
      <c r="G665" s="39"/>
      <c r="H665" s="58" t="b">
        <f t="shared" si="32"/>
        <v>0</v>
      </c>
    </row>
    <row r="666" spans="2:8" x14ac:dyDescent="0.2">
      <c r="B666" s="40"/>
      <c r="C666" s="57"/>
      <c r="D666" s="58" t="b">
        <f t="shared" si="30"/>
        <v>1</v>
      </c>
      <c r="F666" s="58" t="str">
        <f t="shared" si="31"/>
        <v>000000-2024</v>
      </c>
      <c r="G666" s="39"/>
      <c r="H666" s="58" t="b">
        <f t="shared" si="32"/>
        <v>0</v>
      </c>
    </row>
    <row r="667" spans="2:8" x14ac:dyDescent="0.2">
      <c r="B667" s="40"/>
      <c r="C667" s="57"/>
      <c r="D667" s="58" t="b">
        <f t="shared" si="30"/>
        <v>1</v>
      </c>
      <c r="F667" s="58" t="str">
        <f t="shared" si="31"/>
        <v>000000-2024</v>
      </c>
      <c r="G667" s="39"/>
      <c r="H667" s="58" t="b">
        <f t="shared" si="32"/>
        <v>0</v>
      </c>
    </row>
    <row r="668" spans="2:8" x14ac:dyDescent="0.2">
      <c r="B668" s="40"/>
      <c r="C668" s="57"/>
      <c r="D668" s="58" t="b">
        <f t="shared" si="30"/>
        <v>1</v>
      </c>
      <c r="F668" s="58" t="str">
        <f t="shared" si="31"/>
        <v>000000-2024</v>
      </c>
      <c r="G668" s="39"/>
      <c r="H668" s="58" t="b">
        <f t="shared" si="32"/>
        <v>0</v>
      </c>
    </row>
    <row r="669" spans="2:8" x14ac:dyDescent="0.2">
      <c r="B669" s="40"/>
      <c r="C669" s="57"/>
      <c r="D669" s="58" t="b">
        <f t="shared" si="30"/>
        <v>1</v>
      </c>
      <c r="F669" s="58" t="str">
        <f t="shared" si="31"/>
        <v>000000-2024</v>
      </c>
      <c r="G669" s="39"/>
      <c r="H669" s="58" t="b">
        <f t="shared" si="32"/>
        <v>0</v>
      </c>
    </row>
    <row r="670" spans="2:8" x14ac:dyDescent="0.2">
      <c r="B670" s="40"/>
      <c r="C670" s="57"/>
      <c r="D670" s="58" t="b">
        <f t="shared" si="30"/>
        <v>1</v>
      </c>
      <c r="F670" s="58" t="str">
        <f t="shared" si="31"/>
        <v>000000-2024</v>
      </c>
      <c r="G670" s="39"/>
      <c r="H670" s="58" t="b">
        <f t="shared" si="32"/>
        <v>0</v>
      </c>
    </row>
    <row r="671" spans="2:8" x14ac:dyDescent="0.2">
      <c r="B671" s="40"/>
      <c r="C671" s="57"/>
      <c r="D671" s="58" t="b">
        <f t="shared" si="30"/>
        <v>1</v>
      </c>
      <c r="F671" s="58" t="str">
        <f t="shared" si="31"/>
        <v>000000-2024</v>
      </c>
      <c r="G671" s="39"/>
      <c r="H671" s="58" t="b">
        <f t="shared" si="32"/>
        <v>0</v>
      </c>
    </row>
    <row r="672" spans="2:8" x14ac:dyDescent="0.2">
      <c r="B672" s="40"/>
      <c r="C672" s="57"/>
      <c r="D672" s="58" t="b">
        <f t="shared" si="30"/>
        <v>1</v>
      </c>
      <c r="F672" s="58" t="str">
        <f t="shared" si="31"/>
        <v>000000-2024</v>
      </c>
      <c r="G672" s="39"/>
      <c r="H672" s="58" t="b">
        <f t="shared" si="32"/>
        <v>0</v>
      </c>
    </row>
    <row r="673" spans="2:8" x14ac:dyDescent="0.2">
      <c r="B673" s="40"/>
      <c r="C673" s="57"/>
      <c r="D673" s="58" t="b">
        <f t="shared" si="30"/>
        <v>1</v>
      </c>
      <c r="F673" s="58" t="str">
        <f t="shared" si="31"/>
        <v>000000-2024</v>
      </c>
      <c r="G673" s="39"/>
      <c r="H673" s="58" t="b">
        <f t="shared" si="32"/>
        <v>0</v>
      </c>
    </row>
    <row r="674" spans="2:8" x14ac:dyDescent="0.2">
      <c r="B674" s="40"/>
      <c r="C674" s="57"/>
      <c r="D674" s="58" t="b">
        <f t="shared" si="30"/>
        <v>1</v>
      </c>
      <c r="F674" s="58" t="str">
        <f t="shared" si="31"/>
        <v>000000-2024</v>
      </c>
      <c r="G674" s="39"/>
      <c r="H674" s="58" t="b">
        <f t="shared" si="32"/>
        <v>0</v>
      </c>
    </row>
    <row r="675" spans="2:8" x14ac:dyDescent="0.2">
      <c r="B675" s="40"/>
      <c r="C675" s="57"/>
      <c r="D675" s="58" t="b">
        <f t="shared" si="30"/>
        <v>1</v>
      </c>
      <c r="F675" s="58" t="str">
        <f t="shared" si="31"/>
        <v>000000-2024</v>
      </c>
      <c r="G675" s="39"/>
      <c r="H675" s="58" t="b">
        <f t="shared" si="32"/>
        <v>0</v>
      </c>
    </row>
    <row r="676" spans="2:8" x14ac:dyDescent="0.2">
      <c r="B676" s="40"/>
      <c r="C676" s="57"/>
      <c r="D676" s="58" t="b">
        <f t="shared" si="30"/>
        <v>1</v>
      </c>
      <c r="F676" s="58" t="str">
        <f t="shared" si="31"/>
        <v>000000-2024</v>
      </c>
      <c r="G676" s="39"/>
      <c r="H676" s="58" t="b">
        <f t="shared" si="32"/>
        <v>0</v>
      </c>
    </row>
    <row r="677" spans="2:8" x14ac:dyDescent="0.2">
      <c r="B677" s="40"/>
      <c r="C677" s="57"/>
      <c r="D677" s="58" t="b">
        <f t="shared" si="30"/>
        <v>1</v>
      </c>
      <c r="F677" s="58" t="str">
        <f t="shared" si="31"/>
        <v>000000-2024</v>
      </c>
      <c r="G677" s="39"/>
      <c r="H677" s="58" t="b">
        <f t="shared" si="32"/>
        <v>0</v>
      </c>
    </row>
    <row r="678" spans="2:8" ht="13.5" thickBot="1" x14ac:dyDescent="0.25">
      <c r="B678" s="60"/>
      <c r="C678" s="57"/>
      <c r="D678" s="58" t="b">
        <f t="shared" si="30"/>
        <v>1</v>
      </c>
      <c r="F678" s="58" t="str">
        <f t="shared" si="31"/>
        <v>000000-2024</v>
      </c>
      <c r="G678" s="61"/>
      <c r="H678" s="58" t="b">
        <f t="shared" si="32"/>
        <v>0</v>
      </c>
    </row>
    <row r="679" spans="2:8" x14ac:dyDescent="0.2">
      <c r="B679" s="69"/>
      <c r="C679" s="57"/>
      <c r="D679" s="58" t="b">
        <f t="shared" si="30"/>
        <v>1</v>
      </c>
      <c r="F679" s="58" t="str">
        <f t="shared" si="31"/>
        <v>000000-2024</v>
      </c>
      <c r="G679" s="68"/>
      <c r="H679" s="58" t="b">
        <f t="shared" si="32"/>
        <v>0</v>
      </c>
    </row>
    <row r="680" spans="2:8" x14ac:dyDescent="0.2">
      <c r="B680" s="40"/>
      <c r="C680" s="57"/>
      <c r="D680" s="58" t="b">
        <f t="shared" si="30"/>
        <v>1</v>
      </c>
      <c r="F680" s="58" t="str">
        <f t="shared" si="31"/>
        <v>000000-2024</v>
      </c>
      <c r="G680" s="39"/>
      <c r="H680" s="58" t="b">
        <f t="shared" si="32"/>
        <v>0</v>
      </c>
    </row>
    <row r="681" spans="2:8" x14ac:dyDescent="0.2">
      <c r="B681" s="40"/>
      <c r="C681" s="57"/>
      <c r="D681" s="58" t="b">
        <f t="shared" si="30"/>
        <v>1</v>
      </c>
      <c r="F681" s="58" t="str">
        <f t="shared" si="31"/>
        <v>000000-2024</v>
      </c>
      <c r="G681" s="39"/>
      <c r="H681" s="58" t="b">
        <f t="shared" si="32"/>
        <v>0</v>
      </c>
    </row>
    <row r="682" spans="2:8" x14ac:dyDescent="0.2">
      <c r="B682" s="40"/>
      <c r="C682" s="57"/>
      <c r="D682" s="58" t="b">
        <f t="shared" si="30"/>
        <v>1</v>
      </c>
      <c r="F682" s="58" t="str">
        <f t="shared" si="31"/>
        <v>000000-2024</v>
      </c>
      <c r="G682" s="39"/>
      <c r="H682" s="58" t="b">
        <f t="shared" si="32"/>
        <v>0</v>
      </c>
    </row>
    <row r="683" spans="2:8" x14ac:dyDescent="0.2">
      <c r="B683" s="40"/>
      <c r="C683" s="57"/>
      <c r="D683" s="58" t="b">
        <f t="shared" si="30"/>
        <v>1</v>
      </c>
      <c r="F683" s="58" t="str">
        <f t="shared" si="31"/>
        <v>000000-2024</v>
      </c>
      <c r="G683" s="39"/>
      <c r="H683" s="58" t="b">
        <f t="shared" si="32"/>
        <v>0</v>
      </c>
    </row>
    <row r="684" spans="2:8" x14ac:dyDescent="0.2">
      <c r="B684" s="40"/>
      <c r="C684" s="57"/>
      <c r="D684" s="58" t="b">
        <f t="shared" si="30"/>
        <v>1</v>
      </c>
      <c r="F684" s="58" t="str">
        <f t="shared" si="31"/>
        <v>000000-2024</v>
      </c>
      <c r="G684" s="39"/>
      <c r="H684" s="58" t="b">
        <f t="shared" si="32"/>
        <v>0</v>
      </c>
    </row>
    <row r="685" spans="2:8" x14ac:dyDescent="0.2">
      <c r="B685" s="40"/>
      <c r="C685" s="57"/>
      <c r="D685" s="58" t="b">
        <f t="shared" si="30"/>
        <v>1</v>
      </c>
      <c r="F685" s="58" t="str">
        <f t="shared" si="31"/>
        <v>000000-2024</v>
      </c>
      <c r="G685" s="39"/>
      <c r="H685" s="58" t="b">
        <f t="shared" si="32"/>
        <v>0</v>
      </c>
    </row>
    <row r="686" spans="2:8" x14ac:dyDescent="0.2">
      <c r="B686" s="40"/>
      <c r="C686" s="57"/>
      <c r="D686" s="58" t="b">
        <f t="shared" si="30"/>
        <v>1</v>
      </c>
      <c r="F686" s="58" t="str">
        <f t="shared" si="31"/>
        <v>000000-2024</v>
      </c>
      <c r="G686" s="39"/>
      <c r="H686" s="58" t="b">
        <f t="shared" si="32"/>
        <v>0</v>
      </c>
    </row>
    <row r="687" spans="2:8" x14ac:dyDescent="0.2">
      <c r="B687" s="40"/>
      <c r="C687" s="57"/>
      <c r="D687" s="58" t="b">
        <f t="shared" si="30"/>
        <v>1</v>
      </c>
      <c r="F687" s="58" t="str">
        <f t="shared" si="31"/>
        <v>000000-2024</v>
      </c>
      <c r="G687" s="39"/>
      <c r="H687" s="58" t="b">
        <f t="shared" si="32"/>
        <v>0</v>
      </c>
    </row>
    <row r="688" spans="2:8" x14ac:dyDescent="0.2">
      <c r="B688" s="40"/>
      <c r="C688" s="57"/>
      <c r="D688" s="58" t="b">
        <f t="shared" si="30"/>
        <v>1</v>
      </c>
      <c r="F688" s="58" t="str">
        <f t="shared" si="31"/>
        <v>000000-2024</v>
      </c>
      <c r="G688" s="39"/>
      <c r="H688" s="58" t="b">
        <f t="shared" si="32"/>
        <v>0</v>
      </c>
    </row>
    <row r="689" spans="2:8" x14ac:dyDescent="0.2">
      <c r="B689" s="40"/>
      <c r="C689" s="57"/>
      <c r="D689" s="58" t="b">
        <f t="shared" si="30"/>
        <v>1</v>
      </c>
      <c r="F689" s="58" t="str">
        <f t="shared" si="31"/>
        <v>000000-2024</v>
      </c>
      <c r="G689" s="39"/>
      <c r="H689" s="58" t="b">
        <f t="shared" si="32"/>
        <v>0</v>
      </c>
    </row>
    <row r="690" spans="2:8" x14ac:dyDescent="0.2">
      <c r="B690" s="40"/>
      <c r="C690" s="57"/>
      <c r="D690" s="58" t="b">
        <f t="shared" si="30"/>
        <v>1</v>
      </c>
      <c r="F690" s="58" t="str">
        <f t="shared" si="31"/>
        <v>000000-2024</v>
      </c>
      <c r="G690" s="39"/>
      <c r="H690" s="58" t="b">
        <f t="shared" si="32"/>
        <v>0</v>
      </c>
    </row>
    <row r="691" spans="2:8" x14ac:dyDescent="0.2">
      <c r="B691" s="40"/>
      <c r="C691" s="57"/>
      <c r="D691" s="58" t="b">
        <f t="shared" si="30"/>
        <v>1</v>
      </c>
      <c r="F691" s="58" t="str">
        <f t="shared" si="31"/>
        <v>000000-2024</v>
      </c>
      <c r="G691" s="39"/>
      <c r="H691" s="58" t="b">
        <f t="shared" si="32"/>
        <v>0</v>
      </c>
    </row>
    <row r="692" spans="2:8" x14ac:dyDescent="0.2">
      <c r="B692" s="40"/>
      <c r="C692" s="57"/>
      <c r="D692" s="58" t="b">
        <f t="shared" si="30"/>
        <v>1</v>
      </c>
      <c r="F692" s="58" t="str">
        <f t="shared" si="31"/>
        <v>000000-2024</v>
      </c>
      <c r="G692" s="39"/>
      <c r="H692" s="58" t="b">
        <f t="shared" si="32"/>
        <v>0</v>
      </c>
    </row>
    <row r="693" spans="2:8" ht="13.5" thickBot="1" x14ac:dyDescent="0.25">
      <c r="B693" s="60"/>
      <c r="C693" s="57"/>
      <c r="D693" s="58" t="b">
        <f t="shared" si="30"/>
        <v>1</v>
      </c>
      <c r="F693" s="58" t="str">
        <f t="shared" si="31"/>
        <v>000000-2024</v>
      </c>
      <c r="G693" s="61"/>
      <c r="H693" s="58" t="b">
        <f t="shared" si="32"/>
        <v>0</v>
      </c>
    </row>
    <row r="694" spans="2:8" x14ac:dyDescent="0.2">
      <c r="B694" s="69"/>
      <c r="C694" s="57"/>
      <c r="D694" s="58" t="b">
        <f t="shared" si="30"/>
        <v>1</v>
      </c>
      <c r="F694" s="58" t="str">
        <f t="shared" si="31"/>
        <v>000000-2024</v>
      </c>
      <c r="G694" s="68"/>
      <c r="H694" s="58" t="b">
        <f t="shared" si="32"/>
        <v>0</v>
      </c>
    </row>
    <row r="695" spans="2:8" x14ac:dyDescent="0.2">
      <c r="B695" s="40"/>
      <c r="C695" s="57"/>
      <c r="D695" s="58" t="b">
        <f t="shared" si="30"/>
        <v>1</v>
      </c>
      <c r="F695" s="58" t="str">
        <f t="shared" si="31"/>
        <v>000000-2024</v>
      </c>
      <c r="G695" s="39"/>
      <c r="H695" s="58" t="b">
        <f t="shared" si="32"/>
        <v>0</v>
      </c>
    </row>
    <row r="696" spans="2:8" x14ac:dyDescent="0.2">
      <c r="B696" s="40"/>
      <c r="C696" s="57"/>
      <c r="D696" s="58" t="b">
        <f t="shared" si="30"/>
        <v>1</v>
      </c>
      <c r="F696" s="58" t="str">
        <f t="shared" si="31"/>
        <v>000000-2024</v>
      </c>
      <c r="G696" s="39"/>
      <c r="H696" s="58" t="b">
        <f t="shared" si="32"/>
        <v>0</v>
      </c>
    </row>
    <row r="697" spans="2:8" x14ac:dyDescent="0.2">
      <c r="B697" s="40"/>
      <c r="C697" s="57"/>
      <c r="D697" s="58" t="b">
        <f t="shared" si="30"/>
        <v>1</v>
      </c>
      <c r="F697" s="58" t="str">
        <f t="shared" si="31"/>
        <v>000000-2024</v>
      </c>
      <c r="G697" s="39"/>
      <c r="H697" s="58" t="b">
        <f t="shared" si="32"/>
        <v>0</v>
      </c>
    </row>
    <row r="698" spans="2:8" x14ac:dyDescent="0.2">
      <c r="B698" s="40"/>
      <c r="C698" s="57"/>
      <c r="D698" s="58" t="b">
        <f t="shared" si="30"/>
        <v>1</v>
      </c>
      <c r="F698" s="58" t="str">
        <f t="shared" si="31"/>
        <v>000000-2024</v>
      </c>
      <c r="G698" s="39"/>
      <c r="H698" s="58" t="b">
        <f t="shared" si="32"/>
        <v>0</v>
      </c>
    </row>
    <row r="699" spans="2:8" x14ac:dyDescent="0.2">
      <c r="B699" s="40"/>
      <c r="C699" s="57"/>
      <c r="D699" s="58" t="b">
        <f t="shared" si="30"/>
        <v>1</v>
      </c>
      <c r="F699" s="58" t="str">
        <f t="shared" si="31"/>
        <v>000000-2024</v>
      </c>
      <c r="G699" s="39"/>
      <c r="H699" s="58" t="b">
        <f t="shared" si="32"/>
        <v>0</v>
      </c>
    </row>
    <row r="700" spans="2:8" x14ac:dyDescent="0.2">
      <c r="B700" s="40"/>
      <c r="C700" s="57"/>
      <c r="D700" s="58" t="b">
        <f t="shared" si="30"/>
        <v>1</v>
      </c>
      <c r="F700" s="58" t="str">
        <f t="shared" si="31"/>
        <v>000000-2024</v>
      </c>
      <c r="G700" s="39"/>
      <c r="H700" s="58" t="b">
        <f t="shared" si="32"/>
        <v>0</v>
      </c>
    </row>
    <row r="701" spans="2:8" x14ac:dyDescent="0.2">
      <c r="B701" s="40"/>
      <c r="C701" s="57"/>
      <c r="D701" s="58" t="b">
        <f t="shared" si="30"/>
        <v>1</v>
      </c>
      <c r="F701" s="58" t="str">
        <f t="shared" si="31"/>
        <v>000000-2024</v>
      </c>
      <c r="G701" s="39"/>
      <c r="H701" s="58" t="b">
        <f t="shared" si="32"/>
        <v>0</v>
      </c>
    </row>
    <row r="702" spans="2:8" x14ac:dyDescent="0.2">
      <c r="B702" s="40"/>
      <c r="C702" s="57"/>
      <c r="D702" s="58" t="b">
        <f t="shared" si="30"/>
        <v>1</v>
      </c>
      <c r="F702" s="58" t="str">
        <f t="shared" si="31"/>
        <v>000000-2024</v>
      </c>
      <c r="G702" s="39"/>
      <c r="H702" s="58" t="b">
        <f t="shared" si="32"/>
        <v>0</v>
      </c>
    </row>
    <row r="703" spans="2:8" x14ac:dyDescent="0.2">
      <c r="B703" s="40"/>
      <c r="C703" s="57"/>
      <c r="D703" s="58" t="b">
        <f t="shared" si="30"/>
        <v>1</v>
      </c>
      <c r="F703" s="58" t="str">
        <f t="shared" si="31"/>
        <v>000000-2024</v>
      </c>
      <c r="G703" s="39"/>
      <c r="H703" s="58" t="b">
        <f t="shared" si="32"/>
        <v>0</v>
      </c>
    </row>
    <row r="704" spans="2:8" x14ac:dyDescent="0.2">
      <c r="B704" s="40"/>
      <c r="C704" s="57"/>
      <c r="D704" s="58" t="b">
        <f t="shared" si="30"/>
        <v>1</v>
      </c>
      <c r="F704" s="58" t="str">
        <f t="shared" si="31"/>
        <v>000000-2024</v>
      </c>
      <c r="G704" s="39"/>
      <c r="H704" s="58" t="b">
        <f t="shared" si="32"/>
        <v>0</v>
      </c>
    </row>
    <row r="705" spans="2:8" x14ac:dyDescent="0.2">
      <c r="B705" s="40"/>
      <c r="C705" s="57"/>
      <c r="D705" s="58" t="b">
        <f t="shared" si="30"/>
        <v>1</v>
      </c>
      <c r="F705" s="58" t="str">
        <f t="shared" si="31"/>
        <v>000000-2024</v>
      </c>
      <c r="G705" s="39"/>
      <c r="H705" s="58" t="b">
        <f t="shared" si="32"/>
        <v>0</v>
      </c>
    </row>
    <row r="706" spans="2:8" x14ac:dyDescent="0.2">
      <c r="B706" s="40"/>
      <c r="C706" s="57"/>
      <c r="D706" s="58" t="b">
        <f t="shared" si="30"/>
        <v>1</v>
      </c>
      <c r="F706" s="58" t="str">
        <f t="shared" si="31"/>
        <v>000000-2024</v>
      </c>
      <c r="G706" s="39"/>
      <c r="H706" s="58" t="b">
        <f t="shared" si="32"/>
        <v>0</v>
      </c>
    </row>
    <row r="707" spans="2:8" x14ac:dyDescent="0.2">
      <c r="B707" s="40"/>
      <c r="C707" s="57"/>
      <c r="D707" s="58" t="b">
        <f t="shared" si="30"/>
        <v>1</v>
      </c>
      <c r="F707" s="58" t="str">
        <f t="shared" si="31"/>
        <v>000000-2024</v>
      </c>
      <c r="G707" s="39"/>
      <c r="H707" s="58" t="b">
        <f t="shared" si="32"/>
        <v>0</v>
      </c>
    </row>
    <row r="708" spans="2:8" ht="13.5" thickBot="1" x14ac:dyDescent="0.25">
      <c r="B708" s="60"/>
      <c r="C708" s="57"/>
      <c r="D708" s="58" t="b">
        <f t="shared" si="30"/>
        <v>1</v>
      </c>
      <c r="F708" s="58" t="str">
        <f t="shared" si="31"/>
        <v>000000-2024</v>
      </c>
      <c r="G708" s="61"/>
      <c r="H708" s="58" t="b">
        <f t="shared" si="32"/>
        <v>0</v>
      </c>
    </row>
    <row r="709" spans="2:8" x14ac:dyDescent="0.2">
      <c r="B709" s="69"/>
      <c r="C709" s="57"/>
      <c r="D709" s="58" t="b">
        <f t="shared" ref="D709:D723" si="33">B709=C709</f>
        <v>1</v>
      </c>
      <c r="F709" s="58" t="str">
        <f t="shared" ref="F709:F723" si="34">TEXT(E709,"000000")&amp;"-2024"</f>
        <v>000000-2024</v>
      </c>
      <c r="G709" s="68"/>
      <c r="H709" s="58" t="b">
        <f t="shared" ref="H709:H723" si="35">F709=G709</f>
        <v>0</v>
      </c>
    </row>
    <row r="710" spans="2:8" x14ac:dyDescent="0.2">
      <c r="B710" s="40"/>
      <c r="C710" s="57"/>
      <c r="D710" s="58" t="b">
        <f t="shared" si="33"/>
        <v>1</v>
      </c>
      <c r="F710" s="58" t="str">
        <f t="shared" si="34"/>
        <v>000000-2024</v>
      </c>
      <c r="G710" s="39"/>
      <c r="H710" s="58" t="b">
        <f t="shared" si="35"/>
        <v>0</v>
      </c>
    </row>
    <row r="711" spans="2:8" x14ac:dyDescent="0.2">
      <c r="B711" s="40"/>
      <c r="C711" s="57"/>
      <c r="D711" s="58" t="b">
        <f t="shared" si="33"/>
        <v>1</v>
      </c>
      <c r="F711" s="58" t="str">
        <f t="shared" si="34"/>
        <v>000000-2024</v>
      </c>
      <c r="G711" s="39"/>
      <c r="H711" s="58" t="b">
        <f t="shared" si="35"/>
        <v>0</v>
      </c>
    </row>
    <row r="712" spans="2:8" x14ac:dyDescent="0.2">
      <c r="B712" s="40"/>
      <c r="C712" s="57"/>
      <c r="D712" s="58" t="b">
        <f t="shared" si="33"/>
        <v>1</v>
      </c>
      <c r="F712" s="58" t="str">
        <f t="shared" si="34"/>
        <v>000000-2024</v>
      </c>
      <c r="G712" s="39"/>
      <c r="H712" s="58" t="b">
        <f t="shared" si="35"/>
        <v>0</v>
      </c>
    </row>
    <row r="713" spans="2:8" x14ac:dyDescent="0.2">
      <c r="B713" s="40"/>
      <c r="C713" s="57"/>
      <c r="D713" s="58" t="b">
        <f t="shared" si="33"/>
        <v>1</v>
      </c>
      <c r="F713" s="58" t="str">
        <f t="shared" si="34"/>
        <v>000000-2024</v>
      </c>
      <c r="G713" s="39"/>
      <c r="H713" s="58" t="b">
        <f t="shared" si="35"/>
        <v>0</v>
      </c>
    </row>
    <row r="714" spans="2:8" x14ac:dyDescent="0.2">
      <c r="B714" s="40"/>
      <c r="C714" s="57"/>
      <c r="D714" s="58" t="b">
        <f t="shared" si="33"/>
        <v>1</v>
      </c>
      <c r="F714" s="58" t="str">
        <f t="shared" si="34"/>
        <v>000000-2024</v>
      </c>
      <c r="G714" s="39"/>
      <c r="H714" s="58" t="b">
        <f t="shared" si="35"/>
        <v>0</v>
      </c>
    </row>
    <row r="715" spans="2:8" x14ac:dyDescent="0.2">
      <c r="B715" s="40"/>
      <c r="C715" s="57"/>
      <c r="D715" s="58" t="b">
        <f t="shared" si="33"/>
        <v>1</v>
      </c>
      <c r="F715" s="58" t="str">
        <f t="shared" si="34"/>
        <v>000000-2024</v>
      </c>
      <c r="G715" s="39"/>
      <c r="H715" s="58" t="b">
        <f t="shared" si="35"/>
        <v>0</v>
      </c>
    </row>
    <row r="716" spans="2:8" x14ac:dyDescent="0.2">
      <c r="B716" s="40"/>
      <c r="C716" s="57"/>
      <c r="D716" s="58" t="b">
        <f t="shared" si="33"/>
        <v>1</v>
      </c>
      <c r="F716" s="58" t="str">
        <f t="shared" si="34"/>
        <v>000000-2024</v>
      </c>
      <c r="G716" s="39"/>
      <c r="H716" s="58" t="b">
        <f t="shared" si="35"/>
        <v>0</v>
      </c>
    </row>
    <row r="717" spans="2:8" x14ac:dyDescent="0.2">
      <c r="B717" s="40"/>
      <c r="C717" s="57"/>
      <c r="D717" s="58" t="b">
        <f t="shared" si="33"/>
        <v>1</v>
      </c>
      <c r="F717" s="58" t="str">
        <f t="shared" si="34"/>
        <v>000000-2024</v>
      </c>
      <c r="G717" s="39"/>
      <c r="H717" s="58" t="b">
        <f t="shared" si="35"/>
        <v>0</v>
      </c>
    </row>
    <row r="718" spans="2:8" x14ac:dyDescent="0.2">
      <c r="B718" s="40"/>
      <c r="C718" s="57"/>
      <c r="D718" s="58" t="b">
        <f t="shared" si="33"/>
        <v>1</v>
      </c>
      <c r="F718" s="58" t="str">
        <f t="shared" si="34"/>
        <v>000000-2024</v>
      </c>
      <c r="G718" s="39"/>
      <c r="H718" s="58" t="b">
        <f t="shared" si="35"/>
        <v>0</v>
      </c>
    </row>
    <row r="719" spans="2:8" x14ac:dyDescent="0.2">
      <c r="B719" s="40"/>
      <c r="C719" s="57"/>
      <c r="D719" s="58" t="b">
        <f t="shared" si="33"/>
        <v>1</v>
      </c>
      <c r="F719" s="58" t="str">
        <f t="shared" si="34"/>
        <v>000000-2024</v>
      </c>
      <c r="G719" s="39"/>
      <c r="H719" s="58" t="b">
        <f t="shared" si="35"/>
        <v>0</v>
      </c>
    </row>
    <row r="720" spans="2:8" x14ac:dyDescent="0.2">
      <c r="B720" s="40"/>
      <c r="C720" s="57"/>
      <c r="D720" s="58" t="b">
        <f t="shared" si="33"/>
        <v>1</v>
      </c>
      <c r="F720" s="58" t="str">
        <f t="shared" si="34"/>
        <v>000000-2024</v>
      </c>
      <c r="G720" s="39"/>
      <c r="H720" s="58" t="b">
        <f t="shared" si="35"/>
        <v>0</v>
      </c>
    </row>
    <row r="721" spans="2:8" x14ac:dyDescent="0.2">
      <c r="B721" s="40"/>
      <c r="C721" s="57"/>
      <c r="D721" s="58" t="b">
        <f t="shared" si="33"/>
        <v>1</v>
      </c>
      <c r="F721" s="58" t="str">
        <f t="shared" si="34"/>
        <v>000000-2024</v>
      </c>
      <c r="G721" s="39"/>
      <c r="H721" s="58" t="b">
        <f t="shared" si="35"/>
        <v>0</v>
      </c>
    </row>
    <row r="722" spans="2:8" x14ac:dyDescent="0.2">
      <c r="B722" s="40"/>
      <c r="C722" s="57"/>
      <c r="D722" s="58" t="b">
        <f t="shared" si="33"/>
        <v>1</v>
      </c>
      <c r="F722" s="58" t="str">
        <f t="shared" si="34"/>
        <v>000000-2024</v>
      </c>
      <c r="G722" s="39"/>
      <c r="H722" s="58" t="b">
        <f t="shared" si="35"/>
        <v>0</v>
      </c>
    </row>
    <row r="723" spans="2:8" x14ac:dyDescent="0.2">
      <c r="B723" s="40"/>
      <c r="C723" s="57"/>
      <c r="D723" s="58" t="b">
        <f t="shared" si="33"/>
        <v>1</v>
      </c>
      <c r="F723" s="58" t="str">
        <f t="shared" si="34"/>
        <v>000000-2024</v>
      </c>
      <c r="G723" s="39"/>
      <c r="H723" s="58" t="b">
        <f t="shared" si="35"/>
        <v>0</v>
      </c>
    </row>
  </sheetData>
  <autoFilter ref="B3:H3" xr:uid="{CC4819C0-22B6-43D1-9C12-8B4556CBAA1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87AD-6BF5-4255-8BFF-0B5EEF8D310E}">
  <dimension ref="A1:I725"/>
  <sheetViews>
    <sheetView topLeftCell="A19" workbookViewId="0">
      <selection activeCell="C6" sqref="C6"/>
    </sheetView>
  </sheetViews>
  <sheetFormatPr baseColWidth="10" defaultRowHeight="12.75" x14ac:dyDescent="0.2"/>
  <cols>
    <col min="1" max="1" width="9.85546875" style="58" customWidth="1"/>
    <col min="2" max="16384" width="11.42578125" style="58"/>
  </cols>
  <sheetData>
    <row r="1" spans="1:9" ht="20.25" x14ac:dyDescent="0.2">
      <c r="A1" s="161"/>
      <c r="B1" s="161"/>
      <c r="E1" s="58">
        <v>0</v>
      </c>
      <c r="F1" s="58">
        <v>0</v>
      </c>
    </row>
    <row r="2" spans="1:9" ht="12.75" customHeight="1" thickBot="1" x14ac:dyDescent="0.25"/>
    <row r="3" spans="1:9" ht="12.75" customHeight="1" x14ac:dyDescent="0.2">
      <c r="A3" s="162" t="s">
        <v>17</v>
      </c>
      <c r="B3" s="164" t="s">
        <v>20</v>
      </c>
      <c r="C3" s="166" t="s">
        <v>23</v>
      </c>
      <c r="D3" s="168" t="s">
        <v>40</v>
      </c>
      <c r="E3" s="157" t="s">
        <v>41</v>
      </c>
      <c r="F3" s="157" t="s">
        <v>42</v>
      </c>
      <c r="G3" s="157" t="s">
        <v>43</v>
      </c>
      <c r="H3" s="159" t="s">
        <v>25</v>
      </c>
      <c r="I3" s="159" t="s">
        <v>44</v>
      </c>
    </row>
    <row r="4" spans="1:9" ht="13.15" customHeight="1" x14ac:dyDescent="0.2">
      <c r="A4" s="163"/>
      <c r="B4" s="165"/>
      <c r="C4" s="167"/>
      <c r="D4" s="169"/>
      <c r="E4" s="158"/>
      <c r="F4" s="158"/>
      <c r="G4" s="158"/>
      <c r="H4" s="160"/>
      <c r="I4" s="160"/>
    </row>
    <row r="5" spans="1:9" ht="13.15" customHeight="1" x14ac:dyDescent="0.2">
      <c r="A5" s="163"/>
      <c r="B5" s="165"/>
      <c r="C5" s="167"/>
      <c r="D5" s="169"/>
      <c r="E5" s="158"/>
      <c r="F5" s="158"/>
      <c r="G5" s="158"/>
      <c r="H5" s="160"/>
      <c r="I5" s="160"/>
    </row>
    <row r="6" spans="1:9" x14ac:dyDescent="0.2">
      <c r="A6" s="72">
        <f>'ERROR FINAL'!A9</f>
        <v>1</v>
      </c>
      <c r="B6" s="73">
        <v>6</v>
      </c>
      <c r="C6" s="74">
        <f>'ERROR FINAL'!G9</f>
        <v>0</v>
      </c>
      <c r="D6" s="75">
        <f>'ERROR FINAL'!I9</f>
        <v>0</v>
      </c>
      <c r="E6" s="76" t="e">
        <f>'ERROR FINAL'!U9</f>
        <v>#DIV/0!</v>
      </c>
      <c r="F6" s="77" t="e">
        <f>'ERROR FINAL'!AG9</f>
        <v>#DIV/0!</v>
      </c>
      <c r="G6" s="77" t="e">
        <f>'ERROR FINAL'!AS9</f>
        <v>#DIV/0!</v>
      </c>
      <c r="H6" s="78" t="e">
        <f>IF('ERROR FINAL'!AT9="CONFORME","CONFORME","NO CONFORME")</f>
        <v>#DIV/0!</v>
      </c>
      <c r="I6" s="79" t="str">
        <f>IF(D6=0,"Medición",IF(D6=1,"Daño físico",IF(D6=2,"Fuga",IF(D6=3,"Picado",IF(D6=4,"Desfasado",IF(D6=5,"Paralizado","¿?"))))))</f>
        <v>Medición</v>
      </c>
    </row>
    <row r="7" spans="1:9" x14ac:dyDescent="0.2">
      <c r="A7" s="72">
        <f>'ERROR FINAL'!A10</f>
        <v>0</v>
      </c>
      <c r="B7" s="73">
        <v>7</v>
      </c>
      <c r="C7" s="74">
        <f>'ERROR FINAL'!G10</f>
        <v>0</v>
      </c>
      <c r="D7" s="75">
        <f>'ERROR FINAL'!I10</f>
        <v>0</v>
      </c>
      <c r="E7" s="76">
        <f>'ERROR FINAL'!U10</f>
        <v>0</v>
      </c>
      <c r="F7" s="77">
        <f>'ERROR FINAL'!AG10</f>
        <v>0</v>
      </c>
      <c r="G7" s="77">
        <f>'ERROR FINAL'!AS10</f>
        <v>0</v>
      </c>
      <c r="H7" s="78" t="str">
        <f>IF('ERROR FINAL'!AT10="CONFORME","CONFORME","NO CONFORME")</f>
        <v>NO CONFORME</v>
      </c>
      <c r="I7" s="7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">
      <c r="A8" s="72">
        <f>'ERROR FINAL'!A11</f>
        <v>0</v>
      </c>
      <c r="B8" s="73">
        <v>8</v>
      </c>
      <c r="C8" s="74">
        <f>'ERROR FINAL'!G11</f>
        <v>0</v>
      </c>
      <c r="D8" s="75">
        <f>'ERROR FINAL'!I11</f>
        <v>0</v>
      </c>
      <c r="E8" s="76">
        <f>'ERROR FINAL'!U11</f>
        <v>0</v>
      </c>
      <c r="F8" s="77">
        <f>'ERROR FINAL'!AG11</f>
        <v>0</v>
      </c>
      <c r="G8" s="77">
        <f>'ERROR FINAL'!AS11</f>
        <v>0</v>
      </c>
      <c r="H8" s="78" t="str">
        <f>IF('ERROR FINAL'!AT11="CONFORME","CONFORME","NO CONFORME")</f>
        <v>NO CONFORME</v>
      </c>
      <c r="I8" s="79" t="str">
        <f t="shared" si="0"/>
        <v>Medición</v>
      </c>
    </row>
    <row r="9" spans="1:9" x14ac:dyDescent="0.2">
      <c r="A9" s="72">
        <f>'ERROR FINAL'!A12</f>
        <v>0</v>
      </c>
      <c r="B9" s="73">
        <v>9</v>
      </c>
      <c r="C9" s="74">
        <f>'ERROR FINAL'!G12</f>
        <v>0</v>
      </c>
      <c r="D9" s="75">
        <f>'ERROR FINAL'!I12</f>
        <v>0</v>
      </c>
      <c r="E9" s="76">
        <f>'ERROR FINAL'!U12</f>
        <v>0</v>
      </c>
      <c r="F9" s="77">
        <f>'ERROR FINAL'!AG12</f>
        <v>0</v>
      </c>
      <c r="G9" s="77">
        <f>'ERROR FINAL'!AS12</f>
        <v>0</v>
      </c>
      <c r="H9" s="78" t="str">
        <f>IF('ERROR FINAL'!AT12="CONFORME","CONFORME","NO CONFORME")</f>
        <v>NO CONFORME</v>
      </c>
      <c r="I9" s="79" t="str">
        <f t="shared" si="0"/>
        <v>Medición</v>
      </c>
    </row>
    <row r="10" spans="1:9" x14ac:dyDescent="0.2">
      <c r="A10" s="72">
        <f>'ERROR FINAL'!A13</f>
        <v>0</v>
      </c>
      <c r="B10" s="73">
        <v>10</v>
      </c>
      <c r="C10" s="74">
        <f>'ERROR FINAL'!G13</f>
        <v>0</v>
      </c>
      <c r="D10" s="75">
        <f>'ERROR FINAL'!I13</f>
        <v>0</v>
      </c>
      <c r="E10" s="76">
        <f>'ERROR FINAL'!U13</f>
        <v>0</v>
      </c>
      <c r="F10" s="77">
        <f>'ERROR FINAL'!AG13</f>
        <v>0</v>
      </c>
      <c r="G10" s="77">
        <f>'ERROR FINAL'!AS13</f>
        <v>0</v>
      </c>
      <c r="H10" s="78" t="str">
        <f>IF('ERROR FINAL'!AT13="CONFORME","CONFORME","NO CONFORME")</f>
        <v>NO CONFORME</v>
      </c>
      <c r="I10" s="79" t="str">
        <f t="shared" si="0"/>
        <v>Medición</v>
      </c>
    </row>
    <row r="11" spans="1:9" x14ac:dyDescent="0.2">
      <c r="A11" s="72">
        <f>'ERROR FINAL'!A14</f>
        <v>0</v>
      </c>
      <c r="B11" s="73">
        <v>11</v>
      </c>
      <c r="C11" s="74">
        <f>'ERROR FINAL'!G14</f>
        <v>0</v>
      </c>
      <c r="D11" s="75">
        <f>'ERROR FINAL'!I14</f>
        <v>0</v>
      </c>
      <c r="E11" s="76">
        <f>'ERROR FINAL'!U14</f>
        <v>0</v>
      </c>
      <c r="F11" s="77">
        <f>'ERROR FINAL'!AG14</f>
        <v>0</v>
      </c>
      <c r="G11" s="77">
        <f>'ERROR FINAL'!AS14</f>
        <v>0</v>
      </c>
      <c r="H11" s="78" t="str">
        <f>IF('ERROR FINAL'!AT14="CONFORME","CONFORME","NO CONFORME")</f>
        <v>NO CONFORME</v>
      </c>
      <c r="I11" s="79" t="str">
        <f t="shared" si="0"/>
        <v>Medición</v>
      </c>
    </row>
    <row r="12" spans="1:9" x14ac:dyDescent="0.2">
      <c r="A12" s="72">
        <f>'ERROR FINAL'!A15</f>
        <v>0</v>
      </c>
      <c r="B12" s="73">
        <v>12</v>
      </c>
      <c r="C12" s="74">
        <f>'ERROR FINAL'!G15</f>
        <v>0</v>
      </c>
      <c r="D12" s="75">
        <f>'ERROR FINAL'!I15</f>
        <v>0</v>
      </c>
      <c r="E12" s="76">
        <f>'ERROR FINAL'!U15</f>
        <v>0</v>
      </c>
      <c r="F12" s="77">
        <f>'ERROR FINAL'!AG15</f>
        <v>0</v>
      </c>
      <c r="G12" s="77">
        <f>'ERROR FINAL'!AS15</f>
        <v>0</v>
      </c>
      <c r="H12" s="78" t="str">
        <f>IF('ERROR FINAL'!AT15="CONFORME","CONFORME","NO CONFORME")</f>
        <v>NO CONFORME</v>
      </c>
      <c r="I12" s="79" t="str">
        <f t="shared" si="0"/>
        <v>Medición</v>
      </c>
    </row>
    <row r="13" spans="1:9" x14ac:dyDescent="0.2">
      <c r="A13" s="72">
        <f>'ERROR FINAL'!A16</f>
        <v>0</v>
      </c>
      <c r="B13" s="73">
        <v>13</v>
      </c>
      <c r="C13" s="74">
        <f>'ERROR FINAL'!G16</f>
        <v>0</v>
      </c>
      <c r="D13" s="75">
        <f>'ERROR FINAL'!I16</f>
        <v>0</v>
      </c>
      <c r="E13" s="76">
        <f>'ERROR FINAL'!U16</f>
        <v>0</v>
      </c>
      <c r="F13" s="77">
        <f>'ERROR FINAL'!AG16</f>
        <v>0</v>
      </c>
      <c r="G13" s="77">
        <f>'ERROR FINAL'!AS16</f>
        <v>0</v>
      </c>
      <c r="H13" s="78" t="str">
        <f>IF('ERROR FINAL'!AT16="CONFORME","CONFORME","NO CONFORME")</f>
        <v>NO CONFORME</v>
      </c>
      <c r="I13" s="79" t="str">
        <f t="shared" si="0"/>
        <v>Medición</v>
      </c>
    </row>
    <row r="14" spans="1:9" x14ac:dyDescent="0.2">
      <c r="A14" s="72">
        <f>'ERROR FINAL'!A17</f>
        <v>0</v>
      </c>
      <c r="B14" s="73">
        <v>14</v>
      </c>
      <c r="C14" s="74">
        <f>'ERROR FINAL'!G17</f>
        <v>0</v>
      </c>
      <c r="D14" s="75">
        <f>'ERROR FINAL'!I17</f>
        <v>0</v>
      </c>
      <c r="E14" s="76">
        <f>'ERROR FINAL'!U17</f>
        <v>0</v>
      </c>
      <c r="F14" s="77">
        <f>'ERROR FINAL'!AG17</f>
        <v>0</v>
      </c>
      <c r="G14" s="77">
        <f>'ERROR FINAL'!AS17</f>
        <v>0</v>
      </c>
      <c r="H14" s="78" t="str">
        <f>IF('ERROR FINAL'!AT17="CONFORME","CONFORME","NO CONFORME")</f>
        <v>NO CONFORME</v>
      </c>
      <c r="I14" s="79" t="str">
        <f t="shared" si="0"/>
        <v>Medición</v>
      </c>
    </row>
    <row r="15" spans="1:9" x14ac:dyDescent="0.2">
      <c r="A15" s="72">
        <f>'ERROR FINAL'!A18</f>
        <v>0</v>
      </c>
      <c r="B15" s="73">
        <v>15</v>
      </c>
      <c r="C15" s="74">
        <f>'ERROR FINAL'!G18</f>
        <v>0</v>
      </c>
      <c r="D15" s="75">
        <f>'ERROR FINAL'!I18</f>
        <v>0</v>
      </c>
      <c r="E15" s="76">
        <f>'ERROR FINAL'!U18</f>
        <v>0</v>
      </c>
      <c r="F15" s="77">
        <f>'ERROR FINAL'!AG18</f>
        <v>0</v>
      </c>
      <c r="G15" s="77">
        <f>'ERROR FINAL'!AS18</f>
        <v>0</v>
      </c>
      <c r="H15" s="78" t="str">
        <f>IF('ERROR FINAL'!AT18="CONFORME","CONFORME","NO CONFORME")</f>
        <v>NO CONFORME</v>
      </c>
      <c r="I15" s="79" t="str">
        <f t="shared" si="0"/>
        <v>Medición</v>
      </c>
    </row>
    <row r="16" spans="1:9" x14ac:dyDescent="0.2">
      <c r="A16" s="72">
        <f>'ERROR FINAL'!A19</f>
        <v>0</v>
      </c>
      <c r="B16" s="73">
        <v>16</v>
      </c>
      <c r="C16" s="74">
        <f>'ERROR FINAL'!G19</f>
        <v>0</v>
      </c>
      <c r="D16" s="75">
        <f>'ERROR FINAL'!I19</f>
        <v>0</v>
      </c>
      <c r="E16" s="76">
        <f>'ERROR FINAL'!U19</f>
        <v>0</v>
      </c>
      <c r="F16" s="77">
        <f>'ERROR FINAL'!AG19</f>
        <v>0</v>
      </c>
      <c r="G16" s="77">
        <f>'ERROR FINAL'!AS19</f>
        <v>0</v>
      </c>
      <c r="H16" s="78" t="str">
        <f>IF('ERROR FINAL'!AT19="CONFORME","CONFORME","NO CONFORME")</f>
        <v>NO CONFORME</v>
      </c>
      <c r="I16" s="79" t="str">
        <f t="shared" si="0"/>
        <v>Medición</v>
      </c>
    </row>
    <row r="17" spans="1:9" x14ac:dyDescent="0.2">
      <c r="A17" s="72">
        <f>'ERROR FINAL'!A20</f>
        <v>0</v>
      </c>
      <c r="B17" s="73">
        <v>17</v>
      </c>
      <c r="C17" s="74">
        <f>'ERROR FINAL'!G20</f>
        <v>0</v>
      </c>
      <c r="D17" s="75">
        <f>'ERROR FINAL'!I20</f>
        <v>0</v>
      </c>
      <c r="E17" s="76">
        <f>'ERROR FINAL'!U20</f>
        <v>0</v>
      </c>
      <c r="F17" s="77">
        <f>'ERROR FINAL'!AG20</f>
        <v>0</v>
      </c>
      <c r="G17" s="77">
        <f>'ERROR FINAL'!AS20</f>
        <v>0</v>
      </c>
      <c r="H17" s="78" t="str">
        <f>IF('ERROR FINAL'!AT20="CONFORME","CONFORME","NO CONFORME")</f>
        <v>NO CONFORME</v>
      </c>
      <c r="I17" s="79" t="str">
        <f t="shared" si="0"/>
        <v>Medición</v>
      </c>
    </row>
    <row r="18" spans="1:9" x14ac:dyDescent="0.2">
      <c r="A18" s="72">
        <f>'ERROR FINAL'!A21</f>
        <v>0</v>
      </c>
      <c r="B18" s="73">
        <v>18</v>
      </c>
      <c r="C18" s="74">
        <f>'ERROR FINAL'!G21</f>
        <v>0</v>
      </c>
      <c r="D18" s="75">
        <f>'ERROR FINAL'!I21</f>
        <v>0</v>
      </c>
      <c r="E18" s="76">
        <f>'ERROR FINAL'!U21</f>
        <v>0</v>
      </c>
      <c r="F18" s="77">
        <f>'ERROR FINAL'!AG21</f>
        <v>0</v>
      </c>
      <c r="G18" s="77">
        <f>'ERROR FINAL'!AS21</f>
        <v>0</v>
      </c>
      <c r="H18" s="78" t="str">
        <f>IF('ERROR FINAL'!AT21="CONFORME","CONFORME","NO CONFORME")</f>
        <v>NO CONFORME</v>
      </c>
      <c r="I18" s="79" t="str">
        <f t="shared" si="0"/>
        <v>Medición</v>
      </c>
    </row>
    <row r="19" spans="1:9" x14ac:dyDescent="0.2">
      <c r="A19" s="72">
        <f>'ERROR FINAL'!A22</f>
        <v>0</v>
      </c>
      <c r="B19" s="73">
        <v>19</v>
      </c>
      <c r="C19" s="74">
        <f>'ERROR FINAL'!G22</f>
        <v>0</v>
      </c>
      <c r="D19" s="75">
        <f>'ERROR FINAL'!I22</f>
        <v>0</v>
      </c>
      <c r="E19" s="76">
        <f>'ERROR FINAL'!U22</f>
        <v>0</v>
      </c>
      <c r="F19" s="77">
        <f>'ERROR FINAL'!AG22</f>
        <v>0</v>
      </c>
      <c r="G19" s="77">
        <f>'ERROR FINAL'!AS22</f>
        <v>0</v>
      </c>
      <c r="H19" s="78" t="str">
        <f>IF('ERROR FINAL'!AT22="CONFORME","CONFORME","NO CONFORME")</f>
        <v>NO CONFORME</v>
      </c>
      <c r="I19" s="79" t="str">
        <f t="shared" si="0"/>
        <v>Medición</v>
      </c>
    </row>
    <row r="20" spans="1:9" x14ac:dyDescent="0.2">
      <c r="A20" s="72">
        <f>'ERROR FINAL'!A23</f>
        <v>0</v>
      </c>
      <c r="B20" s="73">
        <v>20</v>
      </c>
      <c r="C20" s="74">
        <f>'ERROR FINAL'!G23</f>
        <v>0</v>
      </c>
      <c r="D20" s="75">
        <f>'ERROR FINAL'!I23</f>
        <v>0</v>
      </c>
      <c r="E20" s="76">
        <f>'ERROR FINAL'!U23</f>
        <v>0</v>
      </c>
      <c r="F20" s="77">
        <f>'ERROR FINAL'!AG23</f>
        <v>0</v>
      </c>
      <c r="G20" s="77">
        <f>'ERROR FINAL'!AS23</f>
        <v>0</v>
      </c>
      <c r="H20" s="78" t="str">
        <f>IF('ERROR FINAL'!AT23="CONFORME","CONFORME","NO CONFORME")</f>
        <v>NO CONFORME</v>
      </c>
      <c r="I20" s="79" t="str">
        <f t="shared" si="0"/>
        <v>Medición</v>
      </c>
    </row>
    <row r="21" spans="1:9" x14ac:dyDescent="0.2">
      <c r="A21" s="72">
        <f>'ERROR FINAL'!A24</f>
        <v>0</v>
      </c>
      <c r="B21" s="73">
        <v>21</v>
      </c>
      <c r="C21" s="74">
        <f>'ERROR FINAL'!G24</f>
        <v>0</v>
      </c>
      <c r="D21" s="75">
        <f>'ERROR FINAL'!I24</f>
        <v>0</v>
      </c>
      <c r="E21" s="76">
        <f>'ERROR FINAL'!U24</f>
        <v>0</v>
      </c>
      <c r="F21" s="77">
        <f>'ERROR FINAL'!AG24</f>
        <v>0</v>
      </c>
      <c r="G21" s="77">
        <f>'ERROR FINAL'!AS24</f>
        <v>0</v>
      </c>
      <c r="H21" s="78" t="str">
        <f>IF('ERROR FINAL'!AT24="CONFORME","CONFORME","NO CONFORME")</f>
        <v>NO CONFORME</v>
      </c>
      <c r="I21" s="79" t="str">
        <f t="shared" si="0"/>
        <v>Medición</v>
      </c>
    </row>
    <row r="22" spans="1:9" x14ac:dyDescent="0.2">
      <c r="A22" s="72">
        <f>'ERROR FINAL'!A25</f>
        <v>0</v>
      </c>
      <c r="B22" s="73">
        <v>22</v>
      </c>
      <c r="C22" s="74">
        <f>'ERROR FINAL'!G25</f>
        <v>0</v>
      </c>
      <c r="D22" s="75">
        <f>'ERROR FINAL'!I25</f>
        <v>0</v>
      </c>
      <c r="E22" s="76">
        <f>'ERROR FINAL'!U25</f>
        <v>0</v>
      </c>
      <c r="F22" s="77">
        <f>'ERROR FINAL'!AG25</f>
        <v>0</v>
      </c>
      <c r="G22" s="77">
        <f>'ERROR FINAL'!AS25</f>
        <v>0</v>
      </c>
      <c r="H22" s="78" t="str">
        <f>IF('ERROR FINAL'!AT25="CONFORME","CONFORME","NO CONFORME")</f>
        <v>NO CONFORME</v>
      </c>
      <c r="I22" s="79" t="str">
        <f t="shared" si="0"/>
        <v>Medición</v>
      </c>
    </row>
    <row r="23" spans="1:9" x14ac:dyDescent="0.2">
      <c r="A23" s="72">
        <f>'ERROR FINAL'!A26</f>
        <v>0</v>
      </c>
      <c r="B23" s="73">
        <v>23</v>
      </c>
      <c r="C23" s="74">
        <f>'ERROR FINAL'!G26</f>
        <v>0</v>
      </c>
      <c r="D23" s="75">
        <f>'ERROR FINAL'!I26</f>
        <v>0</v>
      </c>
      <c r="E23" s="76">
        <f>'ERROR FINAL'!U26</f>
        <v>0</v>
      </c>
      <c r="F23" s="77">
        <f>'ERROR FINAL'!AG26</f>
        <v>0</v>
      </c>
      <c r="G23" s="77">
        <f>'ERROR FINAL'!AS26</f>
        <v>0</v>
      </c>
      <c r="H23" s="78" t="str">
        <f>IF('ERROR FINAL'!AT26="CONFORME","CONFORME","NO CONFORME")</f>
        <v>NO CONFORME</v>
      </c>
      <c r="I23" s="79" t="str">
        <f t="shared" si="0"/>
        <v>Medición</v>
      </c>
    </row>
    <row r="24" spans="1:9" x14ac:dyDescent="0.2">
      <c r="A24" s="72">
        <f>'ERROR FINAL'!A27</f>
        <v>0</v>
      </c>
      <c r="B24" s="73">
        <v>24</v>
      </c>
      <c r="C24" s="74">
        <f>'ERROR FINAL'!G27</f>
        <v>0</v>
      </c>
      <c r="D24" s="75">
        <f>'ERROR FINAL'!I27</f>
        <v>0</v>
      </c>
      <c r="E24" s="76">
        <f>'ERROR FINAL'!U27</f>
        <v>0</v>
      </c>
      <c r="F24" s="77">
        <f>'ERROR FINAL'!AG27</f>
        <v>0</v>
      </c>
      <c r="G24" s="77">
        <f>'ERROR FINAL'!AS27</f>
        <v>0</v>
      </c>
      <c r="H24" s="78" t="str">
        <f>IF('ERROR FINAL'!AT27="CONFORME","CONFORME","NO CONFORME")</f>
        <v>NO CONFORME</v>
      </c>
      <c r="I24" s="79" t="str">
        <f t="shared" si="0"/>
        <v>Medición</v>
      </c>
    </row>
    <row r="25" spans="1:9" x14ac:dyDescent="0.2">
      <c r="A25" s="72">
        <f>'ERROR FINAL'!A28</f>
        <v>0</v>
      </c>
      <c r="B25" s="73">
        <v>25</v>
      </c>
      <c r="C25" s="74">
        <f>'ERROR FINAL'!G28</f>
        <v>0</v>
      </c>
      <c r="D25" s="75">
        <f>'ERROR FINAL'!I28</f>
        <v>0</v>
      </c>
      <c r="E25" s="76">
        <f>'ERROR FINAL'!U28</f>
        <v>0</v>
      </c>
      <c r="F25" s="77">
        <f>'ERROR FINAL'!AG28</f>
        <v>0</v>
      </c>
      <c r="G25" s="77">
        <f>'ERROR FINAL'!AS28</f>
        <v>0</v>
      </c>
      <c r="H25" s="78" t="str">
        <f>IF('ERROR FINAL'!AT28="CONFORME","CONFORME","NO CONFORME")</f>
        <v>NO CONFORME</v>
      </c>
      <c r="I25" s="79" t="str">
        <f t="shared" si="0"/>
        <v>Medición</v>
      </c>
    </row>
    <row r="26" spans="1:9" x14ac:dyDescent="0.2">
      <c r="A26" s="72">
        <f>'ERROR FINAL'!A29</f>
        <v>0</v>
      </c>
      <c r="B26" s="73">
        <v>26</v>
      </c>
      <c r="C26" s="74">
        <f>'ERROR FINAL'!G29</f>
        <v>0</v>
      </c>
      <c r="D26" s="75">
        <f>'ERROR FINAL'!I29</f>
        <v>0</v>
      </c>
      <c r="E26" s="76">
        <f>'ERROR FINAL'!U29</f>
        <v>0</v>
      </c>
      <c r="F26" s="77">
        <f>'ERROR FINAL'!AG29</f>
        <v>0</v>
      </c>
      <c r="G26" s="77">
        <f>'ERROR FINAL'!AS29</f>
        <v>0</v>
      </c>
      <c r="H26" s="78" t="str">
        <f>IF('ERROR FINAL'!AT29="CONFORME","CONFORME","NO CONFORME")</f>
        <v>NO CONFORME</v>
      </c>
      <c r="I26" s="79" t="str">
        <f t="shared" si="0"/>
        <v>Medición</v>
      </c>
    </row>
    <row r="27" spans="1:9" x14ac:dyDescent="0.2">
      <c r="A27" s="72">
        <f>'ERROR FINAL'!A30</f>
        <v>0</v>
      </c>
      <c r="B27" s="73">
        <v>27</v>
      </c>
      <c r="C27" s="74">
        <f>'ERROR FINAL'!G30</f>
        <v>0</v>
      </c>
      <c r="D27" s="75">
        <f>'ERROR FINAL'!I30</f>
        <v>0</v>
      </c>
      <c r="E27" s="76">
        <f>'ERROR FINAL'!U30</f>
        <v>0</v>
      </c>
      <c r="F27" s="77">
        <f>'ERROR FINAL'!AG30</f>
        <v>0</v>
      </c>
      <c r="G27" s="77">
        <f>'ERROR FINAL'!AS30</f>
        <v>0</v>
      </c>
      <c r="H27" s="78" t="str">
        <f>IF('ERROR FINAL'!AT30="CONFORME","CONFORME","NO CONFORME")</f>
        <v>NO CONFORME</v>
      </c>
      <c r="I27" s="79" t="str">
        <f t="shared" si="0"/>
        <v>Medición</v>
      </c>
    </row>
    <row r="28" spans="1:9" x14ac:dyDescent="0.2">
      <c r="A28" s="72">
        <f>'ERROR FINAL'!A31</f>
        <v>0</v>
      </c>
      <c r="B28" s="73">
        <v>28</v>
      </c>
      <c r="C28" s="74">
        <f>'ERROR FINAL'!G31</f>
        <v>0</v>
      </c>
      <c r="D28" s="75">
        <f>'ERROR FINAL'!I31</f>
        <v>0</v>
      </c>
      <c r="E28" s="76">
        <f>'ERROR FINAL'!U31</f>
        <v>0</v>
      </c>
      <c r="F28" s="77">
        <f>'ERROR FINAL'!AG31</f>
        <v>0</v>
      </c>
      <c r="G28" s="77">
        <f>'ERROR FINAL'!AS31</f>
        <v>0</v>
      </c>
      <c r="H28" s="78" t="str">
        <f>IF('ERROR FINAL'!AT31="CONFORME","CONFORME","NO CONFORME")</f>
        <v>NO CONFORME</v>
      </c>
      <c r="I28" s="79" t="str">
        <f t="shared" si="0"/>
        <v>Medición</v>
      </c>
    </row>
    <row r="29" spans="1:9" x14ac:dyDescent="0.2">
      <c r="A29" s="72">
        <f>'ERROR FINAL'!A32</f>
        <v>0</v>
      </c>
      <c r="B29" s="73">
        <v>29</v>
      </c>
      <c r="C29" s="74">
        <f>'ERROR FINAL'!G32</f>
        <v>0</v>
      </c>
      <c r="D29" s="75">
        <f>'ERROR FINAL'!I32</f>
        <v>0</v>
      </c>
      <c r="E29" s="76">
        <f>'ERROR FINAL'!U32</f>
        <v>0</v>
      </c>
      <c r="F29" s="77">
        <f>'ERROR FINAL'!AG32</f>
        <v>0</v>
      </c>
      <c r="G29" s="77">
        <f>'ERROR FINAL'!AS32</f>
        <v>0</v>
      </c>
      <c r="H29" s="78" t="str">
        <f>IF('ERROR FINAL'!AT32="CONFORME","CONFORME","NO CONFORME")</f>
        <v>NO CONFORME</v>
      </c>
      <c r="I29" s="79" t="str">
        <f t="shared" si="0"/>
        <v>Medición</v>
      </c>
    </row>
    <row r="30" spans="1:9" x14ac:dyDescent="0.2">
      <c r="A30" s="72">
        <f>'ERROR FINAL'!A33</f>
        <v>0</v>
      </c>
      <c r="B30" s="73">
        <v>30</v>
      </c>
      <c r="C30" s="74">
        <f>'ERROR FINAL'!G33</f>
        <v>0</v>
      </c>
      <c r="D30" s="75">
        <f>'ERROR FINAL'!I33</f>
        <v>0</v>
      </c>
      <c r="E30" s="76">
        <f>'ERROR FINAL'!U33</f>
        <v>0</v>
      </c>
      <c r="F30" s="77">
        <f>'ERROR FINAL'!AG33</f>
        <v>0</v>
      </c>
      <c r="G30" s="77">
        <f>'ERROR FINAL'!AS33</f>
        <v>0</v>
      </c>
      <c r="H30" s="78" t="str">
        <f>IF('ERROR FINAL'!AT33="CONFORME","CONFORME","NO CONFORME")</f>
        <v>NO CONFORME</v>
      </c>
      <c r="I30" s="79" t="str">
        <f t="shared" si="0"/>
        <v>Medición</v>
      </c>
    </row>
    <row r="31" spans="1:9" x14ac:dyDescent="0.2">
      <c r="A31" s="72">
        <f>'ERROR FINAL'!A34</f>
        <v>0</v>
      </c>
      <c r="B31" s="73">
        <v>31</v>
      </c>
      <c r="C31" s="74">
        <f>'ERROR FINAL'!G34</f>
        <v>0</v>
      </c>
      <c r="D31" s="75">
        <f>'ERROR FINAL'!I34</f>
        <v>0</v>
      </c>
      <c r="E31" s="76">
        <f>'ERROR FINAL'!U34</f>
        <v>0</v>
      </c>
      <c r="F31" s="77">
        <f>'ERROR FINAL'!AG34</f>
        <v>0</v>
      </c>
      <c r="G31" s="77">
        <f>'ERROR FINAL'!AS34</f>
        <v>0</v>
      </c>
      <c r="H31" s="78" t="str">
        <f>IF('ERROR FINAL'!AT34="CONFORME","CONFORME","NO CONFORME")</f>
        <v>NO CONFORME</v>
      </c>
      <c r="I31" s="79" t="str">
        <f t="shared" si="0"/>
        <v>Medición</v>
      </c>
    </row>
    <row r="32" spans="1:9" x14ac:dyDescent="0.2">
      <c r="A32" s="72">
        <f>'ERROR FINAL'!A35</f>
        <v>0</v>
      </c>
      <c r="B32" s="73">
        <v>32</v>
      </c>
      <c r="C32" s="74">
        <f>'ERROR FINAL'!G35</f>
        <v>0</v>
      </c>
      <c r="D32" s="75">
        <f>'ERROR FINAL'!I35</f>
        <v>0</v>
      </c>
      <c r="E32" s="76">
        <f>'ERROR FINAL'!U35</f>
        <v>0</v>
      </c>
      <c r="F32" s="77">
        <f>'ERROR FINAL'!AG35</f>
        <v>0</v>
      </c>
      <c r="G32" s="77">
        <f>'ERROR FINAL'!AS35</f>
        <v>0</v>
      </c>
      <c r="H32" s="78" t="str">
        <f>IF('ERROR FINAL'!AT35="CONFORME","CONFORME","NO CONFORME")</f>
        <v>NO CONFORME</v>
      </c>
      <c r="I32" s="79" t="str">
        <f t="shared" si="0"/>
        <v>Medición</v>
      </c>
    </row>
    <row r="33" spans="1:9" x14ac:dyDescent="0.2">
      <c r="A33" s="72">
        <f>'ERROR FINAL'!A36</f>
        <v>0</v>
      </c>
      <c r="B33" s="73">
        <v>33</v>
      </c>
      <c r="C33" s="74">
        <f>'ERROR FINAL'!G36</f>
        <v>0</v>
      </c>
      <c r="D33" s="75">
        <f>'ERROR FINAL'!I36</f>
        <v>0</v>
      </c>
      <c r="E33" s="76">
        <f>'ERROR FINAL'!U36</f>
        <v>0</v>
      </c>
      <c r="F33" s="77">
        <f>'ERROR FINAL'!AG36</f>
        <v>0</v>
      </c>
      <c r="G33" s="77">
        <f>'ERROR FINAL'!AS36</f>
        <v>0</v>
      </c>
      <c r="H33" s="78" t="str">
        <f>IF('ERROR FINAL'!AT36="CONFORME","CONFORME","NO CONFORME")</f>
        <v>NO CONFORME</v>
      </c>
      <c r="I33" s="79" t="str">
        <f t="shared" si="0"/>
        <v>Medición</v>
      </c>
    </row>
    <row r="34" spans="1:9" x14ac:dyDescent="0.2">
      <c r="A34" s="72">
        <f>'ERROR FINAL'!A37</f>
        <v>0</v>
      </c>
      <c r="B34" s="73">
        <v>34</v>
      </c>
      <c r="C34" s="74">
        <f>'ERROR FINAL'!G37</f>
        <v>0</v>
      </c>
      <c r="D34" s="75">
        <f>'ERROR FINAL'!I37</f>
        <v>0</v>
      </c>
      <c r="E34" s="76">
        <f>'ERROR FINAL'!U37</f>
        <v>0</v>
      </c>
      <c r="F34" s="77">
        <f>'ERROR FINAL'!AG37</f>
        <v>0</v>
      </c>
      <c r="G34" s="77">
        <f>'ERROR FINAL'!AS37</f>
        <v>0</v>
      </c>
      <c r="H34" s="78" t="str">
        <f>IF('ERROR FINAL'!AT37="CONFORME","CONFORME","NO CONFORME")</f>
        <v>NO CONFORME</v>
      </c>
      <c r="I34" s="79" t="str">
        <f t="shared" si="0"/>
        <v>Medición</v>
      </c>
    </row>
    <row r="35" spans="1:9" x14ac:dyDescent="0.2">
      <c r="A35" s="72">
        <f>'ERROR FINAL'!A38</f>
        <v>0</v>
      </c>
      <c r="B35" s="73">
        <v>35</v>
      </c>
      <c r="C35" s="74">
        <f>'ERROR FINAL'!G38</f>
        <v>0</v>
      </c>
      <c r="D35" s="75">
        <f>'ERROR FINAL'!I38</f>
        <v>0</v>
      </c>
      <c r="E35" s="76">
        <f>'ERROR FINAL'!U38</f>
        <v>0</v>
      </c>
      <c r="F35" s="77">
        <f>'ERROR FINAL'!AG38</f>
        <v>0</v>
      </c>
      <c r="G35" s="77">
        <f>'ERROR FINAL'!AS38</f>
        <v>0</v>
      </c>
      <c r="H35" s="78" t="str">
        <f>IF('ERROR FINAL'!AT38="CONFORME","CONFORME","NO CONFORME")</f>
        <v>NO CONFORME</v>
      </c>
      <c r="I35" s="79" t="str">
        <f t="shared" si="0"/>
        <v>Medición</v>
      </c>
    </row>
    <row r="36" spans="1:9" x14ac:dyDescent="0.2">
      <c r="A36" s="72">
        <f>'ERROR FINAL'!A39</f>
        <v>0</v>
      </c>
      <c r="B36" s="73">
        <v>36</v>
      </c>
      <c r="C36" s="74">
        <f>'ERROR FINAL'!G39</f>
        <v>0</v>
      </c>
      <c r="D36" s="75">
        <f>'ERROR FINAL'!I39</f>
        <v>0</v>
      </c>
      <c r="E36" s="76">
        <f>'ERROR FINAL'!U39</f>
        <v>0</v>
      </c>
      <c r="F36" s="77">
        <f>'ERROR FINAL'!AG39</f>
        <v>0</v>
      </c>
      <c r="G36" s="77">
        <f>'ERROR FINAL'!AS39</f>
        <v>0</v>
      </c>
      <c r="H36" s="78" t="str">
        <f>IF('ERROR FINAL'!AT39="CONFORME","CONFORME","NO CONFORME")</f>
        <v>NO CONFORME</v>
      </c>
      <c r="I36" s="79" t="str">
        <f t="shared" si="0"/>
        <v>Medición</v>
      </c>
    </row>
    <row r="37" spans="1:9" x14ac:dyDescent="0.2">
      <c r="A37" s="72">
        <f>'ERROR FINAL'!A40</f>
        <v>0</v>
      </c>
      <c r="B37" s="73">
        <v>37</v>
      </c>
      <c r="C37" s="74">
        <f>'ERROR FINAL'!G40</f>
        <v>0</v>
      </c>
      <c r="D37" s="75">
        <f>'ERROR FINAL'!I40</f>
        <v>0</v>
      </c>
      <c r="E37" s="76">
        <f>'ERROR FINAL'!U40</f>
        <v>0</v>
      </c>
      <c r="F37" s="77">
        <f>'ERROR FINAL'!AG40</f>
        <v>0</v>
      </c>
      <c r="G37" s="77">
        <f>'ERROR FINAL'!AS40</f>
        <v>0</v>
      </c>
      <c r="H37" s="78" t="str">
        <f>IF('ERROR FINAL'!AT40="CONFORME","CONFORME","NO CONFORME")</f>
        <v>NO CONFORME</v>
      </c>
      <c r="I37" s="79" t="str">
        <f t="shared" si="0"/>
        <v>Medición</v>
      </c>
    </row>
    <row r="38" spans="1:9" x14ac:dyDescent="0.2">
      <c r="A38" s="72">
        <f>'ERROR FINAL'!A41</f>
        <v>0</v>
      </c>
      <c r="B38" s="73">
        <v>38</v>
      </c>
      <c r="C38" s="74">
        <f>'ERROR FINAL'!G41</f>
        <v>0</v>
      </c>
      <c r="D38" s="75">
        <f>'ERROR FINAL'!I41</f>
        <v>0</v>
      </c>
      <c r="E38" s="76">
        <f>'ERROR FINAL'!U41</f>
        <v>0</v>
      </c>
      <c r="F38" s="77">
        <f>'ERROR FINAL'!AG41</f>
        <v>0</v>
      </c>
      <c r="G38" s="77">
        <f>'ERROR FINAL'!AS41</f>
        <v>0</v>
      </c>
      <c r="H38" s="78" t="str">
        <f>IF('ERROR FINAL'!AT41="CONFORME","CONFORME","NO CONFORME")</f>
        <v>NO CONFORME</v>
      </c>
      <c r="I38" s="79" t="str">
        <f t="shared" si="0"/>
        <v>Medición</v>
      </c>
    </row>
    <row r="39" spans="1:9" x14ac:dyDescent="0.2">
      <c r="A39" s="72">
        <f>'ERROR FINAL'!A42</f>
        <v>0</v>
      </c>
      <c r="B39" s="73">
        <v>39</v>
      </c>
      <c r="C39" s="74">
        <f>'ERROR FINAL'!G42</f>
        <v>0</v>
      </c>
      <c r="D39" s="75">
        <f>'ERROR FINAL'!I42</f>
        <v>0</v>
      </c>
      <c r="E39" s="76">
        <f>'ERROR FINAL'!U42</f>
        <v>0</v>
      </c>
      <c r="F39" s="77">
        <f>'ERROR FINAL'!AG42</f>
        <v>0</v>
      </c>
      <c r="G39" s="77">
        <f>'ERROR FINAL'!AS42</f>
        <v>0</v>
      </c>
      <c r="H39" s="78" t="str">
        <f>IF('ERROR FINAL'!AT42="CONFORME","CONFORME","NO CONFORME")</f>
        <v>NO CONFORME</v>
      </c>
      <c r="I39" s="79" t="str">
        <f t="shared" si="0"/>
        <v>Medición</v>
      </c>
    </row>
    <row r="40" spans="1:9" x14ac:dyDescent="0.2">
      <c r="A40" s="72">
        <f>'ERROR FINAL'!A43</f>
        <v>0</v>
      </c>
      <c r="B40" s="73">
        <v>40</v>
      </c>
      <c r="C40" s="74">
        <f>'ERROR FINAL'!G43</f>
        <v>0</v>
      </c>
      <c r="D40" s="75">
        <f>'ERROR FINAL'!I43</f>
        <v>0</v>
      </c>
      <c r="E40" s="76">
        <f>'ERROR FINAL'!U43</f>
        <v>0</v>
      </c>
      <c r="F40" s="77">
        <f>'ERROR FINAL'!AG43</f>
        <v>0</v>
      </c>
      <c r="G40" s="77">
        <f>'ERROR FINAL'!AS43</f>
        <v>0</v>
      </c>
      <c r="H40" s="78" t="str">
        <f>IF('ERROR FINAL'!AT43="CONFORME","CONFORME","NO CONFORME")</f>
        <v>NO CONFORME</v>
      </c>
      <c r="I40" s="79" t="str">
        <f t="shared" si="0"/>
        <v>Medición</v>
      </c>
    </row>
    <row r="41" spans="1:9" x14ac:dyDescent="0.2">
      <c r="A41" s="72">
        <f>'ERROR FINAL'!A44</f>
        <v>0</v>
      </c>
      <c r="B41" s="73">
        <v>41</v>
      </c>
      <c r="C41" s="74">
        <f>'ERROR FINAL'!G44</f>
        <v>0</v>
      </c>
      <c r="D41" s="75">
        <f>'ERROR FINAL'!I44</f>
        <v>0</v>
      </c>
      <c r="E41" s="76">
        <f>'ERROR FINAL'!U44</f>
        <v>0</v>
      </c>
      <c r="F41" s="77">
        <f>'ERROR FINAL'!AG44</f>
        <v>0</v>
      </c>
      <c r="G41" s="77">
        <f>'ERROR FINAL'!AS44</f>
        <v>0</v>
      </c>
      <c r="H41" s="78" t="str">
        <f>IF('ERROR FINAL'!AT44="CONFORME","CONFORME","NO CONFORME")</f>
        <v>NO CONFORME</v>
      </c>
      <c r="I41" s="79" t="str">
        <f t="shared" si="0"/>
        <v>Medición</v>
      </c>
    </row>
    <row r="42" spans="1:9" x14ac:dyDescent="0.2">
      <c r="A42" s="72">
        <f>'ERROR FINAL'!A45</f>
        <v>0</v>
      </c>
      <c r="B42" s="73">
        <v>42</v>
      </c>
      <c r="C42" s="74">
        <f>'ERROR FINAL'!G45</f>
        <v>0</v>
      </c>
      <c r="D42" s="75">
        <f>'ERROR FINAL'!I45</f>
        <v>0</v>
      </c>
      <c r="E42" s="76">
        <f>'ERROR FINAL'!U45</f>
        <v>0</v>
      </c>
      <c r="F42" s="77">
        <f>'ERROR FINAL'!AG45</f>
        <v>0</v>
      </c>
      <c r="G42" s="77">
        <f>'ERROR FINAL'!AS45</f>
        <v>0</v>
      </c>
      <c r="H42" s="78" t="str">
        <f>IF('ERROR FINAL'!AT45="CONFORME","CONFORME","NO CONFORME")</f>
        <v>NO CONFORME</v>
      </c>
      <c r="I42" s="79" t="str">
        <f t="shared" si="0"/>
        <v>Medición</v>
      </c>
    </row>
    <row r="43" spans="1:9" x14ac:dyDescent="0.2">
      <c r="A43" s="72">
        <f>'ERROR FINAL'!A46</f>
        <v>0</v>
      </c>
      <c r="B43" s="73">
        <v>43</v>
      </c>
      <c r="C43" s="74">
        <f>'ERROR FINAL'!G46</f>
        <v>0</v>
      </c>
      <c r="D43" s="75">
        <f>'ERROR FINAL'!I46</f>
        <v>0</v>
      </c>
      <c r="E43" s="76">
        <f>'ERROR FINAL'!U46</f>
        <v>0</v>
      </c>
      <c r="F43" s="77">
        <f>'ERROR FINAL'!AG46</f>
        <v>0</v>
      </c>
      <c r="G43" s="77">
        <f>'ERROR FINAL'!AS46</f>
        <v>0</v>
      </c>
      <c r="H43" s="78" t="str">
        <f>IF('ERROR FINAL'!AT46="CONFORME","CONFORME","NO CONFORME")</f>
        <v>NO CONFORME</v>
      </c>
      <c r="I43" s="79" t="str">
        <f t="shared" si="0"/>
        <v>Medición</v>
      </c>
    </row>
    <row r="44" spans="1:9" x14ac:dyDescent="0.2">
      <c r="A44" s="72">
        <f>'ERROR FINAL'!A47</f>
        <v>0</v>
      </c>
      <c r="B44" s="73">
        <v>44</v>
      </c>
      <c r="C44" s="74">
        <f>'ERROR FINAL'!G47</f>
        <v>0</v>
      </c>
      <c r="D44" s="75">
        <f>'ERROR FINAL'!I47</f>
        <v>0</v>
      </c>
      <c r="E44" s="76">
        <f>'ERROR FINAL'!U47</f>
        <v>0</v>
      </c>
      <c r="F44" s="77">
        <f>'ERROR FINAL'!AG47</f>
        <v>0</v>
      </c>
      <c r="G44" s="77">
        <f>'ERROR FINAL'!AS47</f>
        <v>0</v>
      </c>
      <c r="H44" s="78" t="str">
        <f>IF('ERROR FINAL'!AT47="CONFORME","CONFORME","NO CONFORME")</f>
        <v>NO CONFORME</v>
      </c>
      <c r="I44" s="79" t="str">
        <f t="shared" si="0"/>
        <v>Medición</v>
      </c>
    </row>
    <row r="45" spans="1:9" x14ac:dyDescent="0.2">
      <c r="A45" s="72">
        <f>'ERROR FINAL'!A48</f>
        <v>0</v>
      </c>
      <c r="B45" s="73">
        <v>45</v>
      </c>
      <c r="C45" s="74">
        <f>'ERROR FINAL'!G48</f>
        <v>0</v>
      </c>
      <c r="D45" s="75">
        <f>'ERROR FINAL'!I48</f>
        <v>0</v>
      </c>
      <c r="E45" s="76">
        <f>'ERROR FINAL'!U48</f>
        <v>0</v>
      </c>
      <c r="F45" s="77">
        <f>'ERROR FINAL'!AG48</f>
        <v>0</v>
      </c>
      <c r="G45" s="77">
        <f>'ERROR FINAL'!AS48</f>
        <v>0</v>
      </c>
      <c r="H45" s="78" t="str">
        <f>IF('ERROR FINAL'!AT48="CONFORME","CONFORME","NO CONFORME")</f>
        <v>NO CONFORME</v>
      </c>
      <c r="I45" s="79" t="str">
        <f t="shared" si="0"/>
        <v>Medición</v>
      </c>
    </row>
    <row r="46" spans="1:9" x14ac:dyDescent="0.2">
      <c r="A46" s="72">
        <f>'ERROR FINAL'!A49</f>
        <v>0</v>
      </c>
      <c r="B46" s="73">
        <v>46</v>
      </c>
      <c r="C46" s="74">
        <f>'ERROR FINAL'!G49</f>
        <v>0</v>
      </c>
      <c r="D46" s="75">
        <f>'ERROR FINAL'!I49</f>
        <v>0</v>
      </c>
      <c r="E46" s="76">
        <f>'ERROR FINAL'!U49</f>
        <v>0</v>
      </c>
      <c r="F46" s="77">
        <f>'ERROR FINAL'!AG49</f>
        <v>0</v>
      </c>
      <c r="G46" s="77">
        <f>'ERROR FINAL'!AS49</f>
        <v>0</v>
      </c>
      <c r="H46" s="78" t="str">
        <f>IF('ERROR FINAL'!AT49="CONFORME","CONFORME","NO CONFORME")</f>
        <v>NO CONFORME</v>
      </c>
      <c r="I46" s="79" t="str">
        <f t="shared" si="0"/>
        <v>Medición</v>
      </c>
    </row>
    <row r="47" spans="1:9" x14ac:dyDescent="0.2">
      <c r="A47" s="72">
        <f>'ERROR FINAL'!A50</f>
        <v>0</v>
      </c>
      <c r="B47" s="73">
        <v>47</v>
      </c>
      <c r="C47" s="74">
        <f>'ERROR FINAL'!G50</f>
        <v>0</v>
      </c>
      <c r="D47" s="75">
        <f>'ERROR FINAL'!I50</f>
        <v>0</v>
      </c>
      <c r="E47" s="76">
        <f>'ERROR FINAL'!U50</f>
        <v>0</v>
      </c>
      <c r="F47" s="77">
        <f>'ERROR FINAL'!AG50</f>
        <v>0</v>
      </c>
      <c r="G47" s="77">
        <f>'ERROR FINAL'!AS50</f>
        <v>0</v>
      </c>
      <c r="H47" s="78" t="str">
        <f>IF('ERROR FINAL'!AT50="CONFORME","CONFORME","NO CONFORME")</f>
        <v>NO CONFORME</v>
      </c>
      <c r="I47" s="79" t="str">
        <f t="shared" si="0"/>
        <v>Medición</v>
      </c>
    </row>
    <row r="48" spans="1:9" x14ac:dyDescent="0.2">
      <c r="A48" s="72">
        <f>'ERROR FINAL'!A51</f>
        <v>0</v>
      </c>
      <c r="B48" s="73">
        <v>48</v>
      </c>
      <c r="C48" s="74">
        <f>'ERROR FINAL'!G51</f>
        <v>0</v>
      </c>
      <c r="D48" s="75">
        <f>'ERROR FINAL'!I51</f>
        <v>0</v>
      </c>
      <c r="E48" s="76">
        <f>'ERROR FINAL'!U51</f>
        <v>0</v>
      </c>
      <c r="F48" s="77">
        <f>'ERROR FINAL'!AG51</f>
        <v>0</v>
      </c>
      <c r="G48" s="77">
        <f>'ERROR FINAL'!AS51</f>
        <v>0</v>
      </c>
      <c r="H48" s="78" t="str">
        <f>IF('ERROR FINAL'!AT51="CONFORME","CONFORME","NO CONFORME")</f>
        <v>NO CONFORME</v>
      </c>
      <c r="I48" s="79" t="str">
        <f t="shared" si="0"/>
        <v>Medición</v>
      </c>
    </row>
    <row r="49" spans="1:9" x14ac:dyDescent="0.2">
      <c r="A49" s="72">
        <f>'ERROR FINAL'!A52</f>
        <v>0</v>
      </c>
      <c r="B49" s="73">
        <v>49</v>
      </c>
      <c r="C49" s="74">
        <f>'ERROR FINAL'!G52</f>
        <v>0</v>
      </c>
      <c r="D49" s="75">
        <f>'ERROR FINAL'!I52</f>
        <v>0</v>
      </c>
      <c r="E49" s="76">
        <f>'ERROR FINAL'!U52</f>
        <v>0</v>
      </c>
      <c r="F49" s="77">
        <f>'ERROR FINAL'!AG52</f>
        <v>0</v>
      </c>
      <c r="G49" s="77">
        <f>'ERROR FINAL'!AS52</f>
        <v>0</v>
      </c>
      <c r="H49" s="78" t="str">
        <f>IF('ERROR FINAL'!AT52="CONFORME","CONFORME","NO CONFORME")</f>
        <v>NO CONFORME</v>
      </c>
      <c r="I49" s="79" t="str">
        <f t="shared" si="0"/>
        <v>Medición</v>
      </c>
    </row>
    <row r="50" spans="1:9" x14ac:dyDescent="0.2">
      <c r="A50" s="72">
        <f>'ERROR FINAL'!A53</f>
        <v>0</v>
      </c>
      <c r="B50" s="73">
        <v>50</v>
      </c>
      <c r="C50" s="74">
        <f>'ERROR FINAL'!G53</f>
        <v>0</v>
      </c>
      <c r="D50" s="75">
        <f>'ERROR FINAL'!I53</f>
        <v>0</v>
      </c>
      <c r="E50" s="76">
        <f>'ERROR FINAL'!U53</f>
        <v>0</v>
      </c>
      <c r="F50" s="77">
        <f>'ERROR FINAL'!AG53</f>
        <v>0</v>
      </c>
      <c r="G50" s="77">
        <f>'ERROR FINAL'!AS53</f>
        <v>0</v>
      </c>
      <c r="H50" s="78" t="str">
        <f>IF('ERROR FINAL'!AT53="CONFORME","CONFORME","NO CONFORME")</f>
        <v>NO CONFORME</v>
      </c>
      <c r="I50" s="79" t="str">
        <f t="shared" si="0"/>
        <v>Medición</v>
      </c>
    </row>
    <row r="51" spans="1:9" x14ac:dyDescent="0.2">
      <c r="A51" s="72">
        <f>'ERROR FINAL'!A54</f>
        <v>0</v>
      </c>
      <c r="B51" s="73">
        <v>51</v>
      </c>
      <c r="C51" s="74">
        <f>'ERROR FINAL'!G54</f>
        <v>0</v>
      </c>
      <c r="D51" s="75">
        <f>'ERROR FINAL'!I54</f>
        <v>0</v>
      </c>
      <c r="E51" s="76">
        <f>'ERROR FINAL'!U54</f>
        <v>0</v>
      </c>
      <c r="F51" s="77">
        <f>'ERROR FINAL'!AG54</f>
        <v>0</v>
      </c>
      <c r="G51" s="77">
        <f>'ERROR FINAL'!AS54</f>
        <v>0</v>
      </c>
      <c r="H51" s="78" t="str">
        <f>IF('ERROR FINAL'!AT54="CONFORME","CONFORME","NO CONFORME")</f>
        <v>NO CONFORME</v>
      </c>
      <c r="I51" s="79" t="str">
        <f t="shared" si="0"/>
        <v>Medición</v>
      </c>
    </row>
    <row r="52" spans="1:9" x14ac:dyDescent="0.2">
      <c r="A52" s="72">
        <f>'ERROR FINAL'!A55</f>
        <v>0</v>
      </c>
      <c r="B52" s="73">
        <v>52</v>
      </c>
      <c r="C52" s="74">
        <f>'ERROR FINAL'!G55</f>
        <v>0</v>
      </c>
      <c r="D52" s="75">
        <f>'ERROR FINAL'!I55</f>
        <v>0</v>
      </c>
      <c r="E52" s="76">
        <f>'ERROR FINAL'!U55</f>
        <v>0</v>
      </c>
      <c r="F52" s="77">
        <f>'ERROR FINAL'!AG55</f>
        <v>0</v>
      </c>
      <c r="G52" s="77">
        <f>'ERROR FINAL'!AS55</f>
        <v>0</v>
      </c>
      <c r="H52" s="78" t="str">
        <f>IF('ERROR FINAL'!AT55="CONFORME","CONFORME","NO CONFORME")</f>
        <v>NO CONFORME</v>
      </c>
      <c r="I52" s="79" t="str">
        <f t="shared" si="0"/>
        <v>Medición</v>
      </c>
    </row>
    <row r="53" spans="1:9" x14ac:dyDescent="0.2">
      <c r="A53" s="72">
        <f>'ERROR FINAL'!A56</f>
        <v>0</v>
      </c>
      <c r="B53" s="73">
        <v>53</v>
      </c>
      <c r="C53" s="74">
        <f>'ERROR FINAL'!G56</f>
        <v>0</v>
      </c>
      <c r="D53" s="75">
        <f>'ERROR FINAL'!I56</f>
        <v>0</v>
      </c>
      <c r="E53" s="76">
        <f>'ERROR FINAL'!U56</f>
        <v>0</v>
      </c>
      <c r="F53" s="77">
        <f>'ERROR FINAL'!AG56</f>
        <v>0</v>
      </c>
      <c r="G53" s="77">
        <f>'ERROR FINAL'!AS56</f>
        <v>0</v>
      </c>
      <c r="H53" s="78" t="str">
        <f>IF('ERROR FINAL'!AT56="CONFORME","CONFORME","NO CONFORME")</f>
        <v>NO CONFORME</v>
      </c>
      <c r="I53" s="79" t="str">
        <f t="shared" si="0"/>
        <v>Medición</v>
      </c>
    </row>
    <row r="54" spans="1:9" x14ac:dyDescent="0.2">
      <c r="A54" s="72">
        <f>'ERROR FINAL'!A57</f>
        <v>0</v>
      </c>
      <c r="B54" s="73">
        <v>54</v>
      </c>
      <c r="C54" s="74">
        <f>'ERROR FINAL'!G57</f>
        <v>0</v>
      </c>
      <c r="D54" s="75">
        <f>'ERROR FINAL'!I57</f>
        <v>0</v>
      </c>
      <c r="E54" s="76">
        <f>'ERROR FINAL'!U57</f>
        <v>0</v>
      </c>
      <c r="F54" s="77">
        <f>'ERROR FINAL'!AG57</f>
        <v>0</v>
      </c>
      <c r="G54" s="77">
        <f>'ERROR FINAL'!AS57</f>
        <v>0</v>
      </c>
      <c r="H54" s="78" t="str">
        <f>IF('ERROR FINAL'!AT57="CONFORME","CONFORME","NO CONFORME")</f>
        <v>NO CONFORME</v>
      </c>
      <c r="I54" s="79" t="str">
        <f t="shared" si="0"/>
        <v>Medición</v>
      </c>
    </row>
    <row r="55" spans="1:9" x14ac:dyDescent="0.2">
      <c r="A55" s="72">
        <f>'ERROR FINAL'!A58</f>
        <v>0</v>
      </c>
      <c r="B55" s="73">
        <v>55</v>
      </c>
      <c r="C55" s="74">
        <f>'ERROR FINAL'!G58</f>
        <v>0</v>
      </c>
      <c r="D55" s="75">
        <f>'ERROR FINAL'!I58</f>
        <v>0</v>
      </c>
      <c r="E55" s="76">
        <f>'ERROR FINAL'!U58</f>
        <v>0</v>
      </c>
      <c r="F55" s="77">
        <f>'ERROR FINAL'!AG58</f>
        <v>0</v>
      </c>
      <c r="G55" s="77">
        <f>'ERROR FINAL'!AS58</f>
        <v>0</v>
      </c>
      <c r="H55" s="78" t="str">
        <f>IF('ERROR FINAL'!AT58="CONFORME","CONFORME","NO CONFORME")</f>
        <v>NO CONFORME</v>
      </c>
      <c r="I55" s="79" t="str">
        <f t="shared" si="0"/>
        <v>Medición</v>
      </c>
    </row>
    <row r="56" spans="1:9" x14ac:dyDescent="0.2">
      <c r="A56" s="72">
        <f>'ERROR FINAL'!A59</f>
        <v>0</v>
      </c>
      <c r="B56" s="73">
        <v>56</v>
      </c>
      <c r="C56" s="74">
        <f>'ERROR FINAL'!G59</f>
        <v>0</v>
      </c>
      <c r="D56" s="75">
        <f>'ERROR FINAL'!I59</f>
        <v>0</v>
      </c>
      <c r="E56" s="76">
        <f>'ERROR FINAL'!U59</f>
        <v>0</v>
      </c>
      <c r="F56" s="77">
        <f>'ERROR FINAL'!AG59</f>
        <v>0</v>
      </c>
      <c r="G56" s="77">
        <f>'ERROR FINAL'!AS59</f>
        <v>0</v>
      </c>
      <c r="H56" s="78" t="str">
        <f>IF('ERROR FINAL'!AT59="CONFORME","CONFORME","NO CONFORME")</f>
        <v>NO CONFORME</v>
      </c>
      <c r="I56" s="79" t="str">
        <f t="shared" si="0"/>
        <v>Medición</v>
      </c>
    </row>
    <row r="57" spans="1:9" x14ac:dyDescent="0.2">
      <c r="A57" s="72">
        <f>'ERROR FINAL'!A60</f>
        <v>0</v>
      </c>
      <c r="B57" s="73">
        <v>57</v>
      </c>
      <c r="C57" s="74">
        <f>'ERROR FINAL'!G60</f>
        <v>0</v>
      </c>
      <c r="D57" s="75">
        <f>'ERROR FINAL'!I60</f>
        <v>0</v>
      </c>
      <c r="E57" s="76">
        <f>'ERROR FINAL'!U60</f>
        <v>0</v>
      </c>
      <c r="F57" s="77">
        <f>'ERROR FINAL'!AG60</f>
        <v>0</v>
      </c>
      <c r="G57" s="77">
        <f>'ERROR FINAL'!AS60</f>
        <v>0</v>
      </c>
      <c r="H57" s="78" t="str">
        <f>IF('ERROR FINAL'!AT60="CONFORME","CONFORME","NO CONFORME")</f>
        <v>NO CONFORME</v>
      </c>
      <c r="I57" s="79" t="str">
        <f t="shared" si="0"/>
        <v>Medición</v>
      </c>
    </row>
    <row r="58" spans="1:9" x14ac:dyDescent="0.2">
      <c r="A58" s="72">
        <f>'ERROR FINAL'!A61</f>
        <v>0</v>
      </c>
      <c r="B58" s="73">
        <v>58</v>
      </c>
      <c r="C58" s="74">
        <f>'ERROR FINAL'!G61</f>
        <v>0</v>
      </c>
      <c r="D58" s="75">
        <f>'ERROR FINAL'!I61</f>
        <v>0</v>
      </c>
      <c r="E58" s="76">
        <f>'ERROR FINAL'!U61</f>
        <v>0</v>
      </c>
      <c r="F58" s="77">
        <f>'ERROR FINAL'!AG61</f>
        <v>0</v>
      </c>
      <c r="G58" s="77">
        <f>'ERROR FINAL'!AS61</f>
        <v>0</v>
      </c>
      <c r="H58" s="78" t="str">
        <f>IF('ERROR FINAL'!AT61="CONFORME","CONFORME","NO CONFORME")</f>
        <v>NO CONFORME</v>
      </c>
      <c r="I58" s="79" t="str">
        <f t="shared" si="0"/>
        <v>Medición</v>
      </c>
    </row>
    <row r="59" spans="1:9" x14ac:dyDescent="0.2">
      <c r="A59" s="72">
        <f>'ERROR FINAL'!A62</f>
        <v>0</v>
      </c>
      <c r="B59" s="73">
        <v>59</v>
      </c>
      <c r="C59" s="74">
        <f>'ERROR FINAL'!G62</f>
        <v>0</v>
      </c>
      <c r="D59" s="75">
        <f>'ERROR FINAL'!I62</f>
        <v>0</v>
      </c>
      <c r="E59" s="76">
        <f>'ERROR FINAL'!U62</f>
        <v>0</v>
      </c>
      <c r="F59" s="77">
        <f>'ERROR FINAL'!AG62</f>
        <v>0</v>
      </c>
      <c r="G59" s="77">
        <f>'ERROR FINAL'!AS62</f>
        <v>0</v>
      </c>
      <c r="H59" s="78" t="str">
        <f>IF('ERROR FINAL'!AT62="CONFORME","CONFORME","NO CONFORME")</f>
        <v>NO CONFORME</v>
      </c>
      <c r="I59" s="79" t="str">
        <f t="shared" si="0"/>
        <v>Medición</v>
      </c>
    </row>
    <row r="60" spans="1:9" x14ac:dyDescent="0.2">
      <c r="A60" s="72">
        <f>'ERROR FINAL'!A63</f>
        <v>0</v>
      </c>
      <c r="B60" s="73">
        <v>60</v>
      </c>
      <c r="C60" s="74">
        <f>'ERROR FINAL'!G63</f>
        <v>0</v>
      </c>
      <c r="D60" s="75">
        <f>'ERROR FINAL'!I63</f>
        <v>0</v>
      </c>
      <c r="E60" s="76">
        <f>'ERROR FINAL'!U63</f>
        <v>0</v>
      </c>
      <c r="F60" s="77">
        <f>'ERROR FINAL'!AG63</f>
        <v>0</v>
      </c>
      <c r="G60" s="77">
        <f>'ERROR FINAL'!AS63</f>
        <v>0</v>
      </c>
      <c r="H60" s="78" t="str">
        <f>IF('ERROR FINAL'!AT63="CONFORME","CONFORME","NO CONFORME")</f>
        <v>NO CONFORME</v>
      </c>
      <c r="I60" s="79" t="str">
        <f t="shared" si="0"/>
        <v>Medición</v>
      </c>
    </row>
    <row r="61" spans="1:9" x14ac:dyDescent="0.2">
      <c r="A61" s="72">
        <f>'ERROR FINAL'!A64</f>
        <v>0</v>
      </c>
      <c r="B61" s="73">
        <v>61</v>
      </c>
      <c r="C61" s="74">
        <f>'ERROR FINAL'!G64</f>
        <v>0</v>
      </c>
      <c r="D61" s="75">
        <f>'ERROR FINAL'!I64</f>
        <v>0</v>
      </c>
      <c r="E61" s="76">
        <f>'ERROR FINAL'!U64</f>
        <v>0</v>
      </c>
      <c r="F61" s="77">
        <f>'ERROR FINAL'!AG64</f>
        <v>0</v>
      </c>
      <c r="G61" s="77">
        <f>'ERROR FINAL'!AS64</f>
        <v>0</v>
      </c>
      <c r="H61" s="78" t="str">
        <f>IF('ERROR FINAL'!AT64="CONFORME","CONFORME","NO CONFORME")</f>
        <v>NO CONFORME</v>
      </c>
      <c r="I61" s="79" t="str">
        <f t="shared" si="0"/>
        <v>Medición</v>
      </c>
    </row>
    <row r="62" spans="1:9" x14ac:dyDescent="0.2">
      <c r="A62" s="72">
        <f>'ERROR FINAL'!A65</f>
        <v>0</v>
      </c>
      <c r="B62" s="73">
        <v>62</v>
      </c>
      <c r="C62" s="74">
        <f>'ERROR FINAL'!G65</f>
        <v>0</v>
      </c>
      <c r="D62" s="75">
        <f>'ERROR FINAL'!I65</f>
        <v>0</v>
      </c>
      <c r="E62" s="76">
        <f>'ERROR FINAL'!U65</f>
        <v>0</v>
      </c>
      <c r="F62" s="77">
        <f>'ERROR FINAL'!AG65</f>
        <v>0</v>
      </c>
      <c r="G62" s="77">
        <f>'ERROR FINAL'!AS65</f>
        <v>0</v>
      </c>
      <c r="H62" s="78" t="str">
        <f>IF('ERROR FINAL'!AT65="CONFORME","CONFORME","NO CONFORME")</f>
        <v>NO CONFORME</v>
      </c>
      <c r="I62" s="79" t="str">
        <f t="shared" si="0"/>
        <v>Medición</v>
      </c>
    </row>
    <row r="63" spans="1:9" x14ac:dyDescent="0.2">
      <c r="A63" s="72">
        <f>'ERROR FINAL'!A66</f>
        <v>0</v>
      </c>
      <c r="B63" s="73">
        <v>63</v>
      </c>
      <c r="C63" s="74">
        <f>'ERROR FINAL'!G66</f>
        <v>0</v>
      </c>
      <c r="D63" s="75">
        <f>'ERROR FINAL'!I66</f>
        <v>0</v>
      </c>
      <c r="E63" s="76">
        <f>'ERROR FINAL'!U66</f>
        <v>0</v>
      </c>
      <c r="F63" s="77">
        <f>'ERROR FINAL'!AG66</f>
        <v>0</v>
      </c>
      <c r="G63" s="77">
        <f>'ERROR FINAL'!AS66</f>
        <v>0</v>
      </c>
      <c r="H63" s="78" t="str">
        <f>IF('ERROR FINAL'!AT66="CONFORME","CONFORME","NO CONFORME")</f>
        <v>NO CONFORME</v>
      </c>
      <c r="I63" s="79" t="str">
        <f t="shared" si="0"/>
        <v>Medición</v>
      </c>
    </row>
    <row r="64" spans="1:9" x14ac:dyDescent="0.2">
      <c r="A64" s="72">
        <f>'ERROR FINAL'!A67</f>
        <v>0</v>
      </c>
      <c r="B64" s="73">
        <v>64</v>
      </c>
      <c r="C64" s="74">
        <f>'ERROR FINAL'!G67</f>
        <v>0</v>
      </c>
      <c r="D64" s="75">
        <f>'ERROR FINAL'!I67</f>
        <v>0</v>
      </c>
      <c r="E64" s="76">
        <f>'ERROR FINAL'!U67</f>
        <v>0</v>
      </c>
      <c r="F64" s="77">
        <f>'ERROR FINAL'!AG67</f>
        <v>0</v>
      </c>
      <c r="G64" s="77">
        <f>'ERROR FINAL'!AS67</f>
        <v>0</v>
      </c>
      <c r="H64" s="78" t="str">
        <f>IF('ERROR FINAL'!AT67="CONFORME","CONFORME","NO CONFORME")</f>
        <v>NO CONFORME</v>
      </c>
      <c r="I64" s="79" t="str">
        <f t="shared" si="0"/>
        <v>Medición</v>
      </c>
    </row>
    <row r="65" spans="1:9" x14ac:dyDescent="0.2">
      <c r="A65" s="72">
        <f>'ERROR FINAL'!A68</f>
        <v>0</v>
      </c>
      <c r="B65" s="73">
        <v>65</v>
      </c>
      <c r="C65" s="74">
        <f>'ERROR FINAL'!G68</f>
        <v>0</v>
      </c>
      <c r="D65" s="75">
        <f>'ERROR FINAL'!I68</f>
        <v>0</v>
      </c>
      <c r="E65" s="76">
        <f>'ERROR FINAL'!U68</f>
        <v>0</v>
      </c>
      <c r="F65" s="77">
        <f>'ERROR FINAL'!AG68</f>
        <v>0</v>
      </c>
      <c r="G65" s="77">
        <f>'ERROR FINAL'!AS68</f>
        <v>0</v>
      </c>
      <c r="H65" s="78" t="str">
        <f>IF('ERROR FINAL'!AT68="CONFORME","CONFORME","NO CONFORME")</f>
        <v>NO CONFORME</v>
      </c>
      <c r="I65" s="79" t="str">
        <f t="shared" si="0"/>
        <v>Medición</v>
      </c>
    </row>
    <row r="66" spans="1:9" x14ac:dyDescent="0.2">
      <c r="A66" s="72">
        <f>'ERROR FINAL'!A69</f>
        <v>0</v>
      </c>
      <c r="B66" s="73">
        <v>66</v>
      </c>
      <c r="C66" s="74">
        <f>'ERROR FINAL'!G69</f>
        <v>0</v>
      </c>
      <c r="D66" s="75">
        <f>'ERROR FINAL'!I69</f>
        <v>0</v>
      </c>
      <c r="E66" s="76">
        <f>'ERROR FINAL'!U69</f>
        <v>0</v>
      </c>
      <c r="F66" s="77">
        <f>'ERROR FINAL'!AG69</f>
        <v>0</v>
      </c>
      <c r="G66" s="77">
        <f>'ERROR FINAL'!AS69</f>
        <v>0</v>
      </c>
      <c r="H66" s="78" t="str">
        <f>IF('ERROR FINAL'!AT69="CONFORME","CONFORME","NO CONFORME")</f>
        <v>NO CONFORME</v>
      </c>
      <c r="I66" s="79" t="str">
        <f t="shared" si="0"/>
        <v>Medición</v>
      </c>
    </row>
    <row r="67" spans="1:9" x14ac:dyDescent="0.2">
      <c r="A67" s="72">
        <f>'ERROR FINAL'!A70</f>
        <v>0</v>
      </c>
      <c r="B67" s="73">
        <v>67</v>
      </c>
      <c r="C67" s="74">
        <f>'ERROR FINAL'!G70</f>
        <v>0</v>
      </c>
      <c r="D67" s="75">
        <f>'ERROR FINAL'!I70</f>
        <v>0</v>
      </c>
      <c r="E67" s="76">
        <f>'ERROR FINAL'!U70</f>
        <v>0</v>
      </c>
      <c r="F67" s="77">
        <f>'ERROR FINAL'!AG70</f>
        <v>0</v>
      </c>
      <c r="G67" s="77">
        <f>'ERROR FINAL'!AS70</f>
        <v>0</v>
      </c>
      <c r="H67" s="78" t="str">
        <f>IF('ERROR FINAL'!AT70="CONFORME","CONFORME","NO CONFORME")</f>
        <v>NO CONFORME</v>
      </c>
      <c r="I67" s="79" t="str">
        <f t="shared" si="0"/>
        <v>Medición</v>
      </c>
    </row>
    <row r="68" spans="1:9" x14ac:dyDescent="0.2">
      <c r="A68" s="72">
        <f>'ERROR FINAL'!A71</f>
        <v>0</v>
      </c>
      <c r="B68" s="73">
        <v>68</v>
      </c>
      <c r="C68" s="74">
        <f>'ERROR FINAL'!G71</f>
        <v>0</v>
      </c>
      <c r="D68" s="75">
        <f>'ERROR FINAL'!I71</f>
        <v>0</v>
      </c>
      <c r="E68" s="76">
        <f>'ERROR FINAL'!U71</f>
        <v>0</v>
      </c>
      <c r="F68" s="77">
        <f>'ERROR FINAL'!AG71</f>
        <v>0</v>
      </c>
      <c r="G68" s="77">
        <f>'ERROR FINAL'!AS71</f>
        <v>0</v>
      </c>
      <c r="H68" s="78" t="str">
        <f>IF('ERROR FINAL'!AT71="CONFORME","CONFORME","NO CONFORME")</f>
        <v>NO CONFORME</v>
      </c>
      <c r="I68" s="79" t="str">
        <f t="shared" si="0"/>
        <v>Medición</v>
      </c>
    </row>
    <row r="69" spans="1:9" x14ac:dyDescent="0.2">
      <c r="A69" s="72">
        <f>'ERROR FINAL'!A72</f>
        <v>0</v>
      </c>
      <c r="B69" s="73">
        <v>69</v>
      </c>
      <c r="C69" s="74">
        <f>'ERROR FINAL'!G72</f>
        <v>0</v>
      </c>
      <c r="D69" s="75">
        <f>'ERROR FINAL'!I72</f>
        <v>0</v>
      </c>
      <c r="E69" s="76">
        <f>'ERROR FINAL'!U72</f>
        <v>0</v>
      </c>
      <c r="F69" s="77">
        <f>'ERROR FINAL'!AG72</f>
        <v>0</v>
      </c>
      <c r="G69" s="77">
        <f>'ERROR FINAL'!AS72</f>
        <v>0</v>
      </c>
      <c r="H69" s="78" t="str">
        <f>IF('ERROR FINAL'!AT72="CONFORME","CONFORME","NO CONFORME")</f>
        <v>NO CONFORME</v>
      </c>
      <c r="I69" s="79" t="str">
        <f t="shared" si="0"/>
        <v>Medición</v>
      </c>
    </row>
    <row r="70" spans="1:9" x14ac:dyDescent="0.2">
      <c r="A70" s="72">
        <f>'ERROR FINAL'!A73</f>
        <v>0</v>
      </c>
      <c r="B70" s="73">
        <v>70</v>
      </c>
      <c r="C70" s="74">
        <f>'ERROR FINAL'!G73</f>
        <v>0</v>
      </c>
      <c r="D70" s="75">
        <f>'ERROR FINAL'!I73</f>
        <v>0</v>
      </c>
      <c r="E70" s="76">
        <f>'ERROR FINAL'!U73</f>
        <v>0</v>
      </c>
      <c r="F70" s="77">
        <f>'ERROR FINAL'!AG73</f>
        <v>0</v>
      </c>
      <c r="G70" s="77">
        <f>'ERROR FINAL'!AS73</f>
        <v>0</v>
      </c>
      <c r="H70" s="78" t="str">
        <f>IF('ERROR FINAL'!AT73="CONFORME","CONFORME","NO CONFORME")</f>
        <v>NO CONFORME</v>
      </c>
      <c r="I70" s="79" t="str">
        <f t="shared" si="0"/>
        <v>Medición</v>
      </c>
    </row>
    <row r="71" spans="1:9" x14ac:dyDescent="0.2">
      <c r="A71" s="72">
        <f>'ERROR FINAL'!A74</f>
        <v>0</v>
      </c>
      <c r="B71" s="73">
        <v>71</v>
      </c>
      <c r="C71" s="74">
        <f>'ERROR FINAL'!G74</f>
        <v>0</v>
      </c>
      <c r="D71" s="75">
        <f>'ERROR FINAL'!I74</f>
        <v>0</v>
      </c>
      <c r="E71" s="76">
        <f>'ERROR FINAL'!U74</f>
        <v>0</v>
      </c>
      <c r="F71" s="77">
        <f>'ERROR FINAL'!AG74</f>
        <v>0</v>
      </c>
      <c r="G71" s="77">
        <f>'ERROR FINAL'!AS74</f>
        <v>0</v>
      </c>
      <c r="H71" s="78" t="str">
        <f>IF('ERROR FINAL'!AT74="CONFORME","CONFORME","NO CONFORME")</f>
        <v>NO CONFORME</v>
      </c>
      <c r="I71" s="7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">
      <c r="A72" s="72">
        <f>'ERROR FINAL'!A75</f>
        <v>0</v>
      </c>
      <c r="B72" s="73">
        <v>72</v>
      </c>
      <c r="C72" s="74">
        <f>'ERROR FINAL'!G75</f>
        <v>0</v>
      </c>
      <c r="D72" s="75">
        <f>'ERROR FINAL'!I75</f>
        <v>0</v>
      </c>
      <c r="E72" s="76">
        <f>'ERROR FINAL'!U75</f>
        <v>0</v>
      </c>
      <c r="F72" s="77">
        <f>'ERROR FINAL'!AG75</f>
        <v>0</v>
      </c>
      <c r="G72" s="77">
        <f>'ERROR FINAL'!AS75</f>
        <v>0</v>
      </c>
      <c r="H72" s="78" t="str">
        <f>IF('ERROR FINAL'!AT75="CONFORME","CONFORME","NO CONFORME")</f>
        <v>NO CONFORME</v>
      </c>
      <c r="I72" s="79" t="str">
        <f t="shared" si="1"/>
        <v>Medición</v>
      </c>
    </row>
    <row r="73" spans="1:9" x14ac:dyDescent="0.2">
      <c r="A73" s="72">
        <f>'ERROR FINAL'!A76</f>
        <v>0</v>
      </c>
      <c r="B73" s="73">
        <v>73</v>
      </c>
      <c r="C73" s="74">
        <f>'ERROR FINAL'!G76</f>
        <v>0</v>
      </c>
      <c r="D73" s="75">
        <f>'ERROR FINAL'!I76</f>
        <v>0</v>
      </c>
      <c r="E73" s="76">
        <f>'ERROR FINAL'!U76</f>
        <v>0</v>
      </c>
      <c r="F73" s="77">
        <f>'ERROR FINAL'!AG76</f>
        <v>0</v>
      </c>
      <c r="G73" s="77">
        <f>'ERROR FINAL'!AS76</f>
        <v>0</v>
      </c>
      <c r="H73" s="78" t="str">
        <f>IF('ERROR FINAL'!AT76="CONFORME","CONFORME","NO CONFORME")</f>
        <v>NO CONFORME</v>
      </c>
      <c r="I73" s="79" t="str">
        <f t="shared" si="1"/>
        <v>Medición</v>
      </c>
    </row>
    <row r="74" spans="1:9" x14ac:dyDescent="0.2">
      <c r="A74" s="72">
        <f>'ERROR FINAL'!A77</f>
        <v>0</v>
      </c>
      <c r="B74" s="73">
        <v>74</v>
      </c>
      <c r="C74" s="74">
        <f>'ERROR FINAL'!G77</f>
        <v>0</v>
      </c>
      <c r="D74" s="75">
        <f>'ERROR FINAL'!I77</f>
        <v>0</v>
      </c>
      <c r="E74" s="76">
        <f>'ERROR FINAL'!U77</f>
        <v>0</v>
      </c>
      <c r="F74" s="77">
        <f>'ERROR FINAL'!AG77</f>
        <v>0</v>
      </c>
      <c r="G74" s="77">
        <f>'ERROR FINAL'!AS77</f>
        <v>0</v>
      </c>
      <c r="H74" s="78" t="str">
        <f>IF('ERROR FINAL'!AT77="CONFORME","CONFORME","NO CONFORME")</f>
        <v>NO CONFORME</v>
      </c>
      <c r="I74" s="79" t="str">
        <f t="shared" si="1"/>
        <v>Medición</v>
      </c>
    </row>
    <row r="75" spans="1:9" x14ac:dyDescent="0.2">
      <c r="A75" s="72">
        <f>'ERROR FINAL'!A78</f>
        <v>0</v>
      </c>
      <c r="B75" s="73">
        <v>75</v>
      </c>
      <c r="C75" s="74">
        <f>'ERROR FINAL'!G78</f>
        <v>0</v>
      </c>
      <c r="D75" s="75">
        <f>'ERROR FINAL'!I78</f>
        <v>0</v>
      </c>
      <c r="E75" s="76">
        <f>'ERROR FINAL'!U78</f>
        <v>0</v>
      </c>
      <c r="F75" s="77">
        <f>'ERROR FINAL'!AG78</f>
        <v>0</v>
      </c>
      <c r="G75" s="77">
        <f>'ERROR FINAL'!AS78</f>
        <v>0</v>
      </c>
      <c r="H75" s="78" t="str">
        <f>IF('ERROR FINAL'!AT78="CONFORME","CONFORME","NO CONFORME")</f>
        <v>NO CONFORME</v>
      </c>
      <c r="I75" s="79" t="str">
        <f t="shared" si="1"/>
        <v>Medición</v>
      </c>
    </row>
    <row r="76" spans="1:9" x14ac:dyDescent="0.2">
      <c r="A76" s="72">
        <f>'ERROR FINAL'!A79</f>
        <v>0</v>
      </c>
      <c r="B76" s="73">
        <v>76</v>
      </c>
      <c r="C76" s="74">
        <f>'ERROR FINAL'!G79</f>
        <v>0</v>
      </c>
      <c r="D76" s="75">
        <f>'ERROR FINAL'!I79</f>
        <v>0</v>
      </c>
      <c r="E76" s="76">
        <f>'ERROR FINAL'!U79</f>
        <v>0</v>
      </c>
      <c r="F76" s="77">
        <f>'ERROR FINAL'!AG79</f>
        <v>0</v>
      </c>
      <c r="G76" s="77">
        <f>'ERROR FINAL'!AS79</f>
        <v>0</v>
      </c>
      <c r="H76" s="78" t="str">
        <f>IF('ERROR FINAL'!AT79="CONFORME","CONFORME","NO CONFORME")</f>
        <v>NO CONFORME</v>
      </c>
      <c r="I76" s="79" t="str">
        <f t="shared" si="1"/>
        <v>Medición</v>
      </c>
    </row>
    <row r="77" spans="1:9" x14ac:dyDescent="0.2">
      <c r="A77" s="72">
        <f>'ERROR FINAL'!A80</f>
        <v>0</v>
      </c>
      <c r="B77" s="73">
        <v>77</v>
      </c>
      <c r="C77" s="74">
        <f>'ERROR FINAL'!G80</f>
        <v>0</v>
      </c>
      <c r="D77" s="75">
        <f>'ERROR FINAL'!I80</f>
        <v>0</v>
      </c>
      <c r="E77" s="76">
        <f>'ERROR FINAL'!U80</f>
        <v>0</v>
      </c>
      <c r="F77" s="77">
        <f>'ERROR FINAL'!AG80</f>
        <v>0</v>
      </c>
      <c r="G77" s="77">
        <f>'ERROR FINAL'!AS80</f>
        <v>0</v>
      </c>
      <c r="H77" s="78" t="str">
        <f>IF('ERROR FINAL'!AT80="CONFORME","CONFORME","NO CONFORME")</f>
        <v>NO CONFORME</v>
      </c>
      <c r="I77" s="79" t="str">
        <f t="shared" si="1"/>
        <v>Medición</v>
      </c>
    </row>
    <row r="78" spans="1:9" x14ac:dyDescent="0.2">
      <c r="A78" s="72">
        <f>'ERROR FINAL'!A81</f>
        <v>0</v>
      </c>
      <c r="B78" s="73">
        <v>78</v>
      </c>
      <c r="C78" s="74">
        <f>'ERROR FINAL'!G81</f>
        <v>0</v>
      </c>
      <c r="D78" s="75">
        <f>'ERROR FINAL'!I81</f>
        <v>0</v>
      </c>
      <c r="E78" s="76">
        <f>'ERROR FINAL'!U81</f>
        <v>0</v>
      </c>
      <c r="F78" s="77">
        <f>'ERROR FINAL'!AG81</f>
        <v>0</v>
      </c>
      <c r="G78" s="77">
        <f>'ERROR FINAL'!AS81</f>
        <v>0</v>
      </c>
      <c r="H78" s="78" t="str">
        <f>IF('ERROR FINAL'!AT81="CONFORME","CONFORME","NO CONFORME")</f>
        <v>NO CONFORME</v>
      </c>
      <c r="I78" s="79" t="str">
        <f t="shared" si="1"/>
        <v>Medición</v>
      </c>
    </row>
    <row r="79" spans="1:9" x14ac:dyDescent="0.2">
      <c r="A79" s="72">
        <f>'ERROR FINAL'!A82</f>
        <v>0</v>
      </c>
      <c r="B79" s="73">
        <v>79</v>
      </c>
      <c r="C79" s="74">
        <f>'ERROR FINAL'!G82</f>
        <v>0</v>
      </c>
      <c r="D79" s="75">
        <f>'ERROR FINAL'!I82</f>
        <v>0</v>
      </c>
      <c r="E79" s="76">
        <f>'ERROR FINAL'!U82</f>
        <v>0</v>
      </c>
      <c r="F79" s="77">
        <f>'ERROR FINAL'!AG82</f>
        <v>0</v>
      </c>
      <c r="G79" s="77">
        <f>'ERROR FINAL'!AS82</f>
        <v>0</v>
      </c>
      <c r="H79" s="78" t="str">
        <f>IF('ERROR FINAL'!AT82="CONFORME","CONFORME","NO CONFORME")</f>
        <v>NO CONFORME</v>
      </c>
      <c r="I79" s="79" t="str">
        <f t="shared" si="1"/>
        <v>Medición</v>
      </c>
    </row>
    <row r="80" spans="1:9" x14ac:dyDescent="0.2">
      <c r="A80" s="72">
        <f>'ERROR FINAL'!A83</f>
        <v>0</v>
      </c>
      <c r="B80" s="73">
        <v>80</v>
      </c>
      <c r="C80" s="74">
        <f>'ERROR FINAL'!G83</f>
        <v>0</v>
      </c>
      <c r="D80" s="75">
        <f>'ERROR FINAL'!I83</f>
        <v>0</v>
      </c>
      <c r="E80" s="76">
        <f>'ERROR FINAL'!U83</f>
        <v>0</v>
      </c>
      <c r="F80" s="77">
        <f>'ERROR FINAL'!AG83</f>
        <v>0</v>
      </c>
      <c r="G80" s="77">
        <f>'ERROR FINAL'!AS83</f>
        <v>0</v>
      </c>
      <c r="H80" s="78" t="str">
        <f>IF('ERROR FINAL'!AT83="CONFORME","CONFORME","NO CONFORME")</f>
        <v>NO CONFORME</v>
      </c>
      <c r="I80" s="79" t="str">
        <f t="shared" si="1"/>
        <v>Medición</v>
      </c>
    </row>
    <row r="81" spans="1:9" x14ac:dyDescent="0.2">
      <c r="A81" s="72">
        <f>'ERROR FINAL'!A84</f>
        <v>0</v>
      </c>
      <c r="B81" s="73">
        <v>81</v>
      </c>
      <c r="C81" s="74">
        <f>'ERROR FINAL'!G84</f>
        <v>0</v>
      </c>
      <c r="D81" s="75">
        <f>'ERROR FINAL'!I84</f>
        <v>0</v>
      </c>
      <c r="E81" s="76">
        <f>'ERROR FINAL'!U84</f>
        <v>0</v>
      </c>
      <c r="F81" s="77">
        <f>'ERROR FINAL'!AG84</f>
        <v>0</v>
      </c>
      <c r="G81" s="77">
        <f>'ERROR FINAL'!AS84</f>
        <v>0</v>
      </c>
      <c r="H81" s="78" t="str">
        <f>IF('ERROR FINAL'!AT84="CONFORME","CONFORME","NO CONFORME")</f>
        <v>NO CONFORME</v>
      </c>
      <c r="I81" s="79" t="str">
        <f t="shared" si="1"/>
        <v>Medición</v>
      </c>
    </row>
    <row r="82" spans="1:9" x14ac:dyDescent="0.2">
      <c r="A82" s="72">
        <f>'ERROR FINAL'!A85</f>
        <v>0</v>
      </c>
      <c r="B82" s="73">
        <v>82</v>
      </c>
      <c r="C82" s="74">
        <f>'ERROR FINAL'!G85</f>
        <v>0</v>
      </c>
      <c r="D82" s="75">
        <f>'ERROR FINAL'!I85</f>
        <v>0</v>
      </c>
      <c r="E82" s="76">
        <f>'ERROR FINAL'!U85</f>
        <v>0</v>
      </c>
      <c r="F82" s="77">
        <f>'ERROR FINAL'!AG85</f>
        <v>0</v>
      </c>
      <c r="G82" s="77">
        <f>'ERROR FINAL'!AS85</f>
        <v>0</v>
      </c>
      <c r="H82" s="78" t="str">
        <f>IF('ERROR FINAL'!AT85="CONFORME","CONFORME","NO CONFORME")</f>
        <v>NO CONFORME</v>
      </c>
      <c r="I82" s="79" t="str">
        <f t="shared" si="1"/>
        <v>Medición</v>
      </c>
    </row>
    <row r="83" spans="1:9" x14ac:dyDescent="0.2">
      <c r="A83" s="72">
        <f>'ERROR FINAL'!A86</f>
        <v>0</v>
      </c>
      <c r="B83" s="73">
        <v>83</v>
      </c>
      <c r="C83" s="74">
        <f>'ERROR FINAL'!G86</f>
        <v>0</v>
      </c>
      <c r="D83" s="75">
        <f>'ERROR FINAL'!I86</f>
        <v>0</v>
      </c>
      <c r="E83" s="76">
        <f>'ERROR FINAL'!U86</f>
        <v>0</v>
      </c>
      <c r="F83" s="77">
        <f>'ERROR FINAL'!AG86</f>
        <v>0</v>
      </c>
      <c r="G83" s="77">
        <f>'ERROR FINAL'!AS86</f>
        <v>0</v>
      </c>
      <c r="H83" s="78" t="str">
        <f>IF('ERROR FINAL'!AT86="CONFORME","CONFORME","NO CONFORME")</f>
        <v>NO CONFORME</v>
      </c>
      <c r="I83" s="79" t="str">
        <f t="shared" si="1"/>
        <v>Medición</v>
      </c>
    </row>
    <row r="84" spans="1:9" x14ac:dyDescent="0.2">
      <c r="A84" s="72">
        <f>'ERROR FINAL'!A87</f>
        <v>0</v>
      </c>
      <c r="B84" s="73">
        <v>84</v>
      </c>
      <c r="C84" s="74">
        <f>'ERROR FINAL'!G87</f>
        <v>0</v>
      </c>
      <c r="D84" s="75">
        <f>'ERROR FINAL'!I87</f>
        <v>0</v>
      </c>
      <c r="E84" s="76">
        <f>'ERROR FINAL'!U87</f>
        <v>0</v>
      </c>
      <c r="F84" s="77">
        <f>'ERROR FINAL'!AG87</f>
        <v>0</v>
      </c>
      <c r="G84" s="77">
        <f>'ERROR FINAL'!AS87</f>
        <v>0</v>
      </c>
      <c r="H84" s="78" t="str">
        <f>IF('ERROR FINAL'!AT87="CONFORME","CONFORME","NO CONFORME")</f>
        <v>NO CONFORME</v>
      </c>
      <c r="I84" s="79" t="str">
        <f t="shared" si="1"/>
        <v>Medición</v>
      </c>
    </row>
    <row r="85" spans="1:9" x14ac:dyDescent="0.2">
      <c r="A85" s="72">
        <f>'ERROR FINAL'!A88</f>
        <v>0</v>
      </c>
      <c r="B85" s="73">
        <v>85</v>
      </c>
      <c r="C85" s="74">
        <f>'ERROR FINAL'!G88</f>
        <v>0</v>
      </c>
      <c r="D85" s="75">
        <f>'ERROR FINAL'!I88</f>
        <v>0</v>
      </c>
      <c r="E85" s="76">
        <f>'ERROR FINAL'!U88</f>
        <v>0</v>
      </c>
      <c r="F85" s="77">
        <f>'ERROR FINAL'!AG88</f>
        <v>0</v>
      </c>
      <c r="G85" s="77">
        <f>'ERROR FINAL'!AS88</f>
        <v>0</v>
      </c>
      <c r="H85" s="78" t="str">
        <f>IF('ERROR FINAL'!AT88="CONFORME","CONFORME","NO CONFORME")</f>
        <v>NO CONFORME</v>
      </c>
      <c r="I85" s="79" t="str">
        <f t="shared" si="1"/>
        <v>Medición</v>
      </c>
    </row>
    <row r="86" spans="1:9" x14ac:dyDescent="0.2">
      <c r="A86" s="72">
        <f>'ERROR FINAL'!A89</f>
        <v>0</v>
      </c>
      <c r="B86" s="73">
        <v>86</v>
      </c>
      <c r="C86" s="74">
        <f>'ERROR FINAL'!G89</f>
        <v>0</v>
      </c>
      <c r="D86" s="75">
        <f>'ERROR FINAL'!I89</f>
        <v>0</v>
      </c>
      <c r="E86" s="76">
        <f>'ERROR FINAL'!U89</f>
        <v>0</v>
      </c>
      <c r="F86" s="77">
        <f>'ERROR FINAL'!AG89</f>
        <v>0</v>
      </c>
      <c r="G86" s="77">
        <f>'ERROR FINAL'!AS89</f>
        <v>0</v>
      </c>
      <c r="H86" s="78" t="str">
        <f>IF('ERROR FINAL'!AT89="CONFORME","CONFORME","NO CONFORME")</f>
        <v>NO CONFORME</v>
      </c>
      <c r="I86" s="79" t="str">
        <f t="shared" si="1"/>
        <v>Medición</v>
      </c>
    </row>
    <row r="87" spans="1:9" x14ac:dyDescent="0.2">
      <c r="A87" s="72">
        <f>'ERROR FINAL'!A90</f>
        <v>0</v>
      </c>
      <c r="B87" s="73">
        <v>87</v>
      </c>
      <c r="C87" s="74">
        <f>'ERROR FINAL'!G90</f>
        <v>0</v>
      </c>
      <c r="D87" s="75">
        <f>'ERROR FINAL'!I90</f>
        <v>0</v>
      </c>
      <c r="E87" s="76">
        <f>'ERROR FINAL'!U90</f>
        <v>0</v>
      </c>
      <c r="F87" s="77">
        <f>'ERROR FINAL'!AG90</f>
        <v>0</v>
      </c>
      <c r="G87" s="77">
        <f>'ERROR FINAL'!AS90</f>
        <v>0</v>
      </c>
      <c r="H87" s="78" t="str">
        <f>IF('ERROR FINAL'!AT90="CONFORME","CONFORME","NO CONFORME")</f>
        <v>NO CONFORME</v>
      </c>
      <c r="I87" s="79" t="str">
        <f t="shared" si="1"/>
        <v>Medición</v>
      </c>
    </row>
    <row r="88" spans="1:9" x14ac:dyDescent="0.2">
      <c r="A88" s="72">
        <f>'ERROR FINAL'!A91</f>
        <v>0</v>
      </c>
      <c r="B88" s="73">
        <v>88</v>
      </c>
      <c r="C88" s="74">
        <f>'ERROR FINAL'!G91</f>
        <v>0</v>
      </c>
      <c r="D88" s="75">
        <f>'ERROR FINAL'!I91</f>
        <v>0</v>
      </c>
      <c r="E88" s="76">
        <f>'ERROR FINAL'!U91</f>
        <v>0</v>
      </c>
      <c r="F88" s="77">
        <f>'ERROR FINAL'!AG91</f>
        <v>0</v>
      </c>
      <c r="G88" s="77">
        <f>'ERROR FINAL'!AS91</f>
        <v>0</v>
      </c>
      <c r="H88" s="78" t="str">
        <f>IF('ERROR FINAL'!AT91="CONFORME","CONFORME","NO CONFORME")</f>
        <v>NO CONFORME</v>
      </c>
      <c r="I88" s="79" t="str">
        <f t="shared" si="1"/>
        <v>Medición</v>
      </c>
    </row>
    <row r="89" spans="1:9" x14ac:dyDescent="0.2">
      <c r="A89" s="72">
        <f>'ERROR FINAL'!A92</f>
        <v>0</v>
      </c>
      <c r="B89" s="73">
        <v>89</v>
      </c>
      <c r="C89" s="74">
        <f>'ERROR FINAL'!G92</f>
        <v>0</v>
      </c>
      <c r="D89" s="75">
        <f>'ERROR FINAL'!I92</f>
        <v>0</v>
      </c>
      <c r="E89" s="76">
        <f>'ERROR FINAL'!U92</f>
        <v>0</v>
      </c>
      <c r="F89" s="77">
        <f>'ERROR FINAL'!AG92</f>
        <v>0</v>
      </c>
      <c r="G89" s="77">
        <f>'ERROR FINAL'!AS92</f>
        <v>0</v>
      </c>
      <c r="H89" s="78" t="str">
        <f>IF('ERROR FINAL'!AT92="CONFORME","CONFORME","NO CONFORME")</f>
        <v>NO CONFORME</v>
      </c>
      <c r="I89" s="79" t="str">
        <f t="shared" si="1"/>
        <v>Medición</v>
      </c>
    </row>
    <row r="90" spans="1:9" x14ac:dyDescent="0.2">
      <c r="A90" s="72">
        <f>'ERROR FINAL'!A93</f>
        <v>0</v>
      </c>
      <c r="B90" s="73">
        <v>90</v>
      </c>
      <c r="C90" s="74">
        <f>'ERROR FINAL'!G93</f>
        <v>0</v>
      </c>
      <c r="D90" s="75">
        <f>'ERROR FINAL'!I93</f>
        <v>0</v>
      </c>
      <c r="E90" s="76">
        <f>'ERROR FINAL'!U93</f>
        <v>0</v>
      </c>
      <c r="F90" s="77">
        <f>'ERROR FINAL'!AG93</f>
        <v>0</v>
      </c>
      <c r="G90" s="77">
        <f>'ERROR FINAL'!AS93</f>
        <v>0</v>
      </c>
      <c r="H90" s="78" t="str">
        <f>IF('ERROR FINAL'!AT93="CONFORME","CONFORME","NO CONFORME")</f>
        <v>NO CONFORME</v>
      </c>
      <c r="I90" s="79" t="str">
        <f t="shared" si="1"/>
        <v>Medición</v>
      </c>
    </row>
    <row r="91" spans="1:9" x14ac:dyDescent="0.2">
      <c r="A91" s="72">
        <f>'ERROR FINAL'!A94</f>
        <v>0</v>
      </c>
      <c r="B91" s="73">
        <v>91</v>
      </c>
      <c r="C91" s="74">
        <f>'ERROR FINAL'!G94</f>
        <v>0</v>
      </c>
      <c r="D91" s="75">
        <f>'ERROR FINAL'!I94</f>
        <v>0</v>
      </c>
      <c r="E91" s="76">
        <f>'ERROR FINAL'!U94</f>
        <v>0</v>
      </c>
      <c r="F91" s="77">
        <f>'ERROR FINAL'!AG94</f>
        <v>0</v>
      </c>
      <c r="G91" s="77">
        <f>'ERROR FINAL'!AS94</f>
        <v>0</v>
      </c>
      <c r="H91" s="78" t="str">
        <f>IF('ERROR FINAL'!AT94="CONFORME","CONFORME","NO CONFORME")</f>
        <v>NO CONFORME</v>
      </c>
      <c r="I91" s="79" t="str">
        <f t="shared" si="1"/>
        <v>Medición</v>
      </c>
    </row>
    <row r="92" spans="1:9" x14ac:dyDescent="0.2">
      <c r="A92" s="72">
        <f>'ERROR FINAL'!A95</f>
        <v>0</v>
      </c>
      <c r="B92" s="73">
        <v>92</v>
      </c>
      <c r="C92" s="74">
        <f>'ERROR FINAL'!G95</f>
        <v>0</v>
      </c>
      <c r="D92" s="75">
        <f>'ERROR FINAL'!I95</f>
        <v>0</v>
      </c>
      <c r="E92" s="76">
        <f>'ERROR FINAL'!U95</f>
        <v>0</v>
      </c>
      <c r="F92" s="77">
        <f>'ERROR FINAL'!AG95</f>
        <v>0</v>
      </c>
      <c r="G92" s="77">
        <f>'ERROR FINAL'!AS95</f>
        <v>0</v>
      </c>
      <c r="H92" s="78" t="str">
        <f>IF('ERROR FINAL'!AT95="CONFORME","CONFORME","NO CONFORME")</f>
        <v>NO CONFORME</v>
      </c>
      <c r="I92" s="79" t="str">
        <f t="shared" si="1"/>
        <v>Medición</v>
      </c>
    </row>
    <row r="93" spans="1:9" x14ac:dyDescent="0.2">
      <c r="A93" s="72">
        <f>'ERROR FINAL'!A96</f>
        <v>0</v>
      </c>
      <c r="B93" s="73">
        <v>93</v>
      </c>
      <c r="C93" s="74">
        <f>'ERROR FINAL'!G96</f>
        <v>0</v>
      </c>
      <c r="D93" s="75">
        <f>'ERROR FINAL'!I96</f>
        <v>0</v>
      </c>
      <c r="E93" s="76">
        <f>'ERROR FINAL'!U96</f>
        <v>0</v>
      </c>
      <c r="F93" s="77">
        <f>'ERROR FINAL'!AG96</f>
        <v>0</v>
      </c>
      <c r="G93" s="77">
        <f>'ERROR FINAL'!AS96</f>
        <v>0</v>
      </c>
      <c r="H93" s="78" t="str">
        <f>IF('ERROR FINAL'!AT96="CONFORME","CONFORME","NO CONFORME")</f>
        <v>NO CONFORME</v>
      </c>
      <c r="I93" s="79" t="str">
        <f t="shared" si="1"/>
        <v>Medición</v>
      </c>
    </row>
    <row r="94" spans="1:9" x14ac:dyDescent="0.2">
      <c r="A94" s="72">
        <f>'ERROR FINAL'!A97</f>
        <v>0</v>
      </c>
      <c r="B94" s="73">
        <v>94</v>
      </c>
      <c r="C94" s="74">
        <f>'ERROR FINAL'!G97</f>
        <v>0</v>
      </c>
      <c r="D94" s="75">
        <f>'ERROR FINAL'!I97</f>
        <v>0</v>
      </c>
      <c r="E94" s="76">
        <f>'ERROR FINAL'!U97</f>
        <v>0</v>
      </c>
      <c r="F94" s="77">
        <f>'ERROR FINAL'!AG97</f>
        <v>0</v>
      </c>
      <c r="G94" s="77">
        <f>'ERROR FINAL'!AS97</f>
        <v>0</v>
      </c>
      <c r="H94" s="78" t="str">
        <f>IF('ERROR FINAL'!AT97="CONFORME","CONFORME","NO CONFORME")</f>
        <v>NO CONFORME</v>
      </c>
      <c r="I94" s="79" t="str">
        <f t="shared" si="1"/>
        <v>Medición</v>
      </c>
    </row>
    <row r="95" spans="1:9" x14ac:dyDescent="0.2">
      <c r="A95" s="72">
        <f>'ERROR FINAL'!A98</f>
        <v>0</v>
      </c>
      <c r="B95" s="73">
        <v>95</v>
      </c>
      <c r="C95" s="74">
        <f>'ERROR FINAL'!G98</f>
        <v>0</v>
      </c>
      <c r="D95" s="75">
        <f>'ERROR FINAL'!I98</f>
        <v>0</v>
      </c>
      <c r="E95" s="76">
        <f>'ERROR FINAL'!U98</f>
        <v>0</v>
      </c>
      <c r="F95" s="77">
        <f>'ERROR FINAL'!AG98</f>
        <v>0</v>
      </c>
      <c r="G95" s="77">
        <f>'ERROR FINAL'!AS98</f>
        <v>0</v>
      </c>
      <c r="H95" s="78" t="str">
        <f>IF('ERROR FINAL'!AT98="CONFORME","CONFORME","NO CONFORME")</f>
        <v>NO CONFORME</v>
      </c>
      <c r="I95" s="79" t="str">
        <f t="shared" si="1"/>
        <v>Medición</v>
      </c>
    </row>
    <row r="96" spans="1:9" x14ac:dyDescent="0.2">
      <c r="A96" s="72">
        <f>'ERROR FINAL'!A99</f>
        <v>0</v>
      </c>
      <c r="B96" s="73">
        <v>96</v>
      </c>
      <c r="C96" s="74">
        <f>'ERROR FINAL'!G99</f>
        <v>0</v>
      </c>
      <c r="D96" s="75">
        <f>'ERROR FINAL'!I99</f>
        <v>0</v>
      </c>
      <c r="E96" s="76">
        <f>'ERROR FINAL'!U99</f>
        <v>0</v>
      </c>
      <c r="F96" s="77">
        <f>'ERROR FINAL'!AG99</f>
        <v>0</v>
      </c>
      <c r="G96" s="77">
        <f>'ERROR FINAL'!AS99</f>
        <v>0</v>
      </c>
      <c r="H96" s="78" t="str">
        <f>IF('ERROR FINAL'!AT99="CONFORME","CONFORME","NO CONFORME")</f>
        <v>NO CONFORME</v>
      </c>
      <c r="I96" s="79" t="str">
        <f t="shared" si="1"/>
        <v>Medición</v>
      </c>
    </row>
    <row r="97" spans="1:9" x14ac:dyDescent="0.2">
      <c r="A97" s="72">
        <f>'ERROR FINAL'!A100</f>
        <v>0</v>
      </c>
      <c r="B97" s="73">
        <v>97</v>
      </c>
      <c r="C97" s="74">
        <f>'ERROR FINAL'!G100</f>
        <v>0</v>
      </c>
      <c r="D97" s="75">
        <f>'ERROR FINAL'!I100</f>
        <v>0</v>
      </c>
      <c r="E97" s="76">
        <f>'ERROR FINAL'!U100</f>
        <v>0</v>
      </c>
      <c r="F97" s="77">
        <f>'ERROR FINAL'!AG100</f>
        <v>0</v>
      </c>
      <c r="G97" s="77">
        <f>'ERROR FINAL'!AS100</f>
        <v>0</v>
      </c>
      <c r="H97" s="78" t="str">
        <f>IF('ERROR FINAL'!AT100="CONFORME","CONFORME","NO CONFORME")</f>
        <v>NO CONFORME</v>
      </c>
      <c r="I97" s="79" t="str">
        <f t="shared" si="1"/>
        <v>Medición</v>
      </c>
    </row>
    <row r="98" spans="1:9" x14ac:dyDescent="0.2">
      <c r="A98" s="72">
        <f>'ERROR FINAL'!A101</f>
        <v>0</v>
      </c>
      <c r="B98" s="73">
        <v>98</v>
      </c>
      <c r="C98" s="74">
        <f>'ERROR FINAL'!G101</f>
        <v>0</v>
      </c>
      <c r="D98" s="75">
        <f>'ERROR FINAL'!I101</f>
        <v>0</v>
      </c>
      <c r="E98" s="76">
        <f>'ERROR FINAL'!U101</f>
        <v>0</v>
      </c>
      <c r="F98" s="77">
        <f>'ERROR FINAL'!AG101</f>
        <v>0</v>
      </c>
      <c r="G98" s="77">
        <f>'ERROR FINAL'!AS101</f>
        <v>0</v>
      </c>
      <c r="H98" s="78" t="str">
        <f>IF('ERROR FINAL'!AT101="CONFORME","CONFORME","NO CONFORME")</f>
        <v>NO CONFORME</v>
      </c>
      <c r="I98" s="79" t="str">
        <f t="shared" si="1"/>
        <v>Medición</v>
      </c>
    </row>
    <row r="99" spans="1:9" x14ac:dyDescent="0.2">
      <c r="A99" s="72">
        <f>'ERROR FINAL'!A102</f>
        <v>0</v>
      </c>
      <c r="B99" s="73">
        <v>99</v>
      </c>
      <c r="C99" s="74">
        <f>'ERROR FINAL'!G102</f>
        <v>0</v>
      </c>
      <c r="D99" s="75">
        <f>'ERROR FINAL'!I102</f>
        <v>0</v>
      </c>
      <c r="E99" s="76">
        <f>'ERROR FINAL'!U102</f>
        <v>0</v>
      </c>
      <c r="F99" s="77">
        <f>'ERROR FINAL'!AG102</f>
        <v>0</v>
      </c>
      <c r="G99" s="77">
        <f>'ERROR FINAL'!AS102</f>
        <v>0</v>
      </c>
      <c r="H99" s="78" t="str">
        <f>IF('ERROR FINAL'!AT102="CONFORME","CONFORME","NO CONFORME")</f>
        <v>NO CONFORME</v>
      </c>
      <c r="I99" s="79" t="str">
        <f t="shared" si="1"/>
        <v>Medición</v>
      </c>
    </row>
    <row r="100" spans="1:9" x14ac:dyDescent="0.2">
      <c r="A100" s="72">
        <f>'ERROR FINAL'!A103</f>
        <v>0</v>
      </c>
      <c r="B100" s="73">
        <v>100</v>
      </c>
      <c r="C100" s="74">
        <f>'ERROR FINAL'!G103</f>
        <v>0</v>
      </c>
      <c r="D100" s="75">
        <f>'ERROR FINAL'!I103</f>
        <v>0</v>
      </c>
      <c r="E100" s="76">
        <f>'ERROR FINAL'!U103</f>
        <v>0</v>
      </c>
      <c r="F100" s="77">
        <f>'ERROR FINAL'!AG103</f>
        <v>0</v>
      </c>
      <c r="G100" s="77">
        <f>'ERROR FINAL'!AS103</f>
        <v>0</v>
      </c>
      <c r="H100" s="78" t="str">
        <f>IF('ERROR FINAL'!AT103="CONFORME","CONFORME","NO CONFORME")</f>
        <v>NO CONFORME</v>
      </c>
      <c r="I100" s="79" t="str">
        <f t="shared" si="1"/>
        <v>Medición</v>
      </c>
    </row>
    <row r="101" spans="1:9" x14ac:dyDescent="0.2">
      <c r="A101" s="72">
        <f>'ERROR FINAL'!A104</f>
        <v>0</v>
      </c>
      <c r="B101" s="73">
        <v>101</v>
      </c>
      <c r="C101" s="74">
        <f>'ERROR FINAL'!G104</f>
        <v>0</v>
      </c>
      <c r="D101" s="75">
        <f>'ERROR FINAL'!I104</f>
        <v>0</v>
      </c>
      <c r="E101" s="76">
        <f>'ERROR FINAL'!U104</f>
        <v>0</v>
      </c>
      <c r="F101" s="77">
        <f>'ERROR FINAL'!AG104</f>
        <v>0</v>
      </c>
      <c r="G101" s="77">
        <f>'ERROR FINAL'!AS104</f>
        <v>0</v>
      </c>
      <c r="H101" s="78" t="str">
        <f>IF('ERROR FINAL'!AT104="CONFORME","CONFORME","NO CONFORME")</f>
        <v>NO CONFORME</v>
      </c>
      <c r="I101" s="79" t="str">
        <f t="shared" si="1"/>
        <v>Medición</v>
      </c>
    </row>
    <row r="102" spans="1:9" x14ac:dyDescent="0.2">
      <c r="A102" s="72">
        <f>'ERROR FINAL'!A105</f>
        <v>0</v>
      </c>
      <c r="B102" s="73">
        <v>102</v>
      </c>
      <c r="C102" s="74">
        <f>'ERROR FINAL'!G105</f>
        <v>0</v>
      </c>
      <c r="D102" s="75">
        <f>'ERROR FINAL'!I105</f>
        <v>0</v>
      </c>
      <c r="E102" s="76">
        <f>'ERROR FINAL'!U105</f>
        <v>0</v>
      </c>
      <c r="F102" s="77">
        <f>'ERROR FINAL'!AG105</f>
        <v>0</v>
      </c>
      <c r="G102" s="77">
        <f>'ERROR FINAL'!AS105</f>
        <v>0</v>
      </c>
      <c r="H102" s="78" t="str">
        <f>IF('ERROR FINAL'!AT105="CONFORME","CONFORME","NO CONFORME")</f>
        <v>NO CONFORME</v>
      </c>
      <c r="I102" s="79" t="str">
        <f t="shared" si="1"/>
        <v>Medición</v>
      </c>
    </row>
    <row r="103" spans="1:9" x14ac:dyDescent="0.2">
      <c r="A103" s="72">
        <f>'ERROR FINAL'!A106</f>
        <v>0</v>
      </c>
      <c r="B103" s="73">
        <v>103</v>
      </c>
      <c r="C103" s="74">
        <f>'ERROR FINAL'!G106</f>
        <v>0</v>
      </c>
      <c r="D103" s="75">
        <f>'ERROR FINAL'!I106</f>
        <v>0</v>
      </c>
      <c r="E103" s="76">
        <f>'ERROR FINAL'!U106</f>
        <v>0</v>
      </c>
      <c r="F103" s="77">
        <f>'ERROR FINAL'!AG106</f>
        <v>0</v>
      </c>
      <c r="G103" s="77">
        <f>'ERROR FINAL'!AS106</f>
        <v>0</v>
      </c>
      <c r="H103" s="78" t="str">
        <f>IF('ERROR FINAL'!AT106="CONFORME","CONFORME","NO CONFORME")</f>
        <v>NO CONFORME</v>
      </c>
      <c r="I103" s="79" t="str">
        <f t="shared" si="1"/>
        <v>Medición</v>
      </c>
    </row>
    <row r="104" spans="1:9" x14ac:dyDescent="0.2">
      <c r="A104" s="72">
        <f>'ERROR FINAL'!A107</f>
        <v>0</v>
      </c>
      <c r="B104" s="73">
        <v>104</v>
      </c>
      <c r="C104" s="74">
        <f>'ERROR FINAL'!G107</f>
        <v>0</v>
      </c>
      <c r="D104" s="75">
        <f>'ERROR FINAL'!I107</f>
        <v>0</v>
      </c>
      <c r="E104" s="76">
        <f>'ERROR FINAL'!U107</f>
        <v>0</v>
      </c>
      <c r="F104" s="77">
        <f>'ERROR FINAL'!AG107</f>
        <v>0</v>
      </c>
      <c r="G104" s="77">
        <f>'ERROR FINAL'!AS107</f>
        <v>0</v>
      </c>
      <c r="H104" s="78" t="str">
        <f>IF('ERROR FINAL'!AT107="CONFORME","CONFORME","NO CONFORME")</f>
        <v>NO CONFORME</v>
      </c>
      <c r="I104" s="79" t="str">
        <f t="shared" si="1"/>
        <v>Medición</v>
      </c>
    </row>
    <row r="105" spans="1:9" x14ac:dyDescent="0.2">
      <c r="A105" s="72">
        <f>'ERROR FINAL'!A108</f>
        <v>0</v>
      </c>
      <c r="B105" s="73">
        <v>105</v>
      </c>
      <c r="C105" s="74">
        <f>'ERROR FINAL'!G108</f>
        <v>0</v>
      </c>
      <c r="D105" s="75">
        <f>'ERROR FINAL'!I108</f>
        <v>0</v>
      </c>
      <c r="E105" s="76">
        <f>'ERROR FINAL'!U108</f>
        <v>0</v>
      </c>
      <c r="F105" s="77">
        <f>'ERROR FINAL'!AG108</f>
        <v>0</v>
      </c>
      <c r="G105" s="77">
        <f>'ERROR FINAL'!AS108</f>
        <v>0</v>
      </c>
      <c r="H105" s="78" t="str">
        <f>IF('ERROR FINAL'!AT108="CONFORME","CONFORME","NO CONFORME")</f>
        <v>NO CONFORME</v>
      </c>
      <c r="I105" s="79" t="str">
        <f t="shared" si="1"/>
        <v>Medición</v>
      </c>
    </row>
    <row r="106" spans="1:9" x14ac:dyDescent="0.2">
      <c r="A106" s="72">
        <f>'ERROR FINAL'!A109</f>
        <v>0</v>
      </c>
      <c r="B106" s="73">
        <v>106</v>
      </c>
      <c r="C106" s="74">
        <f>'ERROR FINAL'!G109</f>
        <v>0</v>
      </c>
      <c r="D106" s="75">
        <f>'ERROR FINAL'!I109</f>
        <v>0</v>
      </c>
      <c r="E106" s="76">
        <f>'ERROR FINAL'!U109</f>
        <v>0</v>
      </c>
      <c r="F106" s="77">
        <f>'ERROR FINAL'!AG109</f>
        <v>0</v>
      </c>
      <c r="G106" s="77">
        <f>'ERROR FINAL'!AS109</f>
        <v>0</v>
      </c>
      <c r="H106" s="78" t="str">
        <f>IF('ERROR FINAL'!AT109="CONFORME","CONFORME","NO CONFORME")</f>
        <v>NO CONFORME</v>
      </c>
      <c r="I106" s="79" t="str">
        <f t="shared" si="1"/>
        <v>Medición</v>
      </c>
    </row>
    <row r="107" spans="1:9" x14ac:dyDescent="0.2">
      <c r="A107" s="72">
        <f>'ERROR FINAL'!A110</f>
        <v>0</v>
      </c>
      <c r="B107" s="73">
        <v>107</v>
      </c>
      <c r="C107" s="74">
        <f>'ERROR FINAL'!G110</f>
        <v>0</v>
      </c>
      <c r="D107" s="75">
        <f>'ERROR FINAL'!I110</f>
        <v>0</v>
      </c>
      <c r="E107" s="76">
        <f>'ERROR FINAL'!U110</f>
        <v>0</v>
      </c>
      <c r="F107" s="77">
        <f>'ERROR FINAL'!AG110</f>
        <v>0</v>
      </c>
      <c r="G107" s="77">
        <f>'ERROR FINAL'!AS110</f>
        <v>0</v>
      </c>
      <c r="H107" s="78" t="str">
        <f>IF('ERROR FINAL'!AT110="CONFORME","CONFORME","NO CONFORME")</f>
        <v>NO CONFORME</v>
      </c>
      <c r="I107" s="79" t="str">
        <f t="shared" si="1"/>
        <v>Medición</v>
      </c>
    </row>
    <row r="108" spans="1:9" x14ac:dyDescent="0.2">
      <c r="A108" s="72">
        <f>'ERROR FINAL'!A111</f>
        <v>0</v>
      </c>
      <c r="B108" s="73">
        <v>108</v>
      </c>
      <c r="C108" s="74">
        <f>'ERROR FINAL'!G111</f>
        <v>0</v>
      </c>
      <c r="D108" s="75">
        <f>'ERROR FINAL'!I111</f>
        <v>0</v>
      </c>
      <c r="E108" s="76">
        <f>'ERROR FINAL'!U111</f>
        <v>0</v>
      </c>
      <c r="F108" s="77">
        <f>'ERROR FINAL'!AG111</f>
        <v>0</v>
      </c>
      <c r="G108" s="77">
        <f>'ERROR FINAL'!AS111</f>
        <v>0</v>
      </c>
      <c r="H108" s="78" t="str">
        <f>IF('ERROR FINAL'!AT111="CONFORME","CONFORME","NO CONFORME")</f>
        <v>NO CONFORME</v>
      </c>
      <c r="I108" s="79" t="str">
        <f t="shared" si="1"/>
        <v>Medición</v>
      </c>
    </row>
    <row r="109" spans="1:9" x14ac:dyDescent="0.2">
      <c r="A109" s="72">
        <f>'ERROR FINAL'!A112</f>
        <v>0</v>
      </c>
      <c r="B109" s="73">
        <v>109</v>
      </c>
      <c r="C109" s="74">
        <f>'ERROR FINAL'!G112</f>
        <v>0</v>
      </c>
      <c r="D109" s="75">
        <f>'ERROR FINAL'!I112</f>
        <v>0</v>
      </c>
      <c r="E109" s="76">
        <f>'ERROR FINAL'!U112</f>
        <v>0</v>
      </c>
      <c r="F109" s="77">
        <f>'ERROR FINAL'!AG112</f>
        <v>0</v>
      </c>
      <c r="G109" s="77">
        <f>'ERROR FINAL'!AS112</f>
        <v>0</v>
      </c>
      <c r="H109" s="78" t="str">
        <f>IF('ERROR FINAL'!AT112="CONFORME","CONFORME","NO CONFORME")</f>
        <v>NO CONFORME</v>
      </c>
      <c r="I109" s="79" t="str">
        <f t="shared" si="1"/>
        <v>Medición</v>
      </c>
    </row>
    <row r="110" spans="1:9" x14ac:dyDescent="0.2">
      <c r="A110" s="72">
        <f>'ERROR FINAL'!A113</f>
        <v>0</v>
      </c>
      <c r="B110" s="73">
        <v>110</v>
      </c>
      <c r="C110" s="74">
        <f>'ERROR FINAL'!G113</f>
        <v>0</v>
      </c>
      <c r="D110" s="75">
        <f>'ERROR FINAL'!I113</f>
        <v>0</v>
      </c>
      <c r="E110" s="76">
        <f>'ERROR FINAL'!U113</f>
        <v>0</v>
      </c>
      <c r="F110" s="77">
        <f>'ERROR FINAL'!AG113</f>
        <v>0</v>
      </c>
      <c r="G110" s="77">
        <f>'ERROR FINAL'!AS113</f>
        <v>0</v>
      </c>
      <c r="H110" s="78" t="str">
        <f>IF('ERROR FINAL'!AT113="CONFORME","CONFORME","NO CONFORME")</f>
        <v>NO CONFORME</v>
      </c>
      <c r="I110" s="79" t="str">
        <f t="shared" si="1"/>
        <v>Medición</v>
      </c>
    </row>
    <row r="111" spans="1:9" x14ac:dyDescent="0.2">
      <c r="A111" s="72">
        <f>'ERROR FINAL'!A114</f>
        <v>0</v>
      </c>
      <c r="B111" s="73">
        <v>111</v>
      </c>
      <c r="C111" s="74">
        <f>'ERROR FINAL'!G114</f>
        <v>0</v>
      </c>
      <c r="D111" s="75">
        <f>'ERROR FINAL'!I114</f>
        <v>0</v>
      </c>
      <c r="E111" s="76">
        <f>'ERROR FINAL'!U114</f>
        <v>0</v>
      </c>
      <c r="F111" s="77">
        <f>'ERROR FINAL'!AG114</f>
        <v>0</v>
      </c>
      <c r="G111" s="77">
        <f>'ERROR FINAL'!AS114</f>
        <v>0</v>
      </c>
      <c r="H111" s="78" t="str">
        <f>IF('ERROR FINAL'!AT114="CONFORME","CONFORME","NO CONFORME")</f>
        <v>NO CONFORME</v>
      </c>
      <c r="I111" s="79" t="str">
        <f t="shared" si="1"/>
        <v>Medición</v>
      </c>
    </row>
    <row r="112" spans="1:9" x14ac:dyDescent="0.2">
      <c r="A112" s="72">
        <f>'ERROR FINAL'!A115</f>
        <v>0</v>
      </c>
      <c r="B112" s="73">
        <v>112</v>
      </c>
      <c r="C112" s="74">
        <f>'ERROR FINAL'!G115</f>
        <v>0</v>
      </c>
      <c r="D112" s="75">
        <f>'ERROR FINAL'!I115</f>
        <v>0</v>
      </c>
      <c r="E112" s="76">
        <f>'ERROR FINAL'!U115</f>
        <v>0</v>
      </c>
      <c r="F112" s="77">
        <f>'ERROR FINAL'!AG115</f>
        <v>0</v>
      </c>
      <c r="G112" s="77">
        <f>'ERROR FINAL'!AS115</f>
        <v>0</v>
      </c>
      <c r="H112" s="78" t="str">
        <f>IF('ERROR FINAL'!AT115="CONFORME","CONFORME","NO CONFORME")</f>
        <v>NO CONFORME</v>
      </c>
      <c r="I112" s="79" t="str">
        <f t="shared" si="1"/>
        <v>Medición</v>
      </c>
    </row>
    <row r="113" spans="1:9" x14ac:dyDescent="0.2">
      <c r="A113" s="72">
        <f>'ERROR FINAL'!A116</f>
        <v>0</v>
      </c>
      <c r="B113" s="73">
        <v>113</v>
      </c>
      <c r="C113" s="74">
        <f>'ERROR FINAL'!G116</f>
        <v>0</v>
      </c>
      <c r="D113" s="75">
        <f>'ERROR FINAL'!I116</f>
        <v>0</v>
      </c>
      <c r="E113" s="76">
        <f>'ERROR FINAL'!U116</f>
        <v>0</v>
      </c>
      <c r="F113" s="77">
        <f>'ERROR FINAL'!AG116</f>
        <v>0</v>
      </c>
      <c r="G113" s="77">
        <f>'ERROR FINAL'!AS116</f>
        <v>0</v>
      </c>
      <c r="H113" s="78" t="str">
        <f>IF('ERROR FINAL'!AT116="CONFORME","CONFORME","NO CONFORME")</f>
        <v>NO CONFORME</v>
      </c>
      <c r="I113" s="79" t="str">
        <f t="shared" si="1"/>
        <v>Medición</v>
      </c>
    </row>
    <row r="114" spans="1:9" x14ac:dyDescent="0.2">
      <c r="A114" s="72">
        <f>'ERROR FINAL'!A117</f>
        <v>0</v>
      </c>
      <c r="B114" s="73">
        <v>114</v>
      </c>
      <c r="C114" s="74">
        <f>'ERROR FINAL'!G117</f>
        <v>0</v>
      </c>
      <c r="D114" s="75">
        <f>'ERROR FINAL'!I117</f>
        <v>0</v>
      </c>
      <c r="E114" s="76">
        <f>'ERROR FINAL'!U117</f>
        <v>0</v>
      </c>
      <c r="F114" s="77">
        <f>'ERROR FINAL'!AG117</f>
        <v>0</v>
      </c>
      <c r="G114" s="77">
        <f>'ERROR FINAL'!AS117</f>
        <v>0</v>
      </c>
      <c r="H114" s="78" t="str">
        <f>IF('ERROR FINAL'!AT117="CONFORME","CONFORME","NO CONFORME")</f>
        <v>NO CONFORME</v>
      </c>
      <c r="I114" s="79" t="str">
        <f t="shared" si="1"/>
        <v>Medición</v>
      </c>
    </row>
    <row r="115" spans="1:9" x14ac:dyDescent="0.2">
      <c r="A115" s="72">
        <f>'ERROR FINAL'!A118</f>
        <v>0</v>
      </c>
      <c r="B115" s="73">
        <v>115</v>
      </c>
      <c r="C115" s="74">
        <f>'ERROR FINAL'!G118</f>
        <v>0</v>
      </c>
      <c r="D115" s="75">
        <f>'ERROR FINAL'!I118</f>
        <v>0</v>
      </c>
      <c r="E115" s="76">
        <f>'ERROR FINAL'!U118</f>
        <v>0</v>
      </c>
      <c r="F115" s="77">
        <f>'ERROR FINAL'!AG118</f>
        <v>0</v>
      </c>
      <c r="G115" s="77">
        <f>'ERROR FINAL'!AS118</f>
        <v>0</v>
      </c>
      <c r="H115" s="78" t="str">
        <f>IF('ERROR FINAL'!AT118="CONFORME","CONFORME","NO CONFORME")</f>
        <v>NO CONFORME</v>
      </c>
      <c r="I115" s="79" t="str">
        <f t="shared" si="1"/>
        <v>Medición</v>
      </c>
    </row>
    <row r="116" spans="1:9" x14ac:dyDescent="0.2">
      <c r="A116" s="72">
        <f>'ERROR FINAL'!A119</f>
        <v>0</v>
      </c>
      <c r="B116" s="73">
        <v>116</v>
      </c>
      <c r="C116" s="74">
        <f>'ERROR FINAL'!G119</f>
        <v>0</v>
      </c>
      <c r="D116" s="75">
        <f>'ERROR FINAL'!I119</f>
        <v>0</v>
      </c>
      <c r="E116" s="76">
        <f>'ERROR FINAL'!U119</f>
        <v>0</v>
      </c>
      <c r="F116" s="77">
        <f>'ERROR FINAL'!AG119</f>
        <v>0</v>
      </c>
      <c r="G116" s="77">
        <f>'ERROR FINAL'!AS119</f>
        <v>0</v>
      </c>
      <c r="H116" s="78" t="str">
        <f>IF('ERROR FINAL'!AT119="CONFORME","CONFORME","NO CONFORME")</f>
        <v>NO CONFORME</v>
      </c>
      <c r="I116" s="79" t="str">
        <f t="shared" si="1"/>
        <v>Medición</v>
      </c>
    </row>
    <row r="117" spans="1:9" x14ac:dyDescent="0.2">
      <c r="A117" s="72">
        <f>'ERROR FINAL'!A120</f>
        <v>0</v>
      </c>
      <c r="B117" s="73">
        <v>117</v>
      </c>
      <c r="C117" s="74">
        <f>'ERROR FINAL'!G120</f>
        <v>0</v>
      </c>
      <c r="D117" s="75">
        <f>'ERROR FINAL'!I120</f>
        <v>0</v>
      </c>
      <c r="E117" s="76">
        <f>'ERROR FINAL'!U120</f>
        <v>0</v>
      </c>
      <c r="F117" s="77">
        <f>'ERROR FINAL'!AG120</f>
        <v>0</v>
      </c>
      <c r="G117" s="77">
        <f>'ERROR FINAL'!AS120</f>
        <v>0</v>
      </c>
      <c r="H117" s="78" t="str">
        <f>IF('ERROR FINAL'!AT120="CONFORME","CONFORME","NO CONFORME")</f>
        <v>NO CONFORME</v>
      </c>
      <c r="I117" s="79" t="str">
        <f t="shared" si="1"/>
        <v>Medición</v>
      </c>
    </row>
    <row r="118" spans="1:9" x14ac:dyDescent="0.2">
      <c r="A118" s="72">
        <f>'ERROR FINAL'!A121</f>
        <v>0</v>
      </c>
      <c r="B118" s="73">
        <v>118</v>
      </c>
      <c r="C118" s="74">
        <f>'ERROR FINAL'!G121</f>
        <v>0</v>
      </c>
      <c r="D118" s="75">
        <f>'ERROR FINAL'!I121</f>
        <v>0</v>
      </c>
      <c r="E118" s="76">
        <f>'ERROR FINAL'!U121</f>
        <v>0</v>
      </c>
      <c r="F118" s="77">
        <f>'ERROR FINAL'!AG121</f>
        <v>0</v>
      </c>
      <c r="G118" s="77">
        <f>'ERROR FINAL'!AS121</f>
        <v>0</v>
      </c>
      <c r="H118" s="78" t="str">
        <f>IF('ERROR FINAL'!AT121="CONFORME","CONFORME","NO CONFORME")</f>
        <v>NO CONFORME</v>
      </c>
      <c r="I118" s="79" t="str">
        <f t="shared" si="1"/>
        <v>Medición</v>
      </c>
    </row>
    <row r="119" spans="1:9" x14ac:dyDescent="0.2">
      <c r="A119" s="72">
        <f>'ERROR FINAL'!A122</f>
        <v>0</v>
      </c>
      <c r="B119" s="73">
        <v>119</v>
      </c>
      <c r="C119" s="74">
        <f>'ERROR FINAL'!G122</f>
        <v>0</v>
      </c>
      <c r="D119" s="75">
        <f>'ERROR FINAL'!I122</f>
        <v>0</v>
      </c>
      <c r="E119" s="76">
        <f>'ERROR FINAL'!U122</f>
        <v>0</v>
      </c>
      <c r="F119" s="77">
        <f>'ERROR FINAL'!AG122</f>
        <v>0</v>
      </c>
      <c r="G119" s="77">
        <f>'ERROR FINAL'!AS122</f>
        <v>0</v>
      </c>
      <c r="H119" s="78" t="str">
        <f>IF('ERROR FINAL'!AT122="CONFORME","CONFORME","NO CONFORME")</f>
        <v>NO CONFORME</v>
      </c>
      <c r="I119" s="79" t="str">
        <f t="shared" si="1"/>
        <v>Medición</v>
      </c>
    </row>
    <row r="120" spans="1:9" x14ac:dyDescent="0.2">
      <c r="A120" s="72">
        <f>'ERROR FINAL'!A123</f>
        <v>0</v>
      </c>
      <c r="B120" s="73">
        <v>120</v>
      </c>
      <c r="C120" s="74">
        <f>'ERROR FINAL'!G123</f>
        <v>0</v>
      </c>
      <c r="D120" s="75">
        <f>'ERROR FINAL'!I123</f>
        <v>0</v>
      </c>
      <c r="E120" s="76">
        <f>'ERROR FINAL'!U123</f>
        <v>0</v>
      </c>
      <c r="F120" s="77">
        <f>'ERROR FINAL'!AG123</f>
        <v>0</v>
      </c>
      <c r="G120" s="77">
        <f>'ERROR FINAL'!AS123</f>
        <v>0</v>
      </c>
      <c r="H120" s="78" t="str">
        <f>IF('ERROR FINAL'!AT123="CONFORME","CONFORME","NO CONFORME")</f>
        <v>NO CONFORME</v>
      </c>
      <c r="I120" s="79" t="str">
        <f t="shared" si="1"/>
        <v>Medición</v>
      </c>
    </row>
    <row r="121" spans="1:9" x14ac:dyDescent="0.2">
      <c r="A121" s="72">
        <f>'ERROR FINAL'!A124</f>
        <v>0</v>
      </c>
      <c r="B121" s="73">
        <v>121</v>
      </c>
      <c r="C121" s="74">
        <f>'ERROR FINAL'!G124</f>
        <v>0</v>
      </c>
      <c r="D121" s="75">
        <f>'ERROR FINAL'!I124</f>
        <v>0</v>
      </c>
      <c r="E121" s="76">
        <f>'ERROR FINAL'!U124</f>
        <v>0</v>
      </c>
      <c r="F121" s="77">
        <f>'ERROR FINAL'!AG124</f>
        <v>0</v>
      </c>
      <c r="G121" s="77">
        <f>'ERROR FINAL'!AS124</f>
        <v>0</v>
      </c>
      <c r="H121" s="78" t="str">
        <f>IF('ERROR FINAL'!AT124="CONFORME","CONFORME","NO CONFORME")</f>
        <v>NO CONFORME</v>
      </c>
      <c r="I121" s="79" t="str">
        <f t="shared" si="1"/>
        <v>Medición</v>
      </c>
    </row>
    <row r="122" spans="1:9" x14ac:dyDescent="0.2">
      <c r="A122" s="72">
        <f>'ERROR FINAL'!A125</f>
        <v>0</v>
      </c>
      <c r="B122" s="73">
        <v>122</v>
      </c>
      <c r="C122" s="74">
        <f>'ERROR FINAL'!G125</f>
        <v>0</v>
      </c>
      <c r="D122" s="75">
        <f>'ERROR FINAL'!I125</f>
        <v>0</v>
      </c>
      <c r="E122" s="76">
        <f>'ERROR FINAL'!U125</f>
        <v>0</v>
      </c>
      <c r="F122" s="77">
        <f>'ERROR FINAL'!AG125</f>
        <v>0</v>
      </c>
      <c r="G122" s="77">
        <f>'ERROR FINAL'!AS125</f>
        <v>0</v>
      </c>
      <c r="H122" s="78" t="str">
        <f>IF('ERROR FINAL'!AT125="CONFORME","CONFORME","NO CONFORME")</f>
        <v>NO CONFORME</v>
      </c>
      <c r="I122" s="79" t="str">
        <f t="shared" si="1"/>
        <v>Medición</v>
      </c>
    </row>
    <row r="123" spans="1:9" x14ac:dyDescent="0.2">
      <c r="A123" s="72">
        <f>'ERROR FINAL'!A126</f>
        <v>0</v>
      </c>
      <c r="B123" s="73">
        <v>123</v>
      </c>
      <c r="C123" s="74">
        <f>'ERROR FINAL'!G126</f>
        <v>0</v>
      </c>
      <c r="D123" s="75">
        <f>'ERROR FINAL'!I126</f>
        <v>0</v>
      </c>
      <c r="E123" s="76">
        <f>'ERROR FINAL'!U126</f>
        <v>0</v>
      </c>
      <c r="F123" s="77">
        <f>'ERROR FINAL'!AG126</f>
        <v>0</v>
      </c>
      <c r="G123" s="77">
        <f>'ERROR FINAL'!AS126</f>
        <v>0</v>
      </c>
      <c r="H123" s="78" t="str">
        <f>IF('ERROR FINAL'!AT126="CONFORME","CONFORME","NO CONFORME")</f>
        <v>NO CONFORME</v>
      </c>
      <c r="I123" s="79" t="str">
        <f t="shared" si="1"/>
        <v>Medición</v>
      </c>
    </row>
    <row r="124" spans="1:9" x14ac:dyDescent="0.2">
      <c r="A124" s="72">
        <f>'ERROR FINAL'!A127</f>
        <v>0</v>
      </c>
      <c r="B124" s="73">
        <v>124</v>
      </c>
      <c r="C124" s="74">
        <f>'ERROR FINAL'!G127</f>
        <v>0</v>
      </c>
      <c r="D124" s="75">
        <f>'ERROR FINAL'!I127</f>
        <v>0</v>
      </c>
      <c r="E124" s="76">
        <f>'ERROR FINAL'!U127</f>
        <v>0</v>
      </c>
      <c r="F124" s="77">
        <f>'ERROR FINAL'!AG127</f>
        <v>0</v>
      </c>
      <c r="G124" s="77">
        <f>'ERROR FINAL'!AS127</f>
        <v>0</v>
      </c>
      <c r="H124" s="78" t="str">
        <f>IF('ERROR FINAL'!AT127="CONFORME","CONFORME","NO CONFORME")</f>
        <v>NO CONFORME</v>
      </c>
      <c r="I124" s="79" t="str">
        <f t="shared" si="1"/>
        <v>Medición</v>
      </c>
    </row>
    <row r="125" spans="1:9" x14ac:dyDescent="0.2">
      <c r="A125" s="72">
        <f>'ERROR FINAL'!A128</f>
        <v>0</v>
      </c>
      <c r="B125" s="73">
        <v>125</v>
      </c>
      <c r="C125" s="74">
        <f>'ERROR FINAL'!G128</f>
        <v>0</v>
      </c>
      <c r="D125" s="75">
        <f>'ERROR FINAL'!I128</f>
        <v>0</v>
      </c>
      <c r="E125" s="76">
        <f>'ERROR FINAL'!U128</f>
        <v>0</v>
      </c>
      <c r="F125" s="77">
        <f>'ERROR FINAL'!AG128</f>
        <v>0</v>
      </c>
      <c r="G125" s="77">
        <f>'ERROR FINAL'!AS128</f>
        <v>0</v>
      </c>
      <c r="H125" s="78" t="str">
        <f>IF('ERROR FINAL'!AT128="CONFORME","CONFORME","NO CONFORME")</f>
        <v>NO CONFORME</v>
      </c>
      <c r="I125" s="79" t="str">
        <f t="shared" si="1"/>
        <v>Medición</v>
      </c>
    </row>
    <row r="126" spans="1:9" x14ac:dyDescent="0.2">
      <c r="A126" s="72">
        <f>'ERROR FINAL'!A129</f>
        <v>0</v>
      </c>
      <c r="B126" s="73">
        <v>126</v>
      </c>
      <c r="C126" s="74">
        <f>'ERROR FINAL'!G129</f>
        <v>0</v>
      </c>
      <c r="D126" s="75">
        <f>'ERROR FINAL'!I129</f>
        <v>0</v>
      </c>
      <c r="E126" s="76">
        <f>'ERROR FINAL'!U129</f>
        <v>0</v>
      </c>
      <c r="F126" s="77">
        <f>'ERROR FINAL'!AG129</f>
        <v>0</v>
      </c>
      <c r="G126" s="77">
        <f>'ERROR FINAL'!AS129</f>
        <v>0</v>
      </c>
      <c r="H126" s="78" t="str">
        <f>IF('ERROR FINAL'!AT129="CONFORME","CONFORME","NO CONFORME")</f>
        <v>NO CONFORME</v>
      </c>
      <c r="I126" s="79" t="str">
        <f t="shared" si="1"/>
        <v>Medición</v>
      </c>
    </row>
    <row r="127" spans="1:9" x14ac:dyDescent="0.2">
      <c r="A127" s="72">
        <f>'ERROR FINAL'!A130</f>
        <v>0</v>
      </c>
      <c r="B127" s="73">
        <v>127</v>
      </c>
      <c r="C127" s="74">
        <f>'ERROR FINAL'!G130</f>
        <v>0</v>
      </c>
      <c r="D127" s="75">
        <f>'ERROR FINAL'!I130</f>
        <v>0</v>
      </c>
      <c r="E127" s="76">
        <f>'ERROR FINAL'!U130</f>
        <v>0</v>
      </c>
      <c r="F127" s="77">
        <f>'ERROR FINAL'!AG130</f>
        <v>0</v>
      </c>
      <c r="G127" s="77">
        <f>'ERROR FINAL'!AS130</f>
        <v>0</v>
      </c>
      <c r="H127" s="78" t="str">
        <f>IF('ERROR FINAL'!AT130="CONFORME","CONFORME","NO CONFORME")</f>
        <v>NO CONFORME</v>
      </c>
      <c r="I127" s="79" t="str">
        <f t="shared" si="1"/>
        <v>Medición</v>
      </c>
    </row>
    <row r="128" spans="1:9" x14ac:dyDescent="0.2">
      <c r="A128" s="72">
        <f>'ERROR FINAL'!A131</f>
        <v>0</v>
      </c>
      <c r="B128" s="73">
        <v>128</v>
      </c>
      <c r="C128" s="74">
        <f>'ERROR FINAL'!G131</f>
        <v>0</v>
      </c>
      <c r="D128" s="75">
        <f>'ERROR FINAL'!I131</f>
        <v>0</v>
      </c>
      <c r="E128" s="76">
        <f>'ERROR FINAL'!U131</f>
        <v>0</v>
      </c>
      <c r="F128" s="77">
        <f>'ERROR FINAL'!AG131</f>
        <v>0</v>
      </c>
      <c r="G128" s="77">
        <f>'ERROR FINAL'!AS131</f>
        <v>0</v>
      </c>
      <c r="H128" s="78" t="str">
        <f>IF('ERROR FINAL'!AT131="CONFORME","CONFORME","NO CONFORME")</f>
        <v>NO CONFORME</v>
      </c>
      <c r="I128" s="79" t="str">
        <f t="shared" si="1"/>
        <v>Medición</v>
      </c>
    </row>
    <row r="129" spans="1:9" x14ac:dyDescent="0.2">
      <c r="A129" s="72">
        <f>'ERROR FINAL'!A132</f>
        <v>0</v>
      </c>
      <c r="B129" s="73">
        <v>129</v>
      </c>
      <c r="C129" s="74">
        <f>'ERROR FINAL'!G132</f>
        <v>0</v>
      </c>
      <c r="D129" s="75">
        <f>'ERROR FINAL'!I132</f>
        <v>0</v>
      </c>
      <c r="E129" s="76">
        <f>'ERROR FINAL'!U132</f>
        <v>0</v>
      </c>
      <c r="F129" s="77">
        <f>'ERROR FINAL'!AG132</f>
        <v>0</v>
      </c>
      <c r="G129" s="77">
        <f>'ERROR FINAL'!AS132</f>
        <v>0</v>
      </c>
      <c r="H129" s="78" t="str">
        <f>IF('ERROR FINAL'!AT132="CONFORME","CONFORME","NO CONFORME")</f>
        <v>NO CONFORME</v>
      </c>
      <c r="I129" s="79" t="str">
        <f t="shared" si="1"/>
        <v>Medición</v>
      </c>
    </row>
    <row r="130" spans="1:9" x14ac:dyDescent="0.2">
      <c r="A130" s="72">
        <f>'ERROR FINAL'!A133</f>
        <v>0</v>
      </c>
      <c r="B130" s="73">
        <v>130</v>
      </c>
      <c r="C130" s="74">
        <f>'ERROR FINAL'!G133</f>
        <v>0</v>
      </c>
      <c r="D130" s="75">
        <f>'ERROR FINAL'!I133</f>
        <v>0</v>
      </c>
      <c r="E130" s="76">
        <f>'ERROR FINAL'!U133</f>
        <v>0</v>
      </c>
      <c r="F130" s="77">
        <f>'ERROR FINAL'!AG133</f>
        <v>0</v>
      </c>
      <c r="G130" s="77">
        <f>'ERROR FINAL'!AS133</f>
        <v>0</v>
      </c>
      <c r="H130" s="78" t="str">
        <f>IF('ERROR FINAL'!AT133="CONFORME","CONFORME","NO CONFORME")</f>
        <v>NO CONFORME</v>
      </c>
      <c r="I130" s="79" t="str">
        <f t="shared" si="1"/>
        <v>Medición</v>
      </c>
    </row>
    <row r="131" spans="1:9" x14ac:dyDescent="0.2">
      <c r="A131" s="72">
        <f>'ERROR FINAL'!A134</f>
        <v>0</v>
      </c>
      <c r="B131" s="73">
        <v>131</v>
      </c>
      <c r="C131" s="74">
        <f>'ERROR FINAL'!G134</f>
        <v>0</v>
      </c>
      <c r="D131" s="75">
        <f>'ERROR FINAL'!I134</f>
        <v>0</v>
      </c>
      <c r="E131" s="76">
        <f>'ERROR FINAL'!U134</f>
        <v>0</v>
      </c>
      <c r="F131" s="77">
        <f>'ERROR FINAL'!AG134</f>
        <v>0</v>
      </c>
      <c r="G131" s="77">
        <f>'ERROR FINAL'!AS134</f>
        <v>0</v>
      </c>
      <c r="H131" s="78" t="str">
        <f>IF('ERROR FINAL'!AT134="CONFORME","CONFORME","NO CONFORME")</f>
        <v>NO CONFORME</v>
      </c>
      <c r="I131" s="79" t="str">
        <f t="shared" si="1"/>
        <v>Medición</v>
      </c>
    </row>
    <row r="132" spans="1:9" x14ac:dyDescent="0.2">
      <c r="A132" s="72">
        <f>'ERROR FINAL'!A135</f>
        <v>0</v>
      </c>
      <c r="B132" s="73">
        <v>132</v>
      </c>
      <c r="C132" s="74">
        <f>'ERROR FINAL'!G135</f>
        <v>0</v>
      </c>
      <c r="D132" s="75">
        <f>'ERROR FINAL'!I135</f>
        <v>0</v>
      </c>
      <c r="E132" s="76">
        <f>'ERROR FINAL'!U135</f>
        <v>0</v>
      </c>
      <c r="F132" s="77">
        <f>'ERROR FINAL'!AG135</f>
        <v>0</v>
      </c>
      <c r="G132" s="77">
        <f>'ERROR FINAL'!AS135</f>
        <v>0</v>
      </c>
      <c r="H132" s="78" t="str">
        <f>IF('ERROR FINAL'!AT135="CONFORME","CONFORME","NO CONFORME")</f>
        <v>NO CONFORME</v>
      </c>
      <c r="I132" s="79" t="str">
        <f t="shared" si="1"/>
        <v>Medición</v>
      </c>
    </row>
    <row r="133" spans="1:9" x14ac:dyDescent="0.2">
      <c r="A133" s="72">
        <f>'ERROR FINAL'!A136</f>
        <v>0</v>
      </c>
      <c r="B133" s="73">
        <v>133</v>
      </c>
      <c r="C133" s="74">
        <f>'ERROR FINAL'!G136</f>
        <v>0</v>
      </c>
      <c r="D133" s="75">
        <f>'ERROR FINAL'!I136</f>
        <v>0</v>
      </c>
      <c r="E133" s="76">
        <f>'ERROR FINAL'!U136</f>
        <v>0</v>
      </c>
      <c r="F133" s="77">
        <f>'ERROR FINAL'!AG136</f>
        <v>0</v>
      </c>
      <c r="G133" s="77">
        <f>'ERROR FINAL'!AS136</f>
        <v>0</v>
      </c>
      <c r="H133" s="78" t="str">
        <f>IF('ERROR FINAL'!AT136="CONFORME","CONFORME","NO CONFORME")</f>
        <v>NO CONFORME</v>
      </c>
      <c r="I133" s="79" t="str">
        <f t="shared" si="1"/>
        <v>Medición</v>
      </c>
    </row>
    <row r="134" spans="1:9" x14ac:dyDescent="0.2">
      <c r="A134" s="72">
        <f>'ERROR FINAL'!A137</f>
        <v>0</v>
      </c>
      <c r="B134" s="73">
        <v>134</v>
      </c>
      <c r="C134" s="74">
        <f>'ERROR FINAL'!G137</f>
        <v>0</v>
      </c>
      <c r="D134" s="75">
        <f>'ERROR FINAL'!I137</f>
        <v>0</v>
      </c>
      <c r="E134" s="76">
        <f>'ERROR FINAL'!U137</f>
        <v>0</v>
      </c>
      <c r="F134" s="77">
        <f>'ERROR FINAL'!AG137</f>
        <v>0</v>
      </c>
      <c r="G134" s="77">
        <f>'ERROR FINAL'!AS137</f>
        <v>0</v>
      </c>
      <c r="H134" s="78" t="str">
        <f>IF('ERROR FINAL'!AT137="CONFORME","CONFORME","NO CONFORME")</f>
        <v>NO CONFORME</v>
      </c>
      <c r="I134" s="79" t="str">
        <f t="shared" si="1"/>
        <v>Medición</v>
      </c>
    </row>
    <row r="135" spans="1:9" x14ac:dyDescent="0.2">
      <c r="A135" s="72">
        <f>'ERROR FINAL'!A138</f>
        <v>0</v>
      </c>
      <c r="B135" s="73">
        <v>135</v>
      </c>
      <c r="C135" s="74">
        <f>'ERROR FINAL'!G138</f>
        <v>0</v>
      </c>
      <c r="D135" s="75">
        <f>'ERROR FINAL'!I138</f>
        <v>0</v>
      </c>
      <c r="E135" s="76">
        <f>'ERROR FINAL'!U138</f>
        <v>0</v>
      </c>
      <c r="F135" s="77">
        <f>'ERROR FINAL'!AG138</f>
        <v>0</v>
      </c>
      <c r="G135" s="77">
        <f>'ERROR FINAL'!AS138</f>
        <v>0</v>
      </c>
      <c r="H135" s="78" t="str">
        <f>IF('ERROR FINAL'!AT138="CONFORME","CONFORME","NO CONFORME")</f>
        <v>NO CONFORME</v>
      </c>
      <c r="I135" s="7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">
      <c r="A136" s="72">
        <f>'ERROR FINAL'!A139</f>
        <v>0</v>
      </c>
      <c r="B136" s="73">
        <v>136</v>
      </c>
      <c r="C136" s="74">
        <f>'ERROR FINAL'!G139</f>
        <v>0</v>
      </c>
      <c r="D136" s="75">
        <f>'ERROR FINAL'!I139</f>
        <v>0</v>
      </c>
      <c r="E136" s="76">
        <f>'ERROR FINAL'!U139</f>
        <v>0</v>
      </c>
      <c r="F136" s="77">
        <f>'ERROR FINAL'!AG139</f>
        <v>0</v>
      </c>
      <c r="G136" s="77">
        <f>'ERROR FINAL'!AS139</f>
        <v>0</v>
      </c>
      <c r="H136" s="78" t="str">
        <f>IF('ERROR FINAL'!AT139="CONFORME","CONFORME","NO CONFORME")</f>
        <v>NO CONFORME</v>
      </c>
      <c r="I136" s="79" t="str">
        <f t="shared" si="2"/>
        <v>Medición</v>
      </c>
    </row>
    <row r="137" spans="1:9" x14ac:dyDescent="0.2">
      <c r="A137" s="72">
        <f>'ERROR FINAL'!A140</f>
        <v>0</v>
      </c>
      <c r="B137" s="73">
        <v>137</v>
      </c>
      <c r="C137" s="74">
        <f>'ERROR FINAL'!G140</f>
        <v>0</v>
      </c>
      <c r="D137" s="75">
        <f>'ERROR FINAL'!I140</f>
        <v>0</v>
      </c>
      <c r="E137" s="76">
        <f>'ERROR FINAL'!U140</f>
        <v>0</v>
      </c>
      <c r="F137" s="77">
        <f>'ERROR FINAL'!AG140</f>
        <v>0</v>
      </c>
      <c r="G137" s="77">
        <f>'ERROR FINAL'!AS140</f>
        <v>0</v>
      </c>
      <c r="H137" s="78" t="str">
        <f>IF('ERROR FINAL'!AT140="CONFORME","CONFORME","NO CONFORME")</f>
        <v>NO CONFORME</v>
      </c>
      <c r="I137" s="79" t="str">
        <f t="shared" si="2"/>
        <v>Medición</v>
      </c>
    </row>
    <row r="138" spans="1:9" x14ac:dyDescent="0.2">
      <c r="A138" s="72">
        <f>'ERROR FINAL'!A141</f>
        <v>0</v>
      </c>
      <c r="B138" s="73">
        <v>138</v>
      </c>
      <c r="C138" s="74">
        <f>'ERROR FINAL'!G141</f>
        <v>0</v>
      </c>
      <c r="D138" s="75">
        <f>'ERROR FINAL'!I141</f>
        <v>0</v>
      </c>
      <c r="E138" s="76">
        <f>'ERROR FINAL'!U141</f>
        <v>0</v>
      </c>
      <c r="F138" s="77">
        <f>'ERROR FINAL'!AG141</f>
        <v>0</v>
      </c>
      <c r="G138" s="77">
        <f>'ERROR FINAL'!AS141</f>
        <v>0</v>
      </c>
      <c r="H138" s="78" t="str">
        <f>IF('ERROR FINAL'!AT141="CONFORME","CONFORME","NO CONFORME")</f>
        <v>NO CONFORME</v>
      </c>
      <c r="I138" s="79" t="str">
        <f t="shared" si="2"/>
        <v>Medición</v>
      </c>
    </row>
    <row r="139" spans="1:9" x14ac:dyDescent="0.2">
      <c r="A139" s="72">
        <f>'ERROR FINAL'!A142</f>
        <v>0</v>
      </c>
      <c r="B139" s="73">
        <v>139</v>
      </c>
      <c r="C139" s="74">
        <f>'ERROR FINAL'!G142</f>
        <v>0</v>
      </c>
      <c r="D139" s="75">
        <f>'ERROR FINAL'!I142</f>
        <v>0</v>
      </c>
      <c r="E139" s="76">
        <f>'ERROR FINAL'!U142</f>
        <v>0</v>
      </c>
      <c r="F139" s="77">
        <f>'ERROR FINAL'!AG142</f>
        <v>0</v>
      </c>
      <c r="G139" s="77">
        <f>'ERROR FINAL'!AS142</f>
        <v>0</v>
      </c>
      <c r="H139" s="78" t="str">
        <f>IF('ERROR FINAL'!AT142="CONFORME","CONFORME","NO CONFORME")</f>
        <v>NO CONFORME</v>
      </c>
      <c r="I139" s="79" t="str">
        <f t="shared" si="2"/>
        <v>Medición</v>
      </c>
    </row>
    <row r="140" spans="1:9" x14ac:dyDescent="0.2">
      <c r="A140" s="72">
        <f>'ERROR FINAL'!A143</f>
        <v>0</v>
      </c>
      <c r="B140" s="73">
        <v>140</v>
      </c>
      <c r="C140" s="74">
        <f>'ERROR FINAL'!G143</f>
        <v>0</v>
      </c>
      <c r="D140" s="75">
        <f>'ERROR FINAL'!I143</f>
        <v>0</v>
      </c>
      <c r="E140" s="76">
        <f>'ERROR FINAL'!U143</f>
        <v>0</v>
      </c>
      <c r="F140" s="77">
        <f>'ERROR FINAL'!AG143</f>
        <v>0</v>
      </c>
      <c r="G140" s="77">
        <f>'ERROR FINAL'!AS143</f>
        <v>0</v>
      </c>
      <c r="H140" s="78" t="str">
        <f>IF('ERROR FINAL'!AT143="CONFORME","CONFORME","NO CONFORME")</f>
        <v>NO CONFORME</v>
      </c>
      <c r="I140" s="79" t="str">
        <f t="shared" si="2"/>
        <v>Medición</v>
      </c>
    </row>
    <row r="141" spans="1:9" x14ac:dyDescent="0.2">
      <c r="A141" s="72">
        <f>'ERROR FINAL'!A144</f>
        <v>0</v>
      </c>
      <c r="B141" s="73">
        <v>141</v>
      </c>
      <c r="C141" s="74">
        <f>'ERROR FINAL'!G144</f>
        <v>0</v>
      </c>
      <c r="D141" s="75">
        <f>'ERROR FINAL'!I144</f>
        <v>0</v>
      </c>
      <c r="E141" s="76">
        <f>'ERROR FINAL'!U144</f>
        <v>0</v>
      </c>
      <c r="F141" s="77">
        <f>'ERROR FINAL'!AG144</f>
        <v>0</v>
      </c>
      <c r="G141" s="77">
        <f>'ERROR FINAL'!AS144</f>
        <v>0</v>
      </c>
      <c r="H141" s="78" t="str">
        <f>IF('ERROR FINAL'!AT144="CONFORME","CONFORME","NO CONFORME")</f>
        <v>NO CONFORME</v>
      </c>
      <c r="I141" s="79" t="str">
        <f t="shared" si="2"/>
        <v>Medición</v>
      </c>
    </row>
    <row r="142" spans="1:9" x14ac:dyDescent="0.2">
      <c r="A142" s="72">
        <f>'ERROR FINAL'!A145</f>
        <v>0</v>
      </c>
      <c r="B142" s="73">
        <v>142</v>
      </c>
      <c r="C142" s="74">
        <f>'ERROR FINAL'!G145</f>
        <v>0</v>
      </c>
      <c r="D142" s="75">
        <f>'ERROR FINAL'!I145</f>
        <v>0</v>
      </c>
      <c r="E142" s="76">
        <f>'ERROR FINAL'!U145</f>
        <v>0</v>
      </c>
      <c r="F142" s="77">
        <f>'ERROR FINAL'!AG145</f>
        <v>0</v>
      </c>
      <c r="G142" s="77">
        <f>'ERROR FINAL'!AS145</f>
        <v>0</v>
      </c>
      <c r="H142" s="78" t="str">
        <f>IF('ERROR FINAL'!AT145="CONFORME","CONFORME","NO CONFORME")</f>
        <v>NO CONFORME</v>
      </c>
      <c r="I142" s="79" t="str">
        <f t="shared" si="2"/>
        <v>Medición</v>
      </c>
    </row>
    <row r="143" spans="1:9" x14ac:dyDescent="0.2">
      <c r="A143" s="72">
        <f>'ERROR FINAL'!A146</f>
        <v>0</v>
      </c>
      <c r="B143" s="73">
        <v>143</v>
      </c>
      <c r="C143" s="74">
        <f>'ERROR FINAL'!G146</f>
        <v>0</v>
      </c>
      <c r="D143" s="75">
        <f>'ERROR FINAL'!I146</f>
        <v>0</v>
      </c>
      <c r="E143" s="76">
        <f>'ERROR FINAL'!U146</f>
        <v>0</v>
      </c>
      <c r="F143" s="77">
        <f>'ERROR FINAL'!AG146</f>
        <v>0</v>
      </c>
      <c r="G143" s="77">
        <f>'ERROR FINAL'!AS146</f>
        <v>0</v>
      </c>
      <c r="H143" s="78" t="str">
        <f>IF('ERROR FINAL'!AT146="CONFORME","CONFORME","NO CONFORME")</f>
        <v>NO CONFORME</v>
      </c>
      <c r="I143" s="79" t="str">
        <f t="shared" si="2"/>
        <v>Medición</v>
      </c>
    </row>
    <row r="144" spans="1:9" x14ac:dyDescent="0.2">
      <c r="A144" s="72">
        <f>'ERROR FINAL'!A147</f>
        <v>0</v>
      </c>
      <c r="B144" s="73">
        <v>144</v>
      </c>
      <c r="C144" s="74">
        <f>'ERROR FINAL'!G147</f>
        <v>0</v>
      </c>
      <c r="D144" s="75">
        <f>'ERROR FINAL'!I147</f>
        <v>0</v>
      </c>
      <c r="E144" s="76">
        <f>'ERROR FINAL'!U147</f>
        <v>0</v>
      </c>
      <c r="F144" s="77">
        <f>'ERROR FINAL'!AG147</f>
        <v>0</v>
      </c>
      <c r="G144" s="77">
        <f>'ERROR FINAL'!AS147</f>
        <v>0</v>
      </c>
      <c r="H144" s="78" t="str">
        <f>IF('ERROR FINAL'!AT147="CONFORME","CONFORME","NO CONFORME")</f>
        <v>NO CONFORME</v>
      </c>
      <c r="I144" s="79" t="str">
        <f t="shared" si="2"/>
        <v>Medición</v>
      </c>
    </row>
    <row r="145" spans="1:9" x14ac:dyDescent="0.2">
      <c r="A145" s="72">
        <f>'ERROR FINAL'!A148</f>
        <v>0</v>
      </c>
      <c r="B145" s="73">
        <v>145</v>
      </c>
      <c r="C145" s="74">
        <f>'ERROR FINAL'!G148</f>
        <v>0</v>
      </c>
      <c r="D145" s="75">
        <f>'ERROR FINAL'!I148</f>
        <v>0</v>
      </c>
      <c r="E145" s="76">
        <f>'ERROR FINAL'!U148</f>
        <v>0</v>
      </c>
      <c r="F145" s="77">
        <f>'ERROR FINAL'!AG148</f>
        <v>0</v>
      </c>
      <c r="G145" s="77">
        <f>'ERROR FINAL'!AS148</f>
        <v>0</v>
      </c>
      <c r="H145" s="78" t="str">
        <f>IF('ERROR FINAL'!AT148="CONFORME","CONFORME","NO CONFORME")</f>
        <v>NO CONFORME</v>
      </c>
      <c r="I145" s="79" t="str">
        <f t="shared" si="2"/>
        <v>Medición</v>
      </c>
    </row>
    <row r="146" spans="1:9" x14ac:dyDescent="0.2">
      <c r="A146" s="72">
        <f>'ERROR FINAL'!A149</f>
        <v>0</v>
      </c>
      <c r="B146" s="73">
        <v>146</v>
      </c>
      <c r="C146" s="74">
        <f>'ERROR FINAL'!G149</f>
        <v>0</v>
      </c>
      <c r="D146" s="75">
        <f>'ERROR FINAL'!I149</f>
        <v>0</v>
      </c>
      <c r="E146" s="76">
        <f>'ERROR FINAL'!U149</f>
        <v>0</v>
      </c>
      <c r="F146" s="77">
        <f>'ERROR FINAL'!AG149</f>
        <v>0</v>
      </c>
      <c r="G146" s="77">
        <f>'ERROR FINAL'!AS149</f>
        <v>0</v>
      </c>
      <c r="H146" s="78" t="str">
        <f>IF('ERROR FINAL'!AT149="CONFORME","CONFORME","NO CONFORME")</f>
        <v>NO CONFORME</v>
      </c>
      <c r="I146" s="79" t="str">
        <f t="shared" si="2"/>
        <v>Medición</v>
      </c>
    </row>
    <row r="147" spans="1:9" x14ac:dyDescent="0.2">
      <c r="A147" s="72">
        <f>'ERROR FINAL'!A150</f>
        <v>0</v>
      </c>
      <c r="B147" s="73">
        <v>147</v>
      </c>
      <c r="C147" s="74">
        <f>'ERROR FINAL'!G150</f>
        <v>0</v>
      </c>
      <c r="D147" s="75">
        <f>'ERROR FINAL'!I150</f>
        <v>0</v>
      </c>
      <c r="E147" s="76">
        <f>'ERROR FINAL'!U150</f>
        <v>0</v>
      </c>
      <c r="F147" s="77">
        <f>'ERROR FINAL'!AG150</f>
        <v>0</v>
      </c>
      <c r="G147" s="77">
        <f>'ERROR FINAL'!AS150</f>
        <v>0</v>
      </c>
      <c r="H147" s="78" t="str">
        <f>IF('ERROR FINAL'!AT150="CONFORME","CONFORME","NO CONFORME")</f>
        <v>NO CONFORME</v>
      </c>
      <c r="I147" s="79" t="str">
        <f t="shared" si="2"/>
        <v>Medición</v>
      </c>
    </row>
    <row r="148" spans="1:9" x14ac:dyDescent="0.2">
      <c r="A148" s="72">
        <f>'ERROR FINAL'!A151</f>
        <v>0</v>
      </c>
      <c r="B148" s="73">
        <v>148</v>
      </c>
      <c r="C148" s="74">
        <f>'ERROR FINAL'!G151</f>
        <v>0</v>
      </c>
      <c r="D148" s="75">
        <f>'ERROR FINAL'!I151</f>
        <v>0</v>
      </c>
      <c r="E148" s="76">
        <f>'ERROR FINAL'!U151</f>
        <v>0</v>
      </c>
      <c r="F148" s="77">
        <f>'ERROR FINAL'!AG151</f>
        <v>0</v>
      </c>
      <c r="G148" s="77">
        <f>'ERROR FINAL'!AS151</f>
        <v>0</v>
      </c>
      <c r="H148" s="78" t="str">
        <f>IF('ERROR FINAL'!AT151="CONFORME","CONFORME","NO CONFORME")</f>
        <v>NO CONFORME</v>
      </c>
      <c r="I148" s="79" t="str">
        <f t="shared" si="2"/>
        <v>Medición</v>
      </c>
    </row>
    <row r="149" spans="1:9" x14ac:dyDescent="0.2">
      <c r="A149" s="72">
        <f>'ERROR FINAL'!A152</f>
        <v>0</v>
      </c>
      <c r="B149" s="73">
        <v>149</v>
      </c>
      <c r="C149" s="74">
        <f>'ERROR FINAL'!G152</f>
        <v>0</v>
      </c>
      <c r="D149" s="75">
        <f>'ERROR FINAL'!I152</f>
        <v>0</v>
      </c>
      <c r="E149" s="76">
        <f>'ERROR FINAL'!U152</f>
        <v>0</v>
      </c>
      <c r="F149" s="77">
        <f>'ERROR FINAL'!AG152</f>
        <v>0</v>
      </c>
      <c r="G149" s="77">
        <f>'ERROR FINAL'!AS152</f>
        <v>0</v>
      </c>
      <c r="H149" s="78" t="str">
        <f>IF('ERROR FINAL'!AT152="CONFORME","CONFORME","NO CONFORME")</f>
        <v>NO CONFORME</v>
      </c>
      <c r="I149" s="79" t="str">
        <f t="shared" si="2"/>
        <v>Medición</v>
      </c>
    </row>
    <row r="150" spans="1:9" x14ac:dyDescent="0.2">
      <c r="A150" s="72">
        <f>'ERROR FINAL'!A153</f>
        <v>0</v>
      </c>
      <c r="B150" s="73">
        <v>150</v>
      </c>
      <c r="C150" s="74">
        <f>'ERROR FINAL'!G153</f>
        <v>0</v>
      </c>
      <c r="D150" s="75">
        <f>'ERROR FINAL'!I153</f>
        <v>0</v>
      </c>
      <c r="E150" s="76">
        <f>'ERROR FINAL'!U153</f>
        <v>0</v>
      </c>
      <c r="F150" s="77">
        <f>'ERROR FINAL'!AG153</f>
        <v>0</v>
      </c>
      <c r="G150" s="77">
        <f>'ERROR FINAL'!AS153</f>
        <v>0</v>
      </c>
      <c r="H150" s="78" t="str">
        <f>IF('ERROR FINAL'!AT153="CONFORME","CONFORME","NO CONFORME")</f>
        <v>NO CONFORME</v>
      </c>
      <c r="I150" s="79" t="str">
        <f t="shared" si="2"/>
        <v>Medición</v>
      </c>
    </row>
    <row r="151" spans="1:9" x14ac:dyDescent="0.2">
      <c r="A151" s="72">
        <f>'ERROR FINAL'!A154</f>
        <v>0</v>
      </c>
      <c r="B151" s="73">
        <v>151</v>
      </c>
      <c r="C151" s="74">
        <f>'ERROR FINAL'!G154</f>
        <v>0</v>
      </c>
      <c r="D151" s="75">
        <f>'ERROR FINAL'!I154</f>
        <v>0</v>
      </c>
      <c r="E151" s="76">
        <f>'ERROR FINAL'!U154</f>
        <v>0</v>
      </c>
      <c r="F151" s="77">
        <f>'ERROR FINAL'!AG154</f>
        <v>0</v>
      </c>
      <c r="G151" s="77">
        <f>'ERROR FINAL'!AS154</f>
        <v>0</v>
      </c>
      <c r="H151" s="78" t="str">
        <f>IF('ERROR FINAL'!AT154="CONFORME","CONFORME","NO CONFORME")</f>
        <v>NO CONFORME</v>
      </c>
      <c r="I151" s="79" t="str">
        <f t="shared" si="2"/>
        <v>Medición</v>
      </c>
    </row>
    <row r="152" spans="1:9" x14ac:dyDescent="0.2">
      <c r="A152" s="72">
        <f>'ERROR FINAL'!A155</f>
        <v>0</v>
      </c>
      <c r="B152" s="73">
        <v>152</v>
      </c>
      <c r="C152" s="74">
        <f>'ERROR FINAL'!G155</f>
        <v>0</v>
      </c>
      <c r="D152" s="75">
        <f>'ERROR FINAL'!I155</f>
        <v>0</v>
      </c>
      <c r="E152" s="76">
        <f>'ERROR FINAL'!U155</f>
        <v>0</v>
      </c>
      <c r="F152" s="77">
        <f>'ERROR FINAL'!AG155</f>
        <v>0</v>
      </c>
      <c r="G152" s="77">
        <f>'ERROR FINAL'!AS155</f>
        <v>0</v>
      </c>
      <c r="H152" s="78" t="str">
        <f>IF('ERROR FINAL'!AT155="CONFORME","CONFORME","NO CONFORME")</f>
        <v>NO CONFORME</v>
      </c>
      <c r="I152" s="79" t="str">
        <f t="shared" si="2"/>
        <v>Medición</v>
      </c>
    </row>
    <row r="153" spans="1:9" x14ac:dyDescent="0.2">
      <c r="A153" s="72">
        <f>'ERROR FINAL'!A156</f>
        <v>0</v>
      </c>
      <c r="B153" s="73">
        <v>153</v>
      </c>
      <c r="C153" s="74">
        <f>'ERROR FINAL'!G156</f>
        <v>0</v>
      </c>
      <c r="D153" s="75">
        <f>'ERROR FINAL'!I156</f>
        <v>0</v>
      </c>
      <c r="E153" s="76">
        <f>'ERROR FINAL'!U156</f>
        <v>0</v>
      </c>
      <c r="F153" s="77">
        <f>'ERROR FINAL'!AG156</f>
        <v>0</v>
      </c>
      <c r="G153" s="77">
        <f>'ERROR FINAL'!AS156</f>
        <v>0</v>
      </c>
      <c r="H153" s="78" t="str">
        <f>IF('ERROR FINAL'!AT156="CONFORME","CONFORME","NO CONFORME")</f>
        <v>NO CONFORME</v>
      </c>
      <c r="I153" s="79" t="str">
        <f t="shared" si="2"/>
        <v>Medición</v>
      </c>
    </row>
    <row r="154" spans="1:9" x14ac:dyDescent="0.2">
      <c r="A154" s="72">
        <f>'ERROR FINAL'!A157</f>
        <v>0</v>
      </c>
      <c r="B154" s="73">
        <v>154</v>
      </c>
      <c r="C154" s="74">
        <f>'ERROR FINAL'!G157</f>
        <v>0</v>
      </c>
      <c r="D154" s="75">
        <f>'ERROR FINAL'!I157</f>
        <v>0</v>
      </c>
      <c r="E154" s="76">
        <f>'ERROR FINAL'!U157</f>
        <v>0</v>
      </c>
      <c r="F154" s="77">
        <f>'ERROR FINAL'!AG157</f>
        <v>0</v>
      </c>
      <c r="G154" s="77">
        <f>'ERROR FINAL'!AS157</f>
        <v>0</v>
      </c>
      <c r="H154" s="78" t="str">
        <f>IF('ERROR FINAL'!AT157="CONFORME","CONFORME","NO CONFORME")</f>
        <v>NO CONFORME</v>
      </c>
      <c r="I154" s="79" t="str">
        <f t="shared" si="2"/>
        <v>Medición</v>
      </c>
    </row>
    <row r="155" spans="1:9" x14ac:dyDescent="0.2">
      <c r="A155" s="72">
        <f>'ERROR FINAL'!A158</f>
        <v>0</v>
      </c>
      <c r="B155" s="73">
        <v>155</v>
      </c>
      <c r="C155" s="74">
        <f>'ERROR FINAL'!G158</f>
        <v>0</v>
      </c>
      <c r="D155" s="75">
        <f>'ERROR FINAL'!I158</f>
        <v>0</v>
      </c>
      <c r="E155" s="76">
        <f>'ERROR FINAL'!U158</f>
        <v>0</v>
      </c>
      <c r="F155" s="77">
        <f>'ERROR FINAL'!AG158</f>
        <v>0</v>
      </c>
      <c r="G155" s="77">
        <f>'ERROR FINAL'!AS158</f>
        <v>0</v>
      </c>
      <c r="H155" s="78" t="str">
        <f>IF('ERROR FINAL'!AT158="CONFORME","CONFORME","NO CONFORME")</f>
        <v>NO CONFORME</v>
      </c>
      <c r="I155" s="79" t="str">
        <f t="shared" si="2"/>
        <v>Medición</v>
      </c>
    </row>
    <row r="156" spans="1:9" x14ac:dyDescent="0.2">
      <c r="A156" s="72">
        <f>'ERROR FINAL'!A159</f>
        <v>0</v>
      </c>
      <c r="B156" s="73">
        <v>156</v>
      </c>
      <c r="C156" s="74">
        <f>'ERROR FINAL'!G159</f>
        <v>0</v>
      </c>
      <c r="D156" s="75">
        <f>'ERROR FINAL'!I159</f>
        <v>0</v>
      </c>
      <c r="E156" s="76">
        <f>'ERROR FINAL'!U159</f>
        <v>0</v>
      </c>
      <c r="F156" s="77">
        <f>'ERROR FINAL'!AG159</f>
        <v>0</v>
      </c>
      <c r="G156" s="77">
        <f>'ERROR FINAL'!AS159</f>
        <v>0</v>
      </c>
      <c r="H156" s="78" t="str">
        <f>IF('ERROR FINAL'!AT159="CONFORME","CONFORME","NO CONFORME")</f>
        <v>NO CONFORME</v>
      </c>
      <c r="I156" s="79" t="str">
        <f t="shared" si="2"/>
        <v>Medición</v>
      </c>
    </row>
    <row r="157" spans="1:9" x14ac:dyDescent="0.2">
      <c r="A157" s="72">
        <f>'ERROR FINAL'!A160</f>
        <v>0</v>
      </c>
      <c r="B157" s="73">
        <v>157</v>
      </c>
      <c r="C157" s="74">
        <f>'ERROR FINAL'!G160</f>
        <v>0</v>
      </c>
      <c r="D157" s="75">
        <f>'ERROR FINAL'!I160</f>
        <v>0</v>
      </c>
      <c r="E157" s="76">
        <f>'ERROR FINAL'!U160</f>
        <v>0</v>
      </c>
      <c r="F157" s="77">
        <f>'ERROR FINAL'!AG160</f>
        <v>0</v>
      </c>
      <c r="G157" s="77">
        <f>'ERROR FINAL'!AS160</f>
        <v>0</v>
      </c>
      <c r="H157" s="78" t="str">
        <f>IF('ERROR FINAL'!AT160="CONFORME","CONFORME","NO CONFORME")</f>
        <v>NO CONFORME</v>
      </c>
      <c r="I157" s="79" t="str">
        <f t="shared" si="2"/>
        <v>Medición</v>
      </c>
    </row>
    <row r="158" spans="1:9" x14ac:dyDescent="0.2">
      <c r="A158" s="72">
        <f>'ERROR FINAL'!A161</f>
        <v>0</v>
      </c>
      <c r="B158" s="73">
        <v>158</v>
      </c>
      <c r="C158" s="74">
        <f>'ERROR FINAL'!G161</f>
        <v>0</v>
      </c>
      <c r="D158" s="75">
        <f>'ERROR FINAL'!I161</f>
        <v>0</v>
      </c>
      <c r="E158" s="76">
        <f>'ERROR FINAL'!U161</f>
        <v>0</v>
      </c>
      <c r="F158" s="77">
        <f>'ERROR FINAL'!AG161</f>
        <v>0</v>
      </c>
      <c r="G158" s="77">
        <f>'ERROR FINAL'!AS161</f>
        <v>0</v>
      </c>
      <c r="H158" s="78" t="str">
        <f>IF('ERROR FINAL'!AT161="CONFORME","CONFORME","NO CONFORME")</f>
        <v>NO CONFORME</v>
      </c>
      <c r="I158" s="79" t="str">
        <f t="shared" si="2"/>
        <v>Medición</v>
      </c>
    </row>
    <row r="159" spans="1:9" x14ac:dyDescent="0.2">
      <c r="A159" s="72">
        <f>'ERROR FINAL'!A162</f>
        <v>0</v>
      </c>
      <c r="B159" s="73">
        <v>159</v>
      </c>
      <c r="C159" s="74">
        <f>'ERROR FINAL'!G162</f>
        <v>0</v>
      </c>
      <c r="D159" s="75">
        <f>'ERROR FINAL'!I162</f>
        <v>0</v>
      </c>
      <c r="E159" s="76">
        <f>'ERROR FINAL'!U162</f>
        <v>0</v>
      </c>
      <c r="F159" s="77">
        <f>'ERROR FINAL'!AG162</f>
        <v>0</v>
      </c>
      <c r="G159" s="77">
        <f>'ERROR FINAL'!AS162</f>
        <v>0</v>
      </c>
      <c r="H159" s="78" t="str">
        <f>IF('ERROR FINAL'!AT162="CONFORME","CONFORME","NO CONFORME")</f>
        <v>NO CONFORME</v>
      </c>
      <c r="I159" s="79" t="str">
        <f t="shared" si="2"/>
        <v>Medición</v>
      </c>
    </row>
    <row r="160" spans="1:9" x14ac:dyDescent="0.2">
      <c r="A160" s="72">
        <f>'ERROR FINAL'!A163</f>
        <v>0</v>
      </c>
      <c r="B160" s="73">
        <v>160</v>
      </c>
      <c r="C160" s="74">
        <f>'ERROR FINAL'!G163</f>
        <v>0</v>
      </c>
      <c r="D160" s="75">
        <f>'ERROR FINAL'!I163</f>
        <v>0</v>
      </c>
      <c r="E160" s="76">
        <f>'ERROR FINAL'!U163</f>
        <v>0</v>
      </c>
      <c r="F160" s="77">
        <f>'ERROR FINAL'!AG163</f>
        <v>0</v>
      </c>
      <c r="G160" s="77">
        <f>'ERROR FINAL'!AS163</f>
        <v>0</v>
      </c>
      <c r="H160" s="78" t="str">
        <f>IF('ERROR FINAL'!AT163="CONFORME","CONFORME","NO CONFORME")</f>
        <v>NO CONFORME</v>
      </c>
      <c r="I160" s="79" t="str">
        <f t="shared" si="2"/>
        <v>Medición</v>
      </c>
    </row>
    <row r="161" spans="1:9" x14ac:dyDescent="0.2">
      <c r="A161" s="72">
        <f>'ERROR FINAL'!A164</f>
        <v>0</v>
      </c>
      <c r="B161" s="73">
        <v>161</v>
      </c>
      <c r="C161" s="74">
        <f>'ERROR FINAL'!G164</f>
        <v>0</v>
      </c>
      <c r="D161" s="75">
        <f>'ERROR FINAL'!I164</f>
        <v>0</v>
      </c>
      <c r="E161" s="76">
        <f>'ERROR FINAL'!U164</f>
        <v>0</v>
      </c>
      <c r="F161" s="77">
        <f>'ERROR FINAL'!AG164</f>
        <v>0</v>
      </c>
      <c r="G161" s="77">
        <f>'ERROR FINAL'!AS164</f>
        <v>0</v>
      </c>
      <c r="H161" s="78" t="str">
        <f>IF('ERROR FINAL'!AT164="CONFORME","CONFORME","NO CONFORME")</f>
        <v>NO CONFORME</v>
      </c>
      <c r="I161" s="79" t="str">
        <f t="shared" si="2"/>
        <v>Medición</v>
      </c>
    </row>
    <row r="162" spans="1:9" x14ac:dyDescent="0.2">
      <c r="A162" s="72">
        <f>'ERROR FINAL'!A165</f>
        <v>0</v>
      </c>
      <c r="B162" s="73">
        <v>162</v>
      </c>
      <c r="C162" s="74">
        <f>'ERROR FINAL'!G165</f>
        <v>0</v>
      </c>
      <c r="D162" s="75">
        <f>'ERROR FINAL'!I165</f>
        <v>0</v>
      </c>
      <c r="E162" s="76">
        <f>'ERROR FINAL'!U165</f>
        <v>0</v>
      </c>
      <c r="F162" s="77">
        <f>'ERROR FINAL'!AG165</f>
        <v>0</v>
      </c>
      <c r="G162" s="77">
        <f>'ERROR FINAL'!AS165</f>
        <v>0</v>
      </c>
      <c r="H162" s="78" t="str">
        <f>IF('ERROR FINAL'!AT165="CONFORME","CONFORME","NO CONFORME")</f>
        <v>NO CONFORME</v>
      </c>
      <c r="I162" s="79" t="str">
        <f t="shared" si="2"/>
        <v>Medición</v>
      </c>
    </row>
    <row r="163" spans="1:9" x14ac:dyDescent="0.2">
      <c r="A163" s="72">
        <f>'ERROR FINAL'!A166</f>
        <v>0</v>
      </c>
      <c r="B163" s="73">
        <v>163</v>
      </c>
      <c r="C163" s="74">
        <f>'ERROR FINAL'!G166</f>
        <v>0</v>
      </c>
      <c r="D163" s="75">
        <f>'ERROR FINAL'!I166</f>
        <v>0</v>
      </c>
      <c r="E163" s="76">
        <f>'ERROR FINAL'!U166</f>
        <v>0</v>
      </c>
      <c r="F163" s="77">
        <f>'ERROR FINAL'!AG166</f>
        <v>0</v>
      </c>
      <c r="G163" s="77">
        <f>'ERROR FINAL'!AS166</f>
        <v>0</v>
      </c>
      <c r="H163" s="78" t="str">
        <f>IF('ERROR FINAL'!AT166="CONFORME","CONFORME","NO CONFORME")</f>
        <v>NO CONFORME</v>
      </c>
      <c r="I163" s="79" t="str">
        <f t="shared" si="2"/>
        <v>Medición</v>
      </c>
    </row>
    <row r="164" spans="1:9" x14ac:dyDescent="0.2">
      <c r="A164" s="72">
        <f>'ERROR FINAL'!A167</f>
        <v>0</v>
      </c>
      <c r="B164" s="73">
        <v>164</v>
      </c>
      <c r="C164" s="74">
        <f>'ERROR FINAL'!G167</f>
        <v>0</v>
      </c>
      <c r="D164" s="75">
        <f>'ERROR FINAL'!I167</f>
        <v>0</v>
      </c>
      <c r="E164" s="76">
        <f>'ERROR FINAL'!U167</f>
        <v>0</v>
      </c>
      <c r="F164" s="77">
        <f>'ERROR FINAL'!AG167</f>
        <v>0</v>
      </c>
      <c r="G164" s="77">
        <f>'ERROR FINAL'!AS167</f>
        <v>0</v>
      </c>
      <c r="H164" s="78" t="str">
        <f>IF('ERROR FINAL'!AT167="CONFORME","CONFORME","NO CONFORME")</f>
        <v>NO CONFORME</v>
      </c>
      <c r="I164" s="79" t="str">
        <f t="shared" si="2"/>
        <v>Medición</v>
      </c>
    </row>
    <row r="165" spans="1:9" x14ac:dyDescent="0.2">
      <c r="A165" s="72">
        <f>'ERROR FINAL'!A168</f>
        <v>0</v>
      </c>
      <c r="B165" s="73">
        <v>165</v>
      </c>
      <c r="C165" s="74">
        <f>'ERROR FINAL'!G168</f>
        <v>0</v>
      </c>
      <c r="D165" s="75">
        <f>'ERROR FINAL'!I168</f>
        <v>0</v>
      </c>
      <c r="E165" s="76">
        <f>'ERROR FINAL'!U168</f>
        <v>0</v>
      </c>
      <c r="F165" s="77">
        <f>'ERROR FINAL'!AG168</f>
        <v>0</v>
      </c>
      <c r="G165" s="77">
        <f>'ERROR FINAL'!AS168</f>
        <v>0</v>
      </c>
      <c r="H165" s="78" t="str">
        <f>IF('ERROR FINAL'!AT168="CONFORME","CONFORME","NO CONFORME")</f>
        <v>NO CONFORME</v>
      </c>
      <c r="I165" s="79" t="str">
        <f t="shared" si="2"/>
        <v>Medición</v>
      </c>
    </row>
    <row r="166" spans="1:9" x14ac:dyDescent="0.2">
      <c r="A166" s="72">
        <f>'ERROR FINAL'!A169</f>
        <v>0</v>
      </c>
      <c r="B166" s="73">
        <v>166</v>
      </c>
      <c r="C166" s="74">
        <f>'ERROR FINAL'!G169</f>
        <v>0</v>
      </c>
      <c r="D166" s="75">
        <f>'ERROR FINAL'!I169</f>
        <v>0</v>
      </c>
      <c r="E166" s="76">
        <f>'ERROR FINAL'!U169</f>
        <v>0</v>
      </c>
      <c r="F166" s="77">
        <f>'ERROR FINAL'!AG169</f>
        <v>0</v>
      </c>
      <c r="G166" s="77">
        <f>'ERROR FINAL'!AS169</f>
        <v>0</v>
      </c>
      <c r="H166" s="78" t="str">
        <f>IF('ERROR FINAL'!AT169="CONFORME","CONFORME","NO CONFORME")</f>
        <v>NO CONFORME</v>
      </c>
      <c r="I166" s="79" t="str">
        <f t="shared" si="2"/>
        <v>Medición</v>
      </c>
    </row>
    <row r="167" spans="1:9" x14ac:dyDescent="0.2">
      <c r="A167" s="72">
        <f>'ERROR FINAL'!A170</f>
        <v>0</v>
      </c>
      <c r="B167" s="73">
        <v>167</v>
      </c>
      <c r="C167" s="74">
        <f>'ERROR FINAL'!G170</f>
        <v>0</v>
      </c>
      <c r="D167" s="75">
        <f>'ERROR FINAL'!I170</f>
        <v>0</v>
      </c>
      <c r="E167" s="76">
        <f>'ERROR FINAL'!U170</f>
        <v>0</v>
      </c>
      <c r="F167" s="77">
        <f>'ERROR FINAL'!AG170</f>
        <v>0</v>
      </c>
      <c r="G167" s="77">
        <f>'ERROR FINAL'!AS170</f>
        <v>0</v>
      </c>
      <c r="H167" s="78" t="str">
        <f>IF('ERROR FINAL'!AT170="CONFORME","CONFORME","NO CONFORME")</f>
        <v>NO CONFORME</v>
      </c>
      <c r="I167" s="79" t="str">
        <f t="shared" si="2"/>
        <v>Medición</v>
      </c>
    </row>
    <row r="168" spans="1:9" x14ac:dyDescent="0.2">
      <c r="A168" s="72">
        <f>'ERROR FINAL'!A171</f>
        <v>0</v>
      </c>
      <c r="B168" s="73">
        <v>168</v>
      </c>
      <c r="C168" s="74">
        <f>'ERROR FINAL'!G171</f>
        <v>0</v>
      </c>
      <c r="D168" s="75">
        <f>'ERROR FINAL'!I171</f>
        <v>0</v>
      </c>
      <c r="E168" s="76">
        <f>'ERROR FINAL'!U171</f>
        <v>0</v>
      </c>
      <c r="F168" s="77">
        <f>'ERROR FINAL'!AG171</f>
        <v>0</v>
      </c>
      <c r="G168" s="77">
        <f>'ERROR FINAL'!AS171</f>
        <v>0</v>
      </c>
      <c r="H168" s="78" t="str">
        <f>IF('ERROR FINAL'!AT171="CONFORME","CONFORME","NO CONFORME")</f>
        <v>NO CONFORME</v>
      </c>
      <c r="I168" s="79" t="str">
        <f t="shared" si="2"/>
        <v>Medición</v>
      </c>
    </row>
    <row r="169" spans="1:9" x14ac:dyDescent="0.2">
      <c r="A169" s="72">
        <f>'ERROR FINAL'!A172</f>
        <v>0</v>
      </c>
      <c r="B169" s="73">
        <v>169</v>
      </c>
      <c r="C169" s="74">
        <f>'ERROR FINAL'!G172</f>
        <v>0</v>
      </c>
      <c r="D169" s="75">
        <f>'ERROR FINAL'!I172</f>
        <v>0</v>
      </c>
      <c r="E169" s="76">
        <f>'ERROR FINAL'!U172</f>
        <v>0</v>
      </c>
      <c r="F169" s="77">
        <f>'ERROR FINAL'!AG172</f>
        <v>0</v>
      </c>
      <c r="G169" s="77">
        <f>'ERROR FINAL'!AS172</f>
        <v>0</v>
      </c>
      <c r="H169" s="78" t="str">
        <f>IF('ERROR FINAL'!AT172="CONFORME","CONFORME","NO CONFORME")</f>
        <v>NO CONFORME</v>
      </c>
      <c r="I169" s="79" t="str">
        <f t="shared" si="2"/>
        <v>Medición</v>
      </c>
    </row>
    <row r="170" spans="1:9" x14ac:dyDescent="0.2">
      <c r="A170" s="72">
        <f>'ERROR FINAL'!A173</f>
        <v>0</v>
      </c>
      <c r="B170" s="73">
        <v>170</v>
      </c>
      <c r="C170" s="74">
        <f>'ERROR FINAL'!G173</f>
        <v>0</v>
      </c>
      <c r="D170" s="75">
        <f>'ERROR FINAL'!I173</f>
        <v>0</v>
      </c>
      <c r="E170" s="76">
        <f>'ERROR FINAL'!U173</f>
        <v>0</v>
      </c>
      <c r="F170" s="77">
        <f>'ERROR FINAL'!AG173</f>
        <v>0</v>
      </c>
      <c r="G170" s="77">
        <f>'ERROR FINAL'!AS173</f>
        <v>0</v>
      </c>
      <c r="H170" s="78" t="str">
        <f>IF('ERROR FINAL'!AT173="CONFORME","CONFORME","NO CONFORME")</f>
        <v>NO CONFORME</v>
      </c>
      <c r="I170" s="79" t="str">
        <f t="shared" si="2"/>
        <v>Medición</v>
      </c>
    </row>
    <row r="171" spans="1:9" x14ac:dyDescent="0.2">
      <c r="A171" s="72">
        <f>'ERROR FINAL'!A174</f>
        <v>0</v>
      </c>
      <c r="B171" s="73">
        <v>171</v>
      </c>
      <c r="C171" s="74">
        <f>'ERROR FINAL'!G174</f>
        <v>0</v>
      </c>
      <c r="D171" s="75">
        <f>'ERROR FINAL'!I174</f>
        <v>0</v>
      </c>
      <c r="E171" s="76">
        <f>'ERROR FINAL'!U174</f>
        <v>0</v>
      </c>
      <c r="F171" s="77">
        <f>'ERROR FINAL'!AG174</f>
        <v>0</v>
      </c>
      <c r="G171" s="77">
        <f>'ERROR FINAL'!AS174</f>
        <v>0</v>
      </c>
      <c r="H171" s="78" t="str">
        <f>IF('ERROR FINAL'!AT174="CONFORME","CONFORME","NO CONFORME")</f>
        <v>NO CONFORME</v>
      </c>
      <c r="I171" s="79" t="str">
        <f t="shared" si="2"/>
        <v>Medición</v>
      </c>
    </row>
    <row r="172" spans="1:9" x14ac:dyDescent="0.2">
      <c r="A172" s="72">
        <f>'ERROR FINAL'!A175</f>
        <v>0</v>
      </c>
      <c r="B172" s="73">
        <v>172</v>
      </c>
      <c r="C172" s="74">
        <f>'ERROR FINAL'!G175</f>
        <v>0</v>
      </c>
      <c r="D172" s="75">
        <f>'ERROR FINAL'!I175</f>
        <v>0</v>
      </c>
      <c r="E172" s="76">
        <f>'ERROR FINAL'!U175</f>
        <v>0</v>
      </c>
      <c r="F172" s="77">
        <f>'ERROR FINAL'!AG175</f>
        <v>0</v>
      </c>
      <c r="G172" s="77">
        <f>'ERROR FINAL'!AS175</f>
        <v>0</v>
      </c>
      <c r="H172" s="78" t="str">
        <f>IF('ERROR FINAL'!AT175="CONFORME","CONFORME","NO CONFORME")</f>
        <v>NO CONFORME</v>
      </c>
      <c r="I172" s="79" t="str">
        <f t="shared" si="2"/>
        <v>Medición</v>
      </c>
    </row>
    <row r="173" spans="1:9" x14ac:dyDescent="0.2">
      <c r="A173" s="72">
        <f>'ERROR FINAL'!A176</f>
        <v>0</v>
      </c>
      <c r="B173" s="73">
        <v>173</v>
      </c>
      <c r="C173" s="74">
        <f>'ERROR FINAL'!G176</f>
        <v>0</v>
      </c>
      <c r="D173" s="75">
        <f>'ERROR FINAL'!I176</f>
        <v>0</v>
      </c>
      <c r="E173" s="76">
        <f>'ERROR FINAL'!U176</f>
        <v>0</v>
      </c>
      <c r="F173" s="77">
        <f>'ERROR FINAL'!AG176</f>
        <v>0</v>
      </c>
      <c r="G173" s="77">
        <f>'ERROR FINAL'!AS176</f>
        <v>0</v>
      </c>
      <c r="H173" s="78" t="str">
        <f>IF('ERROR FINAL'!AT176="CONFORME","CONFORME","NO CONFORME")</f>
        <v>NO CONFORME</v>
      </c>
      <c r="I173" s="79" t="str">
        <f t="shared" si="2"/>
        <v>Medición</v>
      </c>
    </row>
    <row r="174" spans="1:9" x14ac:dyDescent="0.2">
      <c r="A174" s="72">
        <f>'ERROR FINAL'!A177</f>
        <v>0</v>
      </c>
      <c r="B174" s="73">
        <v>174</v>
      </c>
      <c r="C174" s="74">
        <f>'ERROR FINAL'!G177</f>
        <v>0</v>
      </c>
      <c r="D174" s="75">
        <f>'ERROR FINAL'!I177</f>
        <v>0</v>
      </c>
      <c r="E174" s="76">
        <f>'ERROR FINAL'!U177</f>
        <v>0</v>
      </c>
      <c r="F174" s="77">
        <f>'ERROR FINAL'!AG177</f>
        <v>0</v>
      </c>
      <c r="G174" s="77">
        <f>'ERROR FINAL'!AS177</f>
        <v>0</v>
      </c>
      <c r="H174" s="78" t="str">
        <f>IF('ERROR FINAL'!AT177="CONFORME","CONFORME","NO CONFORME")</f>
        <v>NO CONFORME</v>
      </c>
      <c r="I174" s="79" t="str">
        <f t="shared" si="2"/>
        <v>Medición</v>
      </c>
    </row>
    <row r="175" spans="1:9" x14ac:dyDescent="0.2">
      <c r="A175" s="72">
        <f>'ERROR FINAL'!A178</f>
        <v>0</v>
      </c>
      <c r="B175" s="73">
        <v>175</v>
      </c>
      <c r="C175" s="74">
        <f>'ERROR FINAL'!G178</f>
        <v>0</v>
      </c>
      <c r="D175" s="75">
        <f>'ERROR FINAL'!I178</f>
        <v>0</v>
      </c>
      <c r="E175" s="76">
        <f>'ERROR FINAL'!U178</f>
        <v>0</v>
      </c>
      <c r="F175" s="77">
        <f>'ERROR FINAL'!AG178</f>
        <v>0</v>
      </c>
      <c r="G175" s="77">
        <f>'ERROR FINAL'!AS178</f>
        <v>0</v>
      </c>
      <c r="H175" s="78" t="str">
        <f>IF('ERROR FINAL'!AT178="CONFORME","CONFORME","NO CONFORME")</f>
        <v>NO CONFORME</v>
      </c>
      <c r="I175" s="79" t="str">
        <f t="shared" si="2"/>
        <v>Medición</v>
      </c>
    </row>
    <row r="176" spans="1:9" x14ac:dyDescent="0.2">
      <c r="A176" s="72">
        <f>'ERROR FINAL'!A179</f>
        <v>0</v>
      </c>
      <c r="B176" s="73">
        <v>176</v>
      </c>
      <c r="C176" s="74">
        <f>'ERROR FINAL'!G179</f>
        <v>0</v>
      </c>
      <c r="D176" s="75">
        <f>'ERROR FINAL'!I179</f>
        <v>0</v>
      </c>
      <c r="E176" s="76">
        <f>'ERROR FINAL'!U179</f>
        <v>0</v>
      </c>
      <c r="F176" s="77">
        <f>'ERROR FINAL'!AG179</f>
        <v>0</v>
      </c>
      <c r="G176" s="77">
        <f>'ERROR FINAL'!AS179</f>
        <v>0</v>
      </c>
      <c r="H176" s="78" t="str">
        <f>IF('ERROR FINAL'!AT179="CONFORME","CONFORME","NO CONFORME")</f>
        <v>NO CONFORME</v>
      </c>
      <c r="I176" s="79" t="str">
        <f t="shared" si="2"/>
        <v>Medición</v>
      </c>
    </row>
    <row r="177" spans="1:9" x14ac:dyDescent="0.2">
      <c r="A177" s="72">
        <f>'ERROR FINAL'!A180</f>
        <v>0</v>
      </c>
      <c r="B177" s="73">
        <v>177</v>
      </c>
      <c r="C177" s="74">
        <f>'ERROR FINAL'!G180</f>
        <v>0</v>
      </c>
      <c r="D177" s="75">
        <f>'ERROR FINAL'!I180</f>
        <v>0</v>
      </c>
      <c r="E177" s="76">
        <f>'ERROR FINAL'!U180</f>
        <v>0</v>
      </c>
      <c r="F177" s="77">
        <f>'ERROR FINAL'!AG180</f>
        <v>0</v>
      </c>
      <c r="G177" s="77">
        <f>'ERROR FINAL'!AS180</f>
        <v>0</v>
      </c>
      <c r="H177" s="78" t="str">
        <f>IF('ERROR FINAL'!AT180="CONFORME","CONFORME","NO CONFORME")</f>
        <v>NO CONFORME</v>
      </c>
      <c r="I177" s="79" t="str">
        <f t="shared" si="2"/>
        <v>Medición</v>
      </c>
    </row>
    <row r="178" spans="1:9" x14ac:dyDescent="0.2">
      <c r="A178" s="72">
        <f>'ERROR FINAL'!A181</f>
        <v>0</v>
      </c>
      <c r="B178" s="73">
        <v>178</v>
      </c>
      <c r="C178" s="74">
        <f>'ERROR FINAL'!G181</f>
        <v>0</v>
      </c>
      <c r="D178" s="75">
        <f>'ERROR FINAL'!I181</f>
        <v>0</v>
      </c>
      <c r="E178" s="76">
        <f>'ERROR FINAL'!U181</f>
        <v>0</v>
      </c>
      <c r="F178" s="77">
        <f>'ERROR FINAL'!AG181</f>
        <v>0</v>
      </c>
      <c r="G178" s="77">
        <f>'ERROR FINAL'!AS181</f>
        <v>0</v>
      </c>
      <c r="H178" s="78" t="str">
        <f>IF('ERROR FINAL'!AT181="CONFORME","CONFORME","NO CONFORME")</f>
        <v>NO CONFORME</v>
      </c>
      <c r="I178" s="79" t="str">
        <f t="shared" si="2"/>
        <v>Medición</v>
      </c>
    </row>
    <row r="179" spans="1:9" x14ac:dyDescent="0.2">
      <c r="A179" s="72">
        <f>'ERROR FINAL'!A182</f>
        <v>0</v>
      </c>
      <c r="B179" s="73">
        <v>179</v>
      </c>
      <c r="C179" s="74">
        <f>'ERROR FINAL'!G182</f>
        <v>0</v>
      </c>
      <c r="D179" s="75">
        <f>'ERROR FINAL'!I182</f>
        <v>0</v>
      </c>
      <c r="E179" s="76">
        <f>'ERROR FINAL'!U182</f>
        <v>0</v>
      </c>
      <c r="F179" s="77">
        <f>'ERROR FINAL'!AG182</f>
        <v>0</v>
      </c>
      <c r="G179" s="77">
        <f>'ERROR FINAL'!AS182</f>
        <v>0</v>
      </c>
      <c r="H179" s="78" t="str">
        <f>IF('ERROR FINAL'!AT182="CONFORME","CONFORME","NO CONFORME")</f>
        <v>NO CONFORME</v>
      </c>
      <c r="I179" s="79" t="str">
        <f t="shared" si="2"/>
        <v>Medición</v>
      </c>
    </row>
    <row r="180" spans="1:9" x14ac:dyDescent="0.2">
      <c r="A180" s="72">
        <f>'ERROR FINAL'!A183</f>
        <v>0</v>
      </c>
      <c r="B180" s="73">
        <v>180</v>
      </c>
      <c r="C180" s="74">
        <f>'ERROR FINAL'!G183</f>
        <v>0</v>
      </c>
      <c r="D180" s="75">
        <f>'ERROR FINAL'!I183</f>
        <v>0</v>
      </c>
      <c r="E180" s="76">
        <f>'ERROR FINAL'!U183</f>
        <v>0</v>
      </c>
      <c r="F180" s="77">
        <f>'ERROR FINAL'!AG183</f>
        <v>0</v>
      </c>
      <c r="G180" s="77">
        <f>'ERROR FINAL'!AS183</f>
        <v>0</v>
      </c>
      <c r="H180" s="78" t="str">
        <f>IF('ERROR FINAL'!AT183="CONFORME","CONFORME","NO CONFORME")</f>
        <v>NO CONFORME</v>
      </c>
      <c r="I180" s="79" t="str">
        <f t="shared" si="2"/>
        <v>Medición</v>
      </c>
    </row>
    <row r="181" spans="1:9" x14ac:dyDescent="0.2">
      <c r="A181" s="72">
        <f>'ERROR FINAL'!A184</f>
        <v>0</v>
      </c>
      <c r="B181" s="73">
        <v>181</v>
      </c>
      <c r="C181" s="74">
        <f>'ERROR FINAL'!G184</f>
        <v>0</v>
      </c>
      <c r="D181" s="75">
        <f>'ERROR FINAL'!I184</f>
        <v>0</v>
      </c>
      <c r="E181" s="76">
        <f>'ERROR FINAL'!U184</f>
        <v>0</v>
      </c>
      <c r="F181" s="77">
        <f>'ERROR FINAL'!AG184</f>
        <v>0</v>
      </c>
      <c r="G181" s="77">
        <f>'ERROR FINAL'!AS184</f>
        <v>0</v>
      </c>
      <c r="H181" s="78" t="str">
        <f>IF('ERROR FINAL'!AT184="CONFORME","CONFORME","NO CONFORME")</f>
        <v>NO CONFORME</v>
      </c>
      <c r="I181" s="79" t="str">
        <f t="shared" si="2"/>
        <v>Medición</v>
      </c>
    </row>
    <row r="182" spans="1:9" x14ac:dyDescent="0.2">
      <c r="A182" s="72">
        <f>'ERROR FINAL'!A185</f>
        <v>0</v>
      </c>
      <c r="B182" s="73">
        <v>182</v>
      </c>
      <c r="C182" s="74">
        <f>'ERROR FINAL'!G185</f>
        <v>0</v>
      </c>
      <c r="D182" s="75">
        <f>'ERROR FINAL'!I185</f>
        <v>0</v>
      </c>
      <c r="E182" s="76">
        <f>'ERROR FINAL'!U185</f>
        <v>0</v>
      </c>
      <c r="F182" s="77">
        <f>'ERROR FINAL'!AG185</f>
        <v>0</v>
      </c>
      <c r="G182" s="77">
        <f>'ERROR FINAL'!AS185</f>
        <v>0</v>
      </c>
      <c r="H182" s="78" t="str">
        <f>IF('ERROR FINAL'!AT185="CONFORME","CONFORME","NO CONFORME")</f>
        <v>NO CONFORME</v>
      </c>
      <c r="I182" s="79" t="str">
        <f t="shared" si="2"/>
        <v>Medición</v>
      </c>
    </row>
    <row r="183" spans="1:9" x14ac:dyDescent="0.2">
      <c r="A183" s="72">
        <f>'ERROR FINAL'!A186</f>
        <v>0</v>
      </c>
      <c r="B183" s="73">
        <v>183</v>
      </c>
      <c r="C183" s="74">
        <f>'ERROR FINAL'!G186</f>
        <v>0</v>
      </c>
      <c r="D183" s="75">
        <f>'ERROR FINAL'!I186</f>
        <v>0</v>
      </c>
      <c r="E183" s="76">
        <f>'ERROR FINAL'!U186</f>
        <v>0</v>
      </c>
      <c r="F183" s="77">
        <f>'ERROR FINAL'!AG186</f>
        <v>0</v>
      </c>
      <c r="G183" s="77">
        <f>'ERROR FINAL'!AS186</f>
        <v>0</v>
      </c>
      <c r="H183" s="78" t="str">
        <f>IF('ERROR FINAL'!AT186="CONFORME","CONFORME","NO CONFORME")</f>
        <v>NO CONFORME</v>
      </c>
      <c r="I183" s="79" t="str">
        <f t="shared" si="2"/>
        <v>Medición</v>
      </c>
    </row>
    <row r="184" spans="1:9" x14ac:dyDescent="0.2">
      <c r="A184" s="72">
        <f>'ERROR FINAL'!A187</f>
        <v>0</v>
      </c>
      <c r="B184" s="73">
        <v>184</v>
      </c>
      <c r="C184" s="74">
        <f>'ERROR FINAL'!G187</f>
        <v>0</v>
      </c>
      <c r="D184" s="75">
        <f>'ERROR FINAL'!I187</f>
        <v>0</v>
      </c>
      <c r="E184" s="76">
        <f>'ERROR FINAL'!U187</f>
        <v>0</v>
      </c>
      <c r="F184" s="77">
        <f>'ERROR FINAL'!AG187</f>
        <v>0</v>
      </c>
      <c r="G184" s="77">
        <f>'ERROR FINAL'!AS187</f>
        <v>0</v>
      </c>
      <c r="H184" s="78" t="str">
        <f>IF('ERROR FINAL'!AT187="CONFORME","CONFORME","NO CONFORME")</f>
        <v>NO CONFORME</v>
      </c>
      <c r="I184" s="79" t="str">
        <f t="shared" si="2"/>
        <v>Medición</v>
      </c>
    </row>
    <row r="185" spans="1:9" x14ac:dyDescent="0.2">
      <c r="A185" s="72">
        <f>'ERROR FINAL'!A188</f>
        <v>0</v>
      </c>
      <c r="B185" s="73">
        <v>185</v>
      </c>
      <c r="C185" s="74">
        <f>'ERROR FINAL'!G188</f>
        <v>0</v>
      </c>
      <c r="D185" s="75">
        <f>'ERROR FINAL'!I188</f>
        <v>0</v>
      </c>
      <c r="E185" s="76">
        <f>'ERROR FINAL'!U188</f>
        <v>0</v>
      </c>
      <c r="F185" s="77">
        <f>'ERROR FINAL'!AG188</f>
        <v>0</v>
      </c>
      <c r="G185" s="77">
        <f>'ERROR FINAL'!AS188</f>
        <v>0</v>
      </c>
      <c r="H185" s="78" t="str">
        <f>IF('ERROR FINAL'!AT188="CONFORME","CONFORME","NO CONFORME")</f>
        <v>NO CONFORME</v>
      </c>
      <c r="I185" s="79" t="str">
        <f t="shared" si="2"/>
        <v>Medición</v>
      </c>
    </row>
    <row r="186" spans="1:9" x14ac:dyDescent="0.2">
      <c r="A186" s="72">
        <f>'ERROR FINAL'!A189</f>
        <v>0</v>
      </c>
      <c r="B186" s="73">
        <v>186</v>
      </c>
      <c r="C186" s="74">
        <f>'ERROR FINAL'!G189</f>
        <v>0</v>
      </c>
      <c r="D186" s="75">
        <f>'ERROR FINAL'!I189</f>
        <v>0</v>
      </c>
      <c r="E186" s="76">
        <f>'ERROR FINAL'!U189</f>
        <v>0</v>
      </c>
      <c r="F186" s="77">
        <f>'ERROR FINAL'!AG189</f>
        <v>0</v>
      </c>
      <c r="G186" s="77">
        <f>'ERROR FINAL'!AS189</f>
        <v>0</v>
      </c>
      <c r="H186" s="78" t="str">
        <f>IF('ERROR FINAL'!AT189="CONFORME","CONFORME","NO CONFORME")</f>
        <v>NO CONFORME</v>
      </c>
      <c r="I186" s="79" t="str">
        <f t="shared" si="2"/>
        <v>Medición</v>
      </c>
    </row>
    <row r="187" spans="1:9" x14ac:dyDescent="0.2">
      <c r="A187" s="72">
        <f>'ERROR FINAL'!A190</f>
        <v>0</v>
      </c>
      <c r="B187" s="73">
        <v>187</v>
      </c>
      <c r="C187" s="74">
        <f>'ERROR FINAL'!G190</f>
        <v>0</v>
      </c>
      <c r="D187" s="75">
        <f>'ERROR FINAL'!I190</f>
        <v>0</v>
      </c>
      <c r="E187" s="76">
        <f>'ERROR FINAL'!U190</f>
        <v>0</v>
      </c>
      <c r="F187" s="77">
        <f>'ERROR FINAL'!AG190</f>
        <v>0</v>
      </c>
      <c r="G187" s="77">
        <f>'ERROR FINAL'!AS190</f>
        <v>0</v>
      </c>
      <c r="H187" s="78" t="str">
        <f>IF('ERROR FINAL'!AT190="CONFORME","CONFORME","NO CONFORME")</f>
        <v>NO CONFORME</v>
      </c>
      <c r="I187" s="79" t="str">
        <f t="shared" si="2"/>
        <v>Medición</v>
      </c>
    </row>
    <row r="188" spans="1:9" x14ac:dyDescent="0.2">
      <c r="A188" s="72">
        <f>'ERROR FINAL'!A191</f>
        <v>0</v>
      </c>
      <c r="B188" s="73">
        <v>188</v>
      </c>
      <c r="C188" s="74">
        <f>'ERROR FINAL'!G191</f>
        <v>0</v>
      </c>
      <c r="D188" s="75">
        <f>'ERROR FINAL'!I191</f>
        <v>0</v>
      </c>
      <c r="E188" s="76">
        <f>'ERROR FINAL'!U191</f>
        <v>0</v>
      </c>
      <c r="F188" s="77">
        <f>'ERROR FINAL'!AG191</f>
        <v>0</v>
      </c>
      <c r="G188" s="77">
        <f>'ERROR FINAL'!AS191</f>
        <v>0</v>
      </c>
      <c r="H188" s="78" t="str">
        <f>IF('ERROR FINAL'!AT191="CONFORME","CONFORME","NO CONFORME")</f>
        <v>NO CONFORME</v>
      </c>
      <c r="I188" s="79" t="str">
        <f t="shared" si="2"/>
        <v>Medición</v>
      </c>
    </row>
    <row r="189" spans="1:9" x14ac:dyDescent="0.2">
      <c r="A189" s="72">
        <f>'ERROR FINAL'!A192</f>
        <v>0</v>
      </c>
      <c r="B189" s="73">
        <v>189</v>
      </c>
      <c r="C189" s="74">
        <f>'ERROR FINAL'!G192</f>
        <v>0</v>
      </c>
      <c r="D189" s="75">
        <f>'ERROR FINAL'!I192</f>
        <v>0</v>
      </c>
      <c r="E189" s="76">
        <f>'ERROR FINAL'!U192</f>
        <v>0</v>
      </c>
      <c r="F189" s="77">
        <f>'ERROR FINAL'!AG192</f>
        <v>0</v>
      </c>
      <c r="G189" s="77">
        <f>'ERROR FINAL'!AS192</f>
        <v>0</v>
      </c>
      <c r="H189" s="78" t="str">
        <f>IF('ERROR FINAL'!AT192="CONFORME","CONFORME","NO CONFORME")</f>
        <v>NO CONFORME</v>
      </c>
      <c r="I189" s="79" t="str">
        <f t="shared" si="2"/>
        <v>Medición</v>
      </c>
    </row>
    <row r="190" spans="1:9" x14ac:dyDescent="0.2">
      <c r="A190" s="72">
        <f>'ERROR FINAL'!A193</f>
        <v>0</v>
      </c>
      <c r="B190" s="73">
        <v>190</v>
      </c>
      <c r="C190" s="74">
        <f>'ERROR FINAL'!G193</f>
        <v>0</v>
      </c>
      <c r="D190" s="75">
        <f>'ERROR FINAL'!I193</f>
        <v>0</v>
      </c>
      <c r="E190" s="76">
        <f>'ERROR FINAL'!U193</f>
        <v>0</v>
      </c>
      <c r="F190" s="77">
        <f>'ERROR FINAL'!AG193</f>
        <v>0</v>
      </c>
      <c r="G190" s="77">
        <f>'ERROR FINAL'!AS193</f>
        <v>0</v>
      </c>
      <c r="H190" s="78" t="str">
        <f>IF('ERROR FINAL'!AT193="CONFORME","CONFORME","NO CONFORME")</f>
        <v>NO CONFORME</v>
      </c>
      <c r="I190" s="79" t="str">
        <f t="shared" si="2"/>
        <v>Medición</v>
      </c>
    </row>
    <row r="191" spans="1:9" x14ac:dyDescent="0.2">
      <c r="A191" s="72">
        <f>'ERROR FINAL'!A194</f>
        <v>0</v>
      </c>
      <c r="B191" s="73">
        <v>191</v>
      </c>
      <c r="C191" s="74">
        <f>'ERROR FINAL'!G194</f>
        <v>0</v>
      </c>
      <c r="D191" s="75">
        <f>'ERROR FINAL'!I194</f>
        <v>0</v>
      </c>
      <c r="E191" s="76">
        <f>'ERROR FINAL'!U194</f>
        <v>0</v>
      </c>
      <c r="F191" s="77">
        <f>'ERROR FINAL'!AG194</f>
        <v>0</v>
      </c>
      <c r="G191" s="77">
        <f>'ERROR FINAL'!AS194</f>
        <v>0</v>
      </c>
      <c r="H191" s="78" t="str">
        <f>IF('ERROR FINAL'!AT194="CONFORME","CONFORME","NO CONFORME")</f>
        <v>NO CONFORME</v>
      </c>
      <c r="I191" s="79" t="str">
        <f t="shared" si="2"/>
        <v>Medición</v>
      </c>
    </row>
    <row r="192" spans="1:9" x14ac:dyDescent="0.2">
      <c r="A192" s="72">
        <f>'ERROR FINAL'!A195</f>
        <v>0</v>
      </c>
      <c r="B192" s="73">
        <v>192</v>
      </c>
      <c r="C192" s="74">
        <f>'ERROR FINAL'!G195</f>
        <v>0</v>
      </c>
      <c r="D192" s="75">
        <f>'ERROR FINAL'!I195</f>
        <v>0</v>
      </c>
      <c r="E192" s="76">
        <f>'ERROR FINAL'!U195</f>
        <v>0</v>
      </c>
      <c r="F192" s="77">
        <f>'ERROR FINAL'!AG195</f>
        <v>0</v>
      </c>
      <c r="G192" s="77">
        <f>'ERROR FINAL'!AS195</f>
        <v>0</v>
      </c>
      <c r="H192" s="78" t="str">
        <f>IF('ERROR FINAL'!AT195="CONFORME","CONFORME","NO CONFORME")</f>
        <v>NO CONFORME</v>
      </c>
      <c r="I192" s="79" t="str">
        <f t="shared" si="2"/>
        <v>Medición</v>
      </c>
    </row>
    <row r="193" spans="1:9" x14ac:dyDescent="0.2">
      <c r="A193" s="72">
        <f>'ERROR FINAL'!A196</f>
        <v>0</v>
      </c>
      <c r="B193" s="73">
        <v>193</v>
      </c>
      <c r="C193" s="74">
        <f>'ERROR FINAL'!G196</f>
        <v>0</v>
      </c>
      <c r="D193" s="75">
        <f>'ERROR FINAL'!I196</f>
        <v>0</v>
      </c>
      <c r="E193" s="76">
        <f>'ERROR FINAL'!U196</f>
        <v>0</v>
      </c>
      <c r="F193" s="77">
        <f>'ERROR FINAL'!AG196</f>
        <v>0</v>
      </c>
      <c r="G193" s="77">
        <f>'ERROR FINAL'!AS196</f>
        <v>0</v>
      </c>
      <c r="H193" s="78" t="str">
        <f>IF('ERROR FINAL'!AT196="CONFORME","CONFORME","NO CONFORME")</f>
        <v>NO CONFORME</v>
      </c>
      <c r="I193" s="79" t="str">
        <f t="shared" si="2"/>
        <v>Medición</v>
      </c>
    </row>
    <row r="194" spans="1:9" x14ac:dyDescent="0.2">
      <c r="A194" s="72">
        <f>'ERROR FINAL'!A197</f>
        <v>0</v>
      </c>
      <c r="B194" s="73">
        <v>194</v>
      </c>
      <c r="C194" s="74">
        <f>'ERROR FINAL'!G197</f>
        <v>0</v>
      </c>
      <c r="D194" s="75">
        <f>'ERROR FINAL'!I197</f>
        <v>0</v>
      </c>
      <c r="E194" s="76">
        <f>'ERROR FINAL'!U197</f>
        <v>0</v>
      </c>
      <c r="F194" s="77">
        <f>'ERROR FINAL'!AG197</f>
        <v>0</v>
      </c>
      <c r="G194" s="77">
        <f>'ERROR FINAL'!AS197</f>
        <v>0</v>
      </c>
      <c r="H194" s="78" t="str">
        <f>IF('ERROR FINAL'!AT197="CONFORME","CONFORME","NO CONFORME")</f>
        <v>NO CONFORME</v>
      </c>
      <c r="I194" s="79" t="str">
        <f t="shared" si="2"/>
        <v>Medición</v>
      </c>
    </row>
    <row r="195" spans="1:9" x14ac:dyDescent="0.2">
      <c r="A195" s="72">
        <f>'ERROR FINAL'!A198</f>
        <v>0</v>
      </c>
      <c r="B195" s="73">
        <v>195</v>
      </c>
      <c r="C195" s="74">
        <f>'ERROR FINAL'!G198</f>
        <v>0</v>
      </c>
      <c r="D195" s="75">
        <f>'ERROR FINAL'!I198</f>
        <v>0</v>
      </c>
      <c r="E195" s="76">
        <f>'ERROR FINAL'!U198</f>
        <v>0</v>
      </c>
      <c r="F195" s="77">
        <f>'ERROR FINAL'!AG198</f>
        <v>0</v>
      </c>
      <c r="G195" s="77">
        <f>'ERROR FINAL'!AS198</f>
        <v>0</v>
      </c>
      <c r="H195" s="78" t="str">
        <f>IF('ERROR FINAL'!AT198="CONFORME","CONFORME","NO CONFORME")</f>
        <v>NO CONFORME</v>
      </c>
      <c r="I195" s="79" t="str">
        <f t="shared" si="2"/>
        <v>Medición</v>
      </c>
    </row>
    <row r="196" spans="1:9" x14ac:dyDescent="0.2">
      <c r="A196" s="72">
        <f>'ERROR FINAL'!A199</f>
        <v>0</v>
      </c>
      <c r="B196" s="73">
        <v>196</v>
      </c>
      <c r="C196" s="74">
        <f>'ERROR FINAL'!G199</f>
        <v>0</v>
      </c>
      <c r="D196" s="75">
        <f>'ERROR FINAL'!I199</f>
        <v>0</v>
      </c>
      <c r="E196" s="76">
        <f>'ERROR FINAL'!U199</f>
        <v>0</v>
      </c>
      <c r="F196" s="77">
        <f>'ERROR FINAL'!AG199</f>
        <v>0</v>
      </c>
      <c r="G196" s="77">
        <f>'ERROR FINAL'!AS199</f>
        <v>0</v>
      </c>
      <c r="H196" s="78" t="str">
        <f>IF('ERROR FINAL'!AT199="CONFORME","CONFORME","NO CONFORME")</f>
        <v>NO CONFORME</v>
      </c>
      <c r="I196" s="79" t="str">
        <f t="shared" si="2"/>
        <v>Medición</v>
      </c>
    </row>
    <row r="197" spans="1:9" x14ac:dyDescent="0.2">
      <c r="A197" s="72">
        <f>'ERROR FINAL'!A200</f>
        <v>0</v>
      </c>
      <c r="B197" s="73">
        <v>197</v>
      </c>
      <c r="C197" s="74">
        <f>'ERROR FINAL'!G200</f>
        <v>0</v>
      </c>
      <c r="D197" s="75">
        <f>'ERROR FINAL'!I200</f>
        <v>0</v>
      </c>
      <c r="E197" s="76">
        <f>'ERROR FINAL'!U200</f>
        <v>0</v>
      </c>
      <c r="F197" s="77">
        <f>'ERROR FINAL'!AG200</f>
        <v>0</v>
      </c>
      <c r="G197" s="77">
        <f>'ERROR FINAL'!AS200</f>
        <v>0</v>
      </c>
      <c r="H197" s="78" t="str">
        <f>IF('ERROR FINAL'!AT200="CONFORME","CONFORME","NO CONFORME")</f>
        <v>NO CONFORME</v>
      </c>
      <c r="I197" s="79" t="str">
        <f t="shared" si="2"/>
        <v>Medición</v>
      </c>
    </row>
    <row r="198" spans="1:9" x14ac:dyDescent="0.2">
      <c r="A198" s="72">
        <f>'ERROR FINAL'!A201</f>
        <v>0</v>
      </c>
      <c r="B198" s="73">
        <v>198</v>
      </c>
      <c r="C198" s="74">
        <f>'ERROR FINAL'!G201</f>
        <v>0</v>
      </c>
      <c r="D198" s="75">
        <f>'ERROR FINAL'!I201</f>
        <v>0</v>
      </c>
      <c r="E198" s="76">
        <f>'ERROR FINAL'!U201</f>
        <v>0</v>
      </c>
      <c r="F198" s="77">
        <f>'ERROR FINAL'!AG201</f>
        <v>0</v>
      </c>
      <c r="G198" s="77">
        <f>'ERROR FINAL'!AS201</f>
        <v>0</v>
      </c>
      <c r="H198" s="78" t="str">
        <f>IF('ERROR FINAL'!AT201="CONFORME","CONFORME","NO CONFORME")</f>
        <v>NO CONFORME</v>
      </c>
      <c r="I198" s="79" t="str">
        <f t="shared" si="2"/>
        <v>Medición</v>
      </c>
    </row>
    <row r="199" spans="1:9" x14ac:dyDescent="0.2">
      <c r="A199" s="72">
        <f>'ERROR FINAL'!A202</f>
        <v>0</v>
      </c>
      <c r="B199" s="73">
        <v>199</v>
      </c>
      <c r="C199" s="74">
        <f>'ERROR FINAL'!G202</f>
        <v>0</v>
      </c>
      <c r="D199" s="75">
        <f>'ERROR FINAL'!I202</f>
        <v>0</v>
      </c>
      <c r="E199" s="76">
        <f>'ERROR FINAL'!U202</f>
        <v>0</v>
      </c>
      <c r="F199" s="77">
        <f>'ERROR FINAL'!AG202</f>
        <v>0</v>
      </c>
      <c r="G199" s="77">
        <f>'ERROR FINAL'!AS202</f>
        <v>0</v>
      </c>
      <c r="H199" s="78" t="str">
        <f>IF('ERROR FINAL'!AT202="CONFORME","CONFORME","NO CONFORME")</f>
        <v>NO CONFORME</v>
      </c>
      <c r="I199" s="7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">
      <c r="A200" s="72">
        <f>'ERROR FINAL'!A203</f>
        <v>0</v>
      </c>
      <c r="B200" s="73">
        <v>200</v>
      </c>
      <c r="C200" s="74">
        <f>'ERROR FINAL'!G203</f>
        <v>0</v>
      </c>
      <c r="D200" s="75">
        <f>'ERROR FINAL'!I203</f>
        <v>0</v>
      </c>
      <c r="E200" s="76">
        <f>'ERROR FINAL'!U203</f>
        <v>0</v>
      </c>
      <c r="F200" s="77">
        <f>'ERROR FINAL'!AG203</f>
        <v>0</v>
      </c>
      <c r="G200" s="77">
        <f>'ERROR FINAL'!AS203</f>
        <v>0</v>
      </c>
      <c r="H200" s="78" t="str">
        <f>IF('ERROR FINAL'!AT203="CONFORME","CONFORME","NO CONFORME")</f>
        <v>NO CONFORME</v>
      </c>
      <c r="I200" s="79" t="str">
        <f t="shared" si="3"/>
        <v>Medición</v>
      </c>
    </row>
    <row r="201" spans="1:9" x14ac:dyDescent="0.2">
      <c r="A201" s="72">
        <f>'ERROR FINAL'!A204</f>
        <v>0</v>
      </c>
      <c r="B201" s="73">
        <v>201</v>
      </c>
      <c r="C201" s="74">
        <f>'ERROR FINAL'!G204</f>
        <v>0</v>
      </c>
      <c r="D201" s="75">
        <f>'ERROR FINAL'!I204</f>
        <v>0</v>
      </c>
      <c r="E201" s="76">
        <f>'ERROR FINAL'!U204</f>
        <v>0</v>
      </c>
      <c r="F201" s="77">
        <f>'ERROR FINAL'!AG204</f>
        <v>0</v>
      </c>
      <c r="G201" s="77">
        <f>'ERROR FINAL'!AS204</f>
        <v>0</v>
      </c>
      <c r="H201" s="78" t="str">
        <f>IF('ERROR FINAL'!AT204="CONFORME","CONFORME","NO CONFORME")</f>
        <v>NO CONFORME</v>
      </c>
      <c r="I201" s="79" t="str">
        <f t="shared" si="3"/>
        <v>Medición</v>
      </c>
    </row>
    <row r="202" spans="1:9" x14ac:dyDescent="0.2">
      <c r="A202" s="72">
        <f>'ERROR FINAL'!A205</f>
        <v>0</v>
      </c>
      <c r="B202" s="73">
        <v>202</v>
      </c>
      <c r="C202" s="74">
        <f>'ERROR FINAL'!G205</f>
        <v>0</v>
      </c>
      <c r="D202" s="75">
        <f>'ERROR FINAL'!I205</f>
        <v>0</v>
      </c>
      <c r="E202" s="76">
        <f>'ERROR FINAL'!U205</f>
        <v>0</v>
      </c>
      <c r="F202" s="77">
        <f>'ERROR FINAL'!AG205</f>
        <v>0</v>
      </c>
      <c r="G202" s="77">
        <f>'ERROR FINAL'!AS205</f>
        <v>0</v>
      </c>
      <c r="H202" s="78" t="str">
        <f>IF('ERROR FINAL'!AT205="CONFORME","CONFORME","NO CONFORME")</f>
        <v>NO CONFORME</v>
      </c>
      <c r="I202" s="79" t="str">
        <f t="shared" si="3"/>
        <v>Medición</v>
      </c>
    </row>
    <row r="203" spans="1:9" x14ac:dyDescent="0.2">
      <c r="A203" s="72">
        <f>'ERROR FINAL'!A206</f>
        <v>0</v>
      </c>
      <c r="B203" s="73">
        <v>203</v>
      </c>
      <c r="C203" s="74">
        <f>'ERROR FINAL'!G206</f>
        <v>0</v>
      </c>
      <c r="D203" s="75">
        <f>'ERROR FINAL'!I206</f>
        <v>0</v>
      </c>
      <c r="E203" s="76">
        <f>'ERROR FINAL'!U206</f>
        <v>0</v>
      </c>
      <c r="F203" s="77">
        <f>'ERROR FINAL'!AG206</f>
        <v>0</v>
      </c>
      <c r="G203" s="77">
        <f>'ERROR FINAL'!AS206</f>
        <v>0</v>
      </c>
      <c r="H203" s="78" t="str">
        <f>IF('ERROR FINAL'!AT206="CONFORME","CONFORME","NO CONFORME")</f>
        <v>NO CONFORME</v>
      </c>
      <c r="I203" s="79" t="str">
        <f t="shared" si="3"/>
        <v>Medición</v>
      </c>
    </row>
    <row r="204" spans="1:9" x14ac:dyDescent="0.2">
      <c r="A204" s="72">
        <f>'ERROR FINAL'!A207</f>
        <v>0</v>
      </c>
      <c r="B204" s="73">
        <v>204</v>
      </c>
      <c r="C204" s="74">
        <f>'ERROR FINAL'!G207</f>
        <v>0</v>
      </c>
      <c r="D204" s="75">
        <f>'ERROR FINAL'!I207</f>
        <v>0</v>
      </c>
      <c r="E204" s="76">
        <f>'ERROR FINAL'!U207</f>
        <v>0</v>
      </c>
      <c r="F204" s="77">
        <f>'ERROR FINAL'!AG207</f>
        <v>0</v>
      </c>
      <c r="G204" s="77">
        <f>'ERROR FINAL'!AS207</f>
        <v>0</v>
      </c>
      <c r="H204" s="78" t="str">
        <f>IF('ERROR FINAL'!AT207="CONFORME","CONFORME","NO CONFORME")</f>
        <v>NO CONFORME</v>
      </c>
      <c r="I204" s="79" t="str">
        <f t="shared" si="3"/>
        <v>Medición</v>
      </c>
    </row>
    <row r="205" spans="1:9" x14ac:dyDescent="0.2">
      <c r="A205" s="72">
        <f>'ERROR FINAL'!A208</f>
        <v>0</v>
      </c>
      <c r="B205" s="73">
        <v>205</v>
      </c>
      <c r="C205" s="74">
        <f>'ERROR FINAL'!G208</f>
        <v>0</v>
      </c>
      <c r="D205" s="75">
        <f>'ERROR FINAL'!I208</f>
        <v>0</v>
      </c>
      <c r="E205" s="76">
        <f>'ERROR FINAL'!U208</f>
        <v>0</v>
      </c>
      <c r="F205" s="77">
        <f>'ERROR FINAL'!AG208</f>
        <v>0</v>
      </c>
      <c r="G205" s="77">
        <f>'ERROR FINAL'!AS208</f>
        <v>0</v>
      </c>
      <c r="H205" s="78" t="str">
        <f>IF('ERROR FINAL'!AT208="CONFORME","CONFORME","NO CONFORME")</f>
        <v>NO CONFORME</v>
      </c>
      <c r="I205" s="79" t="str">
        <f t="shared" si="3"/>
        <v>Medición</v>
      </c>
    </row>
    <row r="206" spans="1:9" x14ac:dyDescent="0.2">
      <c r="A206" s="72">
        <f>'ERROR FINAL'!A209</f>
        <v>0</v>
      </c>
      <c r="B206" s="73">
        <v>206</v>
      </c>
      <c r="C206" s="74">
        <f>'ERROR FINAL'!G209</f>
        <v>0</v>
      </c>
      <c r="D206" s="75">
        <f>'ERROR FINAL'!I209</f>
        <v>0</v>
      </c>
      <c r="E206" s="76">
        <f>'ERROR FINAL'!U209</f>
        <v>0</v>
      </c>
      <c r="F206" s="77">
        <f>'ERROR FINAL'!AG209</f>
        <v>0</v>
      </c>
      <c r="G206" s="77">
        <f>'ERROR FINAL'!AS209</f>
        <v>0</v>
      </c>
      <c r="H206" s="78" t="str">
        <f>IF('ERROR FINAL'!AT209="CONFORME","CONFORME","NO CONFORME")</f>
        <v>NO CONFORME</v>
      </c>
      <c r="I206" s="79" t="str">
        <f t="shared" si="3"/>
        <v>Medición</v>
      </c>
    </row>
    <row r="207" spans="1:9" x14ac:dyDescent="0.2">
      <c r="A207" s="72">
        <f>'ERROR FINAL'!A210</f>
        <v>0</v>
      </c>
      <c r="B207" s="73">
        <v>207</v>
      </c>
      <c r="C207" s="74">
        <f>'ERROR FINAL'!G210</f>
        <v>0</v>
      </c>
      <c r="D207" s="75">
        <f>'ERROR FINAL'!I210</f>
        <v>0</v>
      </c>
      <c r="E207" s="76">
        <f>'ERROR FINAL'!U210</f>
        <v>0</v>
      </c>
      <c r="F207" s="77">
        <f>'ERROR FINAL'!AG210</f>
        <v>0</v>
      </c>
      <c r="G207" s="77">
        <f>'ERROR FINAL'!AS210</f>
        <v>0</v>
      </c>
      <c r="H207" s="78" t="str">
        <f>IF('ERROR FINAL'!AT210="CONFORME","CONFORME","NO CONFORME")</f>
        <v>NO CONFORME</v>
      </c>
      <c r="I207" s="79" t="str">
        <f t="shared" si="3"/>
        <v>Medición</v>
      </c>
    </row>
    <row r="208" spans="1:9" x14ac:dyDescent="0.2">
      <c r="A208" s="72">
        <f>'ERROR FINAL'!A211</f>
        <v>0</v>
      </c>
      <c r="B208" s="73">
        <v>208</v>
      </c>
      <c r="C208" s="74">
        <f>'ERROR FINAL'!G211</f>
        <v>0</v>
      </c>
      <c r="D208" s="75">
        <f>'ERROR FINAL'!I211</f>
        <v>0</v>
      </c>
      <c r="E208" s="76">
        <f>'ERROR FINAL'!U211</f>
        <v>0</v>
      </c>
      <c r="F208" s="77">
        <f>'ERROR FINAL'!AG211</f>
        <v>0</v>
      </c>
      <c r="G208" s="77">
        <f>'ERROR FINAL'!AS211</f>
        <v>0</v>
      </c>
      <c r="H208" s="78" t="str">
        <f>IF('ERROR FINAL'!AT211="CONFORME","CONFORME","NO CONFORME")</f>
        <v>NO CONFORME</v>
      </c>
      <c r="I208" s="79" t="str">
        <f t="shared" si="3"/>
        <v>Medición</v>
      </c>
    </row>
    <row r="209" spans="1:9" x14ac:dyDescent="0.2">
      <c r="A209" s="72">
        <f>'ERROR FINAL'!A212</f>
        <v>0</v>
      </c>
      <c r="B209" s="73">
        <v>209</v>
      </c>
      <c r="C209" s="74">
        <f>'ERROR FINAL'!G212</f>
        <v>0</v>
      </c>
      <c r="D209" s="75">
        <f>'ERROR FINAL'!I212</f>
        <v>0</v>
      </c>
      <c r="E209" s="76">
        <f>'ERROR FINAL'!U212</f>
        <v>0</v>
      </c>
      <c r="F209" s="77">
        <f>'ERROR FINAL'!AG212</f>
        <v>0</v>
      </c>
      <c r="G209" s="77">
        <f>'ERROR FINAL'!AS212</f>
        <v>0</v>
      </c>
      <c r="H209" s="78" t="str">
        <f>IF('ERROR FINAL'!AT212="CONFORME","CONFORME","NO CONFORME")</f>
        <v>NO CONFORME</v>
      </c>
      <c r="I209" s="79" t="str">
        <f t="shared" si="3"/>
        <v>Medición</v>
      </c>
    </row>
    <row r="210" spans="1:9" x14ac:dyDescent="0.2">
      <c r="A210" s="72">
        <f>'ERROR FINAL'!A213</f>
        <v>0</v>
      </c>
      <c r="B210" s="73">
        <v>210</v>
      </c>
      <c r="C210" s="74">
        <f>'ERROR FINAL'!G213</f>
        <v>0</v>
      </c>
      <c r="D210" s="75">
        <f>'ERROR FINAL'!I213</f>
        <v>0</v>
      </c>
      <c r="E210" s="76">
        <f>'ERROR FINAL'!U213</f>
        <v>0</v>
      </c>
      <c r="F210" s="77">
        <f>'ERROR FINAL'!AG213</f>
        <v>0</v>
      </c>
      <c r="G210" s="77">
        <f>'ERROR FINAL'!AS213</f>
        <v>0</v>
      </c>
      <c r="H210" s="78" t="str">
        <f>IF('ERROR FINAL'!AT213="CONFORME","CONFORME","NO CONFORME")</f>
        <v>NO CONFORME</v>
      </c>
      <c r="I210" s="79" t="str">
        <f t="shared" si="3"/>
        <v>Medición</v>
      </c>
    </row>
    <row r="211" spans="1:9" x14ac:dyDescent="0.2">
      <c r="A211" s="72">
        <f>'ERROR FINAL'!A214</f>
        <v>0</v>
      </c>
      <c r="B211" s="73">
        <v>211</v>
      </c>
      <c r="C211" s="74">
        <f>'ERROR FINAL'!G214</f>
        <v>0</v>
      </c>
      <c r="D211" s="75">
        <f>'ERROR FINAL'!I214</f>
        <v>0</v>
      </c>
      <c r="E211" s="76">
        <f>'ERROR FINAL'!U214</f>
        <v>0</v>
      </c>
      <c r="F211" s="77">
        <f>'ERROR FINAL'!AG214</f>
        <v>0</v>
      </c>
      <c r="G211" s="77">
        <f>'ERROR FINAL'!AS214</f>
        <v>0</v>
      </c>
      <c r="H211" s="78" t="str">
        <f>IF('ERROR FINAL'!AT214="CONFORME","CONFORME","NO CONFORME")</f>
        <v>NO CONFORME</v>
      </c>
      <c r="I211" s="79" t="str">
        <f t="shared" si="3"/>
        <v>Medición</v>
      </c>
    </row>
    <row r="212" spans="1:9" x14ac:dyDescent="0.2">
      <c r="A212" s="72">
        <f>'ERROR FINAL'!A215</f>
        <v>0</v>
      </c>
      <c r="B212" s="73">
        <v>212</v>
      </c>
      <c r="C212" s="74">
        <f>'ERROR FINAL'!G215</f>
        <v>0</v>
      </c>
      <c r="D212" s="75">
        <f>'ERROR FINAL'!I215</f>
        <v>0</v>
      </c>
      <c r="E212" s="76">
        <f>'ERROR FINAL'!U215</f>
        <v>0</v>
      </c>
      <c r="F212" s="77">
        <f>'ERROR FINAL'!AG215</f>
        <v>0</v>
      </c>
      <c r="G212" s="77">
        <f>'ERROR FINAL'!AS215</f>
        <v>0</v>
      </c>
      <c r="H212" s="78" t="str">
        <f>IF('ERROR FINAL'!AT215="CONFORME","CONFORME","NO CONFORME")</f>
        <v>NO CONFORME</v>
      </c>
      <c r="I212" s="79" t="str">
        <f t="shared" si="3"/>
        <v>Medición</v>
      </c>
    </row>
    <row r="213" spans="1:9" x14ac:dyDescent="0.2">
      <c r="A213" s="72">
        <f>'ERROR FINAL'!A216</f>
        <v>0</v>
      </c>
      <c r="B213" s="73">
        <v>213</v>
      </c>
      <c r="C213" s="74">
        <f>'ERROR FINAL'!G216</f>
        <v>0</v>
      </c>
      <c r="D213" s="75">
        <f>'ERROR FINAL'!I216</f>
        <v>0</v>
      </c>
      <c r="E213" s="76">
        <f>'ERROR FINAL'!U216</f>
        <v>0</v>
      </c>
      <c r="F213" s="77">
        <f>'ERROR FINAL'!AG216</f>
        <v>0</v>
      </c>
      <c r="G213" s="77">
        <f>'ERROR FINAL'!AS216</f>
        <v>0</v>
      </c>
      <c r="H213" s="78" t="str">
        <f>IF('ERROR FINAL'!AT216="CONFORME","CONFORME","NO CONFORME")</f>
        <v>NO CONFORME</v>
      </c>
      <c r="I213" s="79" t="str">
        <f t="shared" si="3"/>
        <v>Medición</v>
      </c>
    </row>
    <row r="214" spans="1:9" x14ac:dyDescent="0.2">
      <c r="A214" s="72">
        <f>'ERROR FINAL'!A217</f>
        <v>0</v>
      </c>
      <c r="B214" s="73">
        <v>214</v>
      </c>
      <c r="C214" s="74">
        <f>'ERROR FINAL'!G217</f>
        <v>0</v>
      </c>
      <c r="D214" s="75">
        <f>'ERROR FINAL'!I217</f>
        <v>0</v>
      </c>
      <c r="E214" s="76">
        <f>'ERROR FINAL'!U217</f>
        <v>0</v>
      </c>
      <c r="F214" s="77">
        <f>'ERROR FINAL'!AG217</f>
        <v>0</v>
      </c>
      <c r="G214" s="77">
        <f>'ERROR FINAL'!AS217</f>
        <v>0</v>
      </c>
      <c r="H214" s="78" t="str">
        <f>IF('ERROR FINAL'!AT217="CONFORME","CONFORME","NO CONFORME")</f>
        <v>NO CONFORME</v>
      </c>
      <c r="I214" s="79" t="str">
        <f t="shared" si="3"/>
        <v>Medición</v>
      </c>
    </row>
    <row r="215" spans="1:9" x14ac:dyDescent="0.2">
      <c r="A215" s="72">
        <f>'ERROR FINAL'!A218</f>
        <v>0</v>
      </c>
      <c r="B215" s="73">
        <v>215</v>
      </c>
      <c r="C215" s="74">
        <f>'ERROR FINAL'!G218</f>
        <v>0</v>
      </c>
      <c r="D215" s="75">
        <f>'ERROR FINAL'!I218</f>
        <v>0</v>
      </c>
      <c r="E215" s="76">
        <f>'ERROR FINAL'!U218</f>
        <v>0</v>
      </c>
      <c r="F215" s="77">
        <f>'ERROR FINAL'!AG218</f>
        <v>0</v>
      </c>
      <c r="G215" s="77">
        <f>'ERROR FINAL'!AS218</f>
        <v>0</v>
      </c>
      <c r="H215" s="78" t="str">
        <f>IF('ERROR FINAL'!AT218="CONFORME","CONFORME","NO CONFORME")</f>
        <v>NO CONFORME</v>
      </c>
      <c r="I215" s="79" t="str">
        <f t="shared" si="3"/>
        <v>Medición</v>
      </c>
    </row>
    <row r="216" spans="1:9" x14ac:dyDescent="0.2">
      <c r="A216" s="72">
        <f>'ERROR FINAL'!A219</f>
        <v>0</v>
      </c>
      <c r="B216" s="73">
        <v>216</v>
      </c>
      <c r="C216" s="74">
        <f>'ERROR FINAL'!G219</f>
        <v>0</v>
      </c>
      <c r="D216" s="75">
        <f>'ERROR FINAL'!I219</f>
        <v>0</v>
      </c>
      <c r="E216" s="76">
        <f>'ERROR FINAL'!U219</f>
        <v>0</v>
      </c>
      <c r="F216" s="77">
        <f>'ERROR FINAL'!AG219</f>
        <v>0</v>
      </c>
      <c r="G216" s="77">
        <f>'ERROR FINAL'!AS219</f>
        <v>0</v>
      </c>
      <c r="H216" s="78" t="str">
        <f>IF('ERROR FINAL'!AT219="CONFORME","CONFORME","NO CONFORME")</f>
        <v>NO CONFORME</v>
      </c>
      <c r="I216" s="79" t="str">
        <f t="shared" si="3"/>
        <v>Medición</v>
      </c>
    </row>
    <row r="217" spans="1:9" x14ac:dyDescent="0.2">
      <c r="A217" s="72">
        <f>'ERROR FINAL'!A220</f>
        <v>0</v>
      </c>
      <c r="B217" s="73">
        <v>217</v>
      </c>
      <c r="C217" s="74">
        <f>'ERROR FINAL'!G220</f>
        <v>0</v>
      </c>
      <c r="D217" s="75">
        <f>'ERROR FINAL'!I220</f>
        <v>0</v>
      </c>
      <c r="E217" s="76">
        <f>'ERROR FINAL'!U220</f>
        <v>0</v>
      </c>
      <c r="F217" s="77">
        <f>'ERROR FINAL'!AG220</f>
        <v>0</v>
      </c>
      <c r="G217" s="77">
        <f>'ERROR FINAL'!AS220</f>
        <v>0</v>
      </c>
      <c r="H217" s="78" t="str">
        <f>IF('ERROR FINAL'!AT220="CONFORME","CONFORME","NO CONFORME")</f>
        <v>NO CONFORME</v>
      </c>
      <c r="I217" s="79" t="str">
        <f t="shared" si="3"/>
        <v>Medición</v>
      </c>
    </row>
    <row r="218" spans="1:9" x14ac:dyDescent="0.2">
      <c r="A218" s="72">
        <f>'ERROR FINAL'!A221</f>
        <v>0</v>
      </c>
      <c r="B218" s="73">
        <v>218</v>
      </c>
      <c r="C218" s="74">
        <f>'ERROR FINAL'!G221</f>
        <v>0</v>
      </c>
      <c r="D218" s="75">
        <f>'ERROR FINAL'!I221</f>
        <v>0</v>
      </c>
      <c r="E218" s="76">
        <f>'ERROR FINAL'!U221</f>
        <v>0</v>
      </c>
      <c r="F218" s="77">
        <f>'ERROR FINAL'!AG221</f>
        <v>0</v>
      </c>
      <c r="G218" s="77">
        <f>'ERROR FINAL'!AS221</f>
        <v>0</v>
      </c>
      <c r="H218" s="78" t="str">
        <f>IF('ERROR FINAL'!AT221="CONFORME","CONFORME","NO CONFORME")</f>
        <v>NO CONFORME</v>
      </c>
      <c r="I218" s="79" t="str">
        <f t="shared" si="3"/>
        <v>Medición</v>
      </c>
    </row>
    <row r="219" spans="1:9" x14ac:dyDescent="0.2">
      <c r="A219" s="72">
        <f>'ERROR FINAL'!A222</f>
        <v>0</v>
      </c>
      <c r="B219" s="73">
        <v>219</v>
      </c>
      <c r="C219" s="74">
        <f>'ERROR FINAL'!G222</f>
        <v>0</v>
      </c>
      <c r="D219" s="75">
        <f>'ERROR FINAL'!I222</f>
        <v>0</v>
      </c>
      <c r="E219" s="76">
        <f>'ERROR FINAL'!U222</f>
        <v>0</v>
      </c>
      <c r="F219" s="77">
        <f>'ERROR FINAL'!AG222</f>
        <v>0</v>
      </c>
      <c r="G219" s="77">
        <f>'ERROR FINAL'!AS222</f>
        <v>0</v>
      </c>
      <c r="H219" s="78" t="str">
        <f>IF('ERROR FINAL'!AT222="CONFORME","CONFORME","NO CONFORME")</f>
        <v>NO CONFORME</v>
      </c>
      <c r="I219" s="79" t="str">
        <f t="shared" si="3"/>
        <v>Medición</v>
      </c>
    </row>
    <row r="220" spans="1:9" x14ac:dyDescent="0.2">
      <c r="A220" s="72">
        <f>'ERROR FINAL'!A223</f>
        <v>0</v>
      </c>
      <c r="B220" s="73">
        <v>220</v>
      </c>
      <c r="C220" s="74">
        <f>'ERROR FINAL'!G223</f>
        <v>0</v>
      </c>
      <c r="D220" s="75">
        <f>'ERROR FINAL'!I223</f>
        <v>0</v>
      </c>
      <c r="E220" s="76">
        <f>'ERROR FINAL'!U223</f>
        <v>0</v>
      </c>
      <c r="F220" s="77">
        <f>'ERROR FINAL'!AG223</f>
        <v>0</v>
      </c>
      <c r="G220" s="77">
        <f>'ERROR FINAL'!AS223</f>
        <v>0</v>
      </c>
      <c r="H220" s="78" t="str">
        <f>IF('ERROR FINAL'!AT223="CONFORME","CONFORME","NO CONFORME")</f>
        <v>NO CONFORME</v>
      </c>
      <c r="I220" s="79" t="str">
        <f t="shared" si="3"/>
        <v>Medición</v>
      </c>
    </row>
    <row r="221" spans="1:9" x14ac:dyDescent="0.2">
      <c r="A221" s="72">
        <f>'ERROR FINAL'!A224</f>
        <v>0</v>
      </c>
      <c r="B221" s="73">
        <v>221</v>
      </c>
      <c r="C221" s="74">
        <f>'ERROR FINAL'!G224</f>
        <v>0</v>
      </c>
      <c r="D221" s="75">
        <f>'ERROR FINAL'!I224</f>
        <v>0</v>
      </c>
      <c r="E221" s="76">
        <f>'ERROR FINAL'!U224</f>
        <v>0</v>
      </c>
      <c r="F221" s="77">
        <f>'ERROR FINAL'!AG224</f>
        <v>0</v>
      </c>
      <c r="G221" s="77">
        <f>'ERROR FINAL'!AS224</f>
        <v>0</v>
      </c>
      <c r="H221" s="78" t="str">
        <f>IF('ERROR FINAL'!AT224="CONFORME","CONFORME","NO CONFORME")</f>
        <v>NO CONFORME</v>
      </c>
      <c r="I221" s="79" t="str">
        <f t="shared" si="3"/>
        <v>Medición</v>
      </c>
    </row>
    <row r="222" spans="1:9" x14ac:dyDescent="0.2">
      <c r="A222" s="72">
        <f>'ERROR FINAL'!A225</f>
        <v>0</v>
      </c>
      <c r="B222" s="73">
        <v>222</v>
      </c>
      <c r="C222" s="74">
        <f>'ERROR FINAL'!G225</f>
        <v>0</v>
      </c>
      <c r="D222" s="75">
        <f>'ERROR FINAL'!I225</f>
        <v>0</v>
      </c>
      <c r="E222" s="76">
        <f>'ERROR FINAL'!U225</f>
        <v>0</v>
      </c>
      <c r="F222" s="77">
        <f>'ERROR FINAL'!AG225</f>
        <v>0</v>
      </c>
      <c r="G222" s="77">
        <f>'ERROR FINAL'!AS225</f>
        <v>0</v>
      </c>
      <c r="H222" s="78" t="str">
        <f>IF('ERROR FINAL'!AT225="CONFORME","CONFORME","NO CONFORME")</f>
        <v>NO CONFORME</v>
      </c>
      <c r="I222" s="79" t="str">
        <f t="shared" si="3"/>
        <v>Medición</v>
      </c>
    </row>
    <row r="223" spans="1:9" x14ac:dyDescent="0.2">
      <c r="A223" s="72">
        <f>'ERROR FINAL'!A226</f>
        <v>0</v>
      </c>
      <c r="B223" s="73">
        <v>223</v>
      </c>
      <c r="C223" s="74">
        <f>'ERROR FINAL'!G226</f>
        <v>0</v>
      </c>
      <c r="D223" s="75">
        <f>'ERROR FINAL'!I226</f>
        <v>0</v>
      </c>
      <c r="E223" s="76">
        <f>'ERROR FINAL'!U226</f>
        <v>0</v>
      </c>
      <c r="F223" s="77">
        <f>'ERROR FINAL'!AG226</f>
        <v>0</v>
      </c>
      <c r="G223" s="77">
        <f>'ERROR FINAL'!AS226</f>
        <v>0</v>
      </c>
      <c r="H223" s="78" t="str">
        <f>IF('ERROR FINAL'!AT226="CONFORME","CONFORME","NO CONFORME")</f>
        <v>NO CONFORME</v>
      </c>
      <c r="I223" s="79" t="str">
        <f t="shared" si="3"/>
        <v>Medición</v>
      </c>
    </row>
    <row r="224" spans="1:9" x14ac:dyDescent="0.2">
      <c r="A224" s="72">
        <f>'ERROR FINAL'!A227</f>
        <v>0</v>
      </c>
      <c r="B224" s="73">
        <v>224</v>
      </c>
      <c r="C224" s="74">
        <f>'ERROR FINAL'!G227</f>
        <v>0</v>
      </c>
      <c r="D224" s="75">
        <f>'ERROR FINAL'!I227</f>
        <v>0</v>
      </c>
      <c r="E224" s="76">
        <f>'ERROR FINAL'!U227</f>
        <v>0</v>
      </c>
      <c r="F224" s="77">
        <f>'ERROR FINAL'!AG227</f>
        <v>0</v>
      </c>
      <c r="G224" s="77">
        <f>'ERROR FINAL'!AS227</f>
        <v>0</v>
      </c>
      <c r="H224" s="78" t="str">
        <f>IF('ERROR FINAL'!AT227="CONFORME","CONFORME","NO CONFORME")</f>
        <v>NO CONFORME</v>
      </c>
      <c r="I224" s="79" t="str">
        <f t="shared" si="3"/>
        <v>Medición</v>
      </c>
    </row>
    <row r="225" spans="1:9" x14ac:dyDescent="0.2">
      <c r="A225" s="72">
        <f>'ERROR FINAL'!A228</f>
        <v>0</v>
      </c>
      <c r="B225" s="73">
        <v>225</v>
      </c>
      <c r="C225" s="74">
        <f>'ERROR FINAL'!G228</f>
        <v>0</v>
      </c>
      <c r="D225" s="75">
        <f>'ERROR FINAL'!I228</f>
        <v>0</v>
      </c>
      <c r="E225" s="76">
        <f>'ERROR FINAL'!U228</f>
        <v>0</v>
      </c>
      <c r="F225" s="77">
        <f>'ERROR FINAL'!AG228</f>
        <v>0</v>
      </c>
      <c r="G225" s="77">
        <f>'ERROR FINAL'!AS228</f>
        <v>0</v>
      </c>
      <c r="H225" s="78" t="str">
        <f>IF('ERROR FINAL'!AT228="CONFORME","CONFORME","NO CONFORME")</f>
        <v>NO CONFORME</v>
      </c>
      <c r="I225" s="79" t="str">
        <f t="shared" si="3"/>
        <v>Medición</v>
      </c>
    </row>
    <row r="226" spans="1:9" x14ac:dyDescent="0.2">
      <c r="A226" s="72">
        <f>'ERROR FINAL'!A229</f>
        <v>0</v>
      </c>
      <c r="B226" s="73">
        <v>226</v>
      </c>
      <c r="C226" s="74">
        <f>'ERROR FINAL'!G229</f>
        <v>0</v>
      </c>
      <c r="D226" s="75">
        <f>'ERROR FINAL'!I229</f>
        <v>0</v>
      </c>
      <c r="E226" s="76">
        <f>'ERROR FINAL'!U229</f>
        <v>0</v>
      </c>
      <c r="F226" s="77">
        <f>'ERROR FINAL'!AG229</f>
        <v>0</v>
      </c>
      <c r="G226" s="77">
        <f>'ERROR FINAL'!AS229</f>
        <v>0</v>
      </c>
      <c r="H226" s="78" t="str">
        <f>IF('ERROR FINAL'!AT229="CONFORME","CONFORME","NO CONFORME")</f>
        <v>NO CONFORME</v>
      </c>
      <c r="I226" s="79" t="str">
        <f t="shared" si="3"/>
        <v>Medición</v>
      </c>
    </row>
    <row r="227" spans="1:9" x14ac:dyDescent="0.2">
      <c r="A227" s="72">
        <f>'ERROR FINAL'!A230</f>
        <v>0</v>
      </c>
      <c r="B227" s="73">
        <v>227</v>
      </c>
      <c r="C227" s="74">
        <f>'ERROR FINAL'!G230</f>
        <v>0</v>
      </c>
      <c r="D227" s="75">
        <f>'ERROR FINAL'!I230</f>
        <v>0</v>
      </c>
      <c r="E227" s="76">
        <f>'ERROR FINAL'!U230</f>
        <v>0</v>
      </c>
      <c r="F227" s="77">
        <f>'ERROR FINAL'!AG230</f>
        <v>0</v>
      </c>
      <c r="G227" s="77">
        <f>'ERROR FINAL'!AS230</f>
        <v>0</v>
      </c>
      <c r="H227" s="78" t="str">
        <f>IF('ERROR FINAL'!AT230="CONFORME","CONFORME","NO CONFORME")</f>
        <v>NO CONFORME</v>
      </c>
      <c r="I227" s="79" t="str">
        <f t="shared" si="3"/>
        <v>Medición</v>
      </c>
    </row>
    <row r="228" spans="1:9" x14ac:dyDescent="0.2">
      <c r="A228" s="72">
        <f>'ERROR FINAL'!A231</f>
        <v>0</v>
      </c>
      <c r="B228" s="73">
        <v>228</v>
      </c>
      <c r="C228" s="74">
        <f>'ERROR FINAL'!G231</f>
        <v>0</v>
      </c>
      <c r="D228" s="75">
        <f>'ERROR FINAL'!I231</f>
        <v>0</v>
      </c>
      <c r="E228" s="76">
        <f>'ERROR FINAL'!U231</f>
        <v>0</v>
      </c>
      <c r="F228" s="77">
        <f>'ERROR FINAL'!AG231</f>
        <v>0</v>
      </c>
      <c r="G228" s="77">
        <f>'ERROR FINAL'!AS231</f>
        <v>0</v>
      </c>
      <c r="H228" s="78" t="str">
        <f>IF('ERROR FINAL'!AT231="CONFORME","CONFORME","NO CONFORME")</f>
        <v>NO CONFORME</v>
      </c>
      <c r="I228" s="79" t="str">
        <f t="shared" si="3"/>
        <v>Medición</v>
      </c>
    </row>
    <row r="229" spans="1:9" x14ac:dyDescent="0.2">
      <c r="A229" s="72">
        <f>'ERROR FINAL'!A232</f>
        <v>0</v>
      </c>
      <c r="B229" s="73">
        <v>229</v>
      </c>
      <c r="C229" s="74">
        <f>'ERROR FINAL'!G232</f>
        <v>0</v>
      </c>
      <c r="D229" s="75">
        <f>'ERROR FINAL'!I232</f>
        <v>0</v>
      </c>
      <c r="E229" s="76">
        <f>'ERROR FINAL'!U232</f>
        <v>0</v>
      </c>
      <c r="F229" s="77">
        <f>'ERROR FINAL'!AG232</f>
        <v>0</v>
      </c>
      <c r="G229" s="77">
        <f>'ERROR FINAL'!AS232</f>
        <v>0</v>
      </c>
      <c r="H229" s="78" t="str">
        <f>IF('ERROR FINAL'!AT232="CONFORME","CONFORME","NO CONFORME")</f>
        <v>NO CONFORME</v>
      </c>
      <c r="I229" s="79" t="str">
        <f t="shared" si="3"/>
        <v>Medición</v>
      </c>
    </row>
    <row r="230" spans="1:9" x14ac:dyDescent="0.2">
      <c r="A230" s="72">
        <f>'ERROR FINAL'!A233</f>
        <v>0</v>
      </c>
      <c r="B230" s="73">
        <v>230</v>
      </c>
      <c r="C230" s="74">
        <f>'ERROR FINAL'!G233</f>
        <v>0</v>
      </c>
      <c r="D230" s="75">
        <f>'ERROR FINAL'!I233</f>
        <v>0</v>
      </c>
      <c r="E230" s="76">
        <f>'ERROR FINAL'!U233</f>
        <v>0</v>
      </c>
      <c r="F230" s="77">
        <f>'ERROR FINAL'!AG233</f>
        <v>0</v>
      </c>
      <c r="G230" s="77">
        <f>'ERROR FINAL'!AS233</f>
        <v>0</v>
      </c>
      <c r="H230" s="78" t="str">
        <f>IF('ERROR FINAL'!AT233="CONFORME","CONFORME","NO CONFORME")</f>
        <v>NO CONFORME</v>
      </c>
      <c r="I230" s="79" t="str">
        <f t="shared" si="3"/>
        <v>Medición</v>
      </c>
    </row>
    <row r="231" spans="1:9" x14ac:dyDescent="0.2">
      <c r="A231" s="72">
        <f>'ERROR FINAL'!A234</f>
        <v>0</v>
      </c>
      <c r="B231" s="73">
        <v>231</v>
      </c>
      <c r="C231" s="74">
        <f>'ERROR FINAL'!G234</f>
        <v>0</v>
      </c>
      <c r="D231" s="75">
        <f>'ERROR FINAL'!I234</f>
        <v>0</v>
      </c>
      <c r="E231" s="76">
        <f>'ERROR FINAL'!U234</f>
        <v>0</v>
      </c>
      <c r="F231" s="77">
        <f>'ERROR FINAL'!AG234</f>
        <v>0</v>
      </c>
      <c r="G231" s="77">
        <f>'ERROR FINAL'!AS234</f>
        <v>0</v>
      </c>
      <c r="H231" s="78" t="str">
        <f>IF('ERROR FINAL'!AT234="CONFORME","CONFORME","NO CONFORME")</f>
        <v>NO CONFORME</v>
      </c>
      <c r="I231" s="79" t="str">
        <f t="shared" si="3"/>
        <v>Medición</v>
      </c>
    </row>
    <row r="232" spans="1:9" x14ac:dyDescent="0.2">
      <c r="A232" s="72">
        <f>'ERROR FINAL'!A235</f>
        <v>0</v>
      </c>
      <c r="B232" s="73">
        <v>232</v>
      </c>
      <c r="C232" s="74">
        <f>'ERROR FINAL'!G235</f>
        <v>0</v>
      </c>
      <c r="D232" s="75">
        <f>'ERROR FINAL'!I235</f>
        <v>0</v>
      </c>
      <c r="E232" s="76">
        <f>'ERROR FINAL'!U235</f>
        <v>0</v>
      </c>
      <c r="F232" s="77">
        <f>'ERROR FINAL'!AG235</f>
        <v>0</v>
      </c>
      <c r="G232" s="77">
        <f>'ERROR FINAL'!AS235</f>
        <v>0</v>
      </c>
      <c r="H232" s="78" t="str">
        <f>IF('ERROR FINAL'!AT235="CONFORME","CONFORME","NO CONFORME")</f>
        <v>NO CONFORME</v>
      </c>
      <c r="I232" s="79" t="str">
        <f t="shared" si="3"/>
        <v>Medición</v>
      </c>
    </row>
    <row r="233" spans="1:9" x14ac:dyDescent="0.2">
      <c r="A233" s="72">
        <f>'ERROR FINAL'!A236</f>
        <v>0</v>
      </c>
      <c r="B233" s="73">
        <v>233</v>
      </c>
      <c r="C233" s="74">
        <f>'ERROR FINAL'!G236</f>
        <v>0</v>
      </c>
      <c r="D233" s="75">
        <f>'ERROR FINAL'!I236</f>
        <v>0</v>
      </c>
      <c r="E233" s="76">
        <f>'ERROR FINAL'!U236</f>
        <v>0</v>
      </c>
      <c r="F233" s="77">
        <f>'ERROR FINAL'!AG236</f>
        <v>0</v>
      </c>
      <c r="G233" s="77">
        <f>'ERROR FINAL'!AS236</f>
        <v>0</v>
      </c>
      <c r="H233" s="78" t="str">
        <f>IF('ERROR FINAL'!AT236="CONFORME","CONFORME","NO CONFORME")</f>
        <v>NO CONFORME</v>
      </c>
      <c r="I233" s="79" t="str">
        <f t="shared" si="3"/>
        <v>Medición</v>
      </c>
    </row>
    <row r="234" spans="1:9" x14ac:dyDescent="0.2">
      <c r="A234" s="72">
        <f>'ERROR FINAL'!A237</f>
        <v>0</v>
      </c>
      <c r="B234" s="73">
        <v>234</v>
      </c>
      <c r="C234" s="74">
        <f>'ERROR FINAL'!G237</f>
        <v>0</v>
      </c>
      <c r="D234" s="75">
        <f>'ERROR FINAL'!I237</f>
        <v>0</v>
      </c>
      <c r="E234" s="76">
        <f>'ERROR FINAL'!U237</f>
        <v>0</v>
      </c>
      <c r="F234" s="77">
        <f>'ERROR FINAL'!AG237</f>
        <v>0</v>
      </c>
      <c r="G234" s="77">
        <f>'ERROR FINAL'!AS237</f>
        <v>0</v>
      </c>
      <c r="H234" s="78" t="str">
        <f>IF('ERROR FINAL'!AT237="CONFORME","CONFORME","NO CONFORME")</f>
        <v>NO CONFORME</v>
      </c>
      <c r="I234" s="79" t="str">
        <f t="shared" si="3"/>
        <v>Medición</v>
      </c>
    </row>
    <row r="235" spans="1:9" x14ac:dyDescent="0.2">
      <c r="A235" s="72">
        <f>'ERROR FINAL'!A238</f>
        <v>0</v>
      </c>
      <c r="B235" s="73">
        <v>235</v>
      </c>
      <c r="C235" s="74">
        <f>'ERROR FINAL'!G238</f>
        <v>0</v>
      </c>
      <c r="D235" s="75">
        <f>'ERROR FINAL'!I238</f>
        <v>0</v>
      </c>
      <c r="E235" s="76">
        <f>'ERROR FINAL'!U238</f>
        <v>0</v>
      </c>
      <c r="F235" s="77">
        <f>'ERROR FINAL'!AG238</f>
        <v>0</v>
      </c>
      <c r="G235" s="77">
        <f>'ERROR FINAL'!AS238</f>
        <v>0</v>
      </c>
      <c r="H235" s="78" t="str">
        <f>IF('ERROR FINAL'!AT238="CONFORME","CONFORME","NO CONFORME")</f>
        <v>NO CONFORME</v>
      </c>
      <c r="I235" s="79" t="str">
        <f t="shared" si="3"/>
        <v>Medición</v>
      </c>
    </row>
    <row r="236" spans="1:9" x14ac:dyDescent="0.2">
      <c r="A236" s="72">
        <f>'ERROR FINAL'!A239</f>
        <v>0</v>
      </c>
      <c r="B236" s="73">
        <v>236</v>
      </c>
      <c r="C236" s="74">
        <f>'ERROR FINAL'!G239</f>
        <v>0</v>
      </c>
      <c r="D236" s="75">
        <f>'ERROR FINAL'!I239</f>
        <v>0</v>
      </c>
      <c r="E236" s="76">
        <f>'ERROR FINAL'!U239</f>
        <v>0</v>
      </c>
      <c r="F236" s="77">
        <f>'ERROR FINAL'!AG239</f>
        <v>0</v>
      </c>
      <c r="G236" s="77">
        <f>'ERROR FINAL'!AS239</f>
        <v>0</v>
      </c>
      <c r="H236" s="78" t="str">
        <f>IF('ERROR FINAL'!AT239="CONFORME","CONFORME","NO CONFORME")</f>
        <v>NO CONFORME</v>
      </c>
      <c r="I236" s="79" t="str">
        <f t="shared" si="3"/>
        <v>Medición</v>
      </c>
    </row>
    <row r="237" spans="1:9" x14ac:dyDescent="0.2">
      <c r="A237" s="72">
        <f>'ERROR FINAL'!A240</f>
        <v>0</v>
      </c>
      <c r="B237" s="73">
        <v>237</v>
      </c>
      <c r="C237" s="74">
        <f>'ERROR FINAL'!G240</f>
        <v>0</v>
      </c>
      <c r="D237" s="75">
        <f>'ERROR FINAL'!I240</f>
        <v>0</v>
      </c>
      <c r="E237" s="76">
        <f>'ERROR FINAL'!U240</f>
        <v>0</v>
      </c>
      <c r="F237" s="77">
        <f>'ERROR FINAL'!AG240</f>
        <v>0</v>
      </c>
      <c r="G237" s="77">
        <f>'ERROR FINAL'!AS240</f>
        <v>0</v>
      </c>
      <c r="H237" s="78" t="str">
        <f>IF('ERROR FINAL'!AT240="CONFORME","CONFORME","NO CONFORME")</f>
        <v>NO CONFORME</v>
      </c>
      <c r="I237" s="79" t="str">
        <f t="shared" si="3"/>
        <v>Medición</v>
      </c>
    </row>
    <row r="238" spans="1:9" x14ac:dyDescent="0.2">
      <c r="A238" s="72">
        <f>'ERROR FINAL'!A241</f>
        <v>0</v>
      </c>
      <c r="B238" s="73">
        <v>238</v>
      </c>
      <c r="C238" s="74">
        <f>'ERROR FINAL'!G241</f>
        <v>0</v>
      </c>
      <c r="D238" s="75">
        <f>'ERROR FINAL'!I241</f>
        <v>0</v>
      </c>
      <c r="E238" s="76">
        <f>'ERROR FINAL'!U241</f>
        <v>0</v>
      </c>
      <c r="F238" s="77">
        <f>'ERROR FINAL'!AG241</f>
        <v>0</v>
      </c>
      <c r="G238" s="77">
        <f>'ERROR FINAL'!AS241</f>
        <v>0</v>
      </c>
      <c r="H238" s="78" t="str">
        <f>IF('ERROR FINAL'!AT241="CONFORME","CONFORME","NO CONFORME")</f>
        <v>NO CONFORME</v>
      </c>
      <c r="I238" s="79" t="str">
        <f t="shared" si="3"/>
        <v>Medición</v>
      </c>
    </row>
    <row r="239" spans="1:9" x14ac:dyDescent="0.2">
      <c r="A239" s="72">
        <f>'ERROR FINAL'!A242</f>
        <v>0</v>
      </c>
      <c r="B239" s="73">
        <v>239</v>
      </c>
      <c r="C239" s="74">
        <f>'ERROR FINAL'!G242</f>
        <v>0</v>
      </c>
      <c r="D239" s="75">
        <f>'ERROR FINAL'!I242</f>
        <v>0</v>
      </c>
      <c r="E239" s="76">
        <f>'ERROR FINAL'!U242</f>
        <v>0</v>
      </c>
      <c r="F239" s="77">
        <f>'ERROR FINAL'!AG242</f>
        <v>0</v>
      </c>
      <c r="G239" s="77">
        <f>'ERROR FINAL'!AS242</f>
        <v>0</v>
      </c>
      <c r="H239" s="78" t="str">
        <f>IF('ERROR FINAL'!AT242="CONFORME","CONFORME","NO CONFORME")</f>
        <v>NO CONFORME</v>
      </c>
      <c r="I239" s="79" t="str">
        <f t="shared" si="3"/>
        <v>Medición</v>
      </c>
    </row>
    <row r="240" spans="1:9" x14ac:dyDescent="0.2">
      <c r="A240" s="72">
        <f>'ERROR FINAL'!A243</f>
        <v>0</v>
      </c>
      <c r="B240" s="73">
        <v>240</v>
      </c>
      <c r="C240" s="74">
        <f>'ERROR FINAL'!G243</f>
        <v>0</v>
      </c>
      <c r="D240" s="75">
        <f>'ERROR FINAL'!I243</f>
        <v>0</v>
      </c>
      <c r="E240" s="76">
        <f>'ERROR FINAL'!U243</f>
        <v>0</v>
      </c>
      <c r="F240" s="77">
        <f>'ERROR FINAL'!AG243</f>
        <v>0</v>
      </c>
      <c r="G240" s="77">
        <f>'ERROR FINAL'!AS243</f>
        <v>0</v>
      </c>
      <c r="H240" s="78" t="str">
        <f>IF('ERROR FINAL'!AT243="CONFORME","CONFORME","NO CONFORME")</f>
        <v>NO CONFORME</v>
      </c>
      <c r="I240" s="79" t="str">
        <f t="shared" si="3"/>
        <v>Medición</v>
      </c>
    </row>
    <row r="241" spans="1:9" x14ac:dyDescent="0.2">
      <c r="A241" s="72">
        <f>'ERROR FINAL'!A244</f>
        <v>0</v>
      </c>
      <c r="B241" s="73">
        <v>241</v>
      </c>
      <c r="C241" s="74">
        <f>'ERROR FINAL'!G244</f>
        <v>0</v>
      </c>
      <c r="D241" s="75">
        <f>'ERROR FINAL'!I244</f>
        <v>0</v>
      </c>
      <c r="E241" s="76">
        <f>'ERROR FINAL'!U244</f>
        <v>0</v>
      </c>
      <c r="F241" s="77">
        <f>'ERROR FINAL'!AG244</f>
        <v>0</v>
      </c>
      <c r="G241" s="77">
        <f>'ERROR FINAL'!AS244</f>
        <v>0</v>
      </c>
      <c r="H241" s="78" t="str">
        <f>IF('ERROR FINAL'!AT244="CONFORME","CONFORME","NO CONFORME")</f>
        <v>NO CONFORME</v>
      </c>
      <c r="I241" s="79" t="str">
        <f t="shared" si="3"/>
        <v>Medición</v>
      </c>
    </row>
    <row r="242" spans="1:9" x14ac:dyDescent="0.2">
      <c r="A242" s="72">
        <f>'ERROR FINAL'!A245</f>
        <v>0</v>
      </c>
      <c r="B242" s="73">
        <v>242</v>
      </c>
      <c r="C242" s="74">
        <f>'ERROR FINAL'!G245</f>
        <v>0</v>
      </c>
      <c r="D242" s="75">
        <f>'ERROR FINAL'!I245</f>
        <v>0</v>
      </c>
      <c r="E242" s="76">
        <f>'ERROR FINAL'!U245</f>
        <v>0</v>
      </c>
      <c r="F242" s="77">
        <f>'ERROR FINAL'!AG245</f>
        <v>0</v>
      </c>
      <c r="G242" s="77">
        <f>'ERROR FINAL'!AS245</f>
        <v>0</v>
      </c>
      <c r="H242" s="78" t="str">
        <f>IF('ERROR FINAL'!AT245="CONFORME","CONFORME","NO CONFORME")</f>
        <v>NO CONFORME</v>
      </c>
      <c r="I242" s="79" t="str">
        <f t="shared" si="3"/>
        <v>Medición</v>
      </c>
    </row>
    <row r="243" spans="1:9" x14ac:dyDescent="0.2">
      <c r="A243" s="72">
        <f>'ERROR FINAL'!A246</f>
        <v>0</v>
      </c>
      <c r="B243" s="73">
        <v>243</v>
      </c>
      <c r="C243" s="74">
        <f>'ERROR FINAL'!G246</f>
        <v>0</v>
      </c>
      <c r="D243" s="75">
        <f>'ERROR FINAL'!I246</f>
        <v>0</v>
      </c>
      <c r="E243" s="76">
        <f>'ERROR FINAL'!U246</f>
        <v>0</v>
      </c>
      <c r="F243" s="77">
        <f>'ERROR FINAL'!AG246</f>
        <v>0</v>
      </c>
      <c r="G243" s="77">
        <f>'ERROR FINAL'!AS246</f>
        <v>0</v>
      </c>
      <c r="H243" s="78" t="str">
        <f>IF('ERROR FINAL'!AT246="CONFORME","CONFORME","NO CONFORME")</f>
        <v>NO CONFORME</v>
      </c>
      <c r="I243" s="79" t="str">
        <f t="shared" si="3"/>
        <v>Medición</v>
      </c>
    </row>
    <row r="244" spans="1:9" x14ac:dyDescent="0.2">
      <c r="A244" s="72">
        <f>'ERROR FINAL'!A247</f>
        <v>0</v>
      </c>
      <c r="B244" s="73">
        <v>244</v>
      </c>
      <c r="C244" s="74">
        <f>'ERROR FINAL'!G247</f>
        <v>0</v>
      </c>
      <c r="D244" s="75">
        <f>'ERROR FINAL'!I247</f>
        <v>0</v>
      </c>
      <c r="E244" s="76">
        <f>'ERROR FINAL'!U247</f>
        <v>0</v>
      </c>
      <c r="F244" s="77">
        <f>'ERROR FINAL'!AG247</f>
        <v>0</v>
      </c>
      <c r="G244" s="77">
        <f>'ERROR FINAL'!AS247</f>
        <v>0</v>
      </c>
      <c r="H244" s="78" t="str">
        <f>IF('ERROR FINAL'!AT247="CONFORME","CONFORME","NO CONFORME")</f>
        <v>NO CONFORME</v>
      </c>
      <c r="I244" s="79" t="str">
        <f t="shared" si="3"/>
        <v>Medición</v>
      </c>
    </row>
    <row r="245" spans="1:9" x14ac:dyDescent="0.2">
      <c r="A245" s="72">
        <f>'ERROR FINAL'!A248</f>
        <v>0</v>
      </c>
      <c r="B245" s="73">
        <v>245</v>
      </c>
      <c r="C245" s="74">
        <f>'ERROR FINAL'!G248</f>
        <v>0</v>
      </c>
      <c r="D245" s="75">
        <f>'ERROR FINAL'!I248</f>
        <v>0</v>
      </c>
      <c r="E245" s="76">
        <f>'ERROR FINAL'!U248</f>
        <v>0</v>
      </c>
      <c r="F245" s="77">
        <f>'ERROR FINAL'!AG248</f>
        <v>0</v>
      </c>
      <c r="G245" s="77">
        <f>'ERROR FINAL'!AS248</f>
        <v>0</v>
      </c>
      <c r="H245" s="78" t="str">
        <f>IF('ERROR FINAL'!AT248="CONFORME","CONFORME","NO CONFORME")</f>
        <v>NO CONFORME</v>
      </c>
      <c r="I245" s="79" t="str">
        <f t="shared" si="3"/>
        <v>Medición</v>
      </c>
    </row>
    <row r="246" spans="1:9" x14ac:dyDescent="0.2">
      <c r="A246" s="72">
        <f>'ERROR FINAL'!A249</f>
        <v>0</v>
      </c>
      <c r="B246" s="73">
        <v>246</v>
      </c>
      <c r="C246" s="74">
        <f>'ERROR FINAL'!G249</f>
        <v>0</v>
      </c>
      <c r="D246" s="75">
        <f>'ERROR FINAL'!I249</f>
        <v>0</v>
      </c>
      <c r="E246" s="76">
        <f>'ERROR FINAL'!U249</f>
        <v>0</v>
      </c>
      <c r="F246" s="77">
        <f>'ERROR FINAL'!AG249</f>
        <v>0</v>
      </c>
      <c r="G246" s="77">
        <f>'ERROR FINAL'!AS249</f>
        <v>0</v>
      </c>
      <c r="H246" s="78" t="str">
        <f>IF('ERROR FINAL'!AT249="CONFORME","CONFORME","NO CONFORME")</f>
        <v>NO CONFORME</v>
      </c>
      <c r="I246" s="79" t="str">
        <f t="shared" si="3"/>
        <v>Medición</v>
      </c>
    </row>
    <row r="247" spans="1:9" x14ac:dyDescent="0.2">
      <c r="A247" s="72">
        <f>'ERROR FINAL'!A250</f>
        <v>0</v>
      </c>
      <c r="B247" s="73">
        <v>247</v>
      </c>
      <c r="C247" s="74">
        <f>'ERROR FINAL'!G250</f>
        <v>0</v>
      </c>
      <c r="D247" s="75">
        <f>'ERROR FINAL'!I250</f>
        <v>0</v>
      </c>
      <c r="E247" s="76">
        <f>'ERROR FINAL'!U250</f>
        <v>0</v>
      </c>
      <c r="F247" s="77">
        <f>'ERROR FINAL'!AG250</f>
        <v>0</v>
      </c>
      <c r="G247" s="77">
        <f>'ERROR FINAL'!AS250</f>
        <v>0</v>
      </c>
      <c r="H247" s="78" t="str">
        <f>IF('ERROR FINAL'!AT250="CONFORME","CONFORME","NO CONFORME")</f>
        <v>NO CONFORME</v>
      </c>
      <c r="I247" s="79" t="str">
        <f t="shared" si="3"/>
        <v>Medición</v>
      </c>
    </row>
    <row r="248" spans="1:9" x14ac:dyDescent="0.2">
      <c r="A248" s="72">
        <f>'ERROR FINAL'!A251</f>
        <v>0</v>
      </c>
      <c r="B248" s="73">
        <v>248</v>
      </c>
      <c r="C248" s="74">
        <f>'ERROR FINAL'!G251</f>
        <v>0</v>
      </c>
      <c r="D248" s="75">
        <f>'ERROR FINAL'!I251</f>
        <v>0</v>
      </c>
      <c r="E248" s="76">
        <f>'ERROR FINAL'!U251</f>
        <v>0</v>
      </c>
      <c r="F248" s="77">
        <f>'ERROR FINAL'!AG251</f>
        <v>0</v>
      </c>
      <c r="G248" s="77">
        <f>'ERROR FINAL'!AS251</f>
        <v>0</v>
      </c>
      <c r="H248" s="78" t="str">
        <f>IF('ERROR FINAL'!AT251="CONFORME","CONFORME","NO CONFORME")</f>
        <v>NO CONFORME</v>
      </c>
      <c r="I248" s="79" t="str">
        <f t="shared" si="3"/>
        <v>Medición</v>
      </c>
    </row>
    <row r="249" spans="1:9" x14ac:dyDescent="0.2">
      <c r="A249" s="72">
        <f>'ERROR FINAL'!A252</f>
        <v>0</v>
      </c>
      <c r="B249" s="73">
        <v>249</v>
      </c>
      <c r="C249" s="74">
        <f>'ERROR FINAL'!G252</f>
        <v>0</v>
      </c>
      <c r="D249" s="75">
        <f>'ERROR FINAL'!I252</f>
        <v>0</v>
      </c>
      <c r="E249" s="76">
        <f>'ERROR FINAL'!U252</f>
        <v>0</v>
      </c>
      <c r="F249" s="77">
        <f>'ERROR FINAL'!AG252</f>
        <v>0</v>
      </c>
      <c r="G249" s="77">
        <f>'ERROR FINAL'!AS252</f>
        <v>0</v>
      </c>
      <c r="H249" s="78" t="str">
        <f>IF('ERROR FINAL'!AT252="CONFORME","CONFORME","NO CONFORME")</f>
        <v>NO CONFORME</v>
      </c>
      <c r="I249" s="79" t="str">
        <f t="shared" si="3"/>
        <v>Medición</v>
      </c>
    </row>
    <row r="250" spans="1:9" x14ac:dyDescent="0.2">
      <c r="A250" s="72">
        <f>'ERROR FINAL'!A253</f>
        <v>0</v>
      </c>
      <c r="B250" s="73">
        <v>250</v>
      </c>
      <c r="C250" s="74">
        <f>'ERROR FINAL'!G253</f>
        <v>0</v>
      </c>
      <c r="D250" s="75">
        <f>'ERROR FINAL'!I253</f>
        <v>0</v>
      </c>
      <c r="E250" s="76">
        <f>'ERROR FINAL'!U253</f>
        <v>0</v>
      </c>
      <c r="F250" s="77">
        <f>'ERROR FINAL'!AG253</f>
        <v>0</v>
      </c>
      <c r="G250" s="77">
        <f>'ERROR FINAL'!AS253</f>
        <v>0</v>
      </c>
      <c r="H250" s="78" t="str">
        <f>IF('ERROR FINAL'!AT253="CONFORME","CONFORME","NO CONFORME")</f>
        <v>NO CONFORME</v>
      </c>
      <c r="I250" s="79" t="str">
        <f t="shared" si="3"/>
        <v>Medición</v>
      </c>
    </row>
    <row r="251" spans="1:9" x14ac:dyDescent="0.2">
      <c r="A251" s="72">
        <f>'ERROR FINAL'!A254</f>
        <v>0</v>
      </c>
      <c r="B251" s="73">
        <v>251</v>
      </c>
      <c r="C251" s="74">
        <f>'ERROR FINAL'!G254</f>
        <v>0</v>
      </c>
      <c r="D251" s="75">
        <f>'ERROR FINAL'!I254</f>
        <v>0</v>
      </c>
      <c r="E251" s="76">
        <f>'ERROR FINAL'!U254</f>
        <v>0</v>
      </c>
      <c r="F251" s="77">
        <f>'ERROR FINAL'!AG254</f>
        <v>0</v>
      </c>
      <c r="G251" s="77">
        <f>'ERROR FINAL'!AS254</f>
        <v>0</v>
      </c>
      <c r="H251" s="78" t="str">
        <f>IF('ERROR FINAL'!AT254="CONFORME","CONFORME","NO CONFORME")</f>
        <v>NO CONFORME</v>
      </c>
      <c r="I251" s="79" t="str">
        <f t="shared" si="3"/>
        <v>Medición</v>
      </c>
    </row>
    <row r="252" spans="1:9" x14ac:dyDescent="0.2">
      <c r="A252" s="72">
        <f>'ERROR FINAL'!A255</f>
        <v>0</v>
      </c>
      <c r="B252" s="73">
        <v>252</v>
      </c>
      <c r="C252" s="74">
        <f>'ERROR FINAL'!G255</f>
        <v>0</v>
      </c>
      <c r="D252" s="75">
        <f>'ERROR FINAL'!I255</f>
        <v>0</v>
      </c>
      <c r="E252" s="76">
        <f>'ERROR FINAL'!U255</f>
        <v>0</v>
      </c>
      <c r="F252" s="77">
        <f>'ERROR FINAL'!AG255</f>
        <v>0</v>
      </c>
      <c r="G252" s="77">
        <f>'ERROR FINAL'!AS255</f>
        <v>0</v>
      </c>
      <c r="H252" s="78" t="str">
        <f>IF('ERROR FINAL'!AT255="CONFORME","CONFORME","NO CONFORME")</f>
        <v>NO CONFORME</v>
      </c>
      <c r="I252" s="79" t="str">
        <f t="shared" si="3"/>
        <v>Medición</v>
      </c>
    </row>
    <row r="253" spans="1:9" x14ac:dyDescent="0.2">
      <c r="A253" s="72">
        <f>'ERROR FINAL'!A256</f>
        <v>0</v>
      </c>
      <c r="B253" s="73">
        <v>253</v>
      </c>
      <c r="C253" s="74">
        <f>'ERROR FINAL'!G256</f>
        <v>0</v>
      </c>
      <c r="D253" s="75">
        <f>'ERROR FINAL'!I256</f>
        <v>0</v>
      </c>
      <c r="E253" s="76">
        <f>'ERROR FINAL'!U256</f>
        <v>0</v>
      </c>
      <c r="F253" s="77">
        <f>'ERROR FINAL'!AG256</f>
        <v>0</v>
      </c>
      <c r="G253" s="77">
        <f>'ERROR FINAL'!AS256</f>
        <v>0</v>
      </c>
      <c r="H253" s="78" t="str">
        <f>IF('ERROR FINAL'!AT256="CONFORME","CONFORME","NO CONFORME")</f>
        <v>NO CONFORME</v>
      </c>
      <c r="I253" s="79" t="str">
        <f t="shared" si="3"/>
        <v>Medición</v>
      </c>
    </row>
    <row r="254" spans="1:9" x14ac:dyDescent="0.2">
      <c r="A254" s="72">
        <f>'ERROR FINAL'!A257</f>
        <v>0</v>
      </c>
      <c r="B254" s="73">
        <v>254</v>
      </c>
      <c r="C254" s="74">
        <f>'ERROR FINAL'!G257</f>
        <v>0</v>
      </c>
      <c r="D254" s="75">
        <f>'ERROR FINAL'!I257</f>
        <v>0</v>
      </c>
      <c r="E254" s="76">
        <f>'ERROR FINAL'!U257</f>
        <v>0</v>
      </c>
      <c r="F254" s="77">
        <f>'ERROR FINAL'!AG257</f>
        <v>0</v>
      </c>
      <c r="G254" s="77">
        <f>'ERROR FINAL'!AS257</f>
        <v>0</v>
      </c>
      <c r="H254" s="78" t="str">
        <f>IF('ERROR FINAL'!AT257="CONFORME","CONFORME","NO CONFORME")</f>
        <v>NO CONFORME</v>
      </c>
      <c r="I254" s="79" t="str">
        <f t="shared" si="3"/>
        <v>Medición</v>
      </c>
    </row>
    <row r="255" spans="1:9" x14ac:dyDescent="0.2">
      <c r="A255" s="72">
        <f>'ERROR FINAL'!A258</f>
        <v>0</v>
      </c>
      <c r="B255" s="73">
        <v>255</v>
      </c>
      <c r="C255" s="74">
        <f>'ERROR FINAL'!G258</f>
        <v>0</v>
      </c>
      <c r="D255" s="75">
        <f>'ERROR FINAL'!I258</f>
        <v>0</v>
      </c>
      <c r="E255" s="76">
        <f>'ERROR FINAL'!U258</f>
        <v>0</v>
      </c>
      <c r="F255" s="77">
        <f>'ERROR FINAL'!AG258</f>
        <v>0</v>
      </c>
      <c r="G255" s="77">
        <f>'ERROR FINAL'!AS258</f>
        <v>0</v>
      </c>
      <c r="H255" s="78" t="str">
        <f>IF('ERROR FINAL'!AT258="CONFORME","CONFORME","NO CONFORME")</f>
        <v>NO CONFORME</v>
      </c>
      <c r="I255" s="79" t="str">
        <f t="shared" si="3"/>
        <v>Medición</v>
      </c>
    </row>
    <row r="256" spans="1:9" x14ac:dyDescent="0.2">
      <c r="A256" s="72">
        <f>'ERROR FINAL'!A259</f>
        <v>0</v>
      </c>
      <c r="B256" s="73">
        <v>256</v>
      </c>
      <c r="C256" s="74">
        <f>'ERROR FINAL'!G259</f>
        <v>0</v>
      </c>
      <c r="D256" s="75">
        <f>'ERROR FINAL'!I259</f>
        <v>0</v>
      </c>
      <c r="E256" s="76">
        <f>'ERROR FINAL'!U259</f>
        <v>0</v>
      </c>
      <c r="F256" s="77">
        <f>'ERROR FINAL'!AG259</f>
        <v>0</v>
      </c>
      <c r="G256" s="77">
        <f>'ERROR FINAL'!AS259</f>
        <v>0</v>
      </c>
      <c r="H256" s="78" t="str">
        <f>IF('ERROR FINAL'!AT259="CONFORME","CONFORME","NO CONFORME")</f>
        <v>NO CONFORME</v>
      </c>
      <c r="I256" s="79" t="str">
        <f t="shared" si="3"/>
        <v>Medición</v>
      </c>
    </row>
    <row r="257" spans="1:9" x14ac:dyDescent="0.2">
      <c r="A257" s="72">
        <f>'ERROR FINAL'!A260</f>
        <v>0</v>
      </c>
      <c r="B257" s="73">
        <v>257</v>
      </c>
      <c r="C257" s="74">
        <f>'ERROR FINAL'!G260</f>
        <v>0</v>
      </c>
      <c r="D257" s="75">
        <f>'ERROR FINAL'!I260</f>
        <v>0</v>
      </c>
      <c r="E257" s="76">
        <f>'ERROR FINAL'!U260</f>
        <v>0</v>
      </c>
      <c r="F257" s="77">
        <f>'ERROR FINAL'!AG260</f>
        <v>0</v>
      </c>
      <c r="G257" s="77">
        <f>'ERROR FINAL'!AS260</f>
        <v>0</v>
      </c>
      <c r="H257" s="78" t="str">
        <f>IF('ERROR FINAL'!AT260="CONFORME","CONFORME","NO CONFORME")</f>
        <v>NO CONFORME</v>
      </c>
      <c r="I257" s="79" t="str">
        <f t="shared" si="3"/>
        <v>Medición</v>
      </c>
    </row>
    <row r="258" spans="1:9" x14ac:dyDescent="0.2">
      <c r="A258" s="72">
        <f>'ERROR FINAL'!A261</f>
        <v>0</v>
      </c>
      <c r="B258" s="73">
        <v>258</v>
      </c>
      <c r="C258" s="74">
        <f>'ERROR FINAL'!G261</f>
        <v>0</v>
      </c>
      <c r="D258" s="75">
        <f>'ERROR FINAL'!I261</f>
        <v>0</v>
      </c>
      <c r="E258" s="76">
        <f>'ERROR FINAL'!U261</f>
        <v>0</v>
      </c>
      <c r="F258" s="77">
        <f>'ERROR FINAL'!AG261</f>
        <v>0</v>
      </c>
      <c r="G258" s="77">
        <f>'ERROR FINAL'!AS261</f>
        <v>0</v>
      </c>
      <c r="H258" s="78" t="str">
        <f>IF('ERROR FINAL'!AT261="CONFORME","CONFORME","NO CONFORME")</f>
        <v>NO CONFORME</v>
      </c>
      <c r="I258" s="79" t="str">
        <f t="shared" si="3"/>
        <v>Medición</v>
      </c>
    </row>
    <row r="259" spans="1:9" x14ac:dyDescent="0.2">
      <c r="A259" s="72">
        <f>'ERROR FINAL'!A262</f>
        <v>0</v>
      </c>
      <c r="B259" s="73">
        <v>259</v>
      </c>
      <c r="C259" s="74">
        <f>'ERROR FINAL'!G262</f>
        <v>0</v>
      </c>
      <c r="D259" s="75">
        <f>'ERROR FINAL'!I262</f>
        <v>0</v>
      </c>
      <c r="E259" s="76">
        <f>'ERROR FINAL'!U262</f>
        <v>0</v>
      </c>
      <c r="F259" s="77">
        <f>'ERROR FINAL'!AG262</f>
        <v>0</v>
      </c>
      <c r="G259" s="77">
        <f>'ERROR FINAL'!AS262</f>
        <v>0</v>
      </c>
      <c r="H259" s="78" t="str">
        <f>IF('ERROR FINAL'!AT262="CONFORME","CONFORME","NO CONFORME")</f>
        <v>NO CONFORME</v>
      </c>
      <c r="I259" s="79" t="str">
        <f t="shared" si="3"/>
        <v>Medición</v>
      </c>
    </row>
    <row r="260" spans="1:9" x14ac:dyDescent="0.2">
      <c r="A260" s="72">
        <f>'ERROR FINAL'!A263</f>
        <v>0</v>
      </c>
      <c r="B260" s="73">
        <v>260</v>
      </c>
      <c r="C260" s="74">
        <f>'ERROR FINAL'!G263</f>
        <v>0</v>
      </c>
      <c r="D260" s="75">
        <f>'ERROR FINAL'!I263</f>
        <v>0</v>
      </c>
      <c r="E260" s="76">
        <f>'ERROR FINAL'!U263</f>
        <v>0</v>
      </c>
      <c r="F260" s="77">
        <f>'ERROR FINAL'!AG263</f>
        <v>0</v>
      </c>
      <c r="G260" s="77">
        <f>'ERROR FINAL'!AS263</f>
        <v>0</v>
      </c>
      <c r="H260" s="78" t="str">
        <f>IF('ERROR FINAL'!AT263="CONFORME","CONFORME","NO CONFORME")</f>
        <v>NO CONFORME</v>
      </c>
      <c r="I260" s="79" t="str">
        <f t="shared" si="3"/>
        <v>Medición</v>
      </c>
    </row>
    <row r="261" spans="1:9" x14ac:dyDescent="0.2">
      <c r="A261" s="72">
        <f>'ERROR FINAL'!A264</f>
        <v>0</v>
      </c>
      <c r="B261" s="73">
        <v>261</v>
      </c>
      <c r="C261" s="74">
        <f>'ERROR FINAL'!G264</f>
        <v>0</v>
      </c>
      <c r="D261" s="75">
        <f>'ERROR FINAL'!I264</f>
        <v>0</v>
      </c>
      <c r="E261" s="76">
        <f>'ERROR FINAL'!U264</f>
        <v>0</v>
      </c>
      <c r="F261" s="77">
        <f>'ERROR FINAL'!AG264</f>
        <v>0</v>
      </c>
      <c r="G261" s="77">
        <f>'ERROR FINAL'!AS264</f>
        <v>0</v>
      </c>
      <c r="H261" s="78" t="str">
        <f>IF('ERROR FINAL'!AT264="CONFORME","CONFORME","NO CONFORME")</f>
        <v>NO CONFORME</v>
      </c>
      <c r="I261" s="79" t="str">
        <f t="shared" si="3"/>
        <v>Medición</v>
      </c>
    </row>
    <row r="262" spans="1:9" x14ac:dyDescent="0.2">
      <c r="A262" s="72">
        <f>'ERROR FINAL'!A265</f>
        <v>0</v>
      </c>
      <c r="B262" s="73">
        <v>262</v>
      </c>
      <c r="C262" s="74">
        <f>'ERROR FINAL'!G265</f>
        <v>0</v>
      </c>
      <c r="D262" s="75">
        <f>'ERROR FINAL'!I265</f>
        <v>0</v>
      </c>
      <c r="E262" s="76">
        <f>'ERROR FINAL'!U265</f>
        <v>0</v>
      </c>
      <c r="F262" s="77">
        <f>'ERROR FINAL'!AG265</f>
        <v>0</v>
      </c>
      <c r="G262" s="77">
        <f>'ERROR FINAL'!AS265</f>
        <v>0</v>
      </c>
      <c r="H262" s="78" t="str">
        <f>IF('ERROR FINAL'!AT265="CONFORME","CONFORME","NO CONFORME")</f>
        <v>NO CONFORME</v>
      </c>
      <c r="I262" s="79" t="str">
        <f t="shared" si="3"/>
        <v>Medición</v>
      </c>
    </row>
    <row r="263" spans="1:9" x14ac:dyDescent="0.2">
      <c r="A263" s="72">
        <f>'ERROR FINAL'!A266</f>
        <v>0</v>
      </c>
      <c r="B263" s="73">
        <v>263</v>
      </c>
      <c r="C263" s="74">
        <f>'ERROR FINAL'!G266</f>
        <v>0</v>
      </c>
      <c r="D263" s="75">
        <f>'ERROR FINAL'!I266</f>
        <v>0</v>
      </c>
      <c r="E263" s="76">
        <f>'ERROR FINAL'!U266</f>
        <v>0</v>
      </c>
      <c r="F263" s="77">
        <f>'ERROR FINAL'!AG266</f>
        <v>0</v>
      </c>
      <c r="G263" s="77">
        <f>'ERROR FINAL'!AS266</f>
        <v>0</v>
      </c>
      <c r="H263" s="78" t="str">
        <f>IF('ERROR FINAL'!AT266="CONFORME","CONFORME","NO CONFORME")</f>
        <v>NO CONFORME</v>
      </c>
      <c r="I263" s="7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">
      <c r="A264" s="72">
        <f>'ERROR FINAL'!A267</f>
        <v>0</v>
      </c>
      <c r="B264" s="73">
        <v>264</v>
      </c>
      <c r="C264" s="74">
        <f>'ERROR FINAL'!G267</f>
        <v>0</v>
      </c>
      <c r="D264" s="75">
        <f>'ERROR FINAL'!I267</f>
        <v>0</v>
      </c>
      <c r="E264" s="76">
        <f>'ERROR FINAL'!U267</f>
        <v>0</v>
      </c>
      <c r="F264" s="77">
        <f>'ERROR FINAL'!AG267</f>
        <v>0</v>
      </c>
      <c r="G264" s="77">
        <f>'ERROR FINAL'!AS267</f>
        <v>0</v>
      </c>
      <c r="H264" s="78" t="str">
        <f>IF('ERROR FINAL'!AT267="CONFORME","CONFORME","NO CONFORME")</f>
        <v>NO CONFORME</v>
      </c>
      <c r="I264" s="79" t="str">
        <f t="shared" si="4"/>
        <v>Medición</v>
      </c>
    </row>
    <row r="265" spans="1:9" x14ac:dyDescent="0.2">
      <c r="A265" s="72">
        <f>'ERROR FINAL'!A268</f>
        <v>0</v>
      </c>
      <c r="B265" s="73">
        <v>265</v>
      </c>
      <c r="C265" s="74">
        <f>'ERROR FINAL'!G268</f>
        <v>0</v>
      </c>
      <c r="D265" s="75">
        <f>'ERROR FINAL'!I268</f>
        <v>0</v>
      </c>
      <c r="E265" s="76">
        <f>'ERROR FINAL'!U268</f>
        <v>0</v>
      </c>
      <c r="F265" s="77">
        <f>'ERROR FINAL'!AG268</f>
        <v>0</v>
      </c>
      <c r="G265" s="77">
        <f>'ERROR FINAL'!AS268</f>
        <v>0</v>
      </c>
      <c r="H265" s="78" t="str">
        <f>IF('ERROR FINAL'!AT268="CONFORME","CONFORME","NO CONFORME")</f>
        <v>NO CONFORME</v>
      </c>
      <c r="I265" s="79" t="str">
        <f t="shared" si="4"/>
        <v>Medición</v>
      </c>
    </row>
    <row r="266" spans="1:9" x14ac:dyDescent="0.2">
      <c r="A266" s="72">
        <f>'ERROR FINAL'!A269</f>
        <v>0</v>
      </c>
      <c r="B266" s="73">
        <v>266</v>
      </c>
      <c r="C266" s="74">
        <f>'ERROR FINAL'!G269</f>
        <v>0</v>
      </c>
      <c r="D266" s="75">
        <f>'ERROR FINAL'!I269</f>
        <v>0</v>
      </c>
      <c r="E266" s="76">
        <f>'ERROR FINAL'!U269</f>
        <v>0</v>
      </c>
      <c r="F266" s="77">
        <f>'ERROR FINAL'!AG269</f>
        <v>0</v>
      </c>
      <c r="G266" s="77">
        <f>'ERROR FINAL'!AS269</f>
        <v>0</v>
      </c>
      <c r="H266" s="78" t="str">
        <f>IF('ERROR FINAL'!AT269="CONFORME","CONFORME","NO CONFORME")</f>
        <v>NO CONFORME</v>
      </c>
      <c r="I266" s="79" t="str">
        <f t="shared" si="4"/>
        <v>Medición</v>
      </c>
    </row>
    <row r="267" spans="1:9" x14ac:dyDescent="0.2">
      <c r="A267" s="72">
        <f>'ERROR FINAL'!A270</f>
        <v>0</v>
      </c>
      <c r="B267" s="73">
        <v>267</v>
      </c>
      <c r="C267" s="74">
        <f>'ERROR FINAL'!G270</f>
        <v>0</v>
      </c>
      <c r="D267" s="75">
        <f>'ERROR FINAL'!I270</f>
        <v>0</v>
      </c>
      <c r="E267" s="76">
        <f>'ERROR FINAL'!U270</f>
        <v>0</v>
      </c>
      <c r="F267" s="77">
        <f>'ERROR FINAL'!AG270</f>
        <v>0</v>
      </c>
      <c r="G267" s="77">
        <f>'ERROR FINAL'!AS270</f>
        <v>0</v>
      </c>
      <c r="H267" s="78" t="str">
        <f>IF('ERROR FINAL'!AT270="CONFORME","CONFORME","NO CONFORME")</f>
        <v>NO CONFORME</v>
      </c>
      <c r="I267" s="79" t="str">
        <f t="shared" si="4"/>
        <v>Medición</v>
      </c>
    </row>
    <row r="268" spans="1:9" x14ac:dyDescent="0.2">
      <c r="A268" s="72">
        <f>'ERROR FINAL'!A271</f>
        <v>0</v>
      </c>
      <c r="B268" s="73">
        <v>268</v>
      </c>
      <c r="C268" s="74">
        <f>'ERROR FINAL'!G271</f>
        <v>0</v>
      </c>
      <c r="D268" s="75">
        <f>'ERROR FINAL'!I271</f>
        <v>0</v>
      </c>
      <c r="E268" s="76">
        <f>'ERROR FINAL'!U271</f>
        <v>0</v>
      </c>
      <c r="F268" s="77">
        <f>'ERROR FINAL'!AG271</f>
        <v>0</v>
      </c>
      <c r="G268" s="77">
        <f>'ERROR FINAL'!AS271</f>
        <v>0</v>
      </c>
      <c r="H268" s="78" t="str">
        <f>IF('ERROR FINAL'!AT271="CONFORME","CONFORME","NO CONFORME")</f>
        <v>NO CONFORME</v>
      </c>
      <c r="I268" s="79" t="str">
        <f t="shared" si="4"/>
        <v>Medición</v>
      </c>
    </row>
    <row r="269" spans="1:9" x14ac:dyDescent="0.2">
      <c r="A269" s="72">
        <f>'ERROR FINAL'!A272</f>
        <v>0</v>
      </c>
      <c r="B269" s="73">
        <v>269</v>
      </c>
      <c r="C269" s="74">
        <f>'ERROR FINAL'!G272</f>
        <v>0</v>
      </c>
      <c r="D269" s="75">
        <f>'ERROR FINAL'!I272</f>
        <v>0</v>
      </c>
      <c r="E269" s="76">
        <f>'ERROR FINAL'!U272</f>
        <v>0</v>
      </c>
      <c r="F269" s="77">
        <f>'ERROR FINAL'!AG272</f>
        <v>0</v>
      </c>
      <c r="G269" s="77">
        <f>'ERROR FINAL'!AS272</f>
        <v>0</v>
      </c>
      <c r="H269" s="78" t="str">
        <f>IF('ERROR FINAL'!AT272="CONFORME","CONFORME","NO CONFORME")</f>
        <v>NO CONFORME</v>
      </c>
      <c r="I269" s="79" t="str">
        <f t="shared" si="4"/>
        <v>Medición</v>
      </c>
    </row>
    <row r="270" spans="1:9" x14ac:dyDescent="0.2">
      <c r="A270" s="72">
        <f>'ERROR FINAL'!A273</f>
        <v>0</v>
      </c>
      <c r="B270" s="73">
        <v>270</v>
      </c>
      <c r="C270" s="74">
        <f>'ERROR FINAL'!G273</f>
        <v>0</v>
      </c>
      <c r="D270" s="75">
        <f>'ERROR FINAL'!I273</f>
        <v>0</v>
      </c>
      <c r="E270" s="76">
        <f>'ERROR FINAL'!U273</f>
        <v>0</v>
      </c>
      <c r="F270" s="77">
        <f>'ERROR FINAL'!AG273</f>
        <v>0</v>
      </c>
      <c r="G270" s="77">
        <f>'ERROR FINAL'!AS273</f>
        <v>0</v>
      </c>
      <c r="H270" s="78" t="str">
        <f>IF('ERROR FINAL'!AT273="CONFORME","CONFORME","NO CONFORME")</f>
        <v>NO CONFORME</v>
      </c>
      <c r="I270" s="79" t="str">
        <f t="shared" si="4"/>
        <v>Medición</v>
      </c>
    </row>
    <row r="271" spans="1:9" x14ac:dyDescent="0.2">
      <c r="A271" s="72">
        <f>'ERROR FINAL'!A274</f>
        <v>0</v>
      </c>
      <c r="B271" s="73">
        <v>271</v>
      </c>
      <c r="C271" s="74">
        <f>'ERROR FINAL'!G274</f>
        <v>0</v>
      </c>
      <c r="D271" s="75">
        <f>'ERROR FINAL'!I274</f>
        <v>0</v>
      </c>
      <c r="E271" s="76">
        <f>'ERROR FINAL'!U274</f>
        <v>0</v>
      </c>
      <c r="F271" s="77">
        <f>'ERROR FINAL'!AG274</f>
        <v>0</v>
      </c>
      <c r="G271" s="77">
        <f>'ERROR FINAL'!AS274</f>
        <v>0</v>
      </c>
      <c r="H271" s="78" t="str">
        <f>IF('ERROR FINAL'!AT274="CONFORME","CONFORME","NO CONFORME")</f>
        <v>NO CONFORME</v>
      </c>
      <c r="I271" s="79" t="str">
        <f t="shared" si="4"/>
        <v>Medición</v>
      </c>
    </row>
    <row r="272" spans="1:9" x14ac:dyDescent="0.2">
      <c r="A272" s="72">
        <f>'ERROR FINAL'!A275</f>
        <v>0</v>
      </c>
      <c r="B272" s="73">
        <v>272</v>
      </c>
      <c r="C272" s="74">
        <f>'ERROR FINAL'!G275</f>
        <v>0</v>
      </c>
      <c r="D272" s="75">
        <f>'ERROR FINAL'!I275</f>
        <v>0</v>
      </c>
      <c r="E272" s="76">
        <f>'ERROR FINAL'!U275</f>
        <v>0</v>
      </c>
      <c r="F272" s="77">
        <f>'ERROR FINAL'!AG275</f>
        <v>0</v>
      </c>
      <c r="G272" s="77">
        <f>'ERROR FINAL'!AS275</f>
        <v>0</v>
      </c>
      <c r="H272" s="78" t="str">
        <f>IF('ERROR FINAL'!AT275="CONFORME","CONFORME","NO CONFORME")</f>
        <v>NO CONFORME</v>
      </c>
      <c r="I272" s="79" t="str">
        <f t="shared" si="4"/>
        <v>Medición</v>
      </c>
    </row>
    <row r="273" spans="1:9" x14ac:dyDescent="0.2">
      <c r="A273" s="72">
        <f>'ERROR FINAL'!A276</f>
        <v>0</v>
      </c>
      <c r="B273" s="73">
        <v>273</v>
      </c>
      <c r="C273" s="74">
        <f>'ERROR FINAL'!G276</f>
        <v>0</v>
      </c>
      <c r="D273" s="75">
        <f>'ERROR FINAL'!I276</f>
        <v>0</v>
      </c>
      <c r="E273" s="76">
        <f>'ERROR FINAL'!U276</f>
        <v>0</v>
      </c>
      <c r="F273" s="77">
        <f>'ERROR FINAL'!AG276</f>
        <v>0</v>
      </c>
      <c r="G273" s="77">
        <f>'ERROR FINAL'!AS276</f>
        <v>0</v>
      </c>
      <c r="H273" s="78" t="str">
        <f>IF('ERROR FINAL'!AT276="CONFORME","CONFORME","NO CONFORME")</f>
        <v>NO CONFORME</v>
      </c>
      <c r="I273" s="79" t="str">
        <f t="shared" si="4"/>
        <v>Medición</v>
      </c>
    </row>
    <row r="274" spans="1:9" x14ac:dyDescent="0.2">
      <c r="A274" s="72">
        <f>'ERROR FINAL'!A277</f>
        <v>0</v>
      </c>
      <c r="B274" s="73">
        <v>274</v>
      </c>
      <c r="C274" s="74">
        <f>'ERROR FINAL'!G277</f>
        <v>0</v>
      </c>
      <c r="D274" s="75">
        <f>'ERROR FINAL'!I277</f>
        <v>0</v>
      </c>
      <c r="E274" s="76">
        <f>'ERROR FINAL'!U277</f>
        <v>0</v>
      </c>
      <c r="F274" s="77">
        <f>'ERROR FINAL'!AG277</f>
        <v>0</v>
      </c>
      <c r="G274" s="77">
        <f>'ERROR FINAL'!AS277</f>
        <v>0</v>
      </c>
      <c r="H274" s="78" t="str">
        <f>IF('ERROR FINAL'!AT277="CONFORME","CONFORME","NO CONFORME")</f>
        <v>NO CONFORME</v>
      </c>
      <c r="I274" s="79" t="str">
        <f t="shared" si="4"/>
        <v>Medición</v>
      </c>
    </row>
    <row r="275" spans="1:9" x14ac:dyDescent="0.2">
      <c r="A275" s="72">
        <f>'ERROR FINAL'!A278</f>
        <v>0</v>
      </c>
      <c r="B275" s="73">
        <v>275</v>
      </c>
      <c r="C275" s="74">
        <f>'ERROR FINAL'!G278</f>
        <v>0</v>
      </c>
      <c r="D275" s="75">
        <f>'ERROR FINAL'!I278</f>
        <v>0</v>
      </c>
      <c r="E275" s="76">
        <f>'ERROR FINAL'!U278</f>
        <v>0</v>
      </c>
      <c r="F275" s="77">
        <f>'ERROR FINAL'!AG278</f>
        <v>0</v>
      </c>
      <c r="G275" s="77">
        <f>'ERROR FINAL'!AS278</f>
        <v>0</v>
      </c>
      <c r="H275" s="78" t="str">
        <f>IF('ERROR FINAL'!AT278="CONFORME","CONFORME","NO CONFORME")</f>
        <v>NO CONFORME</v>
      </c>
      <c r="I275" s="79" t="str">
        <f t="shared" si="4"/>
        <v>Medición</v>
      </c>
    </row>
    <row r="276" spans="1:9" x14ac:dyDescent="0.2">
      <c r="A276" s="72">
        <f>'ERROR FINAL'!A279</f>
        <v>0</v>
      </c>
      <c r="B276" s="73">
        <v>276</v>
      </c>
      <c r="C276" s="74">
        <f>'ERROR FINAL'!G279</f>
        <v>0</v>
      </c>
      <c r="D276" s="75">
        <f>'ERROR FINAL'!I279</f>
        <v>0</v>
      </c>
      <c r="E276" s="76">
        <f>'ERROR FINAL'!U279</f>
        <v>0</v>
      </c>
      <c r="F276" s="77">
        <f>'ERROR FINAL'!AG279</f>
        <v>0</v>
      </c>
      <c r="G276" s="77">
        <f>'ERROR FINAL'!AS279</f>
        <v>0</v>
      </c>
      <c r="H276" s="78" t="str">
        <f>IF('ERROR FINAL'!AT279="CONFORME","CONFORME","NO CONFORME")</f>
        <v>NO CONFORME</v>
      </c>
      <c r="I276" s="79" t="str">
        <f t="shared" si="4"/>
        <v>Medición</v>
      </c>
    </row>
    <row r="277" spans="1:9" x14ac:dyDescent="0.2">
      <c r="A277" s="72">
        <f>'ERROR FINAL'!A280</f>
        <v>0</v>
      </c>
      <c r="B277" s="73">
        <v>277</v>
      </c>
      <c r="C277" s="74">
        <f>'ERROR FINAL'!G280</f>
        <v>0</v>
      </c>
      <c r="D277" s="75">
        <f>'ERROR FINAL'!I280</f>
        <v>0</v>
      </c>
      <c r="E277" s="76">
        <f>'ERROR FINAL'!U280</f>
        <v>0</v>
      </c>
      <c r="F277" s="77">
        <f>'ERROR FINAL'!AG280</f>
        <v>0</v>
      </c>
      <c r="G277" s="77">
        <f>'ERROR FINAL'!AS280</f>
        <v>0</v>
      </c>
      <c r="H277" s="78" t="str">
        <f>IF('ERROR FINAL'!AT280="CONFORME","CONFORME","NO CONFORME")</f>
        <v>NO CONFORME</v>
      </c>
      <c r="I277" s="79" t="str">
        <f t="shared" si="4"/>
        <v>Medición</v>
      </c>
    </row>
    <row r="278" spans="1:9" x14ac:dyDescent="0.2">
      <c r="A278" s="72">
        <f>'ERROR FINAL'!A281</f>
        <v>0</v>
      </c>
      <c r="B278" s="73">
        <v>278</v>
      </c>
      <c r="C278" s="74">
        <f>'ERROR FINAL'!G281</f>
        <v>0</v>
      </c>
      <c r="D278" s="75">
        <f>'ERROR FINAL'!I281</f>
        <v>0</v>
      </c>
      <c r="E278" s="76">
        <f>'ERROR FINAL'!U281</f>
        <v>0</v>
      </c>
      <c r="F278" s="77">
        <f>'ERROR FINAL'!AG281</f>
        <v>0</v>
      </c>
      <c r="G278" s="77">
        <f>'ERROR FINAL'!AS281</f>
        <v>0</v>
      </c>
      <c r="H278" s="78" t="str">
        <f>IF('ERROR FINAL'!AT281="CONFORME","CONFORME","NO CONFORME")</f>
        <v>NO CONFORME</v>
      </c>
      <c r="I278" s="79" t="str">
        <f t="shared" si="4"/>
        <v>Medición</v>
      </c>
    </row>
    <row r="279" spans="1:9" x14ac:dyDescent="0.2">
      <c r="A279" s="72">
        <f>'ERROR FINAL'!A282</f>
        <v>0</v>
      </c>
      <c r="B279" s="73">
        <v>279</v>
      </c>
      <c r="C279" s="74">
        <f>'ERROR FINAL'!G282</f>
        <v>0</v>
      </c>
      <c r="D279" s="75">
        <f>'ERROR FINAL'!I282</f>
        <v>0</v>
      </c>
      <c r="E279" s="76">
        <f>'ERROR FINAL'!U282</f>
        <v>0</v>
      </c>
      <c r="F279" s="77">
        <f>'ERROR FINAL'!AG282</f>
        <v>0</v>
      </c>
      <c r="G279" s="77">
        <f>'ERROR FINAL'!AS282</f>
        <v>0</v>
      </c>
      <c r="H279" s="78" t="str">
        <f>IF('ERROR FINAL'!AT282="CONFORME","CONFORME","NO CONFORME")</f>
        <v>NO CONFORME</v>
      </c>
      <c r="I279" s="79" t="str">
        <f t="shared" si="4"/>
        <v>Medición</v>
      </c>
    </row>
    <row r="280" spans="1:9" x14ac:dyDescent="0.2">
      <c r="A280" s="72">
        <f>'ERROR FINAL'!A283</f>
        <v>0</v>
      </c>
      <c r="B280" s="73">
        <v>280</v>
      </c>
      <c r="C280" s="74">
        <f>'ERROR FINAL'!G283</f>
        <v>0</v>
      </c>
      <c r="D280" s="75">
        <f>'ERROR FINAL'!I283</f>
        <v>0</v>
      </c>
      <c r="E280" s="76">
        <f>'ERROR FINAL'!U283</f>
        <v>0</v>
      </c>
      <c r="F280" s="77">
        <f>'ERROR FINAL'!AG283</f>
        <v>0</v>
      </c>
      <c r="G280" s="77">
        <f>'ERROR FINAL'!AS283</f>
        <v>0</v>
      </c>
      <c r="H280" s="78" t="str">
        <f>IF('ERROR FINAL'!AT283="CONFORME","CONFORME","NO CONFORME")</f>
        <v>NO CONFORME</v>
      </c>
      <c r="I280" s="79" t="str">
        <f t="shared" si="4"/>
        <v>Medición</v>
      </c>
    </row>
    <row r="281" spans="1:9" x14ac:dyDescent="0.2">
      <c r="A281" s="72">
        <f>'ERROR FINAL'!A284</f>
        <v>0</v>
      </c>
      <c r="B281" s="73">
        <v>281</v>
      </c>
      <c r="C281" s="74">
        <f>'ERROR FINAL'!G284</f>
        <v>0</v>
      </c>
      <c r="D281" s="75">
        <f>'ERROR FINAL'!I284</f>
        <v>0</v>
      </c>
      <c r="E281" s="76">
        <f>'ERROR FINAL'!U284</f>
        <v>0</v>
      </c>
      <c r="F281" s="77">
        <f>'ERROR FINAL'!AG284</f>
        <v>0</v>
      </c>
      <c r="G281" s="77">
        <f>'ERROR FINAL'!AS284</f>
        <v>0</v>
      </c>
      <c r="H281" s="78" t="str">
        <f>IF('ERROR FINAL'!AT284="CONFORME","CONFORME","NO CONFORME")</f>
        <v>NO CONFORME</v>
      </c>
      <c r="I281" s="79" t="str">
        <f t="shared" si="4"/>
        <v>Medición</v>
      </c>
    </row>
    <row r="282" spans="1:9" x14ac:dyDescent="0.2">
      <c r="A282" s="72">
        <f>'ERROR FINAL'!A285</f>
        <v>0</v>
      </c>
      <c r="B282" s="73">
        <v>282</v>
      </c>
      <c r="C282" s="74">
        <f>'ERROR FINAL'!G285</f>
        <v>0</v>
      </c>
      <c r="D282" s="75">
        <f>'ERROR FINAL'!I285</f>
        <v>0</v>
      </c>
      <c r="E282" s="76">
        <f>'ERROR FINAL'!U285</f>
        <v>0</v>
      </c>
      <c r="F282" s="77">
        <f>'ERROR FINAL'!AG285</f>
        <v>0</v>
      </c>
      <c r="G282" s="77">
        <f>'ERROR FINAL'!AS285</f>
        <v>0</v>
      </c>
      <c r="H282" s="78" t="str">
        <f>IF('ERROR FINAL'!AT285="CONFORME","CONFORME","NO CONFORME")</f>
        <v>NO CONFORME</v>
      </c>
      <c r="I282" s="79" t="str">
        <f t="shared" si="4"/>
        <v>Medición</v>
      </c>
    </row>
    <row r="283" spans="1:9" x14ac:dyDescent="0.2">
      <c r="A283" s="72">
        <f>'ERROR FINAL'!A286</f>
        <v>0</v>
      </c>
      <c r="B283" s="73">
        <v>283</v>
      </c>
      <c r="C283" s="74">
        <f>'ERROR FINAL'!G286</f>
        <v>0</v>
      </c>
      <c r="D283" s="75">
        <f>'ERROR FINAL'!I286</f>
        <v>0</v>
      </c>
      <c r="E283" s="76">
        <f>'ERROR FINAL'!U286</f>
        <v>0</v>
      </c>
      <c r="F283" s="77">
        <f>'ERROR FINAL'!AG286</f>
        <v>0</v>
      </c>
      <c r="G283" s="77">
        <f>'ERROR FINAL'!AS286</f>
        <v>0</v>
      </c>
      <c r="H283" s="78" t="str">
        <f>IF('ERROR FINAL'!AT286="CONFORME","CONFORME","NO CONFORME")</f>
        <v>NO CONFORME</v>
      </c>
      <c r="I283" s="79" t="str">
        <f t="shared" si="4"/>
        <v>Medición</v>
      </c>
    </row>
    <row r="284" spans="1:9" x14ac:dyDescent="0.2">
      <c r="A284" s="72">
        <f>'ERROR FINAL'!A287</f>
        <v>0</v>
      </c>
      <c r="B284" s="73">
        <v>284</v>
      </c>
      <c r="C284" s="74">
        <f>'ERROR FINAL'!G287</f>
        <v>0</v>
      </c>
      <c r="D284" s="75">
        <f>'ERROR FINAL'!I287</f>
        <v>0</v>
      </c>
      <c r="E284" s="76">
        <f>'ERROR FINAL'!U287</f>
        <v>0</v>
      </c>
      <c r="F284" s="77">
        <f>'ERROR FINAL'!AG287</f>
        <v>0</v>
      </c>
      <c r="G284" s="77">
        <f>'ERROR FINAL'!AS287</f>
        <v>0</v>
      </c>
      <c r="H284" s="78" t="str">
        <f>IF('ERROR FINAL'!AT287="CONFORME","CONFORME","NO CONFORME")</f>
        <v>NO CONFORME</v>
      </c>
      <c r="I284" s="79" t="str">
        <f t="shared" si="4"/>
        <v>Medición</v>
      </c>
    </row>
    <row r="285" spans="1:9" x14ac:dyDescent="0.2">
      <c r="A285" s="72">
        <f>'ERROR FINAL'!A288</f>
        <v>0</v>
      </c>
      <c r="B285" s="73">
        <v>285</v>
      </c>
      <c r="C285" s="74">
        <f>'ERROR FINAL'!G288</f>
        <v>0</v>
      </c>
      <c r="D285" s="75">
        <f>'ERROR FINAL'!I288</f>
        <v>0</v>
      </c>
      <c r="E285" s="76">
        <f>'ERROR FINAL'!U288</f>
        <v>0</v>
      </c>
      <c r="F285" s="77">
        <f>'ERROR FINAL'!AG288</f>
        <v>0</v>
      </c>
      <c r="G285" s="77">
        <f>'ERROR FINAL'!AS288</f>
        <v>0</v>
      </c>
      <c r="H285" s="78" t="str">
        <f>IF('ERROR FINAL'!AT288="CONFORME","CONFORME","NO CONFORME")</f>
        <v>NO CONFORME</v>
      </c>
      <c r="I285" s="79" t="str">
        <f t="shared" si="4"/>
        <v>Medición</v>
      </c>
    </row>
    <row r="286" spans="1:9" x14ac:dyDescent="0.2">
      <c r="A286" s="72">
        <f>'ERROR FINAL'!A289</f>
        <v>0</v>
      </c>
      <c r="B286" s="73">
        <v>286</v>
      </c>
      <c r="C286" s="74">
        <f>'ERROR FINAL'!G289</f>
        <v>0</v>
      </c>
      <c r="D286" s="75">
        <f>'ERROR FINAL'!I289</f>
        <v>0</v>
      </c>
      <c r="E286" s="76">
        <f>'ERROR FINAL'!U289</f>
        <v>0</v>
      </c>
      <c r="F286" s="77">
        <f>'ERROR FINAL'!AG289</f>
        <v>0</v>
      </c>
      <c r="G286" s="77">
        <f>'ERROR FINAL'!AS289</f>
        <v>0</v>
      </c>
      <c r="H286" s="78" t="str">
        <f>IF('ERROR FINAL'!AT289="CONFORME","CONFORME","NO CONFORME")</f>
        <v>NO CONFORME</v>
      </c>
      <c r="I286" s="79" t="str">
        <f t="shared" si="4"/>
        <v>Medición</v>
      </c>
    </row>
    <row r="287" spans="1:9" x14ac:dyDescent="0.2">
      <c r="A287" s="72">
        <f>'ERROR FINAL'!A290</f>
        <v>0</v>
      </c>
      <c r="B287" s="73">
        <v>287</v>
      </c>
      <c r="C287" s="74">
        <f>'ERROR FINAL'!G290</f>
        <v>0</v>
      </c>
      <c r="D287" s="75">
        <f>'ERROR FINAL'!I290</f>
        <v>0</v>
      </c>
      <c r="E287" s="76">
        <f>'ERROR FINAL'!U290</f>
        <v>0</v>
      </c>
      <c r="F287" s="77">
        <f>'ERROR FINAL'!AG290</f>
        <v>0</v>
      </c>
      <c r="G287" s="77">
        <f>'ERROR FINAL'!AS290</f>
        <v>0</v>
      </c>
      <c r="H287" s="78" t="str">
        <f>IF('ERROR FINAL'!AT290="CONFORME","CONFORME","NO CONFORME")</f>
        <v>NO CONFORME</v>
      </c>
      <c r="I287" s="79" t="str">
        <f t="shared" si="4"/>
        <v>Medición</v>
      </c>
    </row>
    <row r="288" spans="1:9" x14ac:dyDescent="0.2">
      <c r="A288" s="72">
        <f>'ERROR FINAL'!A291</f>
        <v>0</v>
      </c>
      <c r="B288" s="73">
        <v>288</v>
      </c>
      <c r="C288" s="74">
        <f>'ERROR FINAL'!G291</f>
        <v>0</v>
      </c>
      <c r="D288" s="75">
        <f>'ERROR FINAL'!I291</f>
        <v>0</v>
      </c>
      <c r="E288" s="76">
        <f>'ERROR FINAL'!U291</f>
        <v>0</v>
      </c>
      <c r="F288" s="77">
        <f>'ERROR FINAL'!AG291</f>
        <v>0</v>
      </c>
      <c r="G288" s="77">
        <f>'ERROR FINAL'!AS291</f>
        <v>0</v>
      </c>
      <c r="H288" s="78" t="str">
        <f>IF('ERROR FINAL'!AT291="CONFORME","CONFORME","NO CONFORME")</f>
        <v>NO CONFORME</v>
      </c>
      <c r="I288" s="79" t="str">
        <f t="shared" si="4"/>
        <v>Medición</v>
      </c>
    </row>
    <row r="289" spans="1:9" x14ac:dyDescent="0.2">
      <c r="A289" s="72">
        <f>'ERROR FINAL'!A292</f>
        <v>0</v>
      </c>
      <c r="B289" s="73">
        <v>289</v>
      </c>
      <c r="C289" s="74">
        <f>'ERROR FINAL'!G292</f>
        <v>0</v>
      </c>
      <c r="D289" s="75">
        <f>'ERROR FINAL'!I292</f>
        <v>0</v>
      </c>
      <c r="E289" s="76">
        <f>'ERROR FINAL'!U292</f>
        <v>0</v>
      </c>
      <c r="F289" s="77">
        <f>'ERROR FINAL'!AG292</f>
        <v>0</v>
      </c>
      <c r="G289" s="77">
        <f>'ERROR FINAL'!AS292</f>
        <v>0</v>
      </c>
      <c r="H289" s="78" t="str">
        <f>IF('ERROR FINAL'!AT292="CONFORME","CONFORME","NO CONFORME")</f>
        <v>NO CONFORME</v>
      </c>
      <c r="I289" s="79" t="str">
        <f t="shared" si="4"/>
        <v>Medición</v>
      </c>
    </row>
    <row r="290" spans="1:9" x14ac:dyDescent="0.2">
      <c r="A290" s="72">
        <f>'ERROR FINAL'!A293</f>
        <v>0</v>
      </c>
      <c r="B290" s="73">
        <v>290</v>
      </c>
      <c r="C290" s="74">
        <f>'ERROR FINAL'!G293</f>
        <v>0</v>
      </c>
      <c r="D290" s="75">
        <f>'ERROR FINAL'!I293</f>
        <v>0</v>
      </c>
      <c r="E290" s="76">
        <f>'ERROR FINAL'!U293</f>
        <v>0</v>
      </c>
      <c r="F290" s="77">
        <f>'ERROR FINAL'!AG293</f>
        <v>0</v>
      </c>
      <c r="G290" s="77">
        <f>'ERROR FINAL'!AS293</f>
        <v>0</v>
      </c>
      <c r="H290" s="78" t="str">
        <f>IF('ERROR FINAL'!AT293="CONFORME","CONFORME","NO CONFORME")</f>
        <v>NO CONFORME</v>
      </c>
      <c r="I290" s="79" t="str">
        <f t="shared" si="4"/>
        <v>Medición</v>
      </c>
    </row>
    <row r="291" spans="1:9" x14ac:dyDescent="0.2">
      <c r="A291" s="72">
        <f>'ERROR FINAL'!A294</f>
        <v>0</v>
      </c>
      <c r="B291" s="73">
        <v>291</v>
      </c>
      <c r="C291" s="74">
        <f>'ERROR FINAL'!G294</f>
        <v>0</v>
      </c>
      <c r="D291" s="75">
        <f>'ERROR FINAL'!I294</f>
        <v>0</v>
      </c>
      <c r="E291" s="76">
        <f>'ERROR FINAL'!U294</f>
        <v>0</v>
      </c>
      <c r="F291" s="77">
        <f>'ERROR FINAL'!AG294</f>
        <v>0</v>
      </c>
      <c r="G291" s="77">
        <f>'ERROR FINAL'!AS294</f>
        <v>0</v>
      </c>
      <c r="H291" s="78" t="str">
        <f>IF('ERROR FINAL'!AT294="CONFORME","CONFORME","NO CONFORME")</f>
        <v>NO CONFORME</v>
      </c>
      <c r="I291" s="79" t="str">
        <f t="shared" si="4"/>
        <v>Medición</v>
      </c>
    </row>
    <row r="292" spans="1:9" x14ac:dyDescent="0.2">
      <c r="A292" s="72">
        <f>'ERROR FINAL'!A295</f>
        <v>0</v>
      </c>
      <c r="B292" s="73">
        <v>292</v>
      </c>
      <c r="C292" s="74">
        <f>'ERROR FINAL'!G295</f>
        <v>0</v>
      </c>
      <c r="D292" s="75">
        <f>'ERROR FINAL'!I295</f>
        <v>0</v>
      </c>
      <c r="E292" s="76">
        <f>'ERROR FINAL'!U295</f>
        <v>0</v>
      </c>
      <c r="F292" s="77">
        <f>'ERROR FINAL'!AG295</f>
        <v>0</v>
      </c>
      <c r="G292" s="77">
        <f>'ERROR FINAL'!AS295</f>
        <v>0</v>
      </c>
      <c r="H292" s="78" t="str">
        <f>IF('ERROR FINAL'!AT295="CONFORME","CONFORME","NO CONFORME")</f>
        <v>NO CONFORME</v>
      </c>
      <c r="I292" s="79" t="str">
        <f t="shared" si="4"/>
        <v>Medición</v>
      </c>
    </row>
    <row r="293" spans="1:9" x14ac:dyDescent="0.2">
      <c r="A293" s="72">
        <f>'ERROR FINAL'!A296</f>
        <v>0</v>
      </c>
      <c r="B293" s="73">
        <v>293</v>
      </c>
      <c r="C293" s="74">
        <f>'ERROR FINAL'!G296</f>
        <v>0</v>
      </c>
      <c r="D293" s="75">
        <f>'ERROR FINAL'!I296</f>
        <v>0</v>
      </c>
      <c r="E293" s="76">
        <f>'ERROR FINAL'!U296</f>
        <v>0</v>
      </c>
      <c r="F293" s="77">
        <f>'ERROR FINAL'!AG296</f>
        <v>0</v>
      </c>
      <c r="G293" s="77">
        <f>'ERROR FINAL'!AS296</f>
        <v>0</v>
      </c>
      <c r="H293" s="78" t="str">
        <f>IF('ERROR FINAL'!AT296="CONFORME","CONFORME","NO CONFORME")</f>
        <v>NO CONFORME</v>
      </c>
      <c r="I293" s="79" t="str">
        <f t="shared" si="4"/>
        <v>Medición</v>
      </c>
    </row>
    <row r="294" spans="1:9" x14ac:dyDescent="0.2">
      <c r="A294" s="72">
        <f>'ERROR FINAL'!A297</f>
        <v>0</v>
      </c>
      <c r="B294" s="73">
        <v>294</v>
      </c>
      <c r="C294" s="74">
        <f>'ERROR FINAL'!G297</f>
        <v>0</v>
      </c>
      <c r="D294" s="75">
        <f>'ERROR FINAL'!I297</f>
        <v>0</v>
      </c>
      <c r="E294" s="76">
        <f>'ERROR FINAL'!U297</f>
        <v>0</v>
      </c>
      <c r="F294" s="77">
        <f>'ERROR FINAL'!AG297</f>
        <v>0</v>
      </c>
      <c r="G294" s="77">
        <f>'ERROR FINAL'!AS297</f>
        <v>0</v>
      </c>
      <c r="H294" s="78" t="str">
        <f>IF('ERROR FINAL'!AT297="CONFORME","CONFORME","NO CONFORME")</f>
        <v>NO CONFORME</v>
      </c>
      <c r="I294" s="79" t="str">
        <f t="shared" si="4"/>
        <v>Medición</v>
      </c>
    </row>
    <row r="295" spans="1:9" x14ac:dyDescent="0.2">
      <c r="A295" s="72">
        <f>'ERROR FINAL'!A298</f>
        <v>0</v>
      </c>
      <c r="B295" s="73">
        <v>295</v>
      </c>
      <c r="C295" s="74">
        <f>'ERROR FINAL'!G298</f>
        <v>0</v>
      </c>
      <c r="D295" s="75">
        <f>'ERROR FINAL'!I298</f>
        <v>0</v>
      </c>
      <c r="E295" s="76">
        <f>'ERROR FINAL'!U298</f>
        <v>0</v>
      </c>
      <c r="F295" s="77">
        <f>'ERROR FINAL'!AG298</f>
        <v>0</v>
      </c>
      <c r="G295" s="77">
        <f>'ERROR FINAL'!AS298</f>
        <v>0</v>
      </c>
      <c r="H295" s="78" t="str">
        <f>IF('ERROR FINAL'!AT298="CONFORME","CONFORME","NO CONFORME")</f>
        <v>NO CONFORME</v>
      </c>
      <c r="I295" s="79" t="str">
        <f t="shared" si="4"/>
        <v>Medición</v>
      </c>
    </row>
    <row r="296" spans="1:9" x14ac:dyDescent="0.2">
      <c r="A296" s="72">
        <f>'ERROR FINAL'!A299</f>
        <v>0</v>
      </c>
      <c r="B296" s="73">
        <v>296</v>
      </c>
      <c r="C296" s="74">
        <f>'ERROR FINAL'!G299</f>
        <v>0</v>
      </c>
      <c r="D296" s="75">
        <f>'ERROR FINAL'!I299</f>
        <v>0</v>
      </c>
      <c r="E296" s="76">
        <f>'ERROR FINAL'!U299</f>
        <v>0</v>
      </c>
      <c r="F296" s="77">
        <f>'ERROR FINAL'!AG299</f>
        <v>0</v>
      </c>
      <c r="G296" s="77">
        <f>'ERROR FINAL'!AS299</f>
        <v>0</v>
      </c>
      <c r="H296" s="78" t="str">
        <f>IF('ERROR FINAL'!AT299="CONFORME","CONFORME","NO CONFORME")</f>
        <v>NO CONFORME</v>
      </c>
      <c r="I296" s="79" t="str">
        <f t="shared" si="4"/>
        <v>Medición</v>
      </c>
    </row>
    <row r="297" spans="1:9" x14ac:dyDescent="0.2">
      <c r="A297" s="72">
        <f>'ERROR FINAL'!A300</f>
        <v>0</v>
      </c>
      <c r="B297" s="73">
        <v>297</v>
      </c>
      <c r="C297" s="74">
        <f>'ERROR FINAL'!G300</f>
        <v>0</v>
      </c>
      <c r="D297" s="75">
        <f>'ERROR FINAL'!I300</f>
        <v>0</v>
      </c>
      <c r="E297" s="76">
        <f>'ERROR FINAL'!U300</f>
        <v>0</v>
      </c>
      <c r="F297" s="77">
        <f>'ERROR FINAL'!AG300</f>
        <v>0</v>
      </c>
      <c r="G297" s="77">
        <f>'ERROR FINAL'!AS300</f>
        <v>0</v>
      </c>
      <c r="H297" s="78" t="str">
        <f>IF('ERROR FINAL'!AT300="CONFORME","CONFORME","NO CONFORME")</f>
        <v>NO CONFORME</v>
      </c>
      <c r="I297" s="79" t="str">
        <f t="shared" si="4"/>
        <v>Medición</v>
      </c>
    </row>
    <row r="298" spans="1:9" x14ac:dyDescent="0.2">
      <c r="A298" s="72">
        <f>'ERROR FINAL'!A301</f>
        <v>0</v>
      </c>
      <c r="B298" s="73">
        <v>298</v>
      </c>
      <c r="C298" s="74">
        <f>'ERROR FINAL'!G301</f>
        <v>0</v>
      </c>
      <c r="D298" s="75">
        <f>'ERROR FINAL'!I301</f>
        <v>0</v>
      </c>
      <c r="E298" s="76">
        <f>'ERROR FINAL'!U301</f>
        <v>0</v>
      </c>
      <c r="F298" s="77">
        <f>'ERROR FINAL'!AG301</f>
        <v>0</v>
      </c>
      <c r="G298" s="77">
        <f>'ERROR FINAL'!AS301</f>
        <v>0</v>
      </c>
      <c r="H298" s="78" t="str">
        <f>IF('ERROR FINAL'!AT301="CONFORME","CONFORME","NO CONFORME")</f>
        <v>NO CONFORME</v>
      </c>
      <c r="I298" s="79" t="str">
        <f t="shared" si="4"/>
        <v>Medición</v>
      </c>
    </row>
    <row r="299" spans="1:9" x14ac:dyDescent="0.2">
      <c r="A299" s="72">
        <f>'ERROR FINAL'!A302</f>
        <v>0</v>
      </c>
      <c r="B299" s="73">
        <v>299</v>
      </c>
      <c r="C299" s="74">
        <f>'ERROR FINAL'!G302</f>
        <v>0</v>
      </c>
      <c r="D299" s="75">
        <f>'ERROR FINAL'!I302</f>
        <v>0</v>
      </c>
      <c r="E299" s="76">
        <f>'ERROR FINAL'!U302</f>
        <v>0</v>
      </c>
      <c r="F299" s="77">
        <f>'ERROR FINAL'!AG302</f>
        <v>0</v>
      </c>
      <c r="G299" s="77">
        <f>'ERROR FINAL'!AS302</f>
        <v>0</v>
      </c>
      <c r="H299" s="78" t="str">
        <f>IF('ERROR FINAL'!AT302="CONFORME","CONFORME","NO CONFORME")</f>
        <v>NO CONFORME</v>
      </c>
      <c r="I299" s="79" t="str">
        <f t="shared" si="4"/>
        <v>Medición</v>
      </c>
    </row>
    <row r="300" spans="1:9" x14ac:dyDescent="0.2">
      <c r="A300" s="72">
        <f>'ERROR FINAL'!A303</f>
        <v>0</v>
      </c>
      <c r="B300" s="73">
        <v>300</v>
      </c>
      <c r="C300" s="74">
        <f>'ERROR FINAL'!G303</f>
        <v>0</v>
      </c>
      <c r="D300" s="75">
        <f>'ERROR FINAL'!I303</f>
        <v>0</v>
      </c>
      <c r="E300" s="76">
        <f>'ERROR FINAL'!U303</f>
        <v>0</v>
      </c>
      <c r="F300" s="77">
        <f>'ERROR FINAL'!AG303</f>
        <v>0</v>
      </c>
      <c r="G300" s="77">
        <f>'ERROR FINAL'!AS303</f>
        <v>0</v>
      </c>
      <c r="H300" s="78" t="str">
        <f>IF('ERROR FINAL'!AT303="CONFORME","CONFORME","NO CONFORME")</f>
        <v>NO CONFORME</v>
      </c>
      <c r="I300" s="79" t="str">
        <f t="shared" si="4"/>
        <v>Medición</v>
      </c>
    </row>
    <row r="301" spans="1:9" x14ac:dyDescent="0.2">
      <c r="A301" s="72">
        <f>'ERROR FINAL'!A304</f>
        <v>0</v>
      </c>
      <c r="B301" s="73">
        <v>301</v>
      </c>
      <c r="C301" s="74">
        <f>'ERROR FINAL'!G304</f>
        <v>0</v>
      </c>
      <c r="D301" s="75">
        <f>'ERROR FINAL'!I304</f>
        <v>0</v>
      </c>
      <c r="E301" s="76">
        <f>'ERROR FINAL'!U304</f>
        <v>0</v>
      </c>
      <c r="F301" s="77">
        <f>'ERROR FINAL'!AG304</f>
        <v>0</v>
      </c>
      <c r="G301" s="77">
        <f>'ERROR FINAL'!AS304</f>
        <v>0</v>
      </c>
      <c r="H301" s="78" t="str">
        <f>IF('ERROR FINAL'!AT304="CONFORME","CONFORME","NO CONFORME")</f>
        <v>NO CONFORME</v>
      </c>
      <c r="I301" s="79" t="str">
        <f t="shared" si="4"/>
        <v>Medición</v>
      </c>
    </row>
    <row r="302" spans="1:9" x14ac:dyDescent="0.2">
      <c r="A302" s="72">
        <f>'ERROR FINAL'!A305</f>
        <v>0</v>
      </c>
      <c r="B302" s="73">
        <v>302</v>
      </c>
      <c r="C302" s="74">
        <f>'ERROR FINAL'!G305</f>
        <v>0</v>
      </c>
      <c r="D302" s="75">
        <f>'ERROR FINAL'!I305</f>
        <v>0</v>
      </c>
      <c r="E302" s="76">
        <f>'ERROR FINAL'!U305</f>
        <v>0</v>
      </c>
      <c r="F302" s="77">
        <f>'ERROR FINAL'!AG305</f>
        <v>0</v>
      </c>
      <c r="G302" s="77">
        <f>'ERROR FINAL'!AS305</f>
        <v>0</v>
      </c>
      <c r="H302" s="78" t="str">
        <f>IF('ERROR FINAL'!AT305="CONFORME","CONFORME","NO CONFORME")</f>
        <v>NO CONFORME</v>
      </c>
      <c r="I302" s="79" t="str">
        <f t="shared" si="4"/>
        <v>Medición</v>
      </c>
    </row>
    <row r="303" spans="1:9" x14ac:dyDescent="0.2">
      <c r="A303" s="72">
        <f>'ERROR FINAL'!A306</f>
        <v>0</v>
      </c>
      <c r="B303" s="73">
        <v>303</v>
      </c>
      <c r="C303" s="74">
        <f>'ERROR FINAL'!G306</f>
        <v>0</v>
      </c>
      <c r="D303" s="75">
        <f>'ERROR FINAL'!I306</f>
        <v>0</v>
      </c>
      <c r="E303" s="76">
        <f>'ERROR FINAL'!U306</f>
        <v>0</v>
      </c>
      <c r="F303" s="77">
        <f>'ERROR FINAL'!AG306</f>
        <v>0</v>
      </c>
      <c r="G303" s="77">
        <f>'ERROR FINAL'!AS306</f>
        <v>0</v>
      </c>
      <c r="H303" s="78" t="str">
        <f>IF('ERROR FINAL'!AT306="CONFORME","CONFORME","NO CONFORME")</f>
        <v>NO CONFORME</v>
      </c>
      <c r="I303" s="79" t="str">
        <f t="shared" si="4"/>
        <v>Medición</v>
      </c>
    </row>
    <row r="304" spans="1:9" x14ac:dyDescent="0.2">
      <c r="A304" s="72">
        <f>'ERROR FINAL'!A307</f>
        <v>0</v>
      </c>
      <c r="B304" s="73">
        <v>304</v>
      </c>
      <c r="C304" s="74">
        <f>'ERROR FINAL'!G307</f>
        <v>0</v>
      </c>
      <c r="D304" s="75">
        <f>'ERROR FINAL'!I307</f>
        <v>0</v>
      </c>
      <c r="E304" s="76">
        <f>'ERROR FINAL'!U307</f>
        <v>0</v>
      </c>
      <c r="F304" s="77">
        <f>'ERROR FINAL'!AG307</f>
        <v>0</v>
      </c>
      <c r="G304" s="77">
        <f>'ERROR FINAL'!AS307</f>
        <v>0</v>
      </c>
      <c r="H304" s="78" t="str">
        <f>IF('ERROR FINAL'!AT307="CONFORME","CONFORME","NO CONFORME")</f>
        <v>NO CONFORME</v>
      </c>
      <c r="I304" s="79" t="str">
        <f t="shared" si="4"/>
        <v>Medición</v>
      </c>
    </row>
    <row r="305" spans="1:9" x14ac:dyDescent="0.2">
      <c r="A305" s="72">
        <f>'ERROR FINAL'!A308</f>
        <v>0</v>
      </c>
      <c r="B305" s="73">
        <v>305</v>
      </c>
      <c r="C305" s="74">
        <f>'ERROR FINAL'!G308</f>
        <v>0</v>
      </c>
      <c r="D305" s="75">
        <f>'ERROR FINAL'!I308</f>
        <v>0</v>
      </c>
      <c r="E305" s="76">
        <f>'ERROR FINAL'!U308</f>
        <v>0</v>
      </c>
      <c r="F305" s="77">
        <f>'ERROR FINAL'!AG308</f>
        <v>0</v>
      </c>
      <c r="G305" s="77">
        <f>'ERROR FINAL'!AS308</f>
        <v>0</v>
      </c>
      <c r="H305" s="78" t="str">
        <f>IF('ERROR FINAL'!AT308="CONFORME","CONFORME","NO CONFORME")</f>
        <v>NO CONFORME</v>
      </c>
      <c r="I305" s="79" t="str">
        <f t="shared" si="4"/>
        <v>Medición</v>
      </c>
    </row>
    <row r="306" spans="1:9" x14ac:dyDescent="0.2">
      <c r="A306" s="72">
        <f>'ERROR FINAL'!A309</f>
        <v>0</v>
      </c>
      <c r="B306" s="73">
        <v>306</v>
      </c>
      <c r="C306" s="74">
        <f>'ERROR FINAL'!G309</f>
        <v>0</v>
      </c>
      <c r="D306" s="75">
        <f>'ERROR FINAL'!I309</f>
        <v>0</v>
      </c>
      <c r="E306" s="76">
        <f>'ERROR FINAL'!U309</f>
        <v>0</v>
      </c>
      <c r="F306" s="77">
        <f>'ERROR FINAL'!AG309</f>
        <v>0</v>
      </c>
      <c r="G306" s="77">
        <f>'ERROR FINAL'!AS309</f>
        <v>0</v>
      </c>
      <c r="H306" s="78" t="str">
        <f>IF('ERROR FINAL'!AT309="CONFORME","CONFORME","NO CONFORME")</f>
        <v>NO CONFORME</v>
      </c>
      <c r="I306" s="79" t="str">
        <f t="shared" si="4"/>
        <v>Medición</v>
      </c>
    </row>
    <row r="307" spans="1:9" x14ac:dyDescent="0.2">
      <c r="A307" s="72">
        <f>'ERROR FINAL'!A310</f>
        <v>0</v>
      </c>
      <c r="B307" s="73">
        <v>307</v>
      </c>
      <c r="C307" s="74">
        <f>'ERROR FINAL'!G310</f>
        <v>0</v>
      </c>
      <c r="D307" s="75">
        <f>'ERROR FINAL'!I310</f>
        <v>0</v>
      </c>
      <c r="E307" s="76">
        <f>'ERROR FINAL'!U310</f>
        <v>0</v>
      </c>
      <c r="F307" s="77">
        <f>'ERROR FINAL'!AG310</f>
        <v>0</v>
      </c>
      <c r="G307" s="77">
        <f>'ERROR FINAL'!AS310</f>
        <v>0</v>
      </c>
      <c r="H307" s="78" t="str">
        <f>IF('ERROR FINAL'!AT310="CONFORME","CONFORME","NO CONFORME")</f>
        <v>NO CONFORME</v>
      </c>
      <c r="I307" s="79" t="str">
        <f t="shared" si="4"/>
        <v>Medición</v>
      </c>
    </row>
    <row r="308" spans="1:9" x14ac:dyDescent="0.2">
      <c r="A308" s="72">
        <f>'ERROR FINAL'!A311</f>
        <v>0</v>
      </c>
      <c r="B308" s="73">
        <v>308</v>
      </c>
      <c r="C308" s="74">
        <f>'ERROR FINAL'!G311</f>
        <v>0</v>
      </c>
      <c r="D308" s="75">
        <f>'ERROR FINAL'!I311</f>
        <v>0</v>
      </c>
      <c r="E308" s="76">
        <f>'ERROR FINAL'!U311</f>
        <v>0</v>
      </c>
      <c r="F308" s="77">
        <f>'ERROR FINAL'!AG311</f>
        <v>0</v>
      </c>
      <c r="G308" s="77">
        <f>'ERROR FINAL'!AS311</f>
        <v>0</v>
      </c>
      <c r="H308" s="78" t="str">
        <f>IF('ERROR FINAL'!AT311="CONFORME","CONFORME","NO CONFORME")</f>
        <v>NO CONFORME</v>
      </c>
      <c r="I308" s="79" t="str">
        <f t="shared" si="4"/>
        <v>Medición</v>
      </c>
    </row>
    <row r="309" spans="1:9" x14ac:dyDescent="0.2">
      <c r="A309" s="72">
        <f>'ERROR FINAL'!A312</f>
        <v>0</v>
      </c>
      <c r="B309" s="73">
        <v>309</v>
      </c>
      <c r="C309" s="74">
        <f>'ERROR FINAL'!G312</f>
        <v>0</v>
      </c>
      <c r="D309" s="75">
        <f>'ERROR FINAL'!I312</f>
        <v>0</v>
      </c>
      <c r="E309" s="76">
        <f>'ERROR FINAL'!U312</f>
        <v>0</v>
      </c>
      <c r="F309" s="77">
        <f>'ERROR FINAL'!AG312</f>
        <v>0</v>
      </c>
      <c r="G309" s="77">
        <f>'ERROR FINAL'!AS312</f>
        <v>0</v>
      </c>
      <c r="H309" s="78" t="str">
        <f>IF('ERROR FINAL'!AT312="CONFORME","CONFORME","NO CONFORME")</f>
        <v>NO CONFORME</v>
      </c>
      <c r="I309" s="79" t="str">
        <f t="shared" si="4"/>
        <v>Medición</v>
      </c>
    </row>
    <row r="310" spans="1:9" x14ac:dyDescent="0.2">
      <c r="A310" s="72">
        <f>'ERROR FINAL'!A313</f>
        <v>0</v>
      </c>
      <c r="B310" s="73">
        <v>310</v>
      </c>
      <c r="C310" s="74">
        <f>'ERROR FINAL'!G313</f>
        <v>0</v>
      </c>
      <c r="D310" s="75">
        <f>'ERROR FINAL'!I313</f>
        <v>0</v>
      </c>
      <c r="E310" s="76">
        <f>'ERROR FINAL'!U313</f>
        <v>0</v>
      </c>
      <c r="F310" s="77">
        <f>'ERROR FINAL'!AG313</f>
        <v>0</v>
      </c>
      <c r="G310" s="77">
        <f>'ERROR FINAL'!AS313</f>
        <v>0</v>
      </c>
      <c r="H310" s="78" t="str">
        <f>IF('ERROR FINAL'!AT313="CONFORME","CONFORME","NO CONFORME")</f>
        <v>NO CONFORME</v>
      </c>
      <c r="I310" s="79" t="str">
        <f t="shared" si="4"/>
        <v>Medición</v>
      </c>
    </row>
    <row r="311" spans="1:9" x14ac:dyDescent="0.2">
      <c r="A311" s="72">
        <f>'ERROR FINAL'!A314</f>
        <v>0</v>
      </c>
      <c r="B311" s="73">
        <v>311</v>
      </c>
      <c r="C311" s="74">
        <f>'ERROR FINAL'!G314</f>
        <v>0</v>
      </c>
      <c r="D311" s="75">
        <f>'ERROR FINAL'!I314</f>
        <v>0</v>
      </c>
      <c r="E311" s="76">
        <f>'ERROR FINAL'!U314</f>
        <v>0</v>
      </c>
      <c r="F311" s="77">
        <f>'ERROR FINAL'!AG314</f>
        <v>0</v>
      </c>
      <c r="G311" s="77">
        <f>'ERROR FINAL'!AS314</f>
        <v>0</v>
      </c>
      <c r="H311" s="78" t="str">
        <f>IF('ERROR FINAL'!AT314="CONFORME","CONFORME","NO CONFORME")</f>
        <v>NO CONFORME</v>
      </c>
      <c r="I311" s="79" t="str">
        <f t="shared" si="4"/>
        <v>Medición</v>
      </c>
    </row>
    <row r="312" spans="1:9" x14ac:dyDescent="0.2">
      <c r="A312" s="72">
        <f>'ERROR FINAL'!A315</f>
        <v>0</v>
      </c>
      <c r="B312" s="73">
        <v>312</v>
      </c>
      <c r="C312" s="74">
        <f>'ERROR FINAL'!G315</f>
        <v>0</v>
      </c>
      <c r="D312" s="75">
        <f>'ERROR FINAL'!I315</f>
        <v>0</v>
      </c>
      <c r="E312" s="76">
        <f>'ERROR FINAL'!U315</f>
        <v>0</v>
      </c>
      <c r="F312" s="77">
        <f>'ERROR FINAL'!AG315</f>
        <v>0</v>
      </c>
      <c r="G312" s="77">
        <f>'ERROR FINAL'!AS315</f>
        <v>0</v>
      </c>
      <c r="H312" s="78" t="str">
        <f>IF('ERROR FINAL'!AT315="CONFORME","CONFORME","NO CONFORME")</f>
        <v>NO CONFORME</v>
      </c>
      <c r="I312" s="79" t="str">
        <f t="shared" si="4"/>
        <v>Medición</v>
      </c>
    </row>
    <row r="313" spans="1:9" x14ac:dyDescent="0.2">
      <c r="A313" s="72">
        <f>'ERROR FINAL'!A316</f>
        <v>0</v>
      </c>
      <c r="B313" s="73">
        <v>313</v>
      </c>
      <c r="C313" s="74">
        <f>'ERROR FINAL'!G316</f>
        <v>0</v>
      </c>
      <c r="D313" s="75">
        <f>'ERROR FINAL'!I316</f>
        <v>0</v>
      </c>
      <c r="E313" s="76">
        <f>'ERROR FINAL'!U316</f>
        <v>0</v>
      </c>
      <c r="F313" s="77">
        <f>'ERROR FINAL'!AG316</f>
        <v>0</v>
      </c>
      <c r="G313" s="77">
        <f>'ERROR FINAL'!AS316</f>
        <v>0</v>
      </c>
      <c r="H313" s="78" t="str">
        <f>IF('ERROR FINAL'!AT316="CONFORME","CONFORME","NO CONFORME")</f>
        <v>NO CONFORME</v>
      </c>
      <c r="I313" s="79" t="str">
        <f t="shared" si="4"/>
        <v>Medición</v>
      </c>
    </row>
    <row r="314" spans="1:9" x14ac:dyDescent="0.2">
      <c r="A314" s="72">
        <f>'ERROR FINAL'!A317</f>
        <v>0</v>
      </c>
      <c r="B314" s="73">
        <v>314</v>
      </c>
      <c r="C314" s="74">
        <f>'ERROR FINAL'!G317</f>
        <v>0</v>
      </c>
      <c r="D314" s="75">
        <f>'ERROR FINAL'!I317</f>
        <v>0</v>
      </c>
      <c r="E314" s="76">
        <f>'ERROR FINAL'!U317</f>
        <v>0</v>
      </c>
      <c r="F314" s="77">
        <f>'ERROR FINAL'!AG317</f>
        <v>0</v>
      </c>
      <c r="G314" s="77">
        <f>'ERROR FINAL'!AS317</f>
        <v>0</v>
      </c>
      <c r="H314" s="78" t="str">
        <f>IF('ERROR FINAL'!AT317="CONFORME","CONFORME","NO CONFORME")</f>
        <v>NO CONFORME</v>
      </c>
      <c r="I314" s="79" t="str">
        <f t="shared" si="4"/>
        <v>Medición</v>
      </c>
    </row>
    <row r="315" spans="1:9" x14ac:dyDescent="0.2">
      <c r="A315" s="72">
        <f>'ERROR FINAL'!A318</f>
        <v>0</v>
      </c>
      <c r="B315" s="73">
        <v>315</v>
      </c>
      <c r="C315" s="74">
        <f>'ERROR FINAL'!G318</f>
        <v>0</v>
      </c>
      <c r="D315" s="75">
        <f>'ERROR FINAL'!I318</f>
        <v>0</v>
      </c>
      <c r="E315" s="76">
        <f>'ERROR FINAL'!U318</f>
        <v>0</v>
      </c>
      <c r="F315" s="77">
        <f>'ERROR FINAL'!AG318</f>
        <v>0</v>
      </c>
      <c r="G315" s="77">
        <f>'ERROR FINAL'!AS318</f>
        <v>0</v>
      </c>
      <c r="H315" s="78" t="str">
        <f>IF('ERROR FINAL'!AT318="CONFORME","CONFORME","NO CONFORME")</f>
        <v>NO CONFORME</v>
      </c>
      <c r="I315" s="79" t="str">
        <f t="shared" si="4"/>
        <v>Medición</v>
      </c>
    </row>
    <row r="316" spans="1:9" x14ac:dyDescent="0.2">
      <c r="A316" s="72">
        <f>'ERROR FINAL'!A319</f>
        <v>0</v>
      </c>
      <c r="B316" s="73">
        <v>316</v>
      </c>
      <c r="C316" s="74">
        <f>'ERROR FINAL'!G319</f>
        <v>0</v>
      </c>
      <c r="D316" s="75">
        <f>'ERROR FINAL'!I319</f>
        <v>0</v>
      </c>
      <c r="E316" s="76">
        <f>'ERROR FINAL'!U319</f>
        <v>0</v>
      </c>
      <c r="F316" s="77">
        <f>'ERROR FINAL'!AG319</f>
        <v>0</v>
      </c>
      <c r="G316" s="77">
        <f>'ERROR FINAL'!AS319</f>
        <v>0</v>
      </c>
      <c r="H316" s="78" t="str">
        <f>IF('ERROR FINAL'!AT319="CONFORME","CONFORME","NO CONFORME")</f>
        <v>NO CONFORME</v>
      </c>
      <c r="I316" s="79" t="str">
        <f t="shared" si="4"/>
        <v>Medición</v>
      </c>
    </row>
    <row r="317" spans="1:9" x14ac:dyDescent="0.2">
      <c r="A317" s="72">
        <f>'ERROR FINAL'!A320</f>
        <v>0</v>
      </c>
      <c r="B317" s="73">
        <v>317</v>
      </c>
      <c r="C317" s="74">
        <f>'ERROR FINAL'!G320</f>
        <v>0</v>
      </c>
      <c r="D317" s="75">
        <f>'ERROR FINAL'!I320</f>
        <v>0</v>
      </c>
      <c r="E317" s="76">
        <f>'ERROR FINAL'!U320</f>
        <v>0</v>
      </c>
      <c r="F317" s="77">
        <f>'ERROR FINAL'!AG320</f>
        <v>0</v>
      </c>
      <c r="G317" s="77">
        <f>'ERROR FINAL'!AS320</f>
        <v>0</v>
      </c>
      <c r="H317" s="78" t="str">
        <f>IF('ERROR FINAL'!AT320="CONFORME","CONFORME","NO CONFORME")</f>
        <v>NO CONFORME</v>
      </c>
      <c r="I317" s="79" t="str">
        <f t="shared" si="4"/>
        <v>Medición</v>
      </c>
    </row>
    <row r="318" spans="1:9" x14ac:dyDescent="0.2">
      <c r="A318" s="72">
        <f>'ERROR FINAL'!A321</f>
        <v>0</v>
      </c>
      <c r="B318" s="73">
        <v>318</v>
      </c>
      <c r="C318" s="74">
        <f>'ERROR FINAL'!G321</f>
        <v>0</v>
      </c>
      <c r="D318" s="75">
        <f>'ERROR FINAL'!I321</f>
        <v>0</v>
      </c>
      <c r="E318" s="76">
        <f>'ERROR FINAL'!U321</f>
        <v>0</v>
      </c>
      <c r="F318" s="77">
        <f>'ERROR FINAL'!AG321</f>
        <v>0</v>
      </c>
      <c r="G318" s="77">
        <f>'ERROR FINAL'!AS321</f>
        <v>0</v>
      </c>
      <c r="H318" s="78" t="str">
        <f>IF('ERROR FINAL'!AT321="CONFORME","CONFORME","NO CONFORME")</f>
        <v>NO CONFORME</v>
      </c>
      <c r="I318" s="79" t="str">
        <f t="shared" si="4"/>
        <v>Medición</v>
      </c>
    </row>
    <row r="319" spans="1:9" x14ac:dyDescent="0.2">
      <c r="A319" s="72">
        <f>'ERROR FINAL'!A322</f>
        <v>0</v>
      </c>
      <c r="B319" s="73">
        <v>319</v>
      </c>
      <c r="C319" s="74">
        <f>'ERROR FINAL'!G322</f>
        <v>0</v>
      </c>
      <c r="D319" s="75">
        <f>'ERROR FINAL'!I322</f>
        <v>0</v>
      </c>
      <c r="E319" s="76">
        <f>'ERROR FINAL'!U322</f>
        <v>0</v>
      </c>
      <c r="F319" s="77">
        <f>'ERROR FINAL'!AG322</f>
        <v>0</v>
      </c>
      <c r="G319" s="77">
        <f>'ERROR FINAL'!AS322</f>
        <v>0</v>
      </c>
      <c r="H319" s="78" t="str">
        <f>IF('ERROR FINAL'!AT322="CONFORME","CONFORME","NO CONFORME")</f>
        <v>NO CONFORME</v>
      </c>
      <c r="I319" s="79" t="str">
        <f t="shared" si="4"/>
        <v>Medición</v>
      </c>
    </row>
    <row r="320" spans="1:9" x14ac:dyDescent="0.2">
      <c r="A320" s="72">
        <f>'ERROR FINAL'!A323</f>
        <v>0</v>
      </c>
      <c r="B320" s="73">
        <v>320</v>
      </c>
      <c r="C320" s="74">
        <f>'ERROR FINAL'!G323</f>
        <v>0</v>
      </c>
      <c r="D320" s="75">
        <f>'ERROR FINAL'!I323</f>
        <v>0</v>
      </c>
      <c r="E320" s="76">
        <f>'ERROR FINAL'!U323</f>
        <v>0</v>
      </c>
      <c r="F320" s="77">
        <f>'ERROR FINAL'!AG323</f>
        <v>0</v>
      </c>
      <c r="G320" s="77">
        <f>'ERROR FINAL'!AS323</f>
        <v>0</v>
      </c>
      <c r="H320" s="78" t="str">
        <f>IF('ERROR FINAL'!AT323="CONFORME","CONFORME","NO CONFORME")</f>
        <v>NO CONFORME</v>
      </c>
      <c r="I320" s="79" t="str">
        <f t="shared" si="4"/>
        <v>Medición</v>
      </c>
    </row>
    <row r="321" spans="1:9" x14ac:dyDescent="0.2">
      <c r="A321" s="72">
        <f>'ERROR FINAL'!A324</f>
        <v>0</v>
      </c>
      <c r="B321" s="73">
        <v>321</v>
      </c>
      <c r="C321" s="74">
        <f>'ERROR FINAL'!G324</f>
        <v>0</v>
      </c>
      <c r="D321" s="75">
        <f>'ERROR FINAL'!I324</f>
        <v>0</v>
      </c>
      <c r="E321" s="76">
        <f>'ERROR FINAL'!U324</f>
        <v>0</v>
      </c>
      <c r="F321" s="77">
        <f>'ERROR FINAL'!AG324</f>
        <v>0</v>
      </c>
      <c r="G321" s="77">
        <f>'ERROR FINAL'!AS324</f>
        <v>0</v>
      </c>
      <c r="H321" s="78" t="str">
        <f>IF('ERROR FINAL'!AT324="CONFORME","CONFORME","NO CONFORME")</f>
        <v>NO CONFORME</v>
      </c>
      <c r="I321" s="79" t="str">
        <f t="shared" si="4"/>
        <v>Medición</v>
      </c>
    </row>
    <row r="322" spans="1:9" x14ac:dyDescent="0.2">
      <c r="A322" s="72">
        <f>'ERROR FINAL'!A325</f>
        <v>0</v>
      </c>
      <c r="B322" s="73">
        <v>322</v>
      </c>
      <c r="C322" s="74">
        <f>'ERROR FINAL'!G325</f>
        <v>0</v>
      </c>
      <c r="D322" s="75">
        <f>'ERROR FINAL'!I325</f>
        <v>0</v>
      </c>
      <c r="E322" s="76">
        <f>'ERROR FINAL'!U325</f>
        <v>0</v>
      </c>
      <c r="F322" s="77">
        <f>'ERROR FINAL'!AG325</f>
        <v>0</v>
      </c>
      <c r="G322" s="77">
        <f>'ERROR FINAL'!AS325</f>
        <v>0</v>
      </c>
      <c r="H322" s="78" t="str">
        <f>IF('ERROR FINAL'!AT325="CONFORME","CONFORME","NO CONFORME")</f>
        <v>NO CONFORME</v>
      </c>
      <c r="I322" s="79" t="str">
        <f t="shared" si="4"/>
        <v>Medición</v>
      </c>
    </row>
    <row r="323" spans="1:9" x14ac:dyDescent="0.2">
      <c r="A323" s="72">
        <f>'ERROR FINAL'!A326</f>
        <v>0</v>
      </c>
      <c r="B323" s="73">
        <v>323</v>
      </c>
      <c r="C323" s="74">
        <f>'ERROR FINAL'!G326</f>
        <v>0</v>
      </c>
      <c r="D323" s="75">
        <f>'ERROR FINAL'!I326</f>
        <v>0</v>
      </c>
      <c r="E323" s="76">
        <f>'ERROR FINAL'!U326</f>
        <v>0</v>
      </c>
      <c r="F323" s="77">
        <f>'ERROR FINAL'!AG326</f>
        <v>0</v>
      </c>
      <c r="G323" s="77">
        <f>'ERROR FINAL'!AS326</f>
        <v>0</v>
      </c>
      <c r="H323" s="78" t="str">
        <f>IF('ERROR FINAL'!AT326="CONFORME","CONFORME","NO CONFORME")</f>
        <v>NO CONFORME</v>
      </c>
      <c r="I323" s="79" t="str">
        <f t="shared" si="4"/>
        <v>Medición</v>
      </c>
    </row>
    <row r="324" spans="1:9" x14ac:dyDescent="0.2">
      <c r="A324" s="72">
        <f>'ERROR FINAL'!A327</f>
        <v>0</v>
      </c>
      <c r="B324" s="73">
        <v>324</v>
      </c>
      <c r="C324" s="74">
        <f>'ERROR FINAL'!G327</f>
        <v>0</v>
      </c>
      <c r="D324" s="75">
        <f>'ERROR FINAL'!I327</f>
        <v>0</v>
      </c>
      <c r="E324" s="76">
        <f>'ERROR FINAL'!U327</f>
        <v>0</v>
      </c>
      <c r="F324" s="77">
        <f>'ERROR FINAL'!AG327</f>
        <v>0</v>
      </c>
      <c r="G324" s="77">
        <f>'ERROR FINAL'!AS327</f>
        <v>0</v>
      </c>
      <c r="H324" s="78" t="str">
        <f>IF('ERROR FINAL'!AT327="CONFORME","CONFORME","NO CONFORME")</f>
        <v>NO CONFORME</v>
      </c>
      <c r="I324" s="79" t="str">
        <f t="shared" si="4"/>
        <v>Medición</v>
      </c>
    </row>
    <row r="325" spans="1:9" x14ac:dyDescent="0.2">
      <c r="A325" s="72">
        <f>'ERROR FINAL'!A328</f>
        <v>0</v>
      </c>
      <c r="B325" s="73">
        <v>325</v>
      </c>
      <c r="C325" s="74">
        <f>'ERROR FINAL'!G328</f>
        <v>0</v>
      </c>
      <c r="D325" s="75">
        <f>'ERROR FINAL'!I328</f>
        <v>0</v>
      </c>
      <c r="E325" s="76">
        <f>'ERROR FINAL'!U328</f>
        <v>0</v>
      </c>
      <c r="F325" s="77">
        <f>'ERROR FINAL'!AG328</f>
        <v>0</v>
      </c>
      <c r="G325" s="77">
        <f>'ERROR FINAL'!AS328</f>
        <v>0</v>
      </c>
      <c r="H325" s="78" t="str">
        <f>IF('ERROR FINAL'!AT328="CONFORME","CONFORME","NO CONFORME")</f>
        <v>NO CONFORME</v>
      </c>
      <c r="I325" s="79" t="str">
        <f t="shared" si="4"/>
        <v>Medición</v>
      </c>
    </row>
    <row r="326" spans="1:9" x14ac:dyDescent="0.2">
      <c r="A326" s="72">
        <f>'ERROR FINAL'!A329</f>
        <v>0</v>
      </c>
      <c r="B326" s="73">
        <v>326</v>
      </c>
      <c r="C326" s="74">
        <f>'ERROR FINAL'!G329</f>
        <v>0</v>
      </c>
      <c r="D326" s="75">
        <f>'ERROR FINAL'!I329</f>
        <v>0</v>
      </c>
      <c r="E326" s="76">
        <f>'ERROR FINAL'!U329</f>
        <v>0</v>
      </c>
      <c r="F326" s="77">
        <f>'ERROR FINAL'!AG329</f>
        <v>0</v>
      </c>
      <c r="G326" s="77">
        <f>'ERROR FINAL'!AS329</f>
        <v>0</v>
      </c>
      <c r="H326" s="78" t="str">
        <f>IF('ERROR FINAL'!AT329="CONFORME","CONFORME","NO CONFORME")</f>
        <v>NO CONFORME</v>
      </c>
      <c r="I326" s="79" t="str">
        <f t="shared" si="4"/>
        <v>Medición</v>
      </c>
    </row>
    <row r="327" spans="1:9" x14ac:dyDescent="0.2">
      <c r="A327" s="72">
        <f>'ERROR FINAL'!A330</f>
        <v>0</v>
      </c>
      <c r="B327" s="73">
        <v>327</v>
      </c>
      <c r="C327" s="74">
        <f>'ERROR FINAL'!G330</f>
        <v>0</v>
      </c>
      <c r="D327" s="75">
        <f>'ERROR FINAL'!I330</f>
        <v>0</v>
      </c>
      <c r="E327" s="76">
        <f>'ERROR FINAL'!U330</f>
        <v>0</v>
      </c>
      <c r="F327" s="77">
        <f>'ERROR FINAL'!AG330</f>
        <v>0</v>
      </c>
      <c r="G327" s="77">
        <f>'ERROR FINAL'!AS330</f>
        <v>0</v>
      </c>
      <c r="H327" s="78" t="str">
        <f>IF('ERROR FINAL'!AT330="CONFORME","CONFORME","NO CONFORME")</f>
        <v>NO CONFORME</v>
      </c>
      <c r="I327" s="79" t="str">
        <f t="shared" ref="I327:I390" si="5">IF(D327=0,"Medición",IF(D327=1,"Daño físico",IF(D327=2,"Fuga",IF(D327=3,"Picado",IF(D327=4,"Desfasado",IF(D327=5,"Paralizado","¿?"))))))</f>
        <v>Medición</v>
      </c>
    </row>
    <row r="328" spans="1:9" x14ac:dyDescent="0.2">
      <c r="A328" s="72">
        <f>'ERROR FINAL'!A331</f>
        <v>0</v>
      </c>
      <c r="B328" s="73">
        <v>328</v>
      </c>
      <c r="C328" s="74">
        <f>'ERROR FINAL'!G331</f>
        <v>0</v>
      </c>
      <c r="D328" s="75">
        <f>'ERROR FINAL'!I331</f>
        <v>0</v>
      </c>
      <c r="E328" s="76">
        <f>'ERROR FINAL'!U331</f>
        <v>0</v>
      </c>
      <c r="F328" s="77">
        <f>'ERROR FINAL'!AG331</f>
        <v>0</v>
      </c>
      <c r="G328" s="77">
        <f>'ERROR FINAL'!AS331</f>
        <v>0</v>
      </c>
      <c r="H328" s="78" t="str">
        <f>IF('ERROR FINAL'!AT331="CONFORME","CONFORME","NO CONFORME")</f>
        <v>NO CONFORME</v>
      </c>
      <c r="I328" s="79" t="str">
        <f t="shared" si="5"/>
        <v>Medición</v>
      </c>
    </row>
    <row r="329" spans="1:9" x14ac:dyDescent="0.2">
      <c r="A329" s="72">
        <f>'ERROR FINAL'!A332</f>
        <v>0</v>
      </c>
      <c r="B329" s="73">
        <v>329</v>
      </c>
      <c r="C329" s="74">
        <f>'ERROR FINAL'!G332</f>
        <v>0</v>
      </c>
      <c r="D329" s="75">
        <f>'ERROR FINAL'!I332</f>
        <v>0</v>
      </c>
      <c r="E329" s="76">
        <f>'ERROR FINAL'!U332</f>
        <v>0</v>
      </c>
      <c r="F329" s="77">
        <f>'ERROR FINAL'!AG332</f>
        <v>0</v>
      </c>
      <c r="G329" s="77">
        <f>'ERROR FINAL'!AS332</f>
        <v>0</v>
      </c>
      <c r="H329" s="78" t="str">
        <f>IF('ERROR FINAL'!AT332="CONFORME","CONFORME","NO CONFORME")</f>
        <v>NO CONFORME</v>
      </c>
      <c r="I329" s="79" t="str">
        <f t="shared" si="5"/>
        <v>Medición</v>
      </c>
    </row>
    <row r="330" spans="1:9" x14ac:dyDescent="0.2">
      <c r="A330" s="72">
        <f>'ERROR FINAL'!A333</f>
        <v>0</v>
      </c>
      <c r="B330" s="73">
        <v>330</v>
      </c>
      <c r="C330" s="74">
        <f>'ERROR FINAL'!G333</f>
        <v>0</v>
      </c>
      <c r="D330" s="75">
        <f>'ERROR FINAL'!I333</f>
        <v>0</v>
      </c>
      <c r="E330" s="76">
        <f>'ERROR FINAL'!U333</f>
        <v>0</v>
      </c>
      <c r="F330" s="77">
        <f>'ERROR FINAL'!AG333</f>
        <v>0</v>
      </c>
      <c r="G330" s="77">
        <f>'ERROR FINAL'!AS333</f>
        <v>0</v>
      </c>
      <c r="H330" s="78" t="str">
        <f>IF('ERROR FINAL'!AT333="CONFORME","CONFORME","NO CONFORME")</f>
        <v>NO CONFORME</v>
      </c>
      <c r="I330" s="79" t="str">
        <f t="shared" si="5"/>
        <v>Medición</v>
      </c>
    </row>
    <row r="331" spans="1:9" x14ac:dyDescent="0.2">
      <c r="A331" s="72">
        <f>'ERROR FINAL'!A334</f>
        <v>0</v>
      </c>
      <c r="B331" s="73">
        <v>331</v>
      </c>
      <c r="C331" s="74">
        <f>'ERROR FINAL'!G334</f>
        <v>0</v>
      </c>
      <c r="D331" s="75">
        <f>'ERROR FINAL'!I334</f>
        <v>0</v>
      </c>
      <c r="E331" s="76">
        <f>'ERROR FINAL'!U334</f>
        <v>0</v>
      </c>
      <c r="F331" s="77">
        <f>'ERROR FINAL'!AG334</f>
        <v>0</v>
      </c>
      <c r="G331" s="77">
        <f>'ERROR FINAL'!AS334</f>
        <v>0</v>
      </c>
      <c r="H331" s="78" t="str">
        <f>IF('ERROR FINAL'!AT334="CONFORME","CONFORME","NO CONFORME")</f>
        <v>NO CONFORME</v>
      </c>
      <c r="I331" s="79" t="str">
        <f t="shared" si="5"/>
        <v>Medición</v>
      </c>
    </row>
    <row r="332" spans="1:9" x14ac:dyDescent="0.2">
      <c r="A332" s="72">
        <f>'ERROR FINAL'!A335</f>
        <v>0</v>
      </c>
      <c r="B332" s="73">
        <v>332</v>
      </c>
      <c r="C332" s="74">
        <f>'ERROR FINAL'!G335</f>
        <v>0</v>
      </c>
      <c r="D332" s="75">
        <f>'ERROR FINAL'!I335</f>
        <v>0</v>
      </c>
      <c r="E332" s="76">
        <f>'ERROR FINAL'!U335</f>
        <v>0</v>
      </c>
      <c r="F332" s="77">
        <f>'ERROR FINAL'!AG335</f>
        <v>0</v>
      </c>
      <c r="G332" s="77">
        <f>'ERROR FINAL'!AS335</f>
        <v>0</v>
      </c>
      <c r="H332" s="78" t="str">
        <f>IF('ERROR FINAL'!AT335="CONFORME","CONFORME","NO CONFORME")</f>
        <v>NO CONFORME</v>
      </c>
      <c r="I332" s="79" t="str">
        <f t="shared" si="5"/>
        <v>Medición</v>
      </c>
    </row>
    <row r="333" spans="1:9" x14ac:dyDescent="0.2">
      <c r="A333" s="72">
        <f>'ERROR FINAL'!A336</f>
        <v>0</v>
      </c>
      <c r="B333" s="73">
        <v>333</v>
      </c>
      <c r="C333" s="74">
        <f>'ERROR FINAL'!G336</f>
        <v>0</v>
      </c>
      <c r="D333" s="75">
        <f>'ERROR FINAL'!I336</f>
        <v>0</v>
      </c>
      <c r="E333" s="76">
        <f>'ERROR FINAL'!U336</f>
        <v>0</v>
      </c>
      <c r="F333" s="77">
        <f>'ERROR FINAL'!AG336</f>
        <v>0</v>
      </c>
      <c r="G333" s="77">
        <f>'ERROR FINAL'!AS336</f>
        <v>0</v>
      </c>
      <c r="H333" s="78" t="str">
        <f>IF('ERROR FINAL'!AT336="CONFORME","CONFORME","NO CONFORME")</f>
        <v>NO CONFORME</v>
      </c>
      <c r="I333" s="79" t="str">
        <f t="shared" si="5"/>
        <v>Medición</v>
      </c>
    </row>
    <row r="334" spans="1:9" x14ac:dyDescent="0.2">
      <c r="A334" s="72">
        <f>'ERROR FINAL'!A337</f>
        <v>0</v>
      </c>
      <c r="B334" s="73">
        <v>334</v>
      </c>
      <c r="C334" s="74">
        <f>'ERROR FINAL'!G337</f>
        <v>0</v>
      </c>
      <c r="D334" s="75">
        <f>'ERROR FINAL'!I337</f>
        <v>0</v>
      </c>
      <c r="E334" s="76">
        <f>'ERROR FINAL'!U337</f>
        <v>0</v>
      </c>
      <c r="F334" s="77">
        <f>'ERROR FINAL'!AG337</f>
        <v>0</v>
      </c>
      <c r="G334" s="77">
        <f>'ERROR FINAL'!AS337</f>
        <v>0</v>
      </c>
      <c r="H334" s="78" t="str">
        <f>IF('ERROR FINAL'!AT337="CONFORME","CONFORME","NO CONFORME")</f>
        <v>NO CONFORME</v>
      </c>
      <c r="I334" s="79" t="str">
        <f t="shared" si="5"/>
        <v>Medición</v>
      </c>
    </row>
    <row r="335" spans="1:9" x14ac:dyDescent="0.2">
      <c r="A335" s="72">
        <f>'ERROR FINAL'!A338</f>
        <v>0</v>
      </c>
      <c r="B335" s="73">
        <v>335</v>
      </c>
      <c r="C335" s="74">
        <f>'ERROR FINAL'!G338</f>
        <v>0</v>
      </c>
      <c r="D335" s="75">
        <f>'ERROR FINAL'!I338</f>
        <v>0</v>
      </c>
      <c r="E335" s="76">
        <f>'ERROR FINAL'!U338</f>
        <v>0</v>
      </c>
      <c r="F335" s="77">
        <f>'ERROR FINAL'!AG338</f>
        <v>0</v>
      </c>
      <c r="G335" s="77">
        <f>'ERROR FINAL'!AS338</f>
        <v>0</v>
      </c>
      <c r="H335" s="78" t="str">
        <f>IF('ERROR FINAL'!AT338="CONFORME","CONFORME","NO CONFORME")</f>
        <v>NO CONFORME</v>
      </c>
      <c r="I335" s="79" t="str">
        <f t="shared" si="5"/>
        <v>Medición</v>
      </c>
    </row>
    <row r="336" spans="1:9" x14ac:dyDescent="0.2">
      <c r="A336" s="72">
        <f>'ERROR FINAL'!A339</f>
        <v>0</v>
      </c>
      <c r="B336" s="73">
        <v>336</v>
      </c>
      <c r="C336" s="74">
        <f>'ERROR FINAL'!G339</f>
        <v>0</v>
      </c>
      <c r="D336" s="75">
        <f>'ERROR FINAL'!I339</f>
        <v>0</v>
      </c>
      <c r="E336" s="76">
        <f>'ERROR FINAL'!U339</f>
        <v>0</v>
      </c>
      <c r="F336" s="77">
        <f>'ERROR FINAL'!AG339</f>
        <v>0</v>
      </c>
      <c r="G336" s="77">
        <f>'ERROR FINAL'!AS339</f>
        <v>0</v>
      </c>
      <c r="H336" s="78" t="str">
        <f>IF('ERROR FINAL'!AT339="CONFORME","CONFORME","NO CONFORME")</f>
        <v>NO CONFORME</v>
      </c>
      <c r="I336" s="79" t="str">
        <f t="shared" si="5"/>
        <v>Medición</v>
      </c>
    </row>
    <row r="337" spans="1:9" x14ac:dyDescent="0.2">
      <c r="A337" s="72">
        <f>'ERROR FINAL'!A340</f>
        <v>0</v>
      </c>
      <c r="B337" s="73">
        <v>337</v>
      </c>
      <c r="C337" s="74">
        <f>'ERROR FINAL'!G340</f>
        <v>0</v>
      </c>
      <c r="D337" s="75">
        <f>'ERROR FINAL'!I340</f>
        <v>0</v>
      </c>
      <c r="E337" s="76">
        <f>'ERROR FINAL'!U340</f>
        <v>0</v>
      </c>
      <c r="F337" s="77">
        <f>'ERROR FINAL'!AG340</f>
        <v>0</v>
      </c>
      <c r="G337" s="77">
        <f>'ERROR FINAL'!AS340</f>
        <v>0</v>
      </c>
      <c r="H337" s="78" t="str">
        <f>IF('ERROR FINAL'!AT340="CONFORME","CONFORME","NO CONFORME")</f>
        <v>NO CONFORME</v>
      </c>
      <c r="I337" s="79" t="str">
        <f t="shared" si="5"/>
        <v>Medición</v>
      </c>
    </row>
    <row r="338" spans="1:9" x14ac:dyDescent="0.2">
      <c r="A338" s="72">
        <f>'ERROR FINAL'!A341</f>
        <v>0</v>
      </c>
      <c r="B338" s="73">
        <v>338</v>
      </c>
      <c r="C338" s="74">
        <f>'ERROR FINAL'!G341</f>
        <v>0</v>
      </c>
      <c r="D338" s="75">
        <f>'ERROR FINAL'!I341</f>
        <v>0</v>
      </c>
      <c r="E338" s="76">
        <f>'ERROR FINAL'!U341</f>
        <v>0</v>
      </c>
      <c r="F338" s="77">
        <f>'ERROR FINAL'!AG341</f>
        <v>0</v>
      </c>
      <c r="G338" s="77">
        <f>'ERROR FINAL'!AS341</f>
        <v>0</v>
      </c>
      <c r="H338" s="78" t="str">
        <f>IF('ERROR FINAL'!AT341="CONFORME","CONFORME","NO CONFORME")</f>
        <v>NO CONFORME</v>
      </c>
      <c r="I338" s="79" t="str">
        <f t="shared" si="5"/>
        <v>Medición</v>
      </c>
    </row>
    <row r="339" spans="1:9" x14ac:dyDescent="0.2">
      <c r="A339" s="72">
        <f>'ERROR FINAL'!A342</f>
        <v>0</v>
      </c>
      <c r="B339" s="73">
        <v>339</v>
      </c>
      <c r="C339" s="74">
        <f>'ERROR FINAL'!G342</f>
        <v>0</v>
      </c>
      <c r="D339" s="75">
        <f>'ERROR FINAL'!I342</f>
        <v>0</v>
      </c>
      <c r="E339" s="76">
        <f>'ERROR FINAL'!U342</f>
        <v>0</v>
      </c>
      <c r="F339" s="77">
        <f>'ERROR FINAL'!AG342</f>
        <v>0</v>
      </c>
      <c r="G339" s="77">
        <f>'ERROR FINAL'!AS342</f>
        <v>0</v>
      </c>
      <c r="H339" s="78" t="str">
        <f>IF('ERROR FINAL'!AT342="CONFORME","CONFORME","NO CONFORME")</f>
        <v>NO CONFORME</v>
      </c>
      <c r="I339" s="79" t="str">
        <f t="shared" si="5"/>
        <v>Medición</v>
      </c>
    </row>
    <row r="340" spans="1:9" x14ac:dyDescent="0.2">
      <c r="A340" s="72">
        <f>'ERROR FINAL'!A343</f>
        <v>0</v>
      </c>
      <c r="B340" s="73">
        <v>340</v>
      </c>
      <c r="C340" s="74">
        <f>'ERROR FINAL'!G343</f>
        <v>0</v>
      </c>
      <c r="D340" s="75">
        <f>'ERROR FINAL'!I343</f>
        <v>0</v>
      </c>
      <c r="E340" s="76">
        <f>'ERROR FINAL'!U343</f>
        <v>0</v>
      </c>
      <c r="F340" s="77">
        <f>'ERROR FINAL'!AG343</f>
        <v>0</v>
      </c>
      <c r="G340" s="77">
        <f>'ERROR FINAL'!AS343</f>
        <v>0</v>
      </c>
      <c r="H340" s="78" t="str">
        <f>IF('ERROR FINAL'!AT343="CONFORME","CONFORME","NO CONFORME")</f>
        <v>NO CONFORME</v>
      </c>
      <c r="I340" s="79" t="str">
        <f t="shared" si="5"/>
        <v>Medición</v>
      </c>
    </row>
    <row r="341" spans="1:9" x14ac:dyDescent="0.2">
      <c r="A341" s="72">
        <f>'ERROR FINAL'!A344</f>
        <v>0</v>
      </c>
      <c r="B341" s="73">
        <v>341</v>
      </c>
      <c r="C341" s="74">
        <f>'ERROR FINAL'!G344</f>
        <v>0</v>
      </c>
      <c r="D341" s="75">
        <f>'ERROR FINAL'!I344</f>
        <v>0</v>
      </c>
      <c r="E341" s="76">
        <f>'ERROR FINAL'!U344</f>
        <v>0</v>
      </c>
      <c r="F341" s="77">
        <f>'ERROR FINAL'!AG344</f>
        <v>0</v>
      </c>
      <c r="G341" s="77">
        <f>'ERROR FINAL'!AS344</f>
        <v>0</v>
      </c>
      <c r="H341" s="78" t="str">
        <f>IF('ERROR FINAL'!AT344="CONFORME","CONFORME","NO CONFORME")</f>
        <v>NO CONFORME</v>
      </c>
      <c r="I341" s="79" t="str">
        <f t="shared" si="5"/>
        <v>Medición</v>
      </c>
    </row>
    <row r="342" spans="1:9" x14ac:dyDescent="0.2">
      <c r="A342" s="72">
        <f>'ERROR FINAL'!A345</f>
        <v>0</v>
      </c>
      <c r="B342" s="73">
        <v>342</v>
      </c>
      <c r="C342" s="74">
        <f>'ERROR FINAL'!G345</f>
        <v>0</v>
      </c>
      <c r="D342" s="75">
        <f>'ERROR FINAL'!I345</f>
        <v>0</v>
      </c>
      <c r="E342" s="76">
        <f>'ERROR FINAL'!U345</f>
        <v>0</v>
      </c>
      <c r="F342" s="77">
        <f>'ERROR FINAL'!AG345</f>
        <v>0</v>
      </c>
      <c r="G342" s="77">
        <f>'ERROR FINAL'!AS345</f>
        <v>0</v>
      </c>
      <c r="H342" s="78" t="str">
        <f>IF('ERROR FINAL'!AT345="CONFORME","CONFORME","NO CONFORME")</f>
        <v>NO CONFORME</v>
      </c>
      <c r="I342" s="79" t="str">
        <f t="shared" si="5"/>
        <v>Medición</v>
      </c>
    </row>
    <row r="343" spans="1:9" x14ac:dyDescent="0.2">
      <c r="A343" s="72">
        <f>'ERROR FINAL'!A346</f>
        <v>0</v>
      </c>
      <c r="B343" s="73">
        <v>343</v>
      </c>
      <c r="C343" s="74">
        <f>'ERROR FINAL'!G346</f>
        <v>0</v>
      </c>
      <c r="D343" s="75">
        <f>'ERROR FINAL'!I346</f>
        <v>0</v>
      </c>
      <c r="E343" s="76">
        <f>'ERROR FINAL'!U346</f>
        <v>0</v>
      </c>
      <c r="F343" s="77">
        <f>'ERROR FINAL'!AG346</f>
        <v>0</v>
      </c>
      <c r="G343" s="77">
        <f>'ERROR FINAL'!AS346</f>
        <v>0</v>
      </c>
      <c r="H343" s="78" t="str">
        <f>IF('ERROR FINAL'!AT346="CONFORME","CONFORME","NO CONFORME")</f>
        <v>NO CONFORME</v>
      </c>
      <c r="I343" s="79" t="str">
        <f t="shared" si="5"/>
        <v>Medición</v>
      </c>
    </row>
    <row r="344" spans="1:9" x14ac:dyDescent="0.2">
      <c r="A344" s="72">
        <f>'ERROR FINAL'!A347</f>
        <v>0</v>
      </c>
      <c r="B344" s="73">
        <v>344</v>
      </c>
      <c r="C344" s="74">
        <f>'ERROR FINAL'!G347</f>
        <v>0</v>
      </c>
      <c r="D344" s="75">
        <f>'ERROR FINAL'!I347</f>
        <v>0</v>
      </c>
      <c r="E344" s="76">
        <f>'ERROR FINAL'!U347</f>
        <v>0</v>
      </c>
      <c r="F344" s="77">
        <f>'ERROR FINAL'!AG347</f>
        <v>0</v>
      </c>
      <c r="G344" s="77">
        <f>'ERROR FINAL'!AS347</f>
        <v>0</v>
      </c>
      <c r="H344" s="78" t="str">
        <f>IF('ERROR FINAL'!AT347="CONFORME","CONFORME","NO CONFORME")</f>
        <v>NO CONFORME</v>
      </c>
      <c r="I344" s="79" t="str">
        <f t="shared" si="5"/>
        <v>Medición</v>
      </c>
    </row>
    <row r="345" spans="1:9" x14ac:dyDescent="0.2">
      <c r="A345" s="72">
        <f>'ERROR FINAL'!A348</f>
        <v>0</v>
      </c>
      <c r="B345" s="73">
        <v>345</v>
      </c>
      <c r="C345" s="74">
        <f>'ERROR FINAL'!G348</f>
        <v>0</v>
      </c>
      <c r="D345" s="75">
        <f>'ERROR FINAL'!I348</f>
        <v>0</v>
      </c>
      <c r="E345" s="76">
        <f>'ERROR FINAL'!U348</f>
        <v>0</v>
      </c>
      <c r="F345" s="77">
        <f>'ERROR FINAL'!AG348</f>
        <v>0</v>
      </c>
      <c r="G345" s="77">
        <f>'ERROR FINAL'!AS348</f>
        <v>0</v>
      </c>
      <c r="H345" s="78" t="str">
        <f>IF('ERROR FINAL'!AT348="CONFORME","CONFORME","NO CONFORME")</f>
        <v>NO CONFORME</v>
      </c>
      <c r="I345" s="79" t="str">
        <f t="shared" si="5"/>
        <v>Medición</v>
      </c>
    </row>
    <row r="346" spans="1:9" x14ac:dyDescent="0.2">
      <c r="A346" s="72">
        <f>'ERROR FINAL'!A349</f>
        <v>0</v>
      </c>
      <c r="B346" s="73">
        <v>346</v>
      </c>
      <c r="C346" s="74">
        <f>'ERROR FINAL'!G349</f>
        <v>0</v>
      </c>
      <c r="D346" s="75">
        <f>'ERROR FINAL'!I349</f>
        <v>0</v>
      </c>
      <c r="E346" s="76">
        <f>'ERROR FINAL'!U349</f>
        <v>0</v>
      </c>
      <c r="F346" s="77">
        <f>'ERROR FINAL'!AG349</f>
        <v>0</v>
      </c>
      <c r="G346" s="77">
        <f>'ERROR FINAL'!AS349</f>
        <v>0</v>
      </c>
      <c r="H346" s="78" t="str">
        <f>IF('ERROR FINAL'!AT349="CONFORME","CONFORME","NO CONFORME")</f>
        <v>NO CONFORME</v>
      </c>
      <c r="I346" s="79" t="str">
        <f t="shared" si="5"/>
        <v>Medición</v>
      </c>
    </row>
    <row r="347" spans="1:9" x14ac:dyDescent="0.2">
      <c r="A347" s="72">
        <f>'ERROR FINAL'!A350</f>
        <v>0</v>
      </c>
      <c r="B347" s="73">
        <v>347</v>
      </c>
      <c r="C347" s="74">
        <f>'ERROR FINAL'!G350</f>
        <v>0</v>
      </c>
      <c r="D347" s="75">
        <f>'ERROR FINAL'!I350</f>
        <v>0</v>
      </c>
      <c r="E347" s="76">
        <f>'ERROR FINAL'!U350</f>
        <v>0</v>
      </c>
      <c r="F347" s="77">
        <f>'ERROR FINAL'!AG350</f>
        <v>0</v>
      </c>
      <c r="G347" s="77">
        <f>'ERROR FINAL'!AS350</f>
        <v>0</v>
      </c>
      <c r="H347" s="78" t="str">
        <f>IF('ERROR FINAL'!AT350="CONFORME","CONFORME","NO CONFORME")</f>
        <v>NO CONFORME</v>
      </c>
      <c r="I347" s="79" t="str">
        <f t="shared" si="5"/>
        <v>Medición</v>
      </c>
    </row>
    <row r="348" spans="1:9" x14ac:dyDescent="0.2">
      <c r="A348" s="72">
        <f>'ERROR FINAL'!A351</f>
        <v>0</v>
      </c>
      <c r="B348" s="73">
        <v>348</v>
      </c>
      <c r="C348" s="74">
        <f>'ERROR FINAL'!G351</f>
        <v>0</v>
      </c>
      <c r="D348" s="75">
        <f>'ERROR FINAL'!I351</f>
        <v>0</v>
      </c>
      <c r="E348" s="76">
        <f>'ERROR FINAL'!U351</f>
        <v>0</v>
      </c>
      <c r="F348" s="77">
        <f>'ERROR FINAL'!AG351</f>
        <v>0</v>
      </c>
      <c r="G348" s="77">
        <f>'ERROR FINAL'!AS351</f>
        <v>0</v>
      </c>
      <c r="H348" s="78" t="str">
        <f>IF('ERROR FINAL'!AT351="CONFORME","CONFORME","NO CONFORME")</f>
        <v>NO CONFORME</v>
      </c>
      <c r="I348" s="79" t="str">
        <f t="shared" si="5"/>
        <v>Medición</v>
      </c>
    </row>
    <row r="349" spans="1:9" x14ac:dyDescent="0.2">
      <c r="A349" s="72">
        <f>'ERROR FINAL'!A352</f>
        <v>0</v>
      </c>
      <c r="B349" s="73">
        <v>349</v>
      </c>
      <c r="C349" s="74">
        <f>'ERROR FINAL'!G352</f>
        <v>0</v>
      </c>
      <c r="D349" s="75">
        <f>'ERROR FINAL'!I352</f>
        <v>0</v>
      </c>
      <c r="E349" s="76">
        <f>'ERROR FINAL'!U352</f>
        <v>0</v>
      </c>
      <c r="F349" s="77">
        <f>'ERROR FINAL'!AG352</f>
        <v>0</v>
      </c>
      <c r="G349" s="77">
        <f>'ERROR FINAL'!AS352</f>
        <v>0</v>
      </c>
      <c r="H349" s="78" t="str">
        <f>IF('ERROR FINAL'!AT352="CONFORME","CONFORME","NO CONFORME")</f>
        <v>NO CONFORME</v>
      </c>
      <c r="I349" s="79" t="str">
        <f t="shared" si="5"/>
        <v>Medición</v>
      </c>
    </row>
    <row r="350" spans="1:9" x14ac:dyDescent="0.2">
      <c r="A350" s="72">
        <f>'ERROR FINAL'!A353</f>
        <v>0</v>
      </c>
      <c r="B350" s="73">
        <v>350</v>
      </c>
      <c r="C350" s="74">
        <f>'ERROR FINAL'!G353</f>
        <v>0</v>
      </c>
      <c r="D350" s="75">
        <f>'ERROR FINAL'!I353</f>
        <v>0</v>
      </c>
      <c r="E350" s="76">
        <f>'ERROR FINAL'!U353</f>
        <v>0</v>
      </c>
      <c r="F350" s="77">
        <f>'ERROR FINAL'!AG353</f>
        <v>0</v>
      </c>
      <c r="G350" s="77">
        <f>'ERROR FINAL'!AS353</f>
        <v>0</v>
      </c>
      <c r="H350" s="78" t="str">
        <f>IF('ERROR FINAL'!AT353="CONFORME","CONFORME","NO CONFORME")</f>
        <v>NO CONFORME</v>
      </c>
      <c r="I350" s="79" t="str">
        <f t="shared" si="5"/>
        <v>Medición</v>
      </c>
    </row>
    <row r="351" spans="1:9" x14ac:dyDescent="0.2">
      <c r="A351" s="72">
        <f>'ERROR FINAL'!A354</f>
        <v>0</v>
      </c>
      <c r="B351" s="73">
        <v>351</v>
      </c>
      <c r="C351" s="74">
        <f>'ERROR FINAL'!G354</f>
        <v>0</v>
      </c>
      <c r="D351" s="75">
        <f>'ERROR FINAL'!I354</f>
        <v>0</v>
      </c>
      <c r="E351" s="76">
        <f>'ERROR FINAL'!U354</f>
        <v>0</v>
      </c>
      <c r="F351" s="77">
        <f>'ERROR FINAL'!AG354</f>
        <v>0</v>
      </c>
      <c r="G351" s="77">
        <f>'ERROR FINAL'!AS354</f>
        <v>0</v>
      </c>
      <c r="H351" s="78" t="str">
        <f>IF('ERROR FINAL'!AT354="CONFORME","CONFORME","NO CONFORME")</f>
        <v>NO CONFORME</v>
      </c>
      <c r="I351" s="79" t="str">
        <f t="shared" si="5"/>
        <v>Medición</v>
      </c>
    </row>
    <row r="352" spans="1:9" x14ac:dyDescent="0.2">
      <c r="A352" s="72">
        <f>'ERROR FINAL'!A355</f>
        <v>0</v>
      </c>
      <c r="B352" s="73">
        <v>352</v>
      </c>
      <c r="C352" s="74">
        <f>'ERROR FINAL'!G355</f>
        <v>0</v>
      </c>
      <c r="D352" s="75">
        <f>'ERROR FINAL'!I355</f>
        <v>0</v>
      </c>
      <c r="E352" s="76">
        <f>'ERROR FINAL'!U355</f>
        <v>0</v>
      </c>
      <c r="F352" s="77">
        <f>'ERROR FINAL'!AG355</f>
        <v>0</v>
      </c>
      <c r="G352" s="77">
        <f>'ERROR FINAL'!AS355</f>
        <v>0</v>
      </c>
      <c r="H352" s="78" t="str">
        <f>IF('ERROR FINAL'!AT355="CONFORME","CONFORME","NO CONFORME")</f>
        <v>NO CONFORME</v>
      </c>
      <c r="I352" s="79" t="str">
        <f t="shared" si="5"/>
        <v>Medición</v>
      </c>
    </row>
    <row r="353" spans="1:9" x14ac:dyDescent="0.2">
      <c r="A353" s="72">
        <f>'ERROR FINAL'!A356</f>
        <v>0</v>
      </c>
      <c r="B353" s="73">
        <v>353</v>
      </c>
      <c r="C353" s="74">
        <f>'ERROR FINAL'!G356</f>
        <v>0</v>
      </c>
      <c r="D353" s="75">
        <f>'ERROR FINAL'!I356</f>
        <v>0</v>
      </c>
      <c r="E353" s="76">
        <f>'ERROR FINAL'!U356</f>
        <v>0</v>
      </c>
      <c r="F353" s="77">
        <f>'ERROR FINAL'!AG356</f>
        <v>0</v>
      </c>
      <c r="G353" s="77">
        <f>'ERROR FINAL'!AS356</f>
        <v>0</v>
      </c>
      <c r="H353" s="78" t="str">
        <f>IF('ERROR FINAL'!AT356="CONFORME","CONFORME","NO CONFORME")</f>
        <v>NO CONFORME</v>
      </c>
      <c r="I353" s="79" t="str">
        <f t="shared" si="5"/>
        <v>Medición</v>
      </c>
    </row>
    <row r="354" spans="1:9" x14ac:dyDescent="0.2">
      <c r="A354" s="72">
        <f>'ERROR FINAL'!A357</f>
        <v>0</v>
      </c>
      <c r="B354" s="73">
        <v>354</v>
      </c>
      <c r="C354" s="74">
        <f>'ERROR FINAL'!G357</f>
        <v>0</v>
      </c>
      <c r="D354" s="75">
        <f>'ERROR FINAL'!I357</f>
        <v>0</v>
      </c>
      <c r="E354" s="76">
        <f>'ERROR FINAL'!U357</f>
        <v>0</v>
      </c>
      <c r="F354" s="77">
        <f>'ERROR FINAL'!AG357</f>
        <v>0</v>
      </c>
      <c r="G354" s="77">
        <f>'ERROR FINAL'!AS357</f>
        <v>0</v>
      </c>
      <c r="H354" s="78" t="str">
        <f>IF('ERROR FINAL'!AT357="CONFORME","CONFORME","NO CONFORME")</f>
        <v>NO CONFORME</v>
      </c>
      <c r="I354" s="79" t="str">
        <f t="shared" si="5"/>
        <v>Medición</v>
      </c>
    </row>
    <row r="355" spans="1:9" x14ac:dyDescent="0.2">
      <c r="A355" s="72">
        <f>'ERROR FINAL'!A358</f>
        <v>0</v>
      </c>
      <c r="B355" s="73">
        <v>355</v>
      </c>
      <c r="C355" s="74">
        <f>'ERROR FINAL'!G358</f>
        <v>0</v>
      </c>
      <c r="D355" s="75">
        <f>'ERROR FINAL'!I358</f>
        <v>0</v>
      </c>
      <c r="E355" s="76">
        <f>'ERROR FINAL'!U358</f>
        <v>0</v>
      </c>
      <c r="F355" s="77">
        <f>'ERROR FINAL'!AG358</f>
        <v>0</v>
      </c>
      <c r="G355" s="77">
        <f>'ERROR FINAL'!AS358</f>
        <v>0</v>
      </c>
      <c r="H355" s="78" t="str">
        <f>IF('ERROR FINAL'!AT358="CONFORME","CONFORME","NO CONFORME")</f>
        <v>NO CONFORME</v>
      </c>
      <c r="I355" s="79" t="str">
        <f t="shared" si="5"/>
        <v>Medición</v>
      </c>
    </row>
    <row r="356" spans="1:9" x14ac:dyDescent="0.2">
      <c r="A356" s="72">
        <f>'ERROR FINAL'!A359</f>
        <v>0</v>
      </c>
      <c r="B356" s="73">
        <v>356</v>
      </c>
      <c r="C356" s="74">
        <f>'ERROR FINAL'!G359</f>
        <v>0</v>
      </c>
      <c r="D356" s="75">
        <f>'ERROR FINAL'!I359</f>
        <v>0</v>
      </c>
      <c r="E356" s="76">
        <f>'ERROR FINAL'!U359</f>
        <v>0</v>
      </c>
      <c r="F356" s="77">
        <f>'ERROR FINAL'!AG359</f>
        <v>0</v>
      </c>
      <c r="G356" s="77">
        <f>'ERROR FINAL'!AS359</f>
        <v>0</v>
      </c>
      <c r="H356" s="78" t="str">
        <f>IF('ERROR FINAL'!AT359="CONFORME","CONFORME","NO CONFORME")</f>
        <v>NO CONFORME</v>
      </c>
      <c r="I356" s="79" t="str">
        <f t="shared" si="5"/>
        <v>Medición</v>
      </c>
    </row>
    <row r="357" spans="1:9" x14ac:dyDescent="0.2">
      <c r="A357" s="72">
        <f>'ERROR FINAL'!A360</f>
        <v>0</v>
      </c>
      <c r="B357" s="73">
        <v>357</v>
      </c>
      <c r="C357" s="74">
        <f>'ERROR FINAL'!G360</f>
        <v>0</v>
      </c>
      <c r="D357" s="75">
        <f>'ERROR FINAL'!I360</f>
        <v>0</v>
      </c>
      <c r="E357" s="76">
        <f>'ERROR FINAL'!U360</f>
        <v>0</v>
      </c>
      <c r="F357" s="77">
        <f>'ERROR FINAL'!AG360</f>
        <v>0</v>
      </c>
      <c r="G357" s="77">
        <f>'ERROR FINAL'!AS360</f>
        <v>0</v>
      </c>
      <c r="H357" s="78" t="str">
        <f>IF('ERROR FINAL'!AT360="CONFORME","CONFORME","NO CONFORME")</f>
        <v>NO CONFORME</v>
      </c>
      <c r="I357" s="79" t="str">
        <f t="shared" si="5"/>
        <v>Medición</v>
      </c>
    </row>
    <row r="358" spans="1:9" x14ac:dyDescent="0.2">
      <c r="A358" s="72">
        <f>'ERROR FINAL'!A361</f>
        <v>0</v>
      </c>
      <c r="B358" s="73">
        <v>358</v>
      </c>
      <c r="C358" s="74">
        <f>'ERROR FINAL'!G361</f>
        <v>0</v>
      </c>
      <c r="D358" s="75">
        <f>'ERROR FINAL'!I361</f>
        <v>0</v>
      </c>
      <c r="E358" s="76">
        <f>'ERROR FINAL'!U361</f>
        <v>0</v>
      </c>
      <c r="F358" s="77">
        <f>'ERROR FINAL'!AG361</f>
        <v>0</v>
      </c>
      <c r="G358" s="77">
        <f>'ERROR FINAL'!AS361</f>
        <v>0</v>
      </c>
      <c r="H358" s="78" t="str">
        <f>IF('ERROR FINAL'!AT361="CONFORME","CONFORME","NO CONFORME")</f>
        <v>NO CONFORME</v>
      </c>
      <c r="I358" s="79" t="str">
        <f t="shared" si="5"/>
        <v>Medición</v>
      </c>
    </row>
    <row r="359" spans="1:9" x14ac:dyDescent="0.2">
      <c r="A359" s="72">
        <f>'ERROR FINAL'!A362</f>
        <v>0</v>
      </c>
      <c r="B359" s="73">
        <v>359</v>
      </c>
      <c r="C359" s="74">
        <f>'ERROR FINAL'!G362</f>
        <v>0</v>
      </c>
      <c r="D359" s="75">
        <f>'ERROR FINAL'!I362</f>
        <v>0</v>
      </c>
      <c r="E359" s="76">
        <f>'ERROR FINAL'!U362</f>
        <v>0</v>
      </c>
      <c r="F359" s="77">
        <f>'ERROR FINAL'!AG362</f>
        <v>0</v>
      </c>
      <c r="G359" s="77">
        <f>'ERROR FINAL'!AS362</f>
        <v>0</v>
      </c>
      <c r="H359" s="78" t="str">
        <f>IF('ERROR FINAL'!AT362="CONFORME","CONFORME","NO CONFORME")</f>
        <v>NO CONFORME</v>
      </c>
      <c r="I359" s="79" t="str">
        <f t="shared" si="5"/>
        <v>Medición</v>
      </c>
    </row>
    <row r="360" spans="1:9" x14ac:dyDescent="0.2">
      <c r="A360" s="72">
        <f>'ERROR FINAL'!A363</f>
        <v>0</v>
      </c>
      <c r="B360" s="73">
        <v>360</v>
      </c>
      <c r="C360" s="74">
        <f>'ERROR FINAL'!G363</f>
        <v>0</v>
      </c>
      <c r="D360" s="75">
        <f>'ERROR FINAL'!I363</f>
        <v>0</v>
      </c>
      <c r="E360" s="76">
        <f>'ERROR FINAL'!U363</f>
        <v>0</v>
      </c>
      <c r="F360" s="77">
        <f>'ERROR FINAL'!AG363</f>
        <v>0</v>
      </c>
      <c r="G360" s="77">
        <f>'ERROR FINAL'!AS363</f>
        <v>0</v>
      </c>
      <c r="H360" s="78" t="str">
        <f>IF('ERROR FINAL'!AT363="CONFORME","CONFORME","NO CONFORME")</f>
        <v>NO CONFORME</v>
      </c>
      <c r="I360" s="79" t="str">
        <f t="shared" si="5"/>
        <v>Medición</v>
      </c>
    </row>
    <row r="361" spans="1:9" x14ac:dyDescent="0.2">
      <c r="A361" s="72">
        <f>'ERROR FINAL'!A364</f>
        <v>0</v>
      </c>
      <c r="B361" s="73">
        <v>361</v>
      </c>
      <c r="C361" s="74">
        <f>'ERROR FINAL'!G364</f>
        <v>0</v>
      </c>
      <c r="D361" s="75">
        <f>'ERROR FINAL'!I364</f>
        <v>0</v>
      </c>
      <c r="E361" s="76">
        <f>'ERROR FINAL'!U364</f>
        <v>0</v>
      </c>
      <c r="F361" s="77">
        <f>'ERROR FINAL'!AG364</f>
        <v>0</v>
      </c>
      <c r="G361" s="77">
        <f>'ERROR FINAL'!AS364</f>
        <v>0</v>
      </c>
      <c r="H361" s="78" t="str">
        <f>IF('ERROR FINAL'!AT364="CONFORME","CONFORME","NO CONFORME")</f>
        <v>NO CONFORME</v>
      </c>
      <c r="I361" s="79" t="str">
        <f t="shared" si="5"/>
        <v>Medición</v>
      </c>
    </row>
    <row r="362" spans="1:9" x14ac:dyDescent="0.2">
      <c r="A362" s="72">
        <f>'ERROR FINAL'!A365</f>
        <v>0</v>
      </c>
      <c r="B362" s="73">
        <v>362</v>
      </c>
      <c r="C362" s="74">
        <f>'ERROR FINAL'!G365</f>
        <v>0</v>
      </c>
      <c r="D362" s="75">
        <f>'ERROR FINAL'!I365</f>
        <v>0</v>
      </c>
      <c r="E362" s="76">
        <f>'ERROR FINAL'!U365</f>
        <v>0</v>
      </c>
      <c r="F362" s="77">
        <f>'ERROR FINAL'!AG365</f>
        <v>0</v>
      </c>
      <c r="G362" s="77">
        <f>'ERROR FINAL'!AS365</f>
        <v>0</v>
      </c>
      <c r="H362" s="78" t="str">
        <f>IF('ERROR FINAL'!AT365="CONFORME","CONFORME","NO CONFORME")</f>
        <v>NO CONFORME</v>
      </c>
      <c r="I362" s="79" t="str">
        <f t="shared" si="5"/>
        <v>Medición</v>
      </c>
    </row>
    <row r="363" spans="1:9" x14ac:dyDescent="0.2">
      <c r="A363" s="72">
        <f>'ERROR FINAL'!A366</f>
        <v>0</v>
      </c>
      <c r="B363" s="73">
        <v>363</v>
      </c>
      <c r="C363" s="74">
        <f>'ERROR FINAL'!G366</f>
        <v>0</v>
      </c>
      <c r="D363" s="75">
        <f>'ERROR FINAL'!I366</f>
        <v>0</v>
      </c>
      <c r="E363" s="76">
        <f>'ERROR FINAL'!U366</f>
        <v>0</v>
      </c>
      <c r="F363" s="77">
        <f>'ERROR FINAL'!AG366</f>
        <v>0</v>
      </c>
      <c r="G363" s="77">
        <f>'ERROR FINAL'!AS366</f>
        <v>0</v>
      </c>
      <c r="H363" s="78" t="str">
        <f>IF('ERROR FINAL'!AT366="CONFORME","CONFORME","NO CONFORME")</f>
        <v>NO CONFORME</v>
      </c>
      <c r="I363" s="79" t="str">
        <f t="shared" si="5"/>
        <v>Medición</v>
      </c>
    </row>
    <row r="364" spans="1:9" x14ac:dyDescent="0.2">
      <c r="A364" s="72">
        <f>'ERROR FINAL'!A367</f>
        <v>0</v>
      </c>
      <c r="B364" s="73">
        <v>364</v>
      </c>
      <c r="C364" s="74">
        <f>'ERROR FINAL'!G367</f>
        <v>0</v>
      </c>
      <c r="D364" s="75">
        <f>'ERROR FINAL'!I367</f>
        <v>0</v>
      </c>
      <c r="E364" s="76">
        <f>'ERROR FINAL'!U367</f>
        <v>0</v>
      </c>
      <c r="F364" s="77">
        <f>'ERROR FINAL'!AG367</f>
        <v>0</v>
      </c>
      <c r="G364" s="77">
        <f>'ERROR FINAL'!AS367</f>
        <v>0</v>
      </c>
      <c r="H364" s="78" t="str">
        <f>IF('ERROR FINAL'!AT367="CONFORME","CONFORME","NO CONFORME")</f>
        <v>NO CONFORME</v>
      </c>
      <c r="I364" s="79" t="str">
        <f t="shared" si="5"/>
        <v>Medición</v>
      </c>
    </row>
    <row r="365" spans="1:9" x14ac:dyDescent="0.2">
      <c r="A365" s="72">
        <f>'ERROR FINAL'!A368</f>
        <v>0</v>
      </c>
      <c r="B365" s="73">
        <v>365</v>
      </c>
      <c r="C365" s="74">
        <f>'ERROR FINAL'!G368</f>
        <v>0</v>
      </c>
      <c r="D365" s="75">
        <f>'ERROR FINAL'!I368</f>
        <v>0</v>
      </c>
      <c r="E365" s="76">
        <f>'ERROR FINAL'!U368</f>
        <v>0</v>
      </c>
      <c r="F365" s="77">
        <f>'ERROR FINAL'!AG368</f>
        <v>0</v>
      </c>
      <c r="G365" s="77">
        <f>'ERROR FINAL'!AS368</f>
        <v>0</v>
      </c>
      <c r="H365" s="78" t="str">
        <f>IF('ERROR FINAL'!AT368="CONFORME","CONFORME","NO CONFORME")</f>
        <v>NO CONFORME</v>
      </c>
      <c r="I365" s="79" t="str">
        <f t="shared" si="5"/>
        <v>Medición</v>
      </c>
    </row>
    <row r="366" spans="1:9" x14ac:dyDescent="0.2">
      <c r="A366" s="72">
        <f>'ERROR FINAL'!A369</f>
        <v>0</v>
      </c>
      <c r="B366" s="73">
        <v>366</v>
      </c>
      <c r="C366" s="74">
        <f>'ERROR FINAL'!G369</f>
        <v>0</v>
      </c>
      <c r="D366" s="75">
        <f>'ERROR FINAL'!I369</f>
        <v>0</v>
      </c>
      <c r="E366" s="76">
        <f>'ERROR FINAL'!U369</f>
        <v>0</v>
      </c>
      <c r="F366" s="77">
        <f>'ERROR FINAL'!AG369</f>
        <v>0</v>
      </c>
      <c r="G366" s="77">
        <f>'ERROR FINAL'!AS369</f>
        <v>0</v>
      </c>
      <c r="H366" s="78" t="str">
        <f>IF('ERROR FINAL'!AT369="CONFORME","CONFORME","NO CONFORME")</f>
        <v>NO CONFORME</v>
      </c>
      <c r="I366" s="79" t="str">
        <f t="shared" si="5"/>
        <v>Medición</v>
      </c>
    </row>
    <row r="367" spans="1:9" x14ac:dyDescent="0.2">
      <c r="A367" s="72">
        <f>'ERROR FINAL'!A370</f>
        <v>0</v>
      </c>
      <c r="B367" s="73">
        <v>367</v>
      </c>
      <c r="C367" s="74">
        <f>'ERROR FINAL'!G370</f>
        <v>0</v>
      </c>
      <c r="D367" s="75">
        <f>'ERROR FINAL'!I370</f>
        <v>0</v>
      </c>
      <c r="E367" s="76">
        <f>'ERROR FINAL'!U370</f>
        <v>0</v>
      </c>
      <c r="F367" s="77">
        <f>'ERROR FINAL'!AG370</f>
        <v>0</v>
      </c>
      <c r="G367" s="77">
        <f>'ERROR FINAL'!AS370</f>
        <v>0</v>
      </c>
      <c r="H367" s="78" t="str">
        <f>IF('ERROR FINAL'!AT370="CONFORME","CONFORME","NO CONFORME")</f>
        <v>NO CONFORME</v>
      </c>
      <c r="I367" s="79" t="str">
        <f t="shared" si="5"/>
        <v>Medición</v>
      </c>
    </row>
    <row r="368" spans="1:9" x14ac:dyDescent="0.2">
      <c r="A368" s="72">
        <f>'ERROR FINAL'!A371</f>
        <v>0</v>
      </c>
      <c r="B368" s="73">
        <v>368</v>
      </c>
      <c r="C368" s="74">
        <f>'ERROR FINAL'!G371</f>
        <v>0</v>
      </c>
      <c r="D368" s="75">
        <f>'ERROR FINAL'!I371</f>
        <v>0</v>
      </c>
      <c r="E368" s="76">
        <f>'ERROR FINAL'!U371</f>
        <v>0</v>
      </c>
      <c r="F368" s="77">
        <f>'ERROR FINAL'!AG371</f>
        <v>0</v>
      </c>
      <c r="G368" s="77">
        <f>'ERROR FINAL'!AS371</f>
        <v>0</v>
      </c>
      <c r="H368" s="78" t="str">
        <f>IF('ERROR FINAL'!AT371="CONFORME","CONFORME","NO CONFORME")</f>
        <v>NO CONFORME</v>
      </c>
      <c r="I368" s="79" t="str">
        <f t="shared" si="5"/>
        <v>Medición</v>
      </c>
    </row>
    <row r="369" spans="1:9" x14ac:dyDescent="0.2">
      <c r="A369" s="72">
        <f>'ERROR FINAL'!A372</f>
        <v>0</v>
      </c>
      <c r="B369" s="73">
        <v>369</v>
      </c>
      <c r="C369" s="74">
        <f>'ERROR FINAL'!G372</f>
        <v>0</v>
      </c>
      <c r="D369" s="75">
        <f>'ERROR FINAL'!I372</f>
        <v>0</v>
      </c>
      <c r="E369" s="76">
        <f>'ERROR FINAL'!U372</f>
        <v>0</v>
      </c>
      <c r="F369" s="77">
        <f>'ERROR FINAL'!AG372</f>
        <v>0</v>
      </c>
      <c r="G369" s="77">
        <f>'ERROR FINAL'!AS372</f>
        <v>0</v>
      </c>
      <c r="H369" s="78" t="str">
        <f>IF('ERROR FINAL'!AT372="CONFORME","CONFORME","NO CONFORME")</f>
        <v>NO CONFORME</v>
      </c>
      <c r="I369" s="79" t="str">
        <f t="shared" si="5"/>
        <v>Medición</v>
      </c>
    </row>
    <row r="370" spans="1:9" x14ac:dyDescent="0.2">
      <c r="A370" s="72">
        <f>'ERROR FINAL'!A373</f>
        <v>0</v>
      </c>
      <c r="B370" s="73">
        <v>370</v>
      </c>
      <c r="C370" s="74">
        <f>'ERROR FINAL'!G373</f>
        <v>0</v>
      </c>
      <c r="D370" s="75">
        <f>'ERROR FINAL'!I373</f>
        <v>0</v>
      </c>
      <c r="E370" s="76">
        <f>'ERROR FINAL'!U373</f>
        <v>0</v>
      </c>
      <c r="F370" s="77">
        <f>'ERROR FINAL'!AG373</f>
        <v>0</v>
      </c>
      <c r="G370" s="77">
        <f>'ERROR FINAL'!AS373</f>
        <v>0</v>
      </c>
      <c r="H370" s="78" t="str">
        <f>IF('ERROR FINAL'!AT373="CONFORME","CONFORME","NO CONFORME")</f>
        <v>NO CONFORME</v>
      </c>
      <c r="I370" s="79" t="str">
        <f t="shared" si="5"/>
        <v>Medición</v>
      </c>
    </row>
    <row r="371" spans="1:9" x14ac:dyDescent="0.2">
      <c r="A371" s="72">
        <f>'ERROR FINAL'!A374</f>
        <v>0</v>
      </c>
      <c r="B371" s="73">
        <v>371</v>
      </c>
      <c r="C371" s="74">
        <f>'ERROR FINAL'!G374</f>
        <v>0</v>
      </c>
      <c r="D371" s="75">
        <f>'ERROR FINAL'!I374</f>
        <v>0</v>
      </c>
      <c r="E371" s="76">
        <f>'ERROR FINAL'!U374</f>
        <v>0</v>
      </c>
      <c r="F371" s="77">
        <f>'ERROR FINAL'!AG374</f>
        <v>0</v>
      </c>
      <c r="G371" s="77">
        <f>'ERROR FINAL'!AS374</f>
        <v>0</v>
      </c>
      <c r="H371" s="78" t="str">
        <f>IF('ERROR FINAL'!AT374="CONFORME","CONFORME","NO CONFORME")</f>
        <v>NO CONFORME</v>
      </c>
      <c r="I371" s="79" t="str">
        <f t="shared" si="5"/>
        <v>Medición</v>
      </c>
    </row>
    <row r="372" spans="1:9" x14ac:dyDescent="0.2">
      <c r="A372" s="72">
        <f>'ERROR FINAL'!A375</f>
        <v>0</v>
      </c>
      <c r="B372" s="73">
        <v>372</v>
      </c>
      <c r="C372" s="74">
        <f>'ERROR FINAL'!G375</f>
        <v>0</v>
      </c>
      <c r="D372" s="75">
        <f>'ERROR FINAL'!I375</f>
        <v>0</v>
      </c>
      <c r="E372" s="76">
        <f>'ERROR FINAL'!U375</f>
        <v>0</v>
      </c>
      <c r="F372" s="77">
        <f>'ERROR FINAL'!AG375</f>
        <v>0</v>
      </c>
      <c r="G372" s="77">
        <f>'ERROR FINAL'!AS375</f>
        <v>0</v>
      </c>
      <c r="H372" s="78" t="str">
        <f>IF('ERROR FINAL'!AT375="CONFORME","CONFORME","NO CONFORME")</f>
        <v>NO CONFORME</v>
      </c>
      <c r="I372" s="79" t="str">
        <f t="shared" si="5"/>
        <v>Medición</v>
      </c>
    </row>
    <row r="373" spans="1:9" x14ac:dyDescent="0.2">
      <c r="A373" s="72">
        <f>'ERROR FINAL'!A376</f>
        <v>0</v>
      </c>
      <c r="B373" s="73">
        <v>373</v>
      </c>
      <c r="C373" s="74">
        <f>'ERROR FINAL'!G376</f>
        <v>0</v>
      </c>
      <c r="D373" s="75">
        <f>'ERROR FINAL'!I376</f>
        <v>0</v>
      </c>
      <c r="E373" s="76">
        <f>'ERROR FINAL'!U376</f>
        <v>0</v>
      </c>
      <c r="F373" s="77">
        <f>'ERROR FINAL'!AG376</f>
        <v>0</v>
      </c>
      <c r="G373" s="77">
        <f>'ERROR FINAL'!AS376</f>
        <v>0</v>
      </c>
      <c r="H373" s="78" t="str">
        <f>IF('ERROR FINAL'!AT376="CONFORME","CONFORME","NO CONFORME")</f>
        <v>NO CONFORME</v>
      </c>
      <c r="I373" s="79" t="str">
        <f t="shared" si="5"/>
        <v>Medición</v>
      </c>
    </row>
    <row r="374" spans="1:9" x14ac:dyDescent="0.2">
      <c r="A374" s="72">
        <f>'ERROR FINAL'!A377</f>
        <v>0</v>
      </c>
      <c r="B374" s="73">
        <v>374</v>
      </c>
      <c r="C374" s="74">
        <f>'ERROR FINAL'!G377</f>
        <v>0</v>
      </c>
      <c r="D374" s="75">
        <f>'ERROR FINAL'!I377</f>
        <v>0</v>
      </c>
      <c r="E374" s="76">
        <f>'ERROR FINAL'!U377</f>
        <v>0</v>
      </c>
      <c r="F374" s="77">
        <f>'ERROR FINAL'!AG377</f>
        <v>0</v>
      </c>
      <c r="G374" s="77">
        <f>'ERROR FINAL'!AS377</f>
        <v>0</v>
      </c>
      <c r="H374" s="78" t="str">
        <f>IF('ERROR FINAL'!AT377="CONFORME","CONFORME","NO CONFORME")</f>
        <v>NO CONFORME</v>
      </c>
      <c r="I374" s="79" t="str">
        <f t="shared" si="5"/>
        <v>Medición</v>
      </c>
    </row>
    <row r="375" spans="1:9" x14ac:dyDescent="0.2">
      <c r="A375" s="72">
        <f>'ERROR FINAL'!A378</f>
        <v>0</v>
      </c>
      <c r="B375" s="73">
        <v>375</v>
      </c>
      <c r="C375" s="74">
        <f>'ERROR FINAL'!G378</f>
        <v>0</v>
      </c>
      <c r="D375" s="75">
        <f>'ERROR FINAL'!I378</f>
        <v>0</v>
      </c>
      <c r="E375" s="76">
        <f>'ERROR FINAL'!U378</f>
        <v>0</v>
      </c>
      <c r="F375" s="77">
        <f>'ERROR FINAL'!AG378</f>
        <v>0</v>
      </c>
      <c r="G375" s="77">
        <f>'ERROR FINAL'!AS378</f>
        <v>0</v>
      </c>
      <c r="H375" s="78" t="str">
        <f>IF('ERROR FINAL'!AT378="CONFORME","CONFORME","NO CONFORME")</f>
        <v>NO CONFORME</v>
      </c>
      <c r="I375" s="79" t="str">
        <f t="shared" si="5"/>
        <v>Medición</v>
      </c>
    </row>
    <row r="376" spans="1:9" x14ac:dyDescent="0.2">
      <c r="A376" s="72">
        <f>'ERROR FINAL'!A379</f>
        <v>0</v>
      </c>
      <c r="B376" s="73">
        <v>376</v>
      </c>
      <c r="C376" s="74">
        <f>'ERROR FINAL'!G379</f>
        <v>0</v>
      </c>
      <c r="D376" s="75">
        <f>'ERROR FINAL'!I379</f>
        <v>0</v>
      </c>
      <c r="E376" s="76">
        <f>'ERROR FINAL'!U379</f>
        <v>0</v>
      </c>
      <c r="F376" s="77">
        <f>'ERROR FINAL'!AG379</f>
        <v>0</v>
      </c>
      <c r="G376" s="77">
        <f>'ERROR FINAL'!AS379</f>
        <v>0</v>
      </c>
      <c r="H376" s="78" t="str">
        <f>IF('ERROR FINAL'!AT379="CONFORME","CONFORME","NO CONFORME")</f>
        <v>NO CONFORME</v>
      </c>
      <c r="I376" s="79" t="str">
        <f t="shared" si="5"/>
        <v>Medición</v>
      </c>
    </row>
    <row r="377" spans="1:9" x14ac:dyDescent="0.2">
      <c r="A377" s="72">
        <f>'ERROR FINAL'!A380</f>
        <v>0</v>
      </c>
      <c r="B377" s="73">
        <v>377</v>
      </c>
      <c r="C377" s="74">
        <f>'ERROR FINAL'!G380</f>
        <v>0</v>
      </c>
      <c r="D377" s="75">
        <f>'ERROR FINAL'!I380</f>
        <v>0</v>
      </c>
      <c r="E377" s="76">
        <f>'ERROR FINAL'!U380</f>
        <v>0</v>
      </c>
      <c r="F377" s="77">
        <f>'ERROR FINAL'!AG380</f>
        <v>0</v>
      </c>
      <c r="G377" s="77">
        <f>'ERROR FINAL'!AS380</f>
        <v>0</v>
      </c>
      <c r="H377" s="78" t="str">
        <f>IF('ERROR FINAL'!AT380="CONFORME","CONFORME","NO CONFORME")</f>
        <v>NO CONFORME</v>
      </c>
      <c r="I377" s="79" t="str">
        <f t="shared" si="5"/>
        <v>Medición</v>
      </c>
    </row>
    <row r="378" spans="1:9" x14ac:dyDescent="0.2">
      <c r="A378" s="72">
        <f>'ERROR FINAL'!A381</f>
        <v>0</v>
      </c>
      <c r="B378" s="73">
        <v>378</v>
      </c>
      <c r="C378" s="74">
        <f>'ERROR FINAL'!G381</f>
        <v>0</v>
      </c>
      <c r="D378" s="75">
        <f>'ERROR FINAL'!I381</f>
        <v>0</v>
      </c>
      <c r="E378" s="76">
        <f>'ERROR FINAL'!U381</f>
        <v>0</v>
      </c>
      <c r="F378" s="77">
        <f>'ERROR FINAL'!AG381</f>
        <v>0</v>
      </c>
      <c r="G378" s="77">
        <f>'ERROR FINAL'!AS381</f>
        <v>0</v>
      </c>
      <c r="H378" s="78" t="str">
        <f>IF('ERROR FINAL'!AT381="CONFORME","CONFORME","NO CONFORME")</f>
        <v>NO CONFORME</v>
      </c>
      <c r="I378" s="79" t="str">
        <f t="shared" si="5"/>
        <v>Medición</v>
      </c>
    </row>
    <row r="379" spans="1:9" x14ac:dyDescent="0.2">
      <c r="A379" s="72">
        <f>'ERROR FINAL'!A382</f>
        <v>0</v>
      </c>
      <c r="B379" s="73">
        <v>379</v>
      </c>
      <c r="C379" s="74">
        <f>'ERROR FINAL'!G382</f>
        <v>0</v>
      </c>
      <c r="D379" s="75">
        <f>'ERROR FINAL'!I382</f>
        <v>0</v>
      </c>
      <c r="E379" s="76">
        <f>'ERROR FINAL'!U382</f>
        <v>0</v>
      </c>
      <c r="F379" s="77">
        <f>'ERROR FINAL'!AG382</f>
        <v>0</v>
      </c>
      <c r="G379" s="77">
        <f>'ERROR FINAL'!AS382</f>
        <v>0</v>
      </c>
      <c r="H379" s="78" t="str">
        <f>IF('ERROR FINAL'!AT382="CONFORME","CONFORME","NO CONFORME")</f>
        <v>NO CONFORME</v>
      </c>
      <c r="I379" s="79" t="str">
        <f t="shared" si="5"/>
        <v>Medición</v>
      </c>
    </row>
    <row r="380" spans="1:9" x14ac:dyDescent="0.2">
      <c r="A380" s="72">
        <f>'ERROR FINAL'!A383</f>
        <v>0</v>
      </c>
      <c r="B380" s="73">
        <v>380</v>
      </c>
      <c r="C380" s="74">
        <f>'ERROR FINAL'!G383</f>
        <v>0</v>
      </c>
      <c r="D380" s="75">
        <f>'ERROR FINAL'!I383</f>
        <v>0</v>
      </c>
      <c r="E380" s="76">
        <f>'ERROR FINAL'!U383</f>
        <v>0</v>
      </c>
      <c r="F380" s="77">
        <f>'ERROR FINAL'!AG383</f>
        <v>0</v>
      </c>
      <c r="G380" s="77">
        <f>'ERROR FINAL'!AS383</f>
        <v>0</v>
      </c>
      <c r="H380" s="78" t="str">
        <f>IF('ERROR FINAL'!AT383="CONFORME","CONFORME","NO CONFORME")</f>
        <v>NO CONFORME</v>
      </c>
      <c r="I380" s="79" t="str">
        <f t="shared" si="5"/>
        <v>Medición</v>
      </c>
    </row>
    <row r="381" spans="1:9" x14ac:dyDescent="0.2">
      <c r="A381" s="72">
        <f>'ERROR FINAL'!A384</f>
        <v>0</v>
      </c>
      <c r="B381" s="73">
        <v>381</v>
      </c>
      <c r="C381" s="74">
        <f>'ERROR FINAL'!G384</f>
        <v>0</v>
      </c>
      <c r="D381" s="75">
        <f>'ERROR FINAL'!I384</f>
        <v>0</v>
      </c>
      <c r="E381" s="76">
        <f>'ERROR FINAL'!U384</f>
        <v>0</v>
      </c>
      <c r="F381" s="77">
        <f>'ERROR FINAL'!AG384</f>
        <v>0</v>
      </c>
      <c r="G381" s="77">
        <f>'ERROR FINAL'!AS384</f>
        <v>0</v>
      </c>
      <c r="H381" s="78" t="str">
        <f>IF('ERROR FINAL'!AT384="CONFORME","CONFORME","NO CONFORME")</f>
        <v>NO CONFORME</v>
      </c>
      <c r="I381" s="79" t="str">
        <f t="shared" si="5"/>
        <v>Medición</v>
      </c>
    </row>
    <row r="382" spans="1:9" x14ac:dyDescent="0.2">
      <c r="A382" s="72">
        <f>'ERROR FINAL'!A385</f>
        <v>0</v>
      </c>
      <c r="B382" s="73">
        <v>382</v>
      </c>
      <c r="C382" s="74">
        <f>'ERROR FINAL'!G385</f>
        <v>0</v>
      </c>
      <c r="D382" s="75">
        <f>'ERROR FINAL'!I385</f>
        <v>0</v>
      </c>
      <c r="E382" s="76">
        <f>'ERROR FINAL'!U385</f>
        <v>0</v>
      </c>
      <c r="F382" s="77">
        <f>'ERROR FINAL'!AG385</f>
        <v>0</v>
      </c>
      <c r="G382" s="77">
        <f>'ERROR FINAL'!AS385</f>
        <v>0</v>
      </c>
      <c r="H382" s="78" t="str">
        <f>IF('ERROR FINAL'!AT385="CONFORME","CONFORME","NO CONFORME")</f>
        <v>NO CONFORME</v>
      </c>
      <c r="I382" s="79" t="str">
        <f t="shared" si="5"/>
        <v>Medición</v>
      </c>
    </row>
    <row r="383" spans="1:9" x14ac:dyDescent="0.2">
      <c r="A383" s="72">
        <f>'ERROR FINAL'!A386</f>
        <v>0</v>
      </c>
      <c r="B383" s="73">
        <v>383</v>
      </c>
      <c r="C383" s="74">
        <f>'ERROR FINAL'!G386</f>
        <v>0</v>
      </c>
      <c r="D383" s="75">
        <f>'ERROR FINAL'!I386</f>
        <v>0</v>
      </c>
      <c r="E383" s="76">
        <f>'ERROR FINAL'!U386</f>
        <v>0</v>
      </c>
      <c r="F383" s="77">
        <f>'ERROR FINAL'!AG386</f>
        <v>0</v>
      </c>
      <c r="G383" s="77">
        <f>'ERROR FINAL'!AS386</f>
        <v>0</v>
      </c>
      <c r="H383" s="78" t="str">
        <f>IF('ERROR FINAL'!AT386="CONFORME","CONFORME","NO CONFORME")</f>
        <v>NO CONFORME</v>
      </c>
      <c r="I383" s="79" t="str">
        <f t="shared" si="5"/>
        <v>Medición</v>
      </c>
    </row>
    <row r="384" spans="1:9" x14ac:dyDescent="0.2">
      <c r="A384" s="72">
        <f>'ERROR FINAL'!A387</f>
        <v>0</v>
      </c>
      <c r="B384" s="73">
        <v>384</v>
      </c>
      <c r="C384" s="74">
        <f>'ERROR FINAL'!G387</f>
        <v>0</v>
      </c>
      <c r="D384" s="75">
        <f>'ERROR FINAL'!I387</f>
        <v>0</v>
      </c>
      <c r="E384" s="76">
        <f>'ERROR FINAL'!U387</f>
        <v>0</v>
      </c>
      <c r="F384" s="77">
        <f>'ERROR FINAL'!AG387</f>
        <v>0</v>
      </c>
      <c r="G384" s="77">
        <f>'ERROR FINAL'!AS387</f>
        <v>0</v>
      </c>
      <c r="H384" s="78" t="str">
        <f>IF('ERROR FINAL'!AT387="CONFORME","CONFORME","NO CONFORME")</f>
        <v>NO CONFORME</v>
      </c>
      <c r="I384" s="79" t="str">
        <f t="shared" si="5"/>
        <v>Medición</v>
      </c>
    </row>
    <row r="385" spans="1:9" x14ac:dyDescent="0.2">
      <c r="A385" s="72">
        <f>'ERROR FINAL'!A388</f>
        <v>0</v>
      </c>
      <c r="B385" s="73">
        <v>385</v>
      </c>
      <c r="C385" s="74">
        <f>'ERROR FINAL'!G388</f>
        <v>0</v>
      </c>
      <c r="D385" s="75">
        <f>'ERROR FINAL'!I388</f>
        <v>0</v>
      </c>
      <c r="E385" s="76">
        <f>'ERROR FINAL'!U388</f>
        <v>0</v>
      </c>
      <c r="F385" s="77">
        <f>'ERROR FINAL'!AG388</f>
        <v>0</v>
      </c>
      <c r="G385" s="77">
        <f>'ERROR FINAL'!AS388</f>
        <v>0</v>
      </c>
      <c r="H385" s="78" t="str">
        <f>IF('ERROR FINAL'!AT388="CONFORME","CONFORME","NO CONFORME")</f>
        <v>NO CONFORME</v>
      </c>
      <c r="I385" s="79" t="str">
        <f t="shared" si="5"/>
        <v>Medición</v>
      </c>
    </row>
    <row r="386" spans="1:9" x14ac:dyDescent="0.2">
      <c r="A386" s="72">
        <f>'ERROR FINAL'!A389</f>
        <v>0</v>
      </c>
      <c r="B386" s="73">
        <v>386</v>
      </c>
      <c r="C386" s="74">
        <f>'ERROR FINAL'!G389</f>
        <v>0</v>
      </c>
      <c r="D386" s="75">
        <f>'ERROR FINAL'!I389</f>
        <v>0</v>
      </c>
      <c r="E386" s="76">
        <f>'ERROR FINAL'!U389</f>
        <v>0</v>
      </c>
      <c r="F386" s="77">
        <f>'ERROR FINAL'!AG389</f>
        <v>0</v>
      </c>
      <c r="G386" s="77">
        <f>'ERROR FINAL'!AS389</f>
        <v>0</v>
      </c>
      <c r="H386" s="78" t="str">
        <f>IF('ERROR FINAL'!AT389="CONFORME","CONFORME","NO CONFORME")</f>
        <v>NO CONFORME</v>
      </c>
      <c r="I386" s="79" t="str">
        <f t="shared" si="5"/>
        <v>Medición</v>
      </c>
    </row>
    <row r="387" spans="1:9" x14ac:dyDescent="0.2">
      <c r="A387" s="72">
        <f>'ERROR FINAL'!A390</f>
        <v>0</v>
      </c>
      <c r="B387" s="73">
        <v>387</v>
      </c>
      <c r="C387" s="74">
        <f>'ERROR FINAL'!G390</f>
        <v>0</v>
      </c>
      <c r="D387" s="75">
        <f>'ERROR FINAL'!I390</f>
        <v>0</v>
      </c>
      <c r="E387" s="76">
        <f>'ERROR FINAL'!U390</f>
        <v>0</v>
      </c>
      <c r="F387" s="77">
        <f>'ERROR FINAL'!AG390</f>
        <v>0</v>
      </c>
      <c r="G387" s="77">
        <f>'ERROR FINAL'!AS390</f>
        <v>0</v>
      </c>
      <c r="H387" s="78" t="str">
        <f>IF('ERROR FINAL'!AT390="CONFORME","CONFORME","NO CONFORME")</f>
        <v>NO CONFORME</v>
      </c>
      <c r="I387" s="79" t="str">
        <f t="shared" si="5"/>
        <v>Medición</v>
      </c>
    </row>
    <row r="388" spans="1:9" x14ac:dyDescent="0.2">
      <c r="A388" s="72">
        <f>'ERROR FINAL'!A391</f>
        <v>0</v>
      </c>
      <c r="B388" s="73">
        <v>388</v>
      </c>
      <c r="C388" s="74">
        <f>'ERROR FINAL'!G391</f>
        <v>0</v>
      </c>
      <c r="D388" s="75">
        <f>'ERROR FINAL'!I391</f>
        <v>0</v>
      </c>
      <c r="E388" s="76">
        <f>'ERROR FINAL'!U391</f>
        <v>0</v>
      </c>
      <c r="F388" s="77">
        <f>'ERROR FINAL'!AG391</f>
        <v>0</v>
      </c>
      <c r="G388" s="77">
        <f>'ERROR FINAL'!AS391</f>
        <v>0</v>
      </c>
      <c r="H388" s="78" t="str">
        <f>IF('ERROR FINAL'!AT391="CONFORME","CONFORME","NO CONFORME")</f>
        <v>NO CONFORME</v>
      </c>
      <c r="I388" s="79" t="str">
        <f t="shared" si="5"/>
        <v>Medición</v>
      </c>
    </row>
    <row r="389" spans="1:9" x14ac:dyDescent="0.2">
      <c r="A389" s="72">
        <f>'ERROR FINAL'!A392</f>
        <v>0</v>
      </c>
      <c r="B389" s="73">
        <v>389</v>
      </c>
      <c r="C389" s="74">
        <f>'ERROR FINAL'!G392</f>
        <v>0</v>
      </c>
      <c r="D389" s="75">
        <f>'ERROR FINAL'!I392</f>
        <v>0</v>
      </c>
      <c r="E389" s="76">
        <f>'ERROR FINAL'!U392</f>
        <v>0</v>
      </c>
      <c r="F389" s="77">
        <f>'ERROR FINAL'!AG392</f>
        <v>0</v>
      </c>
      <c r="G389" s="77">
        <f>'ERROR FINAL'!AS392</f>
        <v>0</v>
      </c>
      <c r="H389" s="78" t="str">
        <f>IF('ERROR FINAL'!AT392="CONFORME","CONFORME","NO CONFORME")</f>
        <v>NO CONFORME</v>
      </c>
      <c r="I389" s="79" t="str">
        <f t="shared" si="5"/>
        <v>Medición</v>
      </c>
    </row>
    <row r="390" spans="1:9" x14ac:dyDescent="0.2">
      <c r="A390" s="72">
        <f>'ERROR FINAL'!A393</f>
        <v>0</v>
      </c>
      <c r="B390" s="73">
        <v>390</v>
      </c>
      <c r="C390" s="74">
        <f>'ERROR FINAL'!G393</f>
        <v>0</v>
      </c>
      <c r="D390" s="75">
        <f>'ERROR FINAL'!I393</f>
        <v>0</v>
      </c>
      <c r="E390" s="76">
        <f>'ERROR FINAL'!U393</f>
        <v>0</v>
      </c>
      <c r="F390" s="77">
        <f>'ERROR FINAL'!AG393</f>
        <v>0</v>
      </c>
      <c r="G390" s="77">
        <f>'ERROR FINAL'!AS393</f>
        <v>0</v>
      </c>
      <c r="H390" s="78" t="str">
        <f>IF('ERROR FINAL'!AT393="CONFORME","CONFORME","NO CONFORME")</f>
        <v>NO CONFORME</v>
      </c>
      <c r="I390" s="79" t="str">
        <f t="shared" si="5"/>
        <v>Medición</v>
      </c>
    </row>
    <row r="391" spans="1:9" x14ac:dyDescent="0.2">
      <c r="A391" s="72">
        <f>'ERROR FINAL'!A394</f>
        <v>0</v>
      </c>
      <c r="B391" s="73">
        <v>391</v>
      </c>
      <c r="C391" s="74">
        <f>'ERROR FINAL'!G394</f>
        <v>0</v>
      </c>
      <c r="D391" s="75">
        <f>'ERROR FINAL'!I394</f>
        <v>0</v>
      </c>
      <c r="E391" s="76">
        <f>'ERROR FINAL'!U394</f>
        <v>0</v>
      </c>
      <c r="F391" s="77">
        <f>'ERROR FINAL'!AG394</f>
        <v>0</v>
      </c>
      <c r="G391" s="77">
        <f>'ERROR FINAL'!AS394</f>
        <v>0</v>
      </c>
      <c r="H391" s="78" t="str">
        <f>IF('ERROR FINAL'!AT394="CONFORME","CONFORME","NO CONFORME")</f>
        <v>NO CONFORME</v>
      </c>
      <c r="I391" s="79" t="str">
        <f t="shared" ref="I391:I454" si="6">IF(D391=0,"Medición",IF(D391=1,"Daño físico",IF(D391=2,"Fuga",IF(D391=3,"Picado",IF(D391=4,"Desfasado",IF(D391=5,"Paralizado","¿?"))))))</f>
        <v>Medición</v>
      </c>
    </row>
    <row r="392" spans="1:9" x14ac:dyDescent="0.2">
      <c r="A392" s="72">
        <f>'ERROR FINAL'!A395</f>
        <v>0</v>
      </c>
      <c r="B392" s="73">
        <v>392</v>
      </c>
      <c r="C392" s="74">
        <f>'ERROR FINAL'!G395</f>
        <v>0</v>
      </c>
      <c r="D392" s="75">
        <f>'ERROR FINAL'!I395</f>
        <v>0</v>
      </c>
      <c r="E392" s="76">
        <f>'ERROR FINAL'!U395</f>
        <v>0</v>
      </c>
      <c r="F392" s="77">
        <f>'ERROR FINAL'!AG395</f>
        <v>0</v>
      </c>
      <c r="G392" s="77">
        <f>'ERROR FINAL'!AS395</f>
        <v>0</v>
      </c>
      <c r="H392" s="78" t="str">
        <f>IF('ERROR FINAL'!AT395="CONFORME","CONFORME","NO CONFORME")</f>
        <v>NO CONFORME</v>
      </c>
      <c r="I392" s="79" t="str">
        <f t="shared" si="6"/>
        <v>Medición</v>
      </c>
    </row>
    <row r="393" spans="1:9" x14ac:dyDescent="0.2">
      <c r="A393" s="72">
        <f>'ERROR FINAL'!A396</f>
        <v>0</v>
      </c>
      <c r="B393" s="73">
        <v>393</v>
      </c>
      <c r="C393" s="74">
        <f>'ERROR FINAL'!G396</f>
        <v>0</v>
      </c>
      <c r="D393" s="75">
        <f>'ERROR FINAL'!I396</f>
        <v>0</v>
      </c>
      <c r="E393" s="76">
        <f>'ERROR FINAL'!U396</f>
        <v>0</v>
      </c>
      <c r="F393" s="77">
        <f>'ERROR FINAL'!AG396</f>
        <v>0</v>
      </c>
      <c r="G393" s="77">
        <f>'ERROR FINAL'!AS396</f>
        <v>0</v>
      </c>
      <c r="H393" s="78" t="str">
        <f>IF('ERROR FINAL'!AT396="CONFORME","CONFORME","NO CONFORME")</f>
        <v>NO CONFORME</v>
      </c>
      <c r="I393" s="79" t="str">
        <f t="shared" si="6"/>
        <v>Medición</v>
      </c>
    </row>
    <row r="394" spans="1:9" x14ac:dyDescent="0.2">
      <c r="A394" s="72">
        <f>'ERROR FINAL'!A397</f>
        <v>0</v>
      </c>
      <c r="B394" s="73">
        <v>394</v>
      </c>
      <c r="C394" s="74">
        <f>'ERROR FINAL'!G397</f>
        <v>0</v>
      </c>
      <c r="D394" s="75">
        <f>'ERROR FINAL'!I397</f>
        <v>0</v>
      </c>
      <c r="E394" s="76">
        <f>'ERROR FINAL'!U397</f>
        <v>0</v>
      </c>
      <c r="F394" s="77">
        <f>'ERROR FINAL'!AG397</f>
        <v>0</v>
      </c>
      <c r="G394" s="77">
        <f>'ERROR FINAL'!AS397</f>
        <v>0</v>
      </c>
      <c r="H394" s="78" t="str">
        <f>IF('ERROR FINAL'!AT397="CONFORME","CONFORME","NO CONFORME")</f>
        <v>NO CONFORME</v>
      </c>
      <c r="I394" s="79" t="str">
        <f t="shared" si="6"/>
        <v>Medición</v>
      </c>
    </row>
    <row r="395" spans="1:9" x14ac:dyDescent="0.2">
      <c r="A395" s="72">
        <f>'ERROR FINAL'!A398</f>
        <v>0</v>
      </c>
      <c r="B395" s="73">
        <v>395</v>
      </c>
      <c r="C395" s="74">
        <f>'ERROR FINAL'!G398</f>
        <v>0</v>
      </c>
      <c r="D395" s="75">
        <f>'ERROR FINAL'!I398</f>
        <v>0</v>
      </c>
      <c r="E395" s="76">
        <f>'ERROR FINAL'!U398</f>
        <v>0</v>
      </c>
      <c r="F395" s="77">
        <f>'ERROR FINAL'!AG398</f>
        <v>0</v>
      </c>
      <c r="G395" s="77">
        <f>'ERROR FINAL'!AS398</f>
        <v>0</v>
      </c>
      <c r="H395" s="78" t="str">
        <f>IF('ERROR FINAL'!AT398="CONFORME","CONFORME","NO CONFORME")</f>
        <v>NO CONFORME</v>
      </c>
      <c r="I395" s="79" t="str">
        <f t="shared" si="6"/>
        <v>Medición</v>
      </c>
    </row>
    <row r="396" spans="1:9" x14ac:dyDescent="0.2">
      <c r="A396" s="72">
        <f>'ERROR FINAL'!A399</f>
        <v>0</v>
      </c>
      <c r="B396" s="73">
        <v>396</v>
      </c>
      <c r="C396" s="74">
        <f>'ERROR FINAL'!G399</f>
        <v>0</v>
      </c>
      <c r="D396" s="75">
        <f>'ERROR FINAL'!I399</f>
        <v>0</v>
      </c>
      <c r="E396" s="76">
        <f>'ERROR FINAL'!U399</f>
        <v>0</v>
      </c>
      <c r="F396" s="77">
        <f>'ERROR FINAL'!AG399</f>
        <v>0</v>
      </c>
      <c r="G396" s="77">
        <f>'ERROR FINAL'!AS399</f>
        <v>0</v>
      </c>
      <c r="H396" s="78" t="str">
        <f>IF('ERROR FINAL'!AT399="CONFORME","CONFORME","NO CONFORME")</f>
        <v>NO CONFORME</v>
      </c>
      <c r="I396" s="79" t="str">
        <f t="shared" si="6"/>
        <v>Medición</v>
      </c>
    </row>
    <row r="397" spans="1:9" x14ac:dyDescent="0.2">
      <c r="A397" s="72">
        <f>'ERROR FINAL'!A400</f>
        <v>0</v>
      </c>
      <c r="B397" s="73">
        <v>397</v>
      </c>
      <c r="C397" s="74">
        <f>'ERROR FINAL'!G400</f>
        <v>0</v>
      </c>
      <c r="D397" s="75">
        <f>'ERROR FINAL'!I400</f>
        <v>0</v>
      </c>
      <c r="E397" s="76">
        <f>'ERROR FINAL'!U400</f>
        <v>0</v>
      </c>
      <c r="F397" s="77">
        <f>'ERROR FINAL'!AG400</f>
        <v>0</v>
      </c>
      <c r="G397" s="77">
        <f>'ERROR FINAL'!AS400</f>
        <v>0</v>
      </c>
      <c r="H397" s="78" t="str">
        <f>IF('ERROR FINAL'!AT400="CONFORME","CONFORME","NO CONFORME")</f>
        <v>NO CONFORME</v>
      </c>
      <c r="I397" s="79" t="str">
        <f t="shared" si="6"/>
        <v>Medición</v>
      </c>
    </row>
    <row r="398" spans="1:9" x14ac:dyDescent="0.2">
      <c r="A398" s="72">
        <f>'ERROR FINAL'!A401</f>
        <v>0</v>
      </c>
      <c r="B398" s="73">
        <v>398</v>
      </c>
      <c r="C398" s="74">
        <f>'ERROR FINAL'!G401</f>
        <v>0</v>
      </c>
      <c r="D398" s="75">
        <f>'ERROR FINAL'!I401</f>
        <v>0</v>
      </c>
      <c r="E398" s="76">
        <f>'ERROR FINAL'!U401</f>
        <v>0</v>
      </c>
      <c r="F398" s="77">
        <f>'ERROR FINAL'!AG401</f>
        <v>0</v>
      </c>
      <c r="G398" s="77">
        <f>'ERROR FINAL'!AS401</f>
        <v>0</v>
      </c>
      <c r="H398" s="78" t="str">
        <f>IF('ERROR FINAL'!AT401="CONFORME","CONFORME","NO CONFORME")</f>
        <v>NO CONFORME</v>
      </c>
      <c r="I398" s="79" t="str">
        <f t="shared" si="6"/>
        <v>Medición</v>
      </c>
    </row>
    <row r="399" spans="1:9" x14ac:dyDescent="0.2">
      <c r="A399" s="72">
        <f>'ERROR FINAL'!A402</f>
        <v>0</v>
      </c>
      <c r="B399" s="73">
        <v>399</v>
      </c>
      <c r="C399" s="74">
        <f>'ERROR FINAL'!G402</f>
        <v>0</v>
      </c>
      <c r="D399" s="75">
        <f>'ERROR FINAL'!I402</f>
        <v>0</v>
      </c>
      <c r="E399" s="76">
        <f>'ERROR FINAL'!U402</f>
        <v>0</v>
      </c>
      <c r="F399" s="77">
        <f>'ERROR FINAL'!AG402</f>
        <v>0</v>
      </c>
      <c r="G399" s="77">
        <f>'ERROR FINAL'!AS402</f>
        <v>0</v>
      </c>
      <c r="H399" s="78" t="str">
        <f>IF('ERROR FINAL'!AT402="CONFORME","CONFORME","NO CONFORME")</f>
        <v>NO CONFORME</v>
      </c>
      <c r="I399" s="79" t="str">
        <f t="shared" si="6"/>
        <v>Medición</v>
      </c>
    </row>
    <row r="400" spans="1:9" x14ac:dyDescent="0.2">
      <c r="A400" s="72">
        <f>'ERROR FINAL'!A403</f>
        <v>0</v>
      </c>
      <c r="B400" s="73">
        <v>400</v>
      </c>
      <c r="C400" s="74">
        <f>'ERROR FINAL'!G403</f>
        <v>0</v>
      </c>
      <c r="D400" s="75">
        <f>'ERROR FINAL'!I403</f>
        <v>0</v>
      </c>
      <c r="E400" s="76">
        <f>'ERROR FINAL'!U403</f>
        <v>0</v>
      </c>
      <c r="F400" s="77">
        <f>'ERROR FINAL'!AG403</f>
        <v>0</v>
      </c>
      <c r="G400" s="77">
        <f>'ERROR FINAL'!AS403</f>
        <v>0</v>
      </c>
      <c r="H400" s="78" t="str">
        <f>IF('ERROR FINAL'!AT403="CONFORME","CONFORME","NO CONFORME")</f>
        <v>NO CONFORME</v>
      </c>
      <c r="I400" s="79" t="str">
        <f t="shared" si="6"/>
        <v>Medición</v>
      </c>
    </row>
    <row r="401" spans="1:9" x14ac:dyDescent="0.2">
      <c r="A401" s="72">
        <f>'ERROR FINAL'!A404</f>
        <v>0</v>
      </c>
      <c r="B401" s="73">
        <v>401</v>
      </c>
      <c r="C401" s="74">
        <f>'ERROR FINAL'!G404</f>
        <v>0</v>
      </c>
      <c r="D401" s="75">
        <f>'ERROR FINAL'!I404</f>
        <v>0</v>
      </c>
      <c r="E401" s="76">
        <f>'ERROR FINAL'!U404</f>
        <v>0</v>
      </c>
      <c r="F401" s="77">
        <f>'ERROR FINAL'!AG404</f>
        <v>0</v>
      </c>
      <c r="G401" s="77">
        <f>'ERROR FINAL'!AS404</f>
        <v>0</v>
      </c>
      <c r="H401" s="78" t="str">
        <f>IF('ERROR FINAL'!AT404="CONFORME","CONFORME","NO CONFORME")</f>
        <v>NO CONFORME</v>
      </c>
      <c r="I401" s="79" t="str">
        <f t="shared" si="6"/>
        <v>Medición</v>
      </c>
    </row>
    <row r="402" spans="1:9" x14ac:dyDescent="0.2">
      <c r="A402" s="72">
        <f>'ERROR FINAL'!A405</f>
        <v>0</v>
      </c>
      <c r="B402" s="73">
        <v>402</v>
      </c>
      <c r="C402" s="74">
        <f>'ERROR FINAL'!G405</f>
        <v>0</v>
      </c>
      <c r="D402" s="75">
        <f>'ERROR FINAL'!I405</f>
        <v>0</v>
      </c>
      <c r="E402" s="76">
        <f>'ERROR FINAL'!U405</f>
        <v>0</v>
      </c>
      <c r="F402" s="77">
        <f>'ERROR FINAL'!AG405</f>
        <v>0</v>
      </c>
      <c r="G402" s="77">
        <f>'ERROR FINAL'!AS405</f>
        <v>0</v>
      </c>
      <c r="H402" s="78" t="str">
        <f>IF('ERROR FINAL'!AT405="CONFORME","CONFORME","NO CONFORME")</f>
        <v>NO CONFORME</v>
      </c>
      <c r="I402" s="79" t="str">
        <f t="shared" si="6"/>
        <v>Medición</v>
      </c>
    </row>
    <row r="403" spans="1:9" x14ac:dyDescent="0.2">
      <c r="A403" s="72">
        <f>'ERROR FINAL'!A406</f>
        <v>0</v>
      </c>
      <c r="B403" s="73">
        <v>403</v>
      </c>
      <c r="C403" s="74">
        <f>'ERROR FINAL'!G406</f>
        <v>0</v>
      </c>
      <c r="D403" s="75">
        <f>'ERROR FINAL'!I406</f>
        <v>0</v>
      </c>
      <c r="E403" s="76">
        <f>'ERROR FINAL'!U406</f>
        <v>0</v>
      </c>
      <c r="F403" s="77">
        <f>'ERROR FINAL'!AG406</f>
        <v>0</v>
      </c>
      <c r="G403" s="77">
        <f>'ERROR FINAL'!AS406</f>
        <v>0</v>
      </c>
      <c r="H403" s="78" t="str">
        <f>IF('ERROR FINAL'!AT406="CONFORME","CONFORME","NO CONFORME")</f>
        <v>NO CONFORME</v>
      </c>
      <c r="I403" s="79" t="str">
        <f t="shared" si="6"/>
        <v>Medición</v>
      </c>
    </row>
    <row r="404" spans="1:9" x14ac:dyDescent="0.2">
      <c r="A404" s="72">
        <f>'ERROR FINAL'!A407</f>
        <v>0</v>
      </c>
      <c r="B404" s="73">
        <v>404</v>
      </c>
      <c r="C404" s="74">
        <f>'ERROR FINAL'!G407</f>
        <v>0</v>
      </c>
      <c r="D404" s="75">
        <f>'ERROR FINAL'!I407</f>
        <v>0</v>
      </c>
      <c r="E404" s="76">
        <f>'ERROR FINAL'!U407</f>
        <v>0</v>
      </c>
      <c r="F404" s="77">
        <f>'ERROR FINAL'!AG407</f>
        <v>0</v>
      </c>
      <c r="G404" s="77">
        <f>'ERROR FINAL'!AS407</f>
        <v>0</v>
      </c>
      <c r="H404" s="78" t="str">
        <f>IF('ERROR FINAL'!AT407="CONFORME","CONFORME","NO CONFORME")</f>
        <v>NO CONFORME</v>
      </c>
      <c r="I404" s="79" t="str">
        <f t="shared" si="6"/>
        <v>Medición</v>
      </c>
    </row>
    <row r="405" spans="1:9" x14ac:dyDescent="0.2">
      <c r="A405" s="72">
        <f>'ERROR FINAL'!A408</f>
        <v>0</v>
      </c>
      <c r="B405" s="73">
        <v>405</v>
      </c>
      <c r="C405" s="74">
        <f>'ERROR FINAL'!G408</f>
        <v>0</v>
      </c>
      <c r="D405" s="75">
        <f>'ERROR FINAL'!I408</f>
        <v>0</v>
      </c>
      <c r="E405" s="76">
        <f>'ERROR FINAL'!U408</f>
        <v>0</v>
      </c>
      <c r="F405" s="77">
        <f>'ERROR FINAL'!AG408</f>
        <v>0</v>
      </c>
      <c r="G405" s="77">
        <f>'ERROR FINAL'!AS408</f>
        <v>0</v>
      </c>
      <c r="H405" s="78" t="str">
        <f>IF('ERROR FINAL'!AT408="CONFORME","CONFORME","NO CONFORME")</f>
        <v>NO CONFORME</v>
      </c>
      <c r="I405" s="79" t="str">
        <f t="shared" si="6"/>
        <v>Medición</v>
      </c>
    </row>
    <row r="406" spans="1:9" x14ac:dyDescent="0.2">
      <c r="A406" s="72">
        <f>'ERROR FINAL'!A409</f>
        <v>0</v>
      </c>
      <c r="B406" s="73">
        <v>406</v>
      </c>
      <c r="C406" s="74">
        <f>'ERROR FINAL'!G409</f>
        <v>0</v>
      </c>
      <c r="D406" s="75">
        <f>'ERROR FINAL'!I409</f>
        <v>0</v>
      </c>
      <c r="E406" s="76">
        <f>'ERROR FINAL'!U409</f>
        <v>0</v>
      </c>
      <c r="F406" s="77">
        <f>'ERROR FINAL'!AG409</f>
        <v>0</v>
      </c>
      <c r="G406" s="77">
        <f>'ERROR FINAL'!AS409</f>
        <v>0</v>
      </c>
      <c r="H406" s="78" t="str">
        <f>IF('ERROR FINAL'!AT409="CONFORME","CONFORME","NO CONFORME")</f>
        <v>NO CONFORME</v>
      </c>
      <c r="I406" s="79" t="str">
        <f t="shared" si="6"/>
        <v>Medición</v>
      </c>
    </row>
    <row r="407" spans="1:9" x14ac:dyDescent="0.2">
      <c r="A407" s="72">
        <f>'ERROR FINAL'!A410</f>
        <v>0</v>
      </c>
      <c r="B407" s="73">
        <v>407</v>
      </c>
      <c r="C407" s="74">
        <f>'ERROR FINAL'!G410</f>
        <v>0</v>
      </c>
      <c r="D407" s="75">
        <f>'ERROR FINAL'!I410</f>
        <v>0</v>
      </c>
      <c r="E407" s="76">
        <f>'ERROR FINAL'!U410</f>
        <v>0</v>
      </c>
      <c r="F407" s="77">
        <f>'ERROR FINAL'!AG410</f>
        <v>0</v>
      </c>
      <c r="G407" s="77">
        <f>'ERROR FINAL'!AS410</f>
        <v>0</v>
      </c>
      <c r="H407" s="78" t="str">
        <f>IF('ERROR FINAL'!AT410="CONFORME","CONFORME","NO CONFORME")</f>
        <v>NO CONFORME</v>
      </c>
      <c r="I407" s="79" t="str">
        <f t="shared" si="6"/>
        <v>Medición</v>
      </c>
    </row>
    <row r="408" spans="1:9" x14ac:dyDescent="0.2">
      <c r="A408" s="72">
        <f>'ERROR FINAL'!A411</f>
        <v>0</v>
      </c>
      <c r="B408" s="73">
        <v>408</v>
      </c>
      <c r="C408" s="74">
        <f>'ERROR FINAL'!G411</f>
        <v>0</v>
      </c>
      <c r="D408" s="75">
        <f>'ERROR FINAL'!I411</f>
        <v>0</v>
      </c>
      <c r="E408" s="76">
        <f>'ERROR FINAL'!U411</f>
        <v>0</v>
      </c>
      <c r="F408" s="77">
        <f>'ERROR FINAL'!AG411</f>
        <v>0</v>
      </c>
      <c r="G408" s="77">
        <f>'ERROR FINAL'!AS411</f>
        <v>0</v>
      </c>
      <c r="H408" s="78" t="str">
        <f>IF('ERROR FINAL'!AT411="CONFORME","CONFORME","NO CONFORME")</f>
        <v>NO CONFORME</v>
      </c>
      <c r="I408" s="79" t="str">
        <f t="shared" si="6"/>
        <v>Medición</v>
      </c>
    </row>
    <row r="409" spans="1:9" x14ac:dyDescent="0.2">
      <c r="A409" s="72">
        <f>'ERROR FINAL'!A412</f>
        <v>0</v>
      </c>
      <c r="B409" s="73">
        <v>409</v>
      </c>
      <c r="C409" s="74">
        <f>'ERROR FINAL'!G412</f>
        <v>0</v>
      </c>
      <c r="D409" s="75">
        <f>'ERROR FINAL'!I412</f>
        <v>0</v>
      </c>
      <c r="E409" s="76">
        <f>'ERROR FINAL'!U412</f>
        <v>0</v>
      </c>
      <c r="F409" s="77">
        <f>'ERROR FINAL'!AG412</f>
        <v>0</v>
      </c>
      <c r="G409" s="77">
        <f>'ERROR FINAL'!AS412</f>
        <v>0</v>
      </c>
      <c r="H409" s="78" t="str">
        <f>IF('ERROR FINAL'!AT412="CONFORME","CONFORME","NO CONFORME")</f>
        <v>NO CONFORME</v>
      </c>
      <c r="I409" s="79" t="str">
        <f t="shared" si="6"/>
        <v>Medición</v>
      </c>
    </row>
    <row r="410" spans="1:9" x14ac:dyDescent="0.2">
      <c r="A410" s="72">
        <f>'ERROR FINAL'!A413</f>
        <v>0</v>
      </c>
      <c r="B410" s="73">
        <v>410</v>
      </c>
      <c r="C410" s="74">
        <f>'ERROR FINAL'!G413</f>
        <v>0</v>
      </c>
      <c r="D410" s="75">
        <f>'ERROR FINAL'!I413</f>
        <v>0</v>
      </c>
      <c r="E410" s="76">
        <f>'ERROR FINAL'!U413</f>
        <v>0</v>
      </c>
      <c r="F410" s="77">
        <f>'ERROR FINAL'!AG413</f>
        <v>0</v>
      </c>
      <c r="G410" s="77">
        <f>'ERROR FINAL'!AS413</f>
        <v>0</v>
      </c>
      <c r="H410" s="78" t="str">
        <f>IF('ERROR FINAL'!AT413="CONFORME","CONFORME","NO CONFORME")</f>
        <v>NO CONFORME</v>
      </c>
      <c r="I410" s="79" t="str">
        <f t="shared" si="6"/>
        <v>Medición</v>
      </c>
    </row>
    <row r="411" spans="1:9" x14ac:dyDescent="0.2">
      <c r="A411" s="72">
        <f>'ERROR FINAL'!A414</f>
        <v>0</v>
      </c>
      <c r="B411" s="73">
        <v>411</v>
      </c>
      <c r="C411" s="74">
        <f>'ERROR FINAL'!G414</f>
        <v>0</v>
      </c>
      <c r="D411" s="75">
        <f>'ERROR FINAL'!I414</f>
        <v>0</v>
      </c>
      <c r="E411" s="76">
        <f>'ERROR FINAL'!U414</f>
        <v>0</v>
      </c>
      <c r="F411" s="77">
        <f>'ERROR FINAL'!AG414</f>
        <v>0</v>
      </c>
      <c r="G411" s="77">
        <f>'ERROR FINAL'!AS414</f>
        <v>0</v>
      </c>
      <c r="H411" s="78" t="str">
        <f>IF('ERROR FINAL'!AT414="CONFORME","CONFORME","NO CONFORME")</f>
        <v>NO CONFORME</v>
      </c>
      <c r="I411" s="79" t="str">
        <f t="shared" si="6"/>
        <v>Medición</v>
      </c>
    </row>
    <row r="412" spans="1:9" x14ac:dyDescent="0.2">
      <c r="A412" s="72">
        <f>'ERROR FINAL'!A415</f>
        <v>0</v>
      </c>
      <c r="B412" s="73">
        <v>412</v>
      </c>
      <c r="C412" s="74">
        <f>'ERROR FINAL'!G415</f>
        <v>0</v>
      </c>
      <c r="D412" s="75">
        <f>'ERROR FINAL'!I415</f>
        <v>0</v>
      </c>
      <c r="E412" s="76">
        <f>'ERROR FINAL'!U415</f>
        <v>0</v>
      </c>
      <c r="F412" s="77">
        <f>'ERROR FINAL'!AG415</f>
        <v>0</v>
      </c>
      <c r="G412" s="77">
        <f>'ERROR FINAL'!AS415</f>
        <v>0</v>
      </c>
      <c r="H412" s="78" t="str">
        <f>IF('ERROR FINAL'!AT415="CONFORME","CONFORME","NO CONFORME")</f>
        <v>NO CONFORME</v>
      </c>
      <c r="I412" s="79" t="str">
        <f t="shared" si="6"/>
        <v>Medición</v>
      </c>
    </row>
    <row r="413" spans="1:9" x14ac:dyDescent="0.2">
      <c r="A413" s="72">
        <f>'ERROR FINAL'!A416</f>
        <v>0</v>
      </c>
      <c r="B413" s="73">
        <v>413</v>
      </c>
      <c r="C413" s="74">
        <f>'ERROR FINAL'!G416</f>
        <v>0</v>
      </c>
      <c r="D413" s="75">
        <f>'ERROR FINAL'!I416</f>
        <v>0</v>
      </c>
      <c r="E413" s="76">
        <f>'ERROR FINAL'!U416</f>
        <v>0</v>
      </c>
      <c r="F413" s="77">
        <f>'ERROR FINAL'!AG416</f>
        <v>0</v>
      </c>
      <c r="G413" s="77">
        <f>'ERROR FINAL'!AS416</f>
        <v>0</v>
      </c>
      <c r="H413" s="78" t="str">
        <f>IF('ERROR FINAL'!AT416="CONFORME","CONFORME","NO CONFORME")</f>
        <v>NO CONFORME</v>
      </c>
      <c r="I413" s="79" t="str">
        <f t="shared" si="6"/>
        <v>Medición</v>
      </c>
    </row>
    <row r="414" spans="1:9" x14ac:dyDescent="0.2">
      <c r="A414" s="72">
        <f>'ERROR FINAL'!A417</f>
        <v>0</v>
      </c>
      <c r="B414" s="73">
        <v>414</v>
      </c>
      <c r="C414" s="74">
        <f>'ERROR FINAL'!G417</f>
        <v>0</v>
      </c>
      <c r="D414" s="75">
        <f>'ERROR FINAL'!I417</f>
        <v>0</v>
      </c>
      <c r="E414" s="76">
        <f>'ERROR FINAL'!U417</f>
        <v>0</v>
      </c>
      <c r="F414" s="77">
        <f>'ERROR FINAL'!AG417</f>
        <v>0</v>
      </c>
      <c r="G414" s="77">
        <f>'ERROR FINAL'!AS417</f>
        <v>0</v>
      </c>
      <c r="H414" s="78" t="str">
        <f>IF('ERROR FINAL'!AT417="CONFORME","CONFORME","NO CONFORME")</f>
        <v>NO CONFORME</v>
      </c>
      <c r="I414" s="79" t="str">
        <f t="shared" si="6"/>
        <v>Medición</v>
      </c>
    </row>
    <row r="415" spans="1:9" x14ac:dyDescent="0.2">
      <c r="A415" s="72">
        <f>'ERROR FINAL'!A418</f>
        <v>0</v>
      </c>
      <c r="B415" s="73">
        <v>415</v>
      </c>
      <c r="C415" s="74">
        <f>'ERROR FINAL'!G418</f>
        <v>0</v>
      </c>
      <c r="D415" s="75">
        <f>'ERROR FINAL'!I418</f>
        <v>0</v>
      </c>
      <c r="E415" s="76">
        <f>'ERROR FINAL'!U418</f>
        <v>0</v>
      </c>
      <c r="F415" s="77">
        <f>'ERROR FINAL'!AG418</f>
        <v>0</v>
      </c>
      <c r="G415" s="77">
        <f>'ERROR FINAL'!AS418</f>
        <v>0</v>
      </c>
      <c r="H415" s="78" t="str">
        <f>IF('ERROR FINAL'!AT418="CONFORME","CONFORME","NO CONFORME")</f>
        <v>NO CONFORME</v>
      </c>
      <c r="I415" s="79" t="str">
        <f t="shared" si="6"/>
        <v>Medición</v>
      </c>
    </row>
    <row r="416" spans="1:9" x14ac:dyDescent="0.2">
      <c r="A416" s="72">
        <f>'ERROR FINAL'!A419</f>
        <v>0</v>
      </c>
      <c r="B416" s="73">
        <v>416</v>
      </c>
      <c r="C416" s="74">
        <f>'ERROR FINAL'!G419</f>
        <v>0</v>
      </c>
      <c r="D416" s="75">
        <f>'ERROR FINAL'!I419</f>
        <v>0</v>
      </c>
      <c r="E416" s="76">
        <f>'ERROR FINAL'!U419</f>
        <v>0</v>
      </c>
      <c r="F416" s="77">
        <f>'ERROR FINAL'!AG419</f>
        <v>0</v>
      </c>
      <c r="G416" s="77">
        <f>'ERROR FINAL'!AS419</f>
        <v>0</v>
      </c>
      <c r="H416" s="78" t="str">
        <f>IF('ERROR FINAL'!AT419="CONFORME","CONFORME","NO CONFORME")</f>
        <v>NO CONFORME</v>
      </c>
      <c r="I416" s="79" t="str">
        <f t="shared" si="6"/>
        <v>Medición</v>
      </c>
    </row>
    <row r="417" spans="1:9" x14ac:dyDescent="0.2">
      <c r="A417" s="72">
        <f>'ERROR FINAL'!A420</f>
        <v>0</v>
      </c>
      <c r="B417" s="73">
        <v>417</v>
      </c>
      <c r="C417" s="74">
        <f>'ERROR FINAL'!G420</f>
        <v>0</v>
      </c>
      <c r="D417" s="75">
        <f>'ERROR FINAL'!I420</f>
        <v>0</v>
      </c>
      <c r="E417" s="76">
        <f>'ERROR FINAL'!U420</f>
        <v>0</v>
      </c>
      <c r="F417" s="77">
        <f>'ERROR FINAL'!AG420</f>
        <v>0</v>
      </c>
      <c r="G417" s="77">
        <f>'ERROR FINAL'!AS420</f>
        <v>0</v>
      </c>
      <c r="H417" s="78" t="str">
        <f>IF('ERROR FINAL'!AT420="CONFORME","CONFORME","NO CONFORME")</f>
        <v>NO CONFORME</v>
      </c>
      <c r="I417" s="79" t="str">
        <f t="shared" si="6"/>
        <v>Medición</v>
      </c>
    </row>
    <row r="418" spans="1:9" x14ac:dyDescent="0.2">
      <c r="A418" s="72">
        <f>'ERROR FINAL'!A421</f>
        <v>0</v>
      </c>
      <c r="B418" s="73">
        <v>418</v>
      </c>
      <c r="C418" s="74">
        <f>'ERROR FINAL'!G421</f>
        <v>0</v>
      </c>
      <c r="D418" s="75">
        <f>'ERROR FINAL'!I421</f>
        <v>0</v>
      </c>
      <c r="E418" s="76">
        <f>'ERROR FINAL'!U421</f>
        <v>0</v>
      </c>
      <c r="F418" s="77">
        <f>'ERROR FINAL'!AG421</f>
        <v>0</v>
      </c>
      <c r="G418" s="77">
        <f>'ERROR FINAL'!AS421</f>
        <v>0</v>
      </c>
      <c r="H418" s="78" t="str">
        <f>IF('ERROR FINAL'!AT421="CONFORME","CONFORME","NO CONFORME")</f>
        <v>NO CONFORME</v>
      </c>
      <c r="I418" s="79" t="str">
        <f t="shared" si="6"/>
        <v>Medición</v>
      </c>
    </row>
    <row r="419" spans="1:9" x14ac:dyDescent="0.2">
      <c r="A419" s="72">
        <f>'ERROR FINAL'!A422</f>
        <v>0</v>
      </c>
      <c r="B419" s="73">
        <v>419</v>
      </c>
      <c r="C419" s="74">
        <f>'ERROR FINAL'!G422</f>
        <v>0</v>
      </c>
      <c r="D419" s="75">
        <f>'ERROR FINAL'!I422</f>
        <v>0</v>
      </c>
      <c r="E419" s="76">
        <f>'ERROR FINAL'!U422</f>
        <v>0</v>
      </c>
      <c r="F419" s="77">
        <f>'ERROR FINAL'!AG422</f>
        <v>0</v>
      </c>
      <c r="G419" s="77">
        <f>'ERROR FINAL'!AS422</f>
        <v>0</v>
      </c>
      <c r="H419" s="78" t="str">
        <f>IF('ERROR FINAL'!AT422="CONFORME","CONFORME","NO CONFORME")</f>
        <v>NO CONFORME</v>
      </c>
      <c r="I419" s="79" t="str">
        <f t="shared" si="6"/>
        <v>Medición</v>
      </c>
    </row>
    <row r="420" spans="1:9" x14ac:dyDescent="0.2">
      <c r="A420" s="72">
        <f>'ERROR FINAL'!A423</f>
        <v>0</v>
      </c>
      <c r="B420" s="73">
        <v>420</v>
      </c>
      <c r="C420" s="74">
        <f>'ERROR FINAL'!G423</f>
        <v>0</v>
      </c>
      <c r="D420" s="75">
        <f>'ERROR FINAL'!I423</f>
        <v>0</v>
      </c>
      <c r="E420" s="76">
        <f>'ERROR FINAL'!U423</f>
        <v>0</v>
      </c>
      <c r="F420" s="77">
        <f>'ERROR FINAL'!AG423</f>
        <v>0</v>
      </c>
      <c r="G420" s="77">
        <f>'ERROR FINAL'!AS423</f>
        <v>0</v>
      </c>
      <c r="H420" s="78" t="str">
        <f>IF('ERROR FINAL'!AT423="CONFORME","CONFORME","NO CONFORME")</f>
        <v>NO CONFORME</v>
      </c>
      <c r="I420" s="79" t="str">
        <f t="shared" si="6"/>
        <v>Medición</v>
      </c>
    </row>
    <row r="421" spans="1:9" x14ac:dyDescent="0.2">
      <c r="A421" s="72">
        <f>'ERROR FINAL'!A424</f>
        <v>0</v>
      </c>
      <c r="B421" s="73">
        <v>421</v>
      </c>
      <c r="C421" s="74">
        <f>'ERROR FINAL'!G424</f>
        <v>0</v>
      </c>
      <c r="D421" s="75">
        <f>'ERROR FINAL'!I424</f>
        <v>0</v>
      </c>
      <c r="E421" s="76">
        <f>'ERROR FINAL'!U424</f>
        <v>0</v>
      </c>
      <c r="F421" s="77">
        <f>'ERROR FINAL'!AG424</f>
        <v>0</v>
      </c>
      <c r="G421" s="77">
        <f>'ERROR FINAL'!AS424</f>
        <v>0</v>
      </c>
      <c r="H421" s="78" t="str">
        <f>IF('ERROR FINAL'!AT424="CONFORME","CONFORME","NO CONFORME")</f>
        <v>NO CONFORME</v>
      </c>
      <c r="I421" s="79" t="str">
        <f t="shared" si="6"/>
        <v>Medición</v>
      </c>
    </row>
    <row r="422" spans="1:9" x14ac:dyDescent="0.2">
      <c r="A422" s="72">
        <f>'ERROR FINAL'!A425</f>
        <v>0</v>
      </c>
      <c r="B422" s="73">
        <v>422</v>
      </c>
      <c r="C422" s="74">
        <f>'ERROR FINAL'!G425</f>
        <v>0</v>
      </c>
      <c r="D422" s="75">
        <f>'ERROR FINAL'!I425</f>
        <v>0</v>
      </c>
      <c r="E422" s="76">
        <f>'ERROR FINAL'!U425</f>
        <v>0</v>
      </c>
      <c r="F422" s="77">
        <f>'ERROR FINAL'!AG425</f>
        <v>0</v>
      </c>
      <c r="G422" s="77">
        <f>'ERROR FINAL'!AS425</f>
        <v>0</v>
      </c>
      <c r="H422" s="78" t="str">
        <f>IF('ERROR FINAL'!AT425="CONFORME","CONFORME","NO CONFORME")</f>
        <v>NO CONFORME</v>
      </c>
      <c r="I422" s="79" t="str">
        <f t="shared" si="6"/>
        <v>Medición</v>
      </c>
    </row>
    <row r="423" spans="1:9" x14ac:dyDescent="0.2">
      <c r="A423" s="72">
        <f>'ERROR FINAL'!A426</f>
        <v>0</v>
      </c>
      <c r="B423" s="73">
        <v>423</v>
      </c>
      <c r="C423" s="74">
        <f>'ERROR FINAL'!G426</f>
        <v>0</v>
      </c>
      <c r="D423" s="75">
        <f>'ERROR FINAL'!I426</f>
        <v>0</v>
      </c>
      <c r="E423" s="76">
        <f>'ERROR FINAL'!U426</f>
        <v>0</v>
      </c>
      <c r="F423" s="77">
        <f>'ERROR FINAL'!AG426</f>
        <v>0</v>
      </c>
      <c r="G423" s="77">
        <f>'ERROR FINAL'!AS426</f>
        <v>0</v>
      </c>
      <c r="H423" s="78" t="str">
        <f>IF('ERROR FINAL'!AT426="CONFORME","CONFORME","NO CONFORME")</f>
        <v>NO CONFORME</v>
      </c>
      <c r="I423" s="79" t="str">
        <f t="shared" si="6"/>
        <v>Medición</v>
      </c>
    </row>
    <row r="424" spans="1:9" x14ac:dyDescent="0.2">
      <c r="A424" s="72">
        <f>'ERROR FINAL'!A427</f>
        <v>0</v>
      </c>
      <c r="B424" s="73">
        <v>424</v>
      </c>
      <c r="C424" s="74">
        <f>'ERROR FINAL'!G427</f>
        <v>0</v>
      </c>
      <c r="D424" s="75">
        <f>'ERROR FINAL'!I427</f>
        <v>0</v>
      </c>
      <c r="E424" s="76">
        <f>'ERROR FINAL'!U427</f>
        <v>0</v>
      </c>
      <c r="F424" s="77">
        <f>'ERROR FINAL'!AG427</f>
        <v>0</v>
      </c>
      <c r="G424" s="77">
        <f>'ERROR FINAL'!AS427</f>
        <v>0</v>
      </c>
      <c r="H424" s="78" t="str">
        <f>IF('ERROR FINAL'!AT427="CONFORME","CONFORME","NO CONFORME")</f>
        <v>NO CONFORME</v>
      </c>
      <c r="I424" s="79" t="str">
        <f t="shared" si="6"/>
        <v>Medición</v>
      </c>
    </row>
    <row r="425" spans="1:9" x14ac:dyDescent="0.2">
      <c r="A425" s="72">
        <f>'ERROR FINAL'!A428</f>
        <v>0</v>
      </c>
      <c r="B425" s="73">
        <v>425</v>
      </c>
      <c r="C425" s="74">
        <f>'ERROR FINAL'!G428</f>
        <v>0</v>
      </c>
      <c r="D425" s="75">
        <f>'ERROR FINAL'!I428</f>
        <v>0</v>
      </c>
      <c r="E425" s="76">
        <f>'ERROR FINAL'!U428</f>
        <v>0</v>
      </c>
      <c r="F425" s="77">
        <f>'ERROR FINAL'!AG428</f>
        <v>0</v>
      </c>
      <c r="G425" s="77">
        <f>'ERROR FINAL'!AS428</f>
        <v>0</v>
      </c>
      <c r="H425" s="78" t="str">
        <f>IF('ERROR FINAL'!AT428="CONFORME","CONFORME","NO CONFORME")</f>
        <v>NO CONFORME</v>
      </c>
      <c r="I425" s="79" t="str">
        <f t="shared" si="6"/>
        <v>Medición</v>
      </c>
    </row>
    <row r="426" spans="1:9" x14ac:dyDescent="0.2">
      <c r="A426" s="72">
        <f>'ERROR FINAL'!A429</f>
        <v>0</v>
      </c>
      <c r="B426" s="73">
        <v>426</v>
      </c>
      <c r="C426" s="74">
        <f>'ERROR FINAL'!G429</f>
        <v>0</v>
      </c>
      <c r="D426" s="75">
        <f>'ERROR FINAL'!I429</f>
        <v>0</v>
      </c>
      <c r="E426" s="76">
        <f>'ERROR FINAL'!U429</f>
        <v>0</v>
      </c>
      <c r="F426" s="77">
        <f>'ERROR FINAL'!AG429</f>
        <v>0</v>
      </c>
      <c r="G426" s="77">
        <f>'ERROR FINAL'!AS429</f>
        <v>0</v>
      </c>
      <c r="H426" s="78" t="str">
        <f>IF('ERROR FINAL'!AT429="CONFORME","CONFORME","NO CONFORME")</f>
        <v>NO CONFORME</v>
      </c>
      <c r="I426" s="79" t="str">
        <f t="shared" si="6"/>
        <v>Medición</v>
      </c>
    </row>
    <row r="427" spans="1:9" x14ac:dyDescent="0.2">
      <c r="A427" s="72">
        <f>'ERROR FINAL'!A430</f>
        <v>0</v>
      </c>
      <c r="B427" s="73">
        <v>427</v>
      </c>
      <c r="C427" s="74">
        <f>'ERROR FINAL'!G430</f>
        <v>0</v>
      </c>
      <c r="D427" s="75">
        <f>'ERROR FINAL'!I430</f>
        <v>0</v>
      </c>
      <c r="E427" s="76">
        <f>'ERROR FINAL'!U430</f>
        <v>0</v>
      </c>
      <c r="F427" s="77">
        <f>'ERROR FINAL'!AG430</f>
        <v>0</v>
      </c>
      <c r="G427" s="77">
        <f>'ERROR FINAL'!AS430</f>
        <v>0</v>
      </c>
      <c r="H427" s="78" t="str">
        <f>IF('ERROR FINAL'!AT430="CONFORME","CONFORME","NO CONFORME")</f>
        <v>NO CONFORME</v>
      </c>
      <c r="I427" s="79" t="str">
        <f t="shared" si="6"/>
        <v>Medición</v>
      </c>
    </row>
    <row r="428" spans="1:9" x14ac:dyDescent="0.2">
      <c r="A428" s="72">
        <f>'ERROR FINAL'!A431</f>
        <v>0</v>
      </c>
      <c r="B428" s="73">
        <v>428</v>
      </c>
      <c r="C428" s="74">
        <f>'ERROR FINAL'!G431</f>
        <v>0</v>
      </c>
      <c r="D428" s="75">
        <f>'ERROR FINAL'!I431</f>
        <v>0</v>
      </c>
      <c r="E428" s="76">
        <f>'ERROR FINAL'!U431</f>
        <v>0</v>
      </c>
      <c r="F428" s="77">
        <f>'ERROR FINAL'!AG431</f>
        <v>0</v>
      </c>
      <c r="G428" s="77">
        <f>'ERROR FINAL'!AS431</f>
        <v>0</v>
      </c>
      <c r="H428" s="78" t="str">
        <f>IF('ERROR FINAL'!AT431="CONFORME","CONFORME","NO CONFORME")</f>
        <v>NO CONFORME</v>
      </c>
      <c r="I428" s="79" t="str">
        <f t="shared" si="6"/>
        <v>Medición</v>
      </c>
    </row>
    <row r="429" spans="1:9" x14ac:dyDescent="0.2">
      <c r="A429" s="72">
        <f>'ERROR FINAL'!A432</f>
        <v>0</v>
      </c>
      <c r="B429" s="73">
        <v>429</v>
      </c>
      <c r="C429" s="74">
        <f>'ERROR FINAL'!G432</f>
        <v>0</v>
      </c>
      <c r="D429" s="75">
        <f>'ERROR FINAL'!I432</f>
        <v>0</v>
      </c>
      <c r="E429" s="76">
        <f>'ERROR FINAL'!U432</f>
        <v>0</v>
      </c>
      <c r="F429" s="77">
        <f>'ERROR FINAL'!AG432</f>
        <v>0</v>
      </c>
      <c r="G429" s="77">
        <f>'ERROR FINAL'!AS432</f>
        <v>0</v>
      </c>
      <c r="H429" s="78" t="str">
        <f>IF('ERROR FINAL'!AT432="CONFORME","CONFORME","NO CONFORME")</f>
        <v>NO CONFORME</v>
      </c>
      <c r="I429" s="79" t="str">
        <f t="shared" si="6"/>
        <v>Medición</v>
      </c>
    </row>
    <row r="430" spans="1:9" x14ac:dyDescent="0.2">
      <c r="A430" s="72">
        <f>'ERROR FINAL'!A433</f>
        <v>0</v>
      </c>
      <c r="B430" s="73">
        <v>430</v>
      </c>
      <c r="C430" s="74">
        <f>'ERROR FINAL'!G433</f>
        <v>0</v>
      </c>
      <c r="D430" s="75">
        <f>'ERROR FINAL'!I433</f>
        <v>0</v>
      </c>
      <c r="E430" s="76">
        <f>'ERROR FINAL'!U433</f>
        <v>0</v>
      </c>
      <c r="F430" s="77">
        <f>'ERROR FINAL'!AG433</f>
        <v>0</v>
      </c>
      <c r="G430" s="77">
        <f>'ERROR FINAL'!AS433</f>
        <v>0</v>
      </c>
      <c r="H430" s="78" t="str">
        <f>IF('ERROR FINAL'!AT433="CONFORME","CONFORME","NO CONFORME")</f>
        <v>NO CONFORME</v>
      </c>
      <c r="I430" s="79" t="str">
        <f t="shared" si="6"/>
        <v>Medición</v>
      </c>
    </row>
    <row r="431" spans="1:9" x14ac:dyDescent="0.2">
      <c r="A431" s="72">
        <f>'ERROR FINAL'!A434</f>
        <v>0</v>
      </c>
      <c r="B431" s="73">
        <v>431</v>
      </c>
      <c r="C431" s="74">
        <f>'ERROR FINAL'!G434</f>
        <v>0</v>
      </c>
      <c r="D431" s="75">
        <f>'ERROR FINAL'!I434</f>
        <v>0</v>
      </c>
      <c r="E431" s="76">
        <f>'ERROR FINAL'!U434</f>
        <v>0</v>
      </c>
      <c r="F431" s="77">
        <f>'ERROR FINAL'!AG434</f>
        <v>0</v>
      </c>
      <c r="G431" s="77">
        <f>'ERROR FINAL'!AS434</f>
        <v>0</v>
      </c>
      <c r="H431" s="78" t="str">
        <f>IF('ERROR FINAL'!AT434="CONFORME","CONFORME","NO CONFORME")</f>
        <v>NO CONFORME</v>
      </c>
      <c r="I431" s="79" t="str">
        <f t="shared" si="6"/>
        <v>Medición</v>
      </c>
    </row>
    <row r="432" spans="1:9" x14ac:dyDescent="0.2">
      <c r="A432" s="72">
        <f>'ERROR FINAL'!A435</f>
        <v>0</v>
      </c>
      <c r="B432" s="73">
        <v>432</v>
      </c>
      <c r="C432" s="74">
        <f>'ERROR FINAL'!G435</f>
        <v>0</v>
      </c>
      <c r="D432" s="75">
        <f>'ERROR FINAL'!I435</f>
        <v>0</v>
      </c>
      <c r="E432" s="76">
        <f>'ERROR FINAL'!U435</f>
        <v>0</v>
      </c>
      <c r="F432" s="77">
        <f>'ERROR FINAL'!AG435</f>
        <v>0</v>
      </c>
      <c r="G432" s="77">
        <f>'ERROR FINAL'!AS435</f>
        <v>0</v>
      </c>
      <c r="H432" s="78" t="str">
        <f>IF('ERROR FINAL'!AT435="CONFORME","CONFORME","NO CONFORME")</f>
        <v>NO CONFORME</v>
      </c>
      <c r="I432" s="79" t="str">
        <f t="shared" si="6"/>
        <v>Medición</v>
      </c>
    </row>
    <row r="433" spans="1:9" x14ac:dyDescent="0.2">
      <c r="A433" s="72">
        <f>'ERROR FINAL'!A436</f>
        <v>0</v>
      </c>
      <c r="B433" s="73">
        <v>433</v>
      </c>
      <c r="C433" s="74">
        <f>'ERROR FINAL'!G436</f>
        <v>0</v>
      </c>
      <c r="D433" s="75">
        <f>'ERROR FINAL'!I436</f>
        <v>0</v>
      </c>
      <c r="E433" s="76">
        <f>'ERROR FINAL'!U436</f>
        <v>0</v>
      </c>
      <c r="F433" s="77">
        <f>'ERROR FINAL'!AG436</f>
        <v>0</v>
      </c>
      <c r="G433" s="77">
        <f>'ERROR FINAL'!AS436</f>
        <v>0</v>
      </c>
      <c r="H433" s="78" t="str">
        <f>IF('ERROR FINAL'!AT436="CONFORME","CONFORME","NO CONFORME")</f>
        <v>NO CONFORME</v>
      </c>
      <c r="I433" s="79" t="str">
        <f t="shared" si="6"/>
        <v>Medición</v>
      </c>
    </row>
    <row r="434" spans="1:9" x14ac:dyDescent="0.2">
      <c r="A434" s="72">
        <f>'ERROR FINAL'!A437</f>
        <v>0</v>
      </c>
      <c r="B434" s="73">
        <v>434</v>
      </c>
      <c r="C434" s="74">
        <f>'ERROR FINAL'!G437</f>
        <v>0</v>
      </c>
      <c r="D434" s="75">
        <f>'ERROR FINAL'!I437</f>
        <v>0</v>
      </c>
      <c r="E434" s="76">
        <f>'ERROR FINAL'!U437</f>
        <v>0</v>
      </c>
      <c r="F434" s="77">
        <f>'ERROR FINAL'!AG437</f>
        <v>0</v>
      </c>
      <c r="G434" s="77">
        <f>'ERROR FINAL'!AS437</f>
        <v>0</v>
      </c>
      <c r="H434" s="78" t="str">
        <f>IF('ERROR FINAL'!AT437="CONFORME","CONFORME","NO CONFORME")</f>
        <v>NO CONFORME</v>
      </c>
      <c r="I434" s="79" t="str">
        <f t="shared" si="6"/>
        <v>Medición</v>
      </c>
    </row>
    <row r="435" spans="1:9" x14ac:dyDescent="0.2">
      <c r="A435" s="72">
        <f>'ERROR FINAL'!A438</f>
        <v>0</v>
      </c>
      <c r="B435" s="73">
        <v>435</v>
      </c>
      <c r="C435" s="74">
        <f>'ERROR FINAL'!G438</f>
        <v>0</v>
      </c>
      <c r="D435" s="75">
        <f>'ERROR FINAL'!I438</f>
        <v>0</v>
      </c>
      <c r="E435" s="76">
        <f>'ERROR FINAL'!U438</f>
        <v>0</v>
      </c>
      <c r="F435" s="77">
        <f>'ERROR FINAL'!AG438</f>
        <v>0</v>
      </c>
      <c r="G435" s="77">
        <f>'ERROR FINAL'!AS438</f>
        <v>0</v>
      </c>
      <c r="H435" s="78" t="str">
        <f>IF('ERROR FINAL'!AT438="CONFORME","CONFORME","NO CONFORME")</f>
        <v>NO CONFORME</v>
      </c>
      <c r="I435" s="79" t="str">
        <f t="shared" si="6"/>
        <v>Medición</v>
      </c>
    </row>
    <row r="436" spans="1:9" x14ac:dyDescent="0.2">
      <c r="A436" s="72">
        <f>'ERROR FINAL'!A439</f>
        <v>0</v>
      </c>
      <c r="B436" s="73">
        <v>436</v>
      </c>
      <c r="C436" s="74">
        <f>'ERROR FINAL'!G439</f>
        <v>0</v>
      </c>
      <c r="D436" s="75">
        <f>'ERROR FINAL'!I439</f>
        <v>0</v>
      </c>
      <c r="E436" s="76">
        <f>'ERROR FINAL'!U439</f>
        <v>0</v>
      </c>
      <c r="F436" s="77">
        <f>'ERROR FINAL'!AG439</f>
        <v>0</v>
      </c>
      <c r="G436" s="77">
        <f>'ERROR FINAL'!AS439</f>
        <v>0</v>
      </c>
      <c r="H436" s="78" t="str">
        <f>IF('ERROR FINAL'!AT439="CONFORME","CONFORME","NO CONFORME")</f>
        <v>NO CONFORME</v>
      </c>
      <c r="I436" s="79" t="str">
        <f t="shared" si="6"/>
        <v>Medición</v>
      </c>
    </row>
    <row r="437" spans="1:9" x14ac:dyDescent="0.2">
      <c r="A437" s="72">
        <f>'ERROR FINAL'!A440</f>
        <v>0</v>
      </c>
      <c r="B437" s="73">
        <v>437</v>
      </c>
      <c r="C437" s="74">
        <f>'ERROR FINAL'!G440</f>
        <v>0</v>
      </c>
      <c r="D437" s="75">
        <f>'ERROR FINAL'!I440</f>
        <v>0</v>
      </c>
      <c r="E437" s="76">
        <f>'ERROR FINAL'!U440</f>
        <v>0</v>
      </c>
      <c r="F437" s="77">
        <f>'ERROR FINAL'!AG440</f>
        <v>0</v>
      </c>
      <c r="G437" s="77">
        <f>'ERROR FINAL'!AS440</f>
        <v>0</v>
      </c>
      <c r="H437" s="78" t="str">
        <f>IF('ERROR FINAL'!AT440="CONFORME","CONFORME","NO CONFORME")</f>
        <v>NO CONFORME</v>
      </c>
      <c r="I437" s="79" t="str">
        <f t="shared" si="6"/>
        <v>Medición</v>
      </c>
    </row>
    <row r="438" spans="1:9" x14ac:dyDescent="0.2">
      <c r="A438" s="72">
        <f>'ERROR FINAL'!A441</f>
        <v>0</v>
      </c>
      <c r="B438" s="73">
        <v>438</v>
      </c>
      <c r="C438" s="74">
        <f>'ERROR FINAL'!G441</f>
        <v>0</v>
      </c>
      <c r="D438" s="75">
        <f>'ERROR FINAL'!I441</f>
        <v>0</v>
      </c>
      <c r="E438" s="76">
        <f>'ERROR FINAL'!U441</f>
        <v>0</v>
      </c>
      <c r="F438" s="77">
        <f>'ERROR FINAL'!AG441</f>
        <v>0</v>
      </c>
      <c r="G438" s="77">
        <f>'ERROR FINAL'!AS441</f>
        <v>0</v>
      </c>
      <c r="H438" s="78" t="str">
        <f>IF('ERROR FINAL'!AT441="CONFORME","CONFORME","NO CONFORME")</f>
        <v>NO CONFORME</v>
      </c>
      <c r="I438" s="79" t="str">
        <f t="shared" si="6"/>
        <v>Medición</v>
      </c>
    </row>
    <row r="439" spans="1:9" x14ac:dyDescent="0.2">
      <c r="A439" s="72">
        <f>'ERROR FINAL'!A442</f>
        <v>0</v>
      </c>
      <c r="B439" s="73">
        <v>439</v>
      </c>
      <c r="C439" s="74">
        <f>'ERROR FINAL'!G442</f>
        <v>0</v>
      </c>
      <c r="D439" s="75">
        <f>'ERROR FINAL'!I442</f>
        <v>0</v>
      </c>
      <c r="E439" s="76">
        <f>'ERROR FINAL'!U442</f>
        <v>0</v>
      </c>
      <c r="F439" s="77">
        <f>'ERROR FINAL'!AG442</f>
        <v>0</v>
      </c>
      <c r="G439" s="77">
        <f>'ERROR FINAL'!AS442</f>
        <v>0</v>
      </c>
      <c r="H439" s="78" t="str">
        <f>IF('ERROR FINAL'!AT442="CONFORME","CONFORME","NO CONFORME")</f>
        <v>NO CONFORME</v>
      </c>
      <c r="I439" s="79" t="str">
        <f t="shared" si="6"/>
        <v>Medición</v>
      </c>
    </row>
    <row r="440" spans="1:9" x14ac:dyDescent="0.2">
      <c r="A440" s="72">
        <f>'ERROR FINAL'!A443</f>
        <v>0</v>
      </c>
      <c r="B440" s="73">
        <v>440</v>
      </c>
      <c r="C440" s="74">
        <f>'ERROR FINAL'!G443</f>
        <v>0</v>
      </c>
      <c r="D440" s="75">
        <f>'ERROR FINAL'!I443</f>
        <v>0</v>
      </c>
      <c r="E440" s="76">
        <f>'ERROR FINAL'!U443</f>
        <v>0</v>
      </c>
      <c r="F440" s="77">
        <f>'ERROR FINAL'!AG443</f>
        <v>0</v>
      </c>
      <c r="G440" s="77">
        <f>'ERROR FINAL'!AS443</f>
        <v>0</v>
      </c>
      <c r="H440" s="78" t="str">
        <f>IF('ERROR FINAL'!AT443="CONFORME","CONFORME","NO CONFORME")</f>
        <v>NO CONFORME</v>
      </c>
      <c r="I440" s="79" t="str">
        <f t="shared" si="6"/>
        <v>Medición</v>
      </c>
    </row>
    <row r="441" spans="1:9" x14ac:dyDescent="0.2">
      <c r="A441" s="72">
        <f>'ERROR FINAL'!A444</f>
        <v>0</v>
      </c>
      <c r="B441" s="73">
        <v>441</v>
      </c>
      <c r="C441" s="74">
        <f>'ERROR FINAL'!G444</f>
        <v>0</v>
      </c>
      <c r="D441" s="75">
        <f>'ERROR FINAL'!I444</f>
        <v>0</v>
      </c>
      <c r="E441" s="76">
        <f>'ERROR FINAL'!U444</f>
        <v>0</v>
      </c>
      <c r="F441" s="77">
        <f>'ERROR FINAL'!AG444</f>
        <v>0</v>
      </c>
      <c r="G441" s="77">
        <f>'ERROR FINAL'!AS444</f>
        <v>0</v>
      </c>
      <c r="H441" s="78" t="str">
        <f>IF('ERROR FINAL'!AT444="CONFORME","CONFORME","NO CONFORME")</f>
        <v>NO CONFORME</v>
      </c>
      <c r="I441" s="79" t="str">
        <f t="shared" si="6"/>
        <v>Medición</v>
      </c>
    </row>
    <row r="442" spans="1:9" x14ac:dyDescent="0.2">
      <c r="A442" s="72">
        <f>'ERROR FINAL'!A445</f>
        <v>0</v>
      </c>
      <c r="B442" s="73">
        <v>442</v>
      </c>
      <c r="C442" s="74">
        <f>'ERROR FINAL'!G445</f>
        <v>0</v>
      </c>
      <c r="D442" s="75">
        <f>'ERROR FINAL'!I445</f>
        <v>0</v>
      </c>
      <c r="E442" s="76">
        <f>'ERROR FINAL'!U445</f>
        <v>0</v>
      </c>
      <c r="F442" s="77">
        <f>'ERROR FINAL'!AG445</f>
        <v>0</v>
      </c>
      <c r="G442" s="77">
        <f>'ERROR FINAL'!AS445</f>
        <v>0</v>
      </c>
      <c r="H442" s="78" t="str">
        <f>IF('ERROR FINAL'!AT445="CONFORME","CONFORME","NO CONFORME")</f>
        <v>NO CONFORME</v>
      </c>
      <c r="I442" s="79" t="str">
        <f t="shared" si="6"/>
        <v>Medición</v>
      </c>
    </row>
    <row r="443" spans="1:9" x14ac:dyDescent="0.2">
      <c r="A443" s="72">
        <f>'ERROR FINAL'!A446</f>
        <v>0</v>
      </c>
      <c r="B443" s="73">
        <v>443</v>
      </c>
      <c r="C443" s="74">
        <f>'ERROR FINAL'!G446</f>
        <v>0</v>
      </c>
      <c r="D443" s="75">
        <f>'ERROR FINAL'!I446</f>
        <v>0</v>
      </c>
      <c r="E443" s="76">
        <f>'ERROR FINAL'!U446</f>
        <v>0</v>
      </c>
      <c r="F443" s="77">
        <f>'ERROR FINAL'!AG446</f>
        <v>0</v>
      </c>
      <c r="G443" s="77">
        <f>'ERROR FINAL'!AS446</f>
        <v>0</v>
      </c>
      <c r="H443" s="78" t="str">
        <f>IF('ERROR FINAL'!AT446="CONFORME","CONFORME","NO CONFORME")</f>
        <v>NO CONFORME</v>
      </c>
      <c r="I443" s="79" t="str">
        <f t="shared" si="6"/>
        <v>Medición</v>
      </c>
    </row>
    <row r="444" spans="1:9" x14ac:dyDescent="0.2">
      <c r="A444" s="72">
        <f>'ERROR FINAL'!A447</f>
        <v>0</v>
      </c>
      <c r="B444" s="73">
        <v>444</v>
      </c>
      <c r="C444" s="74">
        <f>'ERROR FINAL'!G447</f>
        <v>0</v>
      </c>
      <c r="D444" s="75">
        <f>'ERROR FINAL'!I447</f>
        <v>0</v>
      </c>
      <c r="E444" s="76">
        <f>'ERROR FINAL'!U447</f>
        <v>0</v>
      </c>
      <c r="F444" s="77">
        <f>'ERROR FINAL'!AG447</f>
        <v>0</v>
      </c>
      <c r="G444" s="77">
        <f>'ERROR FINAL'!AS447</f>
        <v>0</v>
      </c>
      <c r="H444" s="78" t="str">
        <f>IF('ERROR FINAL'!AT447="CONFORME","CONFORME","NO CONFORME")</f>
        <v>NO CONFORME</v>
      </c>
      <c r="I444" s="79" t="str">
        <f t="shared" si="6"/>
        <v>Medición</v>
      </c>
    </row>
    <row r="445" spans="1:9" x14ac:dyDescent="0.2">
      <c r="A445" s="72">
        <f>'ERROR FINAL'!A448</f>
        <v>0</v>
      </c>
      <c r="B445" s="73">
        <v>445</v>
      </c>
      <c r="C445" s="74">
        <f>'ERROR FINAL'!G448</f>
        <v>0</v>
      </c>
      <c r="D445" s="75">
        <f>'ERROR FINAL'!I448</f>
        <v>0</v>
      </c>
      <c r="E445" s="76">
        <f>'ERROR FINAL'!U448</f>
        <v>0</v>
      </c>
      <c r="F445" s="77">
        <f>'ERROR FINAL'!AG448</f>
        <v>0</v>
      </c>
      <c r="G445" s="77">
        <f>'ERROR FINAL'!AS448</f>
        <v>0</v>
      </c>
      <c r="H445" s="78" t="str">
        <f>IF('ERROR FINAL'!AT448="CONFORME","CONFORME","NO CONFORME")</f>
        <v>NO CONFORME</v>
      </c>
      <c r="I445" s="79" t="str">
        <f t="shared" si="6"/>
        <v>Medición</v>
      </c>
    </row>
    <row r="446" spans="1:9" x14ac:dyDescent="0.2">
      <c r="A446" s="72">
        <f>'ERROR FINAL'!A449</f>
        <v>0</v>
      </c>
      <c r="B446" s="73">
        <v>446</v>
      </c>
      <c r="C446" s="74">
        <f>'ERROR FINAL'!G449</f>
        <v>0</v>
      </c>
      <c r="D446" s="75">
        <f>'ERROR FINAL'!I449</f>
        <v>0</v>
      </c>
      <c r="E446" s="76">
        <f>'ERROR FINAL'!U449</f>
        <v>0</v>
      </c>
      <c r="F446" s="77">
        <f>'ERROR FINAL'!AG449</f>
        <v>0</v>
      </c>
      <c r="G446" s="77">
        <f>'ERROR FINAL'!AS449</f>
        <v>0</v>
      </c>
      <c r="H446" s="78" t="str">
        <f>IF('ERROR FINAL'!AT449="CONFORME","CONFORME","NO CONFORME")</f>
        <v>NO CONFORME</v>
      </c>
      <c r="I446" s="79" t="str">
        <f t="shared" si="6"/>
        <v>Medición</v>
      </c>
    </row>
    <row r="447" spans="1:9" x14ac:dyDescent="0.2">
      <c r="A447" s="72">
        <f>'ERROR FINAL'!A450</f>
        <v>0</v>
      </c>
      <c r="B447" s="73">
        <v>447</v>
      </c>
      <c r="C447" s="74">
        <f>'ERROR FINAL'!G450</f>
        <v>0</v>
      </c>
      <c r="D447" s="75">
        <f>'ERROR FINAL'!I450</f>
        <v>0</v>
      </c>
      <c r="E447" s="76">
        <f>'ERROR FINAL'!U450</f>
        <v>0</v>
      </c>
      <c r="F447" s="77">
        <f>'ERROR FINAL'!AG450</f>
        <v>0</v>
      </c>
      <c r="G447" s="77">
        <f>'ERROR FINAL'!AS450</f>
        <v>0</v>
      </c>
      <c r="H447" s="78" t="str">
        <f>IF('ERROR FINAL'!AT450="CONFORME","CONFORME","NO CONFORME")</f>
        <v>NO CONFORME</v>
      </c>
      <c r="I447" s="79" t="str">
        <f t="shared" si="6"/>
        <v>Medición</v>
      </c>
    </row>
    <row r="448" spans="1:9" x14ac:dyDescent="0.2">
      <c r="A448" s="72">
        <f>'ERROR FINAL'!A451</f>
        <v>0</v>
      </c>
      <c r="B448" s="73">
        <v>448</v>
      </c>
      <c r="C448" s="74">
        <f>'ERROR FINAL'!G451</f>
        <v>0</v>
      </c>
      <c r="D448" s="75">
        <f>'ERROR FINAL'!I451</f>
        <v>0</v>
      </c>
      <c r="E448" s="76">
        <f>'ERROR FINAL'!U451</f>
        <v>0</v>
      </c>
      <c r="F448" s="77">
        <f>'ERROR FINAL'!AG451</f>
        <v>0</v>
      </c>
      <c r="G448" s="77">
        <f>'ERROR FINAL'!AS451</f>
        <v>0</v>
      </c>
      <c r="H448" s="78" t="str">
        <f>IF('ERROR FINAL'!AT451="CONFORME","CONFORME","NO CONFORME")</f>
        <v>NO CONFORME</v>
      </c>
      <c r="I448" s="79" t="str">
        <f t="shared" si="6"/>
        <v>Medición</v>
      </c>
    </row>
    <row r="449" spans="1:9" x14ac:dyDescent="0.2">
      <c r="A449" s="72">
        <f>'ERROR FINAL'!A452</f>
        <v>0</v>
      </c>
      <c r="B449" s="73">
        <v>449</v>
      </c>
      <c r="C449" s="74">
        <f>'ERROR FINAL'!G452</f>
        <v>0</v>
      </c>
      <c r="D449" s="75">
        <f>'ERROR FINAL'!I452</f>
        <v>0</v>
      </c>
      <c r="E449" s="76">
        <f>'ERROR FINAL'!U452</f>
        <v>0</v>
      </c>
      <c r="F449" s="77">
        <f>'ERROR FINAL'!AG452</f>
        <v>0</v>
      </c>
      <c r="G449" s="77">
        <f>'ERROR FINAL'!AS452</f>
        <v>0</v>
      </c>
      <c r="H449" s="78" t="str">
        <f>IF('ERROR FINAL'!AT452="CONFORME","CONFORME","NO CONFORME")</f>
        <v>NO CONFORME</v>
      </c>
      <c r="I449" s="79" t="str">
        <f t="shared" si="6"/>
        <v>Medición</v>
      </c>
    </row>
    <row r="450" spans="1:9" x14ac:dyDescent="0.2">
      <c r="A450" s="72">
        <f>'ERROR FINAL'!A453</f>
        <v>0</v>
      </c>
      <c r="B450" s="73">
        <v>450</v>
      </c>
      <c r="C450" s="74">
        <f>'ERROR FINAL'!G453</f>
        <v>0</v>
      </c>
      <c r="D450" s="75">
        <f>'ERROR FINAL'!I453</f>
        <v>0</v>
      </c>
      <c r="E450" s="76">
        <f>'ERROR FINAL'!U453</f>
        <v>0</v>
      </c>
      <c r="F450" s="77">
        <f>'ERROR FINAL'!AG453</f>
        <v>0</v>
      </c>
      <c r="G450" s="77">
        <f>'ERROR FINAL'!AS453</f>
        <v>0</v>
      </c>
      <c r="H450" s="78" t="str">
        <f>IF('ERROR FINAL'!AT453="CONFORME","CONFORME","NO CONFORME")</f>
        <v>NO CONFORME</v>
      </c>
      <c r="I450" s="79" t="str">
        <f t="shared" si="6"/>
        <v>Medición</v>
      </c>
    </row>
    <row r="451" spans="1:9" x14ac:dyDescent="0.2">
      <c r="A451" s="72">
        <f>'ERROR FINAL'!A454</f>
        <v>0</v>
      </c>
      <c r="B451" s="73">
        <v>451</v>
      </c>
      <c r="C451" s="74">
        <f>'ERROR FINAL'!G454</f>
        <v>0</v>
      </c>
      <c r="D451" s="75">
        <f>'ERROR FINAL'!I454</f>
        <v>0</v>
      </c>
      <c r="E451" s="76">
        <f>'ERROR FINAL'!U454</f>
        <v>0</v>
      </c>
      <c r="F451" s="77">
        <f>'ERROR FINAL'!AG454</f>
        <v>0</v>
      </c>
      <c r="G451" s="77">
        <f>'ERROR FINAL'!AS454</f>
        <v>0</v>
      </c>
      <c r="H451" s="78" t="str">
        <f>IF('ERROR FINAL'!AT454="CONFORME","CONFORME","NO CONFORME")</f>
        <v>NO CONFORME</v>
      </c>
      <c r="I451" s="79" t="str">
        <f t="shared" si="6"/>
        <v>Medición</v>
      </c>
    </row>
    <row r="452" spans="1:9" x14ac:dyDescent="0.2">
      <c r="A452" s="72">
        <f>'ERROR FINAL'!A455</f>
        <v>0</v>
      </c>
      <c r="B452" s="73">
        <v>452</v>
      </c>
      <c r="C452" s="74">
        <f>'ERROR FINAL'!G455</f>
        <v>0</v>
      </c>
      <c r="D452" s="75">
        <f>'ERROR FINAL'!I455</f>
        <v>0</v>
      </c>
      <c r="E452" s="76">
        <f>'ERROR FINAL'!U455</f>
        <v>0</v>
      </c>
      <c r="F452" s="77">
        <f>'ERROR FINAL'!AG455</f>
        <v>0</v>
      </c>
      <c r="G452" s="77">
        <f>'ERROR FINAL'!AS455</f>
        <v>0</v>
      </c>
      <c r="H452" s="78" t="str">
        <f>IF('ERROR FINAL'!AT455="CONFORME","CONFORME","NO CONFORME")</f>
        <v>NO CONFORME</v>
      </c>
      <c r="I452" s="79" t="str">
        <f t="shared" si="6"/>
        <v>Medición</v>
      </c>
    </row>
    <row r="453" spans="1:9" x14ac:dyDescent="0.2">
      <c r="A453" s="72">
        <f>'ERROR FINAL'!A456</f>
        <v>0</v>
      </c>
      <c r="B453" s="73">
        <v>453</v>
      </c>
      <c r="C453" s="74">
        <f>'ERROR FINAL'!G456</f>
        <v>0</v>
      </c>
      <c r="D453" s="75">
        <f>'ERROR FINAL'!I456</f>
        <v>0</v>
      </c>
      <c r="E453" s="76">
        <f>'ERROR FINAL'!U456</f>
        <v>0</v>
      </c>
      <c r="F453" s="77">
        <f>'ERROR FINAL'!AG456</f>
        <v>0</v>
      </c>
      <c r="G453" s="77">
        <f>'ERROR FINAL'!AS456</f>
        <v>0</v>
      </c>
      <c r="H453" s="78" t="str">
        <f>IF('ERROR FINAL'!AT456="CONFORME","CONFORME","NO CONFORME")</f>
        <v>NO CONFORME</v>
      </c>
      <c r="I453" s="79" t="str">
        <f t="shared" si="6"/>
        <v>Medición</v>
      </c>
    </row>
    <row r="454" spans="1:9" x14ac:dyDescent="0.2">
      <c r="A454" s="72">
        <f>'ERROR FINAL'!A457</f>
        <v>0</v>
      </c>
      <c r="B454" s="73">
        <v>454</v>
      </c>
      <c r="C454" s="74">
        <f>'ERROR FINAL'!G457</f>
        <v>0</v>
      </c>
      <c r="D454" s="75">
        <f>'ERROR FINAL'!I457</f>
        <v>0</v>
      </c>
      <c r="E454" s="76">
        <f>'ERROR FINAL'!U457</f>
        <v>0</v>
      </c>
      <c r="F454" s="77">
        <f>'ERROR FINAL'!AG457</f>
        <v>0</v>
      </c>
      <c r="G454" s="77">
        <f>'ERROR FINAL'!AS457</f>
        <v>0</v>
      </c>
      <c r="H454" s="78" t="str">
        <f>IF('ERROR FINAL'!AT457="CONFORME","CONFORME","NO CONFORME")</f>
        <v>NO CONFORME</v>
      </c>
      <c r="I454" s="79" t="str">
        <f t="shared" si="6"/>
        <v>Medición</v>
      </c>
    </row>
    <row r="455" spans="1:9" x14ac:dyDescent="0.2">
      <c r="A455" s="72">
        <f>'ERROR FINAL'!A458</f>
        <v>0</v>
      </c>
      <c r="B455" s="73">
        <v>455</v>
      </c>
      <c r="C455" s="74">
        <f>'ERROR FINAL'!G458</f>
        <v>0</v>
      </c>
      <c r="D455" s="75">
        <f>'ERROR FINAL'!I458</f>
        <v>0</v>
      </c>
      <c r="E455" s="76">
        <f>'ERROR FINAL'!U458</f>
        <v>0</v>
      </c>
      <c r="F455" s="77">
        <f>'ERROR FINAL'!AG458</f>
        <v>0</v>
      </c>
      <c r="G455" s="77">
        <f>'ERROR FINAL'!AS458</f>
        <v>0</v>
      </c>
      <c r="H455" s="78" t="str">
        <f>IF('ERROR FINAL'!AT458="CONFORME","CONFORME","NO CONFORME")</f>
        <v>NO CONFORME</v>
      </c>
      <c r="I455" s="79" t="str">
        <f t="shared" ref="I455:I518" si="7">IF(D455=0,"Medición",IF(D455=1,"Daño físico",IF(D455=2,"Fuga",IF(D455=3,"Picado",IF(D455=4,"Desfasado",IF(D455=5,"Paralizado","¿?"))))))</f>
        <v>Medición</v>
      </c>
    </row>
    <row r="456" spans="1:9" x14ac:dyDescent="0.2">
      <c r="A456" s="72">
        <f>'ERROR FINAL'!A459</f>
        <v>0</v>
      </c>
      <c r="B456" s="73">
        <v>456</v>
      </c>
      <c r="C456" s="74">
        <f>'ERROR FINAL'!G459</f>
        <v>0</v>
      </c>
      <c r="D456" s="75">
        <f>'ERROR FINAL'!I459</f>
        <v>0</v>
      </c>
      <c r="E456" s="76">
        <f>'ERROR FINAL'!U459</f>
        <v>0</v>
      </c>
      <c r="F456" s="77">
        <f>'ERROR FINAL'!AG459</f>
        <v>0</v>
      </c>
      <c r="G456" s="77">
        <f>'ERROR FINAL'!AS459</f>
        <v>0</v>
      </c>
      <c r="H456" s="78" t="str">
        <f>IF('ERROR FINAL'!AT459="CONFORME","CONFORME","NO CONFORME")</f>
        <v>NO CONFORME</v>
      </c>
      <c r="I456" s="79" t="str">
        <f t="shared" si="7"/>
        <v>Medición</v>
      </c>
    </row>
    <row r="457" spans="1:9" x14ac:dyDescent="0.2">
      <c r="A457" s="72">
        <f>'ERROR FINAL'!A460</f>
        <v>0</v>
      </c>
      <c r="B457" s="73">
        <v>457</v>
      </c>
      <c r="C457" s="74">
        <f>'ERROR FINAL'!G460</f>
        <v>0</v>
      </c>
      <c r="D457" s="75">
        <f>'ERROR FINAL'!I460</f>
        <v>0</v>
      </c>
      <c r="E457" s="76">
        <f>'ERROR FINAL'!U460</f>
        <v>0</v>
      </c>
      <c r="F457" s="77">
        <f>'ERROR FINAL'!AG460</f>
        <v>0</v>
      </c>
      <c r="G457" s="77">
        <f>'ERROR FINAL'!AS460</f>
        <v>0</v>
      </c>
      <c r="H457" s="78" t="str">
        <f>IF('ERROR FINAL'!AT460="CONFORME","CONFORME","NO CONFORME")</f>
        <v>NO CONFORME</v>
      </c>
      <c r="I457" s="79" t="str">
        <f t="shared" si="7"/>
        <v>Medición</v>
      </c>
    </row>
    <row r="458" spans="1:9" x14ac:dyDescent="0.2">
      <c r="A458" s="72">
        <f>'ERROR FINAL'!A461</f>
        <v>0</v>
      </c>
      <c r="B458" s="73">
        <v>458</v>
      </c>
      <c r="C458" s="74">
        <f>'ERROR FINAL'!G461</f>
        <v>0</v>
      </c>
      <c r="D458" s="75">
        <f>'ERROR FINAL'!I461</f>
        <v>0</v>
      </c>
      <c r="E458" s="76">
        <f>'ERROR FINAL'!U461</f>
        <v>0</v>
      </c>
      <c r="F458" s="77">
        <f>'ERROR FINAL'!AG461</f>
        <v>0</v>
      </c>
      <c r="G458" s="77">
        <f>'ERROR FINAL'!AS461</f>
        <v>0</v>
      </c>
      <c r="H458" s="78" t="str">
        <f>IF('ERROR FINAL'!AT461="CONFORME","CONFORME","NO CONFORME")</f>
        <v>NO CONFORME</v>
      </c>
      <c r="I458" s="79" t="str">
        <f t="shared" si="7"/>
        <v>Medición</v>
      </c>
    </row>
    <row r="459" spans="1:9" x14ac:dyDescent="0.2">
      <c r="A459" s="72">
        <f>'ERROR FINAL'!A462</f>
        <v>0</v>
      </c>
      <c r="B459" s="73">
        <v>459</v>
      </c>
      <c r="C459" s="74">
        <f>'ERROR FINAL'!G462</f>
        <v>0</v>
      </c>
      <c r="D459" s="75">
        <f>'ERROR FINAL'!I462</f>
        <v>0</v>
      </c>
      <c r="E459" s="76">
        <f>'ERROR FINAL'!U462</f>
        <v>0</v>
      </c>
      <c r="F459" s="77">
        <f>'ERROR FINAL'!AG462</f>
        <v>0</v>
      </c>
      <c r="G459" s="77">
        <f>'ERROR FINAL'!AS462</f>
        <v>0</v>
      </c>
      <c r="H459" s="78" t="str">
        <f>IF('ERROR FINAL'!AT462="CONFORME","CONFORME","NO CONFORME")</f>
        <v>NO CONFORME</v>
      </c>
      <c r="I459" s="79" t="str">
        <f t="shared" si="7"/>
        <v>Medición</v>
      </c>
    </row>
    <row r="460" spans="1:9" x14ac:dyDescent="0.2">
      <c r="A460" s="72">
        <f>'ERROR FINAL'!A463</f>
        <v>0</v>
      </c>
      <c r="B460" s="73">
        <v>460</v>
      </c>
      <c r="C460" s="74">
        <f>'ERROR FINAL'!G463</f>
        <v>0</v>
      </c>
      <c r="D460" s="75">
        <f>'ERROR FINAL'!I463</f>
        <v>0</v>
      </c>
      <c r="E460" s="76">
        <f>'ERROR FINAL'!U463</f>
        <v>0</v>
      </c>
      <c r="F460" s="77">
        <f>'ERROR FINAL'!AG463</f>
        <v>0</v>
      </c>
      <c r="G460" s="77">
        <f>'ERROR FINAL'!AS463</f>
        <v>0</v>
      </c>
      <c r="H460" s="78" t="str">
        <f>IF('ERROR FINAL'!AT463="CONFORME","CONFORME","NO CONFORME")</f>
        <v>NO CONFORME</v>
      </c>
      <c r="I460" s="79" t="str">
        <f t="shared" si="7"/>
        <v>Medición</v>
      </c>
    </row>
    <row r="461" spans="1:9" x14ac:dyDescent="0.2">
      <c r="A461" s="72">
        <f>'ERROR FINAL'!A464</f>
        <v>0</v>
      </c>
      <c r="B461" s="73">
        <v>461</v>
      </c>
      <c r="C461" s="74">
        <f>'ERROR FINAL'!G464</f>
        <v>0</v>
      </c>
      <c r="D461" s="75">
        <f>'ERROR FINAL'!I464</f>
        <v>0</v>
      </c>
      <c r="E461" s="76">
        <f>'ERROR FINAL'!U464</f>
        <v>0</v>
      </c>
      <c r="F461" s="77">
        <f>'ERROR FINAL'!AG464</f>
        <v>0</v>
      </c>
      <c r="G461" s="77">
        <f>'ERROR FINAL'!AS464</f>
        <v>0</v>
      </c>
      <c r="H461" s="78" t="str">
        <f>IF('ERROR FINAL'!AT464="CONFORME","CONFORME","NO CONFORME")</f>
        <v>NO CONFORME</v>
      </c>
      <c r="I461" s="79" t="str">
        <f t="shared" si="7"/>
        <v>Medición</v>
      </c>
    </row>
    <row r="462" spans="1:9" x14ac:dyDescent="0.2">
      <c r="A462" s="72">
        <f>'ERROR FINAL'!A465</f>
        <v>0</v>
      </c>
      <c r="B462" s="73">
        <v>462</v>
      </c>
      <c r="C462" s="74">
        <f>'ERROR FINAL'!G465</f>
        <v>0</v>
      </c>
      <c r="D462" s="75">
        <f>'ERROR FINAL'!I465</f>
        <v>0</v>
      </c>
      <c r="E462" s="76">
        <f>'ERROR FINAL'!U465</f>
        <v>0</v>
      </c>
      <c r="F462" s="77">
        <f>'ERROR FINAL'!AG465</f>
        <v>0</v>
      </c>
      <c r="G462" s="77">
        <f>'ERROR FINAL'!AS465</f>
        <v>0</v>
      </c>
      <c r="H462" s="78" t="str">
        <f>IF('ERROR FINAL'!AT465="CONFORME","CONFORME","NO CONFORME")</f>
        <v>NO CONFORME</v>
      </c>
      <c r="I462" s="79" t="str">
        <f t="shared" si="7"/>
        <v>Medición</v>
      </c>
    </row>
    <row r="463" spans="1:9" x14ac:dyDescent="0.2">
      <c r="A463" s="72">
        <f>'ERROR FINAL'!A466</f>
        <v>0</v>
      </c>
      <c r="B463" s="73">
        <v>463</v>
      </c>
      <c r="C463" s="74">
        <f>'ERROR FINAL'!G466</f>
        <v>0</v>
      </c>
      <c r="D463" s="75">
        <f>'ERROR FINAL'!I466</f>
        <v>0</v>
      </c>
      <c r="E463" s="76">
        <f>'ERROR FINAL'!U466</f>
        <v>0</v>
      </c>
      <c r="F463" s="77">
        <f>'ERROR FINAL'!AG466</f>
        <v>0</v>
      </c>
      <c r="G463" s="77">
        <f>'ERROR FINAL'!AS466</f>
        <v>0</v>
      </c>
      <c r="H463" s="78" t="str">
        <f>IF('ERROR FINAL'!AT466="CONFORME","CONFORME","NO CONFORME")</f>
        <v>NO CONFORME</v>
      </c>
      <c r="I463" s="79" t="str">
        <f t="shared" si="7"/>
        <v>Medición</v>
      </c>
    </row>
    <row r="464" spans="1:9" x14ac:dyDescent="0.2">
      <c r="A464" s="72">
        <f>'ERROR FINAL'!A467</f>
        <v>0</v>
      </c>
      <c r="B464" s="73">
        <v>464</v>
      </c>
      <c r="C464" s="74">
        <f>'ERROR FINAL'!G467</f>
        <v>0</v>
      </c>
      <c r="D464" s="75">
        <f>'ERROR FINAL'!I467</f>
        <v>0</v>
      </c>
      <c r="E464" s="76">
        <f>'ERROR FINAL'!U467</f>
        <v>0</v>
      </c>
      <c r="F464" s="77">
        <f>'ERROR FINAL'!AG467</f>
        <v>0</v>
      </c>
      <c r="G464" s="77">
        <f>'ERROR FINAL'!AS467</f>
        <v>0</v>
      </c>
      <c r="H464" s="78" t="str">
        <f>IF('ERROR FINAL'!AT467="CONFORME","CONFORME","NO CONFORME")</f>
        <v>NO CONFORME</v>
      </c>
      <c r="I464" s="79" t="str">
        <f t="shared" si="7"/>
        <v>Medición</v>
      </c>
    </row>
    <row r="465" spans="1:9" x14ac:dyDescent="0.2">
      <c r="A465" s="72">
        <f>'ERROR FINAL'!A468</f>
        <v>0</v>
      </c>
      <c r="B465" s="73">
        <v>465</v>
      </c>
      <c r="C465" s="74">
        <f>'ERROR FINAL'!G468</f>
        <v>0</v>
      </c>
      <c r="D465" s="75">
        <f>'ERROR FINAL'!I468</f>
        <v>0</v>
      </c>
      <c r="E465" s="76">
        <f>'ERROR FINAL'!U468</f>
        <v>0</v>
      </c>
      <c r="F465" s="77">
        <f>'ERROR FINAL'!AG468</f>
        <v>0</v>
      </c>
      <c r="G465" s="77">
        <f>'ERROR FINAL'!AS468</f>
        <v>0</v>
      </c>
      <c r="H465" s="78" t="str">
        <f>IF('ERROR FINAL'!AT468="CONFORME","CONFORME","NO CONFORME")</f>
        <v>NO CONFORME</v>
      </c>
      <c r="I465" s="79" t="str">
        <f t="shared" si="7"/>
        <v>Medición</v>
      </c>
    </row>
    <row r="466" spans="1:9" x14ac:dyDescent="0.2">
      <c r="A466" s="72">
        <f>'ERROR FINAL'!A469</f>
        <v>0</v>
      </c>
      <c r="B466" s="73">
        <v>466</v>
      </c>
      <c r="C466" s="74">
        <f>'ERROR FINAL'!G469</f>
        <v>0</v>
      </c>
      <c r="D466" s="75">
        <f>'ERROR FINAL'!I469</f>
        <v>0</v>
      </c>
      <c r="E466" s="76">
        <f>'ERROR FINAL'!U469</f>
        <v>0</v>
      </c>
      <c r="F466" s="77">
        <f>'ERROR FINAL'!AG469</f>
        <v>0</v>
      </c>
      <c r="G466" s="77">
        <f>'ERROR FINAL'!AS469</f>
        <v>0</v>
      </c>
      <c r="H466" s="78" t="str">
        <f>IF('ERROR FINAL'!AT469="CONFORME","CONFORME","NO CONFORME")</f>
        <v>NO CONFORME</v>
      </c>
      <c r="I466" s="79" t="str">
        <f t="shared" si="7"/>
        <v>Medición</v>
      </c>
    </row>
    <row r="467" spans="1:9" x14ac:dyDescent="0.2">
      <c r="A467" s="72">
        <f>'ERROR FINAL'!A470</f>
        <v>0</v>
      </c>
      <c r="B467" s="73">
        <v>467</v>
      </c>
      <c r="C467" s="74">
        <f>'ERROR FINAL'!G470</f>
        <v>0</v>
      </c>
      <c r="D467" s="75">
        <f>'ERROR FINAL'!I470</f>
        <v>0</v>
      </c>
      <c r="E467" s="76">
        <f>'ERROR FINAL'!U470</f>
        <v>0</v>
      </c>
      <c r="F467" s="77">
        <f>'ERROR FINAL'!AG470</f>
        <v>0</v>
      </c>
      <c r="G467" s="77">
        <f>'ERROR FINAL'!AS470</f>
        <v>0</v>
      </c>
      <c r="H467" s="78" t="str">
        <f>IF('ERROR FINAL'!AT470="CONFORME","CONFORME","NO CONFORME")</f>
        <v>NO CONFORME</v>
      </c>
      <c r="I467" s="79" t="str">
        <f t="shared" si="7"/>
        <v>Medición</v>
      </c>
    </row>
    <row r="468" spans="1:9" x14ac:dyDescent="0.2">
      <c r="A468" s="72">
        <f>'ERROR FINAL'!A471</f>
        <v>0</v>
      </c>
      <c r="B468" s="73">
        <v>468</v>
      </c>
      <c r="C468" s="74">
        <f>'ERROR FINAL'!G471</f>
        <v>0</v>
      </c>
      <c r="D468" s="75">
        <f>'ERROR FINAL'!I471</f>
        <v>0</v>
      </c>
      <c r="E468" s="76">
        <f>'ERROR FINAL'!U471</f>
        <v>0</v>
      </c>
      <c r="F468" s="77">
        <f>'ERROR FINAL'!AG471</f>
        <v>0</v>
      </c>
      <c r="G468" s="77">
        <f>'ERROR FINAL'!AS471</f>
        <v>0</v>
      </c>
      <c r="H468" s="78" t="str">
        <f>IF('ERROR FINAL'!AT471="CONFORME","CONFORME","NO CONFORME")</f>
        <v>NO CONFORME</v>
      </c>
      <c r="I468" s="79" t="str">
        <f t="shared" si="7"/>
        <v>Medición</v>
      </c>
    </row>
    <row r="469" spans="1:9" x14ac:dyDescent="0.2">
      <c r="A469" s="72">
        <f>'ERROR FINAL'!A472</f>
        <v>0</v>
      </c>
      <c r="B469" s="73">
        <v>469</v>
      </c>
      <c r="C469" s="74">
        <f>'ERROR FINAL'!G472</f>
        <v>0</v>
      </c>
      <c r="D469" s="75">
        <f>'ERROR FINAL'!I472</f>
        <v>0</v>
      </c>
      <c r="E469" s="76">
        <f>'ERROR FINAL'!U472</f>
        <v>0</v>
      </c>
      <c r="F469" s="77">
        <f>'ERROR FINAL'!AG472</f>
        <v>0</v>
      </c>
      <c r="G469" s="77">
        <f>'ERROR FINAL'!AS472</f>
        <v>0</v>
      </c>
      <c r="H469" s="78" t="str">
        <f>IF('ERROR FINAL'!AT472="CONFORME","CONFORME","NO CONFORME")</f>
        <v>NO CONFORME</v>
      </c>
      <c r="I469" s="79" t="str">
        <f t="shared" si="7"/>
        <v>Medición</v>
      </c>
    </row>
    <row r="470" spans="1:9" x14ac:dyDescent="0.2">
      <c r="A470" s="72">
        <f>'ERROR FINAL'!A473</f>
        <v>0</v>
      </c>
      <c r="B470" s="73">
        <v>470</v>
      </c>
      <c r="C470" s="74">
        <f>'ERROR FINAL'!G473</f>
        <v>0</v>
      </c>
      <c r="D470" s="75">
        <f>'ERROR FINAL'!I473</f>
        <v>0</v>
      </c>
      <c r="E470" s="76">
        <f>'ERROR FINAL'!U473</f>
        <v>0</v>
      </c>
      <c r="F470" s="77">
        <f>'ERROR FINAL'!AG473</f>
        <v>0</v>
      </c>
      <c r="G470" s="77">
        <f>'ERROR FINAL'!AS473</f>
        <v>0</v>
      </c>
      <c r="H470" s="78" t="str">
        <f>IF('ERROR FINAL'!AT473="CONFORME","CONFORME","NO CONFORME")</f>
        <v>NO CONFORME</v>
      </c>
      <c r="I470" s="79" t="str">
        <f t="shared" si="7"/>
        <v>Medición</v>
      </c>
    </row>
    <row r="471" spans="1:9" x14ac:dyDescent="0.2">
      <c r="A471" s="72">
        <f>'ERROR FINAL'!A474</f>
        <v>0</v>
      </c>
      <c r="B471" s="73">
        <v>471</v>
      </c>
      <c r="C471" s="74">
        <f>'ERROR FINAL'!G474</f>
        <v>0</v>
      </c>
      <c r="D471" s="75">
        <f>'ERROR FINAL'!I474</f>
        <v>0</v>
      </c>
      <c r="E471" s="76">
        <f>'ERROR FINAL'!U474</f>
        <v>0</v>
      </c>
      <c r="F471" s="77">
        <f>'ERROR FINAL'!AG474</f>
        <v>0</v>
      </c>
      <c r="G471" s="77">
        <f>'ERROR FINAL'!AS474</f>
        <v>0</v>
      </c>
      <c r="H471" s="78" t="str">
        <f>IF('ERROR FINAL'!AT474="CONFORME","CONFORME","NO CONFORME")</f>
        <v>NO CONFORME</v>
      </c>
      <c r="I471" s="79" t="str">
        <f t="shared" si="7"/>
        <v>Medición</v>
      </c>
    </row>
    <row r="472" spans="1:9" x14ac:dyDescent="0.2">
      <c r="A472" s="72">
        <f>'ERROR FINAL'!A475</f>
        <v>0</v>
      </c>
      <c r="B472" s="73">
        <v>472</v>
      </c>
      <c r="C472" s="74">
        <f>'ERROR FINAL'!G475</f>
        <v>0</v>
      </c>
      <c r="D472" s="75">
        <f>'ERROR FINAL'!I475</f>
        <v>0</v>
      </c>
      <c r="E472" s="76">
        <f>'ERROR FINAL'!U475</f>
        <v>0</v>
      </c>
      <c r="F472" s="77">
        <f>'ERROR FINAL'!AG475</f>
        <v>0</v>
      </c>
      <c r="G472" s="77">
        <f>'ERROR FINAL'!AS475</f>
        <v>0</v>
      </c>
      <c r="H472" s="78" t="str">
        <f>IF('ERROR FINAL'!AT475="CONFORME","CONFORME","NO CONFORME")</f>
        <v>NO CONFORME</v>
      </c>
      <c r="I472" s="79" t="str">
        <f t="shared" si="7"/>
        <v>Medición</v>
      </c>
    </row>
    <row r="473" spans="1:9" x14ac:dyDescent="0.2">
      <c r="A473" s="72">
        <f>'ERROR FINAL'!A476</f>
        <v>0</v>
      </c>
      <c r="B473" s="73">
        <v>473</v>
      </c>
      <c r="C473" s="74">
        <f>'ERROR FINAL'!G476</f>
        <v>0</v>
      </c>
      <c r="D473" s="75">
        <f>'ERROR FINAL'!I476</f>
        <v>0</v>
      </c>
      <c r="E473" s="76">
        <f>'ERROR FINAL'!U476</f>
        <v>0</v>
      </c>
      <c r="F473" s="77">
        <f>'ERROR FINAL'!AG476</f>
        <v>0</v>
      </c>
      <c r="G473" s="77">
        <f>'ERROR FINAL'!AS476</f>
        <v>0</v>
      </c>
      <c r="H473" s="78" t="str">
        <f>IF('ERROR FINAL'!AT476="CONFORME","CONFORME","NO CONFORME")</f>
        <v>NO CONFORME</v>
      </c>
      <c r="I473" s="79" t="str">
        <f t="shared" si="7"/>
        <v>Medición</v>
      </c>
    </row>
    <row r="474" spans="1:9" x14ac:dyDescent="0.2">
      <c r="A474" s="72">
        <f>'ERROR FINAL'!A477</f>
        <v>0</v>
      </c>
      <c r="B474" s="73">
        <v>474</v>
      </c>
      <c r="C474" s="74">
        <f>'ERROR FINAL'!G477</f>
        <v>0</v>
      </c>
      <c r="D474" s="75">
        <f>'ERROR FINAL'!I477</f>
        <v>0</v>
      </c>
      <c r="E474" s="76">
        <f>'ERROR FINAL'!U477</f>
        <v>0</v>
      </c>
      <c r="F474" s="77">
        <f>'ERROR FINAL'!AG477</f>
        <v>0</v>
      </c>
      <c r="G474" s="77">
        <f>'ERROR FINAL'!AS477</f>
        <v>0</v>
      </c>
      <c r="H474" s="78" t="str">
        <f>IF('ERROR FINAL'!AT477="CONFORME","CONFORME","NO CONFORME")</f>
        <v>NO CONFORME</v>
      </c>
      <c r="I474" s="79" t="str">
        <f t="shared" si="7"/>
        <v>Medición</v>
      </c>
    </row>
    <row r="475" spans="1:9" x14ac:dyDescent="0.2">
      <c r="A475" s="72">
        <f>'ERROR FINAL'!A478</f>
        <v>0</v>
      </c>
      <c r="B475" s="73">
        <v>475</v>
      </c>
      <c r="C475" s="74">
        <f>'ERROR FINAL'!G478</f>
        <v>0</v>
      </c>
      <c r="D475" s="75">
        <f>'ERROR FINAL'!I478</f>
        <v>0</v>
      </c>
      <c r="E475" s="76">
        <f>'ERROR FINAL'!U478</f>
        <v>0</v>
      </c>
      <c r="F475" s="77">
        <f>'ERROR FINAL'!AG478</f>
        <v>0</v>
      </c>
      <c r="G475" s="77">
        <f>'ERROR FINAL'!AS478</f>
        <v>0</v>
      </c>
      <c r="H475" s="78" t="str">
        <f>IF('ERROR FINAL'!AT478="CONFORME","CONFORME","NO CONFORME")</f>
        <v>NO CONFORME</v>
      </c>
      <c r="I475" s="79" t="str">
        <f t="shared" si="7"/>
        <v>Medición</v>
      </c>
    </row>
    <row r="476" spans="1:9" x14ac:dyDescent="0.2">
      <c r="A476" s="72">
        <f>'ERROR FINAL'!A479</f>
        <v>0</v>
      </c>
      <c r="B476" s="73">
        <v>476</v>
      </c>
      <c r="C476" s="74">
        <f>'ERROR FINAL'!G479</f>
        <v>0</v>
      </c>
      <c r="D476" s="75">
        <f>'ERROR FINAL'!I479</f>
        <v>0</v>
      </c>
      <c r="E476" s="76">
        <f>'ERROR FINAL'!U479</f>
        <v>0</v>
      </c>
      <c r="F476" s="77">
        <f>'ERROR FINAL'!AG479</f>
        <v>0</v>
      </c>
      <c r="G476" s="77">
        <f>'ERROR FINAL'!AS479</f>
        <v>0</v>
      </c>
      <c r="H476" s="78" t="str">
        <f>IF('ERROR FINAL'!AT479="CONFORME","CONFORME","NO CONFORME")</f>
        <v>NO CONFORME</v>
      </c>
      <c r="I476" s="79" t="str">
        <f t="shared" si="7"/>
        <v>Medición</v>
      </c>
    </row>
    <row r="477" spans="1:9" x14ac:dyDescent="0.2">
      <c r="A477" s="72">
        <f>'ERROR FINAL'!A480</f>
        <v>0</v>
      </c>
      <c r="B477" s="73">
        <v>477</v>
      </c>
      <c r="C477" s="74">
        <f>'ERROR FINAL'!G480</f>
        <v>0</v>
      </c>
      <c r="D477" s="75">
        <f>'ERROR FINAL'!I480</f>
        <v>0</v>
      </c>
      <c r="E477" s="76">
        <f>'ERROR FINAL'!U480</f>
        <v>0</v>
      </c>
      <c r="F477" s="77">
        <f>'ERROR FINAL'!AG480</f>
        <v>0</v>
      </c>
      <c r="G477" s="77">
        <f>'ERROR FINAL'!AS480</f>
        <v>0</v>
      </c>
      <c r="H477" s="78" t="str">
        <f>IF('ERROR FINAL'!AT480="CONFORME","CONFORME","NO CONFORME")</f>
        <v>NO CONFORME</v>
      </c>
      <c r="I477" s="79" t="str">
        <f t="shared" si="7"/>
        <v>Medición</v>
      </c>
    </row>
    <row r="478" spans="1:9" x14ac:dyDescent="0.2">
      <c r="A478" s="72">
        <f>'ERROR FINAL'!A481</f>
        <v>0</v>
      </c>
      <c r="B478" s="73">
        <v>478</v>
      </c>
      <c r="C478" s="74">
        <f>'ERROR FINAL'!G481</f>
        <v>0</v>
      </c>
      <c r="D478" s="75">
        <f>'ERROR FINAL'!I481</f>
        <v>0</v>
      </c>
      <c r="E478" s="76">
        <f>'ERROR FINAL'!U481</f>
        <v>0</v>
      </c>
      <c r="F478" s="77">
        <f>'ERROR FINAL'!AG481</f>
        <v>0</v>
      </c>
      <c r="G478" s="77">
        <f>'ERROR FINAL'!AS481</f>
        <v>0</v>
      </c>
      <c r="H478" s="78" t="str">
        <f>IF('ERROR FINAL'!AT481="CONFORME","CONFORME","NO CONFORME")</f>
        <v>NO CONFORME</v>
      </c>
      <c r="I478" s="79" t="str">
        <f t="shared" si="7"/>
        <v>Medición</v>
      </c>
    </row>
    <row r="479" spans="1:9" x14ac:dyDescent="0.2">
      <c r="A479" s="72">
        <f>'ERROR FINAL'!A482</f>
        <v>0</v>
      </c>
      <c r="B479" s="73">
        <v>479</v>
      </c>
      <c r="C479" s="74">
        <f>'ERROR FINAL'!G482</f>
        <v>0</v>
      </c>
      <c r="D479" s="75">
        <f>'ERROR FINAL'!I482</f>
        <v>0</v>
      </c>
      <c r="E479" s="76">
        <f>'ERROR FINAL'!U482</f>
        <v>0</v>
      </c>
      <c r="F479" s="77">
        <f>'ERROR FINAL'!AG482</f>
        <v>0</v>
      </c>
      <c r="G479" s="77">
        <f>'ERROR FINAL'!AS482</f>
        <v>0</v>
      </c>
      <c r="H479" s="78" t="str">
        <f>IF('ERROR FINAL'!AT482="CONFORME","CONFORME","NO CONFORME")</f>
        <v>NO CONFORME</v>
      </c>
      <c r="I479" s="79" t="str">
        <f t="shared" si="7"/>
        <v>Medición</v>
      </c>
    </row>
    <row r="480" spans="1:9" x14ac:dyDescent="0.2">
      <c r="A480" s="72">
        <f>'ERROR FINAL'!A483</f>
        <v>0</v>
      </c>
      <c r="B480" s="73">
        <v>480</v>
      </c>
      <c r="C480" s="74">
        <f>'ERROR FINAL'!G483</f>
        <v>0</v>
      </c>
      <c r="D480" s="75">
        <f>'ERROR FINAL'!I483</f>
        <v>0</v>
      </c>
      <c r="E480" s="76">
        <f>'ERROR FINAL'!U483</f>
        <v>0</v>
      </c>
      <c r="F480" s="77">
        <f>'ERROR FINAL'!AG483</f>
        <v>0</v>
      </c>
      <c r="G480" s="77">
        <f>'ERROR FINAL'!AS483</f>
        <v>0</v>
      </c>
      <c r="H480" s="78" t="str">
        <f>IF('ERROR FINAL'!AT483="CONFORME","CONFORME","NO CONFORME")</f>
        <v>NO CONFORME</v>
      </c>
      <c r="I480" s="79" t="str">
        <f t="shared" si="7"/>
        <v>Medición</v>
      </c>
    </row>
    <row r="481" spans="1:9" x14ac:dyDescent="0.2">
      <c r="A481" s="72">
        <f>'ERROR FINAL'!A484</f>
        <v>0</v>
      </c>
      <c r="B481" s="73">
        <v>481</v>
      </c>
      <c r="C481" s="74">
        <f>'ERROR FINAL'!G484</f>
        <v>0</v>
      </c>
      <c r="D481" s="75">
        <f>'ERROR FINAL'!I484</f>
        <v>0</v>
      </c>
      <c r="E481" s="76">
        <f>'ERROR FINAL'!U484</f>
        <v>0</v>
      </c>
      <c r="F481" s="77">
        <f>'ERROR FINAL'!AG484</f>
        <v>0</v>
      </c>
      <c r="G481" s="77">
        <f>'ERROR FINAL'!AS484</f>
        <v>0</v>
      </c>
      <c r="H481" s="78" t="str">
        <f>IF('ERROR FINAL'!AT484="CONFORME","CONFORME","NO CONFORME")</f>
        <v>NO CONFORME</v>
      </c>
      <c r="I481" s="79" t="str">
        <f t="shared" si="7"/>
        <v>Medición</v>
      </c>
    </row>
    <row r="482" spans="1:9" x14ac:dyDescent="0.2">
      <c r="A482" s="72">
        <f>'ERROR FINAL'!A485</f>
        <v>0</v>
      </c>
      <c r="B482" s="73">
        <v>482</v>
      </c>
      <c r="C482" s="74">
        <f>'ERROR FINAL'!G485</f>
        <v>0</v>
      </c>
      <c r="D482" s="75">
        <f>'ERROR FINAL'!I485</f>
        <v>0</v>
      </c>
      <c r="E482" s="76">
        <f>'ERROR FINAL'!U485</f>
        <v>0</v>
      </c>
      <c r="F482" s="77">
        <f>'ERROR FINAL'!AG485</f>
        <v>0</v>
      </c>
      <c r="G482" s="77">
        <f>'ERROR FINAL'!AS485</f>
        <v>0</v>
      </c>
      <c r="H482" s="78" t="str">
        <f>IF('ERROR FINAL'!AT485="CONFORME","CONFORME","NO CONFORME")</f>
        <v>NO CONFORME</v>
      </c>
      <c r="I482" s="79" t="str">
        <f t="shared" si="7"/>
        <v>Medición</v>
      </c>
    </row>
    <row r="483" spans="1:9" x14ac:dyDescent="0.2">
      <c r="A483" s="72">
        <f>'ERROR FINAL'!A486</f>
        <v>0</v>
      </c>
      <c r="B483" s="73">
        <v>483</v>
      </c>
      <c r="C483" s="74">
        <f>'ERROR FINAL'!G486</f>
        <v>0</v>
      </c>
      <c r="D483" s="75">
        <f>'ERROR FINAL'!I486</f>
        <v>0</v>
      </c>
      <c r="E483" s="76">
        <f>'ERROR FINAL'!U486</f>
        <v>0</v>
      </c>
      <c r="F483" s="77">
        <f>'ERROR FINAL'!AG486</f>
        <v>0</v>
      </c>
      <c r="G483" s="77">
        <f>'ERROR FINAL'!AS486</f>
        <v>0</v>
      </c>
      <c r="H483" s="78" t="str">
        <f>IF('ERROR FINAL'!AT486="CONFORME","CONFORME","NO CONFORME")</f>
        <v>NO CONFORME</v>
      </c>
      <c r="I483" s="79" t="str">
        <f t="shared" si="7"/>
        <v>Medición</v>
      </c>
    </row>
    <row r="484" spans="1:9" x14ac:dyDescent="0.2">
      <c r="A484" s="72">
        <f>'ERROR FINAL'!A487</f>
        <v>0</v>
      </c>
      <c r="B484" s="73">
        <v>484</v>
      </c>
      <c r="C484" s="74">
        <f>'ERROR FINAL'!G487</f>
        <v>0</v>
      </c>
      <c r="D484" s="75">
        <f>'ERROR FINAL'!I487</f>
        <v>0</v>
      </c>
      <c r="E484" s="76">
        <f>'ERROR FINAL'!U487</f>
        <v>0</v>
      </c>
      <c r="F484" s="77">
        <f>'ERROR FINAL'!AG487</f>
        <v>0</v>
      </c>
      <c r="G484" s="77">
        <f>'ERROR FINAL'!AS487</f>
        <v>0</v>
      </c>
      <c r="H484" s="78" t="str">
        <f>IF('ERROR FINAL'!AT487="CONFORME","CONFORME","NO CONFORME")</f>
        <v>NO CONFORME</v>
      </c>
      <c r="I484" s="79" t="str">
        <f t="shared" si="7"/>
        <v>Medición</v>
      </c>
    </row>
    <row r="485" spans="1:9" x14ac:dyDescent="0.2">
      <c r="A485" s="72">
        <f>'ERROR FINAL'!A488</f>
        <v>0</v>
      </c>
      <c r="B485" s="73">
        <v>485</v>
      </c>
      <c r="C485" s="74">
        <f>'ERROR FINAL'!G488</f>
        <v>0</v>
      </c>
      <c r="D485" s="75">
        <f>'ERROR FINAL'!I488</f>
        <v>0</v>
      </c>
      <c r="E485" s="76">
        <f>'ERROR FINAL'!U488</f>
        <v>0</v>
      </c>
      <c r="F485" s="77">
        <f>'ERROR FINAL'!AG488</f>
        <v>0</v>
      </c>
      <c r="G485" s="77">
        <f>'ERROR FINAL'!AS488</f>
        <v>0</v>
      </c>
      <c r="H485" s="78" t="str">
        <f>IF('ERROR FINAL'!AT488="CONFORME","CONFORME","NO CONFORME")</f>
        <v>NO CONFORME</v>
      </c>
      <c r="I485" s="79" t="str">
        <f t="shared" si="7"/>
        <v>Medición</v>
      </c>
    </row>
    <row r="486" spans="1:9" x14ac:dyDescent="0.2">
      <c r="A486" s="72">
        <f>'ERROR FINAL'!A489</f>
        <v>0</v>
      </c>
      <c r="B486" s="73">
        <v>486</v>
      </c>
      <c r="C486" s="74">
        <f>'ERROR FINAL'!G489</f>
        <v>0</v>
      </c>
      <c r="D486" s="75">
        <f>'ERROR FINAL'!I489</f>
        <v>0</v>
      </c>
      <c r="E486" s="76">
        <f>'ERROR FINAL'!U489</f>
        <v>0</v>
      </c>
      <c r="F486" s="77">
        <f>'ERROR FINAL'!AG489</f>
        <v>0</v>
      </c>
      <c r="G486" s="77">
        <f>'ERROR FINAL'!AS489</f>
        <v>0</v>
      </c>
      <c r="H486" s="78" t="str">
        <f>IF('ERROR FINAL'!AT489="CONFORME","CONFORME","NO CONFORME")</f>
        <v>NO CONFORME</v>
      </c>
      <c r="I486" s="79" t="str">
        <f t="shared" si="7"/>
        <v>Medición</v>
      </c>
    </row>
    <row r="487" spans="1:9" x14ac:dyDescent="0.2">
      <c r="A487" s="72">
        <f>'ERROR FINAL'!A490</f>
        <v>0</v>
      </c>
      <c r="B487" s="73">
        <v>487</v>
      </c>
      <c r="C487" s="74">
        <f>'ERROR FINAL'!G490</f>
        <v>0</v>
      </c>
      <c r="D487" s="75">
        <f>'ERROR FINAL'!I490</f>
        <v>0</v>
      </c>
      <c r="E487" s="76">
        <f>'ERROR FINAL'!U490</f>
        <v>0</v>
      </c>
      <c r="F487" s="77">
        <f>'ERROR FINAL'!AG490</f>
        <v>0</v>
      </c>
      <c r="G487" s="77">
        <f>'ERROR FINAL'!AS490</f>
        <v>0</v>
      </c>
      <c r="H487" s="78" t="str">
        <f>IF('ERROR FINAL'!AT490="CONFORME","CONFORME","NO CONFORME")</f>
        <v>NO CONFORME</v>
      </c>
      <c r="I487" s="79" t="str">
        <f t="shared" si="7"/>
        <v>Medición</v>
      </c>
    </row>
    <row r="488" spans="1:9" x14ac:dyDescent="0.2">
      <c r="A488" s="72">
        <f>'ERROR FINAL'!A491</f>
        <v>0</v>
      </c>
      <c r="B488" s="73">
        <v>488</v>
      </c>
      <c r="C488" s="74">
        <f>'ERROR FINAL'!G491</f>
        <v>0</v>
      </c>
      <c r="D488" s="75">
        <f>'ERROR FINAL'!I491</f>
        <v>0</v>
      </c>
      <c r="E488" s="76">
        <f>'ERROR FINAL'!U491</f>
        <v>0</v>
      </c>
      <c r="F488" s="77">
        <f>'ERROR FINAL'!AG491</f>
        <v>0</v>
      </c>
      <c r="G488" s="77">
        <f>'ERROR FINAL'!AS491</f>
        <v>0</v>
      </c>
      <c r="H488" s="78" t="str">
        <f>IF('ERROR FINAL'!AT491="CONFORME","CONFORME","NO CONFORME")</f>
        <v>NO CONFORME</v>
      </c>
      <c r="I488" s="79" t="str">
        <f t="shared" si="7"/>
        <v>Medición</v>
      </c>
    </row>
    <row r="489" spans="1:9" x14ac:dyDescent="0.2">
      <c r="A489" s="72">
        <f>'ERROR FINAL'!A492</f>
        <v>0</v>
      </c>
      <c r="B489" s="73">
        <v>489</v>
      </c>
      <c r="C489" s="74">
        <f>'ERROR FINAL'!G492</f>
        <v>0</v>
      </c>
      <c r="D489" s="75">
        <f>'ERROR FINAL'!I492</f>
        <v>0</v>
      </c>
      <c r="E489" s="76">
        <f>'ERROR FINAL'!U492</f>
        <v>0</v>
      </c>
      <c r="F489" s="77">
        <f>'ERROR FINAL'!AG492</f>
        <v>0</v>
      </c>
      <c r="G489" s="77">
        <f>'ERROR FINAL'!AS492</f>
        <v>0</v>
      </c>
      <c r="H489" s="78" t="str">
        <f>IF('ERROR FINAL'!AT492="CONFORME","CONFORME","NO CONFORME")</f>
        <v>NO CONFORME</v>
      </c>
      <c r="I489" s="79" t="str">
        <f t="shared" si="7"/>
        <v>Medición</v>
      </c>
    </row>
    <row r="490" spans="1:9" x14ac:dyDescent="0.2">
      <c r="A490" s="72">
        <f>'ERROR FINAL'!A493</f>
        <v>0</v>
      </c>
      <c r="B490" s="73">
        <v>490</v>
      </c>
      <c r="C490" s="74">
        <f>'ERROR FINAL'!G493</f>
        <v>0</v>
      </c>
      <c r="D490" s="75">
        <f>'ERROR FINAL'!I493</f>
        <v>0</v>
      </c>
      <c r="E490" s="76">
        <f>'ERROR FINAL'!U493</f>
        <v>0</v>
      </c>
      <c r="F490" s="77">
        <f>'ERROR FINAL'!AG493</f>
        <v>0</v>
      </c>
      <c r="G490" s="77">
        <f>'ERROR FINAL'!AS493</f>
        <v>0</v>
      </c>
      <c r="H490" s="78" t="str">
        <f>IF('ERROR FINAL'!AT493="CONFORME","CONFORME","NO CONFORME")</f>
        <v>NO CONFORME</v>
      </c>
      <c r="I490" s="79" t="str">
        <f t="shared" si="7"/>
        <v>Medición</v>
      </c>
    </row>
    <row r="491" spans="1:9" x14ac:dyDescent="0.2">
      <c r="A491" s="72">
        <f>'ERROR FINAL'!A494</f>
        <v>0</v>
      </c>
      <c r="B491" s="73">
        <v>491</v>
      </c>
      <c r="C491" s="74">
        <f>'ERROR FINAL'!G494</f>
        <v>0</v>
      </c>
      <c r="D491" s="75">
        <f>'ERROR FINAL'!I494</f>
        <v>0</v>
      </c>
      <c r="E491" s="76">
        <f>'ERROR FINAL'!U494</f>
        <v>0</v>
      </c>
      <c r="F491" s="77">
        <f>'ERROR FINAL'!AG494</f>
        <v>0</v>
      </c>
      <c r="G491" s="77">
        <f>'ERROR FINAL'!AS494</f>
        <v>0</v>
      </c>
      <c r="H491" s="78" t="str">
        <f>IF('ERROR FINAL'!AT494="CONFORME","CONFORME","NO CONFORME")</f>
        <v>NO CONFORME</v>
      </c>
      <c r="I491" s="79" t="str">
        <f t="shared" si="7"/>
        <v>Medición</v>
      </c>
    </row>
    <row r="492" spans="1:9" x14ac:dyDescent="0.2">
      <c r="A492" s="72">
        <f>'ERROR FINAL'!A495</f>
        <v>0</v>
      </c>
      <c r="B492" s="73">
        <v>492</v>
      </c>
      <c r="C492" s="74">
        <f>'ERROR FINAL'!G495</f>
        <v>0</v>
      </c>
      <c r="D492" s="75">
        <f>'ERROR FINAL'!I495</f>
        <v>0</v>
      </c>
      <c r="E492" s="76">
        <f>'ERROR FINAL'!U495</f>
        <v>0</v>
      </c>
      <c r="F492" s="77">
        <f>'ERROR FINAL'!AG495</f>
        <v>0</v>
      </c>
      <c r="G492" s="77">
        <f>'ERROR FINAL'!AS495</f>
        <v>0</v>
      </c>
      <c r="H492" s="78" t="str">
        <f>IF('ERROR FINAL'!AT495="CONFORME","CONFORME","NO CONFORME")</f>
        <v>NO CONFORME</v>
      </c>
      <c r="I492" s="79" t="str">
        <f t="shared" si="7"/>
        <v>Medición</v>
      </c>
    </row>
    <row r="493" spans="1:9" x14ac:dyDescent="0.2">
      <c r="A493" s="72">
        <f>'ERROR FINAL'!A496</f>
        <v>0</v>
      </c>
      <c r="B493" s="73">
        <v>493</v>
      </c>
      <c r="C493" s="74">
        <f>'ERROR FINAL'!G496</f>
        <v>0</v>
      </c>
      <c r="D493" s="75">
        <f>'ERROR FINAL'!I496</f>
        <v>0</v>
      </c>
      <c r="E493" s="76">
        <f>'ERROR FINAL'!U496</f>
        <v>0</v>
      </c>
      <c r="F493" s="77">
        <f>'ERROR FINAL'!AG496</f>
        <v>0</v>
      </c>
      <c r="G493" s="77">
        <f>'ERROR FINAL'!AS496</f>
        <v>0</v>
      </c>
      <c r="H493" s="78" t="str">
        <f>IF('ERROR FINAL'!AT496="CONFORME","CONFORME","NO CONFORME")</f>
        <v>NO CONFORME</v>
      </c>
      <c r="I493" s="79" t="str">
        <f t="shared" si="7"/>
        <v>Medición</v>
      </c>
    </row>
    <row r="494" spans="1:9" x14ac:dyDescent="0.2">
      <c r="A494" s="72">
        <f>'ERROR FINAL'!A497</f>
        <v>0</v>
      </c>
      <c r="B494" s="73">
        <v>494</v>
      </c>
      <c r="C494" s="74">
        <f>'ERROR FINAL'!G497</f>
        <v>0</v>
      </c>
      <c r="D494" s="75">
        <f>'ERROR FINAL'!I497</f>
        <v>0</v>
      </c>
      <c r="E494" s="76">
        <f>'ERROR FINAL'!U497</f>
        <v>0</v>
      </c>
      <c r="F494" s="77">
        <f>'ERROR FINAL'!AG497</f>
        <v>0</v>
      </c>
      <c r="G494" s="77">
        <f>'ERROR FINAL'!AS497</f>
        <v>0</v>
      </c>
      <c r="H494" s="78" t="str">
        <f>IF('ERROR FINAL'!AT497="CONFORME","CONFORME","NO CONFORME")</f>
        <v>NO CONFORME</v>
      </c>
      <c r="I494" s="79" t="str">
        <f t="shared" si="7"/>
        <v>Medición</v>
      </c>
    </row>
    <row r="495" spans="1:9" x14ac:dyDescent="0.2">
      <c r="A495" s="72">
        <f>'ERROR FINAL'!A498</f>
        <v>0</v>
      </c>
      <c r="B495" s="73">
        <v>495</v>
      </c>
      <c r="C495" s="74">
        <f>'ERROR FINAL'!G498</f>
        <v>0</v>
      </c>
      <c r="D495" s="75">
        <f>'ERROR FINAL'!I498</f>
        <v>0</v>
      </c>
      <c r="E495" s="76">
        <f>'ERROR FINAL'!U498</f>
        <v>0</v>
      </c>
      <c r="F495" s="77">
        <f>'ERROR FINAL'!AG498</f>
        <v>0</v>
      </c>
      <c r="G495" s="77">
        <f>'ERROR FINAL'!AS498</f>
        <v>0</v>
      </c>
      <c r="H495" s="78" t="str">
        <f>IF('ERROR FINAL'!AT498="CONFORME","CONFORME","NO CONFORME")</f>
        <v>NO CONFORME</v>
      </c>
      <c r="I495" s="79" t="str">
        <f t="shared" si="7"/>
        <v>Medición</v>
      </c>
    </row>
    <row r="496" spans="1:9" x14ac:dyDescent="0.2">
      <c r="A496" s="72">
        <f>'ERROR FINAL'!A499</f>
        <v>0</v>
      </c>
      <c r="B496" s="73">
        <v>496</v>
      </c>
      <c r="C496" s="74">
        <f>'ERROR FINAL'!G499</f>
        <v>0</v>
      </c>
      <c r="D496" s="75">
        <f>'ERROR FINAL'!I499</f>
        <v>0</v>
      </c>
      <c r="E496" s="76">
        <f>'ERROR FINAL'!U499</f>
        <v>0</v>
      </c>
      <c r="F496" s="77">
        <f>'ERROR FINAL'!AG499</f>
        <v>0</v>
      </c>
      <c r="G496" s="77">
        <f>'ERROR FINAL'!AS499</f>
        <v>0</v>
      </c>
      <c r="H496" s="78" t="str">
        <f>IF('ERROR FINAL'!AT499="CONFORME","CONFORME","NO CONFORME")</f>
        <v>NO CONFORME</v>
      </c>
      <c r="I496" s="79" t="str">
        <f t="shared" si="7"/>
        <v>Medición</v>
      </c>
    </row>
    <row r="497" spans="1:9" x14ac:dyDescent="0.2">
      <c r="A497" s="72">
        <f>'ERROR FINAL'!A500</f>
        <v>0</v>
      </c>
      <c r="B497" s="73">
        <v>497</v>
      </c>
      <c r="C497" s="74">
        <f>'ERROR FINAL'!G500</f>
        <v>0</v>
      </c>
      <c r="D497" s="75">
        <f>'ERROR FINAL'!I500</f>
        <v>0</v>
      </c>
      <c r="E497" s="76">
        <f>'ERROR FINAL'!U500</f>
        <v>0</v>
      </c>
      <c r="F497" s="77">
        <f>'ERROR FINAL'!AG500</f>
        <v>0</v>
      </c>
      <c r="G497" s="77">
        <f>'ERROR FINAL'!AS500</f>
        <v>0</v>
      </c>
      <c r="H497" s="78" t="str">
        <f>IF('ERROR FINAL'!AT500="CONFORME","CONFORME","NO CONFORME")</f>
        <v>NO CONFORME</v>
      </c>
      <c r="I497" s="79" t="str">
        <f t="shared" si="7"/>
        <v>Medición</v>
      </c>
    </row>
    <row r="498" spans="1:9" x14ac:dyDescent="0.2">
      <c r="A498" s="72">
        <f>'ERROR FINAL'!A501</f>
        <v>0</v>
      </c>
      <c r="B498" s="73">
        <v>498</v>
      </c>
      <c r="C498" s="74">
        <f>'ERROR FINAL'!G501</f>
        <v>0</v>
      </c>
      <c r="D498" s="75">
        <f>'ERROR FINAL'!I501</f>
        <v>0</v>
      </c>
      <c r="E498" s="76">
        <f>'ERROR FINAL'!U501</f>
        <v>0</v>
      </c>
      <c r="F498" s="77">
        <f>'ERROR FINAL'!AG501</f>
        <v>0</v>
      </c>
      <c r="G498" s="77">
        <f>'ERROR FINAL'!AS501</f>
        <v>0</v>
      </c>
      <c r="H498" s="78" t="str">
        <f>IF('ERROR FINAL'!AT501="CONFORME","CONFORME","NO CONFORME")</f>
        <v>NO CONFORME</v>
      </c>
      <c r="I498" s="79" t="str">
        <f t="shared" si="7"/>
        <v>Medición</v>
      </c>
    </row>
    <row r="499" spans="1:9" x14ac:dyDescent="0.2">
      <c r="A499" s="72">
        <f>'ERROR FINAL'!A502</f>
        <v>0</v>
      </c>
      <c r="B499" s="73">
        <v>499</v>
      </c>
      <c r="C499" s="74">
        <f>'ERROR FINAL'!G502</f>
        <v>0</v>
      </c>
      <c r="D499" s="75">
        <f>'ERROR FINAL'!I502</f>
        <v>0</v>
      </c>
      <c r="E499" s="76">
        <f>'ERROR FINAL'!U502</f>
        <v>0</v>
      </c>
      <c r="F499" s="77">
        <f>'ERROR FINAL'!AG502</f>
        <v>0</v>
      </c>
      <c r="G499" s="77">
        <f>'ERROR FINAL'!AS502</f>
        <v>0</v>
      </c>
      <c r="H499" s="78" t="str">
        <f>IF('ERROR FINAL'!AT502="CONFORME","CONFORME","NO CONFORME")</f>
        <v>NO CONFORME</v>
      </c>
      <c r="I499" s="79" t="str">
        <f t="shared" si="7"/>
        <v>Medición</v>
      </c>
    </row>
    <row r="500" spans="1:9" x14ac:dyDescent="0.2">
      <c r="A500" s="72">
        <f>'ERROR FINAL'!A503</f>
        <v>0</v>
      </c>
      <c r="B500" s="73">
        <v>500</v>
      </c>
      <c r="C500" s="74">
        <f>'ERROR FINAL'!G503</f>
        <v>0</v>
      </c>
      <c r="D500" s="75">
        <f>'ERROR FINAL'!I503</f>
        <v>0</v>
      </c>
      <c r="E500" s="76">
        <f>'ERROR FINAL'!U503</f>
        <v>0</v>
      </c>
      <c r="F500" s="77">
        <f>'ERROR FINAL'!AG503</f>
        <v>0</v>
      </c>
      <c r="G500" s="77">
        <f>'ERROR FINAL'!AS503</f>
        <v>0</v>
      </c>
      <c r="H500" s="78" t="str">
        <f>IF('ERROR FINAL'!AT503="CONFORME","CONFORME","NO CONFORME")</f>
        <v>NO CONFORME</v>
      </c>
      <c r="I500" s="79" t="str">
        <f t="shared" si="7"/>
        <v>Medición</v>
      </c>
    </row>
    <row r="501" spans="1:9" x14ac:dyDescent="0.2">
      <c r="A501" s="72">
        <f>'ERROR FINAL'!A504</f>
        <v>0</v>
      </c>
      <c r="B501" s="73">
        <v>501</v>
      </c>
      <c r="C501" s="74">
        <f>'ERROR FINAL'!G504</f>
        <v>0</v>
      </c>
      <c r="D501" s="75">
        <f>'ERROR FINAL'!I504</f>
        <v>0</v>
      </c>
      <c r="E501" s="76">
        <f>'ERROR FINAL'!U504</f>
        <v>0</v>
      </c>
      <c r="F501" s="77">
        <f>'ERROR FINAL'!AG504</f>
        <v>0</v>
      </c>
      <c r="G501" s="77">
        <f>'ERROR FINAL'!AS504</f>
        <v>0</v>
      </c>
      <c r="H501" s="78" t="str">
        <f>IF('ERROR FINAL'!AT504="CONFORME","CONFORME","NO CONFORME")</f>
        <v>NO CONFORME</v>
      </c>
      <c r="I501" s="79" t="str">
        <f t="shared" si="7"/>
        <v>Medición</v>
      </c>
    </row>
    <row r="502" spans="1:9" x14ac:dyDescent="0.2">
      <c r="A502" s="72">
        <f>'ERROR FINAL'!A505</f>
        <v>0</v>
      </c>
      <c r="B502" s="73">
        <v>502</v>
      </c>
      <c r="C502" s="74">
        <f>'ERROR FINAL'!G505</f>
        <v>0</v>
      </c>
      <c r="D502" s="75">
        <f>'ERROR FINAL'!I505</f>
        <v>0</v>
      </c>
      <c r="E502" s="76">
        <f>'ERROR FINAL'!U505</f>
        <v>0</v>
      </c>
      <c r="F502" s="77">
        <f>'ERROR FINAL'!AG505</f>
        <v>0</v>
      </c>
      <c r="G502" s="77">
        <f>'ERROR FINAL'!AS505</f>
        <v>0</v>
      </c>
      <c r="H502" s="78" t="str">
        <f>IF('ERROR FINAL'!AT505="CONFORME","CONFORME","NO CONFORME")</f>
        <v>NO CONFORME</v>
      </c>
      <c r="I502" s="79" t="str">
        <f t="shared" si="7"/>
        <v>Medición</v>
      </c>
    </row>
    <row r="503" spans="1:9" x14ac:dyDescent="0.2">
      <c r="A503" s="72">
        <f>'ERROR FINAL'!A506</f>
        <v>0</v>
      </c>
      <c r="B503" s="73">
        <v>503</v>
      </c>
      <c r="C503" s="74">
        <f>'ERROR FINAL'!G506</f>
        <v>0</v>
      </c>
      <c r="D503" s="75">
        <f>'ERROR FINAL'!I506</f>
        <v>0</v>
      </c>
      <c r="E503" s="76">
        <f>'ERROR FINAL'!U506</f>
        <v>0</v>
      </c>
      <c r="F503" s="77">
        <f>'ERROR FINAL'!AG506</f>
        <v>0</v>
      </c>
      <c r="G503" s="77">
        <f>'ERROR FINAL'!AS506</f>
        <v>0</v>
      </c>
      <c r="H503" s="78" t="str">
        <f>IF('ERROR FINAL'!AT506="CONFORME","CONFORME","NO CONFORME")</f>
        <v>NO CONFORME</v>
      </c>
      <c r="I503" s="79" t="str">
        <f t="shared" si="7"/>
        <v>Medición</v>
      </c>
    </row>
    <row r="504" spans="1:9" x14ac:dyDescent="0.2">
      <c r="A504" s="72">
        <f>'ERROR FINAL'!A507</f>
        <v>0</v>
      </c>
      <c r="B504" s="73">
        <v>504</v>
      </c>
      <c r="C504" s="74">
        <f>'ERROR FINAL'!G507</f>
        <v>0</v>
      </c>
      <c r="D504" s="75">
        <f>'ERROR FINAL'!I507</f>
        <v>0</v>
      </c>
      <c r="E504" s="76">
        <f>'ERROR FINAL'!U507</f>
        <v>0</v>
      </c>
      <c r="F504" s="77">
        <f>'ERROR FINAL'!AG507</f>
        <v>0</v>
      </c>
      <c r="G504" s="77">
        <f>'ERROR FINAL'!AS507</f>
        <v>0</v>
      </c>
      <c r="H504" s="78" t="str">
        <f>IF('ERROR FINAL'!AT507="CONFORME","CONFORME","NO CONFORME")</f>
        <v>NO CONFORME</v>
      </c>
      <c r="I504" s="79" t="str">
        <f t="shared" si="7"/>
        <v>Medición</v>
      </c>
    </row>
    <row r="505" spans="1:9" x14ac:dyDescent="0.2">
      <c r="A505" s="72">
        <f>'ERROR FINAL'!A508</f>
        <v>0</v>
      </c>
      <c r="B505" s="73">
        <v>505</v>
      </c>
      <c r="C505" s="74">
        <f>'ERROR FINAL'!G508</f>
        <v>0</v>
      </c>
      <c r="D505" s="75">
        <f>'ERROR FINAL'!I508</f>
        <v>0</v>
      </c>
      <c r="E505" s="76">
        <f>'ERROR FINAL'!U508</f>
        <v>0</v>
      </c>
      <c r="F505" s="77">
        <f>'ERROR FINAL'!AG508</f>
        <v>0</v>
      </c>
      <c r="G505" s="77">
        <f>'ERROR FINAL'!AS508</f>
        <v>0</v>
      </c>
      <c r="H505" s="78" t="str">
        <f>IF('ERROR FINAL'!AT508="CONFORME","CONFORME","NO CONFORME")</f>
        <v>NO CONFORME</v>
      </c>
      <c r="I505" s="79" t="str">
        <f t="shared" si="7"/>
        <v>Medición</v>
      </c>
    </row>
    <row r="506" spans="1:9" x14ac:dyDescent="0.2">
      <c r="A506" s="72">
        <f>'ERROR FINAL'!A509</f>
        <v>0</v>
      </c>
      <c r="B506" s="73">
        <v>506</v>
      </c>
      <c r="C506" s="74">
        <f>'ERROR FINAL'!G509</f>
        <v>0</v>
      </c>
      <c r="D506" s="75">
        <f>'ERROR FINAL'!I509</f>
        <v>0</v>
      </c>
      <c r="E506" s="76">
        <f>'ERROR FINAL'!U509</f>
        <v>0</v>
      </c>
      <c r="F506" s="77">
        <f>'ERROR FINAL'!AG509</f>
        <v>0</v>
      </c>
      <c r="G506" s="77">
        <f>'ERROR FINAL'!AS509</f>
        <v>0</v>
      </c>
      <c r="H506" s="78" t="str">
        <f>IF('ERROR FINAL'!AT509="CONFORME","CONFORME","NO CONFORME")</f>
        <v>NO CONFORME</v>
      </c>
      <c r="I506" s="79" t="str">
        <f t="shared" si="7"/>
        <v>Medición</v>
      </c>
    </row>
    <row r="507" spans="1:9" x14ac:dyDescent="0.2">
      <c r="A507" s="72">
        <f>'ERROR FINAL'!A510</f>
        <v>0</v>
      </c>
      <c r="B507" s="73">
        <v>507</v>
      </c>
      <c r="C507" s="74">
        <f>'ERROR FINAL'!G510</f>
        <v>0</v>
      </c>
      <c r="D507" s="75">
        <f>'ERROR FINAL'!I510</f>
        <v>0</v>
      </c>
      <c r="E507" s="76">
        <f>'ERROR FINAL'!U510</f>
        <v>0</v>
      </c>
      <c r="F507" s="77">
        <f>'ERROR FINAL'!AG510</f>
        <v>0</v>
      </c>
      <c r="G507" s="77">
        <f>'ERROR FINAL'!AS510</f>
        <v>0</v>
      </c>
      <c r="H507" s="78" t="str">
        <f>IF('ERROR FINAL'!AT510="CONFORME","CONFORME","NO CONFORME")</f>
        <v>NO CONFORME</v>
      </c>
      <c r="I507" s="79" t="str">
        <f t="shared" si="7"/>
        <v>Medición</v>
      </c>
    </row>
    <row r="508" spans="1:9" x14ac:dyDescent="0.2">
      <c r="A508" s="72">
        <f>'ERROR FINAL'!A511</f>
        <v>0</v>
      </c>
      <c r="B508" s="73">
        <v>508</v>
      </c>
      <c r="C508" s="74">
        <f>'ERROR FINAL'!G511</f>
        <v>0</v>
      </c>
      <c r="D508" s="75">
        <f>'ERROR FINAL'!I511</f>
        <v>0</v>
      </c>
      <c r="E508" s="76">
        <f>'ERROR FINAL'!U511</f>
        <v>0</v>
      </c>
      <c r="F508" s="77">
        <f>'ERROR FINAL'!AG511</f>
        <v>0</v>
      </c>
      <c r="G508" s="77">
        <f>'ERROR FINAL'!AS511</f>
        <v>0</v>
      </c>
      <c r="H508" s="78" t="str">
        <f>IF('ERROR FINAL'!AT511="CONFORME","CONFORME","NO CONFORME")</f>
        <v>NO CONFORME</v>
      </c>
      <c r="I508" s="79" t="str">
        <f t="shared" si="7"/>
        <v>Medición</v>
      </c>
    </row>
    <row r="509" spans="1:9" x14ac:dyDescent="0.2">
      <c r="A509" s="72">
        <f>'ERROR FINAL'!A512</f>
        <v>0</v>
      </c>
      <c r="B509" s="73">
        <v>509</v>
      </c>
      <c r="C509" s="74">
        <f>'ERROR FINAL'!G512</f>
        <v>0</v>
      </c>
      <c r="D509" s="75">
        <f>'ERROR FINAL'!I512</f>
        <v>0</v>
      </c>
      <c r="E509" s="76">
        <f>'ERROR FINAL'!U512</f>
        <v>0</v>
      </c>
      <c r="F509" s="77">
        <f>'ERROR FINAL'!AG512</f>
        <v>0</v>
      </c>
      <c r="G509" s="77">
        <f>'ERROR FINAL'!AS512</f>
        <v>0</v>
      </c>
      <c r="H509" s="78" t="str">
        <f>IF('ERROR FINAL'!AT512="CONFORME","CONFORME","NO CONFORME")</f>
        <v>NO CONFORME</v>
      </c>
      <c r="I509" s="79" t="str">
        <f t="shared" si="7"/>
        <v>Medición</v>
      </c>
    </row>
    <row r="510" spans="1:9" x14ac:dyDescent="0.2">
      <c r="A510" s="72">
        <f>'ERROR FINAL'!A513</f>
        <v>0</v>
      </c>
      <c r="B510" s="73">
        <v>510</v>
      </c>
      <c r="C510" s="74">
        <f>'ERROR FINAL'!G513</f>
        <v>0</v>
      </c>
      <c r="D510" s="75">
        <f>'ERROR FINAL'!I513</f>
        <v>0</v>
      </c>
      <c r="E510" s="76">
        <f>'ERROR FINAL'!U513</f>
        <v>0</v>
      </c>
      <c r="F510" s="77">
        <f>'ERROR FINAL'!AG513</f>
        <v>0</v>
      </c>
      <c r="G510" s="77">
        <f>'ERROR FINAL'!AS513</f>
        <v>0</v>
      </c>
      <c r="H510" s="78" t="str">
        <f>IF('ERROR FINAL'!AT513="CONFORME","CONFORME","NO CONFORME")</f>
        <v>NO CONFORME</v>
      </c>
      <c r="I510" s="79" t="str">
        <f t="shared" si="7"/>
        <v>Medición</v>
      </c>
    </row>
    <row r="511" spans="1:9" x14ac:dyDescent="0.2">
      <c r="A511" s="72">
        <f>'ERROR FINAL'!A514</f>
        <v>0</v>
      </c>
      <c r="B511" s="73">
        <v>511</v>
      </c>
      <c r="C511" s="74">
        <f>'ERROR FINAL'!G514</f>
        <v>0</v>
      </c>
      <c r="D511" s="75">
        <f>'ERROR FINAL'!I514</f>
        <v>0</v>
      </c>
      <c r="E511" s="76">
        <f>'ERROR FINAL'!U514</f>
        <v>0</v>
      </c>
      <c r="F511" s="77">
        <f>'ERROR FINAL'!AG514</f>
        <v>0</v>
      </c>
      <c r="G511" s="77">
        <f>'ERROR FINAL'!AS514</f>
        <v>0</v>
      </c>
      <c r="H511" s="78" t="str">
        <f>IF('ERROR FINAL'!AT514="CONFORME","CONFORME","NO CONFORME")</f>
        <v>NO CONFORME</v>
      </c>
      <c r="I511" s="79" t="str">
        <f t="shared" si="7"/>
        <v>Medición</v>
      </c>
    </row>
    <row r="512" spans="1:9" x14ac:dyDescent="0.2">
      <c r="A512" s="72">
        <f>'ERROR FINAL'!A515</f>
        <v>0</v>
      </c>
      <c r="B512" s="73">
        <v>512</v>
      </c>
      <c r="C512" s="74">
        <f>'ERROR FINAL'!G515</f>
        <v>0</v>
      </c>
      <c r="D512" s="75">
        <f>'ERROR FINAL'!I515</f>
        <v>0</v>
      </c>
      <c r="E512" s="76">
        <f>'ERROR FINAL'!U515</f>
        <v>0</v>
      </c>
      <c r="F512" s="77">
        <f>'ERROR FINAL'!AG515</f>
        <v>0</v>
      </c>
      <c r="G512" s="77">
        <f>'ERROR FINAL'!AS515</f>
        <v>0</v>
      </c>
      <c r="H512" s="78" t="str">
        <f>IF('ERROR FINAL'!AT515="CONFORME","CONFORME","NO CONFORME")</f>
        <v>NO CONFORME</v>
      </c>
      <c r="I512" s="79" t="str">
        <f t="shared" si="7"/>
        <v>Medición</v>
      </c>
    </row>
    <row r="513" spans="1:9" x14ac:dyDescent="0.2">
      <c r="A513" s="72">
        <f>'ERROR FINAL'!A516</f>
        <v>0</v>
      </c>
      <c r="B513" s="73">
        <v>513</v>
      </c>
      <c r="C513" s="74">
        <f>'ERROR FINAL'!G516</f>
        <v>0</v>
      </c>
      <c r="D513" s="75">
        <f>'ERROR FINAL'!I516</f>
        <v>0</v>
      </c>
      <c r="E513" s="76">
        <f>'ERROR FINAL'!U516</f>
        <v>0</v>
      </c>
      <c r="F513" s="77">
        <f>'ERROR FINAL'!AG516</f>
        <v>0</v>
      </c>
      <c r="G513" s="77">
        <f>'ERROR FINAL'!AS516</f>
        <v>0</v>
      </c>
      <c r="H513" s="78" t="str">
        <f>IF('ERROR FINAL'!AT516="CONFORME","CONFORME","NO CONFORME")</f>
        <v>NO CONFORME</v>
      </c>
      <c r="I513" s="79" t="str">
        <f t="shared" si="7"/>
        <v>Medición</v>
      </c>
    </row>
    <row r="514" spans="1:9" x14ac:dyDescent="0.2">
      <c r="A514" s="72">
        <f>'ERROR FINAL'!A517</f>
        <v>0</v>
      </c>
      <c r="B514" s="73">
        <v>514</v>
      </c>
      <c r="C514" s="74">
        <f>'ERROR FINAL'!G517</f>
        <v>0</v>
      </c>
      <c r="D514" s="75">
        <f>'ERROR FINAL'!I517</f>
        <v>0</v>
      </c>
      <c r="E514" s="76">
        <f>'ERROR FINAL'!U517</f>
        <v>0</v>
      </c>
      <c r="F514" s="77">
        <f>'ERROR FINAL'!AG517</f>
        <v>0</v>
      </c>
      <c r="G514" s="77">
        <f>'ERROR FINAL'!AS517</f>
        <v>0</v>
      </c>
      <c r="H514" s="78" t="str">
        <f>IF('ERROR FINAL'!AT517="CONFORME","CONFORME","NO CONFORME")</f>
        <v>NO CONFORME</v>
      </c>
      <c r="I514" s="79" t="str">
        <f t="shared" si="7"/>
        <v>Medición</v>
      </c>
    </row>
    <row r="515" spans="1:9" x14ac:dyDescent="0.2">
      <c r="A515" s="72">
        <f>'ERROR FINAL'!A518</f>
        <v>0</v>
      </c>
      <c r="B515" s="73">
        <v>515</v>
      </c>
      <c r="C515" s="74">
        <f>'ERROR FINAL'!G518</f>
        <v>0</v>
      </c>
      <c r="D515" s="75">
        <f>'ERROR FINAL'!I518</f>
        <v>0</v>
      </c>
      <c r="E515" s="76">
        <f>'ERROR FINAL'!U518</f>
        <v>0</v>
      </c>
      <c r="F515" s="77">
        <f>'ERROR FINAL'!AG518</f>
        <v>0</v>
      </c>
      <c r="G515" s="77">
        <f>'ERROR FINAL'!AS518</f>
        <v>0</v>
      </c>
      <c r="H515" s="78" t="str">
        <f>IF('ERROR FINAL'!AT518="CONFORME","CONFORME","NO CONFORME")</f>
        <v>NO CONFORME</v>
      </c>
      <c r="I515" s="79" t="str">
        <f t="shared" si="7"/>
        <v>Medición</v>
      </c>
    </row>
    <row r="516" spans="1:9" x14ac:dyDescent="0.2">
      <c r="A516" s="72">
        <f>'ERROR FINAL'!A519</f>
        <v>0</v>
      </c>
      <c r="B516" s="73">
        <v>516</v>
      </c>
      <c r="C516" s="74">
        <f>'ERROR FINAL'!G519</f>
        <v>0</v>
      </c>
      <c r="D516" s="75">
        <f>'ERROR FINAL'!I519</f>
        <v>0</v>
      </c>
      <c r="E516" s="76">
        <f>'ERROR FINAL'!U519</f>
        <v>0</v>
      </c>
      <c r="F516" s="77">
        <f>'ERROR FINAL'!AG519</f>
        <v>0</v>
      </c>
      <c r="G516" s="77">
        <f>'ERROR FINAL'!AS519</f>
        <v>0</v>
      </c>
      <c r="H516" s="78" t="str">
        <f>IF('ERROR FINAL'!AT519="CONFORME","CONFORME","NO CONFORME")</f>
        <v>NO CONFORME</v>
      </c>
      <c r="I516" s="79" t="str">
        <f t="shared" si="7"/>
        <v>Medición</v>
      </c>
    </row>
    <row r="517" spans="1:9" x14ac:dyDescent="0.2">
      <c r="A517" s="72">
        <f>'ERROR FINAL'!A520</f>
        <v>0</v>
      </c>
      <c r="B517" s="73">
        <v>517</v>
      </c>
      <c r="C517" s="74">
        <f>'ERROR FINAL'!G520</f>
        <v>0</v>
      </c>
      <c r="D517" s="75">
        <f>'ERROR FINAL'!I520</f>
        <v>0</v>
      </c>
      <c r="E517" s="76">
        <f>'ERROR FINAL'!U520</f>
        <v>0</v>
      </c>
      <c r="F517" s="77">
        <f>'ERROR FINAL'!AG520</f>
        <v>0</v>
      </c>
      <c r="G517" s="77">
        <f>'ERROR FINAL'!AS520</f>
        <v>0</v>
      </c>
      <c r="H517" s="78" t="str">
        <f>IF('ERROR FINAL'!AT520="CONFORME","CONFORME","NO CONFORME")</f>
        <v>NO CONFORME</v>
      </c>
      <c r="I517" s="79" t="str">
        <f t="shared" si="7"/>
        <v>Medición</v>
      </c>
    </row>
    <row r="518" spans="1:9" x14ac:dyDescent="0.2">
      <c r="A518" s="72">
        <f>'ERROR FINAL'!A521</f>
        <v>0</v>
      </c>
      <c r="B518" s="73">
        <v>518</v>
      </c>
      <c r="C518" s="74">
        <f>'ERROR FINAL'!G521</f>
        <v>0</v>
      </c>
      <c r="D518" s="75">
        <f>'ERROR FINAL'!I521</f>
        <v>0</v>
      </c>
      <c r="E518" s="76">
        <f>'ERROR FINAL'!U521</f>
        <v>0</v>
      </c>
      <c r="F518" s="77">
        <f>'ERROR FINAL'!AG521</f>
        <v>0</v>
      </c>
      <c r="G518" s="77">
        <f>'ERROR FINAL'!AS521</f>
        <v>0</v>
      </c>
      <c r="H518" s="78" t="str">
        <f>IF('ERROR FINAL'!AT521="CONFORME","CONFORME","NO CONFORME")</f>
        <v>NO CONFORME</v>
      </c>
      <c r="I518" s="79" t="str">
        <f t="shared" si="7"/>
        <v>Medición</v>
      </c>
    </row>
    <row r="519" spans="1:9" x14ac:dyDescent="0.2">
      <c r="A519" s="72">
        <f>'ERROR FINAL'!A522</f>
        <v>0</v>
      </c>
      <c r="B519" s="73">
        <v>519</v>
      </c>
      <c r="C519" s="74">
        <f>'ERROR FINAL'!G522</f>
        <v>0</v>
      </c>
      <c r="D519" s="75">
        <f>'ERROR FINAL'!I522</f>
        <v>0</v>
      </c>
      <c r="E519" s="76">
        <f>'ERROR FINAL'!U522</f>
        <v>0</v>
      </c>
      <c r="F519" s="77">
        <f>'ERROR FINAL'!AG522</f>
        <v>0</v>
      </c>
      <c r="G519" s="77">
        <f>'ERROR FINAL'!AS522</f>
        <v>0</v>
      </c>
      <c r="H519" s="78" t="str">
        <f>IF('ERROR FINAL'!AT522="CONFORME","CONFORME","NO CONFORME")</f>
        <v>NO CONFORME</v>
      </c>
      <c r="I519" s="79" t="str">
        <f t="shared" ref="I519:I582" si="8">IF(D519=0,"Medición",IF(D519=1,"Daño físico",IF(D519=2,"Fuga",IF(D519=3,"Picado",IF(D519=4,"Desfasado",IF(D519=5,"Paralizado","¿?"))))))</f>
        <v>Medición</v>
      </c>
    </row>
    <row r="520" spans="1:9" x14ac:dyDescent="0.2">
      <c r="A520" s="72">
        <f>'ERROR FINAL'!A523</f>
        <v>0</v>
      </c>
      <c r="B520" s="73">
        <v>520</v>
      </c>
      <c r="C520" s="74">
        <f>'ERROR FINAL'!G523</f>
        <v>0</v>
      </c>
      <c r="D520" s="75">
        <f>'ERROR FINAL'!I523</f>
        <v>0</v>
      </c>
      <c r="E520" s="76">
        <f>'ERROR FINAL'!U523</f>
        <v>0</v>
      </c>
      <c r="F520" s="77">
        <f>'ERROR FINAL'!AG523</f>
        <v>0</v>
      </c>
      <c r="G520" s="77">
        <f>'ERROR FINAL'!AS523</f>
        <v>0</v>
      </c>
      <c r="H520" s="78" t="str">
        <f>IF('ERROR FINAL'!AT523="CONFORME","CONFORME","NO CONFORME")</f>
        <v>NO CONFORME</v>
      </c>
      <c r="I520" s="79" t="str">
        <f t="shared" si="8"/>
        <v>Medición</v>
      </c>
    </row>
    <row r="521" spans="1:9" x14ac:dyDescent="0.2">
      <c r="A521" s="72">
        <f>'ERROR FINAL'!A524</f>
        <v>0</v>
      </c>
      <c r="B521" s="73">
        <v>521</v>
      </c>
      <c r="C521" s="74">
        <f>'ERROR FINAL'!G524</f>
        <v>0</v>
      </c>
      <c r="D521" s="75">
        <f>'ERROR FINAL'!I524</f>
        <v>0</v>
      </c>
      <c r="E521" s="76">
        <f>'ERROR FINAL'!U524</f>
        <v>0</v>
      </c>
      <c r="F521" s="77">
        <f>'ERROR FINAL'!AG524</f>
        <v>0</v>
      </c>
      <c r="G521" s="77">
        <f>'ERROR FINAL'!AS524</f>
        <v>0</v>
      </c>
      <c r="H521" s="78" t="str">
        <f>IF('ERROR FINAL'!AT524="CONFORME","CONFORME","NO CONFORME")</f>
        <v>NO CONFORME</v>
      </c>
      <c r="I521" s="79" t="str">
        <f t="shared" si="8"/>
        <v>Medición</v>
      </c>
    </row>
    <row r="522" spans="1:9" x14ac:dyDescent="0.2">
      <c r="A522" s="72">
        <f>'ERROR FINAL'!A525</f>
        <v>0</v>
      </c>
      <c r="B522" s="73">
        <v>522</v>
      </c>
      <c r="C522" s="74">
        <f>'ERROR FINAL'!G525</f>
        <v>0</v>
      </c>
      <c r="D522" s="75">
        <f>'ERROR FINAL'!I525</f>
        <v>0</v>
      </c>
      <c r="E522" s="76">
        <f>'ERROR FINAL'!U525</f>
        <v>0</v>
      </c>
      <c r="F522" s="77">
        <f>'ERROR FINAL'!AG525</f>
        <v>0</v>
      </c>
      <c r="G522" s="77">
        <f>'ERROR FINAL'!AS525</f>
        <v>0</v>
      </c>
      <c r="H522" s="78" t="str">
        <f>IF('ERROR FINAL'!AT525="CONFORME","CONFORME","NO CONFORME")</f>
        <v>NO CONFORME</v>
      </c>
      <c r="I522" s="79" t="str">
        <f t="shared" si="8"/>
        <v>Medición</v>
      </c>
    </row>
    <row r="523" spans="1:9" x14ac:dyDescent="0.2">
      <c r="A523" s="72">
        <f>'ERROR FINAL'!A526</f>
        <v>0</v>
      </c>
      <c r="B523" s="73">
        <v>523</v>
      </c>
      <c r="C523" s="74">
        <f>'ERROR FINAL'!G526</f>
        <v>0</v>
      </c>
      <c r="D523" s="75">
        <f>'ERROR FINAL'!I526</f>
        <v>0</v>
      </c>
      <c r="E523" s="76">
        <f>'ERROR FINAL'!U526</f>
        <v>0</v>
      </c>
      <c r="F523" s="77">
        <f>'ERROR FINAL'!AG526</f>
        <v>0</v>
      </c>
      <c r="G523" s="77">
        <f>'ERROR FINAL'!AS526</f>
        <v>0</v>
      </c>
      <c r="H523" s="78" t="str">
        <f>IF('ERROR FINAL'!AT526="CONFORME","CONFORME","NO CONFORME")</f>
        <v>NO CONFORME</v>
      </c>
      <c r="I523" s="79" t="str">
        <f t="shared" si="8"/>
        <v>Medición</v>
      </c>
    </row>
    <row r="524" spans="1:9" x14ac:dyDescent="0.2">
      <c r="A524" s="72">
        <f>'ERROR FINAL'!A527</f>
        <v>0</v>
      </c>
      <c r="B524" s="73">
        <v>524</v>
      </c>
      <c r="C524" s="74">
        <f>'ERROR FINAL'!G527</f>
        <v>0</v>
      </c>
      <c r="D524" s="75">
        <f>'ERROR FINAL'!I527</f>
        <v>0</v>
      </c>
      <c r="E524" s="76">
        <f>'ERROR FINAL'!U527</f>
        <v>0</v>
      </c>
      <c r="F524" s="77">
        <f>'ERROR FINAL'!AG527</f>
        <v>0</v>
      </c>
      <c r="G524" s="77">
        <f>'ERROR FINAL'!AS527</f>
        <v>0</v>
      </c>
      <c r="H524" s="78" t="str">
        <f>IF('ERROR FINAL'!AT527="CONFORME","CONFORME","NO CONFORME")</f>
        <v>NO CONFORME</v>
      </c>
      <c r="I524" s="79" t="str">
        <f t="shared" si="8"/>
        <v>Medición</v>
      </c>
    </row>
    <row r="525" spans="1:9" x14ac:dyDescent="0.2">
      <c r="A525" s="72">
        <f>'ERROR FINAL'!A528</f>
        <v>0</v>
      </c>
      <c r="B525" s="73">
        <v>525</v>
      </c>
      <c r="C525" s="74">
        <f>'ERROR FINAL'!G528</f>
        <v>0</v>
      </c>
      <c r="D525" s="75">
        <f>'ERROR FINAL'!I528</f>
        <v>0</v>
      </c>
      <c r="E525" s="76">
        <f>'ERROR FINAL'!U528</f>
        <v>0</v>
      </c>
      <c r="F525" s="77">
        <f>'ERROR FINAL'!AG528</f>
        <v>0</v>
      </c>
      <c r="G525" s="77">
        <f>'ERROR FINAL'!AS528</f>
        <v>0</v>
      </c>
      <c r="H525" s="78" t="str">
        <f>IF('ERROR FINAL'!AT528="CONFORME","CONFORME","NO CONFORME")</f>
        <v>NO CONFORME</v>
      </c>
      <c r="I525" s="79" t="str">
        <f t="shared" si="8"/>
        <v>Medición</v>
      </c>
    </row>
    <row r="526" spans="1:9" x14ac:dyDescent="0.2">
      <c r="A526" s="72">
        <f>'ERROR FINAL'!A529</f>
        <v>0</v>
      </c>
      <c r="B526" s="73">
        <v>526</v>
      </c>
      <c r="C526" s="74">
        <f>'ERROR FINAL'!G529</f>
        <v>0</v>
      </c>
      <c r="D526" s="75">
        <f>'ERROR FINAL'!I529</f>
        <v>0</v>
      </c>
      <c r="E526" s="76">
        <f>'ERROR FINAL'!U529</f>
        <v>0</v>
      </c>
      <c r="F526" s="77">
        <f>'ERROR FINAL'!AG529</f>
        <v>0</v>
      </c>
      <c r="G526" s="77">
        <f>'ERROR FINAL'!AS529</f>
        <v>0</v>
      </c>
      <c r="H526" s="78" t="str">
        <f>IF('ERROR FINAL'!AT529="CONFORME","CONFORME","NO CONFORME")</f>
        <v>NO CONFORME</v>
      </c>
      <c r="I526" s="79" t="str">
        <f t="shared" si="8"/>
        <v>Medición</v>
      </c>
    </row>
    <row r="527" spans="1:9" x14ac:dyDescent="0.2">
      <c r="A527" s="72">
        <f>'ERROR FINAL'!A530</f>
        <v>0</v>
      </c>
      <c r="B527" s="73">
        <v>527</v>
      </c>
      <c r="C527" s="74">
        <f>'ERROR FINAL'!G530</f>
        <v>0</v>
      </c>
      <c r="D527" s="75">
        <f>'ERROR FINAL'!I530</f>
        <v>0</v>
      </c>
      <c r="E527" s="76">
        <f>'ERROR FINAL'!U530</f>
        <v>0</v>
      </c>
      <c r="F527" s="77">
        <f>'ERROR FINAL'!AG530</f>
        <v>0</v>
      </c>
      <c r="G527" s="77">
        <f>'ERROR FINAL'!AS530</f>
        <v>0</v>
      </c>
      <c r="H527" s="78" t="str">
        <f>IF('ERROR FINAL'!AT530="CONFORME","CONFORME","NO CONFORME")</f>
        <v>NO CONFORME</v>
      </c>
      <c r="I527" s="79" t="str">
        <f t="shared" si="8"/>
        <v>Medición</v>
      </c>
    </row>
    <row r="528" spans="1:9" x14ac:dyDescent="0.2">
      <c r="A528" s="72">
        <f>'ERROR FINAL'!A531</f>
        <v>0</v>
      </c>
      <c r="B528" s="73">
        <v>528</v>
      </c>
      <c r="C528" s="74">
        <f>'ERROR FINAL'!G531</f>
        <v>0</v>
      </c>
      <c r="D528" s="75">
        <f>'ERROR FINAL'!I531</f>
        <v>0</v>
      </c>
      <c r="E528" s="76">
        <f>'ERROR FINAL'!U531</f>
        <v>0</v>
      </c>
      <c r="F528" s="77">
        <f>'ERROR FINAL'!AG531</f>
        <v>0</v>
      </c>
      <c r="G528" s="77">
        <f>'ERROR FINAL'!AS531</f>
        <v>0</v>
      </c>
      <c r="H528" s="78" t="str">
        <f>IF('ERROR FINAL'!AT531="CONFORME","CONFORME","NO CONFORME")</f>
        <v>NO CONFORME</v>
      </c>
      <c r="I528" s="79" t="str">
        <f t="shared" si="8"/>
        <v>Medición</v>
      </c>
    </row>
    <row r="529" spans="1:9" x14ac:dyDescent="0.2">
      <c r="A529" s="72">
        <f>'ERROR FINAL'!A532</f>
        <v>0</v>
      </c>
      <c r="B529" s="73">
        <v>529</v>
      </c>
      <c r="C529" s="74">
        <f>'ERROR FINAL'!G532</f>
        <v>0</v>
      </c>
      <c r="D529" s="75">
        <f>'ERROR FINAL'!I532</f>
        <v>0</v>
      </c>
      <c r="E529" s="76">
        <f>'ERROR FINAL'!U532</f>
        <v>0</v>
      </c>
      <c r="F529" s="77">
        <f>'ERROR FINAL'!AG532</f>
        <v>0</v>
      </c>
      <c r="G529" s="77">
        <f>'ERROR FINAL'!AS532</f>
        <v>0</v>
      </c>
      <c r="H529" s="78" t="str">
        <f>IF('ERROR FINAL'!AT532="CONFORME","CONFORME","NO CONFORME")</f>
        <v>NO CONFORME</v>
      </c>
      <c r="I529" s="79" t="str">
        <f t="shared" si="8"/>
        <v>Medición</v>
      </c>
    </row>
    <row r="530" spans="1:9" x14ac:dyDescent="0.2">
      <c r="A530" s="72">
        <f>'ERROR FINAL'!A533</f>
        <v>0</v>
      </c>
      <c r="B530" s="73">
        <v>530</v>
      </c>
      <c r="C530" s="74">
        <f>'ERROR FINAL'!G533</f>
        <v>0</v>
      </c>
      <c r="D530" s="75">
        <f>'ERROR FINAL'!I533</f>
        <v>0</v>
      </c>
      <c r="E530" s="76">
        <f>'ERROR FINAL'!U533</f>
        <v>0</v>
      </c>
      <c r="F530" s="77">
        <f>'ERROR FINAL'!AG533</f>
        <v>0</v>
      </c>
      <c r="G530" s="77">
        <f>'ERROR FINAL'!AS533</f>
        <v>0</v>
      </c>
      <c r="H530" s="78" t="str">
        <f>IF('ERROR FINAL'!AT533="CONFORME","CONFORME","NO CONFORME")</f>
        <v>NO CONFORME</v>
      </c>
      <c r="I530" s="79" t="str">
        <f t="shared" si="8"/>
        <v>Medición</v>
      </c>
    </row>
    <row r="531" spans="1:9" x14ac:dyDescent="0.2">
      <c r="A531" s="72">
        <f>'ERROR FINAL'!A534</f>
        <v>0</v>
      </c>
      <c r="B531" s="73">
        <v>531</v>
      </c>
      <c r="C531" s="74">
        <f>'ERROR FINAL'!G534</f>
        <v>0</v>
      </c>
      <c r="D531" s="75">
        <f>'ERROR FINAL'!I534</f>
        <v>0</v>
      </c>
      <c r="E531" s="76">
        <f>'ERROR FINAL'!U534</f>
        <v>0</v>
      </c>
      <c r="F531" s="77">
        <f>'ERROR FINAL'!AG534</f>
        <v>0</v>
      </c>
      <c r="G531" s="77">
        <f>'ERROR FINAL'!AS534</f>
        <v>0</v>
      </c>
      <c r="H531" s="78" t="str">
        <f>IF('ERROR FINAL'!AT534="CONFORME","CONFORME","NO CONFORME")</f>
        <v>NO CONFORME</v>
      </c>
      <c r="I531" s="79" t="str">
        <f t="shared" si="8"/>
        <v>Medición</v>
      </c>
    </row>
    <row r="532" spans="1:9" x14ac:dyDescent="0.2">
      <c r="A532" s="72">
        <f>'ERROR FINAL'!A535</f>
        <v>0</v>
      </c>
      <c r="B532" s="73">
        <v>532</v>
      </c>
      <c r="C532" s="74">
        <f>'ERROR FINAL'!G535</f>
        <v>0</v>
      </c>
      <c r="D532" s="75">
        <f>'ERROR FINAL'!I535</f>
        <v>0</v>
      </c>
      <c r="E532" s="76">
        <f>'ERROR FINAL'!U535</f>
        <v>0</v>
      </c>
      <c r="F532" s="77">
        <f>'ERROR FINAL'!AG535</f>
        <v>0</v>
      </c>
      <c r="G532" s="77">
        <f>'ERROR FINAL'!AS535</f>
        <v>0</v>
      </c>
      <c r="H532" s="78" t="str">
        <f>IF('ERROR FINAL'!AT535="CONFORME","CONFORME","NO CONFORME")</f>
        <v>NO CONFORME</v>
      </c>
      <c r="I532" s="79" t="str">
        <f t="shared" si="8"/>
        <v>Medición</v>
      </c>
    </row>
    <row r="533" spans="1:9" x14ac:dyDescent="0.2">
      <c r="A533" s="72">
        <f>'ERROR FINAL'!A536</f>
        <v>0</v>
      </c>
      <c r="B533" s="73">
        <v>533</v>
      </c>
      <c r="C533" s="74">
        <f>'ERROR FINAL'!G536</f>
        <v>0</v>
      </c>
      <c r="D533" s="75">
        <f>'ERROR FINAL'!I536</f>
        <v>0</v>
      </c>
      <c r="E533" s="76">
        <f>'ERROR FINAL'!U536</f>
        <v>0</v>
      </c>
      <c r="F533" s="77">
        <f>'ERROR FINAL'!AG536</f>
        <v>0</v>
      </c>
      <c r="G533" s="77">
        <f>'ERROR FINAL'!AS536</f>
        <v>0</v>
      </c>
      <c r="H533" s="78" t="str">
        <f>IF('ERROR FINAL'!AT536="CONFORME","CONFORME","NO CONFORME")</f>
        <v>NO CONFORME</v>
      </c>
      <c r="I533" s="79" t="str">
        <f t="shared" si="8"/>
        <v>Medición</v>
      </c>
    </row>
    <row r="534" spans="1:9" x14ac:dyDescent="0.2">
      <c r="A534" s="72">
        <f>'ERROR FINAL'!A537</f>
        <v>0</v>
      </c>
      <c r="B534" s="73">
        <v>534</v>
      </c>
      <c r="C534" s="74">
        <f>'ERROR FINAL'!G537</f>
        <v>0</v>
      </c>
      <c r="D534" s="75">
        <f>'ERROR FINAL'!I537</f>
        <v>0</v>
      </c>
      <c r="E534" s="76">
        <f>'ERROR FINAL'!U537</f>
        <v>0</v>
      </c>
      <c r="F534" s="77">
        <f>'ERROR FINAL'!AG537</f>
        <v>0</v>
      </c>
      <c r="G534" s="77">
        <f>'ERROR FINAL'!AS537</f>
        <v>0</v>
      </c>
      <c r="H534" s="78" t="str">
        <f>IF('ERROR FINAL'!AT537="CONFORME","CONFORME","NO CONFORME")</f>
        <v>NO CONFORME</v>
      </c>
      <c r="I534" s="79" t="str">
        <f t="shared" si="8"/>
        <v>Medición</v>
      </c>
    </row>
    <row r="535" spans="1:9" x14ac:dyDescent="0.2">
      <c r="A535" s="72">
        <f>'ERROR FINAL'!A538</f>
        <v>0</v>
      </c>
      <c r="B535" s="73">
        <v>535</v>
      </c>
      <c r="C535" s="74">
        <f>'ERROR FINAL'!G538</f>
        <v>0</v>
      </c>
      <c r="D535" s="75">
        <f>'ERROR FINAL'!I538</f>
        <v>0</v>
      </c>
      <c r="E535" s="76">
        <f>'ERROR FINAL'!U538</f>
        <v>0</v>
      </c>
      <c r="F535" s="77">
        <f>'ERROR FINAL'!AG538</f>
        <v>0</v>
      </c>
      <c r="G535" s="77">
        <f>'ERROR FINAL'!AS538</f>
        <v>0</v>
      </c>
      <c r="H535" s="78" t="str">
        <f>IF('ERROR FINAL'!AT538="CONFORME","CONFORME","NO CONFORME")</f>
        <v>NO CONFORME</v>
      </c>
      <c r="I535" s="79" t="str">
        <f t="shared" si="8"/>
        <v>Medición</v>
      </c>
    </row>
    <row r="536" spans="1:9" x14ac:dyDescent="0.2">
      <c r="A536" s="72">
        <f>'ERROR FINAL'!A539</f>
        <v>0</v>
      </c>
      <c r="B536" s="73">
        <v>536</v>
      </c>
      <c r="C536" s="74">
        <f>'ERROR FINAL'!G539</f>
        <v>0</v>
      </c>
      <c r="D536" s="75">
        <f>'ERROR FINAL'!I539</f>
        <v>0</v>
      </c>
      <c r="E536" s="76">
        <f>'ERROR FINAL'!U539</f>
        <v>0</v>
      </c>
      <c r="F536" s="77">
        <f>'ERROR FINAL'!AG539</f>
        <v>0</v>
      </c>
      <c r="G536" s="77">
        <f>'ERROR FINAL'!AS539</f>
        <v>0</v>
      </c>
      <c r="H536" s="78" t="str">
        <f>IF('ERROR FINAL'!AT539="CONFORME","CONFORME","NO CONFORME")</f>
        <v>NO CONFORME</v>
      </c>
      <c r="I536" s="79" t="str">
        <f t="shared" si="8"/>
        <v>Medición</v>
      </c>
    </row>
    <row r="537" spans="1:9" x14ac:dyDescent="0.2">
      <c r="A537" s="72">
        <f>'ERROR FINAL'!A540</f>
        <v>0</v>
      </c>
      <c r="B537" s="73">
        <v>537</v>
      </c>
      <c r="C537" s="74">
        <f>'ERROR FINAL'!G540</f>
        <v>0</v>
      </c>
      <c r="D537" s="75">
        <f>'ERROR FINAL'!I540</f>
        <v>0</v>
      </c>
      <c r="E537" s="76">
        <f>'ERROR FINAL'!U540</f>
        <v>0</v>
      </c>
      <c r="F537" s="77">
        <f>'ERROR FINAL'!AG540</f>
        <v>0</v>
      </c>
      <c r="G537" s="77">
        <f>'ERROR FINAL'!AS540</f>
        <v>0</v>
      </c>
      <c r="H537" s="78" t="str">
        <f>IF('ERROR FINAL'!AT540="CONFORME","CONFORME","NO CONFORME")</f>
        <v>NO CONFORME</v>
      </c>
      <c r="I537" s="79" t="str">
        <f t="shared" si="8"/>
        <v>Medición</v>
      </c>
    </row>
    <row r="538" spans="1:9" x14ac:dyDescent="0.2">
      <c r="A538" s="72">
        <f>'ERROR FINAL'!A541</f>
        <v>0</v>
      </c>
      <c r="B538" s="73">
        <v>538</v>
      </c>
      <c r="C538" s="74">
        <f>'ERROR FINAL'!G541</f>
        <v>0</v>
      </c>
      <c r="D538" s="75">
        <f>'ERROR FINAL'!I541</f>
        <v>0</v>
      </c>
      <c r="E538" s="76">
        <f>'ERROR FINAL'!U541</f>
        <v>0</v>
      </c>
      <c r="F538" s="77">
        <f>'ERROR FINAL'!AG541</f>
        <v>0</v>
      </c>
      <c r="G538" s="77">
        <f>'ERROR FINAL'!AS541</f>
        <v>0</v>
      </c>
      <c r="H538" s="78" t="str">
        <f>IF('ERROR FINAL'!AT541="CONFORME","CONFORME","NO CONFORME")</f>
        <v>NO CONFORME</v>
      </c>
      <c r="I538" s="79" t="str">
        <f t="shared" si="8"/>
        <v>Medición</v>
      </c>
    </row>
    <row r="539" spans="1:9" x14ac:dyDescent="0.2">
      <c r="A539" s="72">
        <f>'ERROR FINAL'!A542</f>
        <v>0</v>
      </c>
      <c r="B539" s="73">
        <v>539</v>
      </c>
      <c r="C539" s="74">
        <f>'ERROR FINAL'!G542</f>
        <v>0</v>
      </c>
      <c r="D539" s="75">
        <f>'ERROR FINAL'!I542</f>
        <v>0</v>
      </c>
      <c r="E539" s="76">
        <f>'ERROR FINAL'!U542</f>
        <v>0</v>
      </c>
      <c r="F539" s="77">
        <f>'ERROR FINAL'!AG542</f>
        <v>0</v>
      </c>
      <c r="G539" s="77">
        <f>'ERROR FINAL'!AS542</f>
        <v>0</v>
      </c>
      <c r="H539" s="78" t="str">
        <f>IF('ERROR FINAL'!AT542="CONFORME","CONFORME","NO CONFORME")</f>
        <v>NO CONFORME</v>
      </c>
      <c r="I539" s="79" t="str">
        <f t="shared" si="8"/>
        <v>Medición</v>
      </c>
    </row>
    <row r="540" spans="1:9" x14ac:dyDescent="0.2">
      <c r="A540" s="72">
        <f>'ERROR FINAL'!A543</f>
        <v>0</v>
      </c>
      <c r="B540" s="73">
        <v>540</v>
      </c>
      <c r="C540" s="74">
        <f>'ERROR FINAL'!G543</f>
        <v>0</v>
      </c>
      <c r="D540" s="75">
        <f>'ERROR FINAL'!I543</f>
        <v>0</v>
      </c>
      <c r="E540" s="76">
        <f>'ERROR FINAL'!U543</f>
        <v>0</v>
      </c>
      <c r="F540" s="77">
        <f>'ERROR FINAL'!AG543</f>
        <v>0</v>
      </c>
      <c r="G540" s="77">
        <f>'ERROR FINAL'!AS543</f>
        <v>0</v>
      </c>
      <c r="H540" s="78" t="str">
        <f>IF('ERROR FINAL'!AT543="CONFORME","CONFORME","NO CONFORME")</f>
        <v>NO CONFORME</v>
      </c>
      <c r="I540" s="79" t="str">
        <f t="shared" si="8"/>
        <v>Medición</v>
      </c>
    </row>
    <row r="541" spans="1:9" x14ac:dyDescent="0.2">
      <c r="A541" s="72">
        <f>'ERROR FINAL'!A544</f>
        <v>0</v>
      </c>
      <c r="B541" s="73">
        <v>541</v>
      </c>
      <c r="C541" s="74">
        <f>'ERROR FINAL'!G544</f>
        <v>0</v>
      </c>
      <c r="D541" s="75">
        <f>'ERROR FINAL'!I544</f>
        <v>0</v>
      </c>
      <c r="E541" s="76">
        <f>'ERROR FINAL'!U544</f>
        <v>0</v>
      </c>
      <c r="F541" s="77">
        <f>'ERROR FINAL'!AG544</f>
        <v>0</v>
      </c>
      <c r="G541" s="77">
        <f>'ERROR FINAL'!AS544</f>
        <v>0</v>
      </c>
      <c r="H541" s="78" t="str">
        <f>IF('ERROR FINAL'!AT544="CONFORME","CONFORME","NO CONFORME")</f>
        <v>NO CONFORME</v>
      </c>
      <c r="I541" s="79" t="str">
        <f t="shared" si="8"/>
        <v>Medición</v>
      </c>
    </row>
    <row r="542" spans="1:9" x14ac:dyDescent="0.2">
      <c r="A542" s="72">
        <f>'ERROR FINAL'!A545</f>
        <v>0</v>
      </c>
      <c r="B542" s="73">
        <v>542</v>
      </c>
      <c r="C542" s="74">
        <f>'ERROR FINAL'!G545</f>
        <v>0</v>
      </c>
      <c r="D542" s="75">
        <f>'ERROR FINAL'!I545</f>
        <v>0</v>
      </c>
      <c r="E542" s="76">
        <f>'ERROR FINAL'!U545</f>
        <v>0</v>
      </c>
      <c r="F542" s="77">
        <f>'ERROR FINAL'!AG545</f>
        <v>0</v>
      </c>
      <c r="G542" s="77">
        <f>'ERROR FINAL'!AS545</f>
        <v>0</v>
      </c>
      <c r="H542" s="78" t="str">
        <f>IF('ERROR FINAL'!AT545="CONFORME","CONFORME","NO CONFORME")</f>
        <v>NO CONFORME</v>
      </c>
      <c r="I542" s="79" t="str">
        <f t="shared" si="8"/>
        <v>Medición</v>
      </c>
    </row>
    <row r="543" spans="1:9" x14ac:dyDescent="0.2">
      <c r="A543" s="72">
        <f>'ERROR FINAL'!A546</f>
        <v>0</v>
      </c>
      <c r="B543" s="73">
        <v>543</v>
      </c>
      <c r="C543" s="74">
        <f>'ERROR FINAL'!G546</f>
        <v>0</v>
      </c>
      <c r="D543" s="75">
        <f>'ERROR FINAL'!I546</f>
        <v>0</v>
      </c>
      <c r="E543" s="76">
        <f>'ERROR FINAL'!U546</f>
        <v>0</v>
      </c>
      <c r="F543" s="77">
        <f>'ERROR FINAL'!AG546</f>
        <v>0</v>
      </c>
      <c r="G543" s="77">
        <f>'ERROR FINAL'!AS546</f>
        <v>0</v>
      </c>
      <c r="H543" s="78" t="str">
        <f>IF('ERROR FINAL'!AT546="CONFORME","CONFORME","NO CONFORME")</f>
        <v>NO CONFORME</v>
      </c>
      <c r="I543" s="79" t="str">
        <f t="shared" si="8"/>
        <v>Medición</v>
      </c>
    </row>
    <row r="544" spans="1:9" x14ac:dyDescent="0.2">
      <c r="A544" s="72">
        <f>'ERROR FINAL'!A547</f>
        <v>0</v>
      </c>
      <c r="B544" s="73">
        <v>544</v>
      </c>
      <c r="C544" s="74">
        <f>'ERROR FINAL'!G547</f>
        <v>0</v>
      </c>
      <c r="D544" s="75">
        <f>'ERROR FINAL'!I547</f>
        <v>0</v>
      </c>
      <c r="E544" s="76">
        <f>'ERROR FINAL'!U547</f>
        <v>0</v>
      </c>
      <c r="F544" s="77">
        <f>'ERROR FINAL'!AG547</f>
        <v>0</v>
      </c>
      <c r="G544" s="77">
        <f>'ERROR FINAL'!AS547</f>
        <v>0</v>
      </c>
      <c r="H544" s="78" t="str">
        <f>IF('ERROR FINAL'!AT547="CONFORME","CONFORME","NO CONFORME")</f>
        <v>NO CONFORME</v>
      </c>
      <c r="I544" s="79" t="str">
        <f t="shared" si="8"/>
        <v>Medición</v>
      </c>
    </row>
    <row r="545" spans="1:9" x14ac:dyDescent="0.2">
      <c r="A545" s="72">
        <f>'ERROR FINAL'!A548</f>
        <v>0</v>
      </c>
      <c r="B545" s="73">
        <v>545</v>
      </c>
      <c r="C545" s="74">
        <f>'ERROR FINAL'!G548</f>
        <v>0</v>
      </c>
      <c r="D545" s="75">
        <f>'ERROR FINAL'!I548</f>
        <v>0</v>
      </c>
      <c r="E545" s="76">
        <f>'ERROR FINAL'!U548</f>
        <v>0</v>
      </c>
      <c r="F545" s="77">
        <f>'ERROR FINAL'!AG548</f>
        <v>0</v>
      </c>
      <c r="G545" s="77">
        <f>'ERROR FINAL'!AS548</f>
        <v>0</v>
      </c>
      <c r="H545" s="78" t="str">
        <f>IF('ERROR FINAL'!AT548="CONFORME","CONFORME","NO CONFORME")</f>
        <v>NO CONFORME</v>
      </c>
      <c r="I545" s="79" t="str">
        <f t="shared" si="8"/>
        <v>Medición</v>
      </c>
    </row>
    <row r="546" spans="1:9" x14ac:dyDescent="0.2">
      <c r="A546" s="72">
        <f>'ERROR FINAL'!A549</f>
        <v>0</v>
      </c>
      <c r="B546" s="73">
        <v>546</v>
      </c>
      <c r="C546" s="74">
        <f>'ERROR FINAL'!G549</f>
        <v>0</v>
      </c>
      <c r="D546" s="75">
        <f>'ERROR FINAL'!I549</f>
        <v>0</v>
      </c>
      <c r="E546" s="76">
        <f>'ERROR FINAL'!U549</f>
        <v>0</v>
      </c>
      <c r="F546" s="77">
        <f>'ERROR FINAL'!AG549</f>
        <v>0</v>
      </c>
      <c r="G546" s="77">
        <f>'ERROR FINAL'!AS549</f>
        <v>0</v>
      </c>
      <c r="H546" s="78" t="str">
        <f>IF('ERROR FINAL'!AT549="CONFORME","CONFORME","NO CONFORME")</f>
        <v>NO CONFORME</v>
      </c>
      <c r="I546" s="79" t="str">
        <f t="shared" si="8"/>
        <v>Medición</v>
      </c>
    </row>
    <row r="547" spans="1:9" x14ac:dyDescent="0.2">
      <c r="A547" s="72">
        <f>'ERROR FINAL'!A550</f>
        <v>0</v>
      </c>
      <c r="B547" s="73">
        <v>547</v>
      </c>
      <c r="C547" s="74">
        <f>'ERROR FINAL'!G550</f>
        <v>0</v>
      </c>
      <c r="D547" s="75">
        <f>'ERROR FINAL'!I550</f>
        <v>0</v>
      </c>
      <c r="E547" s="76">
        <f>'ERROR FINAL'!U550</f>
        <v>0</v>
      </c>
      <c r="F547" s="77">
        <f>'ERROR FINAL'!AG550</f>
        <v>0</v>
      </c>
      <c r="G547" s="77">
        <f>'ERROR FINAL'!AS550</f>
        <v>0</v>
      </c>
      <c r="H547" s="78" t="str">
        <f>IF('ERROR FINAL'!AT550="CONFORME","CONFORME","NO CONFORME")</f>
        <v>NO CONFORME</v>
      </c>
      <c r="I547" s="79" t="str">
        <f t="shared" si="8"/>
        <v>Medición</v>
      </c>
    </row>
    <row r="548" spans="1:9" x14ac:dyDescent="0.2">
      <c r="A548" s="72">
        <f>'ERROR FINAL'!A551</f>
        <v>0</v>
      </c>
      <c r="B548" s="73">
        <v>548</v>
      </c>
      <c r="C548" s="74">
        <f>'ERROR FINAL'!G551</f>
        <v>0</v>
      </c>
      <c r="D548" s="75">
        <f>'ERROR FINAL'!I551</f>
        <v>0</v>
      </c>
      <c r="E548" s="76">
        <f>'ERROR FINAL'!U551</f>
        <v>0</v>
      </c>
      <c r="F548" s="77">
        <f>'ERROR FINAL'!AG551</f>
        <v>0</v>
      </c>
      <c r="G548" s="77">
        <f>'ERROR FINAL'!AS551</f>
        <v>0</v>
      </c>
      <c r="H548" s="78" t="str">
        <f>IF('ERROR FINAL'!AT551="CONFORME","CONFORME","NO CONFORME")</f>
        <v>NO CONFORME</v>
      </c>
      <c r="I548" s="79" t="str">
        <f t="shared" si="8"/>
        <v>Medición</v>
      </c>
    </row>
    <row r="549" spans="1:9" x14ac:dyDescent="0.2">
      <c r="A549" s="72">
        <f>'ERROR FINAL'!A552</f>
        <v>0</v>
      </c>
      <c r="B549" s="73">
        <v>549</v>
      </c>
      <c r="C549" s="74">
        <f>'ERROR FINAL'!G552</f>
        <v>0</v>
      </c>
      <c r="D549" s="75">
        <f>'ERROR FINAL'!I552</f>
        <v>0</v>
      </c>
      <c r="E549" s="76">
        <f>'ERROR FINAL'!U552</f>
        <v>0</v>
      </c>
      <c r="F549" s="77">
        <f>'ERROR FINAL'!AG552</f>
        <v>0</v>
      </c>
      <c r="G549" s="77">
        <f>'ERROR FINAL'!AS552</f>
        <v>0</v>
      </c>
      <c r="H549" s="78" t="str">
        <f>IF('ERROR FINAL'!AT552="CONFORME","CONFORME","NO CONFORME")</f>
        <v>NO CONFORME</v>
      </c>
      <c r="I549" s="79" t="str">
        <f t="shared" si="8"/>
        <v>Medición</v>
      </c>
    </row>
    <row r="550" spans="1:9" x14ac:dyDescent="0.2">
      <c r="A550" s="72">
        <f>'ERROR FINAL'!A553</f>
        <v>0</v>
      </c>
      <c r="B550" s="73">
        <v>550</v>
      </c>
      <c r="C550" s="74">
        <f>'ERROR FINAL'!G553</f>
        <v>0</v>
      </c>
      <c r="D550" s="75">
        <f>'ERROR FINAL'!I553</f>
        <v>0</v>
      </c>
      <c r="E550" s="76">
        <f>'ERROR FINAL'!U553</f>
        <v>0</v>
      </c>
      <c r="F550" s="77">
        <f>'ERROR FINAL'!AG553</f>
        <v>0</v>
      </c>
      <c r="G550" s="77">
        <f>'ERROR FINAL'!AS553</f>
        <v>0</v>
      </c>
      <c r="H550" s="78" t="str">
        <f>IF('ERROR FINAL'!AT553="CONFORME","CONFORME","NO CONFORME")</f>
        <v>NO CONFORME</v>
      </c>
      <c r="I550" s="79" t="str">
        <f t="shared" si="8"/>
        <v>Medición</v>
      </c>
    </row>
    <row r="551" spans="1:9" x14ac:dyDescent="0.2">
      <c r="A551" s="72">
        <f>'ERROR FINAL'!A554</f>
        <v>0</v>
      </c>
      <c r="B551" s="73">
        <v>551</v>
      </c>
      <c r="C551" s="74">
        <f>'ERROR FINAL'!G554</f>
        <v>0</v>
      </c>
      <c r="D551" s="75">
        <f>'ERROR FINAL'!I554</f>
        <v>0</v>
      </c>
      <c r="E551" s="76">
        <f>'ERROR FINAL'!U554</f>
        <v>0</v>
      </c>
      <c r="F551" s="77">
        <f>'ERROR FINAL'!AG554</f>
        <v>0</v>
      </c>
      <c r="G551" s="77">
        <f>'ERROR FINAL'!AS554</f>
        <v>0</v>
      </c>
      <c r="H551" s="78" t="str">
        <f>IF('ERROR FINAL'!AT554="CONFORME","CONFORME","NO CONFORME")</f>
        <v>NO CONFORME</v>
      </c>
      <c r="I551" s="79" t="str">
        <f t="shared" si="8"/>
        <v>Medición</v>
      </c>
    </row>
    <row r="552" spans="1:9" x14ac:dyDescent="0.2">
      <c r="A552" s="72">
        <f>'ERROR FINAL'!A555</f>
        <v>0</v>
      </c>
      <c r="B552" s="73">
        <v>552</v>
      </c>
      <c r="C552" s="74">
        <f>'ERROR FINAL'!G555</f>
        <v>0</v>
      </c>
      <c r="D552" s="75">
        <f>'ERROR FINAL'!I555</f>
        <v>0</v>
      </c>
      <c r="E552" s="76">
        <f>'ERROR FINAL'!U555</f>
        <v>0</v>
      </c>
      <c r="F552" s="77">
        <f>'ERROR FINAL'!AG555</f>
        <v>0</v>
      </c>
      <c r="G552" s="77">
        <f>'ERROR FINAL'!AS555</f>
        <v>0</v>
      </c>
      <c r="H552" s="78" t="str">
        <f>IF('ERROR FINAL'!AT555="CONFORME","CONFORME","NO CONFORME")</f>
        <v>NO CONFORME</v>
      </c>
      <c r="I552" s="79" t="str">
        <f t="shared" si="8"/>
        <v>Medición</v>
      </c>
    </row>
    <row r="553" spans="1:9" x14ac:dyDescent="0.2">
      <c r="A553" s="72">
        <f>'ERROR FINAL'!A556</f>
        <v>0</v>
      </c>
      <c r="B553" s="73">
        <v>553</v>
      </c>
      <c r="C553" s="74">
        <f>'ERROR FINAL'!G556</f>
        <v>0</v>
      </c>
      <c r="D553" s="75">
        <f>'ERROR FINAL'!I556</f>
        <v>0</v>
      </c>
      <c r="E553" s="76">
        <f>'ERROR FINAL'!U556</f>
        <v>0</v>
      </c>
      <c r="F553" s="77">
        <f>'ERROR FINAL'!AG556</f>
        <v>0</v>
      </c>
      <c r="G553" s="77">
        <f>'ERROR FINAL'!AS556</f>
        <v>0</v>
      </c>
      <c r="H553" s="78" t="str">
        <f>IF('ERROR FINAL'!AT556="CONFORME","CONFORME","NO CONFORME")</f>
        <v>NO CONFORME</v>
      </c>
      <c r="I553" s="79" t="str">
        <f t="shared" si="8"/>
        <v>Medición</v>
      </c>
    </row>
    <row r="554" spans="1:9" x14ac:dyDescent="0.2">
      <c r="A554" s="72">
        <f>'ERROR FINAL'!A557</f>
        <v>0</v>
      </c>
      <c r="B554" s="73">
        <v>554</v>
      </c>
      <c r="C554" s="74">
        <f>'ERROR FINAL'!G557</f>
        <v>0</v>
      </c>
      <c r="D554" s="75">
        <f>'ERROR FINAL'!I557</f>
        <v>0</v>
      </c>
      <c r="E554" s="76">
        <f>'ERROR FINAL'!U557</f>
        <v>0</v>
      </c>
      <c r="F554" s="77">
        <f>'ERROR FINAL'!AG557</f>
        <v>0</v>
      </c>
      <c r="G554" s="77">
        <f>'ERROR FINAL'!AS557</f>
        <v>0</v>
      </c>
      <c r="H554" s="78" t="str">
        <f>IF('ERROR FINAL'!AT557="CONFORME","CONFORME","NO CONFORME")</f>
        <v>NO CONFORME</v>
      </c>
      <c r="I554" s="79" t="str">
        <f t="shared" si="8"/>
        <v>Medición</v>
      </c>
    </row>
    <row r="555" spans="1:9" x14ac:dyDescent="0.2">
      <c r="A555" s="72">
        <f>'ERROR FINAL'!A558</f>
        <v>0</v>
      </c>
      <c r="B555" s="73">
        <v>555</v>
      </c>
      <c r="C555" s="74">
        <f>'ERROR FINAL'!G558</f>
        <v>0</v>
      </c>
      <c r="D555" s="75">
        <f>'ERROR FINAL'!I558</f>
        <v>0</v>
      </c>
      <c r="E555" s="76">
        <f>'ERROR FINAL'!U558</f>
        <v>0</v>
      </c>
      <c r="F555" s="77">
        <f>'ERROR FINAL'!AG558</f>
        <v>0</v>
      </c>
      <c r="G555" s="77">
        <f>'ERROR FINAL'!AS558</f>
        <v>0</v>
      </c>
      <c r="H555" s="78" t="str">
        <f>IF('ERROR FINAL'!AT558="CONFORME","CONFORME","NO CONFORME")</f>
        <v>NO CONFORME</v>
      </c>
      <c r="I555" s="79" t="str">
        <f t="shared" si="8"/>
        <v>Medición</v>
      </c>
    </row>
    <row r="556" spans="1:9" x14ac:dyDescent="0.2">
      <c r="A556" s="72">
        <f>'ERROR FINAL'!A559</f>
        <v>0</v>
      </c>
      <c r="B556" s="73">
        <v>556</v>
      </c>
      <c r="C556" s="74">
        <f>'ERROR FINAL'!G559</f>
        <v>0</v>
      </c>
      <c r="D556" s="75">
        <f>'ERROR FINAL'!I559</f>
        <v>0</v>
      </c>
      <c r="E556" s="76">
        <f>'ERROR FINAL'!U559</f>
        <v>0</v>
      </c>
      <c r="F556" s="77">
        <f>'ERROR FINAL'!AG559</f>
        <v>0</v>
      </c>
      <c r="G556" s="77">
        <f>'ERROR FINAL'!AS559</f>
        <v>0</v>
      </c>
      <c r="H556" s="78" t="str">
        <f>IF('ERROR FINAL'!AT559="CONFORME","CONFORME","NO CONFORME")</f>
        <v>NO CONFORME</v>
      </c>
      <c r="I556" s="79" t="str">
        <f t="shared" si="8"/>
        <v>Medición</v>
      </c>
    </row>
    <row r="557" spans="1:9" x14ac:dyDescent="0.2">
      <c r="A557" s="72">
        <f>'ERROR FINAL'!A560</f>
        <v>0</v>
      </c>
      <c r="B557" s="73">
        <v>557</v>
      </c>
      <c r="C557" s="74">
        <f>'ERROR FINAL'!G560</f>
        <v>0</v>
      </c>
      <c r="D557" s="75">
        <f>'ERROR FINAL'!I560</f>
        <v>0</v>
      </c>
      <c r="E557" s="76">
        <f>'ERROR FINAL'!U560</f>
        <v>0</v>
      </c>
      <c r="F557" s="77">
        <f>'ERROR FINAL'!AG560</f>
        <v>0</v>
      </c>
      <c r="G557" s="77">
        <f>'ERROR FINAL'!AS560</f>
        <v>0</v>
      </c>
      <c r="H557" s="78" t="str">
        <f>IF('ERROR FINAL'!AT560="CONFORME","CONFORME","NO CONFORME")</f>
        <v>NO CONFORME</v>
      </c>
      <c r="I557" s="79" t="str">
        <f t="shared" si="8"/>
        <v>Medición</v>
      </c>
    </row>
    <row r="558" spans="1:9" x14ac:dyDescent="0.2">
      <c r="A558" s="72">
        <f>'ERROR FINAL'!A561</f>
        <v>0</v>
      </c>
      <c r="B558" s="73">
        <v>558</v>
      </c>
      <c r="C558" s="74">
        <f>'ERROR FINAL'!G561</f>
        <v>0</v>
      </c>
      <c r="D558" s="75">
        <f>'ERROR FINAL'!I561</f>
        <v>0</v>
      </c>
      <c r="E558" s="76">
        <f>'ERROR FINAL'!U561</f>
        <v>0</v>
      </c>
      <c r="F558" s="77">
        <f>'ERROR FINAL'!AG561</f>
        <v>0</v>
      </c>
      <c r="G558" s="77">
        <f>'ERROR FINAL'!AS561</f>
        <v>0</v>
      </c>
      <c r="H558" s="78" t="str">
        <f>IF('ERROR FINAL'!AT561="CONFORME","CONFORME","NO CONFORME")</f>
        <v>NO CONFORME</v>
      </c>
      <c r="I558" s="79" t="str">
        <f t="shared" si="8"/>
        <v>Medición</v>
      </c>
    </row>
    <row r="559" spans="1:9" x14ac:dyDescent="0.2">
      <c r="A559" s="72">
        <f>'ERROR FINAL'!A562</f>
        <v>0</v>
      </c>
      <c r="B559" s="73">
        <v>559</v>
      </c>
      <c r="C559" s="74">
        <f>'ERROR FINAL'!G562</f>
        <v>0</v>
      </c>
      <c r="D559" s="75">
        <f>'ERROR FINAL'!I562</f>
        <v>0</v>
      </c>
      <c r="E559" s="76">
        <f>'ERROR FINAL'!U562</f>
        <v>0</v>
      </c>
      <c r="F559" s="77">
        <f>'ERROR FINAL'!AG562</f>
        <v>0</v>
      </c>
      <c r="G559" s="77">
        <f>'ERROR FINAL'!AS562</f>
        <v>0</v>
      </c>
      <c r="H559" s="78" t="str">
        <f>IF('ERROR FINAL'!AT562="CONFORME","CONFORME","NO CONFORME")</f>
        <v>NO CONFORME</v>
      </c>
      <c r="I559" s="79" t="str">
        <f t="shared" si="8"/>
        <v>Medición</v>
      </c>
    </row>
    <row r="560" spans="1:9" x14ac:dyDescent="0.2">
      <c r="A560" s="72">
        <f>'ERROR FINAL'!A563</f>
        <v>0</v>
      </c>
      <c r="B560" s="73">
        <v>560</v>
      </c>
      <c r="C560" s="74">
        <f>'ERROR FINAL'!G563</f>
        <v>0</v>
      </c>
      <c r="D560" s="75">
        <f>'ERROR FINAL'!I563</f>
        <v>0</v>
      </c>
      <c r="E560" s="76">
        <f>'ERROR FINAL'!U563</f>
        <v>0</v>
      </c>
      <c r="F560" s="77">
        <f>'ERROR FINAL'!AG563</f>
        <v>0</v>
      </c>
      <c r="G560" s="77">
        <f>'ERROR FINAL'!AS563</f>
        <v>0</v>
      </c>
      <c r="H560" s="78" t="str">
        <f>IF('ERROR FINAL'!AT563="CONFORME","CONFORME","NO CONFORME")</f>
        <v>NO CONFORME</v>
      </c>
      <c r="I560" s="79" t="str">
        <f t="shared" si="8"/>
        <v>Medición</v>
      </c>
    </row>
    <row r="561" spans="1:9" x14ac:dyDescent="0.2">
      <c r="A561" s="72">
        <f>'ERROR FINAL'!A564</f>
        <v>0</v>
      </c>
      <c r="B561" s="73">
        <v>561</v>
      </c>
      <c r="C561" s="74">
        <f>'ERROR FINAL'!G564</f>
        <v>0</v>
      </c>
      <c r="D561" s="75">
        <f>'ERROR FINAL'!I564</f>
        <v>0</v>
      </c>
      <c r="E561" s="76">
        <f>'ERROR FINAL'!U564</f>
        <v>0</v>
      </c>
      <c r="F561" s="77">
        <f>'ERROR FINAL'!AG564</f>
        <v>0</v>
      </c>
      <c r="G561" s="77">
        <f>'ERROR FINAL'!AS564</f>
        <v>0</v>
      </c>
      <c r="H561" s="78" t="str">
        <f>IF('ERROR FINAL'!AT564="CONFORME","CONFORME","NO CONFORME")</f>
        <v>NO CONFORME</v>
      </c>
      <c r="I561" s="79" t="str">
        <f t="shared" si="8"/>
        <v>Medición</v>
      </c>
    </row>
    <row r="562" spans="1:9" x14ac:dyDescent="0.2">
      <c r="A562" s="72">
        <f>'ERROR FINAL'!A565</f>
        <v>0</v>
      </c>
      <c r="B562" s="73">
        <v>562</v>
      </c>
      <c r="C562" s="74">
        <f>'ERROR FINAL'!G565</f>
        <v>0</v>
      </c>
      <c r="D562" s="75">
        <f>'ERROR FINAL'!I565</f>
        <v>0</v>
      </c>
      <c r="E562" s="76">
        <f>'ERROR FINAL'!U565</f>
        <v>0</v>
      </c>
      <c r="F562" s="77">
        <f>'ERROR FINAL'!AG565</f>
        <v>0</v>
      </c>
      <c r="G562" s="77">
        <f>'ERROR FINAL'!AS565</f>
        <v>0</v>
      </c>
      <c r="H562" s="78" t="str">
        <f>IF('ERROR FINAL'!AT565="CONFORME","CONFORME","NO CONFORME")</f>
        <v>NO CONFORME</v>
      </c>
      <c r="I562" s="79" t="str">
        <f t="shared" si="8"/>
        <v>Medición</v>
      </c>
    </row>
    <row r="563" spans="1:9" x14ac:dyDescent="0.2">
      <c r="A563" s="72">
        <f>'ERROR FINAL'!A566</f>
        <v>0</v>
      </c>
      <c r="B563" s="73">
        <v>563</v>
      </c>
      <c r="C563" s="74">
        <f>'ERROR FINAL'!G566</f>
        <v>0</v>
      </c>
      <c r="D563" s="75">
        <f>'ERROR FINAL'!I566</f>
        <v>0</v>
      </c>
      <c r="E563" s="76">
        <f>'ERROR FINAL'!U566</f>
        <v>0</v>
      </c>
      <c r="F563" s="77">
        <f>'ERROR FINAL'!AG566</f>
        <v>0</v>
      </c>
      <c r="G563" s="77">
        <f>'ERROR FINAL'!AS566</f>
        <v>0</v>
      </c>
      <c r="H563" s="78" t="str">
        <f>IF('ERROR FINAL'!AT566="CONFORME","CONFORME","NO CONFORME")</f>
        <v>NO CONFORME</v>
      </c>
      <c r="I563" s="79" t="str">
        <f t="shared" si="8"/>
        <v>Medición</v>
      </c>
    </row>
    <row r="564" spans="1:9" x14ac:dyDescent="0.2">
      <c r="A564" s="72">
        <f>'ERROR FINAL'!A567</f>
        <v>0</v>
      </c>
      <c r="B564" s="73">
        <v>564</v>
      </c>
      <c r="C564" s="74">
        <f>'ERROR FINAL'!G567</f>
        <v>0</v>
      </c>
      <c r="D564" s="75">
        <f>'ERROR FINAL'!I567</f>
        <v>0</v>
      </c>
      <c r="E564" s="76">
        <f>'ERROR FINAL'!U567</f>
        <v>0</v>
      </c>
      <c r="F564" s="77">
        <f>'ERROR FINAL'!AG567</f>
        <v>0</v>
      </c>
      <c r="G564" s="77">
        <f>'ERROR FINAL'!AS567</f>
        <v>0</v>
      </c>
      <c r="H564" s="78" t="str">
        <f>IF('ERROR FINAL'!AT567="CONFORME","CONFORME","NO CONFORME")</f>
        <v>NO CONFORME</v>
      </c>
      <c r="I564" s="79" t="str">
        <f t="shared" si="8"/>
        <v>Medición</v>
      </c>
    </row>
    <row r="565" spans="1:9" x14ac:dyDescent="0.2">
      <c r="A565" s="72">
        <f>'ERROR FINAL'!A568</f>
        <v>0</v>
      </c>
      <c r="B565" s="73">
        <v>565</v>
      </c>
      <c r="C565" s="74">
        <f>'ERROR FINAL'!G568</f>
        <v>0</v>
      </c>
      <c r="D565" s="75">
        <f>'ERROR FINAL'!I568</f>
        <v>0</v>
      </c>
      <c r="E565" s="76">
        <f>'ERROR FINAL'!U568</f>
        <v>0</v>
      </c>
      <c r="F565" s="77">
        <f>'ERROR FINAL'!AG568</f>
        <v>0</v>
      </c>
      <c r="G565" s="77">
        <f>'ERROR FINAL'!AS568</f>
        <v>0</v>
      </c>
      <c r="H565" s="78" t="str">
        <f>IF('ERROR FINAL'!AT568="CONFORME","CONFORME","NO CONFORME")</f>
        <v>NO CONFORME</v>
      </c>
      <c r="I565" s="79" t="str">
        <f t="shared" si="8"/>
        <v>Medición</v>
      </c>
    </row>
    <row r="566" spans="1:9" x14ac:dyDescent="0.2">
      <c r="A566" s="72">
        <f>'ERROR FINAL'!A569</f>
        <v>0</v>
      </c>
      <c r="B566" s="73">
        <v>566</v>
      </c>
      <c r="C566" s="74">
        <f>'ERROR FINAL'!G569</f>
        <v>0</v>
      </c>
      <c r="D566" s="75">
        <f>'ERROR FINAL'!I569</f>
        <v>0</v>
      </c>
      <c r="E566" s="76">
        <f>'ERROR FINAL'!U569</f>
        <v>0</v>
      </c>
      <c r="F566" s="77">
        <f>'ERROR FINAL'!AG569</f>
        <v>0</v>
      </c>
      <c r="G566" s="77">
        <f>'ERROR FINAL'!AS569</f>
        <v>0</v>
      </c>
      <c r="H566" s="78" t="str">
        <f>IF('ERROR FINAL'!AT569="CONFORME","CONFORME","NO CONFORME")</f>
        <v>NO CONFORME</v>
      </c>
      <c r="I566" s="79" t="str">
        <f t="shared" si="8"/>
        <v>Medición</v>
      </c>
    </row>
    <row r="567" spans="1:9" x14ac:dyDescent="0.2">
      <c r="A567" s="72">
        <f>'ERROR FINAL'!A570</f>
        <v>0</v>
      </c>
      <c r="B567" s="73">
        <v>567</v>
      </c>
      <c r="C567" s="74">
        <f>'ERROR FINAL'!G570</f>
        <v>0</v>
      </c>
      <c r="D567" s="75">
        <f>'ERROR FINAL'!I570</f>
        <v>0</v>
      </c>
      <c r="E567" s="76">
        <f>'ERROR FINAL'!U570</f>
        <v>0</v>
      </c>
      <c r="F567" s="77">
        <f>'ERROR FINAL'!AG570</f>
        <v>0</v>
      </c>
      <c r="G567" s="77">
        <f>'ERROR FINAL'!AS570</f>
        <v>0</v>
      </c>
      <c r="H567" s="78" t="str">
        <f>IF('ERROR FINAL'!AT570="CONFORME","CONFORME","NO CONFORME")</f>
        <v>NO CONFORME</v>
      </c>
      <c r="I567" s="79" t="str">
        <f t="shared" si="8"/>
        <v>Medición</v>
      </c>
    </row>
    <row r="568" spans="1:9" x14ac:dyDescent="0.2">
      <c r="A568" s="72">
        <f>'ERROR FINAL'!A571</f>
        <v>0</v>
      </c>
      <c r="B568" s="73">
        <v>568</v>
      </c>
      <c r="C568" s="74">
        <f>'ERROR FINAL'!G571</f>
        <v>0</v>
      </c>
      <c r="D568" s="75">
        <f>'ERROR FINAL'!I571</f>
        <v>0</v>
      </c>
      <c r="E568" s="76">
        <f>'ERROR FINAL'!U571</f>
        <v>0</v>
      </c>
      <c r="F568" s="77">
        <f>'ERROR FINAL'!AG571</f>
        <v>0</v>
      </c>
      <c r="G568" s="77">
        <f>'ERROR FINAL'!AS571</f>
        <v>0</v>
      </c>
      <c r="H568" s="78" t="str">
        <f>IF('ERROR FINAL'!AT571="CONFORME","CONFORME","NO CONFORME")</f>
        <v>NO CONFORME</v>
      </c>
      <c r="I568" s="79" t="str">
        <f t="shared" si="8"/>
        <v>Medición</v>
      </c>
    </row>
    <row r="569" spans="1:9" x14ac:dyDescent="0.2">
      <c r="A569" s="72">
        <f>'ERROR FINAL'!A572</f>
        <v>0</v>
      </c>
      <c r="B569" s="73">
        <v>569</v>
      </c>
      <c r="C569" s="74">
        <f>'ERROR FINAL'!G572</f>
        <v>0</v>
      </c>
      <c r="D569" s="75">
        <f>'ERROR FINAL'!I572</f>
        <v>0</v>
      </c>
      <c r="E569" s="76">
        <f>'ERROR FINAL'!U572</f>
        <v>0</v>
      </c>
      <c r="F569" s="77">
        <f>'ERROR FINAL'!AG572</f>
        <v>0</v>
      </c>
      <c r="G569" s="77">
        <f>'ERROR FINAL'!AS572</f>
        <v>0</v>
      </c>
      <c r="H569" s="78" t="str">
        <f>IF('ERROR FINAL'!AT572="CONFORME","CONFORME","NO CONFORME")</f>
        <v>NO CONFORME</v>
      </c>
      <c r="I569" s="79" t="str">
        <f t="shared" si="8"/>
        <v>Medición</v>
      </c>
    </row>
    <row r="570" spans="1:9" x14ac:dyDescent="0.2">
      <c r="A570" s="72">
        <f>'ERROR FINAL'!A573</f>
        <v>0</v>
      </c>
      <c r="B570" s="73">
        <v>570</v>
      </c>
      <c r="C570" s="74">
        <f>'ERROR FINAL'!G573</f>
        <v>0</v>
      </c>
      <c r="D570" s="75">
        <f>'ERROR FINAL'!I573</f>
        <v>0</v>
      </c>
      <c r="E570" s="76">
        <f>'ERROR FINAL'!U573</f>
        <v>0</v>
      </c>
      <c r="F570" s="77">
        <f>'ERROR FINAL'!AG573</f>
        <v>0</v>
      </c>
      <c r="G570" s="77">
        <f>'ERROR FINAL'!AS573</f>
        <v>0</v>
      </c>
      <c r="H570" s="78" t="str">
        <f>IF('ERROR FINAL'!AT573="CONFORME","CONFORME","NO CONFORME")</f>
        <v>NO CONFORME</v>
      </c>
      <c r="I570" s="79" t="str">
        <f t="shared" si="8"/>
        <v>Medición</v>
      </c>
    </row>
    <row r="571" spans="1:9" x14ac:dyDescent="0.2">
      <c r="A571" s="72">
        <f>'ERROR FINAL'!A574</f>
        <v>0</v>
      </c>
      <c r="B571" s="73">
        <v>571</v>
      </c>
      <c r="C571" s="74">
        <f>'ERROR FINAL'!G574</f>
        <v>0</v>
      </c>
      <c r="D571" s="75">
        <f>'ERROR FINAL'!I574</f>
        <v>0</v>
      </c>
      <c r="E571" s="76">
        <f>'ERROR FINAL'!U574</f>
        <v>0</v>
      </c>
      <c r="F571" s="77">
        <f>'ERROR FINAL'!AG574</f>
        <v>0</v>
      </c>
      <c r="G571" s="77">
        <f>'ERROR FINAL'!AS574</f>
        <v>0</v>
      </c>
      <c r="H571" s="78" t="str">
        <f>IF('ERROR FINAL'!AT574="CONFORME","CONFORME","NO CONFORME")</f>
        <v>NO CONFORME</v>
      </c>
      <c r="I571" s="79" t="str">
        <f t="shared" si="8"/>
        <v>Medición</v>
      </c>
    </row>
    <row r="572" spans="1:9" x14ac:dyDescent="0.2">
      <c r="A572" s="72">
        <f>'ERROR FINAL'!A575</f>
        <v>0</v>
      </c>
      <c r="B572" s="73">
        <v>572</v>
      </c>
      <c r="C572" s="74">
        <f>'ERROR FINAL'!G575</f>
        <v>0</v>
      </c>
      <c r="D572" s="75">
        <f>'ERROR FINAL'!I575</f>
        <v>0</v>
      </c>
      <c r="E572" s="76">
        <f>'ERROR FINAL'!U575</f>
        <v>0</v>
      </c>
      <c r="F572" s="77">
        <f>'ERROR FINAL'!AG575</f>
        <v>0</v>
      </c>
      <c r="G572" s="77">
        <f>'ERROR FINAL'!AS575</f>
        <v>0</v>
      </c>
      <c r="H572" s="78" t="str">
        <f>IF('ERROR FINAL'!AT575="CONFORME","CONFORME","NO CONFORME")</f>
        <v>NO CONFORME</v>
      </c>
      <c r="I572" s="79" t="str">
        <f t="shared" si="8"/>
        <v>Medición</v>
      </c>
    </row>
    <row r="573" spans="1:9" x14ac:dyDescent="0.2">
      <c r="A573" s="72">
        <f>'ERROR FINAL'!A576</f>
        <v>0</v>
      </c>
      <c r="B573" s="73">
        <v>573</v>
      </c>
      <c r="C573" s="74">
        <f>'ERROR FINAL'!G576</f>
        <v>0</v>
      </c>
      <c r="D573" s="75">
        <f>'ERROR FINAL'!I576</f>
        <v>0</v>
      </c>
      <c r="E573" s="76">
        <f>'ERROR FINAL'!U576</f>
        <v>0</v>
      </c>
      <c r="F573" s="77">
        <f>'ERROR FINAL'!AG576</f>
        <v>0</v>
      </c>
      <c r="G573" s="77">
        <f>'ERROR FINAL'!AS576</f>
        <v>0</v>
      </c>
      <c r="H573" s="78" t="str">
        <f>IF('ERROR FINAL'!AT576="CONFORME","CONFORME","NO CONFORME")</f>
        <v>NO CONFORME</v>
      </c>
      <c r="I573" s="79" t="str">
        <f t="shared" si="8"/>
        <v>Medición</v>
      </c>
    </row>
    <row r="574" spans="1:9" x14ac:dyDescent="0.2">
      <c r="A574" s="72">
        <f>'ERROR FINAL'!A577</f>
        <v>0</v>
      </c>
      <c r="B574" s="73">
        <v>574</v>
      </c>
      <c r="C574" s="74">
        <f>'ERROR FINAL'!G577</f>
        <v>0</v>
      </c>
      <c r="D574" s="75">
        <f>'ERROR FINAL'!I577</f>
        <v>0</v>
      </c>
      <c r="E574" s="76">
        <f>'ERROR FINAL'!U577</f>
        <v>0</v>
      </c>
      <c r="F574" s="77">
        <f>'ERROR FINAL'!AG577</f>
        <v>0</v>
      </c>
      <c r="G574" s="77">
        <f>'ERROR FINAL'!AS577</f>
        <v>0</v>
      </c>
      <c r="H574" s="78" t="str">
        <f>IF('ERROR FINAL'!AT577="CONFORME","CONFORME","NO CONFORME")</f>
        <v>NO CONFORME</v>
      </c>
      <c r="I574" s="79" t="str">
        <f t="shared" si="8"/>
        <v>Medición</v>
      </c>
    </row>
    <row r="575" spans="1:9" x14ac:dyDescent="0.2">
      <c r="A575" s="72">
        <f>'ERROR FINAL'!A578</f>
        <v>0</v>
      </c>
      <c r="B575" s="73">
        <v>575</v>
      </c>
      <c r="C575" s="74">
        <f>'ERROR FINAL'!G578</f>
        <v>0</v>
      </c>
      <c r="D575" s="75">
        <f>'ERROR FINAL'!I578</f>
        <v>0</v>
      </c>
      <c r="E575" s="76">
        <f>'ERROR FINAL'!U578</f>
        <v>0</v>
      </c>
      <c r="F575" s="77">
        <f>'ERROR FINAL'!AG578</f>
        <v>0</v>
      </c>
      <c r="G575" s="77">
        <f>'ERROR FINAL'!AS578</f>
        <v>0</v>
      </c>
      <c r="H575" s="78" t="str">
        <f>IF('ERROR FINAL'!AT578="CONFORME","CONFORME","NO CONFORME")</f>
        <v>NO CONFORME</v>
      </c>
      <c r="I575" s="79" t="str">
        <f t="shared" si="8"/>
        <v>Medición</v>
      </c>
    </row>
    <row r="576" spans="1:9" x14ac:dyDescent="0.2">
      <c r="A576" s="72">
        <f>'ERROR FINAL'!A579</f>
        <v>0</v>
      </c>
      <c r="B576" s="73">
        <v>576</v>
      </c>
      <c r="C576" s="74">
        <f>'ERROR FINAL'!G579</f>
        <v>0</v>
      </c>
      <c r="D576" s="75">
        <f>'ERROR FINAL'!I579</f>
        <v>0</v>
      </c>
      <c r="E576" s="76">
        <f>'ERROR FINAL'!U579</f>
        <v>0</v>
      </c>
      <c r="F576" s="77">
        <f>'ERROR FINAL'!AG579</f>
        <v>0</v>
      </c>
      <c r="G576" s="77">
        <f>'ERROR FINAL'!AS579</f>
        <v>0</v>
      </c>
      <c r="H576" s="78" t="str">
        <f>IF('ERROR FINAL'!AT579="CONFORME","CONFORME","NO CONFORME")</f>
        <v>NO CONFORME</v>
      </c>
      <c r="I576" s="79" t="str">
        <f t="shared" si="8"/>
        <v>Medición</v>
      </c>
    </row>
    <row r="577" spans="1:9" x14ac:dyDescent="0.2">
      <c r="A577" s="72">
        <f>'ERROR FINAL'!A580</f>
        <v>0</v>
      </c>
      <c r="B577" s="73">
        <v>577</v>
      </c>
      <c r="C577" s="74">
        <f>'ERROR FINAL'!G580</f>
        <v>0</v>
      </c>
      <c r="D577" s="75">
        <f>'ERROR FINAL'!I580</f>
        <v>0</v>
      </c>
      <c r="E577" s="76">
        <f>'ERROR FINAL'!U580</f>
        <v>0</v>
      </c>
      <c r="F577" s="77">
        <f>'ERROR FINAL'!AG580</f>
        <v>0</v>
      </c>
      <c r="G577" s="77">
        <f>'ERROR FINAL'!AS580</f>
        <v>0</v>
      </c>
      <c r="H577" s="78" t="str">
        <f>IF('ERROR FINAL'!AT580="CONFORME","CONFORME","NO CONFORME")</f>
        <v>NO CONFORME</v>
      </c>
      <c r="I577" s="79" t="str">
        <f t="shared" si="8"/>
        <v>Medición</v>
      </c>
    </row>
    <row r="578" spans="1:9" x14ac:dyDescent="0.2">
      <c r="A578" s="72">
        <f>'ERROR FINAL'!A581</f>
        <v>0</v>
      </c>
      <c r="B578" s="73">
        <v>578</v>
      </c>
      <c r="C578" s="74">
        <f>'ERROR FINAL'!G581</f>
        <v>0</v>
      </c>
      <c r="D578" s="75">
        <f>'ERROR FINAL'!I581</f>
        <v>0</v>
      </c>
      <c r="E578" s="76">
        <f>'ERROR FINAL'!U581</f>
        <v>0</v>
      </c>
      <c r="F578" s="77">
        <f>'ERROR FINAL'!AG581</f>
        <v>0</v>
      </c>
      <c r="G578" s="77">
        <f>'ERROR FINAL'!AS581</f>
        <v>0</v>
      </c>
      <c r="H578" s="78" t="str">
        <f>IF('ERROR FINAL'!AT581="CONFORME","CONFORME","NO CONFORME")</f>
        <v>NO CONFORME</v>
      </c>
      <c r="I578" s="79" t="str">
        <f t="shared" si="8"/>
        <v>Medición</v>
      </c>
    </row>
    <row r="579" spans="1:9" x14ac:dyDescent="0.2">
      <c r="A579" s="72">
        <f>'ERROR FINAL'!A582</f>
        <v>0</v>
      </c>
      <c r="B579" s="73">
        <v>579</v>
      </c>
      <c r="C579" s="74">
        <f>'ERROR FINAL'!G582</f>
        <v>0</v>
      </c>
      <c r="D579" s="75">
        <f>'ERROR FINAL'!I582</f>
        <v>0</v>
      </c>
      <c r="E579" s="76">
        <f>'ERROR FINAL'!U582</f>
        <v>0</v>
      </c>
      <c r="F579" s="77">
        <f>'ERROR FINAL'!AG582</f>
        <v>0</v>
      </c>
      <c r="G579" s="77">
        <f>'ERROR FINAL'!AS582</f>
        <v>0</v>
      </c>
      <c r="H579" s="78" t="str">
        <f>IF('ERROR FINAL'!AT582="CONFORME","CONFORME","NO CONFORME")</f>
        <v>NO CONFORME</v>
      </c>
      <c r="I579" s="79" t="str">
        <f t="shared" si="8"/>
        <v>Medición</v>
      </c>
    </row>
    <row r="580" spans="1:9" x14ac:dyDescent="0.2">
      <c r="A580" s="72">
        <f>'ERROR FINAL'!A583</f>
        <v>0</v>
      </c>
      <c r="B580" s="73">
        <v>580</v>
      </c>
      <c r="C580" s="74">
        <f>'ERROR FINAL'!G583</f>
        <v>0</v>
      </c>
      <c r="D580" s="75">
        <f>'ERROR FINAL'!I583</f>
        <v>0</v>
      </c>
      <c r="E580" s="76">
        <f>'ERROR FINAL'!U583</f>
        <v>0</v>
      </c>
      <c r="F580" s="77">
        <f>'ERROR FINAL'!AG583</f>
        <v>0</v>
      </c>
      <c r="G580" s="77">
        <f>'ERROR FINAL'!AS583</f>
        <v>0</v>
      </c>
      <c r="H580" s="78" t="str">
        <f>IF('ERROR FINAL'!AT583="CONFORME","CONFORME","NO CONFORME")</f>
        <v>NO CONFORME</v>
      </c>
      <c r="I580" s="79" t="str">
        <f t="shared" si="8"/>
        <v>Medición</v>
      </c>
    </row>
    <row r="581" spans="1:9" x14ac:dyDescent="0.2">
      <c r="A581" s="72">
        <f>'ERROR FINAL'!A584</f>
        <v>0</v>
      </c>
      <c r="B581" s="73">
        <v>581</v>
      </c>
      <c r="C581" s="74">
        <f>'ERROR FINAL'!G584</f>
        <v>0</v>
      </c>
      <c r="D581" s="75">
        <f>'ERROR FINAL'!I584</f>
        <v>0</v>
      </c>
      <c r="E581" s="76">
        <f>'ERROR FINAL'!U584</f>
        <v>0</v>
      </c>
      <c r="F581" s="77">
        <f>'ERROR FINAL'!AG584</f>
        <v>0</v>
      </c>
      <c r="G581" s="77">
        <f>'ERROR FINAL'!AS584</f>
        <v>0</v>
      </c>
      <c r="H581" s="78" t="str">
        <f>IF('ERROR FINAL'!AT584="CONFORME","CONFORME","NO CONFORME")</f>
        <v>NO CONFORME</v>
      </c>
      <c r="I581" s="79" t="str">
        <f t="shared" si="8"/>
        <v>Medición</v>
      </c>
    </row>
    <row r="582" spans="1:9" x14ac:dyDescent="0.2">
      <c r="A582" s="72">
        <f>'ERROR FINAL'!A585</f>
        <v>0</v>
      </c>
      <c r="B582" s="73">
        <v>582</v>
      </c>
      <c r="C582" s="74">
        <f>'ERROR FINAL'!G585</f>
        <v>0</v>
      </c>
      <c r="D582" s="75">
        <f>'ERROR FINAL'!I585</f>
        <v>0</v>
      </c>
      <c r="E582" s="76">
        <f>'ERROR FINAL'!U585</f>
        <v>0</v>
      </c>
      <c r="F582" s="77">
        <f>'ERROR FINAL'!AG585</f>
        <v>0</v>
      </c>
      <c r="G582" s="77">
        <f>'ERROR FINAL'!AS585</f>
        <v>0</v>
      </c>
      <c r="H582" s="78" t="str">
        <f>IF('ERROR FINAL'!AT585="CONFORME","CONFORME","NO CONFORME")</f>
        <v>NO CONFORME</v>
      </c>
      <c r="I582" s="79" t="str">
        <f t="shared" si="8"/>
        <v>Medición</v>
      </c>
    </row>
    <row r="583" spans="1:9" x14ac:dyDescent="0.2">
      <c r="A583" s="72">
        <f>'ERROR FINAL'!A586</f>
        <v>0</v>
      </c>
      <c r="B583" s="73">
        <v>583</v>
      </c>
      <c r="C583" s="74">
        <f>'ERROR FINAL'!G586</f>
        <v>0</v>
      </c>
      <c r="D583" s="75">
        <f>'ERROR FINAL'!I586</f>
        <v>0</v>
      </c>
      <c r="E583" s="76">
        <f>'ERROR FINAL'!U586</f>
        <v>0</v>
      </c>
      <c r="F583" s="77">
        <f>'ERROR FINAL'!AG586</f>
        <v>0</v>
      </c>
      <c r="G583" s="77">
        <f>'ERROR FINAL'!AS586</f>
        <v>0</v>
      </c>
      <c r="H583" s="78" t="str">
        <f>IF('ERROR FINAL'!AT586="CONFORME","CONFORME","NO CONFORME")</f>
        <v>NO CONFORME</v>
      </c>
      <c r="I583" s="79" t="str">
        <f t="shared" ref="I583:I646" si="9">IF(D583=0,"Medición",IF(D583=1,"Daño físico",IF(D583=2,"Fuga",IF(D583=3,"Picado",IF(D583=4,"Desfasado",IF(D583=5,"Paralizado","¿?"))))))</f>
        <v>Medición</v>
      </c>
    </row>
    <row r="584" spans="1:9" x14ac:dyDescent="0.2">
      <c r="A584" s="72">
        <f>'ERROR FINAL'!A587</f>
        <v>0</v>
      </c>
      <c r="B584" s="73">
        <v>584</v>
      </c>
      <c r="C584" s="74">
        <f>'ERROR FINAL'!G587</f>
        <v>0</v>
      </c>
      <c r="D584" s="75">
        <f>'ERROR FINAL'!I587</f>
        <v>0</v>
      </c>
      <c r="E584" s="76">
        <f>'ERROR FINAL'!U587</f>
        <v>0</v>
      </c>
      <c r="F584" s="77">
        <f>'ERROR FINAL'!AG587</f>
        <v>0</v>
      </c>
      <c r="G584" s="77">
        <f>'ERROR FINAL'!AS587</f>
        <v>0</v>
      </c>
      <c r="H584" s="78" t="str">
        <f>IF('ERROR FINAL'!AT587="CONFORME","CONFORME","NO CONFORME")</f>
        <v>NO CONFORME</v>
      </c>
      <c r="I584" s="79" t="str">
        <f t="shared" si="9"/>
        <v>Medición</v>
      </c>
    </row>
    <row r="585" spans="1:9" x14ac:dyDescent="0.2">
      <c r="A585" s="72">
        <f>'ERROR FINAL'!A588</f>
        <v>0</v>
      </c>
      <c r="B585" s="73">
        <v>585</v>
      </c>
      <c r="C585" s="74">
        <f>'ERROR FINAL'!G588</f>
        <v>0</v>
      </c>
      <c r="D585" s="75">
        <f>'ERROR FINAL'!I588</f>
        <v>0</v>
      </c>
      <c r="E585" s="76">
        <f>'ERROR FINAL'!U588</f>
        <v>0</v>
      </c>
      <c r="F585" s="77">
        <f>'ERROR FINAL'!AG588</f>
        <v>0</v>
      </c>
      <c r="G585" s="77">
        <f>'ERROR FINAL'!AS588</f>
        <v>0</v>
      </c>
      <c r="H585" s="78" t="str">
        <f>IF('ERROR FINAL'!AT588="CONFORME","CONFORME","NO CONFORME")</f>
        <v>NO CONFORME</v>
      </c>
      <c r="I585" s="79" t="str">
        <f t="shared" si="9"/>
        <v>Medición</v>
      </c>
    </row>
    <row r="586" spans="1:9" x14ac:dyDescent="0.2">
      <c r="A586" s="72">
        <f>'ERROR FINAL'!A589</f>
        <v>0</v>
      </c>
      <c r="B586" s="73">
        <v>586</v>
      </c>
      <c r="C586" s="74">
        <f>'ERROR FINAL'!G589</f>
        <v>0</v>
      </c>
      <c r="D586" s="75">
        <f>'ERROR FINAL'!I589</f>
        <v>0</v>
      </c>
      <c r="E586" s="76">
        <f>'ERROR FINAL'!U589</f>
        <v>0</v>
      </c>
      <c r="F586" s="77">
        <f>'ERROR FINAL'!AG589</f>
        <v>0</v>
      </c>
      <c r="G586" s="77">
        <f>'ERROR FINAL'!AS589</f>
        <v>0</v>
      </c>
      <c r="H586" s="78" t="str">
        <f>IF('ERROR FINAL'!AT589="CONFORME","CONFORME","NO CONFORME")</f>
        <v>NO CONFORME</v>
      </c>
      <c r="I586" s="79" t="str">
        <f t="shared" si="9"/>
        <v>Medición</v>
      </c>
    </row>
    <row r="587" spans="1:9" x14ac:dyDescent="0.2">
      <c r="A587" s="72">
        <f>'ERROR FINAL'!A590</f>
        <v>0</v>
      </c>
      <c r="B587" s="73">
        <v>587</v>
      </c>
      <c r="C587" s="74">
        <f>'ERROR FINAL'!G590</f>
        <v>0</v>
      </c>
      <c r="D587" s="75">
        <f>'ERROR FINAL'!I590</f>
        <v>0</v>
      </c>
      <c r="E587" s="76">
        <f>'ERROR FINAL'!U590</f>
        <v>0</v>
      </c>
      <c r="F587" s="77">
        <f>'ERROR FINAL'!AG590</f>
        <v>0</v>
      </c>
      <c r="G587" s="77">
        <f>'ERROR FINAL'!AS590</f>
        <v>0</v>
      </c>
      <c r="H587" s="78" t="str">
        <f>IF('ERROR FINAL'!AT590="CONFORME","CONFORME","NO CONFORME")</f>
        <v>NO CONFORME</v>
      </c>
      <c r="I587" s="79" t="str">
        <f t="shared" si="9"/>
        <v>Medición</v>
      </c>
    </row>
    <row r="588" spans="1:9" x14ac:dyDescent="0.2">
      <c r="A588" s="72">
        <f>'ERROR FINAL'!A591</f>
        <v>0</v>
      </c>
      <c r="B588" s="73">
        <v>588</v>
      </c>
      <c r="C588" s="74">
        <f>'ERROR FINAL'!G591</f>
        <v>0</v>
      </c>
      <c r="D588" s="75">
        <f>'ERROR FINAL'!I591</f>
        <v>0</v>
      </c>
      <c r="E588" s="76">
        <f>'ERROR FINAL'!U591</f>
        <v>0</v>
      </c>
      <c r="F588" s="77">
        <f>'ERROR FINAL'!AG591</f>
        <v>0</v>
      </c>
      <c r="G588" s="77">
        <f>'ERROR FINAL'!AS591</f>
        <v>0</v>
      </c>
      <c r="H588" s="78" t="str">
        <f>IF('ERROR FINAL'!AT591="CONFORME","CONFORME","NO CONFORME")</f>
        <v>NO CONFORME</v>
      </c>
      <c r="I588" s="79" t="str">
        <f t="shared" si="9"/>
        <v>Medición</v>
      </c>
    </row>
    <row r="589" spans="1:9" x14ac:dyDescent="0.2">
      <c r="A589" s="72">
        <f>'ERROR FINAL'!A592</f>
        <v>0</v>
      </c>
      <c r="B589" s="73">
        <v>589</v>
      </c>
      <c r="C589" s="74">
        <f>'ERROR FINAL'!G592</f>
        <v>0</v>
      </c>
      <c r="D589" s="75">
        <f>'ERROR FINAL'!I592</f>
        <v>0</v>
      </c>
      <c r="E589" s="76">
        <f>'ERROR FINAL'!U592</f>
        <v>0</v>
      </c>
      <c r="F589" s="77">
        <f>'ERROR FINAL'!AG592</f>
        <v>0</v>
      </c>
      <c r="G589" s="77">
        <f>'ERROR FINAL'!AS592</f>
        <v>0</v>
      </c>
      <c r="H589" s="78" t="str">
        <f>IF('ERROR FINAL'!AT592="CONFORME","CONFORME","NO CONFORME")</f>
        <v>NO CONFORME</v>
      </c>
      <c r="I589" s="79" t="str">
        <f t="shared" si="9"/>
        <v>Medición</v>
      </c>
    </row>
    <row r="590" spans="1:9" x14ac:dyDescent="0.2">
      <c r="A590" s="72">
        <f>'ERROR FINAL'!A593</f>
        <v>0</v>
      </c>
      <c r="B590" s="73">
        <v>590</v>
      </c>
      <c r="C590" s="74">
        <f>'ERROR FINAL'!G593</f>
        <v>0</v>
      </c>
      <c r="D590" s="75">
        <f>'ERROR FINAL'!I593</f>
        <v>0</v>
      </c>
      <c r="E590" s="76">
        <f>'ERROR FINAL'!U593</f>
        <v>0</v>
      </c>
      <c r="F590" s="77">
        <f>'ERROR FINAL'!AG593</f>
        <v>0</v>
      </c>
      <c r="G590" s="77">
        <f>'ERROR FINAL'!AS593</f>
        <v>0</v>
      </c>
      <c r="H590" s="78" t="str">
        <f>IF('ERROR FINAL'!AT593="CONFORME","CONFORME","NO CONFORME")</f>
        <v>NO CONFORME</v>
      </c>
      <c r="I590" s="79" t="str">
        <f t="shared" si="9"/>
        <v>Medición</v>
      </c>
    </row>
    <row r="591" spans="1:9" x14ac:dyDescent="0.2">
      <c r="A591" s="72">
        <f>'ERROR FINAL'!A594</f>
        <v>0</v>
      </c>
      <c r="B591" s="73">
        <v>591</v>
      </c>
      <c r="C591" s="74">
        <f>'ERROR FINAL'!G594</f>
        <v>0</v>
      </c>
      <c r="D591" s="75">
        <f>'ERROR FINAL'!I594</f>
        <v>0</v>
      </c>
      <c r="E591" s="76">
        <f>'ERROR FINAL'!U594</f>
        <v>0</v>
      </c>
      <c r="F591" s="77">
        <f>'ERROR FINAL'!AG594</f>
        <v>0</v>
      </c>
      <c r="G591" s="77">
        <f>'ERROR FINAL'!AS594</f>
        <v>0</v>
      </c>
      <c r="H591" s="78" t="str">
        <f>IF('ERROR FINAL'!AT594="CONFORME","CONFORME","NO CONFORME")</f>
        <v>NO CONFORME</v>
      </c>
      <c r="I591" s="79" t="str">
        <f t="shared" si="9"/>
        <v>Medición</v>
      </c>
    </row>
    <row r="592" spans="1:9" x14ac:dyDescent="0.2">
      <c r="A592" s="72">
        <f>'ERROR FINAL'!A595</f>
        <v>0</v>
      </c>
      <c r="B592" s="73">
        <v>592</v>
      </c>
      <c r="C592" s="74">
        <f>'ERROR FINAL'!G595</f>
        <v>0</v>
      </c>
      <c r="D592" s="75">
        <f>'ERROR FINAL'!I595</f>
        <v>0</v>
      </c>
      <c r="E592" s="76">
        <f>'ERROR FINAL'!U595</f>
        <v>0</v>
      </c>
      <c r="F592" s="77">
        <f>'ERROR FINAL'!AG595</f>
        <v>0</v>
      </c>
      <c r="G592" s="77">
        <f>'ERROR FINAL'!AS595</f>
        <v>0</v>
      </c>
      <c r="H592" s="78" t="str">
        <f>IF('ERROR FINAL'!AT595="CONFORME","CONFORME","NO CONFORME")</f>
        <v>NO CONFORME</v>
      </c>
      <c r="I592" s="79" t="str">
        <f t="shared" si="9"/>
        <v>Medición</v>
      </c>
    </row>
    <row r="593" spans="1:9" x14ac:dyDescent="0.2">
      <c r="A593" s="72">
        <f>'ERROR FINAL'!A596</f>
        <v>0</v>
      </c>
      <c r="B593" s="73">
        <v>593</v>
      </c>
      <c r="C593" s="74">
        <f>'ERROR FINAL'!G596</f>
        <v>0</v>
      </c>
      <c r="D593" s="75">
        <f>'ERROR FINAL'!I596</f>
        <v>0</v>
      </c>
      <c r="E593" s="76">
        <f>'ERROR FINAL'!U596</f>
        <v>0</v>
      </c>
      <c r="F593" s="77">
        <f>'ERROR FINAL'!AG596</f>
        <v>0</v>
      </c>
      <c r="G593" s="77">
        <f>'ERROR FINAL'!AS596</f>
        <v>0</v>
      </c>
      <c r="H593" s="78" t="str">
        <f>IF('ERROR FINAL'!AT596="CONFORME","CONFORME","NO CONFORME")</f>
        <v>NO CONFORME</v>
      </c>
      <c r="I593" s="79" t="str">
        <f t="shared" si="9"/>
        <v>Medición</v>
      </c>
    </row>
    <row r="594" spans="1:9" x14ac:dyDescent="0.2">
      <c r="A594" s="72">
        <f>'ERROR FINAL'!A597</f>
        <v>0</v>
      </c>
      <c r="B594" s="73">
        <v>594</v>
      </c>
      <c r="C594" s="74">
        <f>'ERROR FINAL'!G597</f>
        <v>0</v>
      </c>
      <c r="D594" s="75">
        <f>'ERROR FINAL'!I597</f>
        <v>0</v>
      </c>
      <c r="E594" s="76">
        <f>'ERROR FINAL'!U597</f>
        <v>0</v>
      </c>
      <c r="F594" s="77">
        <f>'ERROR FINAL'!AG597</f>
        <v>0</v>
      </c>
      <c r="G594" s="77">
        <f>'ERROR FINAL'!AS597</f>
        <v>0</v>
      </c>
      <c r="H594" s="78" t="str">
        <f>IF('ERROR FINAL'!AT597="CONFORME","CONFORME","NO CONFORME")</f>
        <v>NO CONFORME</v>
      </c>
      <c r="I594" s="79" t="str">
        <f t="shared" si="9"/>
        <v>Medición</v>
      </c>
    </row>
    <row r="595" spans="1:9" x14ac:dyDescent="0.2">
      <c r="A595" s="72">
        <f>'ERROR FINAL'!A598</f>
        <v>0</v>
      </c>
      <c r="B595" s="73">
        <v>595</v>
      </c>
      <c r="C595" s="74">
        <f>'ERROR FINAL'!G598</f>
        <v>0</v>
      </c>
      <c r="D595" s="75">
        <f>'ERROR FINAL'!I598</f>
        <v>0</v>
      </c>
      <c r="E595" s="76">
        <f>'ERROR FINAL'!U598</f>
        <v>0</v>
      </c>
      <c r="F595" s="77">
        <f>'ERROR FINAL'!AG598</f>
        <v>0</v>
      </c>
      <c r="G595" s="77">
        <f>'ERROR FINAL'!AS598</f>
        <v>0</v>
      </c>
      <c r="H595" s="78" t="str">
        <f>IF('ERROR FINAL'!AT598="CONFORME","CONFORME","NO CONFORME")</f>
        <v>NO CONFORME</v>
      </c>
      <c r="I595" s="79" t="str">
        <f t="shared" si="9"/>
        <v>Medición</v>
      </c>
    </row>
    <row r="596" spans="1:9" x14ac:dyDescent="0.2">
      <c r="A596" s="72">
        <f>'ERROR FINAL'!A599</f>
        <v>0</v>
      </c>
      <c r="B596" s="73">
        <v>596</v>
      </c>
      <c r="C596" s="74">
        <f>'ERROR FINAL'!G599</f>
        <v>0</v>
      </c>
      <c r="D596" s="75">
        <f>'ERROR FINAL'!I599</f>
        <v>0</v>
      </c>
      <c r="E596" s="76">
        <f>'ERROR FINAL'!U599</f>
        <v>0</v>
      </c>
      <c r="F596" s="77">
        <f>'ERROR FINAL'!AG599</f>
        <v>0</v>
      </c>
      <c r="G596" s="77">
        <f>'ERROR FINAL'!AS599</f>
        <v>0</v>
      </c>
      <c r="H596" s="78" t="str">
        <f>IF('ERROR FINAL'!AT599="CONFORME","CONFORME","NO CONFORME")</f>
        <v>NO CONFORME</v>
      </c>
      <c r="I596" s="79" t="str">
        <f t="shared" si="9"/>
        <v>Medición</v>
      </c>
    </row>
    <row r="597" spans="1:9" x14ac:dyDescent="0.2">
      <c r="A597" s="72">
        <f>'ERROR FINAL'!A600</f>
        <v>0</v>
      </c>
      <c r="B597" s="73">
        <v>597</v>
      </c>
      <c r="C597" s="74">
        <f>'ERROR FINAL'!G600</f>
        <v>0</v>
      </c>
      <c r="D597" s="75">
        <f>'ERROR FINAL'!I600</f>
        <v>0</v>
      </c>
      <c r="E597" s="76">
        <f>'ERROR FINAL'!U600</f>
        <v>0</v>
      </c>
      <c r="F597" s="77">
        <f>'ERROR FINAL'!AG600</f>
        <v>0</v>
      </c>
      <c r="G597" s="77">
        <f>'ERROR FINAL'!AS600</f>
        <v>0</v>
      </c>
      <c r="H597" s="78" t="str">
        <f>IF('ERROR FINAL'!AT600="CONFORME","CONFORME","NO CONFORME")</f>
        <v>NO CONFORME</v>
      </c>
      <c r="I597" s="79" t="str">
        <f t="shared" si="9"/>
        <v>Medición</v>
      </c>
    </row>
    <row r="598" spans="1:9" x14ac:dyDescent="0.2">
      <c r="A598" s="72">
        <f>'ERROR FINAL'!A601</f>
        <v>0</v>
      </c>
      <c r="B598" s="73">
        <v>598</v>
      </c>
      <c r="C598" s="74">
        <f>'ERROR FINAL'!G601</f>
        <v>0</v>
      </c>
      <c r="D598" s="75">
        <f>'ERROR FINAL'!I601</f>
        <v>0</v>
      </c>
      <c r="E598" s="76">
        <f>'ERROR FINAL'!U601</f>
        <v>0</v>
      </c>
      <c r="F598" s="77">
        <f>'ERROR FINAL'!AG601</f>
        <v>0</v>
      </c>
      <c r="G598" s="77">
        <f>'ERROR FINAL'!AS601</f>
        <v>0</v>
      </c>
      <c r="H598" s="78" t="str">
        <f>IF('ERROR FINAL'!AT601="CONFORME","CONFORME","NO CONFORME")</f>
        <v>NO CONFORME</v>
      </c>
      <c r="I598" s="79" t="str">
        <f t="shared" si="9"/>
        <v>Medición</v>
      </c>
    </row>
    <row r="599" spans="1:9" x14ac:dyDescent="0.2">
      <c r="A599" s="72">
        <f>'ERROR FINAL'!A602</f>
        <v>0</v>
      </c>
      <c r="B599" s="73">
        <v>599</v>
      </c>
      <c r="C599" s="74">
        <f>'ERROR FINAL'!G602</f>
        <v>0</v>
      </c>
      <c r="D599" s="75">
        <f>'ERROR FINAL'!I602</f>
        <v>0</v>
      </c>
      <c r="E599" s="76">
        <f>'ERROR FINAL'!U602</f>
        <v>0</v>
      </c>
      <c r="F599" s="77">
        <f>'ERROR FINAL'!AG602</f>
        <v>0</v>
      </c>
      <c r="G599" s="77">
        <f>'ERROR FINAL'!AS602</f>
        <v>0</v>
      </c>
      <c r="H599" s="78" t="str">
        <f>IF('ERROR FINAL'!AT602="CONFORME","CONFORME","NO CONFORME")</f>
        <v>NO CONFORME</v>
      </c>
      <c r="I599" s="79" t="str">
        <f t="shared" si="9"/>
        <v>Medición</v>
      </c>
    </row>
    <row r="600" spans="1:9" x14ac:dyDescent="0.2">
      <c r="A600" s="72">
        <f>'ERROR FINAL'!A603</f>
        <v>0</v>
      </c>
      <c r="B600" s="73">
        <v>600</v>
      </c>
      <c r="C600" s="74">
        <f>'ERROR FINAL'!G603</f>
        <v>0</v>
      </c>
      <c r="D600" s="75">
        <f>'ERROR FINAL'!I603</f>
        <v>0</v>
      </c>
      <c r="E600" s="76">
        <f>'ERROR FINAL'!U603</f>
        <v>0</v>
      </c>
      <c r="F600" s="77">
        <f>'ERROR FINAL'!AG603</f>
        <v>0</v>
      </c>
      <c r="G600" s="77">
        <f>'ERROR FINAL'!AS603</f>
        <v>0</v>
      </c>
      <c r="H600" s="78" t="str">
        <f>IF('ERROR FINAL'!AT603="CONFORME","CONFORME","NO CONFORME")</f>
        <v>NO CONFORME</v>
      </c>
      <c r="I600" s="79" t="str">
        <f t="shared" si="9"/>
        <v>Medición</v>
      </c>
    </row>
    <row r="601" spans="1:9" x14ac:dyDescent="0.2">
      <c r="A601" s="72">
        <f>'ERROR FINAL'!A604</f>
        <v>0</v>
      </c>
      <c r="B601" s="73">
        <v>601</v>
      </c>
      <c r="C601" s="74">
        <f>'ERROR FINAL'!G604</f>
        <v>0</v>
      </c>
      <c r="D601" s="75">
        <f>'ERROR FINAL'!I604</f>
        <v>0</v>
      </c>
      <c r="E601" s="76">
        <f>'ERROR FINAL'!U604</f>
        <v>0</v>
      </c>
      <c r="F601" s="77">
        <f>'ERROR FINAL'!AG604</f>
        <v>0</v>
      </c>
      <c r="G601" s="77">
        <f>'ERROR FINAL'!AS604</f>
        <v>0</v>
      </c>
      <c r="H601" s="78" t="str">
        <f>IF('ERROR FINAL'!AT604="CONFORME","CONFORME","NO CONFORME")</f>
        <v>NO CONFORME</v>
      </c>
      <c r="I601" s="79" t="str">
        <f t="shared" si="9"/>
        <v>Medición</v>
      </c>
    </row>
    <row r="602" spans="1:9" x14ac:dyDescent="0.2">
      <c r="A602" s="72">
        <f>'ERROR FINAL'!A605</f>
        <v>0</v>
      </c>
      <c r="B602" s="73">
        <v>602</v>
      </c>
      <c r="C602" s="74">
        <f>'ERROR FINAL'!G605</f>
        <v>0</v>
      </c>
      <c r="D602" s="75">
        <f>'ERROR FINAL'!I605</f>
        <v>0</v>
      </c>
      <c r="E602" s="76">
        <f>'ERROR FINAL'!U605</f>
        <v>0</v>
      </c>
      <c r="F602" s="77">
        <f>'ERROR FINAL'!AG605</f>
        <v>0</v>
      </c>
      <c r="G602" s="77">
        <f>'ERROR FINAL'!AS605</f>
        <v>0</v>
      </c>
      <c r="H602" s="78" t="str">
        <f>IF('ERROR FINAL'!AT605="CONFORME","CONFORME","NO CONFORME")</f>
        <v>NO CONFORME</v>
      </c>
      <c r="I602" s="79" t="str">
        <f t="shared" si="9"/>
        <v>Medición</v>
      </c>
    </row>
    <row r="603" spans="1:9" x14ac:dyDescent="0.2">
      <c r="A603" s="72">
        <f>'ERROR FINAL'!A606</f>
        <v>0</v>
      </c>
      <c r="B603" s="73">
        <v>603</v>
      </c>
      <c r="C603" s="74">
        <f>'ERROR FINAL'!G606</f>
        <v>0</v>
      </c>
      <c r="D603" s="75">
        <f>'ERROR FINAL'!I606</f>
        <v>0</v>
      </c>
      <c r="E603" s="76">
        <f>'ERROR FINAL'!U606</f>
        <v>0</v>
      </c>
      <c r="F603" s="77">
        <f>'ERROR FINAL'!AG606</f>
        <v>0</v>
      </c>
      <c r="G603" s="77">
        <f>'ERROR FINAL'!AS606</f>
        <v>0</v>
      </c>
      <c r="H603" s="78" t="str">
        <f>IF('ERROR FINAL'!AT606="CONFORME","CONFORME","NO CONFORME")</f>
        <v>NO CONFORME</v>
      </c>
      <c r="I603" s="79" t="str">
        <f t="shared" si="9"/>
        <v>Medición</v>
      </c>
    </row>
    <row r="604" spans="1:9" x14ac:dyDescent="0.2">
      <c r="A604" s="72">
        <f>'ERROR FINAL'!A607</f>
        <v>0</v>
      </c>
      <c r="B604" s="73">
        <v>604</v>
      </c>
      <c r="C604" s="74">
        <f>'ERROR FINAL'!G607</f>
        <v>0</v>
      </c>
      <c r="D604" s="75">
        <f>'ERROR FINAL'!I607</f>
        <v>0</v>
      </c>
      <c r="E604" s="76">
        <f>'ERROR FINAL'!U607</f>
        <v>0</v>
      </c>
      <c r="F604" s="77">
        <f>'ERROR FINAL'!AG607</f>
        <v>0</v>
      </c>
      <c r="G604" s="77">
        <f>'ERROR FINAL'!AS607</f>
        <v>0</v>
      </c>
      <c r="H604" s="78" t="str">
        <f>IF('ERROR FINAL'!AT607="CONFORME","CONFORME","NO CONFORME")</f>
        <v>NO CONFORME</v>
      </c>
      <c r="I604" s="79" t="str">
        <f t="shared" si="9"/>
        <v>Medición</v>
      </c>
    </row>
    <row r="605" spans="1:9" x14ac:dyDescent="0.2">
      <c r="A605" s="72">
        <f>'ERROR FINAL'!A608</f>
        <v>0</v>
      </c>
      <c r="B605" s="73">
        <v>605</v>
      </c>
      <c r="C605" s="74">
        <f>'ERROR FINAL'!G608</f>
        <v>0</v>
      </c>
      <c r="D605" s="75">
        <f>'ERROR FINAL'!I608</f>
        <v>0</v>
      </c>
      <c r="E605" s="76">
        <f>'ERROR FINAL'!U608</f>
        <v>0</v>
      </c>
      <c r="F605" s="77">
        <f>'ERROR FINAL'!AG608</f>
        <v>0</v>
      </c>
      <c r="G605" s="77">
        <f>'ERROR FINAL'!AS608</f>
        <v>0</v>
      </c>
      <c r="H605" s="78" t="str">
        <f>IF('ERROR FINAL'!AT608="CONFORME","CONFORME","NO CONFORME")</f>
        <v>NO CONFORME</v>
      </c>
      <c r="I605" s="79" t="str">
        <f t="shared" si="9"/>
        <v>Medición</v>
      </c>
    </row>
    <row r="606" spans="1:9" x14ac:dyDescent="0.2">
      <c r="A606" s="72">
        <f>'ERROR FINAL'!A609</f>
        <v>0</v>
      </c>
      <c r="B606" s="73">
        <v>606</v>
      </c>
      <c r="C606" s="74">
        <f>'ERROR FINAL'!G609</f>
        <v>0</v>
      </c>
      <c r="D606" s="75">
        <f>'ERROR FINAL'!I609</f>
        <v>0</v>
      </c>
      <c r="E606" s="76">
        <f>'ERROR FINAL'!U609</f>
        <v>0</v>
      </c>
      <c r="F606" s="77">
        <f>'ERROR FINAL'!AG609</f>
        <v>0</v>
      </c>
      <c r="G606" s="77">
        <f>'ERROR FINAL'!AS609</f>
        <v>0</v>
      </c>
      <c r="H606" s="78" t="str">
        <f>IF('ERROR FINAL'!AT609="CONFORME","CONFORME","NO CONFORME")</f>
        <v>NO CONFORME</v>
      </c>
      <c r="I606" s="79" t="str">
        <f t="shared" si="9"/>
        <v>Medición</v>
      </c>
    </row>
    <row r="607" spans="1:9" x14ac:dyDescent="0.2">
      <c r="A607" s="72">
        <f>'ERROR FINAL'!A610</f>
        <v>0</v>
      </c>
      <c r="B607" s="73">
        <v>607</v>
      </c>
      <c r="C607" s="74">
        <f>'ERROR FINAL'!G610</f>
        <v>0</v>
      </c>
      <c r="D607" s="75">
        <f>'ERROR FINAL'!I610</f>
        <v>0</v>
      </c>
      <c r="E607" s="76">
        <f>'ERROR FINAL'!U610</f>
        <v>0</v>
      </c>
      <c r="F607" s="77">
        <f>'ERROR FINAL'!AG610</f>
        <v>0</v>
      </c>
      <c r="G607" s="77">
        <f>'ERROR FINAL'!AS610</f>
        <v>0</v>
      </c>
      <c r="H607" s="78" t="str">
        <f>IF('ERROR FINAL'!AT610="CONFORME","CONFORME","NO CONFORME")</f>
        <v>NO CONFORME</v>
      </c>
      <c r="I607" s="79" t="str">
        <f t="shared" si="9"/>
        <v>Medición</v>
      </c>
    </row>
    <row r="608" spans="1:9" x14ac:dyDescent="0.2">
      <c r="A608" s="72">
        <f>'ERROR FINAL'!A611</f>
        <v>0</v>
      </c>
      <c r="B608" s="73">
        <v>608</v>
      </c>
      <c r="C608" s="74">
        <f>'ERROR FINAL'!G611</f>
        <v>0</v>
      </c>
      <c r="D608" s="75">
        <f>'ERROR FINAL'!I611</f>
        <v>0</v>
      </c>
      <c r="E608" s="76">
        <f>'ERROR FINAL'!U611</f>
        <v>0</v>
      </c>
      <c r="F608" s="77">
        <f>'ERROR FINAL'!AG611</f>
        <v>0</v>
      </c>
      <c r="G608" s="77">
        <f>'ERROR FINAL'!AS611</f>
        <v>0</v>
      </c>
      <c r="H608" s="78" t="str">
        <f>IF('ERROR FINAL'!AT611="CONFORME","CONFORME","NO CONFORME")</f>
        <v>NO CONFORME</v>
      </c>
      <c r="I608" s="79" t="str">
        <f t="shared" si="9"/>
        <v>Medición</v>
      </c>
    </row>
    <row r="609" spans="1:9" x14ac:dyDescent="0.2">
      <c r="A609" s="72">
        <f>'ERROR FINAL'!A612</f>
        <v>0</v>
      </c>
      <c r="B609" s="73">
        <v>609</v>
      </c>
      <c r="C609" s="74">
        <f>'ERROR FINAL'!G612</f>
        <v>0</v>
      </c>
      <c r="D609" s="75">
        <f>'ERROR FINAL'!I612</f>
        <v>0</v>
      </c>
      <c r="E609" s="76">
        <f>'ERROR FINAL'!U612</f>
        <v>0</v>
      </c>
      <c r="F609" s="77">
        <f>'ERROR FINAL'!AG612</f>
        <v>0</v>
      </c>
      <c r="G609" s="77">
        <f>'ERROR FINAL'!AS612</f>
        <v>0</v>
      </c>
      <c r="H609" s="78" t="str">
        <f>IF('ERROR FINAL'!AT612="CONFORME","CONFORME","NO CONFORME")</f>
        <v>NO CONFORME</v>
      </c>
      <c r="I609" s="79" t="str">
        <f t="shared" si="9"/>
        <v>Medición</v>
      </c>
    </row>
    <row r="610" spans="1:9" x14ac:dyDescent="0.2">
      <c r="A610" s="72">
        <f>'ERROR FINAL'!A613</f>
        <v>0</v>
      </c>
      <c r="B610" s="73">
        <v>610</v>
      </c>
      <c r="C610" s="74">
        <f>'ERROR FINAL'!G613</f>
        <v>0</v>
      </c>
      <c r="D610" s="75">
        <f>'ERROR FINAL'!I613</f>
        <v>0</v>
      </c>
      <c r="E610" s="76">
        <f>'ERROR FINAL'!U613</f>
        <v>0</v>
      </c>
      <c r="F610" s="77">
        <f>'ERROR FINAL'!AG613</f>
        <v>0</v>
      </c>
      <c r="G610" s="77">
        <f>'ERROR FINAL'!AS613</f>
        <v>0</v>
      </c>
      <c r="H610" s="78" t="str">
        <f>IF('ERROR FINAL'!AT613="CONFORME","CONFORME","NO CONFORME")</f>
        <v>NO CONFORME</v>
      </c>
      <c r="I610" s="79" t="str">
        <f t="shared" si="9"/>
        <v>Medición</v>
      </c>
    </row>
    <row r="611" spans="1:9" x14ac:dyDescent="0.2">
      <c r="A611" s="72">
        <f>'ERROR FINAL'!A614</f>
        <v>0</v>
      </c>
      <c r="B611" s="73">
        <v>611</v>
      </c>
      <c r="C611" s="74">
        <f>'ERROR FINAL'!G614</f>
        <v>0</v>
      </c>
      <c r="D611" s="75">
        <f>'ERROR FINAL'!I614</f>
        <v>0</v>
      </c>
      <c r="E611" s="76">
        <f>'ERROR FINAL'!U614</f>
        <v>0</v>
      </c>
      <c r="F611" s="77">
        <f>'ERROR FINAL'!AG614</f>
        <v>0</v>
      </c>
      <c r="G611" s="77">
        <f>'ERROR FINAL'!AS614</f>
        <v>0</v>
      </c>
      <c r="H611" s="78" t="str">
        <f>IF('ERROR FINAL'!AT614="CONFORME","CONFORME","NO CONFORME")</f>
        <v>NO CONFORME</v>
      </c>
      <c r="I611" s="79" t="str">
        <f t="shared" si="9"/>
        <v>Medición</v>
      </c>
    </row>
    <row r="612" spans="1:9" x14ac:dyDescent="0.2">
      <c r="A612" s="72">
        <f>'ERROR FINAL'!A615</f>
        <v>0</v>
      </c>
      <c r="B612" s="73">
        <v>612</v>
      </c>
      <c r="C612" s="74">
        <f>'ERROR FINAL'!G615</f>
        <v>0</v>
      </c>
      <c r="D612" s="75">
        <f>'ERROR FINAL'!I615</f>
        <v>0</v>
      </c>
      <c r="E612" s="76">
        <f>'ERROR FINAL'!U615</f>
        <v>0</v>
      </c>
      <c r="F612" s="77">
        <f>'ERROR FINAL'!AG615</f>
        <v>0</v>
      </c>
      <c r="G612" s="77">
        <f>'ERROR FINAL'!AS615</f>
        <v>0</v>
      </c>
      <c r="H612" s="78" t="str">
        <f>IF('ERROR FINAL'!AT615="CONFORME","CONFORME","NO CONFORME")</f>
        <v>NO CONFORME</v>
      </c>
      <c r="I612" s="79" t="str">
        <f t="shared" si="9"/>
        <v>Medición</v>
      </c>
    </row>
    <row r="613" spans="1:9" x14ac:dyDescent="0.2">
      <c r="A613" s="72">
        <f>'ERROR FINAL'!A616</f>
        <v>0</v>
      </c>
      <c r="B613" s="73">
        <v>613</v>
      </c>
      <c r="C613" s="74">
        <f>'ERROR FINAL'!G616</f>
        <v>0</v>
      </c>
      <c r="D613" s="75">
        <f>'ERROR FINAL'!I616</f>
        <v>0</v>
      </c>
      <c r="E613" s="76">
        <f>'ERROR FINAL'!U616</f>
        <v>0</v>
      </c>
      <c r="F613" s="77">
        <f>'ERROR FINAL'!AG616</f>
        <v>0</v>
      </c>
      <c r="G613" s="77">
        <f>'ERROR FINAL'!AS616</f>
        <v>0</v>
      </c>
      <c r="H613" s="78" t="str">
        <f>IF('ERROR FINAL'!AT616="CONFORME","CONFORME","NO CONFORME")</f>
        <v>NO CONFORME</v>
      </c>
      <c r="I613" s="79" t="str">
        <f t="shared" si="9"/>
        <v>Medición</v>
      </c>
    </row>
    <row r="614" spans="1:9" x14ac:dyDescent="0.2">
      <c r="A614" s="72">
        <f>'ERROR FINAL'!A617</f>
        <v>0</v>
      </c>
      <c r="B614" s="73">
        <v>614</v>
      </c>
      <c r="C614" s="74">
        <f>'ERROR FINAL'!G617</f>
        <v>0</v>
      </c>
      <c r="D614" s="75">
        <f>'ERROR FINAL'!I617</f>
        <v>0</v>
      </c>
      <c r="E614" s="76">
        <f>'ERROR FINAL'!U617</f>
        <v>0</v>
      </c>
      <c r="F614" s="77">
        <f>'ERROR FINAL'!AG617</f>
        <v>0</v>
      </c>
      <c r="G614" s="77">
        <f>'ERROR FINAL'!AS617</f>
        <v>0</v>
      </c>
      <c r="H614" s="78" t="str">
        <f>IF('ERROR FINAL'!AT617="CONFORME","CONFORME","NO CONFORME")</f>
        <v>NO CONFORME</v>
      </c>
      <c r="I614" s="79" t="str">
        <f t="shared" si="9"/>
        <v>Medición</v>
      </c>
    </row>
    <row r="615" spans="1:9" x14ac:dyDescent="0.2">
      <c r="A615" s="72">
        <f>'ERROR FINAL'!A618</f>
        <v>0</v>
      </c>
      <c r="B615" s="73">
        <v>615</v>
      </c>
      <c r="C615" s="74">
        <f>'ERROR FINAL'!G618</f>
        <v>0</v>
      </c>
      <c r="D615" s="75">
        <f>'ERROR FINAL'!I618</f>
        <v>0</v>
      </c>
      <c r="E615" s="76">
        <f>'ERROR FINAL'!U618</f>
        <v>0</v>
      </c>
      <c r="F615" s="77">
        <f>'ERROR FINAL'!AG618</f>
        <v>0</v>
      </c>
      <c r="G615" s="77">
        <f>'ERROR FINAL'!AS618</f>
        <v>0</v>
      </c>
      <c r="H615" s="78" t="str">
        <f>IF('ERROR FINAL'!AT618="CONFORME","CONFORME","NO CONFORME")</f>
        <v>NO CONFORME</v>
      </c>
      <c r="I615" s="79" t="str">
        <f t="shared" si="9"/>
        <v>Medición</v>
      </c>
    </row>
    <row r="616" spans="1:9" x14ac:dyDescent="0.2">
      <c r="A616" s="72">
        <f>'ERROR FINAL'!A619</f>
        <v>0</v>
      </c>
      <c r="B616" s="73">
        <v>616</v>
      </c>
      <c r="C616" s="74">
        <f>'ERROR FINAL'!G619</f>
        <v>0</v>
      </c>
      <c r="D616" s="75">
        <f>'ERROR FINAL'!I619</f>
        <v>0</v>
      </c>
      <c r="E616" s="76">
        <f>'ERROR FINAL'!U619</f>
        <v>0</v>
      </c>
      <c r="F616" s="77">
        <f>'ERROR FINAL'!AG619</f>
        <v>0</v>
      </c>
      <c r="G616" s="77">
        <f>'ERROR FINAL'!AS619</f>
        <v>0</v>
      </c>
      <c r="H616" s="78" t="str">
        <f>IF('ERROR FINAL'!AT619="CONFORME","CONFORME","NO CONFORME")</f>
        <v>NO CONFORME</v>
      </c>
      <c r="I616" s="79" t="str">
        <f t="shared" si="9"/>
        <v>Medición</v>
      </c>
    </row>
    <row r="617" spans="1:9" x14ac:dyDescent="0.2">
      <c r="A617" s="72">
        <f>'ERROR FINAL'!A620</f>
        <v>0</v>
      </c>
      <c r="B617" s="73">
        <v>617</v>
      </c>
      <c r="C617" s="74">
        <f>'ERROR FINAL'!G620</f>
        <v>0</v>
      </c>
      <c r="D617" s="75">
        <f>'ERROR FINAL'!I620</f>
        <v>0</v>
      </c>
      <c r="E617" s="76">
        <f>'ERROR FINAL'!U620</f>
        <v>0</v>
      </c>
      <c r="F617" s="77">
        <f>'ERROR FINAL'!AG620</f>
        <v>0</v>
      </c>
      <c r="G617" s="77">
        <f>'ERROR FINAL'!AS620</f>
        <v>0</v>
      </c>
      <c r="H617" s="78" t="str">
        <f>IF('ERROR FINAL'!AT620="CONFORME","CONFORME","NO CONFORME")</f>
        <v>NO CONFORME</v>
      </c>
      <c r="I617" s="79" t="str">
        <f t="shared" si="9"/>
        <v>Medición</v>
      </c>
    </row>
    <row r="618" spans="1:9" x14ac:dyDescent="0.2">
      <c r="A618" s="72">
        <f>'ERROR FINAL'!A621</f>
        <v>0</v>
      </c>
      <c r="B618" s="73">
        <v>618</v>
      </c>
      <c r="C618" s="74">
        <f>'ERROR FINAL'!G621</f>
        <v>0</v>
      </c>
      <c r="D618" s="75">
        <f>'ERROR FINAL'!I621</f>
        <v>0</v>
      </c>
      <c r="E618" s="76">
        <f>'ERROR FINAL'!U621</f>
        <v>0</v>
      </c>
      <c r="F618" s="77">
        <f>'ERROR FINAL'!AG621</f>
        <v>0</v>
      </c>
      <c r="G618" s="77">
        <f>'ERROR FINAL'!AS621</f>
        <v>0</v>
      </c>
      <c r="H618" s="78" t="str">
        <f>IF('ERROR FINAL'!AT621="CONFORME","CONFORME","NO CONFORME")</f>
        <v>NO CONFORME</v>
      </c>
      <c r="I618" s="79" t="str">
        <f t="shared" si="9"/>
        <v>Medición</v>
      </c>
    </row>
    <row r="619" spans="1:9" x14ac:dyDescent="0.2">
      <c r="A619" s="72">
        <f>'ERROR FINAL'!A622</f>
        <v>0</v>
      </c>
      <c r="B619" s="73">
        <v>619</v>
      </c>
      <c r="C619" s="74">
        <f>'ERROR FINAL'!G622</f>
        <v>0</v>
      </c>
      <c r="D619" s="75">
        <f>'ERROR FINAL'!I622</f>
        <v>0</v>
      </c>
      <c r="E619" s="76">
        <f>'ERROR FINAL'!U622</f>
        <v>0</v>
      </c>
      <c r="F619" s="77">
        <f>'ERROR FINAL'!AG622</f>
        <v>0</v>
      </c>
      <c r="G619" s="77">
        <f>'ERROR FINAL'!AS622</f>
        <v>0</v>
      </c>
      <c r="H619" s="78" t="str">
        <f>IF('ERROR FINAL'!AT622="CONFORME","CONFORME","NO CONFORME")</f>
        <v>NO CONFORME</v>
      </c>
      <c r="I619" s="79" t="str">
        <f t="shared" si="9"/>
        <v>Medición</v>
      </c>
    </row>
    <row r="620" spans="1:9" x14ac:dyDescent="0.2">
      <c r="A620" s="72">
        <f>'ERROR FINAL'!A623</f>
        <v>0</v>
      </c>
      <c r="B620" s="73">
        <v>620</v>
      </c>
      <c r="C620" s="74">
        <f>'ERROR FINAL'!G623</f>
        <v>0</v>
      </c>
      <c r="D620" s="75">
        <f>'ERROR FINAL'!I623</f>
        <v>0</v>
      </c>
      <c r="E620" s="76">
        <f>'ERROR FINAL'!U623</f>
        <v>0</v>
      </c>
      <c r="F620" s="77">
        <f>'ERROR FINAL'!AG623</f>
        <v>0</v>
      </c>
      <c r="G620" s="77">
        <f>'ERROR FINAL'!AS623</f>
        <v>0</v>
      </c>
      <c r="H620" s="78" t="str">
        <f>IF('ERROR FINAL'!AT623="CONFORME","CONFORME","NO CONFORME")</f>
        <v>NO CONFORME</v>
      </c>
      <c r="I620" s="79" t="str">
        <f t="shared" si="9"/>
        <v>Medición</v>
      </c>
    </row>
    <row r="621" spans="1:9" x14ac:dyDescent="0.2">
      <c r="A621" s="72">
        <f>'ERROR FINAL'!A624</f>
        <v>0</v>
      </c>
      <c r="B621" s="73">
        <v>621</v>
      </c>
      <c r="C621" s="74">
        <f>'ERROR FINAL'!G624</f>
        <v>0</v>
      </c>
      <c r="D621" s="75">
        <f>'ERROR FINAL'!I624</f>
        <v>0</v>
      </c>
      <c r="E621" s="76">
        <f>'ERROR FINAL'!U624</f>
        <v>0</v>
      </c>
      <c r="F621" s="77">
        <f>'ERROR FINAL'!AG624</f>
        <v>0</v>
      </c>
      <c r="G621" s="77">
        <f>'ERROR FINAL'!AS624</f>
        <v>0</v>
      </c>
      <c r="H621" s="78" t="str">
        <f>IF('ERROR FINAL'!AT624="CONFORME","CONFORME","NO CONFORME")</f>
        <v>NO CONFORME</v>
      </c>
      <c r="I621" s="79" t="str">
        <f t="shared" si="9"/>
        <v>Medición</v>
      </c>
    </row>
    <row r="622" spans="1:9" x14ac:dyDescent="0.2">
      <c r="A622" s="72">
        <f>'ERROR FINAL'!A625</f>
        <v>0</v>
      </c>
      <c r="B622" s="73">
        <v>622</v>
      </c>
      <c r="C622" s="74">
        <f>'ERROR FINAL'!G625</f>
        <v>0</v>
      </c>
      <c r="D622" s="75">
        <f>'ERROR FINAL'!I625</f>
        <v>0</v>
      </c>
      <c r="E622" s="76">
        <f>'ERROR FINAL'!U625</f>
        <v>0</v>
      </c>
      <c r="F622" s="77">
        <f>'ERROR FINAL'!AG625</f>
        <v>0</v>
      </c>
      <c r="G622" s="77">
        <f>'ERROR FINAL'!AS625</f>
        <v>0</v>
      </c>
      <c r="H622" s="78" t="str">
        <f>IF('ERROR FINAL'!AT625="CONFORME","CONFORME","NO CONFORME")</f>
        <v>NO CONFORME</v>
      </c>
      <c r="I622" s="79" t="str">
        <f t="shared" si="9"/>
        <v>Medición</v>
      </c>
    </row>
    <row r="623" spans="1:9" x14ac:dyDescent="0.2">
      <c r="A623" s="72">
        <f>'ERROR FINAL'!A626</f>
        <v>0</v>
      </c>
      <c r="B623" s="73">
        <v>623</v>
      </c>
      <c r="C623" s="74">
        <f>'ERROR FINAL'!G626</f>
        <v>0</v>
      </c>
      <c r="D623" s="75">
        <f>'ERROR FINAL'!I626</f>
        <v>0</v>
      </c>
      <c r="E623" s="76">
        <f>'ERROR FINAL'!U626</f>
        <v>0</v>
      </c>
      <c r="F623" s="77">
        <f>'ERROR FINAL'!AG626</f>
        <v>0</v>
      </c>
      <c r="G623" s="77">
        <f>'ERROR FINAL'!AS626</f>
        <v>0</v>
      </c>
      <c r="H623" s="78" t="str">
        <f>IF('ERROR FINAL'!AT626="CONFORME","CONFORME","NO CONFORME")</f>
        <v>NO CONFORME</v>
      </c>
      <c r="I623" s="79" t="str">
        <f t="shared" si="9"/>
        <v>Medición</v>
      </c>
    </row>
    <row r="624" spans="1:9" x14ac:dyDescent="0.2">
      <c r="A624" s="72">
        <f>'ERROR FINAL'!A627</f>
        <v>0</v>
      </c>
      <c r="B624" s="73">
        <v>624</v>
      </c>
      <c r="C624" s="74">
        <f>'ERROR FINAL'!G627</f>
        <v>0</v>
      </c>
      <c r="D624" s="75">
        <f>'ERROR FINAL'!I627</f>
        <v>0</v>
      </c>
      <c r="E624" s="76">
        <f>'ERROR FINAL'!U627</f>
        <v>0</v>
      </c>
      <c r="F624" s="77">
        <f>'ERROR FINAL'!AG627</f>
        <v>0</v>
      </c>
      <c r="G624" s="77">
        <f>'ERROR FINAL'!AS627</f>
        <v>0</v>
      </c>
      <c r="H624" s="78" t="str">
        <f>IF('ERROR FINAL'!AT627="CONFORME","CONFORME","NO CONFORME")</f>
        <v>NO CONFORME</v>
      </c>
      <c r="I624" s="79" t="str">
        <f t="shared" si="9"/>
        <v>Medición</v>
      </c>
    </row>
    <row r="625" spans="1:9" x14ac:dyDescent="0.2">
      <c r="A625" s="72">
        <f>'ERROR FINAL'!A628</f>
        <v>0</v>
      </c>
      <c r="B625" s="73">
        <v>625</v>
      </c>
      <c r="C625" s="74">
        <f>'ERROR FINAL'!G628</f>
        <v>0</v>
      </c>
      <c r="D625" s="75">
        <f>'ERROR FINAL'!I628</f>
        <v>0</v>
      </c>
      <c r="E625" s="76">
        <f>'ERROR FINAL'!U628</f>
        <v>0</v>
      </c>
      <c r="F625" s="77">
        <f>'ERROR FINAL'!AG628</f>
        <v>0</v>
      </c>
      <c r="G625" s="77">
        <f>'ERROR FINAL'!AS628</f>
        <v>0</v>
      </c>
      <c r="H625" s="78" t="str">
        <f>IF('ERROR FINAL'!AT628="CONFORME","CONFORME","NO CONFORME")</f>
        <v>NO CONFORME</v>
      </c>
      <c r="I625" s="79" t="str">
        <f t="shared" si="9"/>
        <v>Medición</v>
      </c>
    </row>
    <row r="626" spans="1:9" x14ac:dyDescent="0.2">
      <c r="A626" s="72">
        <f>'ERROR FINAL'!A629</f>
        <v>0</v>
      </c>
      <c r="B626" s="73">
        <v>626</v>
      </c>
      <c r="C626" s="74">
        <f>'ERROR FINAL'!G629</f>
        <v>0</v>
      </c>
      <c r="D626" s="75">
        <f>'ERROR FINAL'!I629</f>
        <v>0</v>
      </c>
      <c r="E626" s="76">
        <f>'ERROR FINAL'!U629</f>
        <v>0</v>
      </c>
      <c r="F626" s="77">
        <f>'ERROR FINAL'!AG629</f>
        <v>0</v>
      </c>
      <c r="G626" s="77">
        <f>'ERROR FINAL'!AS629</f>
        <v>0</v>
      </c>
      <c r="H626" s="78" t="str">
        <f>IF('ERROR FINAL'!AT629="CONFORME","CONFORME","NO CONFORME")</f>
        <v>NO CONFORME</v>
      </c>
      <c r="I626" s="79" t="str">
        <f t="shared" si="9"/>
        <v>Medición</v>
      </c>
    </row>
    <row r="627" spans="1:9" x14ac:dyDescent="0.2">
      <c r="A627" s="72">
        <f>'ERROR FINAL'!A630</f>
        <v>0</v>
      </c>
      <c r="B627" s="73">
        <v>627</v>
      </c>
      <c r="C627" s="74">
        <f>'ERROR FINAL'!G630</f>
        <v>0</v>
      </c>
      <c r="D627" s="75">
        <f>'ERROR FINAL'!I630</f>
        <v>0</v>
      </c>
      <c r="E627" s="76">
        <f>'ERROR FINAL'!U630</f>
        <v>0</v>
      </c>
      <c r="F627" s="77">
        <f>'ERROR FINAL'!AG630</f>
        <v>0</v>
      </c>
      <c r="G627" s="77">
        <f>'ERROR FINAL'!AS630</f>
        <v>0</v>
      </c>
      <c r="H627" s="78" t="str">
        <f>IF('ERROR FINAL'!AT630="CONFORME","CONFORME","NO CONFORME")</f>
        <v>NO CONFORME</v>
      </c>
      <c r="I627" s="79" t="str">
        <f t="shared" si="9"/>
        <v>Medición</v>
      </c>
    </row>
    <row r="628" spans="1:9" x14ac:dyDescent="0.2">
      <c r="A628" s="72">
        <f>'ERROR FINAL'!A631</f>
        <v>0</v>
      </c>
      <c r="B628" s="73">
        <v>628</v>
      </c>
      <c r="C628" s="74">
        <f>'ERROR FINAL'!G631</f>
        <v>0</v>
      </c>
      <c r="D628" s="75">
        <f>'ERROR FINAL'!I631</f>
        <v>0</v>
      </c>
      <c r="E628" s="76">
        <f>'ERROR FINAL'!U631</f>
        <v>0</v>
      </c>
      <c r="F628" s="77">
        <f>'ERROR FINAL'!AG631</f>
        <v>0</v>
      </c>
      <c r="G628" s="77">
        <f>'ERROR FINAL'!AS631</f>
        <v>0</v>
      </c>
      <c r="H628" s="78" t="str">
        <f>IF('ERROR FINAL'!AT631="CONFORME","CONFORME","NO CONFORME")</f>
        <v>NO CONFORME</v>
      </c>
      <c r="I628" s="79" t="str">
        <f t="shared" si="9"/>
        <v>Medición</v>
      </c>
    </row>
    <row r="629" spans="1:9" x14ac:dyDescent="0.2">
      <c r="A629" s="72">
        <f>'ERROR FINAL'!A632</f>
        <v>0</v>
      </c>
      <c r="B629" s="73">
        <v>629</v>
      </c>
      <c r="C629" s="74">
        <f>'ERROR FINAL'!G632</f>
        <v>0</v>
      </c>
      <c r="D629" s="75">
        <f>'ERROR FINAL'!I632</f>
        <v>0</v>
      </c>
      <c r="E629" s="76">
        <f>'ERROR FINAL'!U632</f>
        <v>0</v>
      </c>
      <c r="F629" s="77">
        <f>'ERROR FINAL'!AG632</f>
        <v>0</v>
      </c>
      <c r="G629" s="77">
        <f>'ERROR FINAL'!AS632</f>
        <v>0</v>
      </c>
      <c r="H629" s="78" t="str">
        <f>IF('ERROR FINAL'!AT632="CONFORME","CONFORME","NO CONFORME")</f>
        <v>NO CONFORME</v>
      </c>
      <c r="I629" s="79" t="str">
        <f t="shared" si="9"/>
        <v>Medición</v>
      </c>
    </row>
    <row r="630" spans="1:9" x14ac:dyDescent="0.2">
      <c r="A630" s="72">
        <f>'ERROR FINAL'!A633</f>
        <v>0</v>
      </c>
      <c r="B630" s="73">
        <v>630</v>
      </c>
      <c r="C630" s="74">
        <f>'ERROR FINAL'!G633</f>
        <v>0</v>
      </c>
      <c r="D630" s="75">
        <f>'ERROR FINAL'!I633</f>
        <v>0</v>
      </c>
      <c r="E630" s="76">
        <f>'ERROR FINAL'!U633</f>
        <v>0</v>
      </c>
      <c r="F630" s="77">
        <f>'ERROR FINAL'!AG633</f>
        <v>0</v>
      </c>
      <c r="G630" s="77">
        <f>'ERROR FINAL'!AS633</f>
        <v>0</v>
      </c>
      <c r="H630" s="78" t="str">
        <f>IF('ERROR FINAL'!AT633="CONFORME","CONFORME","NO CONFORME")</f>
        <v>NO CONFORME</v>
      </c>
      <c r="I630" s="79" t="str">
        <f t="shared" si="9"/>
        <v>Medición</v>
      </c>
    </row>
    <row r="631" spans="1:9" x14ac:dyDescent="0.2">
      <c r="A631" s="72">
        <f>'ERROR FINAL'!A634</f>
        <v>0</v>
      </c>
      <c r="B631" s="73">
        <v>631</v>
      </c>
      <c r="C631" s="74">
        <f>'ERROR FINAL'!G634</f>
        <v>0</v>
      </c>
      <c r="D631" s="75">
        <f>'ERROR FINAL'!I634</f>
        <v>0</v>
      </c>
      <c r="E631" s="76">
        <f>'ERROR FINAL'!U634</f>
        <v>0</v>
      </c>
      <c r="F631" s="77">
        <f>'ERROR FINAL'!AG634</f>
        <v>0</v>
      </c>
      <c r="G631" s="77">
        <f>'ERROR FINAL'!AS634</f>
        <v>0</v>
      </c>
      <c r="H631" s="78" t="str">
        <f>IF('ERROR FINAL'!AT634="CONFORME","CONFORME","NO CONFORME")</f>
        <v>NO CONFORME</v>
      </c>
      <c r="I631" s="79" t="str">
        <f t="shared" si="9"/>
        <v>Medición</v>
      </c>
    </row>
    <row r="632" spans="1:9" x14ac:dyDescent="0.2">
      <c r="A632" s="72">
        <f>'ERROR FINAL'!A635</f>
        <v>0</v>
      </c>
      <c r="B632" s="73">
        <v>632</v>
      </c>
      <c r="C632" s="74">
        <f>'ERROR FINAL'!G635</f>
        <v>0</v>
      </c>
      <c r="D632" s="75">
        <f>'ERROR FINAL'!I635</f>
        <v>0</v>
      </c>
      <c r="E632" s="76">
        <f>'ERROR FINAL'!U635</f>
        <v>0</v>
      </c>
      <c r="F632" s="77">
        <f>'ERROR FINAL'!AG635</f>
        <v>0</v>
      </c>
      <c r="G632" s="77">
        <f>'ERROR FINAL'!AS635</f>
        <v>0</v>
      </c>
      <c r="H632" s="78" t="str">
        <f>IF('ERROR FINAL'!AT635="CONFORME","CONFORME","NO CONFORME")</f>
        <v>NO CONFORME</v>
      </c>
      <c r="I632" s="79" t="str">
        <f t="shared" si="9"/>
        <v>Medición</v>
      </c>
    </row>
    <row r="633" spans="1:9" x14ac:dyDescent="0.2">
      <c r="A633" s="72">
        <f>'ERROR FINAL'!A636</f>
        <v>0</v>
      </c>
      <c r="B633" s="73">
        <v>633</v>
      </c>
      <c r="C633" s="74">
        <f>'ERROR FINAL'!G636</f>
        <v>0</v>
      </c>
      <c r="D633" s="75">
        <f>'ERROR FINAL'!I636</f>
        <v>0</v>
      </c>
      <c r="E633" s="76">
        <f>'ERROR FINAL'!U636</f>
        <v>0</v>
      </c>
      <c r="F633" s="77">
        <f>'ERROR FINAL'!AG636</f>
        <v>0</v>
      </c>
      <c r="G633" s="77">
        <f>'ERROR FINAL'!AS636</f>
        <v>0</v>
      </c>
      <c r="H633" s="78" t="str">
        <f>IF('ERROR FINAL'!AT636="CONFORME","CONFORME","NO CONFORME")</f>
        <v>NO CONFORME</v>
      </c>
      <c r="I633" s="79" t="str">
        <f t="shared" si="9"/>
        <v>Medición</v>
      </c>
    </row>
    <row r="634" spans="1:9" x14ac:dyDescent="0.2">
      <c r="A634" s="72">
        <f>'ERROR FINAL'!A637</f>
        <v>0</v>
      </c>
      <c r="B634" s="73">
        <v>634</v>
      </c>
      <c r="C634" s="74">
        <f>'ERROR FINAL'!G637</f>
        <v>0</v>
      </c>
      <c r="D634" s="75">
        <f>'ERROR FINAL'!I637</f>
        <v>0</v>
      </c>
      <c r="E634" s="76">
        <f>'ERROR FINAL'!U637</f>
        <v>0</v>
      </c>
      <c r="F634" s="77">
        <f>'ERROR FINAL'!AG637</f>
        <v>0</v>
      </c>
      <c r="G634" s="77">
        <f>'ERROR FINAL'!AS637</f>
        <v>0</v>
      </c>
      <c r="H634" s="78" t="str">
        <f>IF('ERROR FINAL'!AT637="CONFORME","CONFORME","NO CONFORME")</f>
        <v>NO CONFORME</v>
      </c>
      <c r="I634" s="79" t="str">
        <f t="shared" si="9"/>
        <v>Medición</v>
      </c>
    </row>
    <row r="635" spans="1:9" x14ac:dyDescent="0.2">
      <c r="A635" s="72">
        <f>'ERROR FINAL'!A638</f>
        <v>0</v>
      </c>
      <c r="B635" s="73">
        <v>635</v>
      </c>
      <c r="C635" s="74">
        <f>'ERROR FINAL'!G638</f>
        <v>0</v>
      </c>
      <c r="D635" s="75">
        <f>'ERROR FINAL'!I638</f>
        <v>0</v>
      </c>
      <c r="E635" s="76">
        <f>'ERROR FINAL'!U638</f>
        <v>0</v>
      </c>
      <c r="F635" s="77">
        <f>'ERROR FINAL'!AG638</f>
        <v>0</v>
      </c>
      <c r="G635" s="77">
        <f>'ERROR FINAL'!AS638</f>
        <v>0</v>
      </c>
      <c r="H635" s="78" t="str">
        <f>IF('ERROR FINAL'!AT638="CONFORME","CONFORME","NO CONFORME")</f>
        <v>NO CONFORME</v>
      </c>
      <c r="I635" s="79" t="str">
        <f t="shared" si="9"/>
        <v>Medición</v>
      </c>
    </row>
    <row r="636" spans="1:9" x14ac:dyDescent="0.2">
      <c r="A636" s="72">
        <f>'ERROR FINAL'!A639</f>
        <v>0</v>
      </c>
      <c r="B636" s="73">
        <v>636</v>
      </c>
      <c r="C636" s="74">
        <f>'ERROR FINAL'!G639</f>
        <v>0</v>
      </c>
      <c r="D636" s="75">
        <f>'ERROR FINAL'!I639</f>
        <v>0</v>
      </c>
      <c r="E636" s="76">
        <f>'ERROR FINAL'!U639</f>
        <v>0</v>
      </c>
      <c r="F636" s="77">
        <f>'ERROR FINAL'!AG639</f>
        <v>0</v>
      </c>
      <c r="G636" s="77">
        <f>'ERROR FINAL'!AS639</f>
        <v>0</v>
      </c>
      <c r="H636" s="78" t="str">
        <f>IF('ERROR FINAL'!AT639="CONFORME","CONFORME","NO CONFORME")</f>
        <v>NO CONFORME</v>
      </c>
      <c r="I636" s="79" t="str">
        <f t="shared" si="9"/>
        <v>Medición</v>
      </c>
    </row>
    <row r="637" spans="1:9" x14ac:dyDescent="0.2">
      <c r="A637" s="72">
        <f>'ERROR FINAL'!A640</f>
        <v>0</v>
      </c>
      <c r="B637" s="73">
        <v>637</v>
      </c>
      <c r="C637" s="74">
        <f>'ERROR FINAL'!G640</f>
        <v>0</v>
      </c>
      <c r="D637" s="75">
        <f>'ERROR FINAL'!I640</f>
        <v>0</v>
      </c>
      <c r="E637" s="76">
        <f>'ERROR FINAL'!U640</f>
        <v>0</v>
      </c>
      <c r="F637" s="77">
        <f>'ERROR FINAL'!AG640</f>
        <v>0</v>
      </c>
      <c r="G637" s="77">
        <f>'ERROR FINAL'!AS640</f>
        <v>0</v>
      </c>
      <c r="H637" s="78" t="str">
        <f>IF('ERROR FINAL'!AT640="CONFORME","CONFORME","NO CONFORME")</f>
        <v>NO CONFORME</v>
      </c>
      <c r="I637" s="79" t="str">
        <f t="shared" si="9"/>
        <v>Medición</v>
      </c>
    </row>
    <row r="638" spans="1:9" x14ac:dyDescent="0.2">
      <c r="A638" s="72">
        <f>'ERROR FINAL'!A641</f>
        <v>0</v>
      </c>
      <c r="B638" s="73">
        <v>638</v>
      </c>
      <c r="C638" s="74">
        <f>'ERROR FINAL'!G641</f>
        <v>0</v>
      </c>
      <c r="D638" s="75">
        <f>'ERROR FINAL'!I641</f>
        <v>0</v>
      </c>
      <c r="E638" s="76">
        <f>'ERROR FINAL'!U641</f>
        <v>0</v>
      </c>
      <c r="F638" s="77">
        <f>'ERROR FINAL'!AG641</f>
        <v>0</v>
      </c>
      <c r="G638" s="77">
        <f>'ERROR FINAL'!AS641</f>
        <v>0</v>
      </c>
      <c r="H638" s="78" t="str">
        <f>IF('ERROR FINAL'!AT641="CONFORME","CONFORME","NO CONFORME")</f>
        <v>NO CONFORME</v>
      </c>
      <c r="I638" s="79" t="str">
        <f t="shared" si="9"/>
        <v>Medición</v>
      </c>
    </row>
    <row r="639" spans="1:9" x14ac:dyDescent="0.2">
      <c r="A639" s="72">
        <f>'ERROR FINAL'!A642</f>
        <v>0</v>
      </c>
      <c r="B639" s="73">
        <v>639</v>
      </c>
      <c r="C639" s="74">
        <f>'ERROR FINAL'!G642</f>
        <v>0</v>
      </c>
      <c r="D639" s="75">
        <f>'ERROR FINAL'!I642</f>
        <v>0</v>
      </c>
      <c r="E639" s="76">
        <f>'ERROR FINAL'!U642</f>
        <v>0</v>
      </c>
      <c r="F639" s="77">
        <f>'ERROR FINAL'!AG642</f>
        <v>0</v>
      </c>
      <c r="G639" s="77">
        <f>'ERROR FINAL'!AS642</f>
        <v>0</v>
      </c>
      <c r="H639" s="78" t="str">
        <f>IF('ERROR FINAL'!AT642="CONFORME","CONFORME","NO CONFORME")</f>
        <v>NO CONFORME</v>
      </c>
      <c r="I639" s="79" t="str">
        <f t="shared" si="9"/>
        <v>Medición</v>
      </c>
    </row>
    <row r="640" spans="1:9" x14ac:dyDescent="0.2">
      <c r="A640" s="72">
        <f>'ERROR FINAL'!A643</f>
        <v>0</v>
      </c>
      <c r="B640" s="73">
        <v>640</v>
      </c>
      <c r="C640" s="74">
        <f>'ERROR FINAL'!G643</f>
        <v>0</v>
      </c>
      <c r="D640" s="75">
        <f>'ERROR FINAL'!I643</f>
        <v>0</v>
      </c>
      <c r="E640" s="76">
        <f>'ERROR FINAL'!U643</f>
        <v>0</v>
      </c>
      <c r="F640" s="77">
        <f>'ERROR FINAL'!AG643</f>
        <v>0</v>
      </c>
      <c r="G640" s="77">
        <f>'ERROR FINAL'!AS643</f>
        <v>0</v>
      </c>
      <c r="H640" s="78" t="str">
        <f>IF('ERROR FINAL'!AT643="CONFORME","CONFORME","NO CONFORME")</f>
        <v>NO CONFORME</v>
      </c>
      <c r="I640" s="79" t="str">
        <f t="shared" si="9"/>
        <v>Medición</v>
      </c>
    </row>
    <row r="641" spans="1:9" x14ac:dyDescent="0.2">
      <c r="A641" s="72">
        <f>'ERROR FINAL'!A644</f>
        <v>0</v>
      </c>
      <c r="B641" s="73">
        <v>641</v>
      </c>
      <c r="C641" s="74">
        <f>'ERROR FINAL'!G644</f>
        <v>0</v>
      </c>
      <c r="D641" s="75">
        <f>'ERROR FINAL'!I644</f>
        <v>0</v>
      </c>
      <c r="E641" s="76">
        <f>'ERROR FINAL'!U644</f>
        <v>0</v>
      </c>
      <c r="F641" s="77">
        <f>'ERROR FINAL'!AG644</f>
        <v>0</v>
      </c>
      <c r="G641" s="77">
        <f>'ERROR FINAL'!AS644</f>
        <v>0</v>
      </c>
      <c r="H641" s="78" t="str">
        <f>IF('ERROR FINAL'!AT644="CONFORME","CONFORME","NO CONFORME")</f>
        <v>NO CONFORME</v>
      </c>
      <c r="I641" s="79" t="str">
        <f t="shared" si="9"/>
        <v>Medición</v>
      </c>
    </row>
    <row r="642" spans="1:9" x14ac:dyDescent="0.2">
      <c r="A642" s="72">
        <f>'ERROR FINAL'!A645</f>
        <v>0</v>
      </c>
      <c r="B642" s="73">
        <v>642</v>
      </c>
      <c r="C642" s="74">
        <f>'ERROR FINAL'!G645</f>
        <v>0</v>
      </c>
      <c r="D642" s="75">
        <f>'ERROR FINAL'!I645</f>
        <v>0</v>
      </c>
      <c r="E642" s="76">
        <f>'ERROR FINAL'!U645</f>
        <v>0</v>
      </c>
      <c r="F642" s="77">
        <f>'ERROR FINAL'!AG645</f>
        <v>0</v>
      </c>
      <c r="G642" s="77">
        <f>'ERROR FINAL'!AS645</f>
        <v>0</v>
      </c>
      <c r="H642" s="78" t="str">
        <f>IF('ERROR FINAL'!AT645="CONFORME","CONFORME","NO CONFORME")</f>
        <v>NO CONFORME</v>
      </c>
      <c r="I642" s="79" t="str">
        <f t="shared" si="9"/>
        <v>Medición</v>
      </c>
    </row>
    <row r="643" spans="1:9" x14ac:dyDescent="0.2">
      <c r="A643" s="72">
        <f>'ERROR FINAL'!A646</f>
        <v>0</v>
      </c>
      <c r="B643" s="73">
        <v>643</v>
      </c>
      <c r="C643" s="74">
        <f>'ERROR FINAL'!G646</f>
        <v>0</v>
      </c>
      <c r="D643" s="75">
        <f>'ERROR FINAL'!I646</f>
        <v>0</v>
      </c>
      <c r="E643" s="76">
        <f>'ERROR FINAL'!U646</f>
        <v>0</v>
      </c>
      <c r="F643" s="77">
        <f>'ERROR FINAL'!AG646</f>
        <v>0</v>
      </c>
      <c r="G643" s="77">
        <f>'ERROR FINAL'!AS646</f>
        <v>0</v>
      </c>
      <c r="H643" s="78" t="str">
        <f>IF('ERROR FINAL'!AT646="CONFORME","CONFORME","NO CONFORME")</f>
        <v>NO CONFORME</v>
      </c>
      <c r="I643" s="79" t="str">
        <f t="shared" si="9"/>
        <v>Medición</v>
      </c>
    </row>
    <row r="644" spans="1:9" x14ac:dyDescent="0.2">
      <c r="A644" s="72">
        <f>'ERROR FINAL'!A647</f>
        <v>0</v>
      </c>
      <c r="B644" s="73">
        <v>644</v>
      </c>
      <c r="C644" s="74">
        <f>'ERROR FINAL'!G647</f>
        <v>0</v>
      </c>
      <c r="D644" s="75">
        <f>'ERROR FINAL'!I647</f>
        <v>0</v>
      </c>
      <c r="E644" s="76">
        <f>'ERROR FINAL'!U647</f>
        <v>0</v>
      </c>
      <c r="F644" s="77">
        <f>'ERROR FINAL'!AG647</f>
        <v>0</v>
      </c>
      <c r="G644" s="77">
        <f>'ERROR FINAL'!AS647</f>
        <v>0</v>
      </c>
      <c r="H644" s="78" t="str">
        <f>IF('ERROR FINAL'!AT647="CONFORME","CONFORME","NO CONFORME")</f>
        <v>NO CONFORME</v>
      </c>
      <c r="I644" s="79" t="str">
        <f t="shared" si="9"/>
        <v>Medición</v>
      </c>
    </row>
    <row r="645" spans="1:9" x14ac:dyDescent="0.2">
      <c r="A645" s="72">
        <f>'ERROR FINAL'!A648</f>
        <v>0</v>
      </c>
      <c r="B645" s="73">
        <v>645</v>
      </c>
      <c r="C645" s="74">
        <f>'ERROR FINAL'!G648</f>
        <v>0</v>
      </c>
      <c r="D645" s="75">
        <f>'ERROR FINAL'!I648</f>
        <v>0</v>
      </c>
      <c r="E645" s="76">
        <f>'ERROR FINAL'!U648</f>
        <v>0</v>
      </c>
      <c r="F645" s="77">
        <f>'ERROR FINAL'!AG648</f>
        <v>0</v>
      </c>
      <c r="G645" s="77">
        <f>'ERROR FINAL'!AS648</f>
        <v>0</v>
      </c>
      <c r="H645" s="78" t="str">
        <f>IF('ERROR FINAL'!AT648="CONFORME","CONFORME","NO CONFORME")</f>
        <v>NO CONFORME</v>
      </c>
      <c r="I645" s="79" t="str">
        <f t="shared" si="9"/>
        <v>Medición</v>
      </c>
    </row>
    <row r="646" spans="1:9" x14ac:dyDescent="0.2">
      <c r="A646" s="72">
        <f>'ERROR FINAL'!A649</f>
        <v>0</v>
      </c>
      <c r="B646" s="73">
        <v>646</v>
      </c>
      <c r="C646" s="74">
        <f>'ERROR FINAL'!G649</f>
        <v>0</v>
      </c>
      <c r="D646" s="75">
        <f>'ERROR FINAL'!I649</f>
        <v>0</v>
      </c>
      <c r="E646" s="76">
        <f>'ERROR FINAL'!U649</f>
        <v>0</v>
      </c>
      <c r="F646" s="77">
        <f>'ERROR FINAL'!AG649</f>
        <v>0</v>
      </c>
      <c r="G646" s="77">
        <f>'ERROR FINAL'!AS649</f>
        <v>0</v>
      </c>
      <c r="H646" s="78" t="str">
        <f>IF('ERROR FINAL'!AT649="CONFORME","CONFORME","NO CONFORME")</f>
        <v>NO CONFORME</v>
      </c>
      <c r="I646" s="79" t="str">
        <f t="shared" si="9"/>
        <v>Medición</v>
      </c>
    </row>
    <row r="647" spans="1:9" x14ac:dyDescent="0.2">
      <c r="A647" s="72">
        <f>'ERROR FINAL'!A650</f>
        <v>0</v>
      </c>
      <c r="B647" s="73">
        <v>647</v>
      </c>
      <c r="C647" s="74">
        <f>'ERROR FINAL'!G650</f>
        <v>0</v>
      </c>
      <c r="D647" s="75">
        <f>'ERROR FINAL'!I650</f>
        <v>0</v>
      </c>
      <c r="E647" s="76">
        <f>'ERROR FINAL'!U650</f>
        <v>0</v>
      </c>
      <c r="F647" s="77">
        <f>'ERROR FINAL'!AG650</f>
        <v>0</v>
      </c>
      <c r="G647" s="77">
        <f>'ERROR FINAL'!AS650</f>
        <v>0</v>
      </c>
      <c r="H647" s="78" t="str">
        <f>IF('ERROR FINAL'!AT650="CONFORME","CONFORME","NO CONFORME")</f>
        <v>NO CONFORME</v>
      </c>
      <c r="I647" s="79" t="str">
        <f t="shared" ref="I647:I710" si="10">IF(D647=0,"Medición",IF(D647=1,"Daño físico",IF(D647=2,"Fuga",IF(D647=3,"Picado",IF(D647=4,"Desfasado",IF(D647=5,"Paralizado","¿?"))))))</f>
        <v>Medición</v>
      </c>
    </row>
    <row r="648" spans="1:9" x14ac:dyDescent="0.2">
      <c r="A648" s="72">
        <f>'ERROR FINAL'!A651</f>
        <v>0</v>
      </c>
      <c r="B648" s="73">
        <v>648</v>
      </c>
      <c r="C648" s="74">
        <f>'ERROR FINAL'!G651</f>
        <v>0</v>
      </c>
      <c r="D648" s="75">
        <f>'ERROR FINAL'!I651</f>
        <v>0</v>
      </c>
      <c r="E648" s="76">
        <f>'ERROR FINAL'!U651</f>
        <v>0</v>
      </c>
      <c r="F648" s="77">
        <f>'ERROR FINAL'!AG651</f>
        <v>0</v>
      </c>
      <c r="G648" s="77">
        <f>'ERROR FINAL'!AS651</f>
        <v>0</v>
      </c>
      <c r="H648" s="78" t="str">
        <f>IF('ERROR FINAL'!AT651="CONFORME","CONFORME","NO CONFORME")</f>
        <v>NO CONFORME</v>
      </c>
      <c r="I648" s="79" t="str">
        <f t="shared" si="10"/>
        <v>Medición</v>
      </c>
    </row>
    <row r="649" spans="1:9" x14ac:dyDescent="0.2">
      <c r="A649" s="72">
        <f>'ERROR FINAL'!A652</f>
        <v>0</v>
      </c>
      <c r="B649" s="73">
        <v>649</v>
      </c>
      <c r="C649" s="74">
        <f>'ERROR FINAL'!G652</f>
        <v>0</v>
      </c>
      <c r="D649" s="75">
        <f>'ERROR FINAL'!I652</f>
        <v>0</v>
      </c>
      <c r="E649" s="76">
        <f>'ERROR FINAL'!U652</f>
        <v>0</v>
      </c>
      <c r="F649" s="77">
        <f>'ERROR FINAL'!AG652</f>
        <v>0</v>
      </c>
      <c r="G649" s="77">
        <f>'ERROR FINAL'!AS652</f>
        <v>0</v>
      </c>
      <c r="H649" s="78" t="str">
        <f>IF('ERROR FINAL'!AT652="CONFORME","CONFORME","NO CONFORME")</f>
        <v>NO CONFORME</v>
      </c>
      <c r="I649" s="79" t="str">
        <f t="shared" si="10"/>
        <v>Medición</v>
      </c>
    </row>
    <row r="650" spans="1:9" x14ac:dyDescent="0.2">
      <c r="A650" s="72">
        <f>'ERROR FINAL'!A653</f>
        <v>0</v>
      </c>
      <c r="B650" s="73">
        <v>650</v>
      </c>
      <c r="C650" s="74">
        <f>'ERROR FINAL'!G653</f>
        <v>0</v>
      </c>
      <c r="D650" s="75">
        <f>'ERROR FINAL'!I653</f>
        <v>0</v>
      </c>
      <c r="E650" s="76">
        <f>'ERROR FINAL'!U653</f>
        <v>0</v>
      </c>
      <c r="F650" s="77">
        <f>'ERROR FINAL'!AG653</f>
        <v>0</v>
      </c>
      <c r="G650" s="77">
        <f>'ERROR FINAL'!AS653</f>
        <v>0</v>
      </c>
      <c r="H650" s="78" t="str">
        <f>IF('ERROR FINAL'!AT653="CONFORME","CONFORME","NO CONFORME")</f>
        <v>NO CONFORME</v>
      </c>
      <c r="I650" s="79" t="str">
        <f t="shared" si="10"/>
        <v>Medición</v>
      </c>
    </row>
    <row r="651" spans="1:9" x14ac:dyDescent="0.2">
      <c r="A651" s="72">
        <f>'ERROR FINAL'!A654</f>
        <v>0</v>
      </c>
      <c r="B651" s="73">
        <v>651</v>
      </c>
      <c r="C651" s="74">
        <f>'ERROR FINAL'!G654</f>
        <v>0</v>
      </c>
      <c r="D651" s="75">
        <f>'ERROR FINAL'!I654</f>
        <v>0</v>
      </c>
      <c r="E651" s="76">
        <f>'ERROR FINAL'!U654</f>
        <v>0</v>
      </c>
      <c r="F651" s="77">
        <f>'ERROR FINAL'!AG654</f>
        <v>0</v>
      </c>
      <c r="G651" s="77">
        <f>'ERROR FINAL'!AS654</f>
        <v>0</v>
      </c>
      <c r="H651" s="78" t="str">
        <f>IF('ERROR FINAL'!AT654="CONFORME","CONFORME","NO CONFORME")</f>
        <v>NO CONFORME</v>
      </c>
      <c r="I651" s="79" t="str">
        <f t="shared" si="10"/>
        <v>Medición</v>
      </c>
    </row>
    <row r="652" spans="1:9" x14ac:dyDescent="0.2">
      <c r="A652" s="72">
        <f>'ERROR FINAL'!A655</f>
        <v>0</v>
      </c>
      <c r="B652" s="73">
        <v>652</v>
      </c>
      <c r="C652" s="74">
        <f>'ERROR FINAL'!G655</f>
        <v>0</v>
      </c>
      <c r="D652" s="75">
        <f>'ERROR FINAL'!I655</f>
        <v>0</v>
      </c>
      <c r="E652" s="76">
        <f>'ERROR FINAL'!U655</f>
        <v>0</v>
      </c>
      <c r="F652" s="77">
        <f>'ERROR FINAL'!AG655</f>
        <v>0</v>
      </c>
      <c r="G652" s="77">
        <f>'ERROR FINAL'!AS655</f>
        <v>0</v>
      </c>
      <c r="H652" s="78" t="str">
        <f>IF('ERROR FINAL'!AT655="CONFORME","CONFORME","NO CONFORME")</f>
        <v>NO CONFORME</v>
      </c>
      <c r="I652" s="79" t="str">
        <f t="shared" si="10"/>
        <v>Medición</v>
      </c>
    </row>
    <row r="653" spans="1:9" x14ac:dyDescent="0.2">
      <c r="A653" s="72">
        <f>'ERROR FINAL'!A656</f>
        <v>0</v>
      </c>
      <c r="B653" s="73">
        <v>653</v>
      </c>
      <c r="C653" s="74">
        <f>'ERROR FINAL'!G656</f>
        <v>0</v>
      </c>
      <c r="D653" s="75">
        <f>'ERROR FINAL'!I656</f>
        <v>0</v>
      </c>
      <c r="E653" s="76">
        <f>'ERROR FINAL'!U656</f>
        <v>0</v>
      </c>
      <c r="F653" s="77">
        <f>'ERROR FINAL'!AG656</f>
        <v>0</v>
      </c>
      <c r="G653" s="77">
        <f>'ERROR FINAL'!AS656</f>
        <v>0</v>
      </c>
      <c r="H653" s="78" t="str">
        <f>IF('ERROR FINAL'!AT656="CONFORME","CONFORME","NO CONFORME")</f>
        <v>NO CONFORME</v>
      </c>
      <c r="I653" s="79" t="str">
        <f t="shared" si="10"/>
        <v>Medición</v>
      </c>
    </row>
    <row r="654" spans="1:9" x14ac:dyDescent="0.2">
      <c r="A654" s="72">
        <f>'ERROR FINAL'!A657</f>
        <v>0</v>
      </c>
      <c r="B654" s="73">
        <v>654</v>
      </c>
      <c r="C654" s="74">
        <f>'ERROR FINAL'!G657</f>
        <v>0</v>
      </c>
      <c r="D654" s="75">
        <f>'ERROR FINAL'!I657</f>
        <v>0</v>
      </c>
      <c r="E654" s="76">
        <f>'ERROR FINAL'!U657</f>
        <v>0</v>
      </c>
      <c r="F654" s="77">
        <f>'ERROR FINAL'!AG657</f>
        <v>0</v>
      </c>
      <c r="G654" s="77">
        <f>'ERROR FINAL'!AS657</f>
        <v>0</v>
      </c>
      <c r="H654" s="78" t="str">
        <f>IF('ERROR FINAL'!AT657="CONFORME","CONFORME","NO CONFORME")</f>
        <v>NO CONFORME</v>
      </c>
      <c r="I654" s="79" t="str">
        <f t="shared" si="10"/>
        <v>Medición</v>
      </c>
    </row>
    <row r="655" spans="1:9" x14ac:dyDescent="0.2">
      <c r="A655" s="72">
        <f>'ERROR FINAL'!A658</f>
        <v>0</v>
      </c>
      <c r="B655" s="73">
        <v>655</v>
      </c>
      <c r="C655" s="74">
        <f>'ERROR FINAL'!G658</f>
        <v>0</v>
      </c>
      <c r="D655" s="75">
        <f>'ERROR FINAL'!I658</f>
        <v>0</v>
      </c>
      <c r="E655" s="76">
        <f>'ERROR FINAL'!U658</f>
        <v>0</v>
      </c>
      <c r="F655" s="77">
        <f>'ERROR FINAL'!AG658</f>
        <v>0</v>
      </c>
      <c r="G655" s="77">
        <f>'ERROR FINAL'!AS658</f>
        <v>0</v>
      </c>
      <c r="H655" s="78" t="str">
        <f>IF('ERROR FINAL'!AT658="CONFORME","CONFORME","NO CONFORME")</f>
        <v>NO CONFORME</v>
      </c>
      <c r="I655" s="79" t="str">
        <f t="shared" si="10"/>
        <v>Medición</v>
      </c>
    </row>
    <row r="656" spans="1:9" x14ac:dyDescent="0.2">
      <c r="A656" s="72">
        <f>'ERROR FINAL'!A659</f>
        <v>0</v>
      </c>
      <c r="B656" s="73">
        <v>656</v>
      </c>
      <c r="C656" s="74">
        <f>'ERROR FINAL'!G659</f>
        <v>0</v>
      </c>
      <c r="D656" s="75">
        <f>'ERROR FINAL'!I659</f>
        <v>0</v>
      </c>
      <c r="E656" s="76">
        <f>'ERROR FINAL'!U659</f>
        <v>0</v>
      </c>
      <c r="F656" s="77">
        <f>'ERROR FINAL'!AG659</f>
        <v>0</v>
      </c>
      <c r="G656" s="77">
        <f>'ERROR FINAL'!AS659</f>
        <v>0</v>
      </c>
      <c r="H656" s="78" t="str">
        <f>IF('ERROR FINAL'!AT659="CONFORME","CONFORME","NO CONFORME")</f>
        <v>NO CONFORME</v>
      </c>
      <c r="I656" s="79" t="str">
        <f t="shared" si="10"/>
        <v>Medición</v>
      </c>
    </row>
    <row r="657" spans="1:9" x14ac:dyDescent="0.2">
      <c r="A657" s="72">
        <f>'ERROR FINAL'!A660</f>
        <v>0</v>
      </c>
      <c r="B657" s="73">
        <v>657</v>
      </c>
      <c r="C657" s="74">
        <f>'ERROR FINAL'!G660</f>
        <v>0</v>
      </c>
      <c r="D657" s="75">
        <f>'ERROR FINAL'!I660</f>
        <v>0</v>
      </c>
      <c r="E657" s="76">
        <f>'ERROR FINAL'!U660</f>
        <v>0</v>
      </c>
      <c r="F657" s="77">
        <f>'ERROR FINAL'!AG660</f>
        <v>0</v>
      </c>
      <c r="G657" s="77">
        <f>'ERROR FINAL'!AS660</f>
        <v>0</v>
      </c>
      <c r="H657" s="78" t="str">
        <f>IF('ERROR FINAL'!AT660="CONFORME","CONFORME","NO CONFORME")</f>
        <v>NO CONFORME</v>
      </c>
      <c r="I657" s="79" t="str">
        <f t="shared" si="10"/>
        <v>Medición</v>
      </c>
    </row>
    <row r="658" spans="1:9" x14ac:dyDescent="0.2">
      <c r="A658" s="72">
        <f>'ERROR FINAL'!A661</f>
        <v>0</v>
      </c>
      <c r="B658" s="73">
        <v>658</v>
      </c>
      <c r="C658" s="74">
        <f>'ERROR FINAL'!G661</f>
        <v>0</v>
      </c>
      <c r="D658" s="75">
        <f>'ERROR FINAL'!I661</f>
        <v>0</v>
      </c>
      <c r="E658" s="76">
        <f>'ERROR FINAL'!U661</f>
        <v>0</v>
      </c>
      <c r="F658" s="77">
        <f>'ERROR FINAL'!AG661</f>
        <v>0</v>
      </c>
      <c r="G658" s="77">
        <f>'ERROR FINAL'!AS661</f>
        <v>0</v>
      </c>
      <c r="H658" s="78" t="str">
        <f>IF('ERROR FINAL'!AT661="CONFORME","CONFORME","NO CONFORME")</f>
        <v>NO CONFORME</v>
      </c>
      <c r="I658" s="79" t="str">
        <f t="shared" si="10"/>
        <v>Medición</v>
      </c>
    </row>
    <row r="659" spans="1:9" x14ac:dyDescent="0.2">
      <c r="A659" s="72">
        <f>'ERROR FINAL'!A662</f>
        <v>0</v>
      </c>
      <c r="B659" s="73">
        <v>659</v>
      </c>
      <c r="C659" s="74">
        <f>'ERROR FINAL'!G662</f>
        <v>0</v>
      </c>
      <c r="D659" s="75">
        <f>'ERROR FINAL'!I662</f>
        <v>0</v>
      </c>
      <c r="E659" s="76">
        <f>'ERROR FINAL'!U662</f>
        <v>0</v>
      </c>
      <c r="F659" s="77">
        <f>'ERROR FINAL'!AG662</f>
        <v>0</v>
      </c>
      <c r="G659" s="77">
        <f>'ERROR FINAL'!AS662</f>
        <v>0</v>
      </c>
      <c r="H659" s="78" t="str">
        <f>IF('ERROR FINAL'!AT662="CONFORME","CONFORME","NO CONFORME")</f>
        <v>NO CONFORME</v>
      </c>
      <c r="I659" s="79" t="str">
        <f t="shared" si="10"/>
        <v>Medición</v>
      </c>
    </row>
    <row r="660" spans="1:9" x14ac:dyDescent="0.2">
      <c r="A660" s="72">
        <f>'ERROR FINAL'!A663</f>
        <v>0</v>
      </c>
      <c r="B660" s="73">
        <v>660</v>
      </c>
      <c r="C660" s="74">
        <f>'ERROR FINAL'!G663</f>
        <v>0</v>
      </c>
      <c r="D660" s="75">
        <f>'ERROR FINAL'!I663</f>
        <v>0</v>
      </c>
      <c r="E660" s="76">
        <f>'ERROR FINAL'!U663</f>
        <v>0</v>
      </c>
      <c r="F660" s="77">
        <f>'ERROR FINAL'!AG663</f>
        <v>0</v>
      </c>
      <c r="G660" s="77">
        <f>'ERROR FINAL'!AS663</f>
        <v>0</v>
      </c>
      <c r="H660" s="78" t="str">
        <f>IF('ERROR FINAL'!AT663="CONFORME","CONFORME","NO CONFORME")</f>
        <v>NO CONFORME</v>
      </c>
      <c r="I660" s="79" t="str">
        <f t="shared" si="10"/>
        <v>Medición</v>
      </c>
    </row>
    <row r="661" spans="1:9" x14ac:dyDescent="0.2">
      <c r="A661" s="72">
        <f>'ERROR FINAL'!A664</f>
        <v>0</v>
      </c>
      <c r="B661" s="73">
        <v>661</v>
      </c>
      <c r="C661" s="74">
        <f>'ERROR FINAL'!G664</f>
        <v>0</v>
      </c>
      <c r="D661" s="75">
        <f>'ERROR FINAL'!I664</f>
        <v>0</v>
      </c>
      <c r="E661" s="76">
        <f>'ERROR FINAL'!U664</f>
        <v>0</v>
      </c>
      <c r="F661" s="77">
        <f>'ERROR FINAL'!AG664</f>
        <v>0</v>
      </c>
      <c r="G661" s="77">
        <f>'ERROR FINAL'!AS664</f>
        <v>0</v>
      </c>
      <c r="H661" s="78" t="str">
        <f>IF('ERROR FINAL'!AT664="CONFORME","CONFORME","NO CONFORME")</f>
        <v>NO CONFORME</v>
      </c>
      <c r="I661" s="79" t="str">
        <f t="shared" si="10"/>
        <v>Medición</v>
      </c>
    </row>
    <row r="662" spans="1:9" x14ac:dyDescent="0.2">
      <c r="A662" s="72">
        <f>'ERROR FINAL'!A665</f>
        <v>0</v>
      </c>
      <c r="B662" s="73">
        <v>662</v>
      </c>
      <c r="C662" s="74">
        <f>'ERROR FINAL'!G665</f>
        <v>0</v>
      </c>
      <c r="D662" s="75">
        <f>'ERROR FINAL'!I665</f>
        <v>0</v>
      </c>
      <c r="E662" s="76">
        <f>'ERROR FINAL'!U665</f>
        <v>0</v>
      </c>
      <c r="F662" s="77">
        <f>'ERROR FINAL'!AG665</f>
        <v>0</v>
      </c>
      <c r="G662" s="77">
        <f>'ERROR FINAL'!AS665</f>
        <v>0</v>
      </c>
      <c r="H662" s="78" t="str">
        <f>IF('ERROR FINAL'!AT665="CONFORME","CONFORME","NO CONFORME")</f>
        <v>NO CONFORME</v>
      </c>
      <c r="I662" s="79" t="str">
        <f t="shared" si="10"/>
        <v>Medición</v>
      </c>
    </row>
    <row r="663" spans="1:9" x14ac:dyDescent="0.2">
      <c r="A663" s="72">
        <f>'ERROR FINAL'!A666</f>
        <v>0</v>
      </c>
      <c r="B663" s="73">
        <v>663</v>
      </c>
      <c r="C663" s="74">
        <f>'ERROR FINAL'!G666</f>
        <v>0</v>
      </c>
      <c r="D663" s="75">
        <f>'ERROR FINAL'!I666</f>
        <v>0</v>
      </c>
      <c r="E663" s="76">
        <f>'ERROR FINAL'!U666</f>
        <v>0</v>
      </c>
      <c r="F663" s="77">
        <f>'ERROR FINAL'!AG666</f>
        <v>0</v>
      </c>
      <c r="G663" s="77">
        <f>'ERROR FINAL'!AS666</f>
        <v>0</v>
      </c>
      <c r="H663" s="78" t="str">
        <f>IF('ERROR FINAL'!AT666="CONFORME","CONFORME","NO CONFORME")</f>
        <v>NO CONFORME</v>
      </c>
      <c r="I663" s="79" t="str">
        <f t="shared" si="10"/>
        <v>Medición</v>
      </c>
    </row>
    <row r="664" spans="1:9" x14ac:dyDescent="0.2">
      <c r="A664" s="72">
        <f>'ERROR FINAL'!A667</f>
        <v>0</v>
      </c>
      <c r="B664" s="73">
        <v>664</v>
      </c>
      <c r="C664" s="74">
        <f>'ERROR FINAL'!G667</f>
        <v>0</v>
      </c>
      <c r="D664" s="75">
        <f>'ERROR FINAL'!I667</f>
        <v>0</v>
      </c>
      <c r="E664" s="76">
        <f>'ERROR FINAL'!U667</f>
        <v>0</v>
      </c>
      <c r="F664" s="77">
        <f>'ERROR FINAL'!AG667</f>
        <v>0</v>
      </c>
      <c r="G664" s="77">
        <f>'ERROR FINAL'!AS667</f>
        <v>0</v>
      </c>
      <c r="H664" s="78" t="str">
        <f>IF('ERROR FINAL'!AT667="CONFORME","CONFORME","NO CONFORME")</f>
        <v>NO CONFORME</v>
      </c>
      <c r="I664" s="79" t="str">
        <f t="shared" si="10"/>
        <v>Medición</v>
      </c>
    </row>
    <row r="665" spans="1:9" x14ac:dyDescent="0.2">
      <c r="A665" s="72">
        <f>'ERROR FINAL'!A668</f>
        <v>0</v>
      </c>
      <c r="B665" s="73">
        <v>665</v>
      </c>
      <c r="C665" s="74">
        <f>'ERROR FINAL'!G668</f>
        <v>0</v>
      </c>
      <c r="D665" s="75">
        <f>'ERROR FINAL'!I668</f>
        <v>0</v>
      </c>
      <c r="E665" s="76">
        <f>'ERROR FINAL'!U668</f>
        <v>0</v>
      </c>
      <c r="F665" s="77">
        <f>'ERROR FINAL'!AG668</f>
        <v>0</v>
      </c>
      <c r="G665" s="77">
        <f>'ERROR FINAL'!AS668</f>
        <v>0</v>
      </c>
      <c r="H665" s="78" t="str">
        <f>IF('ERROR FINAL'!AT668="CONFORME","CONFORME","NO CONFORME")</f>
        <v>NO CONFORME</v>
      </c>
      <c r="I665" s="79" t="str">
        <f t="shared" si="10"/>
        <v>Medición</v>
      </c>
    </row>
    <row r="666" spans="1:9" x14ac:dyDescent="0.2">
      <c r="A666" s="72">
        <f>'ERROR FINAL'!A669</f>
        <v>0</v>
      </c>
      <c r="B666" s="73">
        <v>666</v>
      </c>
      <c r="C666" s="74">
        <f>'ERROR FINAL'!G669</f>
        <v>0</v>
      </c>
      <c r="D666" s="75">
        <f>'ERROR FINAL'!I669</f>
        <v>0</v>
      </c>
      <c r="E666" s="76">
        <f>'ERROR FINAL'!U669</f>
        <v>0</v>
      </c>
      <c r="F666" s="77">
        <f>'ERROR FINAL'!AG669</f>
        <v>0</v>
      </c>
      <c r="G666" s="77">
        <f>'ERROR FINAL'!AS669</f>
        <v>0</v>
      </c>
      <c r="H666" s="78" t="str">
        <f>IF('ERROR FINAL'!AT669="CONFORME","CONFORME","NO CONFORME")</f>
        <v>NO CONFORME</v>
      </c>
      <c r="I666" s="79" t="str">
        <f t="shared" si="10"/>
        <v>Medición</v>
      </c>
    </row>
    <row r="667" spans="1:9" x14ac:dyDescent="0.2">
      <c r="A667" s="72">
        <f>'ERROR FINAL'!A670</f>
        <v>0</v>
      </c>
      <c r="B667" s="73">
        <v>667</v>
      </c>
      <c r="C667" s="74">
        <f>'ERROR FINAL'!G670</f>
        <v>0</v>
      </c>
      <c r="D667" s="75">
        <f>'ERROR FINAL'!I670</f>
        <v>0</v>
      </c>
      <c r="E667" s="76">
        <f>'ERROR FINAL'!U670</f>
        <v>0</v>
      </c>
      <c r="F667" s="77">
        <f>'ERROR FINAL'!AG670</f>
        <v>0</v>
      </c>
      <c r="G667" s="77">
        <f>'ERROR FINAL'!AS670</f>
        <v>0</v>
      </c>
      <c r="H667" s="78" t="str">
        <f>IF('ERROR FINAL'!AT670="CONFORME","CONFORME","NO CONFORME")</f>
        <v>NO CONFORME</v>
      </c>
      <c r="I667" s="79" t="str">
        <f t="shared" si="10"/>
        <v>Medición</v>
      </c>
    </row>
    <row r="668" spans="1:9" x14ac:dyDescent="0.2">
      <c r="A668" s="72">
        <f>'ERROR FINAL'!A671</f>
        <v>0</v>
      </c>
      <c r="B668" s="73">
        <v>668</v>
      </c>
      <c r="C668" s="74">
        <f>'ERROR FINAL'!G671</f>
        <v>0</v>
      </c>
      <c r="D668" s="75">
        <f>'ERROR FINAL'!I671</f>
        <v>0</v>
      </c>
      <c r="E668" s="76">
        <f>'ERROR FINAL'!U671</f>
        <v>0</v>
      </c>
      <c r="F668" s="77">
        <f>'ERROR FINAL'!AG671</f>
        <v>0</v>
      </c>
      <c r="G668" s="77">
        <f>'ERROR FINAL'!AS671</f>
        <v>0</v>
      </c>
      <c r="H668" s="78" t="str">
        <f>IF('ERROR FINAL'!AT671="CONFORME","CONFORME","NO CONFORME")</f>
        <v>NO CONFORME</v>
      </c>
      <c r="I668" s="79" t="str">
        <f t="shared" si="10"/>
        <v>Medición</v>
      </c>
    </row>
    <row r="669" spans="1:9" x14ac:dyDescent="0.2">
      <c r="A669" s="72">
        <f>'ERROR FINAL'!A672</f>
        <v>0</v>
      </c>
      <c r="B669" s="73">
        <v>669</v>
      </c>
      <c r="C669" s="74">
        <f>'ERROR FINAL'!G672</f>
        <v>0</v>
      </c>
      <c r="D669" s="75">
        <f>'ERROR FINAL'!I672</f>
        <v>0</v>
      </c>
      <c r="E669" s="76">
        <f>'ERROR FINAL'!U672</f>
        <v>0</v>
      </c>
      <c r="F669" s="77">
        <f>'ERROR FINAL'!AG672</f>
        <v>0</v>
      </c>
      <c r="G669" s="77">
        <f>'ERROR FINAL'!AS672</f>
        <v>0</v>
      </c>
      <c r="H669" s="78" t="str">
        <f>IF('ERROR FINAL'!AT672="CONFORME","CONFORME","NO CONFORME")</f>
        <v>NO CONFORME</v>
      </c>
      <c r="I669" s="79" t="str">
        <f t="shared" si="10"/>
        <v>Medición</v>
      </c>
    </row>
    <row r="670" spans="1:9" x14ac:dyDescent="0.2">
      <c r="A670" s="72">
        <f>'ERROR FINAL'!A673</f>
        <v>0</v>
      </c>
      <c r="B670" s="73">
        <v>670</v>
      </c>
      <c r="C670" s="74">
        <f>'ERROR FINAL'!G673</f>
        <v>0</v>
      </c>
      <c r="D670" s="75">
        <f>'ERROR FINAL'!I673</f>
        <v>0</v>
      </c>
      <c r="E670" s="76">
        <f>'ERROR FINAL'!U673</f>
        <v>0</v>
      </c>
      <c r="F670" s="77">
        <f>'ERROR FINAL'!AG673</f>
        <v>0</v>
      </c>
      <c r="G670" s="77">
        <f>'ERROR FINAL'!AS673</f>
        <v>0</v>
      </c>
      <c r="H670" s="78" t="str">
        <f>IF('ERROR FINAL'!AT673="CONFORME","CONFORME","NO CONFORME")</f>
        <v>NO CONFORME</v>
      </c>
      <c r="I670" s="79" t="str">
        <f t="shared" si="10"/>
        <v>Medición</v>
      </c>
    </row>
    <row r="671" spans="1:9" x14ac:dyDescent="0.2">
      <c r="A671" s="72">
        <f>'ERROR FINAL'!A674</f>
        <v>0</v>
      </c>
      <c r="B671" s="73">
        <v>671</v>
      </c>
      <c r="C671" s="74">
        <f>'ERROR FINAL'!G674</f>
        <v>0</v>
      </c>
      <c r="D671" s="75">
        <f>'ERROR FINAL'!I674</f>
        <v>0</v>
      </c>
      <c r="E671" s="76">
        <f>'ERROR FINAL'!U674</f>
        <v>0</v>
      </c>
      <c r="F671" s="77">
        <f>'ERROR FINAL'!AG674</f>
        <v>0</v>
      </c>
      <c r="G671" s="77">
        <f>'ERROR FINAL'!AS674</f>
        <v>0</v>
      </c>
      <c r="H671" s="78" t="str">
        <f>IF('ERROR FINAL'!AT674="CONFORME","CONFORME","NO CONFORME")</f>
        <v>NO CONFORME</v>
      </c>
      <c r="I671" s="79" t="str">
        <f t="shared" si="10"/>
        <v>Medición</v>
      </c>
    </row>
    <row r="672" spans="1:9" x14ac:dyDescent="0.2">
      <c r="A672" s="72">
        <f>'ERROR FINAL'!A675</f>
        <v>0</v>
      </c>
      <c r="B672" s="73">
        <v>672</v>
      </c>
      <c r="C672" s="74">
        <f>'ERROR FINAL'!G675</f>
        <v>0</v>
      </c>
      <c r="D672" s="75">
        <f>'ERROR FINAL'!I675</f>
        <v>0</v>
      </c>
      <c r="E672" s="76">
        <f>'ERROR FINAL'!U675</f>
        <v>0</v>
      </c>
      <c r="F672" s="77">
        <f>'ERROR FINAL'!AG675</f>
        <v>0</v>
      </c>
      <c r="G672" s="77">
        <f>'ERROR FINAL'!AS675</f>
        <v>0</v>
      </c>
      <c r="H672" s="78" t="str">
        <f>IF('ERROR FINAL'!AT675="CONFORME","CONFORME","NO CONFORME")</f>
        <v>NO CONFORME</v>
      </c>
      <c r="I672" s="79" t="str">
        <f t="shared" si="10"/>
        <v>Medición</v>
      </c>
    </row>
    <row r="673" spans="1:9" x14ac:dyDescent="0.2">
      <c r="A673" s="72">
        <f>'ERROR FINAL'!A676</f>
        <v>0</v>
      </c>
      <c r="B673" s="73">
        <v>673</v>
      </c>
      <c r="C673" s="74">
        <f>'ERROR FINAL'!G676</f>
        <v>0</v>
      </c>
      <c r="D673" s="75">
        <f>'ERROR FINAL'!I676</f>
        <v>0</v>
      </c>
      <c r="E673" s="76">
        <f>'ERROR FINAL'!U676</f>
        <v>0</v>
      </c>
      <c r="F673" s="77">
        <f>'ERROR FINAL'!AG676</f>
        <v>0</v>
      </c>
      <c r="G673" s="77">
        <f>'ERROR FINAL'!AS676</f>
        <v>0</v>
      </c>
      <c r="H673" s="78" t="str">
        <f>IF('ERROR FINAL'!AT676="CONFORME","CONFORME","NO CONFORME")</f>
        <v>NO CONFORME</v>
      </c>
      <c r="I673" s="79" t="str">
        <f t="shared" si="10"/>
        <v>Medición</v>
      </c>
    </row>
    <row r="674" spans="1:9" x14ac:dyDescent="0.2">
      <c r="A674" s="72">
        <f>'ERROR FINAL'!A677</f>
        <v>0</v>
      </c>
      <c r="B674" s="73">
        <v>674</v>
      </c>
      <c r="C674" s="74">
        <f>'ERROR FINAL'!G677</f>
        <v>0</v>
      </c>
      <c r="D674" s="75">
        <f>'ERROR FINAL'!I677</f>
        <v>0</v>
      </c>
      <c r="E674" s="76">
        <f>'ERROR FINAL'!U677</f>
        <v>0</v>
      </c>
      <c r="F674" s="77">
        <f>'ERROR FINAL'!AG677</f>
        <v>0</v>
      </c>
      <c r="G674" s="77">
        <f>'ERROR FINAL'!AS677</f>
        <v>0</v>
      </c>
      <c r="H674" s="78" t="str">
        <f>IF('ERROR FINAL'!AT677="CONFORME","CONFORME","NO CONFORME")</f>
        <v>NO CONFORME</v>
      </c>
      <c r="I674" s="79" t="str">
        <f t="shared" si="10"/>
        <v>Medición</v>
      </c>
    </row>
    <row r="675" spans="1:9" x14ac:dyDescent="0.2">
      <c r="A675" s="72">
        <f>'ERROR FINAL'!A678</f>
        <v>0</v>
      </c>
      <c r="B675" s="73">
        <v>675</v>
      </c>
      <c r="C675" s="74">
        <f>'ERROR FINAL'!G678</f>
        <v>0</v>
      </c>
      <c r="D675" s="75">
        <f>'ERROR FINAL'!I678</f>
        <v>0</v>
      </c>
      <c r="E675" s="76">
        <f>'ERROR FINAL'!U678</f>
        <v>0</v>
      </c>
      <c r="F675" s="77">
        <f>'ERROR FINAL'!AG678</f>
        <v>0</v>
      </c>
      <c r="G675" s="77">
        <f>'ERROR FINAL'!AS678</f>
        <v>0</v>
      </c>
      <c r="H675" s="78" t="str">
        <f>IF('ERROR FINAL'!AT678="CONFORME","CONFORME","NO CONFORME")</f>
        <v>NO CONFORME</v>
      </c>
      <c r="I675" s="79" t="str">
        <f t="shared" si="10"/>
        <v>Medición</v>
      </c>
    </row>
    <row r="676" spans="1:9" x14ac:dyDescent="0.2">
      <c r="A676" s="72">
        <f>'ERROR FINAL'!A679</f>
        <v>0</v>
      </c>
      <c r="B676" s="73">
        <v>676</v>
      </c>
      <c r="C676" s="74">
        <f>'ERROR FINAL'!G679</f>
        <v>0</v>
      </c>
      <c r="D676" s="75">
        <f>'ERROR FINAL'!I679</f>
        <v>0</v>
      </c>
      <c r="E676" s="76">
        <f>'ERROR FINAL'!U679</f>
        <v>0</v>
      </c>
      <c r="F676" s="77">
        <f>'ERROR FINAL'!AG679</f>
        <v>0</v>
      </c>
      <c r="G676" s="77">
        <f>'ERROR FINAL'!AS679</f>
        <v>0</v>
      </c>
      <c r="H676" s="78" t="str">
        <f>IF('ERROR FINAL'!AT679="CONFORME","CONFORME","NO CONFORME")</f>
        <v>NO CONFORME</v>
      </c>
      <c r="I676" s="79" t="str">
        <f t="shared" si="10"/>
        <v>Medición</v>
      </c>
    </row>
    <row r="677" spans="1:9" x14ac:dyDescent="0.2">
      <c r="A677" s="72">
        <f>'ERROR FINAL'!A680</f>
        <v>0</v>
      </c>
      <c r="B677" s="73">
        <v>677</v>
      </c>
      <c r="C677" s="74">
        <f>'ERROR FINAL'!G680</f>
        <v>0</v>
      </c>
      <c r="D677" s="75">
        <f>'ERROR FINAL'!I680</f>
        <v>0</v>
      </c>
      <c r="E677" s="76">
        <f>'ERROR FINAL'!U680</f>
        <v>0</v>
      </c>
      <c r="F677" s="77">
        <f>'ERROR FINAL'!AG680</f>
        <v>0</v>
      </c>
      <c r="G677" s="77">
        <f>'ERROR FINAL'!AS680</f>
        <v>0</v>
      </c>
      <c r="H677" s="78" t="str">
        <f>IF('ERROR FINAL'!AT680="CONFORME","CONFORME","NO CONFORME")</f>
        <v>NO CONFORME</v>
      </c>
      <c r="I677" s="79" t="str">
        <f t="shared" si="10"/>
        <v>Medición</v>
      </c>
    </row>
    <row r="678" spans="1:9" x14ac:dyDescent="0.2">
      <c r="A678" s="72">
        <f>'ERROR FINAL'!A681</f>
        <v>0</v>
      </c>
      <c r="B678" s="73">
        <v>678</v>
      </c>
      <c r="C678" s="74">
        <f>'ERROR FINAL'!G681</f>
        <v>0</v>
      </c>
      <c r="D678" s="75">
        <f>'ERROR FINAL'!I681</f>
        <v>0</v>
      </c>
      <c r="E678" s="76">
        <f>'ERROR FINAL'!U681</f>
        <v>0</v>
      </c>
      <c r="F678" s="77">
        <f>'ERROR FINAL'!AG681</f>
        <v>0</v>
      </c>
      <c r="G678" s="77">
        <f>'ERROR FINAL'!AS681</f>
        <v>0</v>
      </c>
      <c r="H678" s="78" t="str">
        <f>IF('ERROR FINAL'!AT681="CONFORME","CONFORME","NO CONFORME")</f>
        <v>NO CONFORME</v>
      </c>
      <c r="I678" s="79" t="str">
        <f t="shared" si="10"/>
        <v>Medición</v>
      </c>
    </row>
    <row r="679" spans="1:9" x14ac:dyDescent="0.2">
      <c r="A679" s="72">
        <f>'ERROR FINAL'!A682</f>
        <v>0</v>
      </c>
      <c r="B679" s="73">
        <v>679</v>
      </c>
      <c r="C679" s="74">
        <f>'ERROR FINAL'!G682</f>
        <v>0</v>
      </c>
      <c r="D679" s="75">
        <f>'ERROR FINAL'!I682</f>
        <v>0</v>
      </c>
      <c r="E679" s="76">
        <f>'ERROR FINAL'!U682</f>
        <v>0</v>
      </c>
      <c r="F679" s="77">
        <f>'ERROR FINAL'!AG682</f>
        <v>0</v>
      </c>
      <c r="G679" s="77">
        <f>'ERROR FINAL'!AS682</f>
        <v>0</v>
      </c>
      <c r="H679" s="78" t="str">
        <f>IF('ERROR FINAL'!AT682="CONFORME","CONFORME","NO CONFORME")</f>
        <v>NO CONFORME</v>
      </c>
      <c r="I679" s="79" t="str">
        <f t="shared" si="10"/>
        <v>Medición</v>
      </c>
    </row>
    <row r="680" spans="1:9" x14ac:dyDescent="0.2">
      <c r="A680" s="72">
        <f>'ERROR FINAL'!A683</f>
        <v>0</v>
      </c>
      <c r="B680" s="73">
        <v>680</v>
      </c>
      <c r="C680" s="74">
        <f>'ERROR FINAL'!G683</f>
        <v>0</v>
      </c>
      <c r="D680" s="75">
        <f>'ERROR FINAL'!I683</f>
        <v>0</v>
      </c>
      <c r="E680" s="76">
        <f>'ERROR FINAL'!U683</f>
        <v>0</v>
      </c>
      <c r="F680" s="77">
        <f>'ERROR FINAL'!AG683</f>
        <v>0</v>
      </c>
      <c r="G680" s="77">
        <f>'ERROR FINAL'!AS683</f>
        <v>0</v>
      </c>
      <c r="H680" s="78" t="str">
        <f>IF('ERROR FINAL'!AT683="CONFORME","CONFORME","NO CONFORME")</f>
        <v>NO CONFORME</v>
      </c>
      <c r="I680" s="79" t="str">
        <f t="shared" si="10"/>
        <v>Medición</v>
      </c>
    </row>
    <row r="681" spans="1:9" x14ac:dyDescent="0.2">
      <c r="A681" s="72">
        <f>'ERROR FINAL'!A684</f>
        <v>0</v>
      </c>
      <c r="B681" s="73">
        <v>681</v>
      </c>
      <c r="C681" s="74">
        <f>'ERROR FINAL'!G684</f>
        <v>0</v>
      </c>
      <c r="D681" s="75">
        <f>'ERROR FINAL'!I684</f>
        <v>0</v>
      </c>
      <c r="E681" s="76">
        <f>'ERROR FINAL'!U684</f>
        <v>0</v>
      </c>
      <c r="F681" s="77">
        <f>'ERROR FINAL'!AG684</f>
        <v>0</v>
      </c>
      <c r="G681" s="77">
        <f>'ERROR FINAL'!AS684</f>
        <v>0</v>
      </c>
      <c r="H681" s="78" t="str">
        <f>IF('ERROR FINAL'!AT684="CONFORME","CONFORME","NO CONFORME")</f>
        <v>NO CONFORME</v>
      </c>
      <c r="I681" s="79" t="str">
        <f t="shared" si="10"/>
        <v>Medición</v>
      </c>
    </row>
    <row r="682" spans="1:9" x14ac:dyDescent="0.2">
      <c r="A682" s="72">
        <f>'ERROR FINAL'!A685</f>
        <v>0</v>
      </c>
      <c r="B682" s="73">
        <v>682</v>
      </c>
      <c r="C682" s="74">
        <f>'ERROR FINAL'!G685</f>
        <v>0</v>
      </c>
      <c r="D682" s="75">
        <f>'ERROR FINAL'!I685</f>
        <v>0</v>
      </c>
      <c r="E682" s="76">
        <f>'ERROR FINAL'!U685</f>
        <v>0</v>
      </c>
      <c r="F682" s="77">
        <f>'ERROR FINAL'!AG685</f>
        <v>0</v>
      </c>
      <c r="G682" s="77">
        <f>'ERROR FINAL'!AS685</f>
        <v>0</v>
      </c>
      <c r="H682" s="78" t="str">
        <f>IF('ERROR FINAL'!AT685="CONFORME","CONFORME","NO CONFORME")</f>
        <v>NO CONFORME</v>
      </c>
      <c r="I682" s="79" t="str">
        <f t="shared" si="10"/>
        <v>Medición</v>
      </c>
    </row>
    <row r="683" spans="1:9" x14ac:dyDescent="0.2">
      <c r="A683" s="72">
        <f>'ERROR FINAL'!A686</f>
        <v>0</v>
      </c>
      <c r="B683" s="73">
        <v>683</v>
      </c>
      <c r="C683" s="74">
        <f>'ERROR FINAL'!G686</f>
        <v>0</v>
      </c>
      <c r="D683" s="75">
        <f>'ERROR FINAL'!I686</f>
        <v>0</v>
      </c>
      <c r="E683" s="76">
        <f>'ERROR FINAL'!U686</f>
        <v>0</v>
      </c>
      <c r="F683" s="77">
        <f>'ERROR FINAL'!AG686</f>
        <v>0</v>
      </c>
      <c r="G683" s="77">
        <f>'ERROR FINAL'!AS686</f>
        <v>0</v>
      </c>
      <c r="H683" s="78" t="str">
        <f>IF('ERROR FINAL'!AT686="CONFORME","CONFORME","NO CONFORME")</f>
        <v>NO CONFORME</v>
      </c>
      <c r="I683" s="79" t="str">
        <f t="shared" si="10"/>
        <v>Medición</v>
      </c>
    </row>
    <row r="684" spans="1:9" x14ac:dyDescent="0.2">
      <c r="A684" s="72">
        <f>'ERROR FINAL'!A687</f>
        <v>0</v>
      </c>
      <c r="B684" s="73">
        <v>684</v>
      </c>
      <c r="C684" s="74">
        <f>'ERROR FINAL'!G687</f>
        <v>0</v>
      </c>
      <c r="D684" s="75">
        <f>'ERROR FINAL'!I687</f>
        <v>0</v>
      </c>
      <c r="E684" s="76">
        <f>'ERROR FINAL'!U687</f>
        <v>0</v>
      </c>
      <c r="F684" s="77">
        <f>'ERROR FINAL'!AG687</f>
        <v>0</v>
      </c>
      <c r="G684" s="77">
        <f>'ERROR FINAL'!AS687</f>
        <v>0</v>
      </c>
      <c r="H684" s="78" t="str">
        <f>IF('ERROR FINAL'!AT687="CONFORME","CONFORME","NO CONFORME")</f>
        <v>NO CONFORME</v>
      </c>
      <c r="I684" s="79" t="str">
        <f t="shared" si="10"/>
        <v>Medición</v>
      </c>
    </row>
    <row r="685" spans="1:9" x14ac:dyDescent="0.2">
      <c r="A685" s="72">
        <f>'ERROR FINAL'!A688</f>
        <v>0</v>
      </c>
      <c r="B685" s="73">
        <v>685</v>
      </c>
      <c r="C685" s="74">
        <f>'ERROR FINAL'!G688</f>
        <v>0</v>
      </c>
      <c r="D685" s="75">
        <f>'ERROR FINAL'!I688</f>
        <v>0</v>
      </c>
      <c r="E685" s="76">
        <f>'ERROR FINAL'!U688</f>
        <v>0</v>
      </c>
      <c r="F685" s="77">
        <f>'ERROR FINAL'!AG688</f>
        <v>0</v>
      </c>
      <c r="G685" s="77">
        <f>'ERROR FINAL'!AS688</f>
        <v>0</v>
      </c>
      <c r="H685" s="78" t="str">
        <f>IF('ERROR FINAL'!AT688="CONFORME","CONFORME","NO CONFORME")</f>
        <v>NO CONFORME</v>
      </c>
      <c r="I685" s="79" t="str">
        <f t="shared" si="10"/>
        <v>Medición</v>
      </c>
    </row>
    <row r="686" spans="1:9" x14ac:dyDescent="0.2">
      <c r="A686" s="72">
        <f>'ERROR FINAL'!A689</f>
        <v>0</v>
      </c>
      <c r="B686" s="73">
        <v>686</v>
      </c>
      <c r="C686" s="74">
        <f>'ERROR FINAL'!G689</f>
        <v>0</v>
      </c>
      <c r="D686" s="75">
        <f>'ERROR FINAL'!I689</f>
        <v>0</v>
      </c>
      <c r="E686" s="76">
        <f>'ERROR FINAL'!U689</f>
        <v>0</v>
      </c>
      <c r="F686" s="77">
        <f>'ERROR FINAL'!AG689</f>
        <v>0</v>
      </c>
      <c r="G686" s="77">
        <f>'ERROR FINAL'!AS689</f>
        <v>0</v>
      </c>
      <c r="H686" s="78" t="str">
        <f>IF('ERROR FINAL'!AT689="CONFORME","CONFORME","NO CONFORME")</f>
        <v>NO CONFORME</v>
      </c>
      <c r="I686" s="79" t="str">
        <f t="shared" si="10"/>
        <v>Medición</v>
      </c>
    </row>
    <row r="687" spans="1:9" x14ac:dyDescent="0.2">
      <c r="A687" s="72">
        <f>'ERROR FINAL'!A690</f>
        <v>0</v>
      </c>
      <c r="B687" s="73">
        <v>687</v>
      </c>
      <c r="C687" s="74">
        <f>'ERROR FINAL'!G690</f>
        <v>0</v>
      </c>
      <c r="D687" s="75">
        <f>'ERROR FINAL'!I690</f>
        <v>0</v>
      </c>
      <c r="E687" s="76">
        <f>'ERROR FINAL'!U690</f>
        <v>0</v>
      </c>
      <c r="F687" s="77">
        <f>'ERROR FINAL'!AG690</f>
        <v>0</v>
      </c>
      <c r="G687" s="77">
        <f>'ERROR FINAL'!AS690</f>
        <v>0</v>
      </c>
      <c r="H687" s="78" t="str">
        <f>IF('ERROR FINAL'!AT690="CONFORME","CONFORME","NO CONFORME")</f>
        <v>NO CONFORME</v>
      </c>
      <c r="I687" s="79" t="str">
        <f t="shared" si="10"/>
        <v>Medición</v>
      </c>
    </row>
    <row r="688" spans="1:9" x14ac:dyDescent="0.2">
      <c r="A688" s="72">
        <f>'ERROR FINAL'!A691</f>
        <v>0</v>
      </c>
      <c r="B688" s="73">
        <v>688</v>
      </c>
      <c r="C688" s="74">
        <f>'ERROR FINAL'!G691</f>
        <v>0</v>
      </c>
      <c r="D688" s="75">
        <f>'ERROR FINAL'!I691</f>
        <v>0</v>
      </c>
      <c r="E688" s="76">
        <f>'ERROR FINAL'!U691</f>
        <v>0</v>
      </c>
      <c r="F688" s="77">
        <f>'ERROR FINAL'!AG691</f>
        <v>0</v>
      </c>
      <c r="G688" s="77">
        <f>'ERROR FINAL'!AS691</f>
        <v>0</v>
      </c>
      <c r="H688" s="78" t="str">
        <f>IF('ERROR FINAL'!AT691="CONFORME","CONFORME","NO CONFORME")</f>
        <v>NO CONFORME</v>
      </c>
      <c r="I688" s="79" t="str">
        <f t="shared" si="10"/>
        <v>Medición</v>
      </c>
    </row>
    <row r="689" spans="1:9" x14ac:dyDescent="0.2">
      <c r="A689" s="72">
        <f>'ERROR FINAL'!A692</f>
        <v>0</v>
      </c>
      <c r="B689" s="73">
        <v>689</v>
      </c>
      <c r="C689" s="74">
        <f>'ERROR FINAL'!G692</f>
        <v>0</v>
      </c>
      <c r="D689" s="75">
        <f>'ERROR FINAL'!I692</f>
        <v>0</v>
      </c>
      <c r="E689" s="76">
        <f>'ERROR FINAL'!U692</f>
        <v>0</v>
      </c>
      <c r="F689" s="77">
        <f>'ERROR FINAL'!AG692</f>
        <v>0</v>
      </c>
      <c r="G689" s="77">
        <f>'ERROR FINAL'!AS692</f>
        <v>0</v>
      </c>
      <c r="H689" s="78" t="str">
        <f>IF('ERROR FINAL'!AT692="CONFORME","CONFORME","NO CONFORME")</f>
        <v>NO CONFORME</v>
      </c>
      <c r="I689" s="79" t="str">
        <f t="shared" si="10"/>
        <v>Medición</v>
      </c>
    </row>
    <row r="690" spans="1:9" x14ac:dyDescent="0.2">
      <c r="A690" s="72">
        <f>'ERROR FINAL'!A693</f>
        <v>0</v>
      </c>
      <c r="B690" s="73">
        <v>690</v>
      </c>
      <c r="C690" s="74">
        <f>'ERROR FINAL'!G693</f>
        <v>0</v>
      </c>
      <c r="D690" s="75">
        <f>'ERROR FINAL'!I693</f>
        <v>0</v>
      </c>
      <c r="E690" s="76">
        <f>'ERROR FINAL'!U693</f>
        <v>0</v>
      </c>
      <c r="F690" s="77">
        <f>'ERROR FINAL'!AG693</f>
        <v>0</v>
      </c>
      <c r="G690" s="77">
        <f>'ERROR FINAL'!AS693</f>
        <v>0</v>
      </c>
      <c r="H690" s="78" t="str">
        <f>IF('ERROR FINAL'!AT693="CONFORME","CONFORME","NO CONFORME")</f>
        <v>NO CONFORME</v>
      </c>
      <c r="I690" s="79" t="str">
        <f t="shared" si="10"/>
        <v>Medición</v>
      </c>
    </row>
    <row r="691" spans="1:9" x14ac:dyDescent="0.2">
      <c r="A691" s="72">
        <f>'ERROR FINAL'!A694</f>
        <v>0</v>
      </c>
      <c r="B691" s="73">
        <v>691</v>
      </c>
      <c r="C691" s="74">
        <f>'ERROR FINAL'!G694</f>
        <v>0</v>
      </c>
      <c r="D691" s="75">
        <f>'ERROR FINAL'!I694</f>
        <v>0</v>
      </c>
      <c r="E691" s="76">
        <f>'ERROR FINAL'!U694</f>
        <v>0</v>
      </c>
      <c r="F691" s="77">
        <f>'ERROR FINAL'!AG694</f>
        <v>0</v>
      </c>
      <c r="G691" s="77">
        <f>'ERROR FINAL'!AS694</f>
        <v>0</v>
      </c>
      <c r="H691" s="78" t="str">
        <f>IF('ERROR FINAL'!AT694="CONFORME","CONFORME","NO CONFORME")</f>
        <v>NO CONFORME</v>
      </c>
      <c r="I691" s="79" t="str">
        <f t="shared" si="10"/>
        <v>Medición</v>
      </c>
    </row>
    <row r="692" spans="1:9" x14ac:dyDescent="0.2">
      <c r="A692" s="72">
        <f>'ERROR FINAL'!A695</f>
        <v>0</v>
      </c>
      <c r="B692" s="73">
        <v>692</v>
      </c>
      <c r="C692" s="74">
        <f>'ERROR FINAL'!G695</f>
        <v>0</v>
      </c>
      <c r="D692" s="75">
        <f>'ERROR FINAL'!I695</f>
        <v>0</v>
      </c>
      <c r="E692" s="76">
        <f>'ERROR FINAL'!U695</f>
        <v>0</v>
      </c>
      <c r="F692" s="77">
        <f>'ERROR FINAL'!AG695</f>
        <v>0</v>
      </c>
      <c r="G692" s="77">
        <f>'ERROR FINAL'!AS695</f>
        <v>0</v>
      </c>
      <c r="H692" s="78" t="str">
        <f>IF('ERROR FINAL'!AT695="CONFORME","CONFORME","NO CONFORME")</f>
        <v>NO CONFORME</v>
      </c>
      <c r="I692" s="79" t="str">
        <f t="shared" si="10"/>
        <v>Medición</v>
      </c>
    </row>
    <row r="693" spans="1:9" x14ac:dyDescent="0.2">
      <c r="A693" s="72">
        <f>'ERROR FINAL'!A696</f>
        <v>0</v>
      </c>
      <c r="B693" s="73">
        <v>693</v>
      </c>
      <c r="C693" s="74">
        <f>'ERROR FINAL'!G696</f>
        <v>0</v>
      </c>
      <c r="D693" s="75">
        <f>'ERROR FINAL'!I696</f>
        <v>0</v>
      </c>
      <c r="E693" s="76">
        <f>'ERROR FINAL'!U696</f>
        <v>0</v>
      </c>
      <c r="F693" s="77">
        <f>'ERROR FINAL'!AG696</f>
        <v>0</v>
      </c>
      <c r="G693" s="77">
        <f>'ERROR FINAL'!AS696</f>
        <v>0</v>
      </c>
      <c r="H693" s="78" t="str">
        <f>IF('ERROR FINAL'!AT696="CONFORME","CONFORME","NO CONFORME")</f>
        <v>NO CONFORME</v>
      </c>
      <c r="I693" s="79" t="str">
        <f t="shared" si="10"/>
        <v>Medición</v>
      </c>
    </row>
    <row r="694" spans="1:9" x14ac:dyDescent="0.2">
      <c r="A694" s="72">
        <f>'ERROR FINAL'!A697</f>
        <v>0</v>
      </c>
      <c r="B694" s="73">
        <v>694</v>
      </c>
      <c r="C694" s="74">
        <f>'ERROR FINAL'!G697</f>
        <v>0</v>
      </c>
      <c r="D694" s="75">
        <f>'ERROR FINAL'!I697</f>
        <v>0</v>
      </c>
      <c r="E694" s="76">
        <f>'ERROR FINAL'!U697</f>
        <v>0</v>
      </c>
      <c r="F694" s="77">
        <f>'ERROR FINAL'!AG697</f>
        <v>0</v>
      </c>
      <c r="G694" s="77">
        <f>'ERROR FINAL'!AS697</f>
        <v>0</v>
      </c>
      <c r="H694" s="78" t="str">
        <f>IF('ERROR FINAL'!AT697="CONFORME","CONFORME","NO CONFORME")</f>
        <v>NO CONFORME</v>
      </c>
      <c r="I694" s="79" t="str">
        <f t="shared" si="10"/>
        <v>Medición</v>
      </c>
    </row>
    <row r="695" spans="1:9" x14ac:dyDescent="0.2">
      <c r="A695" s="72">
        <f>'ERROR FINAL'!A698</f>
        <v>0</v>
      </c>
      <c r="B695" s="73">
        <v>695</v>
      </c>
      <c r="C695" s="74">
        <f>'ERROR FINAL'!G698</f>
        <v>0</v>
      </c>
      <c r="D695" s="75">
        <f>'ERROR FINAL'!I698</f>
        <v>0</v>
      </c>
      <c r="E695" s="76">
        <f>'ERROR FINAL'!U698</f>
        <v>0</v>
      </c>
      <c r="F695" s="77">
        <f>'ERROR FINAL'!AG698</f>
        <v>0</v>
      </c>
      <c r="G695" s="77">
        <f>'ERROR FINAL'!AS698</f>
        <v>0</v>
      </c>
      <c r="H695" s="78" t="str">
        <f>IF('ERROR FINAL'!AT698="CONFORME","CONFORME","NO CONFORME")</f>
        <v>NO CONFORME</v>
      </c>
      <c r="I695" s="79" t="str">
        <f t="shared" si="10"/>
        <v>Medición</v>
      </c>
    </row>
    <row r="696" spans="1:9" x14ac:dyDescent="0.2">
      <c r="A696" s="72">
        <f>'ERROR FINAL'!A699</f>
        <v>0</v>
      </c>
      <c r="B696" s="73">
        <v>696</v>
      </c>
      <c r="C696" s="74">
        <f>'ERROR FINAL'!G699</f>
        <v>0</v>
      </c>
      <c r="D696" s="75">
        <f>'ERROR FINAL'!I699</f>
        <v>0</v>
      </c>
      <c r="E696" s="76">
        <f>'ERROR FINAL'!U699</f>
        <v>0</v>
      </c>
      <c r="F696" s="77">
        <f>'ERROR FINAL'!AG699</f>
        <v>0</v>
      </c>
      <c r="G696" s="77">
        <f>'ERROR FINAL'!AS699</f>
        <v>0</v>
      </c>
      <c r="H696" s="78" t="str">
        <f>IF('ERROR FINAL'!AT699="CONFORME","CONFORME","NO CONFORME")</f>
        <v>NO CONFORME</v>
      </c>
      <c r="I696" s="79" t="str">
        <f t="shared" si="10"/>
        <v>Medición</v>
      </c>
    </row>
    <row r="697" spans="1:9" x14ac:dyDescent="0.2">
      <c r="A697" s="72">
        <f>'ERROR FINAL'!A700</f>
        <v>0</v>
      </c>
      <c r="B697" s="73">
        <v>697</v>
      </c>
      <c r="C697" s="74">
        <f>'ERROR FINAL'!G700</f>
        <v>0</v>
      </c>
      <c r="D697" s="75">
        <f>'ERROR FINAL'!I700</f>
        <v>0</v>
      </c>
      <c r="E697" s="76">
        <f>'ERROR FINAL'!U700</f>
        <v>0</v>
      </c>
      <c r="F697" s="77">
        <f>'ERROR FINAL'!AG700</f>
        <v>0</v>
      </c>
      <c r="G697" s="77">
        <f>'ERROR FINAL'!AS700</f>
        <v>0</v>
      </c>
      <c r="H697" s="78" t="str">
        <f>IF('ERROR FINAL'!AT700="CONFORME","CONFORME","NO CONFORME")</f>
        <v>NO CONFORME</v>
      </c>
      <c r="I697" s="79" t="str">
        <f t="shared" si="10"/>
        <v>Medición</v>
      </c>
    </row>
    <row r="698" spans="1:9" x14ac:dyDescent="0.2">
      <c r="A698" s="72">
        <f>'ERROR FINAL'!A701</f>
        <v>0</v>
      </c>
      <c r="B698" s="73">
        <v>698</v>
      </c>
      <c r="C698" s="74">
        <f>'ERROR FINAL'!G701</f>
        <v>0</v>
      </c>
      <c r="D698" s="75">
        <f>'ERROR FINAL'!I701</f>
        <v>0</v>
      </c>
      <c r="E698" s="76">
        <f>'ERROR FINAL'!U701</f>
        <v>0</v>
      </c>
      <c r="F698" s="77">
        <f>'ERROR FINAL'!AG701</f>
        <v>0</v>
      </c>
      <c r="G698" s="77">
        <f>'ERROR FINAL'!AS701</f>
        <v>0</v>
      </c>
      <c r="H698" s="78" t="str">
        <f>IF('ERROR FINAL'!AT701="CONFORME","CONFORME","NO CONFORME")</f>
        <v>NO CONFORME</v>
      </c>
      <c r="I698" s="79" t="str">
        <f t="shared" si="10"/>
        <v>Medición</v>
      </c>
    </row>
    <row r="699" spans="1:9" x14ac:dyDescent="0.2">
      <c r="A699" s="72">
        <f>'ERROR FINAL'!A702</f>
        <v>0</v>
      </c>
      <c r="B699" s="73">
        <v>699</v>
      </c>
      <c r="C699" s="74">
        <f>'ERROR FINAL'!G702</f>
        <v>0</v>
      </c>
      <c r="D699" s="75">
        <f>'ERROR FINAL'!I702</f>
        <v>0</v>
      </c>
      <c r="E699" s="76">
        <f>'ERROR FINAL'!U702</f>
        <v>0</v>
      </c>
      <c r="F699" s="77">
        <f>'ERROR FINAL'!AG702</f>
        <v>0</v>
      </c>
      <c r="G699" s="77">
        <f>'ERROR FINAL'!AS702</f>
        <v>0</v>
      </c>
      <c r="H699" s="78" t="str">
        <f>IF('ERROR FINAL'!AT702="CONFORME","CONFORME","NO CONFORME")</f>
        <v>NO CONFORME</v>
      </c>
      <c r="I699" s="79" t="str">
        <f t="shared" si="10"/>
        <v>Medición</v>
      </c>
    </row>
    <row r="700" spans="1:9" x14ac:dyDescent="0.2">
      <c r="A700" s="72">
        <f>'ERROR FINAL'!A703</f>
        <v>0</v>
      </c>
      <c r="B700" s="73">
        <v>700</v>
      </c>
      <c r="C700" s="74">
        <f>'ERROR FINAL'!G703</f>
        <v>0</v>
      </c>
      <c r="D700" s="75">
        <f>'ERROR FINAL'!I703</f>
        <v>0</v>
      </c>
      <c r="E700" s="76">
        <f>'ERROR FINAL'!U703</f>
        <v>0</v>
      </c>
      <c r="F700" s="77">
        <f>'ERROR FINAL'!AG703</f>
        <v>0</v>
      </c>
      <c r="G700" s="77">
        <f>'ERROR FINAL'!AS703</f>
        <v>0</v>
      </c>
      <c r="H700" s="78" t="str">
        <f>IF('ERROR FINAL'!AT703="CONFORME","CONFORME","NO CONFORME")</f>
        <v>NO CONFORME</v>
      </c>
      <c r="I700" s="79" t="str">
        <f t="shared" si="10"/>
        <v>Medición</v>
      </c>
    </row>
    <row r="701" spans="1:9" x14ac:dyDescent="0.2">
      <c r="A701" s="72">
        <f>'ERROR FINAL'!A704</f>
        <v>0</v>
      </c>
      <c r="B701" s="73">
        <v>701</v>
      </c>
      <c r="C701" s="74">
        <f>'ERROR FINAL'!G704</f>
        <v>0</v>
      </c>
      <c r="D701" s="75">
        <f>'ERROR FINAL'!I704</f>
        <v>0</v>
      </c>
      <c r="E701" s="76">
        <f>'ERROR FINAL'!U704</f>
        <v>0</v>
      </c>
      <c r="F701" s="77">
        <f>'ERROR FINAL'!AG704</f>
        <v>0</v>
      </c>
      <c r="G701" s="77">
        <f>'ERROR FINAL'!AS704</f>
        <v>0</v>
      </c>
      <c r="H701" s="78" t="str">
        <f>IF('ERROR FINAL'!AT704="CONFORME","CONFORME","NO CONFORME")</f>
        <v>NO CONFORME</v>
      </c>
      <c r="I701" s="79" t="str">
        <f t="shared" si="10"/>
        <v>Medición</v>
      </c>
    </row>
    <row r="702" spans="1:9" x14ac:dyDescent="0.2">
      <c r="A702" s="72">
        <f>'ERROR FINAL'!A705</f>
        <v>0</v>
      </c>
      <c r="B702" s="73">
        <v>702</v>
      </c>
      <c r="C702" s="74">
        <f>'ERROR FINAL'!G705</f>
        <v>0</v>
      </c>
      <c r="D702" s="75">
        <f>'ERROR FINAL'!I705</f>
        <v>0</v>
      </c>
      <c r="E702" s="76">
        <f>'ERROR FINAL'!U705</f>
        <v>0</v>
      </c>
      <c r="F702" s="77">
        <f>'ERROR FINAL'!AG705</f>
        <v>0</v>
      </c>
      <c r="G702" s="77">
        <f>'ERROR FINAL'!AS705</f>
        <v>0</v>
      </c>
      <c r="H702" s="78" t="str">
        <f>IF('ERROR FINAL'!AT705="CONFORME","CONFORME","NO CONFORME")</f>
        <v>NO CONFORME</v>
      </c>
      <c r="I702" s="79" t="str">
        <f t="shared" si="10"/>
        <v>Medición</v>
      </c>
    </row>
    <row r="703" spans="1:9" x14ac:dyDescent="0.2">
      <c r="A703" s="72">
        <f>'ERROR FINAL'!A706</f>
        <v>0</v>
      </c>
      <c r="B703" s="73">
        <v>703</v>
      </c>
      <c r="C703" s="74">
        <f>'ERROR FINAL'!G706</f>
        <v>0</v>
      </c>
      <c r="D703" s="75">
        <f>'ERROR FINAL'!I706</f>
        <v>0</v>
      </c>
      <c r="E703" s="76">
        <f>'ERROR FINAL'!U706</f>
        <v>0</v>
      </c>
      <c r="F703" s="77">
        <f>'ERROR FINAL'!AG706</f>
        <v>0</v>
      </c>
      <c r="G703" s="77">
        <f>'ERROR FINAL'!AS706</f>
        <v>0</v>
      </c>
      <c r="H703" s="78" t="str">
        <f>IF('ERROR FINAL'!AT706="CONFORME","CONFORME","NO CONFORME")</f>
        <v>NO CONFORME</v>
      </c>
      <c r="I703" s="79" t="str">
        <f t="shared" si="10"/>
        <v>Medición</v>
      </c>
    </row>
    <row r="704" spans="1:9" x14ac:dyDescent="0.2">
      <c r="A704" s="72">
        <f>'ERROR FINAL'!A707</f>
        <v>0</v>
      </c>
      <c r="B704" s="73">
        <v>704</v>
      </c>
      <c r="C704" s="74">
        <f>'ERROR FINAL'!G707</f>
        <v>0</v>
      </c>
      <c r="D704" s="75">
        <f>'ERROR FINAL'!I707</f>
        <v>0</v>
      </c>
      <c r="E704" s="76">
        <f>'ERROR FINAL'!U707</f>
        <v>0</v>
      </c>
      <c r="F704" s="77">
        <f>'ERROR FINAL'!AG707</f>
        <v>0</v>
      </c>
      <c r="G704" s="77">
        <f>'ERROR FINAL'!AS707</f>
        <v>0</v>
      </c>
      <c r="H704" s="78" t="str">
        <f>IF('ERROR FINAL'!AT707="CONFORME","CONFORME","NO CONFORME")</f>
        <v>NO CONFORME</v>
      </c>
      <c r="I704" s="79" t="str">
        <f t="shared" si="10"/>
        <v>Medición</v>
      </c>
    </row>
    <row r="705" spans="1:9" x14ac:dyDescent="0.2">
      <c r="A705" s="72">
        <f>'ERROR FINAL'!A708</f>
        <v>0</v>
      </c>
      <c r="B705" s="73">
        <v>705</v>
      </c>
      <c r="C705" s="74">
        <f>'ERROR FINAL'!G708</f>
        <v>0</v>
      </c>
      <c r="D705" s="75">
        <f>'ERROR FINAL'!I708</f>
        <v>0</v>
      </c>
      <c r="E705" s="76">
        <f>'ERROR FINAL'!U708</f>
        <v>0</v>
      </c>
      <c r="F705" s="77">
        <f>'ERROR FINAL'!AG708</f>
        <v>0</v>
      </c>
      <c r="G705" s="77">
        <f>'ERROR FINAL'!AS708</f>
        <v>0</v>
      </c>
      <c r="H705" s="78" t="str">
        <f>IF('ERROR FINAL'!AT708="CONFORME","CONFORME","NO CONFORME")</f>
        <v>NO CONFORME</v>
      </c>
      <c r="I705" s="79" t="str">
        <f t="shared" si="10"/>
        <v>Medición</v>
      </c>
    </row>
    <row r="706" spans="1:9" x14ac:dyDescent="0.2">
      <c r="A706" s="72">
        <f>'ERROR FINAL'!A709</f>
        <v>0</v>
      </c>
      <c r="B706" s="73">
        <v>706</v>
      </c>
      <c r="C706" s="74">
        <f>'ERROR FINAL'!G709</f>
        <v>0</v>
      </c>
      <c r="D706" s="75">
        <f>'ERROR FINAL'!I709</f>
        <v>0</v>
      </c>
      <c r="E706" s="76">
        <f>'ERROR FINAL'!U709</f>
        <v>0</v>
      </c>
      <c r="F706" s="77">
        <f>'ERROR FINAL'!AG709</f>
        <v>0</v>
      </c>
      <c r="G706" s="77">
        <f>'ERROR FINAL'!AS709</f>
        <v>0</v>
      </c>
      <c r="H706" s="78" t="str">
        <f>IF('ERROR FINAL'!AT709="CONFORME","CONFORME","NO CONFORME")</f>
        <v>NO CONFORME</v>
      </c>
      <c r="I706" s="79" t="str">
        <f t="shared" si="10"/>
        <v>Medición</v>
      </c>
    </row>
    <row r="707" spans="1:9" x14ac:dyDescent="0.2">
      <c r="A707" s="72">
        <f>'ERROR FINAL'!A710</f>
        <v>0</v>
      </c>
      <c r="B707" s="73">
        <v>707</v>
      </c>
      <c r="C707" s="74">
        <f>'ERROR FINAL'!G710</f>
        <v>0</v>
      </c>
      <c r="D707" s="75">
        <f>'ERROR FINAL'!I710</f>
        <v>0</v>
      </c>
      <c r="E707" s="76">
        <f>'ERROR FINAL'!U710</f>
        <v>0</v>
      </c>
      <c r="F707" s="77">
        <f>'ERROR FINAL'!AG710</f>
        <v>0</v>
      </c>
      <c r="G707" s="77">
        <f>'ERROR FINAL'!AS710</f>
        <v>0</v>
      </c>
      <c r="H707" s="78" t="str">
        <f>IF('ERROR FINAL'!AT710="CONFORME","CONFORME","NO CONFORME")</f>
        <v>NO CONFORME</v>
      </c>
      <c r="I707" s="79" t="str">
        <f t="shared" si="10"/>
        <v>Medición</v>
      </c>
    </row>
    <row r="708" spans="1:9" x14ac:dyDescent="0.2">
      <c r="A708" s="72">
        <f>'ERROR FINAL'!A711</f>
        <v>0</v>
      </c>
      <c r="B708" s="73">
        <v>708</v>
      </c>
      <c r="C708" s="74">
        <f>'ERROR FINAL'!G711</f>
        <v>0</v>
      </c>
      <c r="D708" s="75">
        <f>'ERROR FINAL'!I711</f>
        <v>0</v>
      </c>
      <c r="E708" s="76">
        <f>'ERROR FINAL'!U711</f>
        <v>0</v>
      </c>
      <c r="F708" s="77">
        <f>'ERROR FINAL'!AG711</f>
        <v>0</v>
      </c>
      <c r="G708" s="77">
        <f>'ERROR FINAL'!AS711</f>
        <v>0</v>
      </c>
      <c r="H708" s="78" t="str">
        <f>IF('ERROR FINAL'!AT711="CONFORME","CONFORME","NO CONFORME")</f>
        <v>NO CONFORME</v>
      </c>
      <c r="I708" s="79" t="str">
        <f t="shared" si="10"/>
        <v>Medición</v>
      </c>
    </row>
    <row r="709" spans="1:9" x14ac:dyDescent="0.2">
      <c r="A709" s="72">
        <f>'ERROR FINAL'!A712</f>
        <v>0</v>
      </c>
      <c r="B709" s="73">
        <v>709</v>
      </c>
      <c r="C709" s="74">
        <f>'ERROR FINAL'!G712</f>
        <v>0</v>
      </c>
      <c r="D709" s="75">
        <f>'ERROR FINAL'!I712</f>
        <v>0</v>
      </c>
      <c r="E709" s="76">
        <f>'ERROR FINAL'!U712</f>
        <v>0</v>
      </c>
      <c r="F709" s="77">
        <f>'ERROR FINAL'!AG712</f>
        <v>0</v>
      </c>
      <c r="G709" s="77">
        <f>'ERROR FINAL'!AS712</f>
        <v>0</v>
      </c>
      <c r="H709" s="78" t="str">
        <f>IF('ERROR FINAL'!AT712="CONFORME","CONFORME","NO CONFORME")</f>
        <v>NO CONFORME</v>
      </c>
      <c r="I709" s="79" t="str">
        <f t="shared" si="10"/>
        <v>Medición</v>
      </c>
    </row>
    <row r="710" spans="1:9" x14ac:dyDescent="0.2">
      <c r="A710" s="72">
        <f>'ERROR FINAL'!A713</f>
        <v>0</v>
      </c>
      <c r="B710" s="73">
        <v>710</v>
      </c>
      <c r="C710" s="74">
        <f>'ERROR FINAL'!G713</f>
        <v>0</v>
      </c>
      <c r="D710" s="75">
        <f>'ERROR FINAL'!I713</f>
        <v>0</v>
      </c>
      <c r="E710" s="76">
        <f>'ERROR FINAL'!U713</f>
        <v>0</v>
      </c>
      <c r="F710" s="77">
        <f>'ERROR FINAL'!AG713</f>
        <v>0</v>
      </c>
      <c r="G710" s="77">
        <f>'ERROR FINAL'!AS713</f>
        <v>0</v>
      </c>
      <c r="H710" s="78" t="str">
        <f>IF('ERROR FINAL'!AT713="CONFORME","CONFORME","NO CONFORME")</f>
        <v>NO CONFORME</v>
      </c>
      <c r="I710" s="79" t="str">
        <f t="shared" si="10"/>
        <v>Medición</v>
      </c>
    </row>
    <row r="711" spans="1:9" x14ac:dyDescent="0.2">
      <c r="A711" s="72">
        <f>'ERROR FINAL'!A714</f>
        <v>0</v>
      </c>
      <c r="B711" s="73">
        <v>711</v>
      </c>
      <c r="C711" s="74">
        <f>'ERROR FINAL'!G714</f>
        <v>0</v>
      </c>
      <c r="D711" s="75">
        <f>'ERROR FINAL'!I714</f>
        <v>0</v>
      </c>
      <c r="E711" s="76">
        <f>'ERROR FINAL'!U714</f>
        <v>0</v>
      </c>
      <c r="F711" s="77">
        <f>'ERROR FINAL'!AG714</f>
        <v>0</v>
      </c>
      <c r="G711" s="77">
        <f>'ERROR FINAL'!AS714</f>
        <v>0</v>
      </c>
      <c r="H711" s="78" t="str">
        <f>IF('ERROR FINAL'!AT714="CONFORME","CONFORME","NO CONFORME")</f>
        <v>NO CONFORME</v>
      </c>
      <c r="I711" s="79" t="str">
        <f t="shared" ref="I711:I725" si="11">IF(D711=0,"Medición",IF(D711=1,"Daño físico",IF(D711=2,"Fuga",IF(D711=3,"Picado",IF(D711=4,"Desfasado",IF(D711=5,"Paralizado","¿?"))))))</f>
        <v>Medición</v>
      </c>
    </row>
    <row r="712" spans="1:9" x14ac:dyDescent="0.2">
      <c r="A712" s="72">
        <f>'ERROR FINAL'!A715</f>
        <v>0</v>
      </c>
      <c r="B712" s="73">
        <v>712</v>
      </c>
      <c r="C712" s="74">
        <f>'ERROR FINAL'!G715</f>
        <v>0</v>
      </c>
      <c r="D712" s="75">
        <f>'ERROR FINAL'!I715</f>
        <v>0</v>
      </c>
      <c r="E712" s="76">
        <f>'ERROR FINAL'!U715</f>
        <v>0</v>
      </c>
      <c r="F712" s="77">
        <f>'ERROR FINAL'!AG715</f>
        <v>0</v>
      </c>
      <c r="G712" s="77">
        <f>'ERROR FINAL'!AS715</f>
        <v>0</v>
      </c>
      <c r="H712" s="78" t="str">
        <f>IF('ERROR FINAL'!AT715="CONFORME","CONFORME","NO CONFORME")</f>
        <v>NO CONFORME</v>
      </c>
      <c r="I712" s="79" t="str">
        <f t="shared" si="11"/>
        <v>Medición</v>
      </c>
    </row>
    <row r="713" spans="1:9" x14ac:dyDescent="0.2">
      <c r="A713" s="72">
        <f>'ERROR FINAL'!A716</f>
        <v>0</v>
      </c>
      <c r="B713" s="73">
        <v>713</v>
      </c>
      <c r="C713" s="74">
        <f>'ERROR FINAL'!G716</f>
        <v>0</v>
      </c>
      <c r="D713" s="75">
        <f>'ERROR FINAL'!I716</f>
        <v>0</v>
      </c>
      <c r="E713" s="76">
        <f>'ERROR FINAL'!U716</f>
        <v>0</v>
      </c>
      <c r="F713" s="77">
        <f>'ERROR FINAL'!AG716</f>
        <v>0</v>
      </c>
      <c r="G713" s="77">
        <f>'ERROR FINAL'!AS716</f>
        <v>0</v>
      </c>
      <c r="H713" s="78" t="str">
        <f>IF('ERROR FINAL'!AT716="CONFORME","CONFORME","NO CONFORME")</f>
        <v>NO CONFORME</v>
      </c>
      <c r="I713" s="79" t="str">
        <f t="shared" si="11"/>
        <v>Medición</v>
      </c>
    </row>
    <row r="714" spans="1:9" x14ac:dyDescent="0.2">
      <c r="A714" s="72">
        <f>'ERROR FINAL'!A717</f>
        <v>0</v>
      </c>
      <c r="B714" s="73">
        <v>714</v>
      </c>
      <c r="C714" s="74">
        <f>'ERROR FINAL'!G717</f>
        <v>0</v>
      </c>
      <c r="D714" s="75">
        <f>'ERROR FINAL'!I717</f>
        <v>0</v>
      </c>
      <c r="E714" s="76">
        <f>'ERROR FINAL'!U717</f>
        <v>0</v>
      </c>
      <c r="F714" s="77">
        <f>'ERROR FINAL'!AG717</f>
        <v>0</v>
      </c>
      <c r="G714" s="77">
        <f>'ERROR FINAL'!AS717</f>
        <v>0</v>
      </c>
      <c r="H714" s="78" t="str">
        <f>IF('ERROR FINAL'!AT717="CONFORME","CONFORME","NO CONFORME")</f>
        <v>NO CONFORME</v>
      </c>
      <c r="I714" s="79" t="str">
        <f t="shared" si="11"/>
        <v>Medición</v>
      </c>
    </row>
    <row r="715" spans="1:9" x14ac:dyDescent="0.2">
      <c r="A715" s="72">
        <f>'ERROR FINAL'!A718</f>
        <v>0</v>
      </c>
      <c r="B715" s="73">
        <v>715</v>
      </c>
      <c r="C715" s="74">
        <f>'ERROR FINAL'!G718</f>
        <v>0</v>
      </c>
      <c r="D715" s="75">
        <f>'ERROR FINAL'!I718</f>
        <v>0</v>
      </c>
      <c r="E715" s="76">
        <f>'ERROR FINAL'!U718</f>
        <v>0</v>
      </c>
      <c r="F715" s="77">
        <f>'ERROR FINAL'!AG718</f>
        <v>0</v>
      </c>
      <c r="G715" s="77">
        <f>'ERROR FINAL'!AS718</f>
        <v>0</v>
      </c>
      <c r="H715" s="78" t="str">
        <f>IF('ERROR FINAL'!AT718="CONFORME","CONFORME","NO CONFORME")</f>
        <v>NO CONFORME</v>
      </c>
      <c r="I715" s="79" t="str">
        <f t="shared" si="11"/>
        <v>Medición</v>
      </c>
    </row>
    <row r="716" spans="1:9" x14ac:dyDescent="0.2">
      <c r="A716" s="72">
        <f>'ERROR FINAL'!A719</f>
        <v>0</v>
      </c>
      <c r="B716" s="73">
        <v>716</v>
      </c>
      <c r="C716" s="74">
        <f>'ERROR FINAL'!G719</f>
        <v>0</v>
      </c>
      <c r="D716" s="75">
        <f>'ERROR FINAL'!I719</f>
        <v>0</v>
      </c>
      <c r="E716" s="76">
        <f>'ERROR FINAL'!U719</f>
        <v>0</v>
      </c>
      <c r="F716" s="77">
        <f>'ERROR FINAL'!AG719</f>
        <v>0</v>
      </c>
      <c r="G716" s="77">
        <f>'ERROR FINAL'!AS719</f>
        <v>0</v>
      </c>
      <c r="H716" s="78" t="str">
        <f>IF('ERROR FINAL'!AT719="CONFORME","CONFORME","NO CONFORME")</f>
        <v>NO CONFORME</v>
      </c>
      <c r="I716" s="79" t="str">
        <f t="shared" si="11"/>
        <v>Medición</v>
      </c>
    </row>
    <row r="717" spans="1:9" x14ac:dyDescent="0.2">
      <c r="A717" s="72">
        <f>'ERROR FINAL'!A720</f>
        <v>0</v>
      </c>
      <c r="B717" s="73">
        <v>717</v>
      </c>
      <c r="C717" s="74">
        <f>'ERROR FINAL'!G720</f>
        <v>0</v>
      </c>
      <c r="D717" s="75">
        <f>'ERROR FINAL'!I720</f>
        <v>0</v>
      </c>
      <c r="E717" s="76">
        <f>'ERROR FINAL'!U720</f>
        <v>0</v>
      </c>
      <c r="F717" s="77">
        <f>'ERROR FINAL'!AG720</f>
        <v>0</v>
      </c>
      <c r="G717" s="77">
        <f>'ERROR FINAL'!AS720</f>
        <v>0</v>
      </c>
      <c r="H717" s="78" t="str">
        <f>IF('ERROR FINAL'!AT720="CONFORME","CONFORME","NO CONFORME")</f>
        <v>NO CONFORME</v>
      </c>
      <c r="I717" s="79" t="str">
        <f t="shared" si="11"/>
        <v>Medición</v>
      </c>
    </row>
    <row r="718" spans="1:9" x14ac:dyDescent="0.2">
      <c r="A718" s="72">
        <f>'ERROR FINAL'!A721</f>
        <v>0</v>
      </c>
      <c r="B718" s="73">
        <v>718</v>
      </c>
      <c r="C718" s="74">
        <f>'ERROR FINAL'!G721</f>
        <v>0</v>
      </c>
      <c r="D718" s="75">
        <f>'ERROR FINAL'!I721</f>
        <v>0</v>
      </c>
      <c r="E718" s="76">
        <f>'ERROR FINAL'!U721</f>
        <v>0</v>
      </c>
      <c r="F718" s="77">
        <f>'ERROR FINAL'!AG721</f>
        <v>0</v>
      </c>
      <c r="G718" s="77">
        <f>'ERROR FINAL'!AS721</f>
        <v>0</v>
      </c>
      <c r="H718" s="78" t="str">
        <f>IF('ERROR FINAL'!AT721="CONFORME","CONFORME","NO CONFORME")</f>
        <v>NO CONFORME</v>
      </c>
      <c r="I718" s="79" t="str">
        <f t="shared" si="11"/>
        <v>Medición</v>
      </c>
    </row>
    <row r="719" spans="1:9" x14ac:dyDescent="0.2">
      <c r="A719" s="72">
        <f>'ERROR FINAL'!A722</f>
        <v>0</v>
      </c>
      <c r="B719" s="73">
        <v>719</v>
      </c>
      <c r="C719" s="74">
        <f>'ERROR FINAL'!G722</f>
        <v>0</v>
      </c>
      <c r="D719" s="75">
        <f>'ERROR FINAL'!I722</f>
        <v>0</v>
      </c>
      <c r="E719" s="76">
        <f>'ERROR FINAL'!U722</f>
        <v>0</v>
      </c>
      <c r="F719" s="77">
        <f>'ERROR FINAL'!AG722</f>
        <v>0</v>
      </c>
      <c r="G719" s="77">
        <f>'ERROR FINAL'!AS722</f>
        <v>0</v>
      </c>
      <c r="H719" s="78" t="str">
        <f>IF('ERROR FINAL'!AT722="CONFORME","CONFORME","NO CONFORME")</f>
        <v>NO CONFORME</v>
      </c>
      <c r="I719" s="79" t="str">
        <f t="shared" si="11"/>
        <v>Medición</v>
      </c>
    </row>
    <row r="720" spans="1:9" x14ac:dyDescent="0.2">
      <c r="A720" s="72">
        <f>'ERROR FINAL'!A723</f>
        <v>0</v>
      </c>
      <c r="B720" s="73">
        <v>720</v>
      </c>
      <c r="C720" s="74">
        <f>'ERROR FINAL'!G723</f>
        <v>0</v>
      </c>
      <c r="D720" s="75">
        <f>'ERROR FINAL'!I723</f>
        <v>0</v>
      </c>
      <c r="E720" s="76">
        <f>'ERROR FINAL'!U723</f>
        <v>0</v>
      </c>
      <c r="F720" s="77">
        <f>'ERROR FINAL'!AG723</f>
        <v>0</v>
      </c>
      <c r="G720" s="77">
        <f>'ERROR FINAL'!AS723</f>
        <v>0</v>
      </c>
      <c r="H720" s="78" t="str">
        <f>IF('ERROR FINAL'!AT723="CONFORME","CONFORME","NO CONFORME")</f>
        <v>NO CONFORME</v>
      </c>
      <c r="I720" s="79" t="str">
        <f t="shared" si="11"/>
        <v>Medición</v>
      </c>
    </row>
    <row r="721" spans="1:9" x14ac:dyDescent="0.2">
      <c r="A721" s="72">
        <f>'ERROR FINAL'!A724</f>
        <v>0</v>
      </c>
      <c r="B721" s="73">
        <v>721</v>
      </c>
      <c r="C721" s="74">
        <f>'ERROR FINAL'!G724</f>
        <v>0</v>
      </c>
      <c r="D721" s="75">
        <f>'ERROR FINAL'!I724</f>
        <v>0</v>
      </c>
      <c r="E721" s="76">
        <f>'ERROR FINAL'!U724</f>
        <v>0</v>
      </c>
      <c r="F721" s="77">
        <f>'ERROR FINAL'!AG724</f>
        <v>0</v>
      </c>
      <c r="G721" s="77">
        <f>'ERROR FINAL'!AS724</f>
        <v>0</v>
      </c>
      <c r="H721" s="78" t="str">
        <f>IF('ERROR FINAL'!AT724="CONFORME","CONFORME","NO CONFORME")</f>
        <v>NO CONFORME</v>
      </c>
      <c r="I721" s="79" t="str">
        <f t="shared" si="11"/>
        <v>Medición</v>
      </c>
    </row>
    <row r="722" spans="1:9" x14ac:dyDescent="0.2">
      <c r="A722" s="72">
        <f>'ERROR FINAL'!A725</f>
        <v>0</v>
      </c>
      <c r="B722" s="73">
        <v>722</v>
      </c>
      <c r="C722" s="74">
        <f>'ERROR FINAL'!G725</f>
        <v>0</v>
      </c>
      <c r="D722" s="75">
        <f>'ERROR FINAL'!I725</f>
        <v>0</v>
      </c>
      <c r="E722" s="76">
        <f>'ERROR FINAL'!U725</f>
        <v>0</v>
      </c>
      <c r="F722" s="77">
        <f>'ERROR FINAL'!AG725</f>
        <v>0</v>
      </c>
      <c r="G722" s="77">
        <f>'ERROR FINAL'!AS725</f>
        <v>0</v>
      </c>
      <c r="H722" s="78" t="str">
        <f>IF('ERROR FINAL'!AT725="CONFORME","CONFORME","NO CONFORME")</f>
        <v>NO CONFORME</v>
      </c>
      <c r="I722" s="79" t="str">
        <f t="shared" si="11"/>
        <v>Medición</v>
      </c>
    </row>
    <row r="723" spans="1:9" x14ac:dyDescent="0.2">
      <c r="A723" s="72">
        <f>'ERROR FINAL'!A726</f>
        <v>0</v>
      </c>
      <c r="B723" s="73">
        <v>723</v>
      </c>
      <c r="C723" s="74">
        <f>'ERROR FINAL'!G726</f>
        <v>0</v>
      </c>
      <c r="D723" s="75">
        <f>'ERROR FINAL'!I726</f>
        <v>0</v>
      </c>
      <c r="E723" s="76">
        <f>'ERROR FINAL'!U726</f>
        <v>0</v>
      </c>
      <c r="F723" s="77">
        <f>'ERROR FINAL'!AG726</f>
        <v>0</v>
      </c>
      <c r="G723" s="77">
        <f>'ERROR FINAL'!AS726</f>
        <v>0</v>
      </c>
      <c r="H723" s="78" t="str">
        <f>IF('ERROR FINAL'!AT726="CONFORME","CONFORME","NO CONFORME")</f>
        <v>NO CONFORME</v>
      </c>
      <c r="I723" s="79" t="str">
        <f t="shared" si="11"/>
        <v>Medición</v>
      </c>
    </row>
    <row r="724" spans="1:9" x14ac:dyDescent="0.2">
      <c r="A724" s="72">
        <f>'ERROR FINAL'!A727</f>
        <v>0</v>
      </c>
      <c r="B724" s="73">
        <v>724</v>
      </c>
      <c r="C724" s="74">
        <f>'ERROR FINAL'!G727</f>
        <v>0</v>
      </c>
      <c r="D724" s="75">
        <f>'ERROR FINAL'!I727</f>
        <v>0</v>
      </c>
      <c r="E724" s="76">
        <f>'ERROR FINAL'!U727</f>
        <v>0</v>
      </c>
      <c r="F724" s="77">
        <f>'ERROR FINAL'!AG727</f>
        <v>0</v>
      </c>
      <c r="G724" s="77">
        <f>'ERROR FINAL'!AS727</f>
        <v>0</v>
      </c>
      <c r="H724" s="78" t="str">
        <f>IF('ERROR FINAL'!AT727="CONFORME","CONFORME","NO CONFORME")</f>
        <v>NO CONFORME</v>
      </c>
      <c r="I724" s="79" t="str">
        <f t="shared" si="11"/>
        <v>Medición</v>
      </c>
    </row>
    <row r="725" spans="1:9" x14ac:dyDescent="0.2">
      <c r="A725" s="72">
        <f>'ERROR FINAL'!A728</f>
        <v>0</v>
      </c>
      <c r="B725" s="73">
        <v>725</v>
      </c>
      <c r="C725" s="74">
        <f>'ERROR FINAL'!G728</f>
        <v>0</v>
      </c>
      <c r="D725" s="75">
        <f>'ERROR FINAL'!I728</f>
        <v>0</v>
      </c>
      <c r="E725" s="76">
        <f>'ERROR FINAL'!U728</f>
        <v>0</v>
      </c>
      <c r="F725" s="77">
        <f>'ERROR FINAL'!AG728</f>
        <v>0</v>
      </c>
      <c r="G725" s="77">
        <f>'ERROR FINAL'!AS728</f>
        <v>0</v>
      </c>
      <c r="H725" s="78" t="str">
        <f>IF('ERROR FINAL'!AT728="CONFORME","CONFORME","NO CONFORME")</f>
        <v>NO CONFORME</v>
      </c>
      <c r="I725" s="79" t="str">
        <f t="shared" si="11"/>
        <v>Medición</v>
      </c>
    </row>
  </sheetData>
  <autoFilter ref="A3:I5" xr:uid="{2E4A87AD-6BF5-4255-8BFF-0B5EEF8D310E}"/>
  <mergeCells count="10">
    <mergeCell ref="F3:F5"/>
    <mergeCell ref="G3:G5"/>
    <mergeCell ref="H3:H5"/>
    <mergeCell ref="I3:I5"/>
    <mergeCell ref="A1:B1"/>
    <mergeCell ref="A3:A5"/>
    <mergeCell ref="B3:B5"/>
    <mergeCell ref="C3:C5"/>
    <mergeCell ref="D3:D5"/>
    <mergeCell ref="E3:E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3A77-C57B-4A12-86E5-B60392B44B52}">
  <dimension ref="A1:I6"/>
  <sheetViews>
    <sheetView workbookViewId="0">
      <selection activeCell="L10" sqref="L10"/>
    </sheetView>
  </sheetViews>
  <sheetFormatPr baseColWidth="10" defaultRowHeight="12.75" x14ac:dyDescent="0.2"/>
  <cols>
    <col min="1" max="16384" width="11.42578125" style="58"/>
  </cols>
  <sheetData>
    <row r="1" spans="1:9" ht="20.25" x14ac:dyDescent="0.2">
      <c r="A1" s="161"/>
      <c r="B1" s="161"/>
      <c r="E1" s="58">
        <v>0</v>
      </c>
      <c r="F1" s="58">
        <v>0</v>
      </c>
    </row>
    <row r="2" spans="1:9" ht="13.5" thickBot="1" x14ac:dyDescent="0.25"/>
    <row r="3" spans="1:9" x14ac:dyDescent="0.2">
      <c r="A3" s="162" t="s">
        <v>17</v>
      </c>
      <c r="B3" s="164" t="s">
        <v>20</v>
      </c>
      <c r="C3" s="166" t="s">
        <v>23</v>
      </c>
      <c r="D3" s="168" t="s">
        <v>40</v>
      </c>
      <c r="E3" s="157" t="s">
        <v>41</v>
      </c>
      <c r="F3" s="157" t="s">
        <v>42</v>
      </c>
      <c r="G3" s="157" t="s">
        <v>43</v>
      </c>
      <c r="H3" s="159" t="s">
        <v>25</v>
      </c>
      <c r="I3" s="159" t="s">
        <v>44</v>
      </c>
    </row>
    <row r="4" spans="1:9" x14ac:dyDescent="0.2">
      <c r="A4" s="163"/>
      <c r="B4" s="165"/>
      <c r="C4" s="167"/>
      <c r="D4" s="169"/>
      <c r="E4" s="158"/>
      <c r="F4" s="158"/>
      <c r="G4" s="158"/>
      <c r="H4" s="160"/>
      <c r="I4" s="160"/>
    </row>
    <row r="5" spans="1:9" ht="13.5" thickBot="1" x14ac:dyDescent="0.25">
      <c r="A5" s="163"/>
      <c r="B5" s="165"/>
      <c r="C5" s="167"/>
      <c r="D5" s="169"/>
      <c r="E5" s="158"/>
      <c r="F5" s="158"/>
      <c r="G5" s="158"/>
      <c r="H5" s="160"/>
      <c r="I5" s="160"/>
    </row>
    <row r="6" spans="1:9" x14ac:dyDescent="0.2">
      <c r="A6" s="85"/>
      <c r="B6" s="80"/>
      <c r="C6" s="81"/>
      <c r="D6" s="82"/>
      <c r="E6" s="83"/>
      <c r="F6" s="86"/>
      <c r="G6" s="86"/>
      <c r="H6" s="84"/>
      <c r="I6" s="87"/>
    </row>
  </sheetData>
  <mergeCells count="10">
    <mergeCell ref="F3:F5"/>
    <mergeCell ref="G3:G5"/>
    <mergeCell ref="H3:H5"/>
    <mergeCell ref="I3:I5"/>
    <mergeCell ref="A1:B1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ERROR FINAL</vt:lpstr>
      <vt:lpstr>Hoja1</vt:lpstr>
      <vt:lpstr>Hoja2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medileser SAC</dc:creator>
  <cp:lastModifiedBy>medileser SAC</cp:lastModifiedBy>
  <dcterms:created xsi:type="dcterms:W3CDTF">2025-11-10T19:44:29Z</dcterms:created>
  <dcterms:modified xsi:type="dcterms:W3CDTF">2025-12-15T16:19:43Z</dcterms:modified>
</cp:coreProperties>
</file>