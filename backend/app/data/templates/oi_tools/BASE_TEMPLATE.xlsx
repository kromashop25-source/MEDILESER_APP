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OYECTO\FORMATO_A_C\project_formato_web_21_10_25\app\data\"/>
    </mc:Choice>
  </mc:AlternateContent>
  <xr:revisionPtr revIDLastSave="0" documentId="13_ncr:1_{975F1776-C72E-458D-9D64-5627AF6D2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ROR FINAL" sheetId="27" r:id="rId1"/>
  </sheets>
  <definedNames>
    <definedName name="_xlnm._FilterDatabase" localSheetId="0" hidden="1">'ERROR FINAL'!$A$8:$CQ$8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Q9" i="27" l="1"/>
  <c r="CP9" i="27"/>
  <c r="CO9" i="27"/>
  <c r="CN9" i="27"/>
  <c r="CM9" i="27"/>
  <c r="CL9" i="27"/>
  <c r="CK9" i="27"/>
  <c r="CJ9" i="27"/>
  <c r="CI9" i="27"/>
  <c r="CH9" i="27"/>
  <c r="CG9" i="27"/>
  <c r="CF9" i="27"/>
  <c r="CE9" i="27"/>
  <c r="CD9" i="27"/>
  <c r="CC9" i="27"/>
  <c r="CB9" i="27"/>
  <c r="CA9" i="27"/>
  <c r="BZ9" i="27"/>
  <c r="BY9" i="27"/>
  <c r="BX9" i="27"/>
  <c r="BW9" i="27"/>
  <c r="BV9" i="27"/>
  <c r="BU9" i="27"/>
  <c r="BT9" i="27"/>
  <c r="BS9" i="27"/>
  <c r="BL9" i="27"/>
  <c r="BK9" i="27"/>
  <c r="BJ9" i="27"/>
  <c r="BI9" i="27"/>
  <c r="BH9" i="27"/>
  <c r="BC9" i="27"/>
  <c r="BB9" i="27"/>
  <c r="BA9" i="27"/>
  <c r="AZ9" i="27"/>
  <c r="AY9" i="27"/>
  <c r="AW9" i="27"/>
  <c r="AV9" i="27"/>
  <c r="AU9" i="27"/>
  <c r="J6" i="27"/>
  <c r="BG9" i="27" s="1"/>
  <c r="BM9" i="27" l="1"/>
  <c r="BO9" i="27" s="1"/>
  <c r="BR9" i="27"/>
  <c r="AH6" i="27"/>
  <c r="BE9" i="27" s="1"/>
  <c r="BN9" i="27" l="1"/>
  <c r="BP9" i="27" s="1"/>
  <c r="BQ9" i="27" s="1"/>
  <c r="V6" i="27"/>
  <c r="BF9" i="27" s="1"/>
  <c r="BD9" i="27" s="1"/>
</calcChain>
</file>

<file path=xl/sharedStrings.xml><?xml version="1.0" encoding="utf-8"?>
<sst xmlns="http://schemas.openxmlformats.org/spreadsheetml/2006/main" count="110" uniqueCount="82">
  <si>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</si>
  <si>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</si>
  <si>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</si>
  <si>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</si>
  <si>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</si>
  <si>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</si>
  <si>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</si>
  <si>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</si>
  <si>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</si>
  <si>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</si>
  <si>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</si>
  <si>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</si>
  <si>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</si>
  <si>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</si>
  <si>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</si>
  <si>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</si>
  <si>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</si>
  <si>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</si>
  <si>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</si>
  <si>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</si>
  <si>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</si>
  <si>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</si>
  <si>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</si>
  <si>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</si>
  <si>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</si>
  <si>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</si>
  <si>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</si>
  <si>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</si>
  <si>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</si>
  <si>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</si>
  <si>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</si>
  <si>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N° Certificado (*)</t>
  </si>
  <si>
    <t>N° Serie</t>
  </si>
  <si>
    <t>Año fabricación</t>
  </si>
  <si>
    <t>Fecha de emisión certificado</t>
  </si>
  <si>
    <t>Conclusión de la Verificación</t>
  </si>
  <si>
    <t>Fecha del ensayo</t>
  </si>
  <si>
    <t>pe/ bar</t>
  </si>
  <si>
    <t>Conclusión</t>
  </si>
  <si>
    <t>tQ1
/ °C</t>
  </si>
  <si>
    <t>Q1 = Qmin
/ (L/h)</t>
  </si>
  <si>
    <t>pQ1=Qmin (entrada)
/ bar</t>
  </si>
  <si>
    <t>pQ1=Qmin (salida)
/ bar</t>
  </si>
  <si>
    <t>EQ1=Qmin
/ %</t>
  </si>
  <si>
    <t>tQ2
/ °C</t>
  </si>
  <si>
    <t>Q2 = Qt
/ (L/h)</t>
  </si>
  <si>
    <t>pQ2=Qt (entrada)
/ bar</t>
  </si>
  <si>
    <t>pQ2=Qt (salida)
/ bar</t>
  </si>
  <si>
    <t>EQ2=Qt
/ %</t>
  </si>
  <si>
    <t>tQ3
/ °C</t>
  </si>
  <si>
    <t>Q3 = Qp
/ (L/h)</t>
  </si>
  <si>
    <t>pQ3=Qp (entrada)
/ bar</t>
  </si>
  <si>
    <t>pQ3=Qp (salida)
/ bar</t>
  </si>
  <si>
    <t>EQ3=Qp
/ %</t>
  </si>
  <si>
    <t>ESTATICA</t>
  </si>
  <si>
    <t>ERRORES DE INDICACION</t>
  </si>
  <si>
    <t>LQ3Q2</t>
  </si>
  <si>
    <t>LQ2Q1</t>
  </si>
  <si>
    <t>Código: F05-GA-PR-01</t>
  </si>
  <si>
    <r>
      <rPr>
        <b/>
        <i/>
        <u/>
        <sz val="10"/>
        <rFont val="Arial"/>
        <family val="2"/>
      </rPr>
      <t>MAXIMO ERROR PERMISIBLE</t>
    </r>
    <r>
      <rPr>
        <b/>
        <sz val="10"/>
        <rFont val="Arial"/>
        <family val="2"/>
      </rPr>
      <t xml:space="preserve"> (PMA):</t>
    </r>
  </si>
  <si>
    <t>(-)</t>
  </si>
  <si>
    <t>Q3/Q1</t>
  </si>
  <si>
    <t>Q3 (m3/h):</t>
  </si>
  <si>
    <r>
      <t xml:space="preserve">Presión Estática    0=conforme; 1 = Daño Físico;   2 = Fuga </t>
    </r>
    <r>
      <rPr>
        <b/>
        <i/>
        <u/>
        <sz val="10"/>
        <rFont val="Arial"/>
        <family val="2"/>
      </rPr>
      <t>(-)</t>
    </r>
    <r>
      <rPr>
        <b/>
        <sz val="10"/>
        <rFont val="Arial"/>
        <family val="2"/>
      </rPr>
      <t xml:space="preserve"> ;  3 = Picado</t>
    </r>
    <r>
      <rPr>
        <b/>
        <u/>
        <sz val="10"/>
        <rFont val="Arial"/>
        <family val="2"/>
      </rPr>
      <t>;</t>
    </r>
    <r>
      <rPr>
        <b/>
        <i/>
        <u/>
        <sz val="10"/>
        <rFont val="Arial"/>
        <family val="2"/>
      </rPr>
      <t xml:space="preserve"> 4 = Desfasado; 5 = Paralizado</t>
    </r>
  </si>
  <si>
    <t>Versión: 07</t>
  </si>
  <si>
    <t>Fecha de Vigencia:  2023-04-19</t>
  </si>
  <si>
    <t>Presion en Q3</t>
  </si>
  <si>
    <t>Presion en Q2</t>
  </si>
  <si>
    <t>Presion en Q1</t>
  </si>
  <si>
    <t>VI-142068-2025</t>
  </si>
  <si>
    <t>QB25009850</t>
  </si>
  <si>
    <t>1,34,050</t>
  </si>
  <si>
    <t>1</t>
  </si>
  <si>
    <t>34,050</t>
  </si>
  <si>
    <t>14,02,190</t>
  </si>
  <si>
    <t>14</t>
  </si>
  <si>
    <t>02,190</t>
  </si>
  <si>
    <t>11,19,280</t>
  </si>
  <si>
    <t>11</t>
  </si>
  <si>
    <t>19,280</t>
  </si>
  <si>
    <t>CONFORME</t>
  </si>
  <si>
    <t>OI-0534-2016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</si>
</sst>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0000"/>
    <numFmt numFmtId="166" formatCode="0.0"/>
    <numFmt numFmtId="167" formatCode="yyyy\-mm\-dd"/>
    <numFmt numFmtId="168" formatCode="#,##0.0"/>
    <numFmt numFmtId="169" formatCode="h:mm:ss;@"/>
    <numFmt numFmtId="170" formatCode="#,##0.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FFCC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5">
    <xf numFmtId="0" fontId="0" fillId="0" borderId="0"/>
    <xf numFmtId="0" fontId="18" fillId="0" borderId="0"/>
    <xf numFmtId="0" fontId="14" fillId="0" borderId="0"/>
    <xf numFmtId="0" fontId="15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164" fontId="15" fillId="0" borderId="0" applyFont="0" applyFill="0" applyBorder="0" applyAlignment="0" applyProtection="0"/>
    <xf numFmtId="0" fontId="11" fillId="0" borderId="0"/>
    <xf numFmtId="0" fontId="11" fillId="0" borderId="0"/>
    <xf numFmtId="164" fontId="15" fillId="0" borderId="0" applyFont="0" applyFill="0" applyBorder="0" applyAlignment="0" applyProtection="0"/>
    <xf numFmtId="0" fontId="11" fillId="0" borderId="0"/>
    <xf numFmtId="0" fontId="11" fillId="0" borderId="0"/>
    <xf numFmtId="164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2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14" fillId="0" borderId="0" xfId="2"/>
    <xf numFmtId="0" fontId="15" fillId="0" borderId="0" xfId="2" applyFont="1" applyAlignment="1">
      <alignment horizontal="left" vertical="center"/>
    </xf>
    <xf numFmtId="0" fontId="15" fillId="0" borderId="0" xfId="2" applyFont="1" applyAlignment="1">
      <alignment shrinkToFit="1"/>
    </xf>
    <xf numFmtId="0" fontId="16" fillId="0" borderId="0" xfId="2" applyFont="1" applyAlignment="1">
      <alignment textRotation="90" shrinkToFit="1"/>
    </xf>
    <xf numFmtId="0" fontId="15" fillId="0" borderId="0" xfId="4" applyFont="1" applyAlignment="1">
      <alignment horizontal="center" shrinkToFit="1"/>
    </xf>
    <xf numFmtId="0" fontId="17" fillId="0" borderId="0" xfId="4" applyFont="1" applyAlignment="1">
      <alignment shrinkToFit="1"/>
    </xf>
    <xf numFmtId="165" fontId="16" fillId="3" borderId="34" xfId="4" applyNumberFormat="1" applyFont="1" applyFill="1" applyBorder="1" applyAlignment="1">
      <alignment horizontal="center" vertical="center" textRotation="90" shrinkToFit="1"/>
    </xf>
    <xf numFmtId="165" fontId="16" fillId="3" borderId="31" xfId="4" applyNumberFormat="1" applyFont="1" applyFill="1" applyBorder="1" applyAlignment="1">
      <alignment horizontal="center" vertical="center" shrinkToFit="1"/>
    </xf>
    <xf numFmtId="0" fontId="15" fillId="0" borderId="0" xfId="2" applyFont="1" applyAlignment="1">
      <alignment horizontal="center" shrinkToFit="1"/>
    </xf>
    <xf numFmtId="1" fontId="15" fillId="0" borderId="0" xfId="2" applyNumberFormat="1" applyFont="1" applyAlignment="1">
      <alignment vertical="center" shrinkToFit="1"/>
    </xf>
    <xf numFmtId="1" fontId="15" fillId="0" borderId="0" xfId="2" applyNumberFormat="1" applyFont="1" applyAlignment="1">
      <alignment shrinkToFit="1"/>
    </xf>
    <xf numFmtId="165" fontId="15" fillId="0" borderId="0" xfId="2" applyNumberFormat="1" applyFont="1" applyAlignment="1">
      <alignment shrinkToFit="1"/>
    </xf>
    <xf numFmtId="4" fontId="15" fillId="0" borderId="0" xfId="2" applyNumberFormat="1" applyFont="1" applyAlignment="1">
      <alignment shrinkToFit="1"/>
    </xf>
    <xf numFmtId="2" fontId="15" fillId="0" borderId="0" xfId="2" applyNumberFormat="1" applyFont="1" applyAlignment="1">
      <alignment shrinkToFit="1"/>
    </xf>
    <xf numFmtId="0" fontId="17" fillId="0" borderId="0" xfId="2" applyFont="1" applyAlignment="1">
      <alignment shrinkToFit="1"/>
    </xf>
    <xf numFmtId="0" fontId="15" fillId="0" borderId="0" xfId="4" applyFont="1" applyAlignment="1">
      <alignment shrinkToFit="1"/>
    </xf>
    <xf numFmtId="0" fontId="13" fillId="0" borderId="0" xfId="4" applyAlignment="1">
      <alignment horizontal="center"/>
    </xf>
    <xf numFmtId="0" fontId="14" fillId="0" borderId="0" xfId="2" applyAlignment="1">
      <alignment horizontal="center"/>
    </xf>
    <xf numFmtId="166" fontId="15" fillId="0" borderId="0" xfId="2" applyNumberFormat="1" applyFont="1" applyAlignment="1">
      <alignment horizontal="center" shrinkToFit="1"/>
    </xf>
    <xf numFmtId="4" fontId="15" fillId="0" borderId="0" xfId="2" applyNumberFormat="1" applyFont="1" applyAlignment="1">
      <alignment horizontal="center" shrinkToFit="1"/>
    </xf>
    <xf numFmtId="0" fontId="26" fillId="0" borderId="17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165" fontId="16" fillId="6" borderId="31" xfId="4" applyNumberFormat="1" applyFont="1" applyFill="1" applyBorder="1" applyAlignment="1">
      <alignment horizontal="center" vertical="center" shrinkToFit="1"/>
    </xf>
    <xf numFmtId="165" fontId="16" fillId="3" borderId="41" xfId="4" applyNumberFormat="1" applyFont="1" applyFill="1" applyBorder="1" applyAlignment="1">
      <alignment horizontal="center" vertical="center" textRotation="90" shrinkToFit="1"/>
    </xf>
    <xf numFmtId="165" fontId="16" fillId="6" borderId="35" xfId="4" applyNumberFormat="1" applyFont="1" applyFill="1" applyBorder="1" applyAlignment="1">
      <alignment horizontal="center" vertical="center" shrinkToFit="1"/>
    </xf>
    <xf numFmtId="165" fontId="16" fillId="3" borderId="41" xfId="4" applyNumberFormat="1" applyFont="1" applyFill="1" applyBorder="1" applyAlignment="1">
      <alignment vertical="center" textRotation="90" shrinkToFit="1"/>
    </xf>
    <xf numFmtId="165" fontId="16" fillId="3" borderId="35" xfId="4" applyNumberFormat="1" applyFont="1" applyFill="1" applyBorder="1" applyAlignment="1">
      <alignment vertical="center" textRotation="90" shrinkToFit="1"/>
    </xf>
    <xf numFmtId="0" fontId="23" fillId="0" borderId="0" xfId="7" applyFont="1" applyAlignment="1">
      <alignment horizontal="center" vertical="center" wrapText="1"/>
    </xf>
    <xf numFmtId="165" fontId="16" fillId="2" borderId="0" xfId="4" applyNumberFormat="1" applyFont="1" applyFill="1" applyAlignment="1">
      <alignment horizontal="center" vertical="center" wrapText="1" shrinkToFit="1"/>
    </xf>
    <xf numFmtId="165" fontId="16" fillId="3" borderId="31" xfId="4" applyNumberFormat="1" applyFont="1" applyFill="1" applyBorder="1" applyAlignment="1">
      <alignment horizontal="center" vertical="center" textRotation="90" shrinkToFit="1"/>
    </xf>
    <xf numFmtId="0" fontId="13" fillId="0" borderId="17" xfId="4" applyBorder="1" applyAlignment="1">
      <alignment vertical="center"/>
    </xf>
    <xf numFmtId="0" fontId="13" fillId="0" borderId="10" xfId="4" applyBorder="1" applyAlignment="1">
      <alignment vertical="center"/>
    </xf>
    <xf numFmtId="0" fontId="13" fillId="0" borderId="18" xfId="4" applyBorder="1" applyAlignment="1">
      <alignment vertical="center"/>
    </xf>
    <xf numFmtId="0" fontId="13" fillId="0" borderId="20" xfId="4" applyBorder="1" applyAlignment="1">
      <alignment vertical="center"/>
    </xf>
    <xf numFmtId="0" fontId="13" fillId="0" borderId="0" xfId="4" applyAlignment="1">
      <alignment vertical="center"/>
    </xf>
    <xf numFmtId="0" fontId="13" fillId="0" borderId="19" xfId="4" applyBorder="1" applyAlignment="1">
      <alignment vertical="center"/>
    </xf>
    <xf numFmtId="0" fontId="13" fillId="0" borderId="21" xfId="4" applyBorder="1" applyAlignment="1">
      <alignment vertical="center"/>
    </xf>
    <xf numFmtId="0" fontId="13" fillId="0" borderId="16" xfId="4" applyBorder="1" applyAlignment="1">
      <alignment vertical="center"/>
    </xf>
    <xf numFmtId="0" fontId="13" fillId="0" borderId="22" xfId="4" applyBorder="1" applyAlignment="1">
      <alignment vertical="center"/>
    </xf>
    <xf numFmtId="165" fontId="16" fillId="8" borderId="23" xfId="4" applyNumberFormat="1" applyFont="1" applyFill="1" applyBorder="1" applyAlignment="1">
      <alignment horizontal="center" vertical="center" shrinkToFit="1"/>
    </xf>
    <xf numFmtId="0" fontId="16" fillId="8" borderId="23" xfId="4" applyFont="1" applyFill="1" applyBorder="1" applyAlignment="1">
      <alignment horizontal="center" shrinkToFit="1"/>
    </xf>
    <xf numFmtId="0" fontId="13" fillId="0" borderId="0" xfId="4"/>
    <xf numFmtId="0" fontId="12" fillId="0" borderId="0" xfId="4" applyFont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23" fillId="0" borderId="0" xfId="7" applyFont="1" applyAlignment="1">
      <alignment vertic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vertical="center" wrapText="1"/>
    </xf>
    <xf numFmtId="0" fontId="25" fillId="0" borderId="0" xfId="4" applyFont="1" applyAlignment="1">
      <alignment shrinkToFit="1"/>
    </xf>
    <xf numFmtId="0" fontId="27" fillId="7" borderId="15" xfId="0" applyFont="1" applyFill="1" applyBorder="1" applyAlignment="1">
      <alignment horizontal="center" vertical="center"/>
    </xf>
    <xf numFmtId="0" fontId="13" fillId="0" borderId="37" xfId="4" applyBorder="1" applyAlignment="1">
      <alignment horizontal="center"/>
    </xf>
    <xf numFmtId="0" fontId="13" fillId="0" borderId="38" xfId="4" applyBorder="1" applyAlignment="1">
      <alignment horizontal="center"/>
    </xf>
    <xf numFmtId="166" fontId="13" fillId="0" borderId="38" xfId="4" applyNumberFormat="1" applyBorder="1" applyAlignment="1">
      <alignment horizontal="center"/>
    </xf>
    <xf numFmtId="0" fontId="26" fillId="0" borderId="20" xfId="2" applyFont="1" applyBorder="1" applyAlignment="1">
      <alignment horizontal="center" shrinkToFit="1"/>
    </xf>
    <xf numFmtId="0" fontId="26" fillId="0" borderId="21" xfId="2" applyFont="1" applyBorder="1" applyAlignment="1">
      <alignment horizontal="center" shrinkToFit="1"/>
    </xf>
    <xf numFmtId="0" fontId="13" fillId="0" borderId="36" xfId="4" applyBorder="1" applyAlignment="1">
      <alignment horizontal="center"/>
    </xf>
    <xf numFmtId="0" fontId="31" fillId="0" borderId="0" xfId="2" applyFont="1" applyAlignment="1">
      <alignment horizontal="left" vertical="center"/>
    </xf>
    <xf numFmtId="0" fontId="15" fillId="0" borderId="19" xfId="2" applyFont="1" applyBorder="1" applyAlignment="1">
      <alignment horizontal="left" vertical="center"/>
    </xf>
    <xf numFmtId="0" fontId="15" fillId="0" borderId="16" xfId="2" applyFont="1" applyBorder="1" applyAlignment="1">
      <alignment horizontal="left" vertical="center"/>
    </xf>
    <xf numFmtId="0" fontId="15" fillId="0" borderId="22" xfId="2" applyFont="1" applyBorder="1" applyAlignment="1">
      <alignment horizontal="left" vertical="center"/>
    </xf>
    <xf numFmtId="0" fontId="15" fillId="0" borderId="0" xfId="4" applyFont="1" applyAlignment="1">
      <alignment horizontal="center" vertical="center" shrinkToFit="1"/>
    </xf>
    <xf numFmtId="0" fontId="15" fillId="0" borderId="0" xfId="4" applyFont="1" applyAlignment="1">
      <alignment horizontal="center" vertical="center" wrapText="1" shrinkToFit="1"/>
    </xf>
    <xf numFmtId="165" fontId="16" fillId="0" borderId="6" xfId="2" applyNumberFormat="1" applyFont="1" applyBorder="1" applyAlignment="1">
      <alignment horizontal="center" shrinkToFit="1"/>
    </xf>
    <xf numFmtId="0" fontId="15" fillId="0" borderId="1" xfId="4" applyFont="1" applyBorder="1" applyAlignment="1">
      <alignment horizontal="center" shrinkToFit="1"/>
    </xf>
    <xf numFmtId="0" fontId="15" fillId="0" borderId="4" xfId="2" applyFont="1" applyBorder="1" applyAlignment="1">
      <alignment horizontal="center" shrinkToFit="1"/>
    </xf>
    <xf numFmtId="0" fontId="15" fillId="0" borderId="1" xfId="2" applyFont="1" applyBorder="1" applyAlignment="1">
      <alignment horizontal="center" shrinkToFit="1"/>
    </xf>
    <xf numFmtId="1" fontId="15" fillId="9" borderId="3" xfId="2" applyNumberFormat="1" applyFont="1" applyFill="1" applyBorder="1" applyAlignment="1">
      <alignment horizontal="center" shrinkToFit="1"/>
    </xf>
    <xf numFmtId="167" fontId="15" fillId="10" borderId="7" xfId="2" applyNumberFormat="1" applyFont="1" applyFill="1" applyBorder="1" applyAlignment="1">
      <alignment horizontal="center" shrinkToFit="1"/>
    </xf>
    <xf numFmtId="167" fontId="15" fillId="10" borderId="6" xfId="2" applyNumberFormat="1" applyFont="1" applyFill="1" applyBorder="1" applyAlignment="1">
      <alignment horizontal="center" shrinkToFit="1"/>
    </xf>
    <xf numFmtId="1" fontId="15" fillId="10" borderId="6" xfId="4" applyNumberFormat="1" applyFont="1" applyFill="1" applyBorder="1" applyAlignment="1">
      <alignment horizontal="center" vertical="center" shrinkToFit="1"/>
    </xf>
    <xf numFmtId="1" fontId="15" fillId="9" borderId="6" xfId="2" applyNumberFormat="1" applyFont="1" applyFill="1" applyBorder="1" applyAlignment="1">
      <alignment horizontal="center" shrinkToFit="1"/>
    </xf>
    <xf numFmtId="0" fontId="0" fillId="10" borderId="6" xfId="0" applyFill="1" applyBorder="1" applyAlignment="1">
      <alignment horizontal="center"/>
    </xf>
    <xf numFmtId="166" fontId="33" fillId="9" borderId="6" xfId="2" applyNumberFormat="1" applyFont="1" applyFill="1" applyBorder="1" applyAlignment="1">
      <alignment horizontal="center" shrinkToFit="1"/>
    </xf>
    <xf numFmtId="1" fontId="33" fillId="9" borderId="6" xfId="2" applyNumberFormat="1" applyFont="1" applyFill="1" applyBorder="1" applyAlignment="1">
      <alignment horizontal="center" shrinkToFit="1"/>
    </xf>
    <xf numFmtId="168" fontId="33" fillId="9" borderId="6" xfId="2" applyNumberFormat="1" applyFont="1" applyFill="1" applyBorder="1" applyAlignment="1">
      <alignment horizontal="center" shrinkToFit="1"/>
    </xf>
    <xf numFmtId="170" fontId="33" fillId="9" borderId="6" xfId="2" applyNumberFormat="1" applyFont="1" applyFill="1" applyBorder="1" applyAlignment="1">
      <alignment horizontal="center" shrinkToFit="1"/>
    </xf>
    <xf numFmtId="4" fontId="15" fillId="9" borderId="6" xfId="3" applyNumberFormat="1" applyFill="1" applyBorder="1" applyAlignment="1">
      <alignment horizontal="center" shrinkToFit="1"/>
    </xf>
    <xf numFmtId="4" fontId="15" fillId="9" borderId="6" xfId="2" applyNumberFormat="1" applyFont="1" applyFill="1" applyBorder="1" applyAlignment="1">
      <alignment horizontal="center" shrinkToFit="1"/>
    </xf>
    <xf numFmtId="169" fontId="15" fillId="11" borderId="6" xfId="2" applyNumberFormat="1" applyFont="1" applyFill="1" applyBorder="1" applyAlignment="1">
      <alignment horizontal="center" shrinkToFit="1"/>
    </xf>
    <xf numFmtId="4" fontId="15" fillId="12" borderId="1" xfId="2" applyNumberFormat="1" applyFont="1" applyFill="1" applyBorder="1" applyAlignment="1">
      <alignment horizontal="center" shrinkToFit="1"/>
    </xf>
    <xf numFmtId="4" fontId="15" fillId="13" borderId="1" xfId="2" applyNumberFormat="1" applyFont="1" applyFill="1" applyBorder="1" applyAlignment="1">
      <alignment horizontal="center" shrinkToFit="1"/>
    </xf>
    <xf numFmtId="166" fontId="15" fillId="14" borderId="1" xfId="2" applyNumberFormat="1" applyFont="1" applyFill="1" applyBorder="1" applyAlignment="1">
      <alignment horizontal="center" shrinkToFit="1"/>
    </xf>
    <xf numFmtId="170" fontId="34" fillId="9" borderId="6" xfId="2" applyNumberFormat="1" applyFont="1" applyFill="1" applyBorder="1" applyAlignment="1">
      <alignment horizontal="center" shrinkToFit="1"/>
    </xf>
    <xf numFmtId="170" fontId="34" fillId="11" borderId="6" xfId="2" applyNumberFormat="1" applyFont="1" applyFill="1" applyBorder="1" applyAlignment="1">
      <alignment horizontal="center" shrinkToFit="1"/>
    </xf>
    <xf numFmtId="168" fontId="35" fillId="14" borderId="1" xfId="2" applyNumberFormat="1" applyFont="1" applyFill="1" applyBorder="1" applyAlignment="1">
      <alignment horizontal="center" vertical="center" shrinkToFit="1"/>
    </xf>
    <xf numFmtId="170" fontId="15" fillId="9" borderId="6" xfId="2" applyNumberFormat="1" applyFont="1" applyFill="1" applyBorder="1" applyAlignment="1">
      <alignment horizontal="center" shrinkToFit="1"/>
    </xf>
    <xf numFmtId="0" fontId="15" fillId="0" borderId="0" xfId="19" applyFont="1" applyAlignment="1">
      <alignment horizontal="center" shrinkToFit="1"/>
    </xf>
    <xf numFmtId="0" fontId="17" fillId="15" borderId="47" xfId="3" applyFont="1" applyFill="1" applyBorder="1" applyAlignment="1">
      <alignment horizontal="center" vertical="center" shrinkToFit="1"/>
    </xf>
    <xf numFmtId="0" fontId="36" fillId="15" borderId="47" xfId="3" applyFont="1" applyFill="1" applyBorder="1" applyAlignment="1">
      <alignment horizontal="center" vertical="center" shrinkToFit="1"/>
    </xf>
    <xf numFmtId="0" fontId="15" fillId="0" borderId="23" xfId="4" applyFont="1" applyBorder="1" applyAlignment="1">
      <alignment horizontal="center" shrinkToFit="1"/>
    </xf>
    <xf numFmtId="165" fontId="15" fillId="0" borderId="0" xfId="4" applyNumberFormat="1" applyFont="1" applyAlignment="1">
      <alignment horizontal="center" shrinkToFit="1"/>
    </xf>
    <xf numFmtId="167" fontId="15" fillId="0" borderId="0" xfId="4" applyNumberFormat="1" applyFont="1" applyAlignment="1">
      <alignment horizontal="center" shrinkToFit="1"/>
    </xf>
    <xf numFmtId="1" fontId="15" fillId="0" borderId="0" xfId="4" applyNumberFormat="1" applyFont="1" applyAlignment="1">
      <alignment horizontal="center" shrinkToFit="1"/>
    </xf>
    <xf numFmtId="168" fontId="15" fillId="0" borderId="0" xfId="4" applyNumberFormat="1" applyFont="1" applyAlignment="1">
      <alignment horizontal="center" shrinkToFit="1"/>
    </xf>
    <xf numFmtId="4" fontId="15" fillId="0" borderId="0" xfId="4" applyNumberFormat="1" applyFont="1" applyAlignment="1">
      <alignment horizontal="center" shrinkToFit="1"/>
    </xf>
    <xf numFmtId="166" fontId="15" fillId="0" borderId="0" xfId="4" applyNumberFormat="1" applyFont="1" applyAlignment="1">
      <alignment horizontal="center" shrinkToFit="1"/>
    </xf>
    <xf numFmtId="4" fontId="26" fillId="0" borderId="13" xfId="4" applyNumberFormat="1" applyFont="1" applyBorder="1" applyAlignment="1">
      <alignment horizontal="center" vertical="center" shrinkToFit="1"/>
    </xf>
    <xf numFmtId="4" fontId="26" fillId="0" borderId="9" xfId="4" applyNumberFormat="1" applyFont="1" applyBorder="1" applyAlignment="1">
      <alignment horizontal="center" vertical="center" shrinkToFit="1"/>
    </xf>
    <xf numFmtId="4" fontId="26" fillId="0" borderId="14" xfId="4" applyNumberFormat="1" applyFont="1" applyBorder="1" applyAlignment="1">
      <alignment horizontal="center" vertical="center" shrinkToFit="1"/>
    </xf>
    <xf numFmtId="0" fontId="16" fillId="6" borderId="15" xfId="4" applyFont="1" applyFill="1" applyBorder="1" applyAlignment="1">
      <alignment horizontal="left" vertical="center"/>
    </xf>
    <xf numFmtId="166" fontId="26" fillId="0" borderId="15" xfId="4" applyNumberFormat="1" applyFont="1" applyBorder="1" applyAlignment="1">
      <alignment horizontal="left" vertical="center"/>
    </xf>
    <xf numFmtId="0" fontId="16" fillId="6" borderId="13" xfId="4" applyFont="1" applyFill="1" applyBorder="1" applyAlignment="1">
      <alignment horizontal="left" vertical="center"/>
    </xf>
    <xf numFmtId="0" fontId="16" fillId="6" borderId="9" xfId="4" applyFont="1" applyFill="1" applyBorder="1" applyAlignment="1">
      <alignment horizontal="left" vertical="center"/>
    </xf>
    <xf numFmtId="0" fontId="16" fillId="6" borderId="14" xfId="4" applyFont="1" applyFill="1" applyBorder="1" applyAlignment="1">
      <alignment horizontal="left" vertical="center"/>
    </xf>
    <xf numFmtId="0" fontId="26" fillId="0" borderId="36" xfId="4" applyFont="1" applyBorder="1" applyAlignment="1">
      <alignment horizontal="left" vertical="center"/>
    </xf>
    <xf numFmtId="4" fontId="16" fillId="6" borderId="21" xfId="4" applyNumberFormat="1" applyFont="1" applyFill="1" applyBorder="1" applyAlignment="1">
      <alignment horizontal="left" vertical="center" shrinkToFit="1"/>
    </xf>
    <xf numFmtId="4" fontId="16" fillId="6" borderId="16" xfId="4" applyNumberFormat="1" applyFont="1" applyFill="1" applyBorder="1" applyAlignment="1">
      <alignment horizontal="left" vertical="center" shrinkToFit="1"/>
    </xf>
    <xf numFmtId="4" fontId="16" fillId="6" borderId="22" xfId="4" applyNumberFormat="1" applyFont="1" applyFill="1" applyBorder="1" applyAlignment="1">
      <alignment horizontal="left" vertical="center" shrinkToFit="1"/>
    </xf>
    <xf numFmtId="0" fontId="16" fillId="0" borderId="9" xfId="201" applyFont="1" applyBorder="1" applyAlignment="1">
      <alignment horizontal="left" vertical="center"/>
    </xf>
    <xf numFmtId="0" fontId="16" fillId="0" borderId="14" xfId="201" applyFont="1" applyBorder="1" applyAlignment="1">
      <alignment horizontal="left" vertical="center"/>
    </xf>
    <xf numFmtId="0" fontId="15" fillId="0" borderId="45" xfId="2" applyFont="1" applyBorder="1" applyAlignment="1">
      <alignment horizontal="center" shrinkToFit="1"/>
    </xf>
    <xf numFmtId="0" fontId="15" fillId="0" borderId="46" xfId="2" applyFont="1" applyBorder="1" applyAlignment="1">
      <alignment horizontal="center" shrinkToFit="1"/>
    </xf>
    <xf numFmtId="0" fontId="15" fillId="0" borderId="2" xfId="2" applyFont="1" applyBorder="1" applyAlignment="1">
      <alignment horizontal="center" shrinkToFit="1"/>
    </xf>
    <xf numFmtId="0" fontId="30" fillId="0" borderId="17" xfId="4" applyFont="1" applyBorder="1" applyAlignment="1">
      <alignment horizontal="center" vertical="center" wrapText="1"/>
    </xf>
    <xf numFmtId="0" fontId="30" fillId="0" borderId="10" xfId="4" applyFont="1" applyBorder="1" applyAlignment="1">
      <alignment horizontal="center" vertical="center" wrapText="1"/>
    </xf>
    <xf numFmtId="0" fontId="30" fillId="0" borderId="18" xfId="4" applyFont="1" applyBorder="1" applyAlignment="1">
      <alignment horizontal="center" vertical="center" wrapText="1"/>
    </xf>
    <xf numFmtId="0" fontId="20" fillId="0" borderId="13" xfId="4" applyFont="1" applyBorder="1" applyAlignment="1">
      <alignment horizontal="center" vertical="center" wrapText="1"/>
    </xf>
    <xf numFmtId="0" fontId="20" fillId="0" borderId="9" xfId="4" applyFont="1" applyBorder="1" applyAlignment="1">
      <alignment horizontal="center" vertical="center" wrapText="1"/>
    </xf>
    <xf numFmtId="0" fontId="20" fillId="0" borderId="14" xfId="4" applyFont="1" applyBorder="1" applyAlignment="1">
      <alignment horizontal="center" vertical="center" wrapText="1"/>
    </xf>
    <xf numFmtId="0" fontId="21" fillId="0" borderId="17" xfId="4" applyFont="1" applyBorder="1" applyAlignment="1">
      <alignment horizontal="center" vertical="center" wrapText="1"/>
    </xf>
    <xf numFmtId="0" fontId="21" fillId="0" borderId="10" xfId="4" applyFont="1" applyBorder="1" applyAlignment="1">
      <alignment horizontal="center" vertical="center" wrapText="1"/>
    </xf>
    <xf numFmtId="0" fontId="21" fillId="0" borderId="18" xfId="4" applyFont="1" applyBorder="1" applyAlignment="1">
      <alignment horizontal="center" vertical="center" wrapText="1"/>
    </xf>
    <xf numFmtId="0" fontId="21" fillId="0" borderId="21" xfId="4" applyFont="1" applyBorder="1" applyAlignment="1">
      <alignment horizontal="center" vertical="center" wrapText="1"/>
    </xf>
    <xf numFmtId="0" fontId="21" fillId="0" borderId="16" xfId="4" applyFont="1" applyBorder="1" applyAlignment="1">
      <alignment horizontal="center" vertical="center" wrapText="1"/>
    </xf>
    <xf numFmtId="0" fontId="21" fillId="0" borderId="22" xfId="4" applyFont="1" applyBorder="1" applyAlignment="1">
      <alignment horizontal="center" vertical="center" wrapText="1"/>
    </xf>
    <xf numFmtId="4" fontId="16" fillId="6" borderId="36" xfId="4" applyNumberFormat="1" applyFont="1" applyFill="1" applyBorder="1" applyAlignment="1">
      <alignment horizontal="center" vertical="center" shrinkToFit="1"/>
    </xf>
    <xf numFmtId="4" fontId="16" fillId="6" borderId="13" xfId="4" applyNumberFormat="1" applyFont="1" applyFill="1" applyBorder="1" applyAlignment="1">
      <alignment horizontal="center" vertical="center" shrinkToFit="1"/>
    </xf>
    <xf numFmtId="4" fontId="16" fillId="6" borderId="9" xfId="4" applyNumberFormat="1" applyFont="1" applyFill="1" applyBorder="1" applyAlignment="1">
      <alignment horizontal="center" vertical="center" shrinkToFit="1"/>
    </xf>
    <xf numFmtId="4" fontId="16" fillId="6" borderId="14" xfId="4" applyNumberFormat="1" applyFont="1" applyFill="1" applyBorder="1" applyAlignment="1">
      <alignment horizontal="center" vertical="center" shrinkToFit="1"/>
    </xf>
    <xf numFmtId="1" fontId="16" fillId="5" borderId="39" xfId="4" applyNumberFormat="1" applyFont="1" applyFill="1" applyBorder="1" applyAlignment="1">
      <alignment horizontal="center" vertical="center" textRotation="90" shrinkToFit="1"/>
    </xf>
    <xf numFmtId="1" fontId="16" fillId="5" borderId="5" xfId="4" applyNumberFormat="1" applyFont="1" applyFill="1" applyBorder="1" applyAlignment="1">
      <alignment horizontal="center" vertical="center" textRotation="90" shrinkToFit="1"/>
    </xf>
    <xf numFmtId="1" fontId="16" fillId="5" borderId="30" xfId="4" applyNumberFormat="1" applyFont="1" applyFill="1" applyBorder="1" applyAlignment="1">
      <alignment horizontal="center" vertical="center" textRotation="90" shrinkToFit="1"/>
    </xf>
    <xf numFmtId="165" fontId="16" fillId="3" borderId="8" xfId="4" applyNumberFormat="1" applyFont="1" applyFill="1" applyBorder="1" applyAlignment="1">
      <alignment horizontal="center" vertical="center" textRotation="90" shrinkToFit="1"/>
    </xf>
    <xf numFmtId="165" fontId="16" fillId="3" borderId="4" xfId="4" applyNumberFormat="1" applyFont="1" applyFill="1" applyBorder="1" applyAlignment="1">
      <alignment horizontal="center" vertical="center" textRotation="90" shrinkToFit="1"/>
    </xf>
    <xf numFmtId="165" fontId="16" fillId="3" borderId="35" xfId="4" applyNumberFormat="1" applyFont="1" applyFill="1" applyBorder="1" applyAlignment="1">
      <alignment horizontal="center" vertical="center" textRotation="90" shrinkToFit="1"/>
    </xf>
    <xf numFmtId="165" fontId="16" fillId="6" borderId="33" xfId="4" applyNumberFormat="1" applyFont="1" applyFill="1" applyBorder="1" applyAlignment="1">
      <alignment horizontal="center" vertical="center" textRotation="1" shrinkToFit="1"/>
    </xf>
    <xf numFmtId="165" fontId="16" fillId="6" borderId="40" xfId="4" applyNumberFormat="1" applyFont="1" applyFill="1" applyBorder="1" applyAlignment="1">
      <alignment horizontal="center" vertical="center" textRotation="1" shrinkToFit="1"/>
    </xf>
    <xf numFmtId="165" fontId="16" fillId="6" borderId="34" xfId="4" applyNumberFormat="1" applyFont="1" applyFill="1" applyBorder="1" applyAlignment="1">
      <alignment horizontal="center" vertical="center" textRotation="1" shrinkToFit="1"/>
    </xf>
    <xf numFmtId="165" fontId="16" fillId="3" borderId="6" xfId="4" applyNumberFormat="1" applyFont="1" applyFill="1" applyBorder="1" applyAlignment="1">
      <alignment horizontal="center" vertical="center" textRotation="90" shrinkToFit="1"/>
    </xf>
    <xf numFmtId="165" fontId="16" fillId="3" borderId="1" xfId="4" applyNumberFormat="1" applyFont="1" applyFill="1" applyBorder="1" applyAlignment="1">
      <alignment horizontal="center" vertical="center" textRotation="90" shrinkToFit="1"/>
    </xf>
    <xf numFmtId="165" fontId="16" fillId="3" borderId="31" xfId="4" applyNumberFormat="1" applyFont="1" applyFill="1" applyBorder="1" applyAlignment="1">
      <alignment horizontal="center" vertical="center" textRotation="90" shrinkToFit="1"/>
    </xf>
    <xf numFmtId="3" fontId="19" fillId="4" borderId="7" xfId="4" applyNumberFormat="1" applyFont="1" applyFill="1" applyBorder="1" applyAlignment="1">
      <alignment horizontal="center" vertical="center" wrapText="1"/>
    </xf>
    <xf numFmtId="3" fontId="19" fillId="4" borderId="6" xfId="4" applyNumberFormat="1" applyFont="1" applyFill="1" applyBorder="1" applyAlignment="1">
      <alignment horizontal="center" vertical="center" wrapText="1"/>
    </xf>
    <xf numFmtId="3" fontId="19" fillId="4" borderId="8" xfId="4" applyNumberFormat="1" applyFont="1" applyFill="1" applyBorder="1" applyAlignment="1">
      <alignment horizontal="center" vertical="center" wrapText="1"/>
    </xf>
    <xf numFmtId="3" fontId="19" fillId="4" borderId="3" xfId="4" applyNumberFormat="1" applyFont="1" applyFill="1" applyBorder="1" applyAlignment="1">
      <alignment horizontal="center" vertical="center" wrapText="1"/>
    </xf>
    <xf numFmtId="3" fontId="19" fillId="4" borderId="1" xfId="4" applyNumberFormat="1" applyFont="1" applyFill="1" applyBorder="1" applyAlignment="1">
      <alignment horizontal="center" vertical="center" wrapText="1"/>
    </xf>
    <xf numFmtId="3" fontId="19" fillId="4" borderId="4" xfId="4" applyNumberFormat="1" applyFont="1" applyFill="1" applyBorder="1" applyAlignment="1">
      <alignment horizontal="center" vertical="center" wrapText="1"/>
    </xf>
    <xf numFmtId="165" fontId="15" fillId="3" borderId="7" xfId="4" applyNumberFormat="1" applyFont="1" applyFill="1" applyBorder="1" applyAlignment="1">
      <alignment horizontal="center" wrapText="1" shrinkToFit="1"/>
    </xf>
    <xf numFmtId="165" fontId="15" fillId="3" borderId="8" xfId="4" applyNumberFormat="1" applyFont="1" applyFill="1" applyBorder="1" applyAlignment="1">
      <alignment horizontal="center" wrapText="1" shrinkToFit="1"/>
    </xf>
    <xf numFmtId="165" fontId="15" fillId="3" borderId="3" xfId="4" applyNumberFormat="1" applyFont="1" applyFill="1" applyBorder="1" applyAlignment="1">
      <alignment horizontal="center" wrapText="1" shrinkToFit="1"/>
    </xf>
    <xf numFmtId="165" fontId="15" fillId="3" borderId="4" xfId="4" applyNumberFormat="1" applyFont="1" applyFill="1" applyBorder="1" applyAlignment="1">
      <alignment horizontal="center" wrapText="1" shrinkToFit="1"/>
    </xf>
    <xf numFmtId="4" fontId="26" fillId="0" borderId="15" xfId="4" applyNumberFormat="1" applyFont="1" applyBorder="1" applyAlignment="1">
      <alignment horizontal="center" vertical="center" shrinkToFit="1"/>
    </xf>
    <xf numFmtId="0" fontId="30" fillId="0" borderId="13" xfId="188" applyFont="1" applyBorder="1" applyAlignment="1">
      <alignment horizontal="center" vertical="center" wrapText="1"/>
    </xf>
    <xf numFmtId="0" fontId="30" fillId="0" borderId="9" xfId="188" applyFont="1" applyBorder="1" applyAlignment="1">
      <alignment horizontal="center" vertical="center" wrapText="1"/>
    </xf>
    <xf numFmtId="0" fontId="30" fillId="0" borderId="14" xfId="188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shrinkToFit="1"/>
    </xf>
    <xf numFmtId="165" fontId="16" fillId="5" borderId="37" xfId="4" applyNumberFormat="1" applyFont="1" applyFill="1" applyBorder="1" applyAlignment="1">
      <alignment horizontal="center" vertical="center" textRotation="90" wrapText="1" shrinkToFit="1"/>
    </xf>
    <xf numFmtId="165" fontId="16" fillId="5" borderId="38" xfId="4" applyNumberFormat="1" applyFont="1" applyFill="1" applyBorder="1" applyAlignment="1">
      <alignment horizontal="center" vertical="center" textRotation="90" wrapText="1" shrinkToFit="1"/>
    </xf>
    <xf numFmtId="165" fontId="16" fillId="5" borderId="36" xfId="4" applyNumberFormat="1" applyFont="1" applyFill="1" applyBorder="1" applyAlignment="1">
      <alignment horizontal="center" vertical="center" textRotation="90" wrapText="1" shrinkToFit="1"/>
    </xf>
    <xf numFmtId="165" fontId="16" fillId="3" borderId="11" xfId="4" applyNumberFormat="1" applyFont="1" applyFill="1" applyBorder="1" applyAlignment="1">
      <alignment horizontal="center" vertical="center" textRotation="90" shrinkToFit="1"/>
    </xf>
    <xf numFmtId="165" fontId="16" fillId="3" borderId="12" xfId="4" applyNumberFormat="1" applyFont="1" applyFill="1" applyBorder="1" applyAlignment="1">
      <alignment horizontal="center" vertical="center" textRotation="90" shrinkToFit="1"/>
    </xf>
    <xf numFmtId="165" fontId="16" fillId="3" borderId="32" xfId="4" applyNumberFormat="1" applyFont="1" applyFill="1" applyBorder="1" applyAlignment="1">
      <alignment horizontal="center" vertical="center" textRotation="90" shrinkToFit="1"/>
    </xf>
    <xf numFmtId="1" fontId="16" fillId="5" borderId="27" xfId="4" applyNumberFormat="1" applyFont="1" applyFill="1" applyBorder="1" applyAlignment="1">
      <alignment horizontal="center" vertical="center" textRotation="90" wrapText="1" shrinkToFit="1"/>
    </xf>
    <xf numFmtId="1" fontId="16" fillId="5" borderId="28" xfId="4" applyNumberFormat="1" applyFont="1" applyFill="1" applyBorder="1" applyAlignment="1">
      <alignment horizontal="center" vertical="center" textRotation="90" wrapText="1" shrinkToFit="1"/>
    </xf>
    <xf numFmtId="1" fontId="16" fillId="5" borderId="29" xfId="4" applyNumberFormat="1" applyFont="1" applyFill="1" applyBorder="1" applyAlignment="1">
      <alignment horizontal="center" vertical="center" textRotation="90" wrapText="1" shrinkToFit="1"/>
    </xf>
    <xf numFmtId="165" fontId="16" fillId="5" borderId="25" xfId="4" applyNumberFormat="1" applyFont="1" applyFill="1" applyBorder="1" applyAlignment="1">
      <alignment horizontal="center" vertical="center" textRotation="90" wrapText="1" shrinkToFit="1"/>
    </xf>
    <xf numFmtId="165" fontId="16" fillId="5" borderId="26" xfId="4" applyNumberFormat="1" applyFont="1" applyFill="1" applyBorder="1" applyAlignment="1">
      <alignment horizontal="center" vertical="center" textRotation="90" wrapText="1" shrinkToFit="1"/>
    </xf>
    <xf numFmtId="165" fontId="16" fillId="5" borderId="24" xfId="4" applyNumberFormat="1" applyFont="1" applyFill="1" applyBorder="1" applyAlignment="1">
      <alignment horizontal="center" vertical="center" textRotation="90" wrapText="1" shrinkToFit="1"/>
    </xf>
    <xf numFmtId="165" fontId="16" fillId="2" borderId="23" xfId="4" applyNumberFormat="1" applyFont="1" applyFill="1" applyBorder="1" applyAlignment="1">
      <alignment horizontal="center" vertical="center" shrinkToFit="1"/>
    </xf>
    <xf numFmtId="165" fontId="16" fillId="3" borderId="42" xfId="4" applyNumberFormat="1" applyFont="1" applyFill="1" applyBorder="1" applyAlignment="1">
      <alignment horizontal="center" vertical="center" shrinkToFit="1"/>
    </xf>
    <xf numFmtId="165" fontId="16" fillId="3" borderId="43" xfId="4" applyNumberFormat="1" applyFont="1" applyFill="1" applyBorder="1" applyAlignment="1">
      <alignment horizontal="center" vertical="center" shrinkToFit="1"/>
    </xf>
    <xf numFmtId="165" fontId="16" fillId="3" borderId="44" xfId="4" applyNumberFormat="1" applyFont="1" applyFill="1" applyBorder="1" applyAlignment="1">
      <alignment horizontal="center" vertical="center" shrinkToFit="1"/>
    </xf>
    <xf numFmtId="165" fontId="16" fillId="6" borderId="31" xfId="4" applyNumberFormat="1" applyFont="1" applyFill="1" applyBorder="1" applyAlignment="1">
      <alignment horizontal="center" vertical="center" textRotation="1" shrinkToFit="1"/>
    </xf>
    <xf numFmtId="4" fontId="19" fillId="4" borderId="7" xfId="4" applyNumberFormat="1" applyFont="1" applyFill="1" applyBorder="1" applyAlignment="1">
      <alignment horizontal="center" vertical="center"/>
    </xf>
    <xf numFmtId="4" fontId="19" fillId="4" borderId="6" xfId="4" applyNumberFormat="1" applyFont="1" applyFill="1" applyBorder="1" applyAlignment="1">
      <alignment horizontal="center" vertical="center"/>
    </xf>
    <xf numFmtId="4" fontId="19" fillId="4" borderId="8" xfId="4" applyNumberFormat="1" applyFont="1" applyFill="1" applyBorder="1" applyAlignment="1">
      <alignment horizontal="center" vertical="center"/>
    </xf>
    <xf numFmtId="3" fontId="19" fillId="4" borderId="3" xfId="4" applyNumberFormat="1" applyFont="1" applyFill="1" applyBorder="1" applyAlignment="1">
      <alignment horizontal="center" vertical="center"/>
    </xf>
    <xf numFmtId="3" fontId="19" fillId="4" borderId="1" xfId="4" applyNumberFormat="1" applyFont="1" applyFill="1" applyBorder="1" applyAlignment="1">
      <alignment horizontal="center" vertical="center"/>
    </xf>
    <xf numFmtId="3" fontId="19" fillId="4" borderId="4" xfId="4" applyNumberFormat="1" applyFont="1" applyFill="1" applyBorder="1" applyAlignment="1">
      <alignment horizontal="center" vertical="center"/>
    </xf>
    <xf numFmtId="3" fontId="19" fillId="4" borderId="7" xfId="4" applyNumberFormat="1" applyFont="1" applyFill="1" applyBorder="1" applyAlignment="1">
      <alignment horizontal="center" vertical="center"/>
    </xf>
    <xf numFmtId="3" fontId="19" fillId="4" borderId="6" xfId="4" applyNumberFormat="1" applyFont="1" applyFill="1" applyBorder="1" applyAlignment="1">
      <alignment horizontal="center" vertical="center"/>
    </xf>
    <xf numFmtId="3" fontId="19" fillId="4" borderId="8" xfId="4" applyNumberFormat="1" applyFont="1" applyFill="1" applyBorder="1" applyAlignment="1">
      <alignment horizontal="center" vertical="center"/>
    </xf>
    <xf numFmtId="0" fontId="25" fillId="7" borderId="23" xfId="4" applyFont="1" applyFill="1" applyBorder="1" applyAlignment="1">
      <alignment horizontal="center" shrinkToFit="1"/>
    </xf>
    <xf numFmtId="0" fontId="25" fillId="7" borderId="1" xfId="4" applyFont="1" applyFill="1" applyBorder="1" applyAlignment="1">
      <alignment horizontal="center" shrinkToFit="1"/>
    </xf>
  </cellXfs>
  <cellStyles count="245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10" xfId="37" xr:uid="{F1BD0022-28FB-46B1-A39C-9B6C7072D4D4}"/>
    <cellStyle name="Normal 3 10 2" xfId="134" xr:uid="{E1C26359-389A-4EC7-A21F-A7B8429F7D81}"/>
    <cellStyle name="Normal 3 11" xfId="50" xr:uid="{54197B33-3F98-451F-8692-D39665508D8E}"/>
    <cellStyle name="Normal 3 11 2" xfId="147" xr:uid="{96D2A53C-A15D-458D-B2F0-02F3ADAEEAC5}"/>
    <cellStyle name="Normal 3 12" xfId="64" xr:uid="{92D5B2FE-719F-4385-93AA-1F6FE0825A3E}"/>
    <cellStyle name="Normal 3 12 2" xfId="161" xr:uid="{BCEF279C-0647-4ED4-87A9-F6311318033F}"/>
    <cellStyle name="Normal 3 13" xfId="90" xr:uid="{24FF5834-6105-4AD6-9509-6D487907DCF2}"/>
    <cellStyle name="Normal 3 13 2" xfId="187" xr:uid="{1571AD2D-52B6-4FA9-B912-E74C7C5E464E}"/>
    <cellStyle name="Normal 3 14" xfId="104" xr:uid="{E9084397-9F1E-49D8-A2DC-2E1DF4A8AE57}"/>
    <cellStyle name="Normal 3 15" xfId="213" xr:uid="{97A3E092-F427-4A7F-BF81-68B83106D70D}"/>
    <cellStyle name="Normal 3 2" xfId="4" xr:uid="{00000000-0005-0000-0000-000007000000}"/>
    <cellStyle name="Normal 3 2 10" xfId="91" xr:uid="{4C77D054-905B-40EA-8D47-78AAA41F3ABF}"/>
    <cellStyle name="Normal 3 2 10 2" xfId="188" xr:uid="{D90F1120-2E4E-450D-8276-2C5F33F8B7E5}"/>
    <cellStyle name="Normal 3 2 11" xfId="105" xr:uid="{D2CC813D-A94D-41A5-B27C-B8C6FA7C65F1}"/>
    <cellStyle name="Normal 3 2 12" xfId="214" xr:uid="{D00B0725-0544-4094-A969-A1B0A0154E75}"/>
    <cellStyle name="Normal 3 2 2" xfId="10" xr:uid="{00000000-0005-0000-0000-000008000000}"/>
    <cellStyle name="Normal 3 2 2 10" xfId="219" xr:uid="{77F0EEB6-082B-4A85-9C37-7B267110A16E}"/>
    <cellStyle name="Normal 3 2 2 2" xfId="18" xr:uid="{00000000-0005-0000-0000-000009000000}"/>
    <cellStyle name="Normal 3 2 2 2 2" xfId="35" xr:uid="{309BF709-3340-488B-B77D-49507C77B7C6}"/>
    <cellStyle name="Normal 3 2 2 2 2 2" xfId="63" xr:uid="{DF7A12BA-07D2-4CEE-9D83-A3C98EEBCAE2}"/>
    <cellStyle name="Normal 3 2 2 2 2 2 2" xfId="201" xr:uid="{D69D4C0E-06A6-4AEC-B88C-20DE058D71C5}"/>
    <cellStyle name="Normal 3 2 2 2 2 2 3" xfId="160" xr:uid="{FD72D3F3-E895-4111-A05C-9EA49FFAF4DD}"/>
    <cellStyle name="Normal 3 2 2 2 2 2 4" xfId="244" xr:uid="{3E6870F1-6A78-454F-B41F-2D7A0FA24FE9}"/>
    <cellStyle name="Normal 3 2 2 2 2 3" xfId="89" xr:uid="{D49171F2-D06B-47D9-8461-33851B8BB1ED}"/>
    <cellStyle name="Normal 3 2 2 2 2 3 2" xfId="186" xr:uid="{9080EA9B-58E3-4EDF-8E76-9621C0F8E610}"/>
    <cellStyle name="Normal 3 2 2 2 2 4" xfId="103" xr:uid="{84CB806C-EFB7-445B-A5F1-2A304B30AB48}"/>
    <cellStyle name="Normal 3 2 2 2 2 4 2" xfId="200" xr:uid="{0BED3CB4-0E64-48BF-879A-9F043DF95629}"/>
    <cellStyle name="Normal 3 2 2 2 2 5" xfId="133" xr:uid="{15957F2D-ACC5-4681-AD49-4E54E2FFE84E}"/>
    <cellStyle name="Normal 3 2 2 2 2 6" xfId="228" xr:uid="{51DC3A0E-6431-4864-AA87-2515F3FF3D78}"/>
    <cellStyle name="Normal 3 2 2 2 3" xfId="49" xr:uid="{C30E990F-EF7D-4979-95F0-3648379B2B07}"/>
    <cellStyle name="Normal 3 2 2 2 3 2" xfId="146" xr:uid="{CD10F589-59F3-4757-A81C-BC785C0C113D}"/>
    <cellStyle name="Normal 3 2 2 2 3 3" xfId="241" xr:uid="{E2D6C360-5D03-4589-99D7-A42804EB34F5}"/>
    <cellStyle name="Normal 3 2 2 2 4" xfId="62" xr:uid="{52E2ACB3-61D5-4EF7-9773-7CFE260B6908}"/>
    <cellStyle name="Normal 3 2 2 2 4 2" xfId="159" xr:uid="{72B0B8C1-26B3-4A26-B819-AD42DB46B475}"/>
    <cellStyle name="Normal 3 2 2 2 5" xfId="76" xr:uid="{7614C55D-EBDC-4FAF-AC38-AF1107FF5EE2}"/>
    <cellStyle name="Normal 3 2 2 2 5 2" xfId="173" xr:uid="{0C91607E-7E84-46ED-9B64-4A81E8D3BB02}"/>
    <cellStyle name="Normal 3 2 2 2 6" xfId="102" xr:uid="{753E983E-3C62-46BB-B859-20DC3FE24E54}"/>
    <cellStyle name="Normal 3 2 2 2 6 2" xfId="199" xr:uid="{1182DBC2-AA69-465D-BF74-1CB63B468A10}"/>
    <cellStyle name="Normal 3 2 2 2 7" xfId="116" xr:uid="{112562D8-0A5E-4454-B94C-706B8552AAAA}"/>
    <cellStyle name="Normal 3 2 2 2 8" xfId="225" xr:uid="{A489D4D1-2B96-42E4-B7C8-7FF9451AEF8F}"/>
    <cellStyle name="Normal 3 2 2 3" xfId="19" xr:uid="{305DBF9A-507F-4368-A94E-A61999877393}"/>
    <cellStyle name="Normal 3 2 2 3 2" xfId="83" xr:uid="{1CEDBCDC-A647-4900-8EF8-C31A72B9A279}"/>
    <cellStyle name="Normal 3 2 2 3 2 2" xfId="180" xr:uid="{B540E5C1-2282-406A-8E96-90D431DC35C1}"/>
    <cellStyle name="Normal 3 2 2 3 3" xfId="117" xr:uid="{93DEF2FD-AE5C-4B78-A170-F31FB3417035}"/>
    <cellStyle name="Normal 3 2 2 3 4" xfId="235" xr:uid="{DF21A5F0-29FD-4FAE-8E6E-FF901C105BE0}"/>
    <cellStyle name="Normal 3 2 2 4" xfId="29" xr:uid="{D98B6571-F60C-4934-9EFF-2672C100C523}"/>
    <cellStyle name="Normal 3 2 2 4 2" xfId="127" xr:uid="{3BE9340F-33EB-48B3-BB06-418C6DD23D63}"/>
    <cellStyle name="Normal 3 2 2 5" xfId="43" xr:uid="{AFCBB61E-CD18-4AF3-B284-54FB9DF18071}"/>
    <cellStyle name="Normal 3 2 2 5 2" xfId="140" xr:uid="{3516DEC2-BFB3-4DF8-9B43-2680A1AE4E68}"/>
    <cellStyle name="Normal 3 2 2 6" xfId="56" xr:uid="{B3330CC1-1C36-49A8-A77A-E59012DCB92D}"/>
    <cellStyle name="Normal 3 2 2 6 2" xfId="153" xr:uid="{A4FFF2DA-1367-4DDF-AC28-526BBD225786}"/>
    <cellStyle name="Normal 3 2 2 7" xfId="70" xr:uid="{BE6C8D6B-F5FC-4484-B18C-70AFBBE33E85}"/>
    <cellStyle name="Normal 3 2 2 7 2" xfId="167" xr:uid="{7B66B641-7E8A-49C5-99F4-CE6CA903A3D4}"/>
    <cellStyle name="Normal 3 2 2 8" xfId="96" xr:uid="{A58E2CB5-FE95-4951-A142-F6F16187F9CB}"/>
    <cellStyle name="Normal 3 2 2 8 2" xfId="193" xr:uid="{93E4B547-91D8-4BE4-87E4-11331453BD95}"/>
    <cellStyle name="Normal 3 2 2 9" xfId="110" xr:uid="{FB0AD322-AB6F-4D82-A2B3-39B3E3FDF22B}"/>
    <cellStyle name="Normal 3 2 3" xfId="13" xr:uid="{00000000-0005-0000-0000-00000A000000}"/>
    <cellStyle name="Normal 3 2 3 2" xfId="31" xr:uid="{4A66E34F-B3E3-4F1E-A456-AEC36B68F586}"/>
    <cellStyle name="Normal 3 2 3 2 2" xfId="85" xr:uid="{B50CA5DE-61AE-4AA2-B464-951AFA17E3E5}"/>
    <cellStyle name="Normal 3 2 3 2 2 2" xfId="182" xr:uid="{765FA440-6B92-4DA5-B007-69B3B9D3E6A6}"/>
    <cellStyle name="Normal 3 2 3 2 3" xfId="129" xr:uid="{856D9B90-DB6C-4AC5-ADC1-CF7C785826C3}"/>
    <cellStyle name="Normal 3 2 3 2 4" xfId="237" xr:uid="{5162AA9C-14A7-44AE-BE82-A7B0814B6E94}"/>
    <cellStyle name="Normal 3 2 3 3" xfId="45" xr:uid="{FECEBBCD-0761-46EA-B9DA-1B53F7312A13}"/>
    <cellStyle name="Normal 3 2 3 3 2" xfId="142" xr:uid="{B4591782-8F43-48AE-84C2-2DDD4BE64E2C}"/>
    <cellStyle name="Normal 3 2 3 4" xfId="58" xr:uid="{1CF561A8-4C58-4666-B40F-CB898DF4584B}"/>
    <cellStyle name="Normal 3 2 3 4 2" xfId="155" xr:uid="{D816D8DA-FD0A-4BA6-A921-CFE6D736F457}"/>
    <cellStyle name="Normal 3 2 3 5" xfId="72" xr:uid="{0042A055-476F-4631-AD42-095A4CB8FD92}"/>
    <cellStyle name="Normal 3 2 3 5 2" xfId="169" xr:uid="{B1C18C41-A70C-4390-8000-C061E6BE2E17}"/>
    <cellStyle name="Normal 3 2 3 6" xfId="98" xr:uid="{3BFBA4ED-4FFD-4D63-AAD9-508DAEAB12D2}"/>
    <cellStyle name="Normal 3 2 3 6 2" xfId="195" xr:uid="{0979F6C6-B52D-4E23-BACE-9020DE213FC9}"/>
    <cellStyle name="Normal 3 2 3 7" xfId="207" xr:uid="{775CD90A-4897-4E2F-A865-B7083D090719}"/>
    <cellStyle name="Normal 3 2 3 8" xfId="112" xr:uid="{6203D530-06EB-451C-A973-48CF31664449}"/>
    <cellStyle name="Normal 3 2 3 9" xfId="221" xr:uid="{A96C08E6-33DE-428C-91FC-49234E82BAD3}"/>
    <cellStyle name="Normal 3 2 4" xfId="17" xr:uid="{00000000-0005-0000-0000-00000B000000}"/>
    <cellStyle name="Normal 3 2 4 2" xfId="34" xr:uid="{D8B959CA-1612-4166-9CD8-49391B0213E1}"/>
    <cellStyle name="Normal 3 2 4 2 2" xfId="88" xr:uid="{DC181AF4-B82E-4A5F-A122-0436E12890A5}"/>
    <cellStyle name="Normal 3 2 4 2 2 2" xfId="185" xr:uid="{308C2C83-C97B-4BDB-951E-6425B0548634}"/>
    <cellStyle name="Normal 3 2 4 2 3" xfId="132" xr:uid="{83DC03D6-E3D5-4BEF-B3EB-CD5EFDABCF48}"/>
    <cellStyle name="Normal 3 2 4 2 4" xfId="240" xr:uid="{16526514-3366-4A23-8F06-ED1334D0BA1F}"/>
    <cellStyle name="Normal 3 2 4 3" xfId="48" xr:uid="{DC55C7AA-E304-45CE-9DAD-05E37FEC20D2}"/>
    <cellStyle name="Normal 3 2 4 3 2" xfId="145" xr:uid="{6B9737F6-C65D-41D1-B4BF-74B8BB49DA76}"/>
    <cellStyle name="Normal 3 2 4 4" xfId="61" xr:uid="{A0F9778D-3C07-4E55-9FFD-1613A91577E2}"/>
    <cellStyle name="Normal 3 2 4 4 2" xfId="158" xr:uid="{195AB46E-95A0-4FC3-A913-50A691EA22EC}"/>
    <cellStyle name="Normal 3 2 4 5" xfId="75" xr:uid="{11517857-6EE0-49AE-9B28-B913E232EDEA}"/>
    <cellStyle name="Normal 3 2 4 5 2" xfId="172" xr:uid="{F92F9E27-FD82-4D2D-89A9-E0A94F16D624}"/>
    <cellStyle name="Normal 3 2 4 6" xfId="101" xr:uid="{951D461A-2869-49B2-BF2E-6F0CC3576981}"/>
    <cellStyle name="Normal 3 2 4 6 2" xfId="198" xr:uid="{096FFB2B-7E82-4A59-8F98-F564265A0FD6}"/>
    <cellStyle name="Normal 3 2 4 7" xfId="210" xr:uid="{53548716-050A-40FD-92ED-B9C9C3FEAFDE}"/>
    <cellStyle name="Normal 3 2 4 8" xfId="115" xr:uid="{90DC494E-33AD-421D-86C8-4A0CF09178BE}"/>
    <cellStyle name="Normal 3 2 4 9" xfId="224" xr:uid="{657658E2-840F-4908-96B0-2D13CF4F6BDA}"/>
    <cellStyle name="Normal 3 2 5" xfId="7" xr:uid="{00000000-0005-0000-0000-00000C000000}"/>
    <cellStyle name="Normal 3 2 5 2" xfId="27" xr:uid="{3EB4DFD6-5A9F-41FB-BC0A-DF3C789D958E}"/>
    <cellStyle name="Normal 3 2 5 2 2" xfId="81" xr:uid="{E3E273FE-D454-4BD5-8A7B-0E8FEE8C5278}"/>
    <cellStyle name="Normal 3 2 5 2 2 2" xfId="178" xr:uid="{C3D21DF4-BCCA-48D8-B00B-74BF79FB4ADA}"/>
    <cellStyle name="Normal 3 2 5 2 3" xfId="125" xr:uid="{40BE5179-E067-4C55-8B3C-2BC24DE9C429}"/>
    <cellStyle name="Normal 3 2 5 2 4" xfId="233" xr:uid="{AAEE389D-576C-4098-97A0-E72C804CE8A8}"/>
    <cellStyle name="Normal 3 2 5 3" xfId="41" xr:uid="{83001F12-883F-4730-AAAC-91A40DC4F416}"/>
    <cellStyle name="Normal 3 2 5 3 2" xfId="138" xr:uid="{A84702E6-8993-42D4-BA34-E28DFA3F5065}"/>
    <cellStyle name="Normal 3 2 5 4" xfId="54" xr:uid="{6A0D455B-D4AE-4C53-8513-C9A484DB2A8D}"/>
    <cellStyle name="Normal 3 2 5 4 2" xfId="151" xr:uid="{E6CD7E90-37A4-45CA-8EB0-C6FBB92B6656}"/>
    <cellStyle name="Normal 3 2 5 5" xfId="68" xr:uid="{183746C0-E187-4213-938C-2BEEF1E26387}"/>
    <cellStyle name="Normal 3 2 5 5 2" xfId="165" xr:uid="{82BF240F-83F2-4702-A8C5-325F1CE3D7B9}"/>
    <cellStyle name="Normal 3 2 5 6" xfId="94" xr:uid="{9C6B65BC-1DE5-458D-B878-1B36ABD30F2B}"/>
    <cellStyle name="Normal 3 2 5 6 2" xfId="191" xr:uid="{F3C67459-7E02-49C6-9E83-C1FD487078EB}"/>
    <cellStyle name="Normal 3 2 5 7" xfId="204" xr:uid="{40645264-92E4-4B07-966D-109B3663339E}"/>
    <cellStyle name="Normal 3 2 5 8" xfId="108" xr:uid="{8F4E2FCA-8229-49FD-AB13-95B0E4BB4258}"/>
    <cellStyle name="Normal 3 2 5 9" xfId="217" xr:uid="{8F312CE2-1D0E-4CB5-B4A0-186C3FC24BD5}"/>
    <cellStyle name="Normal 3 2 6" xfId="24" xr:uid="{C4DB4604-0693-4620-89A2-C951063FAE9C}"/>
    <cellStyle name="Normal 3 2 6 2" xfId="78" xr:uid="{26077052-C1F4-4651-AB2D-B47510EAA563}"/>
    <cellStyle name="Normal 3 2 6 2 2" xfId="175" xr:uid="{36CCD6E1-8898-4D44-A084-FB35625DC9BB}"/>
    <cellStyle name="Normal 3 2 6 2 3" xfId="243" xr:uid="{146CAF87-E6BB-4376-9CCA-E7D58B423D92}"/>
    <cellStyle name="Normal 3 2 6 3" xfId="212" xr:uid="{69F5E849-0455-4568-8210-B07DBEED2897}"/>
    <cellStyle name="Normal 3 2 6 4" xfId="122" xr:uid="{4541E517-4F7D-4B61-9782-A2C65A6F6144}"/>
    <cellStyle name="Normal 3 2 6 5" xfId="227" xr:uid="{FCD071BD-E130-4DE3-A8DA-9BD5731C01BD}"/>
    <cellStyle name="Normal 3 2 7" xfId="38" xr:uid="{1DF0D11C-D425-46FC-940F-CB51E6FF32FD}"/>
    <cellStyle name="Normal 3 2 7 2" xfId="135" xr:uid="{EB79363A-8A94-4AF2-9D0A-F6FA406E2BF3}"/>
    <cellStyle name="Normal 3 2 7 3" xfId="230" xr:uid="{FCB96A4B-5B02-47FC-A9FD-6A8E85F82566}"/>
    <cellStyle name="Normal 3 2 8" xfId="51" xr:uid="{01CDE11B-9BC4-4592-BB5B-F566E69A829E}"/>
    <cellStyle name="Normal 3 2 8 2" xfId="148" xr:uid="{3CFD1A25-DACA-4092-97B4-B6620CEC0EDB}"/>
    <cellStyle name="Normal 3 2 9" xfId="65" xr:uid="{5D717426-7654-4F6D-9372-A93C0EBEC7E3}"/>
    <cellStyle name="Normal 3 2 9 2" xfId="162" xr:uid="{55CEEF72-B089-4D99-99B4-C947F21FF1DE}"/>
    <cellStyle name="Normal 3 3" xfId="9" xr:uid="{00000000-0005-0000-0000-00000D000000}"/>
    <cellStyle name="Normal 3 3 2" xfId="28" xr:uid="{C27E6043-325E-4F6F-A6E0-9CB60B0F6CCE}"/>
    <cellStyle name="Normal 3 3 2 2" xfId="82" xr:uid="{3AE91000-C3AF-4E19-953E-1830DB1FFDCC}"/>
    <cellStyle name="Normal 3 3 2 2 2" xfId="179" xr:uid="{2A5A06D9-8AA0-4402-B784-939145C6EEFF}"/>
    <cellStyle name="Normal 3 3 2 3" xfId="126" xr:uid="{72478734-6C14-436E-BEA7-EE62EA777FF6}"/>
    <cellStyle name="Normal 3 3 2 4" xfId="234" xr:uid="{A0886B32-182F-46E7-A02F-C7A3BBB640FA}"/>
    <cellStyle name="Normal 3 3 3" xfId="42" xr:uid="{D5C99436-FA11-4D44-97F1-C173FF5C4F2E}"/>
    <cellStyle name="Normal 3 3 3 2" xfId="139" xr:uid="{5D75C660-3065-4359-8973-A7A411BFBA77}"/>
    <cellStyle name="Normal 3 3 4" xfId="55" xr:uid="{31DBB172-F89A-4EDE-A074-99F6A67AFD45}"/>
    <cellStyle name="Normal 3 3 4 2" xfId="152" xr:uid="{5F23E170-4161-43C7-8E4B-F0CAB3EEA834}"/>
    <cellStyle name="Normal 3 3 5" xfId="69" xr:uid="{5E35F105-9FBB-4036-A48D-B8684BB226BC}"/>
    <cellStyle name="Normal 3 3 5 2" xfId="166" xr:uid="{A09622B2-4001-4329-9F2C-9446CCA0913E}"/>
    <cellStyle name="Normal 3 3 6" xfId="95" xr:uid="{1FFBB5A0-EED3-4F6A-AA92-0B5A7B30EF51}"/>
    <cellStyle name="Normal 3 3 6 2" xfId="192" xr:uid="{6A2F21C2-D9C0-4650-A89F-5E80066B5EA1}"/>
    <cellStyle name="Normal 3 3 7" xfId="205" xr:uid="{3A8F7A9D-F030-4F39-A791-92A8A931818F}"/>
    <cellStyle name="Normal 3 3 8" xfId="109" xr:uid="{F8DB2875-DFD0-4321-949F-ACB672E3EE2F}"/>
    <cellStyle name="Normal 3 3 9" xfId="218" xr:uid="{24A7DFAD-8836-480F-8B23-D4E718571FCD}"/>
    <cellStyle name="Normal 3 4" xfId="12" xr:uid="{00000000-0005-0000-0000-00000E000000}"/>
    <cellStyle name="Normal 3 4 2" xfId="30" xr:uid="{BD7B5CCB-812A-49A3-A89F-2ED1534506FD}"/>
    <cellStyle name="Normal 3 4 2 2" xfId="84" xr:uid="{15EC8AAC-C4DE-467C-A4DA-BAE3728C5542}"/>
    <cellStyle name="Normal 3 4 2 2 2" xfId="181" xr:uid="{2803F9C1-FDEA-4636-974C-5B667E4D8730}"/>
    <cellStyle name="Normal 3 4 2 3" xfId="128" xr:uid="{3E26DFF7-9E75-4258-8807-91552F1A901D}"/>
    <cellStyle name="Normal 3 4 2 4" xfId="236" xr:uid="{927C78DB-FE50-46B2-A74F-79AEAA971270}"/>
    <cellStyle name="Normal 3 4 3" xfId="44" xr:uid="{415A7773-3677-4DD7-B43F-4592C071BF54}"/>
    <cellStyle name="Normal 3 4 3 2" xfId="141" xr:uid="{E993C327-5ADF-4AC6-AB38-62E0437C8D4E}"/>
    <cellStyle name="Normal 3 4 4" xfId="57" xr:uid="{49F927CC-043F-4D1F-8465-59630B33EB64}"/>
    <cellStyle name="Normal 3 4 4 2" xfId="154" xr:uid="{82722C81-D328-45B3-9A74-59EB98BD113D}"/>
    <cellStyle name="Normal 3 4 5" xfId="71" xr:uid="{9FB64B5A-7EA3-4EE4-B4E0-CDD41711656A}"/>
    <cellStyle name="Normal 3 4 5 2" xfId="168" xr:uid="{E6BD3B1A-9BB0-4092-9584-8114393DCBF3}"/>
    <cellStyle name="Normal 3 4 6" xfId="97" xr:uid="{02BBA836-938A-471C-8B06-52D434BBE6E4}"/>
    <cellStyle name="Normal 3 4 6 2" xfId="194" xr:uid="{C19F17E8-7C86-4A5C-85B0-714615CD1267}"/>
    <cellStyle name="Normal 3 4 7" xfId="206" xr:uid="{364F629E-BEB2-4C6C-B6F8-F3F741932C16}"/>
    <cellStyle name="Normal 3 4 8" xfId="111" xr:uid="{DFD9BDCD-9697-4DEC-A02C-6C59656E6F1E}"/>
    <cellStyle name="Normal 3 4 9" xfId="220" xr:uid="{875E3A86-C7FD-4A3B-BB81-40CAD1CC69FE}"/>
    <cellStyle name="Normal 3 5" xfId="16" xr:uid="{00000000-0005-0000-0000-00000F000000}"/>
    <cellStyle name="Normal 3 5 2" xfId="33" xr:uid="{74B728DB-55B8-422F-871E-27533EA21A31}"/>
    <cellStyle name="Normal 3 5 2 2" xfId="87" xr:uid="{4C36F725-B491-4442-B868-7207BF0B3313}"/>
    <cellStyle name="Normal 3 5 2 2 2" xfId="184" xr:uid="{3E863C71-4145-4F04-B23F-ABCF75AB5F90}"/>
    <cellStyle name="Normal 3 5 2 3" xfId="131" xr:uid="{B8AE5FB3-D7A6-4EB8-A99D-5D52D13DD8C2}"/>
    <cellStyle name="Normal 3 5 2 4" xfId="239" xr:uid="{46C66C44-8C53-4D2A-9DB8-B2227C5ADA74}"/>
    <cellStyle name="Normal 3 5 3" xfId="47" xr:uid="{85B3A590-9715-4CED-B752-252574067876}"/>
    <cellStyle name="Normal 3 5 3 2" xfId="144" xr:uid="{21BC661F-7198-4574-83C0-D67674FA418F}"/>
    <cellStyle name="Normal 3 5 4" xfId="60" xr:uid="{28DDF2B5-CA4F-47D0-8E8E-D513901AD049}"/>
    <cellStyle name="Normal 3 5 4 2" xfId="157" xr:uid="{4042B829-F750-47F1-9AD3-0D596C9AF63A}"/>
    <cellStyle name="Normal 3 5 5" xfId="74" xr:uid="{AB90AD3F-3F61-44DE-98A6-3E04FFF87F98}"/>
    <cellStyle name="Normal 3 5 5 2" xfId="171" xr:uid="{27245510-0581-4F04-A2C6-A00AF07D7619}"/>
    <cellStyle name="Normal 3 5 6" xfId="100" xr:uid="{3AE123D6-B952-4E56-899F-53E15D4D8D37}"/>
    <cellStyle name="Normal 3 5 6 2" xfId="197" xr:uid="{F95D228A-32F0-4EF2-948B-37D35B6D23BD}"/>
    <cellStyle name="Normal 3 5 7" xfId="209" xr:uid="{486AEA02-424C-4F77-9EB7-840F05971C76}"/>
    <cellStyle name="Normal 3 5 8" xfId="114" xr:uid="{35F58B94-0AC2-48AE-9833-1CE551052EEE}"/>
    <cellStyle name="Normal 3 5 9" xfId="223" xr:uid="{BBD8ACBB-C8E0-4B3D-9AD3-CA79C8CAAA1E}"/>
    <cellStyle name="Normal 3 6" xfId="5" xr:uid="{00000000-0005-0000-0000-000010000000}"/>
    <cellStyle name="Normal 3 6 2" xfId="25" xr:uid="{79AB1465-EA8D-490B-88D8-F39359F4BFFA}"/>
    <cellStyle name="Normal 3 6 2 2" xfId="79" xr:uid="{0A2CAC46-3FC8-47C1-952B-101A88321C36}"/>
    <cellStyle name="Normal 3 6 2 2 2" xfId="176" xr:uid="{516029C8-A7F9-46EA-A1F0-B8048A3DD109}"/>
    <cellStyle name="Normal 3 6 2 3" xfId="123" xr:uid="{9F9701CB-0D6D-456D-935B-5B747427F6A8}"/>
    <cellStyle name="Normal 3 6 2 4" xfId="231" xr:uid="{9F2ACEE1-BB27-473B-8EC9-3402100C1491}"/>
    <cellStyle name="Normal 3 6 3" xfId="39" xr:uid="{DFB53200-FD30-489A-8FA5-53532A6870DD}"/>
    <cellStyle name="Normal 3 6 3 2" xfId="136" xr:uid="{DCB03042-346E-4A21-8FF6-95C9C2BFF67B}"/>
    <cellStyle name="Normal 3 6 4" xfId="52" xr:uid="{009300E7-C382-4209-B0AA-8F9A3658FEFB}"/>
    <cellStyle name="Normal 3 6 4 2" xfId="149" xr:uid="{C4CB89FF-5C3C-422F-9BB2-48B224BF62E7}"/>
    <cellStyle name="Normal 3 6 5" xfId="66" xr:uid="{D708ECEC-780D-4A06-BC8B-235E069E8413}"/>
    <cellStyle name="Normal 3 6 5 2" xfId="163" xr:uid="{79826A99-B56C-451C-A523-DBA6B7B06890}"/>
    <cellStyle name="Normal 3 6 6" xfId="92" xr:uid="{DC4852A0-FF14-4A57-8882-CC3D67E83873}"/>
    <cellStyle name="Normal 3 6 6 2" xfId="189" xr:uid="{BB7214B1-C9FF-47C6-880F-B83ED050B828}"/>
    <cellStyle name="Normal 3 6 7" xfId="202" xr:uid="{41D00757-ED0F-4F06-A532-31FA0E7D66F4}"/>
    <cellStyle name="Normal 3 6 8" xfId="106" xr:uid="{31358888-918C-4239-8F81-E3CF4FAEDDDB}"/>
    <cellStyle name="Normal 3 6 9" xfId="215" xr:uid="{75112D7B-66D4-4D1F-A706-718CB7F0762C}"/>
    <cellStyle name="Normal 3 7" xfId="22" xr:uid="{8E576627-1BD9-47EF-8B92-03F9256AD1A0}"/>
    <cellStyle name="Normal 3 7 2" xfId="77" xr:uid="{BF00720E-B47D-4375-80F5-0F6A939A7D08}"/>
    <cellStyle name="Normal 3 7 2 2" xfId="174" xr:uid="{3FE31657-F0E4-4933-8D7A-C2A9C35A6A26}"/>
    <cellStyle name="Normal 3 7 2 3" xfId="242" xr:uid="{FE3CC807-6858-4AFF-AE04-BCCF39943832}"/>
    <cellStyle name="Normal 3 7 3" xfId="211" xr:uid="{61A8C8DB-AE4D-4CF7-8261-C5E802A86A7C}"/>
    <cellStyle name="Normal 3 7 4" xfId="120" xr:uid="{6ED554EA-7780-4E63-83D9-F0296144254C}"/>
    <cellStyle name="Normal 3 7 5" xfId="226" xr:uid="{CA99546B-E6FB-42B5-AC6D-FDA651FA62C3}"/>
    <cellStyle name="Normal 3 8" xfId="20" xr:uid="{E9224022-68E2-4D51-A47B-3BCD98762B1A}"/>
    <cellStyle name="Normal 3 8 2" xfId="118" xr:uid="{65A975B7-4DD0-4E0F-807E-10B81FA8CC54}"/>
    <cellStyle name="Normal 3 8 3" xfId="229" xr:uid="{815EC487-5F15-4DBF-9792-E586F4525B86}"/>
    <cellStyle name="Normal 3 9" xfId="23" xr:uid="{4BBEFF0F-7C63-495B-96C2-416DE954926D}"/>
    <cellStyle name="Normal 3 9 2" xfId="121" xr:uid="{20A3F223-1AD0-43D4-AA3B-D0C83E7709B1}"/>
    <cellStyle name="Normal 4" xfId="6" xr:uid="{00000000-0005-0000-0000-000011000000}"/>
    <cellStyle name="Normal 4 2" xfId="26" xr:uid="{BF82EAEF-99A3-4A16-A686-105DE9D33474}"/>
    <cellStyle name="Normal 4 2 2" xfId="80" xr:uid="{4DD4BD82-5A8F-477C-9AC4-E0A71A387D9B}"/>
    <cellStyle name="Normal 4 2 2 2" xfId="177" xr:uid="{053615BD-624F-4854-B1E9-3932C15AF729}"/>
    <cellStyle name="Normal 4 2 3" xfId="124" xr:uid="{916F9EA4-865B-493D-8FDC-51786697203E}"/>
    <cellStyle name="Normal 4 2 4" xfId="232" xr:uid="{47519346-CDF5-4E04-923B-8257458C65CB}"/>
    <cellStyle name="Normal 4 3" xfId="40" xr:uid="{35253C12-4963-4DB4-9C8D-F53CE5FA105F}"/>
    <cellStyle name="Normal 4 3 2" xfId="137" xr:uid="{16B47887-ECF4-4DFA-B697-F14076A64C94}"/>
    <cellStyle name="Normal 4 4" xfId="53" xr:uid="{599CBFAD-0369-4AC3-B118-5EE7175DABDF}"/>
    <cellStyle name="Normal 4 4 2" xfId="150" xr:uid="{74AF8B22-1234-49DC-B86E-EA1A6AE62599}"/>
    <cellStyle name="Normal 4 5" xfId="67" xr:uid="{10B33DEE-4EED-433A-A064-69F273340B23}"/>
    <cellStyle name="Normal 4 5 2" xfId="164" xr:uid="{66D2E9F4-5DDE-4D0F-9267-9B94E14069AA}"/>
    <cellStyle name="Normal 4 6" xfId="93" xr:uid="{D2B91C41-7AF8-4803-AA77-8868851CCE50}"/>
    <cellStyle name="Normal 4 6 2" xfId="190" xr:uid="{64581F9C-AC8B-408B-A0F0-A830CCFE8A67}"/>
    <cellStyle name="Normal 4 7" xfId="203" xr:uid="{9E367E6F-25EF-4727-AAA5-E9971D255919}"/>
    <cellStyle name="Normal 4 8" xfId="107" xr:uid="{159ABE0D-84F1-4744-9A72-EFB057E67799}"/>
    <cellStyle name="Normal 4 9" xfId="216" xr:uid="{FD5E9A6D-89CE-4ED4-AA18-347DA4FB74E4}"/>
    <cellStyle name="Normal 5" xfId="15" xr:uid="{00000000-0005-0000-0000-000012000000}"/>
    <cellStyle name="Normal 5 2" xfId="32" xr:uid="{3C841BDE-4AFA-427D-AB13-D299EE580041}"/>
    <cellStyle name="Normal 5 2 2" xfId="86" xr:uid="{EA03E941-DDD3-4366-9C74-97656A460265}"/>
    <cellStyle name="Normal 5 2 2 2" xfId="183" xr:uid="{4B82DEB1-9F93-439A-B989-CC22FAA245FC}"/>
    <cellStyle name="Normal 5 2 3" xfId="130" xr:uid="{7E00774C-8A42-49F6-8578-5FC890A204A5}"/>
    <cellStyle name="Normal 5 2 4" xfId="238" xr:uid="{F81B0422-1526-4804-8904-D4A4CEB74B87}"/>
    <cellStyle name="Normal 5 3" xfId="46" xr:uid="{9645C449-410A-4D4F-B938-97E41ADBBFEA}"/>
    <cellStyle name="Normal 5 3 2" xfId="143" xr:uid="{1F32EE71-63D4-48AB-BE69-86CD508AD779}"/>
    <cellStyle name="Normal 5 4" xfId="59" xr:uid="{28B8C0B9-0E1B-4120-82ED-2B878BD3B477}"/>
    <cellStyle name="Normal 5 4 2" xfId="156" xr:uid="{68466E97-E6E0-437E-A7D9-6236626773E0}"/>
    <cellStyle name="Normal 5 5" xfId="73" xr:uid="{B155B36C-E2ED-4A83-B739-58A68B7602C3}"/>
    <cellStyle name="Normal 5 5 2" xfId="170" xr:uid="{E43AC62B-7F33-4E6C-ACDE-92D38E65A020}"/>
    <cellStyle name="Normal 5 6" xfId="99" xr:uid="{6B9D816D-DDB0-4E88-B4F1-FF3C1A714D82}"/>
    <cellStyle name="Normal 5 6 2" xfId="196" xr:uid="{804EBD0D-D97A-4019-8937-60F9578076B0}"/>
    <cellStyle name="Normal 5 7" xfId="208" xr:uid="{EC0D7F77-0D5E-4937-A3B8-F0081478DFD4}"/>
    <cellStyle name="Normal 5 8" xfId="113" xr:uid="{3B08F590-A05D-4BCA-9E02-5C8C5BBC19AB}"/>
    <cellStyle name="Normal 5 9" xfId="222" xr:uid="{CF29C69B-EF6A-4F90-B22F-1A22ED47EE84}"/>
    <cellStyle name="Normal 6" xfId="21" xr:uid="{185388D2-3EA6-4D79-932E-E4141B6573BF}"/>
    <cellStyle name="Normal 6 2" xfId="119" xr:uid="{808099A1-A34C-4A8E-A67F-2093AD1A20A4}"/>
    <cellStyle name="Porcentaje 2" xfId="36" xr:uid="{E063B657-F59F-4AA0-BE5D-AF3906CE2596}"/>
  </cellStyles>
  <dxfs count="16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FF00"/>
        </patternFill>
      </fill>
    </dxf>
    <dxf>
      <font>
        <b/>
        <i val="0"/>
        <strike val="0"/>
        <color rgb="FF00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00"/>
      <color rgb="FFFFFFAF"/>
      <color rgb="FFFFFFCC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178593</xdr:colOff>
      <xdr:row>0</xdr:row>
      <xdr:rowOff>47625</xdr:rowOff>
    </xdr:from>
    <xdr:to>
      <xdr:col>2</xdr:col>
      <xdr:colOff>285341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ED4E1F0B-EFAB-4278-B46D-D4EB77917F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6833" cy="8188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Q9"/>
  <sheetViews>
    <sheetView tabSelected="1" zoomScale="80" zoomScaleNormal="80" workbookViewId="0">
      <selection activeCell="L21" sqref="L21"/>
    </sheetView>
  </sheetViews>
  <sheetFormatPr baseColWidth="10" defaultColWidth="7.140625" defaultRowHeight="12.75" x14ac:dyDescent="0.2"/>
  <cols>
    <col min="1" max="1" width="3.42578125" style="9" customWidth="1"/>
    <col min="2" max="2" width="10" style="3" customWidth="1"/>
    <col min="3" max="3" width="10" style="10" customWidth="1"/>
    <col min="4" max="4" width="3.140625" style="11" customWidth="1"/>
    <col min="5" max="5" width="3.28515625" style="3" customWidth="1"/>
    <col min="6" max="6" width="17.7109375" style="12" customWidth="1"/>
    <col min="7" max="7" width="13.85546875" style="12" customWidth="1"/>
    <col min="8" max="8" width="4.28515625" style="12" customWidth="1"/>
    <col min="9" max="9" width="4.7109375" style="12" customWidth="1"/>
    <col min="10" max="10" width="4.28515625" style="19" customWidth="1"/>
    <col min="11" max="11" width="3.28515625" style="20" customWidth="1"/>
    <col min="12" max="12" width="3.140625" style="20" customWidth="1"/>
    <col min="13" max="13" width="9.42578125" style="13" customWidth="1"/>
    <col min="14" max="14" width="9.5703125" style="13" customWidth="1"/>
    <col min="15" max="15" width="6.5703125" style="13" customWidth="1"/>
    <col min="16" max="16" width="7.42578125" style="13" customWidth="1"/>
    <col min="17" max="17" width="4" style="13" customWidth="1"/>
    <col min="18" max="18" width="5.7109375" style="13" customWidth="1"/>
    <col min="19" max="19" width="6.42578125" style="14" customWidth="1"/>
    <col min="20" max="20" width="7.7109375" style="14" customWidth="1"/>
    <col min="21" max="21" width="5.85546875" style="14" customWidth="1"/>
    <col min="22" max="22" width="4.5703125" style="13" customWidth="1"/>
    <col min="23" max="23" width="4" style="13" customWidth="1"/>
    <col min="24" max="24" width="3.5703125" style="13" customWidth="1"/>
    <col min="25" max="25" width="9.42578125" style="13" customWidth="1"/>
    <col min="26" max="26" width="8.7109375" style="13" customWidth="1"/>
    <col min="27" max="27" width="5.28515625" style="13" customWidth="1"/>
    <col min="28" max="28" width="7" style="13" customWidth="1"/>
    <col min="29" max="29" width="4.28515625" style="13" customWidth="1"/>
    <col min="30" max="30" width="7" style="13" customWidth="1"/>
    <col min="31" max="31" width="4.42578125" style="13" customWidth="1"/>
    <col min="32" max="32" width="4.85546875" style="13" customWidth="1"/>
    <col min="33" max="33" width="6" style="13" customWidth="1"/>
    <col min="34" max="34" width="4.140625" style="13" customWidth="1"/>
    <col min="35" max="36" width="3.7109375" style="13" customWidth="1"/>
    <col min="37" max="37" width="8.42578125" style="13" customWidth="1"/>
    <col min="38" max="38" width="8" style="13" customWidth="1"/>
    <col min="39" max="39" width="5.42578125" style="13" customWidth="1"/>
    <col min="40" max="40" width="7.140625" style="13" customWidth="1"/>
    <col min="41" max="41" width="5.7109375" style="13" customWidth="1"/>
    <col min="42" max="42" width="8.85546875" style="15" customWidth="1"/>
    <col min="43" max="43" width="4.5703125" style="6" customWidth="1"/>
    <col min="44" max="44" width="5.5703125" style="16" customWidth="1"/>
    <col min="45" max="45" width="5.7109375" style="3" customWidth="1"/>
    <col min="46" max="46" width="15.140625" style="3" customWidth="1"/>
    <col min="47" max="55" width="11.85546875" style="3" customWidth="1"/>
    <col min="56" max="56" width="15.42578125" style="3" customWidth="1"/>
    <col min="57" max="57" width="13.7109375" style="9" customWidth="1"/>
    <col min="58" max="59" width="16" style="9" customWidth="1"/>
    <col min="60" max="60" width="15" style="9" bestFit="1" customWidth="1"/>
    <col min="61" max="61" width="15.140625" style="9" customWidth="1"/>
    <col min="62" max="62" width="4.42578125" style="9" customWidth="1"/>
    <col min="63" max="63" width="5.5703125" style="9" customWidth="1"/>
    <col min="64" max="64" width="4.28515625" style="9" customWidth="1"/>
    <col min="65" max="65" width="18.28515625" style="9" customWidth="1"/>
    <col min="66" max="66" width="7.140625" style="9" customWidth="1"/>
    <col min="67" max="67" width="6.85546875" style="9" customWidth="1"/>
    <col min="68" max="68" width="9" style="9" customWidth="1"/>
    <col min="69" max="69" width="11" style="9" customWidth="1"/>
    <col min="70" max="95" width="13.140625" style="9" customWidth="1"/>
    <col min="96" max="16384" width="7.140625" style="3"/>
  </cols>
  <sheetData>
    <row r="1" spans="1:95" s="1" customFormat="1" ht="26.25" customHeight="1" thickBot="1" x14ac:dyDescent="0.3">
      <c r="A1" s="31"/>
      <c r="B1" s="32"/>
      <c r="C1" s="32"/>
      <c r="D1" s="33"/>
      <c r="E1" s="116" t="s">
        <v>13</v>
      </c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113" t="s">
        <v>58</v>
      </c>
      <c r="AQ1" s="114"/>
      <c r="AR1" s="114"/>
      <c r="AS1" s="114"/>
      <c r="AT1" s="115"/>
      <c r="AU1" s="42"/>
      <c r="AV1" s="49" t="s">
        <v>61</v>
      </c>
      <c r="AW1" s="49" t="s">
        <v>62</v>
      </c>
      <c r="AX1" s="42"/>
      <c r="AY1" s="42"/>
      <c r="AZ1" s="42"/>
      <c r="BA1" s="42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</row>
    <row r="2" spans="1:95" s="1" customFormat="1" ht="21.75" customHeight="1" thickBot="1" x14ac:dyDescent="0.3">
      <c r="A2" s="34"/>
      <c r="B2" s="35"/>
      <c r="C2" s="35"/>
      <c r="D2" s="36"/>
      <c r="E2" s="119" t="s">
        <v>27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152" t="s">
        <v>64</v>
      </c>
      <c r="AQ2" s="153"/>
      <c r="AR2" s="153"/>
      <c r="AS2" s="153"/>
      <c r="AT2" s="154"/>
      <c r="AU2" s="42"/>
      <c r="AV2" s="21">
        <v>100</v>
      </c>
      <c r="AW2" s="50">
        <v>1.6</v>
      </c>
      <c r="AX2" s="42"/>
      <c r="AY2" s="42"/>
      <c r="AZ2" s="42"/>
      <c r="BA2" s="42"/>
      <c r="BE2" s="17"/>
      <c r="BF2" s="17"/>
      <c r="BG2" s="17"/>
      <c r="BH2" s="17"/>
      <c r="BI2" s="17"/>
      <c r="BJ2" s="17"/>
      <c r="BK2" s="17"/>
      <c r="BL2" s="43"/>
      <c r="BM2" s="17"/>
      <c r="BN2" s="17"/>
      <c r="BO2" s="17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</row>
    <row r="3" spans="1:95" s="1" customFormat="1" ht="26.25" customHeight="1" thickBot="1" x14ac:dyDescent="0.3">
      <c r="A3" s="37"/>
      <c r="B3" s="38"/>
      <c r="C3" s="38"/>
      <c r="D3" s="39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152" t="s">
        <v>65</v>
      </c>
      <c r="AQ3" s="153"/>
      <c r="AR3" s="153"/>
      <c r="AS3" s="153"/>
      <c r="AT3" s="154"/>
      <c r="AU3" s="42"/>
      <c r="AV3" s="22">
        <v>125</v>
      </c>
      <c r="AW3" s="51">
        <v>2.5</v>
      </c>
      <c r="AX3" s="42"/>
      <c r="AY3" s="42"/>
      <c r="AZ3" s="42"/>
      <c r="BA3" s="42"/>
      <c r="BE3" s="17"/>
      <c r="BF3" s="17"/>
      <c r="BG3" s="17"/>
      <c r="BH3" s="17"/>
      <c r="BI3" s="17"/>
      <c r="BJ3" s="17"/>
      <c r="BK3" s="17"/>
      <c r="BL3" s="43"/>
      <c r="BM3" s="17"/>
      <c r="BN3" s="17"/>
      <c r="BO3" s="17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</row>
    <row r="4" spans="1:95" s="1" customFormat="1" ht="24.75" customHeight="1" thickBot="1" x14ac:dyDescent="0.3">
      <c r="A4" s="99" t="s">
        <v>15</v>
      </c>
      <c r="B4" s="99"/>
      <c r="C4" s="99"/>
      <c r="D4" s="99"/>
      <c r="E4" s="100">
        <v>4</v>
      </c>
      <c r="F4" s="100"/>
      <c r="G4" s="100"/>
      <c r="H4" s="100"/>
      <c r="I4" s="100"/>
      <c r="J4" s="101" t="s">
        <v>14</v>
      </c>
      <c r="K4" s="102"/>
      <c r="L4" s="102"/>
      <c r="M4" s="102"/>
      <c r="N4" s="103"/>
      <c r="O4" s="104">
        <v>160</v>
      </c>
      <c r="P4" s="104"/>
      <c r="Q4" s="104"/>
      <c r="R4" s="104"/>
      <c r="S4" s="105" t="s">
        <v>59</v>
      </c>
      <c r="T4" s="106"/>
      <c r="U4" s="106"/>
      <c r="V4" s="106"/>
      <c r="W4" s="106"/>
      <c r="X4" s="106"/>
      <c r="Y4" s="106"/>
      <c r="Z4" s="107"/>
      <c r="AA4" s="125" t="s">
        <v>6</v>
      </c>
      <c r="AB4" s="125"/>
      <c r="AC4" s="126" t="s">
        <v>7</v>
      </c>
      <c r="AD4" s="127"/>
      <c r="AE4" s="128"/>
      <c r="AF4" s="126" t="s">
        <v>5</v>
      </c>
      <c r="AG4" s="127"/>
      <c r="AH4" s="128"/>
      <c r="AI4" s="2"/>
      <c r="AJ4" s="56" t="s">
        <v>60</v>
      </c>
      <c r="AK4" s="2"/>
      <c r="AL4" s="2"/>
      <c r="AM4" s="2"/>
      <c r="AN4" s="2"/>
      <c r="AO4" s="2"/>
      <c r="AP4" s="2"/>
      <c r="AQ4" s="2"/>
      <c r="AR4" s="2"/>
      <c r="AS4" s="2"/>
      <c r="AT4" s="57"/>
      <c r="AU4" s="42"/>
      <c r="AV4" s="22">
        <v>160</v>
      </c>
      <c r="AW4" s="52">
        <v>4</v>
      </c>
      <c r="AX4" s="42"/>
      <c r="AY4" s="42"/>
      <c r="AZ4" s="42"/>
      <c r="BA4" s="42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</row>
    <row r="5" spans="1:95" s="2" customFormat="1" ht="27" customHeight="1" thickBot="1" x14ac:dyDescent="0.4">
      <c r="A5" s="108" t="s">
        <v>63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9"/>
      <c r="AA5" s="151" t="s">
        <v>12</v>
      </c>
      <c r="AB5" s="151"/>
      <c r="AC5" s="96" t="s">
        <v>11</v>
      </c>
      <c r="AD5" s="97"/>
      <c r="AE5" s="98"/>
      <c r="AF5" s="96" t="s">
        <v>20</v>
      </c>
      <c r="AG5" s="97"/>
      <c r="AH5" s="9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9"/>
      <c r="AU5" s="44"/>
      <c r="AV5" s="53">
        <v>200</v>
      </c>
      <c r="AW5" s="51">
        <v>6.3</v>
      </c>
      <c r="AX5" s="44"/>
      <c r="AY5" s="44"/>
      <c r="AZ5" s="44"/>
      <c r="BA5" s="44"/>
      <c r="BE5" s="17"/>
      <c r="BF5" s="45"/>
      <c r="BG5" s="46"/>
      <c r="BH5" s="45"/>
      <c r="BI5" s="45"/>
      <c r="BJ5" s="45"/>
      <c r="BK5" s="47"/>
      <c r="BL5" s="47"/>
      <c r="BM5" s="45"/>
      <c r="BN5" s="45"/>
      <c r="BO5" s="45"/>
      <c r="BP5" s="45"/>
      <c r="BQ5" s="45"/>
      <c r="BR5" s="45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</row>
    <row r="6" spans="1:95" ht="15" customHeight="1" thickBot="1" x14ac:dyDescent="0.3">
      <c r="A6" s="159" t="s">
        <v>21</v>
      </c>
      <c r="B6" s="162" t="s">
        <v>23</v>
      </c>
      <c r="C6" s="156" t="s">
        <v>22</v>
      </c>
      <c r="D6" s="165" t="s">
        <v>26</v>
      </c>
      <c r="E6" s="129" t="s">
        <v>30</v>
      </c>
      <c r="F6" s="138" t="s">
        <v>18</v>
      </c>
      <c r="G6" s="132" t="s">
        <v>10</v>
      </c>
      <c r="H6" s="147" t="s">
        <v>17</v>
      </c>
      <c r="I6" s="148"/>
      <c r="J6" s="141">
        <f>+E4*1000</f>
        <v>4000</v>
      </c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3"/>
      <c r="V6" s="179">
        <f>AH6*1.6</f>
        <v>40</v>
      </c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1"/>
      <c r="AH6" s="173">
        <f>J6/O4</f>
        <v>25</v>
      </c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5"/>
      <c r="AT6" s="169" t="s">
        <v>4</v>
      </c>
      <c r="AU6" s="16"/>
      <c r="AV6" s="54">
        <v>400</v>
      </c>
      <c r="AW6" s="55"/>
      <c r="AX6" s="16"/>
      <c r="AY6" s="16"/>
      <c r="AZ6" s="16"/>
      <c r="BA6" s="16"/>
      <c r="BE6" s="17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95" ht="21.75" customHeight="1" x14ac:dyDescent="0.2">
      <c r="A7" s="160"/>
      <c r="B7" s="163"/>
      <c r="C7" s="157"/>
      <c r="D7" s="166"/>
      <c r="E7" s="130"/>
      <c r="F7" s="139"/>
      <c r="G7" s="133"/>
      <c r="H7" s="149"/>
      <c r="I7" s="150"/>
      <c r="J7" s="144" t="s">
        <v>6</v>
      </c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6"/>
      <c r="V7" s="176" t="s">
        <v>7</v>
      </c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8"/>
      <c r="AH7" s="176" t="s">
        <v>5</v>
      </c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8"/>
      <c r="AT7" s="170"/>
      <c r="AU7" s="16"/>
      <c r="AV7" s="16"/>
      <c r="BD7" s="182" t="s">
        <v>19</v>
      </c>
      <c r="BE7" s="183"/>
      <c r="BF7" s="183"/>
      <c r="BG7" s="48"/>
      <c r="BH7" s="5"/>
      <c r="BI7" s="5"/>
      <c r="BJ7" s="5"/>
      <c r="BK7" s="5"/>
      <c r="BL7" s="5"/>
      <c r="BM7" s="5"/>
      <c r="BN7" s="5"/>
      <c r="BO7" s="5"/>
      <c r="BP7" s="5"/>
      <c r="BX7" s="155" t="s">
        <v>54</v>
      </c>
      <c r="BY7" s="155"/>
      <c r="BZ7" s="155"/>
      <c r="CA7" s="110" t="s">
        <v>55</v>
      </c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1"/>
      <c r="CM7" s="111"/>
      <c r="CN7" s="111"/>
      <c r="CO7" s="111"/>
      <c r="CP7" s="111"/>
      <c r="CQ7" s="112"/>
    </row>
    <row r="8" spans="1:95" s="4" customFormat="1" ht="83.25" customHeight="1" thickBot="1" x14ac:dyDescent="0.25">
      <c r="A8" s="161"/>
      <c r="B8" s="164"/>
      <c r="C8" s="158"/>
      <c r="D8" s="167"/>
      <c r="E8" s="131"/>
      <c r="F8" s="140"/>
      <c r="G8" s="134"/>
      <c r="H8" s="26" t="s">
        <v>16</v>
      </c>
      <c r="I8" s="27" t="s">
        <v>4</v>
      </c>
      <c r="J8" s="24" t="s">
        <v>8</v>
      </c>
      <c r="K8" s="7" t="s">
        <v>24</v>
      </c>
      <c r="L8" s="7" t="s">
        <v>25</v>
      </c>
      <c r="M8" s="8" t="s">
        <v>0</v>
      </c>
      <c r="N8" s="8" t="s">
        <v>1</v>
      </c>
      <c r="O8" s="30" t="s">
        <v>2</v>
      </c>
      <c r="P8" s="135" t="s">
        <v>9</v>
      </c>
      <c r="Q8" s="136"/>
      <c r="R8" s="136"/>
      <c r="S8" s="137"/>
      <c r="T8" s="23" t="s">
        <v>6</v>
      </c>
      <c r="U8" s="25" t="s">
        <v>3</v>
      </c>
      <c r="V8" s="24" t="s">
        <v>8</v>
      </c>
      <c r="W8" s="7" t="s">
        <v>24</v>
      </c>
      <c r="X8" s="7" t="s">
        <v>25</v>
      </c>
      <c r="Y8" s="8" t="s">
        <v>0</v>
      </c>
      <c r="Z8" s="8" t="s">
        <v>1</v>
      </c>
      <c r="AA8" s="30" t="s">
        <v>2</v>
      </c>
      <c r="AB8" s="172" t="s">
        <v>9</v>
      </c>
      <c r="AC8" s="172"/>
      <c r="AD8" s="172"/>
      <c r="AE8" s="172"/>
      <c r="AF8" s="23" t="s">
        <v>7</v>
      </c>
      <c r="AG8" s="25" t="s">
        <v>3</v>
      </c>
      <c r="AH8" s="24" t="s">
        <v>8</v>
      </c>
      <c r="AI8" s="7" t="s">
        <v>24</v>
      </c>
      <c r="AJ8" s="7" t="s">
        <v>25</v>
      </c>
      <c r="AK8" s="8" t="s">
        <v>0</v>
      </c>
      <c r="AL8" s="8" t="s">
        <v>1</v>
      </c>
      <c r="AM8" s="30" t="s">
        <v>2</v>
      </c>
      <c r="AN8" s="172" t="s">
        <v>9</v>
      </c>
      <c r="AO8" s="172"/>
      <c r="AP8" s="172"/>
      <c r="AQ8" s="172"/>
      <c r="AR8" s="23" t="s">
        <v>5</v>
      </c>
      <c r="AS8" s="25" t="s">
        <v>3</v>
      </c>
      <c r="AT8" s="171"/>
      <c r="AU8" s="5"/>
      <c r="AV8" s="5"/>
      <c r="AW8" s="5"/>
      <c r="AX8" s="5"/>
      <c r="AY8" s="60" t="s">
        <v>56</v>
      </c>
      <c r="AZ8" s="60" t="s">
        <v>57</v>
      </c>
      <c r="BA8" s="61" t="s">
        <v>66</v>
      </c>
      <c r="BB8" s="61" t="s">
        <v>67</v>
      </c>
      <c r="BC8" s="61" t="s">
        <v>68</v>
      </c>
      <c r="BD8" s="40" t="s">
        <v>28</v>
      </c>
      <c r="BE8" s="41" t="s">
        <v>5</v>
      </c>
      <c r="BF8" s="41" t="s">
        <v>7</v>
      </c>
      <c r="BG8" s="41" t="s">
        <v>6</v>
      </c>
      <c r="BH8" s="168" t="s">
        <v>29</v>
      </c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29" t="s">
        <v>31</v>
      </c>
      <c r="BT8" s="29" t="s">
        <v>32</v>
      </c>
      <c r="BU8" s="29" t="s">
        <v>33</v>
      </c>
      <c r="BV8" s="29" t="s">
        <v>34</v>
      </c>
      <c r="BW8" s="29" t="s">
        <v>35</v>
      </c>
      <c r="BX8" s="29" t="s">
        <v>36</v>
      </c>
      <c r="BY8" s="29" t="s">
        <v>37</v>
      </c>
      <c r="BZ8" s="29" t="s">
        <v>38</v>
      </c>
      <c r="CA8" s="29" t="s">
        <v>36</v>
      </c>
      <c r="CB8" s="29" t="s">
        <v>39</v>
      </c>
      <c r="CC8" s="29" t="s">
        <v>40</v>
      </c>
      <c r="CD8" s="29" t="s">
        <v>41</v>
      </c>
      <c r="CE8" s="29" t="s">
        <v>42</v>
      </c>
      <c r="CF8" s="29" t="s">
        <v>43</v>
      </c>
      <c r="CG8" s="29" t="s">
        <v>44</v>
      </c>
      <c r="CH8" s="29" t="s">
        <v>45</v>
      </c>
      <c r="CI8" s="29" t="s">
        <v>46</v>
      </c>
      <c r="CJ8" s="29" t="s">
        <v>47</v>
      </c>
      <c r="CK8" s="29" t="s">
        <v>48</v>
      </c>
      <c r="CL8" s="29" t="s">
        <v>49</v>
      </c>
      <c r="CM8" s="29" t="s">
        <v>50</v>
      </c>
      <c r="CN8" s="29" t="s">
        <v>51</v>
      </c>
      <c r="CO8" s="29" t="s">
        <v>52</v>
      </c>
      <c r="CP8" s="29" t="s">
        <v>53</v>
      </c>
      <c r="CQ8" s="29" t="s">
        <v>38</v>
      </c>
    </row>
    <row r="9" spans="1:95" ht="15" customHeight="1" x14ac:dyDescent="0.25">
      <c r="A9" s="66">
        <v>1</v>
      </c>
      <c r="B9" s="67">
        <v>45901</v>
      </c>
      <c r="C9" s="68">
        <v>45901</v>
      </c>
      <c r="D9" s="69">
        <v>6</v>
      </c>
      <c r="E9" s="70">
        <v>4</v>
      </c>
      <c r="F9" s="71" t="s">
        <v>69</v>
      </c>
      <c r="G9" s="62" t="s">
        <v>70</v>
      </c>
      <c r="H9" s="72">
        <v>16</v>
      </c>
      <c r="I9" s="73">
        <v>0</v>
      </c>
      <c r="J9" s="74">
        <v>17.8</v>
      </c>
      <c r="K9" s="75">
        <v>5.1369999999999996</v>
      </c>
      <c r="L9" s="75">
        <v>0.76100000000000001</v>
      </c>
      <c r="M9" s="76">
        <v>256.39</v>
      </c>
      <c r="N9" s="76">
        <v>356.85</v>
      </c>
      <c r="O9" s="77">
        <v>101.13</v>
      </c>
      <c r="P9" s="78" t="s">
        <v>71</v>
      </c>
      <c r="Q9" s="79" t="s">
        <v>72</v>
      </c>
      <c r="R9" s="79" t="s">
        <v>73</v>
      </c>
      <c r="S9" s="79">
        <v>2.6124999999999999E-2</v>
      </c>
      <c r="T9" s="80">
        <v>3871.0047846889952</v>
      </c>
      <c r="U9" s="81">
        <v>-0.66251359636107887</v>
      </c>
      <c r="V9" s="74">
        <v>17.8</v>
      </c>
      <c r="W9" s="75">
        <v>1.498</v>
      </c>
      <c r="X9" s="75">
        <v>1.4930000000000001</v>
      </c>
      <c r="Y9" s="76">
        <v>367.42</v>
      </c>
      <c r="Z9" s="76">
        <v>377.36</v>
      </c>
      <c r="AA9" s="82">
        <v>10.032999999999999</v>
      </c>
      <c r="AB9" s="83" t="s">
        <v>74</v>
      </c>
      <c r="AC9" s="79" t="s">
        <v>75</v>
      </c>
      <c r="AD9" s="79" t="s">
        <v>76</v>
      </c>
      <c r="AE9" s="79">
        <v>0.23394166666666669</v>
      </c>
      <c r="AF9" s="80">
        <v>42.886759519823315</v>
      </c>
      <c r="AG9" s="84">
        <v>-0.92694109438853545</v>
      </c>
      <c r="AH9" s="74">
        <v>17.8</v>
      </c>
      <c r="AI9" s="75">
        <v>1.5</v>
      </c>
      <c r="AJ9" s="75">
        <v>1.4950000000000001</v>
      </c>
      <c r="AK9" s="76">
        <v>377.36</v>
      </c>
      <c r="AL9" s="76">
        <v>382.22</v>
      </c>
      <c r="AM9" s="85">
        <v>5.0190000000000001</v>
      </c>
      <c r="AN9" s="78" t="s">
        <v>77</v>
      </c>
      <c r="AO9" s="79" t="s">
        <v>78</v>
      </c>
      <c r="AP9" s="79" t="s">
        <v>79</v>
      </c>
      <c r="AQ9" s="79">
        <v>0.18868888888888888</v>
      </c>
      <c r="AR9" s="80">
        <v>26.599340478153341</v>
      </c>
      <c r="AS9" s="84">
        <v>-3.1679617453673337</v>
      </c>
      <c r="AT9" s="64" t="s">
        <v>80</v>
      </c>
      <c r="AU9" s="65" t="b">
        <f t="shared" ref="AU9" si="0">B9=C9</f>
        <v>1</v>
      </c>
      <c r="AV9" s="9" t="str">
        <f t="shared" ref="AV9" si="1">MID(G9,1,2)</f>
        <v>QB</v>
      </c>
      <c r="AW9" s="5">
        <f t="shared" ref="AW9" si="2">LEN(G9)</f>
        <v>10</v>
      </c>
      <c r="AX9" s="86" t="s">
        <v>81</v>
      </c>
      <c r="AY9" s="86" t="b">
        <f t="shared" ref="AY9" si="3">N9&lt;Y9</f>
        <v>1</v>
      </c>
      <c r="AZ9" s="86" t="b">
        <f t="shared" ref="AZ9" si="4">Z9&lt;=AK9</f>
        <v>1</v>
      </c>
      <c r="BA9" s="86" t="b">
        <f t="shared" ref="BA9" si="5">L9&lt;K9</f>
        <v>1</v>
      </c>
      <c r="BB9" s="86" t="b">
        <f t="shared" ref="BB9" si="6">W9&gt;=X9</f>
        <v>1</v>
      </c>
      <c r="BC9" s="86" t="b">
        <f t="shared" ref="BC9" si="7">AI9&gt;=AJ9</f>
        <v>1</v>
      </c>
      <c r="BD9" s="5" t="str">
        <f t="shared" ref="BD9" si="8">IF(I9&gt;=1,"Qcorrecto",IF(AND(BE9="aceptable",BF9="aceptable",BG9="aceptable"),"Qcorrecto","Qincorrecto"))</f>
        <v>Qcorrecto</v>
      </c>
      <c r="BE9" s="63" t="str">
        <f t="shared" ref="BE9" si="9">IF(AR9&lt;$AH$6,"error",IF(AR9&gt;$AH$6*1.1,"error","aceptable"))</f>
        <v>aceptable</v>
      </c>
      <c r="BF9" s="63" t="str">
        <f t="shared" ref="BF9" si="10">IF(AF9&lt;$V$6,"error",IF(AF9&gt;$V$6*1.1,"error","aceptable"))</f>
        <v>aceptable</v>
      </c>
      <c r="BG9" s="63" t="str">
        <f t="shared" ref="BG9" si="11">IF(T9&lt;$J$6*0.9,"error",IF(T9&gt;$J$6,"error","aceptable"))</f>
        <v>aceptable</v>
      </c>
      <c r="BH9" s="87" t="str">
        <f t="shared" ref="BH9" si="12">(IF(ABS(U9)&lt;1,"CONFORME",IF(ABS(AG9)&lt;1,"CONFORME",IF(ABS(AS9)&lt;2.5,"CONFORME","NO CONFORME"))))</f>
        <v>CONFORME</v>
      </c>
      <c r="BI9" s="88" t="str">
        <f t="shared" ref="BI9" si="13">(IF(ABS(U9)&gt;2.044,"NO CONFORME",IF(ABS(AG9)&gt;2.044,"NO CONFORME",IF(ABS(AS9)&gt;5.044,"NO CONFORME","CONFORME"))))</f>
        <v>CONFORME</v>
      </c>
      <c r="BJ9" s="9">
        <f t="shared" ref="BJ9" si="14">SIGN(U9)</f>
        <v>-1</v>
      </c>
      <c r="BK9" s="9">
        <f t="shared" ref="BK9" si="15">SIGN(AG9)</f>
        <v>-1</v>
      </c>
      <c r="BL9" s="9">
        <f t="shared" ref="BL9" si="16">SIGN(AS9)</f>
        <v>-1</v>
      </c>
      <c r="BM9" s="9" t="str">
        <f t="shared" ref="BM9" si="17">CONCATENATE(BJ9,BK9,BL9)</f>
        <v>-1-1-1</v>
      </c>
      <c r="BN9" s="9" t="str">
        <f t="shared" ref="BN9" si="18">IF(BM9="111","SI","SD")</f>
        <v>SD</v>
      </c>
      <c r="BO9" s="9" t="str">
        <f t="shared" ref="BO9" si="19">IF(BM9="-1-1-1","SI","SD")</f>
        <v>SI</v>
      </c>
      <c r="BP9" s="9" t="b">
        <f t="shared" ref="BP9" si="20">OR(BN9="SI",BO9="SI")</f>
        <v>1</v>
      </c>
      <c r="BQ9" s="9" t="str">
        <f t="shared" ref="BQ9" si="21">IF(BP9=FALSE,"SIGDIFERENTES","SIGIGUALES")</f>
        <v>SIGIGUALES</v>
      </c>
      <c r="BR9" s="89" t="str">
        <f t="shared" ref="BR9" si="22">IF(BI9="NO CONFORME","NO CONFORME",IF(BH9="CONFORME","CONFORME","NO CONFORME"))</f>
        <v>CONFORME</v>
      </c>
      <c r="BS9" s="5" t="str">
        <f t="shared" ref="BS9:BT9" si="23">F9</f>
        <v>VI-142068-2025</v>
      </c>
      <c r="BT9" s="90" t="str">
        <f t="shared" si="23"/>
        <v>QB25009850</v>
      </c>
      <c r="BU9" s="5" t="str">
        <f t="shared" ref="BU9" si="24">"20"&amp;+MID(G9,3,2)</f>
        <v>2025</v>
      </c>
      <c r="BV9" s="91">
        <f t="shared" ref="BV9" si="25">C9</f>
        <v>45901</v>
      </c>
      <c r="BW9" s="5" t="str">
        <f t="shared" ref="BW9" si="26">AT9</f>
        <v>CONFORME</v>
      </c>
      <c r="BX9" s="91">
        <f t="shared" ref="BX9" si="27">B9</f>
        <v>45901</v>
      </c>
      <c r="BY9" s="92">
        <f t="shared" ref="BY9" si="28">H9</f>
        <v>16</v>
      </c>
      <c r="BZ9" s="5" t="str">
        <f t="shared" ref="BZ9" si="29">IF(I9=0,"CONFORME","NO CONFORME")</f>
        <v>CONFORME</v>
      </c>
      <c r="CA9" s="91">
        <f t="shared" ref="CA9" si="30">C9</f>
        <v>45901</v>
      </c>
      <c r="CB9" s="93">
        <f t="shared" ref="CB9" si="31">AH9</f>
        <v>17.8</v>
      </c>
      <c r="CC9" s="94">
        <f t="shared" ref="CC9" si="32">AR9</f>
        <v>26.599340478153341</v>
      </c>
      <c r="CD9" s="93">
        <f t="shared" ref="CD9:CE9" si="33">AI9</f>
        <v>1.5</v>
      </c>
      <c r="CE9" s="93">
        <f t="shared" si="33"/>
        <v>1.4950000000000001</v>
      </c>
      <c r="CF9" s="93">
        <f t="shared" ref="CF9" si="34">AS9</f>
        <v>-3.1679617453673337</v>
      </c>
      <c r="CG9" s="93">
        <f t="shared" ref="CG9" si="35">V9</f>
        <v>17.8</v>
      </c>
      <c r="CH9" s="94">
        <f t="shared" ref="CH9" si="36">AF9</f>
        <v>42.886759519823315</v>
      </c>
      <c r="CI9" s="93">
        <f t="shared" ref="CI9:CJ9" si="37">W9</f>
        <v>1.498</v>
      </c>
      <c r="CJ9" s="93">
        <f t="shared" si="37"/>
        <v>1.4930000000000001</v>
      </c>
      <c r="CK9" s="93">
        <f t="shared" ref="CK9" si="38">AG9</f>
        <v>-0.92694109438853545</v>
      </c>
      <c r="CL9" s="93">
        <f t="shared" ref="CL9" si="39">J9</f>
        <v>17.8</v>
      </c>
      <c r="CM9" s="94">
        <f t="shared" ref="CM9" si="40">T9</f>
        <v>3871.0047846889952</v>
      </c>
      <c r="CN9" s="93">
        <f t="shared" ref="CN9:CO9" si="41">K9</f>
        <v>5.1369999999999996</v>
      </c>
      <c r="CO9" s="93">
        <f t="shared" si="41"/>
        <v>0.76100000000000001</v>
      </c>
      <c r="CP9" s="95">
        <f t="shared" ref="CP9" si="42">U9</f>
        <v>-0.66251359636107887</v>
      </c>
      <c r="CQ9" s="5" t="str">
        <f t="shared" ref="CQ9" si="43">AT9</f>
        <v>CONFORME</v>
      </c>
    </row>
  </sheetData>
  <protectedRanges>
    <protectedRange sqref="B6487:P6546" name="Rango1_15"/>
    <protectedRange sqref="V6487:AB6546" name="Rango2_15"/>
    <protectedRange sqref="AH6487:AN6546" name="Rango4_15"/>
    <protectedRange sqref="B6547:P6606" name="Rango1_1_3"/>
    <protectedRange sqref="V6547:AB6606" name="Rango2_1_3"/>
    <protectedRange sqref="AH6547:AN6606" name="Rango4_1_4"/>
    <protectedRange sqref="B6607:P6678" name="Rango1_2_5"/>
    <protectedRange sqref="V6607:AB6678" name="Rango2_2_4"/>
    <protectedRange sqref="AH6607:AN6678" name="Rango4_2_4"/>
    <protectedRange sqref="B6787:P6866" name="Rango1_3_4"/>
    <protectedRange sqref="V6787:AB6866" name="Rango2_3_4"/>
    <protectedRange sqref="AH6787:AN6866" name="Rango4_3_4"/>
    <protectedRange sqref="B2784:P2875" name="Rango1_5_15"/>
    <protectedRange sqref="V2784:AB2875" name="Rango2_5_16"/>
    <protectedRange sqref="AH2784:AN2875" name="Rango4_5_16"/>
    <protectedRange sqref="B2876:P2965" name="Rango1_6_16"/>
    <protectedRange sqref="V2876:AB2965" name="Rango2_6_14"/>
    <protectedRange sqref="AH2876:AN2965" name="Rango4_6_14"/>
    <protectedRange sqref="B2966:P2985" name="Rango1_7_5"/>
    <protectedRange sqref="V2966:AB2985" name="Rango2_7_5"/>
    <protectedRange sqref="AH2966:AN2985" name="Rango4_7_5"/>
    <protectedRange sqref="B2986:P3060" name="Rango1_8_4"/>
    <protectedRange sqref="V2986:AB3060" name="Rango2_8_5"/>
    <protectedRange sqref="AH2986:AN3060" name="Rango4_8_5"/>
    <protectedRange sqref="B3061:P3065" name="Rango1_9_4"/>
    <protectedRange sqref="V3061:AB3065" name="Rango2_9_4"/>
    <protectedRange sqref="AH3061:AN3065" name="Rango4_9_4"/>
    <protectedRange sqref="B3066:P3195" name="Rango1_24"/>
    <protectedRange sqref="V3066:AB3195" name="Rango2_25"/>
    <protectedRange sqref="AH3066:AN3195" name="Rango4_24"/>
    <protectedRange sqref="B3196:P3245" name="Rango1_1_17"/>
    <protectedRange sqref="V3196:AB3245" name="Rango2_1_18"/>
    <protectedRange sqref="AH3196:AN3245" name="Rango4_1_19"/>
    <protectedRange sqref="B3246:P3315" name="Rango1_2_18"/>
    <protectedRange sqref="V3246:AB3315" name="Rango2_2_18"/>
    <protectedRange sqref="AH3246:AN3315" name="Rango4_2_18"/>
    <protectedRange sqref="B3316:P3425" name="Rango1_3_18"/>
    <protectedRange sqref="V3316:AB3425" name="Rango2_3_18"/>
    <protectedRange sqref="AH3316:AN3425" name="Rango4_3_18"/>
    <protectedRange sqref="B3426:P3441" name="Rango1_4_17"/>
    <protectedRange sqref="V3426:AB3441" name="Rango2_4_18"/>
    <protectedRange sqref="AH3426:AN3441" name="Rango4_4_17"/>
    <protectedRange sqref="B3442:P3465" name="Rango1_5_16"/>
    <protectedRange sqref="V3442:AB3465" name="Rango2_5_17"/>
    <protectedRange sqref="AH3442:AN3465" name="Rango4_5_17"/>
    <protectedRange sqref="B3466:P3501" name="Rango1_6_17"/>
    <protectedRange sqref="V3466:AB3501" name="Rango2_6_15"/>
    <protectedRange sqref="AH3466:AN3501" name="Rango4_6_15"/>
    <protectedRange sqref="B3502:P3545" name="Rango1_7_11"/>
    <protectedRange sqref="V3502:AB3545" name="Rango2_7_10"/>
    <protectedRange sqref="AH3502:AN3545" name="Rango4_7_9"/>
    <protectedRange sqref="B3546:P3620" name="Rango1_8_5"/>
    <protectedRange sqref="V3546:AB3620" name="Rango2_8_6"/>
    <protectedRange sqref="AH3546:AN3620" name="Rango4_8_6"/>
    <protectedRange sqref="B3621:P3665" name="Rango1_9_5"/>
    <protectedRange sqref="V3621:AB3665" name="Rango2_9_5"/>
    <protectedRange sqref="AH3621:AN3665" name="Rango4_9_5"/>
    <protectedRange sqref="B3666:P3755" name="Rango1_25"/>
    <protectedRange sqref="V3756:AB3845" name="Rango2_1_19"/>
    <protectedRange sqref="AH3756:AN3845" name="Rango4_1_20"/>
    <protectedRange sqref="B3846:P3851" name="Rango1_2_19"/>
    <protectedRange sqref="V3846:AB3851" name="Rango2_2_19"/>
    <protectedRange sqref="AH3846:AN3851" name="Rango4_2_19"/>
    <protectedRange sqref="B3852:P3899" name="Rango1_3_19"/>
    <protectedRange sqref="V3852:AB3899" name="Rango2_3_19"/>
    <protectedRange sqref="AH3852:AN3899" name="Rango4_3_19"/>
    <protectedRange sqref="B3900:P3901" name="Rango1_5_17"/>
    <protectedRange sqref="V3900:AB3901" name="Rango2_5_18"/>
    <protectedRange sqref="AH3900:AN3901" name="Rango4_5_18"/>
    <protectedRange sqref="B3902:P3905" name="Rango1_7_12"/>
    <protectedRange sqref="V3902:AB3905" name="Rango2_6_16"/>
    <protectedRange sqref="AH3902:AN3905" name="Rango4_6_16"/>
    <protectedRange sqref="B3906:P3945" name="Rango1_8_8"/>
    <protectedRange sqref="V3906:AB3945" name="Rango2_7_11"/>
    <protectedRange sqref="AH3906:AN3945" name="Rango4_7_10"/>
    <protectedRange sqref="B3946:P4065" name="Rango1_9_6"/>
    <protectedRange sqref="V3946:AB4065" name="Rango2_8_7"/>
    <protectedRange sqref="AH3946:AN4065" name="Rango4_8_7"/>
    <protectedRange sqref="B4066:P4112" name="Rango1_2"/>
    <protectedRange sqref="V4066:AB4112" name="Rango2_4"/>
    <protectedRange sqref="AH4066:AN4112" name="Rango4"/>
    <protectedRange sqref="B4113:P4167" name="Rango1_4"/>
    <protectedRange sqref="V4113:AB4167" name="Rango2_5"/>
    <protectedRange sqref="AH4113:AN4167" name="Rango4_3"/>
    <protectedRange sqref="B4168:P4197" name="Rango1_5"/>
    <protectedRange sqref="V4168:AB4197" name="Rango2_6"/>
    <protectedRange sqref="AH4168:AN4197" name="Rango4_4"/>
    <protectedRange sqref="B4198:P4253" name="Rango1_7"/>
    <protectedRange sqref="V4198:AB4253" name="Rango2_7"/>
    <protectedRange sqref="AH4198:AN4253" name="Rango4_5"/>
    <protectedRange sqref="B4254:P4300" name="Rango1_8"/>
    <protectedRange sqref="V4254:AB4300" name="Rango2_8"/>
    <protectedRange sqref="AH4254:AN4300" name="Rango4_6"/>
    <protectedRange sqref="B571:P579" name="Rango1_8_2"/>
    <protectedRange sqref="V571:AB579" name="Rango2_7_6"/>
    <protectedRange sqref="AH571:AN579" name="Rango4_7_6"/>
    <protectedRange sqref="B580:P589" name="Rango1_9_1"/>
    <protectedRange sqref="V580:AB589" name="Rango2_8_2"/>
    <protectedRange sqref="AH580:AN589" name="Rango4_8_4"/>
    <protectedRange sqref="B590:P709" name="Rango1_27"/>
    <protectedRange sqref="V590:AB709" name="Rango2_27"/>
    <protectedRange sqref="AH590:AN709" name="Rango4_19"/>
    <protectedRange sqref="B710:P789" name="Rango1_1_11"/>
    <protectedRange sqref="V710:AB789" name="Rango2_1_9"/>
    <protectedRange sqref="AH710:AN789" name="Rango4_1_9"/>
    <protectedRange sqref="B790:P846" name="Rango1_2_7"/>
    <protectedRange sqref="V790:AB846" name="Rango2_2_7"/>
    <protectedRange sqref="AH790:AN846" name="Rango4_2_7"/>
    <protectedRange sqref="B847:P869" name="Rango1_3_5"/>
    <protectedRange sqref="V847:AB869" name="Rango2_3_7"/>
    <protectedRange sqref="AH847:AN869" name="Rango4_3_8"/>
    <protectedRange sqref="B870:P898" name="Rango1_4_7"/>
    <protectedRange sqref="V870:AB898" name="Rango2_4_7"/>
    <protectedRange sqref="AH870:AN898" name="Rango4_4_7"/>
    <protectedRange sqref="B899:P949" name="Rango1_5_7"/>
    <protectedRange sqref="V899:AB949" name="Rango2_5_7"/>
    <protectedRange sqref="AH899:AN949" name="Rango4_5_6"/>
    <protectedRange sqref="B950:P1029" name="Rango1_6_6"/>
    <protectedRange sqref="V950:AB1029" name="Rango2_6_7"/>
    <protectedRange sqref="AH950:AN1029" name="Rango4_6_7"/>
    <protectedRange sqref="B1030:P1037" name="Rango1_7_7"/>
    <protectedRange sqref="V1030:AB1037" name="Rango2_7_7"/>
    <protectedRange sqref="AH1030:AN1037" name="Rango4_7_7"/>
    <protectedRange sqref="B1038:P1136" name="Rango1_8_6"/>
    <protectedRange sqref="V1038:AB1136" name="Rango2_8_4"/>
    <protectedRange sqref="AH1038:AN1136" name="Rango4_8_10"/>
    <protectedRange sqref="B1137:P1139" name="Rango1_9_2"/>
    <protectedRange sqref="V1137:AB1139" name="Rango2_9_1"/>
    <protectedRange sqref="AH1137:AN1139" name="Rango4_9_1"/>
    <protectedRange sqref="B1140:P1189" name="Rango1_10_1"/>
    <protectedRange sqref="V1140:AB1189" name="Rango2_10_1"/>
    <protectedRange sqref="AH1140:AN1189" name="Rango4_10_1"/>
    <protectedRange sqref="B1190:P1229" name="Rango1_28"/>
    <protectedRange sqref="V1190:AB1229" name="Rango2_28"/>
    <protectedRange sqref="AH1190:AN1229" name="Rango4_25"/>
    <protectedRange sqref="B1230:P1379" name="Rango1_1_12"/>
    <protectedRange sqref="V1230:AB1379" name="Rango2_1_12"/>
    <protectedRange sqref="AH1230:AN1379" name="Rango4_1_13"/>
    <protectedRange sqref="B1380:P1399" name="Rango1_2_10"/>
    <protectedRange sqref="V1380:AB1399" name="Rango2_2_9"/>
    <protectedRange sqref="AH1380:AN1399" name="Rango4_2_9"/>
    <protectedRange sqref="B1400:P1469" name="Rango1_3_8"/>
    <protectedRange sqref="V1400:AB1469" name="Rango2_3_9"/>
    <protectedRange sqref="AH1400:AN1469" name="Rango4_3_10"/>
    <protectedRange sqref="B1470:P1639" name="Rango1_4_9"/>
    <protectedRange sqref="V1470:AB1639" name="Rango2_4_8"/>
    <protectedRange sqref="AH1470:AN1639" name="Rango4_4_8"/>
    <protectedRange sqref="B1640:P1769" name="Rango1_5_9"/>
    <protectedRange sqref="V1640:AB1769" name="Rango2_5_9"/>
    <protectedRange sqref="AH1640:AN1769" name="Rango4_5_7"/>
    <protectedRange sqref="B1770:P1789" name="Rango1_6_8"/>
    <protectedRange sqref="V1770:AB1789" name="Rango2_6_9"/>
    <protectedRange sqref="AH1770:AN1789" name="Rango4_6_9"/>
    <protectedRange sqref="B1790:P1817" name="Rango1_10"/>
    <protectedRange sqref="V1790:AB1817" name="Rango2_10"/>
    <protectedRange sqref="AH1790:AN1817" name="Rango4_8"/>
    <protectedRange sqref="B1818:P1832" name="Rango1_1_4"/>
    <protectedRange sqref="V1818:AB1832" name="Rango2_1_4"/>
    <protectedRange sqref="AH1818:AN1832" name="Rango4_1_5"/>
    <protectedRange sqref="B1833:P1856" name="Rango1_11"/>
    <protectedRange sqref="V1833:AB1856" name="Rango2_11"/>
    <protectedRange sqref="AH1833:AN1856" name="Rango4_9"/>
    <protectedRange sqref="B1857:P1883" name="Rango1_12"/>
    <protectedRange sqref="V1857:AB1883" name="Rango2_12"/>
    <protectedRange sqref="AH1857:AN1883" name="Rango4_10"/>
    <protectedRange sqref="B1884:P1993" name="Rango1_13"/>
    <protectedRange sqref="V1884:AB1993" name="Rango2_16"/>
    <protectedRange sqref="AH1884:AN1993" name="Rango4_11"/>
    <protectedRange sqref="B1994:P2053" name="Rango1_1_6"/>
    <protectedRange sqref="V1994:AB2053" name="Rango2_1_6"/>
    <protectedRange sqref="AH1994:AN2053" name="Rango4_1_7"/>
    <protectedRange sqref="B2054:P2163" name="Rango1_2_6"/>
    <protectedRange sqref="V2054:AB2163" name="Rango2_2_5"/>
    <protectedRange sqref="AH2054:AN2163" name="Rango4_2_5"/>
    <protectedRange sqref="B2164:P2213" name="Rango1_3_1"/>
    <protectedRange sqref="V2164:AB2213" name="Rango2_3_1"/>
    <protectedRange sqref="AH2164:AN2213" name="Rango4_3_6"/>
    <protectedRange sqref="B2214:P2243" name="Rango1_4_5"/>
    <protectedRange sqref="V2214:AB2243" name="Rango2_4_5"/>
    <protectedRange sqref="AH2214:AN2243" name="Rango4_4_5"/>
    <protectedRange sqref="B2244:P2342" name="Rango1_17"/>
    <protectedRange sqref="V2244:AB2342" name="Rango2_17"/>
    <protectedRange sqref="AH2244:AN2342" name="Rango4_17"/>
    <protectedRange sqref="B2343:P2343" name="Rango1_1_7"/>
    <protectedRange sqref="V2343:AB2343" name="Rango2_1_8"/>
    <protectedRange sqref="AH2343:AN2343" name="Rango4_1_10"/>
    <protectedRange sqref="B2344:P2400" name="Rango1_2_8"/>
    <protectedRange sqref="V2344:AB2400" name="Rango2_2_6"/>
    <protectedRange sqref="AH2344:AN2400" name="Rango4_2_6"/>
    <protectedRange sqref="B2401:P2415" name="Rango1_3_6"/>
    <protectedRange sqref="V2401:AB2415" name="Rango2_3_6"/>
    <protectedRange sqref="AH2401:AN2415" name="Rango4_3_7"/>
    <protectedRange sqref="B2416:P2423" name="Rango1_5_5"/>
    <protectedRange sqref="V2416:AB2423" name="Rango2_5_5"/>
    <protectedRange sqref="AH2416:AN2423" name="Rango4_5_5"/>
    <protectedRange sqref="B2424:P2438" name="Rango1_6_4"/>
    <protectedRange sqref="V2424:AB2438" name="Rango2_6_4"/>
    <protectedRange sqref="AH2424:AN2438" name="Rango4_6_4"/>
    <protectedRange sqref="B2439:P2453" name="Rango1_4_6"/>
    <protectedRange sqref="V2439:AB2453" name="Rango2_4_6"/>
    <protectedRange sqref="AH2439:AN2453" name="Rango4_4_6"/>
    <protectedRange sqref="B2454:P2579" name="Rango1_7_2"/>
    <protectedRange sqref="V2454:AB2579" name="Rango2_7_2"/>
    <protectedRange sqref="AH2454:AN2579" name="Rango4_7_2"/>
    <protectedRange sqref="B2580:P2633" name="Rango1_8_1"/>
    <protectedRange sqref="V2580:AB2633" name="Rango2_8_1"/>
    <protectedRange sqref="AH2580:AN2633" name="Rango4_8_1"/>
    <protectedRange sqref="B2634:P2641" name="Rango1_9_3"/>
    <protectedRange sqref="V2634:AB2641" name="Rango2_9_2"/>
    <protectedRange sqref="AH2634:AN2641" name="Rango4_9_2"/>
    <protectedRange sqref="B2642:P2643" name="Rango1_10_2"/>
    <protectedRange sqref="V2642:AB2643" name="Rango2_10_2"/>
    <protectedRange sqref="AH2642:AN2643" name="Rango4_10_2"/>
    <protectedRange sqref="B2644:P2741" name="Rango1_11_1"/>
    <protectedRange sqref="V2644:AB2741" name="Rango2_11_1"/>
    <protectedRange sqref="AH2644:AN2741" name="Rango4_11_1"/>
    <protectedRange sqref="B2742:P2783" name="Rango1_12_1"/>
    <protectedRange sqref="V2742:AB2783" name="Rango2_12_1"/>
    <protectedRange sqref="AH2742:AN2783" name="Rango4_12_1"/>
    <protectedRange sqref="B550:P570" name="Rango1_20"/>
    <protectedRange sqref="V550:AB570" name="Rango2_1_7"/>
    <protectedRange sqref="AH550:AN570" name="Rango4_21"/>
    <protectedRange sqref="B10:P79" name="Rango1_22"/>
    <protectedRange sqref="V10:AB79" name="Rango2_22"/>
    <protectedRange sqref="AH10:AN79" name="Rango4_23"/>
    <protectedRange sqref="B80:P99" name="Rango1_1_9"/>
    <protectedRange sqref="V80:AB99" name="Rango2_1_11"/>
    <protectedRange sqref="AH80:AN99" name="Rango4_1_11"/>
    <protectedRange sqref="B100:P139" name="Rango1_2_11"/>
    <protectedRange sqref="V100:AB139" name="Rango2_2_10"/>
    <protectedRange sqref="AH100:AN139" name="Rango4_2_10"/>
    <protectedRange sqref="B140:P149" name="Rango1_3_10"/>
    <protectedRange sqref="V140:AB149" name="Rango2_3_10"/>
    <protectedRange sqref="AH140:AN149" name="Rango4_3_11"/>
    <protectedRange sqref="B150:P189" name="Rango1_4_10"/>
    <protectedRange sqref="V150:AB189" name="Rango2_4_10"/>
    <protectedRange sqref="AH150:AN189" name="Rango4_4_10"/>
    <protectedRange sqref="B190:P212" name="Rango1_5_8"/>
    <protectedRange sqref="V190:AB212" name="Rango2_5_8"/>
    <protectedRange sqref="AH190:AN212" name="Rango4_5_9"/>
    <protectedRange sqref="B213:P229" name="Rango1_6_7"/>
    <protectedRange sqref="V213:AB229" name="Rango2_6_6"/>
    <protectedRange sqref="AH213:AN229" name="Rango4_6_6"/>
    <protectedRange sqref="B230:P279" name="Rango1_7_6"/>
    <protectedRange sqref="V230:AB279" name="Rango2_7_8"/>
    <protectedRange sqref="AH230:AN279" name="Rango4_7_8"/>
    <protectedRange sqref="B280:P319" name="Rango1_8_9"/>
    <protectedRange sqref="V280:AB319" name="Rango2_8_9"/>
    <protectedRange sqref="AH280:AN319" name="Rango4_8_8"/>
    <protectedRange sqref="B320:P369" name="Rango1_9_9"/>
    <protectedRange sqref="V320:AB369" name="Rango2_9_7"/>
    <protectedRange sqref="AH320:AN369" name="Rango4_9_7"/>
    <protectedRange sqref="B370:P389" name="Rango1_10_5"/>
    <protectedRange sqref="V370:AB389" name="Rango2_10_5"/>
    <protectedRange sqref="AH370:AN389" name="Rango4_10_5"/>
    <protectedRange sqref="B390:P549" name="Rango1_11_4"/>
    <protectedRange sqref="V390:AB549" name="Rango2_11_4"/>
    <protectedRange sqref="AH390:AN549" name="Rango4_11_4"/>
    <protectedRange sqref="B9:P9" name="Rango1_1"/>
    <protectedRange sqref="V9:AB9" name="Rango2_1"/>
    <protectedRange sqref="AH9:AN9" name="Rango4_2"/>
  </protectedRanges>
  <autoFilter ref="A8:CQ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</autoFilter>
  <mergeCells count="39">
    <mergeCell ref="AP3:AT3"/>
    <mergeCell ref="AP2:AT2"/>
    <mergeCell ref="BX7:BZ7"/>
    <mergeCell ref="C6:C8"/>
    <mergeCell ref="A6:A8"/>
    <mergeCell ref="B6:B8"/>
    <mergeCell ref="D6:D8"/>
    <mergeCell ref="BH8:BR8"/>
    <mergeCell ref="AT6:AT8"/>
    <mergeCell ref="AN8:AQ8"/>
    <mergeCell ref="AB8:AE8"/>
    <mergeCell ref="AH6:AS6"/>
    <mergeCell ref="AH7:AS7"/>
    <mergeCell ref="V6:AG6"/>
    <mergeCell ref="V7:AG7"/>
    <mergeCell ref="BD7:BF7"/>
    <mergeCell ref="CA7:CQ7"/>
    <mergeCell ref="AP1:AT1"/>
    <mergeCell ref="E1:AO1"/>
    <mergeCell ref="E2:AO3"/>
    <mergeCell ref="AA4:AB4"/>
    <mergeCell ref="AC4:AE4"/>
    <mergeCell ref="AF4:AH4"/>
    <mergeCell ref="E6:E8"/>
    <mergeCell ref="G6:G8"/>
    <mergeCell ref="P8:S8"/>
    <mergeCell ref="F6:F8"/>
    <mergeCell ref="J6:U6"/>
    <mergeCell ref="J7:U7"/>
    <mergeCell ref="H6:I7"/>
    <mergeCell ref="AA5:AB5"/>
    <mergeCell ref="AC5:AE5"/>
    <mergeCell ref="AF5:AH5"/>
    <mergeCell ref="A4:D4"/>
    <mergeCell ref="E4:I4"/>
    <mergeCell ref="J4:N4"/>
    <mergeCell ref="O4:R4"/>
    <mergeCell ref="S4:Z4"/>
    <mergeCell ref="A5:Z5"/>
  </mergeCells>
  <phoneticPr fontId="28" type="noConversion"/>
  <conditionalFormatting sqref="U9 AG9 AS9">
    <cfRule type="cellIs" dxfId="15" priority="11" operator="between">
      <formula>100.01</formula>
      <formula>100000000</formula>
    </cfRule>
    <cfRule type="cellIs" dxfId="14" priority="12" operator="lessThanOrEqual">
      <formula>-100.01</formula>
    </cfRule>
  </conditionalFormatting>
  <conditionalFormatting sqref="U9 AG9">
    <cfRule type="cellIs" dxfId="13" priority="9" operator="between">
      <formula>-2.044</formula>
      <formula>-100</formula>
    </cfRule>
    <cfRule type="cellIs" dxfId="12" priority="10" operator="between">
      <formula>2.044</formula>
      <formula>100</formula>
    </cfRule>
  </conditionalFormatting>
  <conditionalFormatting sqref="AS9">
    <cfRule type="cellIs" dxfId="11" priority="13" operator="between">
      <formula>-5.044</formula>
      <formula>-100</formula>
    </cfRule>
    <cfRule type="cellIs" dxfId="10" priority="14" operator="between">
      <formula>5.044</formula>
      <formula>100</formula>
    </cfRule>
  </conditionalFormatting>
  <conditionalFormatting sqref="AT9">
    <cfRule type="cellIs" dxfId="9" priority="15" operator="equal">
      <formula>"NO CONFORME"</formula>
    </cfRule>
  </conditionalFormatting>
  <conditionalFormatting sqref="AU8:BC8">
    <cfRule type="cellIs" dxfId="8" priority="1097" operator="equal">
      <formula>"NO CONFORME"</formula>
    </cfRule>
  </conditionalFormatting>
  <conditionalFormatting sqref="AW9:BD9">
    <cfRule type="cellIs" dxfId="7" priority="3" operator="equal">
      <formula>"NO CONFORME"</formula>
    </cfRule>
  </conditionalFormatting>
  <conditionalFormatting sqref="BD9">
    <cfRule type="expression" dxfId="6" priority="5">
      <formula>BD9="Qincorrecto"</formula>
    </cfRule>
    <cfRule type="expression" dxfId="5" priority="6">
      <formula>BD9="Qcorrecto"</formula>
    </cfRule>
  </conditionalFormatting>
  <conditionalFormatting sqref="BE9:BG9">
    <cfRule type="cellIs" dxfId="4" priority="2" operator="equal">
      <formula>"error"</formula>
    </cfRule>
    <cfRule type="cellIs" dxfId="3" priority="7" operator="equal">
      <formula>#REF!</formula>
    </cfRule>
    <cfRule type="cellIs" dxfId="2" priority="8" operator="equal">
      <formula>"error"</formula>
    </cfRule>
  </conditionalFormatting>
  <conditionalFormatting sqref="BH9:BI9">
    <cfRule type="cellIs" dxfId="1" priority="1" stopIfTrue="1" operator="notBetween">
      <formula>"APROBADO"</formula>
      <formula>"APROBADO"</formula>
    </cfRule>
  </conditionalFormatting>
  <conditionalFormatting sqref="BJ9:BL9 BN9 BQ9">
    <cfRule type="cellIs" dxfId="0" priority="4" operator="equal">
      <formula>"NO CONFORME"</formula>
    </cfRule>
  </conditionalFormatting>
  <dataValidations count="2">
    <dataValidation type="list" allowBlank="1" showInputMessage="1" showErrorMessage="1" sqref="E4:I4" xr:uid="{77459FDC-973F-4BC4-B880-482BC773FA0A}">
      <formula1>$AW$2:$AW$5</formula1>
    </dataValidation>
    <dataValidation type="list" allowBlank="1" showInputMessage="1" showErrorMessage="1" sqref="O4:R4" xr:uid="{ABFDBA1A-67A4-4C91-A654-1AA726171E96}">
      <formula1>$AV$2:$AV$5</formula1>
    </dataValidation>
  </dataValidations>
  <pageMargins left="0.7" right="0.7" top="0.37" bottom="0.28000000000000003" header="0.26" footer="0.1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medileser SAC</cp:lastModifiedBy>
  <cp:lastPrinted>2021-09-30T13:17:10Z</cp:lastPrinted>
  <dcterms:created xsi:type="dcterms:W3CDTF">2004-07-20T12:46:03Z</dcterms:created>
  <dcterms:modified xsi:type="dcterms:W3CDTF">2025-10-27T17:00:33Z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